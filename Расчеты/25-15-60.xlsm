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6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Бабах\Work\Расчеты\"/>
    </mc:Choice>
  </mc:AlternateContent>
  <xr:revisionPtr revIDLastSave="0" documentId="13_ncr:11_{59232F0B-A1FA-400F-A857-B0B1D738B2E0}" xr6:coauthVersionLast="46" xr6:coauthVersionMax="46" xr10:uidLastSave="{00000000-0000-0000-0000-000000000000}"/>
  <bookViews>
    <workbookView xWindow="28680" yWindow="-120" windowWidth="29040" windowHeight="15990" xr2:uid="{0302BE19-1FF7-41F7-880F-6539212B9FEB}"/>
  </bookViews>
  <sheets>
    <sheet name="Values" sheetId="2" r:id="rId1"/>
    <sheet name="ALL" sheetId="4" r:id="rId2"/>
    <sheet name="FLUID" sheetId="11" r:id="rId3"/>
    <sheet name="dfluid1" sheetId="15" r:id="rId4"/>
    <sheet name="SOLID" sheetId="12" r:id="rId5"/>
    <sheet name="Gibbs-EVAL" sheetId="8" r:id="rId6"/>
    <sheet name="Mass-EVAL" sheetId="14" r:id="rId7"/>
    <sheet name="data" sheetId="7" r:id="rId8"/>
  </sheets>
  <functionGroups builtInGroupCount="19"/>
  <definedNames>
    <definedName name="H.Ar" localSheetId="1">ALL!$F$34:$BR$34</definedName>
    <definedName name="H.Ar" localSheetId="2">FLUID!$F$34:$BR$34</definedName>
    <definedName name="H.Ar" localSheetId="4">SOLID!$F$34:$BR$34</definedName>
    <definedName name="H.Ga" localSheetId="1">ALL!$F$35:$BR$35</definedName>
    <definedName name="H.Ga" localSheetId="2">FLUID!$F$35:$BR$35</definedName>
    <definedName name="H.Ga" localSheetId="4">SOLID!$F$35:$BR$35</definedName>
    <definedName name="H.Ge" localSheetId="1">ALL!$F$36:$BR$36</definedName>
    <definedName name="H.Ge" localSheetId="2">FLUID!$F$36:$BR$36</definedName>
    <definedName name="H.Ge" localSheetId="4">SOLID!$F$36:$BR$36</definedName>
    <definedName name="H.Se" localSheetId="1">ALL!$F$37:$BR$37</definedName>
    <definedName name="H.Se" localSheetId="2">FLUID!$F$37:$BR$37</definedName>
    <definedName name="H.Se" localSheetId="4">SOLID!$F$37:$BR$37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" i="8" l="1"/>
  <c r="A25" i="8"/>
  <c r="A26" i="8"/>
  <c r="A27" i="8"/>
  <c r="A28" i="8"/>
  <c r="A29" i="8"/>
  <c r="A30" i="8"/>
  <c r="A31" i="8"/>
  <c r="A32" i="8"/>
  <c r="BO2" i="8"/>
  <c r="BP2" i="8"/>
  <c r="BQ2" i="8"/>
  <c r="BR2" i="8"/>
  <c r="BS2" i="8"/>
  <c r="BT2" i="8"/>
  <c r="BO3" i="8"/>
  <c r="BP3" i="8"/>
  <c r="BQ3" i="8"/>
  <c r="BR3" i="8"/>
  <c r="BS3" i="8"/>
  <c r="BT3" i="8"/>
  <c r="BO4" i="8"/>
  <c r="BP4" i="8"/>
  <c r="BQ4" i="8"/>
  <c r="BR4" i="8"/>
  <c r="BS4" i="8"/>
  <c r="BT4" i="8"/>
  <c r="BO5" i="8"/>
  <c r="BP5" i="8"/>
  <c r="BQ5" i="8"/>
  <c r="BR5" i="8"/>
  <c r="BS5" i="8"/>
  <c r="BT5" i="8"/>
  <c r="BO6" i="8"/>
  <c r="BP6" i="8"/>
  <c r="BQ6" i="8"/>
  <c r="BR6" i="8"/>
  <c r="BS6" i="8"/>
  <c r="BT6" i="8"/>
  <c r="BO7" i="8"/>
  <c r="BP7" i="8"/>
  <c r="BQ7" i="8"/>
  <c r="BR7" i="8"/>
  <c r="BS7" i="8"/>
  <c r="BT7" i="8"/>
  <c r="BO8" i="8"/>
  <c r="BP8" i="8"/>
  <c r="BQ8" i="8"/>
  <c r="BR8" i="8"/>
  <c r="BS8" i="8"/>
  <c r="BT8" i="8"/>
  <c r="BO9" i="8"/>
  <c r="BP9" i="8"/>
  <c r="BQ9" i="8"/>
  <c r="BR9" i="8"/>
  <c r="BS9" i="8"/>
  <c r="BT9" i="8"/>
  <c r="BO10" i="8"/>
  <c r="BP10" i="8"/>
  <c r="BQ10" i="8"/>
  <c r="BR10" i="8"/>
  <c r="BS10" i="8"/>
  <c r="BT10" i="8"/>
  <c r="BO11" i="8"/>
  <c r="BP11" i="8"/>
  <c r="BQ11" i="8"/>
  <c r="BR11" i="8"/>
  <c r="BS11" i="8"/>
  <c r="BT11" i="8"/>
  <c r="BO12" i="8"/>
  <c r="BP12" i="8"/>
  <c r="BQ12" i="8"/>
  <c r="BR12" i="8"/>
  <c r="BS12" i="8"/>
  <c r="BT12" i="8"/>
  <c r="BO13" i="8"/>
  <c r="BP13" i="8"/>
  <c r="BQ13" i="8"/>
  <c r="BR13" i="8"/>
  <c r="BS13" i="8"/>
  <c r="BT13" i="8"/>
  <c r="BO14" i="8"/>
  <c r="BP14" i="8"/>
  <c r="BQ14" i="8"/>
  <c r="BR14" i="8"/>
  <c r="BS14" i="8"/>
  <c r="BT14" i="8"/>
  <c r="BO15" i="8"/>
  <c r="BP15" i="8"/>
  <c r="BQ15" i="8"/>
  <c r="BR15" i="8"/>
  <c r="BS15" i="8"/>
  <c r="BT15" i="8"/>
  <c r="BO16" i="8"/>
  <c r="BP16" i="8"/>
  <c r="BQ16" i="8"/>
  <c r="BR16" i="8"/>
  <c r="BS16" i="8"/>
  <c r="BT16" i="8"/>
  <c r="BO17" i="8"/>
  <c r="BP17" i="8"/>
  <c r="BQ17" i="8"/>
  <c r="BR17" i="8"/>
  <c r="BS17" i="8"/>
  <c r="BT17" i="8"/>
  <c r="BO18" i="8"/>
  <c r="BP18" i="8"/>
  <c r="BQ18" i="8"/>
  <c r="BR18" i="8"/>
  <c r="BS18" i="8"/>
  <c r="BT18" i="8"/>
  <c r="BO19" i="8"/>
  <c r="BP19" i="8"/>
  <c r="BQ19" i="8"/>
  <c r="BR19" i="8"/>
  <c r="BS19" i="8"/>
  <c r="BT19" i="8"/>
  <c r="BO20" i="8"/>
  <c r="BP20" i="8"/>
  <c r="BQ20" i="8"/>
  <c r="BR20" i="8"/>
  <c r="BS20" i="8"/>
  <c r="BT20" i="8"/>
  <c r="BO21" i="8"/>
  <c r="BP21" i="8"/>
  <c r="BQ21" i="8"/>
  <c r="BR21" i="8"/>
  <c r="BS21" i="8"/>
  <c r="BT21" i="8"/>
  <c r="BO22" i="8"/>
  <c r="BP22" i="8"/>
  <c r="BQ22" i="8"/>
  <c r="BR22" i="8"/>
  <c r="BS22" i="8"/>
  <c r="BT22" i="8"/>
  <c r="BO23" i="8"/>
  <c r="BP23" i="8"/>
  <c r="BQ23" i="8"/>
  <c r="BR23" i="8"/>
  <c r="BS23" i="8"/>
  <c r="BT23" i="8"/>
  <c r="BO24" i="8"/>
  <c r="BP24" i="8"/>
  <c r="BQ24" i="8"/>
  <c r="BR24" i="8"/>
  <c r="BS24" i="8"/>
  <c r="BT24" i="8"/>
  <c r="BO25" i="8"/>
  <c r="BP25" i="8"/>
  <c r="BQ25" i="8"/>
  <c r="BR25" i="8"/>
  <c r="BS25" i="8"/>
  <c r="BT25" i="8"/>
  <c r="BO26" i="8"/>
  <c r="BP26" i="8"/>
  <c r="BQ26" i="8"/>
  <c r="BR26" i="8"/>
  <c r="BS26" i="8"/>
  <c r="BT26" i="8"/>
  <c r="BO27" i="8"/>
  <c r="BP27" i="8"/>
  <c r="BQ27" i="8"/>
  <c r="BR27" i="8"/>
  <c r="BS27" i="8"/>
  <c r="BT27" i="8"/>
  <c r="BO28" i="8"/>
  <c r="BP28" i="8"/>
  <c r="BQ28" i="8"/>
  <c r="BR28" i="8"/>
  <c r="BS28" i="8"/>
  <c r="BT28" i="8"/>
  <c r="BO29" i="8"/>
  <c r="BP29" i="8"/>
  <c r="BQ29" i="8"/>
  <c r="BR29" i="8"/>
  <c r="BS29" i="8"/>
  <c r="BT29" i="8"/>
  <c r="BO30" i="8"/>
  <c r="BP30" i="8"/>
  <c r="BQ30" i="8"/>
  <c r="BR30" i="8"/>
  <c r="BS30" i="8"/>
  <c r="BT30" i="8"/>
  <c r="BO31" i="8"/>
  <c r="BP31" i="8"/>
  <c r="BQ31" i="8"/>
  <c r="BR31" i="8"/>
  <c r="BS31" i="8"/>
  <c r="BT31" i="8"/>
  <c r="C32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BT32" i="8"/>
  <c r="B32" i="8"/>
  <c r="G33" i="12"/>
  <c r="H33" i="12"/>
  <c r="I33" i="12"/>
  <c r="J33" i="12"/>
  <c r="K33" i="12"/>
  <c r="L33" i="12"/>
  <c r="M33" i="12"/>
  <c r="N33" i="12"/>
  <c r="O33" i="12"/>
  <c r="P33" i="12"/>
  <c r="Q33" i="12"/>
  <c r="R33" i="12"/>
  <c r="S33" i="12"/>
  <c r="T33" i="12"/>
  <c r="U33" i="12"/>
  <c r="V33" i="12"/>
  <c r="W33" i="12"/>
  <c r="X33" i="12"/>
  <c r="Y33" i="12"/>
  <c r="Z33" i="12"/>
  <c r="AA33" i="12"/>
  <c r="AB33" i="12"/>
  <c r="AC33" i="12"/>
  <c r="AD33" i="12"/>
  <c r="AE33" i="12"/>
  <c r="AF33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Z33" i="12"/>
  <c r="BA33" i="12"/>
  <c r="BB33" i="12"/>
  <c r="BC33" i="12"/>
  <c r="BD33" i="12"/>
  <c r="BE33" i="12"/>
  <c r="BF33" i="12"/>
  <c r="BG33" i="12"/>
  <c r="BH33" i="12"/>
  <c r="BI33" i="12"/>
  <c r="BJ33" i="12"/>
  <c r="BK33" i="12"/>
  <c r="BL33" i="12"/>
  <c r="BM33" i="12"/>
  <c r="BN33" i="12"/>
  <c r="BO33" i="12"/>
  <c r="BP33" i="12"/>
  <c r="BQ33" i="12"/>
  <c r="BR33" i="12"/>
  <c r="F33" i="12"/>
  <c r="G33" i="11"/>
  <c r="H33" i="11"/>
  <c r="I33" i="11"/>
  <c r="J33" i="11"/>
  <c r="K33" i="11"/>
  <c r="L33" i="11"/>
  <c r="M33" i="11"/>
  <c r="N33" i="11"/>
  <c r="O33" i="11"/>
  <c r="P33" i="11"/>
  <c r="Q33" i="11"/>
  <c r="R33" i="11"/>
  <c r="S33" i="11"/>
  <c r="T33" i="11"/>
  <c r="U33" i="11"/>
  <c r="V33" i="11"/>
  <c r="W33" i="11"/>
  <c r="X33" i="11"/>
  <c r="Y33" i="11"/>
  <c r="Z33" i="11"/>
  <c r="AA33" i="11"/>
  <c r="AB33" i="11"/>
  <c r="AC33" i="11"/>
  <c r="AD33" i="11"/>
  <c r="AE33" i="11"/>
  <c r="AF33" i="11"/>
  <c r="AG33" i="11"/>
  <c r="AH33" i="11"/>
  <c r="AI33" i="11"/>
  <c r="AJ33" i="11"/>
  <c r="AK33" i="11"/>
  <c r="AL33" i="11"/>
  <c r="AM33" i="11"/>
  <c r="AN33" i="11"/>
  <c r="AO33" i="11"/>
  <c r="AP33" i="11"/>
  <c r="AQ33" i="11"/>
  <c r="AR33" i="11"/>
  <c r="AS33" i="11"/>
  <c r="AT33" i="11"/>
  <c r="AU33" i="11"/>
  <c r="AV33" i="11"/>
  <c r="AW33" i="11"/>
  <c r="AX33" i="11"/>
  <c r="AY33" i="11"/>
  <c r="AZ33" i="11"/>
  <c r="BA33" i="11"/>
  <c r="BB33" i="11"/>
  <c r="BC33" i="11"/>
  <c r="BD33" i="11"/>
  <c r="BE33" i="11"/>
  <c r="BF33" i="11"/>
  <c r="BG33" i="11"/>
  <c r="BH33" i="11"/>
  <c r="BI33" i="11"/>
  <c r="BJ33" i="11"/>
  <c r="BK33" i="11"/>
  <c r="BL33" i="11"/>
  <c r="BM33" i="11"/>
  <c r="BN33" i="11"/>
  <c r="BO33" i="11"/>
  <c r="BP33" i="11"/>
  <c r="BQ33" i="11"/>
  <c r="BR33" i="11"/>
  <c r="F33" i="11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P33" i="4"/>
  <c r="AQ33" i="4"/>
  <c r="AR33" i="4"/>
  <c r="AS33" i="4"/>
  <c r="AT33" i="4"/>
  <c r="AU33" i="4"/>
  <c r="AV33" i="4"/>
  <c r="AW33" i="4"/>
  <c r="AX33" i="4"/>
  <c r="AY33" i="4"/>
  <c r="AZ33" i="4"/>
  <c r="BA33" i="4"/>
  <c r="BB33" i="4"/>
  <c r="BC33" i="4"/>
  <c r="BD33" i="4"/>
  <c r="BE33" i="4"/>
  <c r="BF33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F33" i="4"/>
  <c r="A35" i="14" l="1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B67" i="14"/>
  <c r="C67" i="14"/>
  <c r="D67" i="14"/>
  <c r="E67" i="14"/>
  <c r="F67" i="14"/>
  <c r="G67" i="14"/>
  <c r="H67" i="14"/>
  <c r="I67" i="14"/>
  <c r="J67" i="14"/>
  <c r="K67" i="14"/>
  <c r="L67" i="14"/>
  <c r="M67" i="14"/>
  <c r="N67" i="14"/>
  <c r="O67" i="14"/>
  <c r="P67" i="14"/>
  <c r="Q67" i="14"/>
  <c r="R67" i="14"/>
  <c r="S67" i="14"/>
  <c r="T67" i="14"/>
  <c r="U67" i="14"/>
  <c r="V67" i="14"/>
  <c r="W67" i="14"/>
  <c r="X67" i="14"/>
  <c r="Y67" i="14"/>
  <c r="Z67" i="14"/>
  <c r="AA67" i="14"/>
  <c r="AB67" i="14"/>
  <c r="AC67" i="14"/>
  <c r="AD67" i="14"/>
  <c r="AE67" i="14"/>
  <c r="AF67" i="14"/>
  <c r="AG67" i="14"/>
  <c r="AH67" i="14"/>
  <c r="AI67" i="14"/>
  <c r="AJ67" i="14"/>
  <c r="AK67" i="14"/>
  <c r="AL67" i="14"/>
  <c r="AM67" i="14"/>
  <c r="AN67" i="14"/>
  <c r="AO67" i="14"/>
  <c r="AP67" i="14"/>
  <c r="AQ67" i="14"/>
  <c r="AR67" i="14"/>
  <c r="AS67" i="14"/>
  <c r="AT67" i="14"/>
  <c r="AU67" i="14"/>
  <c r="AV67" i="14"/>
  <c r="AW67" i="14"/>
  <c r="AX67" i="14"/>
  <c r="AY67" i="14"/>
  <c r="AZ67" i="14"/>
  <c r="BA67" i="14"/>
  <c r="BB67" i="14"/>
  <c r="BC67" i="14"/>
  <c r="BD67" i="14"/>
  <c r="BE67" i="14"/>
  <c r="BF67" i="14"/>
  <c r="BG67" i="14"/>
  <c r="BH67" i="14"/>
  <c r="BI67" i="14"/>
  <c r="BJ67" i="14"/>
  <c r="BK67" i="14"/>
  <c r="BL67" i="14"/>
  <c r="BM67" i="14"/>
  <c r="BN67" i="14"/>
  <c r="BO67" i="14"/>
  <c r="BP67" i="14"/>
  <c r="BQ67" i="14"/>
  <c r="BR67" i="14"/>
  <c r="BS67" i="14"/>
  <c r="BT67" i="14"/>
  <c r="B68" i="14"/>
  <c r="C68" i="14"/>
  <c r="D68" i="14"/>
  <c r="E68" i="14"/>
  <c r="F68" i="14"/>
  <c r="G68" i="14"/>
  <c r="H68" i="14"/>
  <c r="I68" i="14"/>
  <c r="J68" i="14"/>
  <c r="K68" i="14"/>
  <c r="L68" i="14"/>
  <c r="M68" i="14"/>
  <c r="N68" i="14"/>
  <c r="O68" i="14"/>
  <c r="P68" i="14"/>
  <c r="Q68" i="14"/>
  <c r="R68" i="14"/>
  <c r="S68" i="14"/>
  <c r="T68" i="14"/>
  <c r="U68" i="14"/>
  <c r="V68" i="14"/>
  <c r="W68" i="14"/>
  <c r="X68" i="14"/>
  <c r="Y68" i="14"/>
  <c r="Z68" i="14"/>
  <c r="AA68" i="14"/>
  <c r="AB68" i="14"/>
  <c r="AC68" i="14"/>
  <c r="AD68" i="14"/>
  <c r="AE68" i="14"/>
  <c r="AF68" i="14"/>
  <c r="AG68" i="14"/>
  <c r="AH68" i="14"/>
  <c r="AI68" i="14"/>
  <c r="AJ68" i="14"/>
  <c r="AK68" i="14"/>
  <c r="AL68" i="14"/>
  <c r="AM68" i="14"/>
  <c r="AN68" i="14"/>
  <c r="AO68" i="14"/>
  <c r="AP68" i="14"/>
  <c r="AQ68" i="14"/>
  <c r="AR68" i="14"/>
  <c r="AS68" i="14"/>
  <c r="AT68" i="14"/>
  <c r="AU68" i="14"/>
  <c r="AV68" i="14"/>
  <c r="AW68" i="14"/>
  <c r="AX68" i="14"/>
  <c r="AY68" i="14"/>
  <c r="AZ68" i="14"/>
  <c r="BA68" i="14"/>
  <c r="BB68" i="14"/>
  <c r="BC68" i="14"/>
  <c r="BD68" i="14"/>
  <c r="BE68" i="14"/>
  <c r="BF68" i="14"/>
  <c r="BG68" i="14"/>
  <c r="BH68" i="14"/>
  <c r="BI68" i="14"/>
  <c r="BJ68" i="14"/>
  <c r="BK68" i="14"/>
  <c r="BL68" i="14"/>
  <c r="BM68" i="14"/>
  <c r="BN68" i="14"/>
  <c r="BO68" i="14"/>
  <c r="BP68" i="14"/>
  <c r="BQ68" i="14"/>
  <c r="BR68" i="14"/>
  <c r="BS68" i="14"/>
  <c r="BT68" i="14"/>
  <c r="B69" i="14"/>
  <c r="C69" i="14"/>
  <c r="D69" i="14"/>
  <c r="E69" i="14"/>
  <c r="F69" i="14"/>
  <c r="G69" i="14"/>
  <c r="H69" i="14"/>
  <c r="I69" i="14"/>
  <c r="J69" i="14"/>
  <c r="K69" i="14"/>
  <c r="L69" i="14"/>
  <c r="M69" i="14"/>
  <c r="N69" i="14"/>
  <c r="O69" i="14"/>
  <c r="P69" i="14"/>
  <c r="Q69" i="14"/>
  <c r="R69" i="14"/>
  <c r="S69" i="14"/>
  <c r="T69" i="14"/>
  <c r="U69" i="14"/>
  <c r="V69" i="14"/>
  <c r="W69" i="14"/>
  <c r="X69" i="14"/>
  <c r="Y69" i="14"/>
  <c r="Z69" i="14"/>
  <c r="AA69" i="14"/>
  <c r="AB69" i="14"/>
  <c r="AC69" i="14"/>
  <c r="AD69" i="14"/>
  <c r="AE69" i="14"/>
  <c r="AF69" i="14"/>
  <c r="AG69" i="14"/>
  <c r="AH69" i="14"/>
  <c r="AI69" i="14"/>
  <c r="AJ69" i="14"/>
  <c r="AK69" i="14"/>
  <c r="AL69" i="14"/>
  <c r="AM69" i="14"/>
  <c r="AN69" i="14"/>
  <c r="AO69" i="14"/>
  <c r="AP69" i="14"/>
  <c r="AQ69" i="14"/>
  <c r="AR69" i="14"/>
  <c r="AS69" i="14"/>
  <c r="AT69" i="14"/>
  <c r="AU69" i="14"/>
  <c r="AV69" i="14"/>
  <c r="AW69" i="14"/>
  <c r="AX69" i="14"/>
  <c r="AY69" i="14"/>
  <c r="AZ69" i="14"/>
  <c r="BA69" i="14"/>
  <c r="BB69" i="14"/>
  <c r="BC69" i="14"/>
  <c r="BD69" i="14"/>
  <c r="BE69" i="14"/>
  <c r="BF69" i="14"/>
  <c r="BG69" i="14"/>
  <c r="BH69" i="14"/>
  <c r="BI69" i="14"/>
  <c r="BJ69" i="14"/>
  <c r="BK69" i="14"/>
  <c r="BL69" i="14"/>
  <c r="BM69" i="14"/>
  <c r="BN69" i="14"/>
  <c r="BO69" i="14"/>
  <c r="BP69" i="14"/>
  <c r="BQ69" i="14"/>
  <c r="BR69" i="14"/>
  <c r="BS69" i="14"/>
  <c r="BT69" i="14"/>
  <c r="B70" i="14"/>
  <c r="C70" i="14"/>
  <c r="D70" i="14"/>
  <c r="E70" i="14"/>
  <c r="F70" i="14"/>
  <c r="G70" i="14"/>
  <c r="H70" i="14"/>
  <c r="I70" i="14"/>
  <c r="J70" i="14"/>
  <c r="K70" i="14"/>
  <c r="L70" i="14"/>
  <c r="M70" i="14"/>
  <c r="N70" i="14"/>
  <c r="O70" i="14"/>
  <c r="P70" i="14"/>
  <c r="Q70" i="14"/>
  <c r="R70" i="14"/>
  <c r="S70" i="14"/>
  <c r="T70" i="14"/>
  <c r="U70" i="14"/>
  <c r="V70" i="14"/>
  <c r="W70" i="14"/>
  <c r="X70" i="14"/>
  <c r="Y70" i="14"/>
  <c r="Z70" i="14"/>
  <c r="AA70" i="14"/>
  <c r="AB70" i="14"/>
  <c r="AC70" i="14"/>
  <c r="AD70" i="14"/>
  <c r="AE70" i="14"/>
  <c r="AF70" i="14"/>
  <c r="AG70" i="14"/>
  <c r="AH70" i="14"/>
  <c r="AI70" i="14"/>
  <c r="AJ70" i="14"/>
  <c r="AK70" i="14"/>
  <c r="AL70" i="14"/>
  <c r="AM70" i="14"/>
  <c r="AN70" i="14"/>
  <c r="AO70" i="14"/>
  <c r="AP70" i="14"/>
  <c r="AQ70" i="14"/>
  <c r="AR70" i="14"/>
  <c r="AS70" i="14"/>
  <c r="AT70" i="14"/>
  <c r="AU70" i="14"/>
  <c r="AV70" i="14"/>
  <c r="AW70" i="14"/>
  <c r="AX70" i="14"/>
  <c r="AY70" i="14"/>
  <c r="AZ70" i="14"/>
  <c r="BA70" i="14"/>
  <c r="BB70" i="14"/>
  <c r="BC70" i="14"/>
  <c r="BD70" i="14"/>
  <c r="BE70" i="14"/>
  <c r="BF70" i="14"/>
  <c r="BG70" i="14"/>
  <c r="BH70" i="14"/>
  <c r="BI70" i="14"/>
  <c r="BJ70" i="14"/>
  <c r="BK70" i="14"/>
  <c r="BL70" i="14"/>
  <c r="BM70" i="14"/>
  <c r="BN70" i="14"/>
  <c r="BO70" i="14"/>
  <c r="BP70" i="14"/>
  <c r="BQ70" i="14"/>
  <c r="BR70" i="14"/>
  <c r="BS70" i="14"/>
  <c r="BT70" i="14"/>
  <c r="B71" i="14"/>
  <c r="C71" i="14"/>
  <c r="D71" i="14"/>
  <c r="E71" i="14"/>
  <c r="F71" i="14"/>
  <c r="G71" i="14"/>
  <c r="H71" i="14"/>
  <c r="I71" i="14"/>
  <c r="J71" i="14"/>
  <c r="K71" i="14"/>
  <c r="L71" i="14"/>
  <c r="M71" i="14"/>
  <c r="N71" i="14"/>
  <c r="O71" i="14"/>
  <c r="P71" i="14"/>
  <c r="Q71" i="14"/>
  <c r="R71" i="14"/>
  <c r="S71" i="14"/>
  <c r="T71" i="14"/>
  <c r="U71" i="14"/>
  <c r="V71" i="14"/>
  <c r="W71" i="14"/>
  <c r="X71" i="14"/>
  <c r="Y71" i="14"/>
  <c r="Z71" i="14"/>
  <c r="AA71" i="14"/>
  <c r="AB71" i="14"/>
  <c r="AC71" i="14"/>
  <c r="AD71" i="14"/>
  <c r="AE71" i="14"/>
  <c r="AF71" i="14"/>
  <c r="AG71" i="14"/>
  <c r="AH71" i="14"/>
  <c r="AI71" i="14"/>
  <c r="AJ71" i="14"/>
  <c r="AK71" i="14"/>
  <c r="AL71" i="14"/>
  <c r="AM71" i="14"/>
  <c r="AN71" i="14"/>
  <c r="AO71" i="14"/>
  <c r="AP71" i="14"/>
  <c r="AQ71" i="14"/>
  <c r="AR71" i="14"/>
  <c r="AS71" i="14"/>
  <c r="AT71" i="14"/>
  <c r="AU71" i="14"/>
  <c r="AV71" i="14"/>
  <c r="AW71" i="14"/>
  <c r="AX71" i="14"/>
  <c r="AY71" i="14"/>
  <c r="AZ71" i="14"/>
  <c r="BA71" i="14"/>
  <c r="BB71" i="14"/>
  <c r="BC71" i="14"/>
  <c r="BD71" i="14"/>
  <c r="BE71" i="14"/>
  <c r="BF71" i="14"/>
  <c r="BG71" i="14"/>
  <c r="BH71" i="14"/>
  <c r="BI71" i="14"/>
  <c r="BJ71" i="14"/>
  <c r="BK71" i="14"/>
  <c r="BL71" i="14"/>
  <c r="BM71" i="14"/>
  <c r="BN71" i="14"/>
  <c r="BO71" i="14"/>
  <c r="BP71" i="14"/>
  <c r="BQ71" i="14"/>
  <c r="BR71" i="14"/>
  <c r="BS71" i="14"/>
  <c r="BT71" i="14"/>
  <c r="B72" i="14"/>
  <c r="C72" i="14"/>
  <c r="D72" i="14"/>
  <c r="E72" i="14"/>
  <c r="F72" i="14"/>
  <c r="G72" i="14"/>
  <c r="H72" i="14"/>
  <c r="I72" i="14"/>
  <c r="J72" i="14"/>
  <c r="K72" i="14"/>
  <c r="L72" i="14"/>
  <c r="M72" i="14"/>
  <c r="N72" i="14"/>
  <c r="O72" i="14"/>
  <c r="P72" i="14"/>
  <c r="Q72" i="14"/>
  <c r="R72" i="14"/>
  <c r="S72" i="14"/>
  <c r="T72" i="14"/>
  <c r="U72" i="14"/>
  <c r="V72" i="14"/>
  <c r="W72" i="14"/>
  <c r="X72" i="14"/>
  <c r="Y72" i="14"/>
  <c r="Z72" i="14"/>
  <c r="AA72" i="14"/>
  <c r="AB72" i="14"/>
  <c r="AC72" i="14"/>
  <c r="AD72" i="14"/>
  <c r="AE72" i="14"/>
  <c r="AF72" i="14"/>
  <c r="AG72" i="14"/>
  <c r="AH72" i="14"/>
  <c r="AI72" i="14"/>
  <c r="AJ72" i="14"/>
  <c r="AK72" i="14"/>
  <c r="AL72" i="14"/>
  <c r="AM72" i="14"/>
  <c r="AN72" i="14"/>
  <c r="AO72" i="14"/>
  <c r="AP72" i="14"/>
  <c r="AQ72" i="14"/>
  <c r="AR72" i="14"/>
  <c r="AS72" i="14"/>
  <c r="AT72" i="14"/>
  <c r="AU72" i="14"/>
  <c r="AV72" i="14"/>
  <c r="AW72" i="14"/>
  <c r="AX72" i="14"/>
  <c r="AY72" i="14"/>
  <c r="AZ72" i="14"/>
  <c r="BA72" i="14"/>
  <c r="BB72" i="14"/>
  <c r="BC72" i="14"/>
  <c r="BD72" i="14"/>
  <c r="BE72" i="14"/>
  <c r="BF72" i="14"/>
  <c r="BG72" i="14"/>
  <c r="BH72" i="14"/>
  <c r="BI72" i="14"/>
  <c r="BJ72" i="14"/>
  <c r="BK72" i="14"/>
  <c r="BL72" i="14"/>
  <c r="BM72" i="14"/>
  <c r="BN72" i="14"/>
  <c r="BO72" i="14"/>
  <c r="BP72" i="14"/>
  <c r="BQ72" i="14"/>
  <c r="BR72" i="14"/>
  <c r="BS72" i="14"/>
  <c r="BT72" i="14"/>
  <c r="B73" i="14"/>
  <c r="C73" i="14"/>
  <c r="D73" i="14"/>
  <c r="E73" i="14"/>
  <c r="F73" i="14"/>
  <c r="G73" i="14"/>
  <c r="H73" i="14"/>
  <c r="I73" i="14"/>
  <c r="J73" i="14"/>
  <c r="K73" i="14"/>
  <c r="L73" i="14"/>
  <c r="M73" i="14"/>
  <c r="N73" i="14"/>
  <c r="O73" i="14"/>
  <c r="P73" i="14"/>
  <c r="Q73" i="14"/>
  <c r="R73" i="14"/>
  <c r="S73" i="14"/>
  <c r="T73" i="14"/>
  <c r="U73" i="14"/>
  <c r="V73" i="14"/>
  <c r="W73" i="14"/>
  <c r="X73" i="14"/>
  <c r="Y73" i="14"/>
  <c r="Z73" i="14"/>
  <c r="AA73" i="14"/>
  <c r="AB73" i="14"/>
  <c r="AC73" i="14"/>
  <c r="AD73" i="14"/>
  <c r="AE73" i="14"/>
  <c r="AF73" i="14"/>
  <c r="AG73" i="14"/>
  <c r="AH73" i="14"/>
  <c r="AI73" i="14"/>
  <c r="AJ73" i="14"/>
  <c r="AK73" i="14"/>
  <c r="AL73" i="14"/>
  <c r="AM73" i="14"/>
  <c r="AN73" i="14"/>
  <c r="AO73" i="14"/>
  <c r="AP73" i="14"/>
  <c r="AQ73" i="14"/>
  <c r="AR73" i="14"/>
  <c r="AS73" i="14"/>
  <c r="AT73" i="14"/>
  <c r="AU73" i="14"/>
  <c r="AV73" i="14"/>
  <c r="AW73" i="14"/>
  <c r="AX73" i="14"/>
  <c r="AY73" i="14"/>
  <c r="AZ73" i="14"/>
  <c r="BA73" i="14"/>
  <c r="BB73" i="14"/>
  <c r="BC73" i="14"/>
  <c r="BD73" i="14"/>
  <c r="BE73" i="14"/>
  <c r="BF73" i="14"/>
  <c r="BG73" i="14"/>
  <c r="BH73" i="14"/>
  <c r="BI73" i="14"/>
  <c r="BJ73" i="14"/>
  <c r="BK73" i="14"/>
  <c r="BL73" i="14"/>
  <c r="BM73" i="14"/>
  <c r="BN73" i="14"/>
  <c r="BO73" i="14"/>
  <c r="BP73" i="14"/>
  <c r="BQ73" i="14"/>
  <c r="BR73" i="14"/>
  <c r="BS73" i="14"/>
  <c r="BT73" i="14"/>
  <c r="B74" i="14"/>
  <c r="C74" i="14"/>
  <c r="D74" i="14"/>
  <c r="E74" i="14"/>
  <c r="F74" i="14"/>
  <c r="G74" i="14"/>
  <c r="H74" i="14"/>
  <c r="I74" i="14"/>
  <c r="J74" i="14"/>
  <c r="K74" i="14"/>
  <c r="L74" i="14"/>
  <c r="M74" i="14"/>
  <c r="N74" i="14"/>
  <c r="O74" i="14"/>
  <c r="P74" i="14"/>
  <c r="Q74" i="14"/>
  <c r="R74" i="14"/>
  <c r="S74" i="14"/>
  <c r="T74" i="14"/>
  <c r="U74" i="14"/>
  <c r="V74" i="14"/>
  <c r="W74" i="14"/>
  <c r="X74" i="14"/>
  <c r="Y74" i="14"/>
  <c r="Z74" i="14"/>
  <c r="AA74" i="14"/>
  <c r="AB74" i="14"/>
  <c r="AC74" i="14"/>
  <c r="AD74" i="14"/>
  <c r="AE74" i="14"/>
  <c r="AF74" i="14"/>
  <c r="AG74" i="14"/>
  <c r="AH74" i="14"/>
  <c r="AI74" i="14"/>
  <c r="AJ74" i="14"/>
  <c r="AK74" i="14"/>
  <c r="AL74" i="14"/>
  <c r="AM74" i="14"/>
  <c r="AN74" i="14"/>
  <c r="AO74" i="14"/>
  <c r="AP74" i="14"/>
  <c r="AQ74" i="14"/>
  <c r="AR74" i="14"/>
  <c r="AS74" i="14"/>
  <c r="AT74" i="14"/>
  <c r="AU74" i="14"/>
  <c r="AV74" i="14"/>
  <c r="AW74" i="14"/>
  <c r="AX74" i="14"/>
  <c r="AY74" i="14"/>
  <c r="AZ74" i="14"/>
  <c r="BA74" i="14"/>
  <c r="BB74" i="14"/>
  <c r="BC74" i="14"/>
  <c r="BD74" i="14"/>
  <c r="BE74" i="14"/>
  <c r="BF74" i="14"/>
  <c r="BG74" i="14"/>
  <c r="BH74" i="14"/>
  <c r="BI74" i="14"/>
  <c r="BJ74" i="14"/>
  <c r="BK74" i="14"/>
  <c r="BL74" i="14"/>
  <c r="BM74" i="14"/>
  <c r="BN74" i="14"/>
  <c r="BO74" i="14"/>
  <c r="BP74" i="14"/>
  <c r="BQ74" i="14"/>
  <c r="BR74" i="14"/>
  <c r="BS74" i="14"/>
  <c r="BT74" i="14"/>
  <c r="B75" i="14"/>
  <c r="C75" i="14"/>
  <c r="D75" i="14"/>
  <c r="E75" i="14"/>
  <c r="F75" i="14"/>
  <c r="G75" i="14"/>
  <c r="H75" i="14"/>
  <c r="I75" i="14"/>
  <c r="J75" i="14"/>
  <c r="K75" i="14"/>
  <c r="L75" i="14"/>
  <c r="M75" i="14"/>
  <c r="N75" i="14"/>
  <c r="O75" i="14"/>
  <c r="P75" i="14"/>
  <c r="Q75" i="14"/>
  <c r="R75" i="14"/>
  <c r="S75" i="14"/>
  <c r="T75" i="14"/>
  <c r="U75" i="14"/>
  <c r="V75" i="14"/>
  <c r="W75" i="14"/>
  <c r="X75" i="14"/>
  <c r="Y75" i="14"/>
  <c r="Z75" i="14"/>
  <c r="AA75" i="14"/>
  <c r="AB75" i="14"/>
  <c r="AC75" i="14"/>
  <c r="AD75" i="14"/>
  <c r="AE75" i="14"/>
  <c r="AF75" i="14"/>
  <c r="AG75" i="14"/>
  <c r="AH75" i="14"/>
  <c r="AI75" i="14"/>
  <c r="AJ75" i="14"/>
  <c r="AK75" i="14"/>
  <c r="AL75" i="14"/>
  <c r="AM75" i="14"/>
  <c r="AN75" i="14"/>
  <c r="AO75" i="14"/>
  <c r="AP75" i="14"/>
  <c r="AQ75" i="14"/>
  <c r="AR75" i="14"/>
  <c r="AS75" i="14"/>
  <c r="AT75" i="14"/>
  <c r="AU75" i="14"/>
  <c r="AV75" i="14"/>
  <c r="AW75" i="14"/>
  <c r="AX75" i="14"/>
  <c r="AY75" i="14"/>
  <c r="AZ75" i="14"/>
  <c r="BA75" i="14"/>
  <c r="BB75" i="14"/>
  <c r="BC75" i="14"/>
  <c r="BD75" i="14"/>
  <c r="BE75" i="14"/>
  <c r="BF75" i="14"/>
  <c r="BG75" i="14"/>
  <c r="BH75" i="14"/>
  <c r="BI75" i="14"/>
  <c r="BJ75" i="14"/>
  <c r="BK75" i="14"/>
  <c r="BL75" i="14"/>
  <c r="BM75" i="14"/>
  <c r="BN75" i="14"/>
  <c r="BO75" i="14"/>
  <c r="BP75" i="14"/>
  <c r="BQ75" i="14"/>
  <c r="BR75" i="14"/>
  <c r="BS75" i="14"/>
  <c r="BT75" i="14"/>
  <c r="B76" i="14"/>
  <c r="C76" i="14"/>
  <c r="D76" i="14"/>
  <c r="E76" i="14"/>
  <c r="F76" i="14"/>
  <c r="G76" i="14"/>
  <c r="H76" i="14"/>
  <c r="I76" i="14"/>
  <c r="J76" i="14"/>
  <c r="K76" i="14"/>
  <c r="L76" i="14"/>
  <c r="M76" i="14"/>
  <c r="N76" i="14"/>
  <c r="O76" i="14"/>
  <c r="P76" i="14"/>
  <c r="Q76" i="14"/>
  <c r="R76" i="14"/>
  <c r="S76" i="14"/>
  <c r="T76" i="14"/>
  <c r="U76" i="14"/>
  <c r="V76" i="14"/>
  <c r="W76" i="14"/>
  <c r="X76" i="14"/>
  <c r="Y76" i="14"/>
  <c r="Z76" i="14"/>
  <c r="AA76" i="14"/>
  <c r="AB76" i="14"/>
  <c r="AC76" i="14"/>
  <c r="AD76" i="14"/>
  <c r="AE76" i="14"/>
  <c r="AF76" i="14"/>
  <c r="AG76" i="14"/>
  <c r="AH76" i="14"/>
  <c r="AI76" i="14"/>
  <c r="AJ76" i="14"/>
  <c r="AK76" i="14"/>
  <c r="AL76" i="14"/>
  <c r="AM76" i="14"/>
  <c r="AN76" i="14"/>
  <c r="AO76" i="14"/>
  <c r="AP76" i="14"/>
  <c r="AQ76" i="14"/>
  <c r="AR76" i="14"/>
  <c r="AS76" i="14"/>
  <c r="AT76" i="14"/>
  <c r="AU76" i="14"/>
  <c r="AV76" i="14"/>
  <c r="AW76" i="14"/>
  <c r="AX76" i="14"/>
  <c r="AY76" i="14"/>
  <c r="AZ76" i="14"/>
  <c r="BA76" i="14"/>
  <c r="BB76" i="14"/>
  <c r="BC76" i="14"/>
  <c r="BD76" i="14"/>
  <c r="BE76" i="14"/>
  <c r="BF76" i="14"/>
  <c r="BG76" i="14"/>
  <c r="BH76" i="14"/>
  <c r="BI76" i="14"/>
  <c r="BJ76" i="14"/>
  <c r="BK76" i="14"/>
  <c r="BL76" i="14"/>
  <c r="BM76" i="14"/>
  <c r="BN76" i="14"/>
  <c r="BO76" i="14"/>
  <c r="BP76" i="14"/>
  <c r="BQ76" i="14"/>
  <c r="BR76" i="14"/>
  <c r="BS76" i="14"/>
  <c r="BT76" i="14"/>
  <c r="B77" i="14"/>
  <c r="C77" i="14"/>
  <c r="D77" i="14"/>
  <c r="E77" i="14"/>
  <c r="F77" i="14"/>
  <c r="G77" i="14"/>
  <c r="H77" i="14"/>
  <c r="I77" i="14"/>
  <c r="J77" i="14"/>
  <c r="K77" i="14"/>
  <c r="L77" i="14"/>
  <c r="M77" i="14"/>
  <c r="N77" i="14"/>
  <c r="O77" i="14"/>
  <c r="P77" i="14"/>
  <c r="Q77" i="14"/>
  <c r="R77" i="14"/>
  <c r="S77" i="14"/>
  <c r="T77" i="14"/>
  <c r="U77" i="14"/>
  <c r="V77" i="14"/>
  <c r="W77" i="14"/>
  <c r="X77" i="14"/>
  <c r="Y77" i="14"/>
  <c r="Z77" i="14"/>
  <c r="AA77" i="14"/>
  <c r="AB77" i="14"/>
  <c r="AC77" i="14"/>
  <c r="AD77" i="14"/>
  <c r="AE77" i="14"/>
  <c r="AF77" i="14"/>
  <c r="AG77" i="14"/>
  <c r="AH77" i="14"/>
  <c r="AI77" i="14"/>
  <c r="AJ77" i="14"/>
  <c r="AK77" i="14"/>
  <c r="AL77" i="14"/>
  <c r="AM77" i="14"/>
  <c r="AN77" i="14"/>
  <c r="AO77" i="14"/>
  <c r="AP77" i="14"/>
  <c r="AQ77" i="14"/>
  <c r="AR77" i="14"/>
  <c r="AS77" i="14"/>
  <c r="AT77" i="14"/>
  <c r="AU77" i="14"/>
  <c r="AV77" i="14"/>
  <c r="AW77" i="14"/>
  <c r="AX77" i="14"/>
  <c r="AY77" i="14"/>
  <c r="AZ77" i="14"/>
  <c r="BA77" i="14"/>
  <c r="BB77" i="14"/>
  <c r="BC77" i="14"/>
  <c r="BD77" i="14"/>
  <c r="BE77" i="14"/>
  <c r="BF77" i="14"/>
  <c r="BG77" i="14"/>
  <c r="BH77" i="14"/>
  <c r="BI77" i="14"/>
  <c r="BJ77" i="14"/>
  <c r="BK77" i="14"/>
  <c r="BL77" i="14"/>
  <c r="BM77" i="14"/>
  <c r="BN77" i="14"/>
  <c r="BO77" i="14"/>
  <c r="BP77" i="14"/>
  <c r="BQ77" i="14"/>
  <c r="BR77" i="14"/>
  <c r="BS77" i="14"/>
  <c r="BT77" i="14"/>
  <c r="B78" i="14"/>
  <c r="C78" i="14"/>
  <c r="D78" i="14"/>
  <c r="E78" i="14"/>
  <c r="F78" i="14"/>
  <c r="G78" i="14"/>
  <c r="H78" i="14"/>
  <c r="I78" i="14"/>
  <c r="J78" i="14"/>
  <c r="K78" i="14"/>
  <c r="L78" i="14"/>
  <c r="M78" i="14"/>
  <c r="N78" i="14"/>
  <c r="O78" i="14"/>
  <c r="P78" i="14"/>
  <c r="Q78" i="14"/>
  <c r="R78" i="14"/>
  <c r="S78" i="14"/>
  <c r="T78" i="14"/>
  <c r="U78" i="14"/>
  <c r="V78" i="14"/>
  <c r="W78" i="14"/>
  <c r="X78" i="14"/>
  <c r="Y78" i="14"/>
  <c r="Z78" i="14"/>
  <c r="AA78" i="14"/>
  <c r="AB78" i="14"/>
  <c r="AC78" i="14"/>
  <c r="AD78" i="14"/>
  <c r="AE78" i="14"/>
  <c r="AF78" i="14"/>
  <c r="AG78" i="14"/>
  <c r="AH78" i="14"/>
  <c r="AI78" i="14"/>
  <c r="AJ78" i="14"/>
  <c r="AK78" i="14"/>
  <c r="AL78" i="14"/>
  <c r="AM78" i="14"/>
  <c r="AN78" i="14"/>
  <c r="AO78" i="14"/>
  <c r="AP78" i="14"/>
  <c r="AQ78" i="14"/>
  <c r="AR78" i="14"/>
  <c r="AS78" i="14"/>
  <c r="AT78" i="14"/>
  <c r="AU78" i="14"/>
  <c r="AV78" i="14"/>
  <c r="AW78" i="14"/>
  <c r="AX78" i="14"/>
  <c r="AY78" i="14"/>
  <c r="AZ78" i="14"/>
  <c r="BA78" i="14"/>
  <c r="BB78" i="14"/>
  <c r="BC78" i="14"/>
  <c r="BD78" i="14"/>
  <c r="BE78" i="14"/>
  <c r="BF78" i="14"/>
  <c r="BG78" i="14"/>
  <c r="BH78" i="14"/>
  <c r="BI78" i="14"/>
  <c r="BJ78" i="14"/>
  <c r="BK78" i="14"/>
  <c r="BL78" i="14"/>
  <c r="BM78" i="14"/>
  <c r="BN78" i="14"/>
  <c r="BO78" i="14"/>
  <c r="BP78" i="14"/>
  <c r="BQ78" i="14"/>
  <c r="BR78" i="14"/>
  <c r="BS78" i="14"/>
  <c r="BT78" i="14"/>
  <c r="B79" i="14"/>
  <c r="C79" i="14"/>
  <c r="D79" i="14"/>
  <c r="E79" i="14"/>
  <c r="F79" i="14"/>
  <c r="G79" i="14"/>
  <c r="H79" i="14"/>
  <c r="I79" i="14"/>
  <c r="J79" i="14"/>
  <c r="K79" i="14"/>
  <c r="L79" i="14"/>
  <c r="M79" i="14"/>
  <c r="N79" i="14"/>
  <c r="O79" i="14"/>
  <c r="P79" i="14"/>
  <c r="Q79" i="14"/>
  <c r="R79" i="14"/>
  <c r="S79" i="14"/>
  <c r="T79" i="14"/>
  <c r="U79" i="14"/>
  <c r="V79" i="14"/>
  <c r="W79" i="14"/>
  <c r="X79" i="14"/>
  <c r="Y79" i="14"/>
  <c r="Z79" i="14"/>
  <c r="AA79" i="14"/>
  <c r="AB79" i="14"/>
  <c r="AC79" i="14"/>
  <c r="AD79" i="14"/>
  <c r="AE79" i="14"/>
  <c r="AF79" i="14"/>
  <c r="AG79" i="14"/>
  <c r="AH79" i="14"/>
  <c r="AI79" i="14"/>
  <c r="AJ79" i="14"/>
  <c r="AK79" i="14"/>
  <c r="AL79" i="14"/>
  <c r="AM79" i="14"/>
  <c r="AN79" i="14"/>
  <c r="AO79" i="14"/>
  <c r="AP79" i="14"/>
  <c r="AQ79" i="14"/>
  <c r="AR79" i="14"/>
  <c r="AS79" i="14"/>
  <c r="AT79" i="14"/>
  <c r="AU79" i="14"/>
  <c r="AV79" i="14"/>
  <c r="AW79" i="14"/>
  <c r="AX79" i="14"/>
  <c r="AY79" i="14"/>
  <c r="AZ79" i="14"/>
  <c r="BA79" i="14"/>
  <c r="BB79" i="14"/>
  <c r="BC79" i="14"/>
  <c r="BD79" i="14"/>
  <c r="BE79" i="14"/>
  <c r="BF79" i="14"/>
  <c r="BG79" i="14"/>
  <c r="BH79" i="14"/>
  <c r="BI79" i="14"/>
  <c r="BJ79" i="14"/>
  <c r="BK79" i="14"/>
  <c r="BL79" i="14"/>
  <c r="BM79" i="14"/>
  <c r="BN79" i="14"/>
  <c r="BO79" i="14"/>
  <c r="BP79" i="14"/>
  <c r="BQ79" i="14"/>
  <c r="BR79" i="14"/>
  <c r="BS79" i="14"/>
  <c r="BT79" i="14"/>
  <c r="B80" i="14"/>
  <c r="C80" i="14"/>
  <c r="D80" i="14"/>
  <c r="E80" i="14"/>
  <c r="F80" i="14"/>
  <c r="G80" i="14"/>
  <c r="H80" i="14"/>
  <c r="I80" i="14"/>
  <c r="J80" i="14"/>
  <c r="K80" i="14"/>
  <c r="L80" i="14"/>
  <c r="M80" i="14"/>
  <c r="N80" i="14"/>
  <c r="O80" i="14"/>
  <c r="P80" i="14"/>
  <c r="Q80" i="14"/>
  <c r="R80" i="14"/>
  <c r="S80" i="14"/>
  <c r="T80" i="14"/>
  <c r="U80" i="14"/>
  <c r="V80" i="14"/>
  <c r="W80" i="14"/>
  <c r="X80" i="14"/>
  <c r="Y80" i="14"/>
  <c r="Z80" i="14"/>
  <c r="AA80" i="14"/>
  <c r="AB80" i="14"/>
  <c r="AC80" i="14"/>
  <c r="AD80" i="14"/>
  <c r="AE80" i="14"/>
  <c r="AF80" i="14"/>
  <c r="AG80" i="14"/>
  <c r="AH80" i="14"/>
  <c r="AI80" i="14"/>
  <c r="AJ80" i="14"/>
  <c r="AK80" i="14"/>
  <c r="AL80" i="14"/>
  <c r="AM80" i="14"/>
  <c r="AN80" i="14"/>
  <c r="AO80" i="14"/>
  <c r="AP80" i="14"/>
  <c r="AQ80" i="14"/>
  <c r="AR80" i="14"/>
  <c r="AS80" i="14"/>
  <c r="AT80" i="14"/>
  <c r="AU80" i="14"/>
  <c r="AV80" i="14"/>
  <c r="AW80" i="14"/>
  <c r="AX80" i="14"/>
  <c r="AY80" i="14"/>
  <c r="AZ80" i="14"/>
  <c r="BA80" i="14"/>
  <c r="BB80" i="14"/>
  <c r="BC80" i="14"/>
  <c r="BD80" i="14"/>
  <c r="BE80" i="14"/>
  <c r="BF80" i="14"/>
  <c r="BG80" i="14"/>
  <c r="BH80" i="14"/>
  <c r="BI80" i="14"/>
  <c r="BJ80" i="14"/>
  <c r="BK80" i="14"/>
  <c r="BL80" i="14"/>
  <c r="BM80" i="14"/>
  <c r="BN80" i="14"/>
  <c r="BO80" i="14"/>
  <c r="BP80" i="14"/>
  <c r="BQ80" i="14"/>
  <c r="BR80" i="14"/>
  <c r="BS80" i="14"/>
  <c r="BT80" i="14"/>
  <c r="B81" i="14"/>
  <c r="C81" i="14"/>
  <c r="D81" i="14"/>
  <c r="E81" i="14"/>
  <c r="F81" i="14"/>
  <c r="G81" i="14"/>
  <c r="H81" i="14"/>
  <c r="I81" i="14"/>
  <c r="J81" i="14"/>
  <c r="K81" i="14"/>
  <c r="L81" i="14"/>
  <c r="M81" i="14"/>
  <c r="N81" i="14"/>
  <c r="O81" i="14"/>
  <c r="P81" i="14"/>
  <c r="Q81" i="14"/>
  <c r="R81" i="14"/>
  <c r="S81" i="14"/>
  <c r="T81" i="14"/>
  <c r="U81" i="14"/>
  <c r="V81" i="14"/>
  <c r="W81" i="14"/>
  <c r="X81" i="14"/>
  <c r="Y81" i="14"/>
  <c r="Z81" i="14"/>
  <c r="AA81" i="14"/>
  <c r="AB81" i="14"/>
  <c r="AC81" i="14"/>
  <c r="AD81" i="14"/>
  <c r="AE81" i="14"/>
  <c r="AF81" i="14"/>
  <c r="AG81" i="14"/>
  <c r="AH81" i="14"/>
  <c r="AI81" i="14"/>
  <c r="AJ81" i="14"/>
  <c r="AK81" i="14"/>
  <c r="AL81" i="14"/>
  <c r="AM81" i="14"/>
  <c r="AN81" i="14"/>
  <c r="AO81" i="14"/>
  <c r="AP81" i="14"/>
  <c r="AQ81" i="14"/>
  <c r="AR81" i="14"/>
  <c r="AS81" i="14"/>
  <c r="AT81" i="14"/>
  <c r="AU81" i="14"/>
  <c r="AV81" i="14"/>
  <c r="AW81" i="14"/>
  <c r="AX81" i="14"/>
  <c r="AY81" i="14"/>
  <c r="AZ81" i="14"/>
  <c r="BA81" i="14"/>
  <c r="BB81" i="14"/>
  <c r="BC81" i="14"/>
  <c r="BD81" i="14"/>
  <c r="BE81" i="14"/>
  <c r="BF81" i="14"/>
  <c r="BG81" i="14"/>
  <c r="BH81" i="14"/>
  <c r="BI81" i="14"/>
  <c r="BJ81" i="14"/>
  <c r="BK81" i="14"/>
  <c r="BL81" i="14"/>
  <c r="BM81" i="14"/>
  <c r="BN81" i="14"/>
  <c r="BO81" i="14"/>
  <c r="BP81" i="14"/>
  <c r="BQ81" i="14"/>
  <c r="BR81" i="14"/>
  <c r="BS81" i="14"/>
  <c r="BT81" i="14"/>
  <c r="B82" i="14"/>
  <c r="C82" i="14"/>
  <c r="D82" i="14"/>
  <c r="E82" i="14"/>
  <c r="F82" i="14"/>
  <c r="G82" i="14"/>
  <c r="H82" i="14"/>
  <c r="I82" i="14"/>
  <c r="J82" i="14"/>
  <c r="K82" i="14"/>
  <c r="L82" i="14"/>
  <c r="M82" i="14"/>
  <c r="N82" i="14"/>
  <c r="O82" i="14"/>
  <c r="P82" i="14"/>
  <c r="Q82" i="14"/>
  <c r="R82" i="14"/>
  <c r="S82" i="14"/>
  <c r="T82" i="14"/>
  <c r="U82" i="14"/>
  <c r="V82" i="14"/>
  <c r="W82" i="14"/>
  <c r="X82" i="14"/>
  <c r="Y82" i="14"/>
  <c r="Z82" i="14"/>
  <c r="AA82" i="14"/>
  <c r="AB82" i="14"/>
  <c r="AC82" i="14"/>
  <c r="AD82" i="14"/>
  <c r="AE82" i="14"/>
  <c r="AF82" i="14"/>
  <c r="AG82" i="14"/>
  <c r="AH82" i="14"/>
  <c r="AI82" i="14"/>
  <c r="AJ82" i="14"/>
  <c r="AK82" i="14"/>
  <c r="AL82" i="14"/>
  <c r="AM82" i="14"/>
  <c r="AN82" i="14"/>
  <c r="AO82" i="14"/>
  <c r="AP82" i="14"/>
  <c r="AQ82" i="14"/>
  <c r="AR82" i="14"/>
  <c r="AS82" i="14"/>
  <c r="AT82" i="14"/>
  <c r="AU82" i="14"/>
  <c r="AV82" i="14"/>
  <c r="AW82" i="14"/>
  <c r="AX82" i="14"/>
  <c r="AY82" i="14"/>
  <c r="AZ82" i="14"/>
  <c r="BA82" i="14"/>
  <c r="BB82" i="14"/>
  <c r="BC82" i="14"/>
  <c r="BD82" i="14"/>
  <c r="BE82" i="14"/>
  <c r="BF82" i="14"/>
  <c r="BG82" i="14"/>
  <c r="BH82" i="14"/>
  <c r="BI82" i="14"/>
  <c r="BJ82" i="14"/>
  <c r="BK82" i="14"/>
  <c r="BL82" i="14"/>
  <c r="BM82" i="14"/>
  <c r="BN82" i="14"/>
  <c r="BO82" i="14"/>
  <c r="BP82" i="14"/>
  <c r="BQ82" i="14"/>
  <c r="BR82" i="14"/>
  <c r="BS82" i="14"/>
  <c r="BT82" i="14"/>
  <c r="B83" i="14"/>
  <c r="C83" i="14"/>
  <c r="D83" i="14"/>
  <c r="E83" i="14"/>
  <c r="F83" i="14"/>
  <c r="G83" i="14"/>
  <c r="H83" i="14"/>
  <c r="I83" i="14"/>
  <c r="J83" i="14"/>
  <c r="K83" i="14"/>
  <c r="L83" i="14"/>
  <c r="M83" i="14"/>
  <c r="N83" i="14"/>
  <c r="O83" i="14"/>
  <c r="P83" i="14"/>
  <c r="Q83" i="14"/>
  <c r="R83" i="14"/>
  <c r="S83" i="14"/>
  <c r="T83" i="14"/>
  <c r="U83" i="14"/>
  <c r="V83" i="14"/>
  <c r="W83" i="14"/>
  <c r="X83" i="14"/>
  <c r="Y83" i="14"/>
  <c r="Z83" i="14"/>
  <c r="AA83" i="14"/>
  <c r="AB83" i="14"/>
  <c r="AC83" i="14"/>
  <c r="AD83" i="14"/>
  <c r="AE83" i="14"/>
  <c r="AF83" i="14"/>
  <c r="AG83" i="14"/>
  <c r="AH83" i="14"/>
  <c r="AI83" i="14"/>
  <c r="AJ83" i="14"/>
  <c r="AK83" i="14"/>
  <c r="AL83" i="14"/>
  <c r="AM83" i="14"/>
  <c r="AN83" i="14"/>
  <c r="AO83" i="14"/>
  <c r="AP83" i="14"/>
  <c r="AQ83" i="14"/>
  <c r="AR83" i="14"/>
  <c r="AS83" i="14"/>
  <c r="AT83" i="14"/>
  <c r="AU83" i="14"/>
  <c r="AV83" i="14"/>
  <c r="AW83" i="14"/>
  <c r="AX83" i="14"/>
  <c r="AY83" i="14"/>
  <c r="AZ83" i="14"/>
  <c r="BA83" i="14"/>
  <c r="BB83" i="14"/>
  <c r="BC83" i="14"/>
  <c r="BD83" i="14"/>
  <c r="BE83" i="14"/>
  <c r="BF83" i="14"/>
  <c r="BG83" i="14"/>
  <c r="BH83" i="14"/>
  <c r="BI83" i="14"/>
  <c r="BJ83" i="14"/>
  <c r="BK83" i="14"/>
  <c r="BL83" i="14"/>
  <c r="BM83" i="14"/>
  <c r="BN83" i="14"/>
  <c r="BO83" i="14"/>
  <c r="BP83" i="14"/>
  <c r="BQ83" i="14"/>
  <c r="BR83" i="14"/>
  <c r="BS83" i="14"/>
  <c r="BT83" i="14"/>
  <c r="B84" i="14"/>
  <c r="C84" i="14"/>
  <c r="D84" i="14"/>
  <c r="E84" i="14"/>
  <c r="F84" i="14"/>
  <c r="G84" i="14"/>
  <c r="H84" i="14"/>
  <c r="I84" i="14"/>
  <c r="J84" i="14"/>
  <c r="K84" i="14"/>
  <c r="L84" i="14"/>
  <c r="M84" i="14"/>
  <c r="N84" i="14"/>
  <c r="O84" i="14"/>
  <c r="P84" i="14"/>
  <c r="Q84" i="14"/>
  <c r="R84" i="14"/>
  <c r="S84" i="14"/>
  <c r="T84" i="14"/>
  <c r="U84" i="14"/>
  <c r="V84" i="14"/>
  <c r="W84" i="14"/>
  <c r="X84" i="14"/>
  <c r="Y84" i="14"/>
  <c r="Z84" i="14"/>
  <c r="AA84" i="14"/>
  <c r="AB84" i="14"/>
  <c r="AC84" i="14"/>
  <c r="AD84" i="14"/>
  <c r="AE84" i="14"/>
  <c r="AF84" i="14"/>
  <c r="AG84" i="14"/>
  <c r="AH84" i="14"/>
  <c r="AI84" i="14"/>
  <c r="AJ84" i="14"/>
  <c r="AK84" i="14"/>
  <c r="AL84" i="14"/>
  <c r="AM84" i="14"/>
  <c r="AN84" i="14"/>
  <c r="AO84" i="14"/>
  <c r="AP84" i="14"/>
  <c r="AQ84" i="14"/>
  <c r="AR84" i="14"/>
  <c r="AS84" i="14"/>
  <c r="AT84" i="14"/>
  <c r="AU84" i="14"/>
  <c r="AV84" i="14"/>
  <c r="AW84" i="14"/>
  <c r="AX84" i="14"/>
  <c r="AY84" i="14"/>
  <c r="AZ84" i="14"/>
  <c r="BA84" i="14"/>
  <c r="BB84" i="14"/>
  <c r="BC84" i="14"/>
  <c r="BD84" i="14"/>
  <c r="BE84" i="14"/>
  <c r="BF84" i="14"/>
  <c r="BG84" i="14"/>
  <c r="BH84" i="14"/>
  <c r="BI84" i="14"/>
  <c r="BJ84" i="14"/>
  <c r="BK84" i="14"/>
  <c r="BL84" i="14"/>
  <c r="BM84" i="14"/>
  <c r="BN84" i="14"/>
  <c r="BO84" i="14"/>
  <c r="BP84" i="14"/>
  <c r="BQ84" i="14"/>
  <c r="BR84" i="14"/>
  <c r="BS84" i="14"/>
  <c r="BT84" i="14"/>
  <c r="B85" i="14"/>
  <c r="C85" i="14"/>
  <c r="D85" i="14"/>
  <c r="E85" i="14"/>
  <c r="F85" i="14"/>
  <c r="G85" i="14"/>
  <c r="H85" i="14"/>
  <c r="I85" i="14"/>
  <c r="J85" i="14"/>
  <c r="K85" i="14"/>
  <c r="L85" i="14"/>
  <c r="M85" i="14"/>
  <c r="N85" i="14"/>
  <c r="O85" i="14"/>
  <c r="P85" i="14"/>
  <c r="Q85" i="14"/>
  <c r="R85" i="14"/>
  <c r="S85" i="14"/>
  <c r="T85" i="14"/>
  <c r="U85" i="14"/>
  <c r="V85" i="14"/>
  <c r="W85" i="14"/>
  <c r="X85" i="14"/>
  <c r="Y85" i="14"/>
  <c r="Z85" i="14"/>
  <c r="AA85" i="14"/>
  <c r="AB85" i="14"/>
  <c r="AC85" i="14"/>
  <c r="AD85" i="14"/>
  <c r="AE85" i="14"/>
  <c r="AF85" i="14"/>
  <c r="AG85" i="14"/>
  <c r="AH85" i="14"/>
  <c r="AI85" i="14"/>
  <c r="AJ85" i="14"/>
  <c r="AK85" i="14"/>
  <c r="AL85" i="14"/>
  <c r="AM85" i="14"/>
  <c r="AN85" i="14"/>
  <c r="AO85" i="14"/>
  <c r="AP85" i="14"/>
  <c r="AQ85" i="14"/>
  <c r="AR85" i="14"/>
  <c r="AS85" i="14"/>
  <c r="AT85" i="14"/>
  <c r="AU85" i="14"/>
  <c r="AV85" i="14"/>
  <c r="AW85" i="14"/>
  <c r="AX85" i="14"/>
  <c r="AY85" i="14"/>
  <c r="AZ85" i="14"/>
  <c r="BA85" i="14"/>
  <c r="BB85" i="14"/>
  <c r="BC85" i="14"/>
  <c r="BD85" i="14"/>
  <c r="BE85" i="14"/>
  <c r="BF85" i="14"/>
  <c r="BG85" i="14"/>
  <c r="BH85" i="14"/>
  <c r="BI85" i="14"/>
  <c r="BJ85" i="14"/>
  <c r="BK85" i="14"/>
  <c r="BL85" i="14"/>
  <c r="BM85" i="14"/>
  <c r="BN85" i="14"/>
  <c r="BO85" i="14"/>
  <c r="BP85" i="14"/>
  <c r="BQ85" i="14"/>
  <c r="BR85" i="14"/>
  <c r="BS85" i="14"/>
  <c r="BT85" i="14"/>
  <c r="B86" i="14"/>
  <c r="C86" i="14"/>
  <c r="D86" i="14"/>
  <c r="E86" i="14"/>
  <c r="F86" i="14"/>
  <c r="G86" i="14"/>
  <c r="H86" i="14"/>
  <c r="I86" i="14"/>
  <c r="J86" i="14"/>
  <c r="K86" i="14"/>
  <c r="L86" i="14"/>
  <c r="M86" i="14"/>
  <c r="N86" i="14"/>
  <c r="O86" i="14"/>
  <c r="P86" i="14"/>
  <c r="Q86" i="14"/>
  <c r="R86" i="14"/>
  <c r="S86" i="14"/>
  <c r="T86" i="14"/>
  <c r="U86" i="14"/>
  <c r="V86" i="14"/>
  <c r="W86" i="14"/>
  <c r="X86" i="14"/>
  <c r="Y86" i="14"/>
  <c r="Z86" i="14"/>
  <c r="AA86" i="14"/>
  <c r="AB86" i="14"/>
  <c r="AC86" i="14"/>
  <c r="AD86" i="14"/>
  <c r="AE86" i="14"/>
  <c r="AF86" i="14"/>
  <c r="AG86" i="14"/>
  <c r="AH86" i="14"/>
  <c r="AI86" i="14"/>
  <c r="AJ86" i="14"/>
  <c r="AK86" i="14"/>
  <c r="AL86" i="14"/>
  <c r="AM86" i="14"/>
  <c r="AN86" i="14"/>
  <c r="AO86" i="14"/>
  <c r="AP86" i="14"/>
  <c r="AQ86" i="14"/>
  <c r="AR86" i="14"/>
  <c r="AS86" i="14"/>
  <c r="AT86" i="14"/>
  <c r="AU86" i="14"/>
  <c r="AV86" i="14"/>
  <c r="AW86" i="14"/>
  <c r="AX86" i="14"/>
  <c r="AY86" i="14"/>
  <c r="AZ86" i="14"/>
  <c r="BA86" i="14"/>
  <c r="BB86" i="14"/>
  <c r="BC86" i="14"/>
  <c r="BD86" i="14"/>
  <c r="BE86" i="14"/>
  <c r="BF86" i="14"/>
  <c r="BG86" i="14"/>
  <c r="BH86" i="14"/>
  <c r="BI86" i="14"/>
  <c r="BJ86" i="14"/>
  <c r="BK86" i="14"/>
  <c r="BL86" i="14"/>
  <c r="BM86" i="14"/>
  <c r="BN86" i="14"/>
  <c r="BO86" i="14"/>
  <c r="BP86" i="14"/>
  <c r="BQ86" i="14"/>
  <c r="BR86" i="14"/>
  <c r="BS86" i="14"/>
  <c r="BT86" i="14"/>
  <c r="B87" i="14"/>
  <c r="C87" i="14"/>
  <c r="D87" i="14"/>
  <c r="E87" i="14"/>
  <c r="F87" i="14"/>
  <c r="G87" i="14"/>
  <c r="H87" i="14"/>
  <c r="I87" i="14"/>
  <c r="J87" i="14"/>
  <c r="K87" i="14"/>
  <c r="L87" i="14"/>
  <c r="M87" i="14"/>
  <c r="N87" i="14"/>
  <c r="O87" i="14"/>
  <c r="P87" i="14"/>
  <c r="Q87" i="14"/>
  <c r="R87" i="14"/>
  <c r="S87" i="14"/>
  <c r="T87" i="14"/>
  <c r="U87" i="14"/>
  <c r="V87" i="14"/>
  <c r="W87" i="14"/>
  <c r="X87" i="14"/>
  <c r="Y87" i="14"/>
  <c r="Z87" i="14"/>
  <c r="AA87" i="14"/>
  <c r="AB87" i="14"/>
  <c r="AC87" i="14"/>
  <c r="AD87" i="14"/>
  <c r="AE87" i="14"/>
  <c r="AF87" i="14"/>
  <c r="AG87" i="14"/>
  <c r="AH87" i="14"/>
  <c r="AI87" i="14"/>
  <c r="AJ87" i="14"/>
  <c r="AK87" i="14"/>
  <c r="AL87" i="14"/>
  <c r="AM87" i="14"/>
  <c r="AN87" i="14"/>
  <c r="AO87" i="14"/>
  <c r="AP87" i="14"/>
  <c r="AQ87" i="14"/>
  <c r="AR87" i="14"/>
  <c r="AS87" i="14"/>
  <c r="AT87" i="14"/>
  <c r="AU87" i="14"/>
  <c r="AV87" i="14"/>
  <c r="AW87" i="14"/>
  <c r="AX87" i="14"/>
  <c r="AY87" i="14"/>
  <c r="AZ87" i="14"/>
  <c r="BA87" i="14"/>
  <c r="BB87" i="14"/>
  <c r="BC87" i="14"/>
  <c r="BD87" i="14"/>
  <c r="BE87" i="14"/>
  <c r="BF87" i="14"/>
  <c r="BG87" i="14"/>
  <c r="BH87" i="14"/>
  <c r="BI87" i="14"/>
  <c r="BJ87" i="14"/>
  <c r="BK87" i="14"/>
  <c r="BL87" i="14"/>
  <c r="BM87" i="14"/>
  <c r="BN87" i="14"/>
  <c r="BO87" i="14"/>
  <c r="BP87" i="14"/>
  <c r="BQ87" i="14"/>
  <c r="BR87" i="14"/>
  <c r="BS87" i="14"/>
  <c r="BT87" i="14"/>
  <c r="B88" i="14"/>
  <c r="C88" i="14"/>
  <c r="D88" i="14"/>
  <c r="E88" i="14"/>
  <c r="F88" i="14"/>
  <c r="G88" i="14"/>
  <c r="H88" i="14"/>
  <c r="I88" i="14"/>
  <c r="J88" i="14"/>
  <c r="K88" i="14"/>
  <c r="L88" i="14"/>
  <c r="M88" i="14"/>
  <c r="N88" i="14"/>
  <c r="O88" i="14"/>
  <c r="P88" i="14"/>
  <c r="Q88" i="14"/>
  <c r="R88" i="14"/>
  <c r="S88" i="14"/>
  <c r="T88" i="14"/>
  <c r="U88" i="14"/>
  <c r="V88" i="14"/>
  <c r="W88" i="14"/>
  <c r="X88" i="14"/>
  <c r="Y88" i="14"/>
  <c r="Z88" i="14"/>
  <c r="AA88" i="14"/>
  <c r="AB88" i="14"/>
  <c r="AC88" i="14"/>
  <c r="AD88" i="14"/>
  <c r="AE88" i="14"/>
  <c r="AF88" i="14"/>
  <c r="AG88" i="14"/>
  <c r="AH88" i="14"/>
  <c r="AI88" i="14"/>
  <c r="AJ88" i="14"/>
  <c r="AK88" i="14"/>
  <c r="AL88" i="14"/>
  <c r="AM88" i="14"/>
  <c r="AN88" i="14"/>
  <c r="AO88" i="14"/>
  <c r="AP88" i="14"/>
  <c r="AQ88" i="14"/>
  <c r="AR88" i="14"/>
  <c r="AS88" i="14"/>
  <c r="AT88" i="14"/>
  <c r="AU88" i="14"/>
  <c r="AV88" i="14"/>
  <c r="AW88" i="14"/>
  <c r="AX88" i="14"/>
  <c r="AY88" i="14"/>
  <c r="AZ88" i="14"/>
  <c r="BA88" i="14"/>
  <c r="BB88" i="14"/>
  <c r="BC88" i="14"/>
  <c r="BD88" i="14"/>
  <c r="BE88" i="14"/>
  <c r="BF88" i="14"/>
  <c r="BG88" i="14"/>
  <c r="BH88" i="14"/>
  <c r="BI88" i="14"/>
  <c r="BJ88" i="14"/>
  <c r="BK88" i="14"/>
  <c r="BL88" i="14"/>
  <c r="BM88" i="14"/>
  <c r="BN88" i="14"/>
  <c r="BO88" i="14"/>
  <c r="BP88" i="14"/>
  <c r="BQ88" i="14"/>
  <c r="BR88" i="14"/>
  <c r="BS88" i="14"/>
  <c r="BT88" i="14"/>
  <c r="B89" i="14"/>
  <c r="C89" i="14"/>
  <c r="D89" i="14"/>
  <c r="E89" i="14"/>
  <c r="F89" i="14"/>
  <c r="G89" i="14"/>
  <c r="H89" i="14"/>
  <c r="I89" i="14"/>
  <c r="J89" i="14"/>
  <c r="K89" i="14"/>
  <c r="L89" i="14"/>
  <c r="M89" i="14"/>
  <c r="N89" i="14"/>
  <c r="O89" i="14"/>
  <c r="P89" i="14"/>
  <c r="Q89" i="14"/>
  <c r="R89" i="14"/>
  <c r="S89" i="14"/>
  <c r="T89" i="14"/>
  <c r="U89" i="14"/>
  <c r="V89" i="14"/>
  <c r="W89" i="14"/>
  <c r="X89" i="14"/>
  <c r="Y89" i="14"/>
  <c r="Z89" i="14"/>
  <c r="AA89" i="14"/>
  <c r="AB89" i="14"/>
  <c r="AC89" i="14"/>
  <c r="AD89" i="14"/>
  <c r="AE89" i="14"/>
  <c r="AF89" i="14"/>
  <c r="AG89" i="14"/>
  <c r="AH89" i="14"/>
  <c r="AI89" i="14"/>
  <c r="AJ89" i="14"/>
  <c r="AK89" i="14"/>
  <c r="AL89" i="14"/>
  <c r="AM89" i="14"/>
  <c r="AN89" i="14"/>
  <c r="AO89" i="14"/>
  <c r="AP89" i="14"/>
  <c r="AQ89" i="14"/>
  <c r="AR89" i="14"/>
  <c r="AS89" i="14"/>
  <c r="AT89" i="14"/>
  <c r="AU89" i="14"/>
  <c r="AV89" i="14"/>
  <c r="AW89" i="14"/>
  <c r="AX89" i="14"/>
  <c r="AY89" i="14"/>
  <c r="AZ89" i="14"/>
  <c r="BA89" i="14"/>
  <c r="BB89" i="14"/>
  <c r="BC89" i="14"/>
  <c r="BD89" i="14"/>
  <c r="BE89" i="14"/>
  <c r="BF89" i="14"/>
  <c r="BG89" i="14"/>
  <c r="BH89" i="14"/>
  <c r="BI89" i="14"/>
  <c r="BJ89" i="14"/>
  <c r="BK89" i="14"/>
  <c r="BL89" i="14"/>
  <c r="BM89" i="14"/>
  <c r="BN89" i="14"/>
  <c r="BO89" i="14"/>
  <c r="BP89" i="14"/>
  <c r="BQ89" i="14"/>
  <c r="BR89" i="14"/>
  <c r="BS89" i="14"/>
  <c r="BT89" i="14"/>
  <c r="B90" i="14"/>
  <c r="C90" i="14"/>
  <c r="D90" i="14"/>
  <c r="E90" i="14"/>
  <c r="F90" i="14"/>
  <c r="G90" i="14"/>
  <c r="H90" i="14"/>
  <c r="I90" i="14"/>
  <c r="J90" i="14"/>
  <c r="K90" i="14"/>
  <c r="L90" i="14"/>
  <c r="M90" i="14"/>
  <c r="N90" i="14"/>
  <c r="O90" i="14"/>
  <c r="P90" i="14"/>
  <c r="Q90" i="14"/>
  <c r="R90" i="14"/>
  <c r="S90" i="14"/>
  <c r="T90" i="14"/>
  <c r="U90" i="14"/>
  <c r="V90" i="14"/>
  <c r="W90" i="14"/>
  <c r="X90" i="14"/>
  <c r="Y90" i="14"/>
  <c r="Z90" i="14"/>
  <c r="AA90" i="14"/>
  <c r="AB90" i="14"/>
  <c r="AC90" i="14"/>
  <c r="AD90" i="14"/>
  <c r="AE90" i="14"/>
  <c r="AF90" i="14"/>
  <c r="AG90" i="14"/>
  <c r="AH90" i="14"/>
  <c r="AI90" i="14"/>
  <c r="AJ90" i="14"/>
  <c r="AK90" i="14"/>
  <c r="AL90" i="14"/>
  <c r="AM90" i="14"/>
  <c r="AN90" i="14"/>
  <c r="AO90" i="14"/>
  <c r="AP90" i="14"/>
  <c r="AQ90" i="14"/>
  <c r="AR90" i="14"/>
  <c r="AS90" i="14"/>
  <c r="AT90" i="14"/>
  <c r="AU90" i="14"/>
  <c r="AV90" i="14"/>
  <c r="AW90" i="14"/>
  <c r="AX90" i="14"/>
  <c r="AY90" i="14"/>
  <c r="AZ90" i="14"/>
  <c r="BA90" i="14"/>
  <c r="BB90" i="14"/>
  <c r="BC90" i="14"/>
  <c r="BD90" i="14"/>
  <c r="BE90" i="14"/>
  <c r="BF90" i="14"/>
  <c r="BG90" i="14"/>
  <c r="BH90" i="14"/>
  <c r="BI90" i="14"/>
  <c r="BJ90" i="14"/>
  <c r="BK90" i="14"/>
  <c r="BL90" i="14"/>
  <c r="BM90" i="14"/>
  <c r="BN90" i="14"/>
  <c r="BO90" i="14"/>
  <c r="BP90" i="14"/>
  <c r="BQ90" i="14"/>
  <c r="BR90" i="14"/>
  <c r="BS90" i="14"/>
  <c r="BT90" i="14"/>
  <c r="B91" i="14"/>
  <c r="C91" i="14"/>
  <c r="D91" i="14"/>
  <c r="E91" i="14"/>
  <c r="F91" i="14"/>
  <c r="G91" i="14"/>
  <c r="H91" i="14"/>
  <c r="I91" i="14"/>
  <c r="J91" i="14"/>
  <c r="K91" i="14"/>
  <c r="L91" i="14"/>
  <c r="M91" i="14"/>
  <c r="N91" i="14"/>
  <c r="O91" i="14"/>
  <c r="P91" i="14"/>
  <c r="Q91" i="14"/>
  <c r="R91" i="14"/>
  <c r="S91" i="14"/>
  <c r="T91" i="14"/>
  <c r="U91" i="14"/>
  <c r="V91" i="14"/>
  <c r="W91" i="14"/>
  <c r="X91" i="14"/>
  <c r="Y91" i="14"/>
  <c r="Z91" i="14"/>
  <c r="AA91" i="14"/>
  <c r="AB91" i="14"/>
  <c r="AC91" i="14"/>
  <c r="AD91" i="14"/>
  <c r="AE91" i="14"/>
  <c r="AF91" i="14"/>
  <c r="AG91" i="14"/>
  <c r="AH91" i="14"/>
  <c r="AI91" i="14"/>
  <c r="AJ91" i="14"/>
  <c r="AK91" i="14"/>
  <c r="AL91" i="14"/>
  <c r="AM91" i="14"/>
  <c r="AN91" i="14"/>
  <c r="AO91" i="14"/>
  <c r="AP91" i="14"/>
  <c r="AQ91" i="14"/>
  <c r="AR91" i="14"/>
  <c r="AS91" i="14"/>
  <c r="AT91" i="14"/>
  <c r="AU91" i="14"/>
  <c r="AV91" i="14"/>
  <c r="AW91" i="14"/>
  <c r="AX91" i="14"/>
  <c r="AY91" i="14"/>
  <c r="AZ91" i="14"/>
  <c r="BA91" i="14"/>
  <c r="BB91" i="14"/>
  <c r="BC91" i="14"/>
  <c r="BD91" i="14"/>
  <c r="BE91" i="14"/>
  <c r="BF91" i="14"/>
  <c r="BG91" i="14"/>
  <c r="BH91" i="14"/>
  <c r="BI91" i="14"/>
  <c r="BJ91" i="14"/>
  <c r="BK91" i="14"/>
  <c r="BL91" i="14"/>
  <c r="BM91" i="14"/>
  <c r="BN91" i="14"/>
  <c r="BO91" i="14"/>
  <c r="BP91" i="14"/>
  <c r="BQ91" i="14"/>
  <c r="BR91" i="14"/>
  <c r="BS91" i="14"/>
  <c r="BT91" i="14"/>
  <c r="B92" i="14"/>
  <c r="C92" i="14"/>
  <c r="D92" i="14"/>
  <c r="E92" i="14"/>
  <c r="F92" i="14"/>
  <c r="G92" i="14"/>
  <c r="H92" i="14"/>
  <c r="I92" i="14"/>
  <c r="J92" i="14"/>
  <c r="K92" i="14"/>
  <c r="L92" i="14"/>
  <c r="M92" i="14"/>
  <c r="N92" i="14"/>
  <c r="O92" i="14"/>
  <c r="P92" i="14"/>
  <c r="Q92" i="14"/>
  <c r="R92" i="14"/>
  <c r="S92" i="14"/>
  <c r="T92" i="14"/>
  <c r="U92" i="14"/>
  <c r="V92" i="14"/>
  <c r="W92" i="14"/>
  <c r="X92" i="14"/>
  <c r="Y92" i="14"/>
  <c r="Z92" i="14"/>
  <c r="AA92" i="14"/>
  <c r="AB92" i="14"/>
  <c r="AC92" i="14"/>
  <c r="AD92" i="14"/>
  <c r="AE92" i="14"/>
  <c r="AF92" i="14"/>
  <c r="AG92" i="14"/>
  <c r="AH92" i="14"/>
  <c r="AI92" i="14"/>
  <c r="AJ92" i="14"/>
  <c r="AK92" i="14"/>
  <c r="AL92" i="14"/>
  <c r="AM92" i="14"/>
  <c r="AN92" i="14"/>
  <c r="AO92" i="14"/>
  <c r="AP92" i="14"/>
  <c r="AQ92" i="14"/>
  <c r="AR92" i="14"/>
  <c r="AS92" i="14"/>
  <c r="AT92" i="14"/>
  <c r="AU92" i="14"/>
  <c r="AV92" i="14"/>
  <c r="AW92" i="14"/>
  <c r="AX92" i="14"/>
  <c r="AY92" i="14"/>
  <c r="AZ92" i="14"/>
  <c r="BA92" i="14"/>
  <c r="BB92" i="14"/>
  <c r="BC92" i="14"/>
  <c r="BD92" i="14"/>
  <c r="BE92" i="14"/>
  <c r="BF92" i="14"/>
  <c r="BG92" i="14"/>
  <c r="BH92" i="14"/>
  <c r="BI92" i="14"/>
  <c r="BJ92" i="14"/>
  <c r="BK92" i="14"/>
  <c r="BL92" i="14"/>
  <c r="BM92" i="14"/>
  <c r="BN92" i="14"/>
  <c r="BO92" i="14"/>
  <c r="BP92" i="14"/>
  <c r="BQ92" i="14"/>
  <c r="BR92" i="14"/>
  <c r="BS92" i="14"/>
  <c r="BT92" i="14"/>
  <c r="B93" i="14"/>
  <c r="C93" i="14"/>
  <c r="D93" i="14"/>
  <c r="E93" i="14"/>
  <c r="F93" i="14"/>
  <c r="G93" i="14"/>
  <c r="H93" i="14"/>
  <c r="I93" i="14"/>
  <c r="J93" i="14"/>
  <c r="K93" i="14"/>
  <c r="L93" i="14"/>
  <c r="M93" i="14"/>
  <c r="N93" i="14"/>
  <c r="O93" i="14"/>
  <c r="P93" i="14"/>
  <c r="Q93" i="14"/>
  <c r="R93" i="14"/>
  <c r="S93" i="14"/>
  <c r="T93" i="14"/>
  <c r="U93" i="14"/>
  <c r="V93" i="14"/>
  <c r="W93" i="14"/>
  <c r="X93" i="14"/>
  <c r="Y93" i="14"/>
  <c r="Z93" i="14"/>
  <c r="AA93" i="14"/>
  <c r="AB93" i="14"/>
  <c r="AC93" i="14"/>
  <c r="AD93" i="14"/>
  <c r="AE93" i="14"/>
  <c r="AF93" i="14"/>
  <c r="AG93" i="14"/>
  <c r="AH93" i="14"/>
  <c r="AI93" i="14"/>
  <c r="AJ93" i="14"/>
  <c r="AK93" i="14"/>
  <c r="AL93" i="14"/>
  <c r="AM93" i="14"/>
  <c r="AN93" i="14"/>
  <c r="AO93" i="14"/>
  <c r="AP93" i="14"/>
  <c r="AQ93" i="14"/>
  <c r="AR93" i="14"/>
  <c r="AS93" i="14"/>
  <c r="AT93" i="14"/>
  <c r="AU93" i="14"/>
  <c r="AV93" i="14"/>
  <c r="AW93" i="14"/>
  <c r="AX93" i="14"/>
  <c r="AY93" i="14"/>
  <c r="AZ93" i="14"/>
  <c r="BA93" i="14"/>
  <c r="BB93" i="14"/>
  <c r="BC93" i="14"/>
  <c r="BD93" i="14"/>
  <c r="BE93" i="14"/>
  <c r="BF93" i="14"/>
  <c r="BG93" i="14"/>
  <c r="BH93" i="14"/>
  <c r="BI93" i="14"/>
  <c r="BJ93" i="14"/>
  <c r="BK93" i="14"/>
  <c r="BL93" i="14"/>
  <c r="BM93" i="14"/>
  <c r="BN93" i="14"/>
  <c r="BO93" i="14"/>
  <c r="BP93" i="14"/>
  <c r="BQ93" i="14"/>
  <c r="BR93" i="14"/>
  <c r="BS93" i="14"/>
  <c r="BT93" i="14"/>
  <c r="B94" i="14"/>
  <c r="C94" i="14"/>
  <c r="D94" i="14"/>
  <c r="E94" i="14"/>
  <c r="F94" i="14"/>
  <c r="G94" i="14"/>
  <c r="H94" i="14"/>
  <c r="I94" i="14"/>
  <c r="J94" i="14"/>
  <c r="K94" i="14"/>
  <c r="L94" i="14"/>
  <c r="M94" i="14"/>
  <c r="N94" i="14"/>
  <c r="O94" i="14"/>
  <c r="P94" i="14"/>
  <c r="Q94" i="14"/>
  <c r="R94" i="14"/>
  <c r="S94" i="14"/>
  <c r="T94" i="14"/>
  <c r="U94" i="14"/>
  <c r="V94" i="14"/>
  <c r="W94" i="14"/>
  <c r="X94" i="14"/>
  <c r="Y94" i="14"/>
  <c r="Z94" i="14"/>
  <c r="AA94" i="14"/>
  <c r="AB94" i="14"/>
  <c r="AC94" i="14"/>
  <c r="AD94" i="14"/>
  <c r="AE94" i="14"/>
  <c r="AF94" i="14"/>
  <c r="AG94" i="14"/>
  <c r="AH94" i="14"/>
  <c r="AI94" i="14"/>
  <c r="AJ94" i="14"/>
  <c r="AK94" i="14"/>
  <c r="AL94" i="14"/>
  <c r="AM94" i="14"/>
  <c r="AN94" i="14"/>
  <c r="AO94" i="14"/>
  <c r="AP94" i="14"/>
  <c r="AQ94" i="14"/>
  <c r="AR94" i="14"/>
  <c r="AS94" i="14"/>
  <c r="AT94" i="14"/>
  <c r="AU94" i="14"/>
  <c r="AV94" i="14"/>
  <c r="AW94" i="14"/>
  <c r="AX94" i="14"/>
  <c r="AY94" i="14"/>
  <c r="AZ94" i="14"/>
  <c r="BA94" i="14"/>
  <c r="BB94" i="14"/>
  <c r="BC94" i="14"/>
  <c r="BD94" i="14"/>
  <c r="BE94" i="14"/>
  <c r="BF94" i="14"/>
  <c r="BG94" i="14"/>
  <c r="BH94" i="14"/>
  <c r="BI94" i="14"/>
  <c r="BJ94" i="14"/>
  <c r="BK94" i="14"/>
  <c r="BL94" i="14"/>
  <c r="BM94" i="14"/>
  <c r="BN94" i="14"/>
  <c r="BO94" i="14"/>
  <c r="BP94" i="14"/>
  <c r="BQ94" i="14"/>
  <c r="BR94" i="14"/>
  <c r="BS94" i="14"/>
  <c r="BT94" i="14"/>
  <c r="B95" i="14"/>
  <c r="C95" i="14"/>
  <c r="D95" i="14"/>
  <c r="E95" i="14"/>
  <c r="F95" i="14"/>
  <c r="G95" i="14"/>
  <c r="H95" i="14"/>
  <c r="I95" i="14"/>
  <c r="J95" i="14"/>
  <c r="K95" i="14"/>
  <c r="L95" i="14"/>
  <c r="M95" i="14"/>
  <c r="N95" i="14"/>
  <c r="O95" i="14"/>
  <c r="P95" i="14"/>
  <c r="Q95" i="14"/>
  <c r="R95" i="14"/>
  <c r="S95" i="14"/>
  <c r="T95" i="14"/>
  <c r="U95" i="14"/>
  <c r="V95" i="14"/>
  <c r="W95" i="14"/>
  <c r="X95" i="14"/>
  <c r="Y95" i="14"/>
  <c r="Z95" i="14"/>
  <c r="AA95" i="14"/>
  <c r="AB95" i="14"/>
  <c r="AC95" i="14"/>
  <c r="AD95" i="14"/>
  <c r="AE95" i="14"/>
  <c r="AF95" i="14"/>
  <c r="AG95" i="14"/>
  <c r="AH95" i="14"/>
  <c r="AI95" i="14"/>
  <c r="AJ95" i="14"/>
  <c r="AK95" i="14"/>
  <c r="AL95" i="14"/>
  <c r="AM95" i="14"/>
  <c r="AN95" i="14"/>
  <c r="AO95" i="14"/>
  <c r="AP95" i="14"/>
  <c r="AQ95" i="14"/>
  <c r="AR95" i="14"/>
  <c r="AS95" i="14"/>
  <c r="AT95" i="14"/>
  <c r="AU95" i="14"/>
  <c r="AV95" i="14"/>
  <c r="AW95" i="14"/>
  <c r="AX95" i="14"/>
  <c r="AY95" i="14"/>
  <c r="AZ95" i="14"/>
  <c r="BA95" i="14"/>
  <c r="BB95" i="14"/>
  <c r="BC95" i="14"/>
  <c r="BD95" i="14"/>
  <c r="BE95" i="14"/>
  <c r="BF95" i="14"/>
  <c r="BG95" i="14"/>
  <c r="BH95" i="14"/>
  <c r="BI95" i="14"/>
  <c r="BJ95" i="14"/>
  <c r="BK95" i="14"/>
  <c r="BL95" i="14"/>
  <c r="BM95" i="14"/>
  <c r="BN95" i="14"/>
  <c r="BO95" i="14"/>
  <c r="BP95" i="14"/>
  <c r="BQ95" i="14"/>
  <c r="BR95" i="14"/>
  <c r="BS95" i="14"/>
  <c r="BT95" i="14"/>
  <c r="B96" i="14"/>
  <c r="C96" i="14"/>
  <c r="D96" i="14"/>
  <c r="E96" i="14"/>
  <c r="F96" i="14"/>
  <c r="G96" i="14"/>
  <c r="H96" i="14"/>
  <c r="I96" i="14"/>
  <c r="J96" i="14"/>
  <c r="K96" i="14"/>
  <c r="L96" i="14"/>
  <c r="M96" i="14"/>
  <c r="N96" i="14"/>
  <c r="O96" i="14"/>
  <c r="P96" i="14"/>
  <c r="Q96" i="14"/>
  <c r="R96" i="14"/>
  <c r="S96" i="14"/>
  <c r="T96" i="14"/>
  <c r="U96" i="14"/>
  <c r="V96" i="14"/>
  <c r="W96" i="14"/>
  <c r="X96" i="14"/>
  <c r="Y96" i="14"/>
  <c r="Z96" i="14"/>
  <c r="AA96" i="14"/>
  <c r="AB96" i="14"/>
  <c r="AC96" i="14"/>
  <c r="AD96" i="14"/>
  <c r="AE96" i="14"/>
  <c r="AF96" i="14"/>
  <c r="AG96" i="14"/>
  <c r="AH96" i="14"/>
  <c r="AI96" i="14"/>
  <c r="AJ96" i="14"/>
  <c r="AK96" i="14"/>
  <c r="AL96" i="14"/>
  <c r="AM96" i="14"/>
  <c r="AN96" i="14"/>
  <c r="AO96" i="14"/>
  <c r="AP96" i="14"/>
  <c r="AQ96" i="14"/>
  <c r="AR96" i="14"/>
  <c r="AS96" i="14"/>
  <c r="AT96" i="14"/>
  <c r="AU96" i="14"/>
  <c r="AV96" i="14"/>
  <c r="AW96" i="14"/>
  <c r="AX96" i="14"/>
  <c r="AY96" i="14"/>
  <c r="AZ96" i="14"/>
  <c r="BA96" i="14"/>
  <c r="BB96" i="14"/>
  <c r="BC96" i="14"/>
  <c r="BD96" i="14"/>
  <c r="BE96" i="14"/>
  <c r="BF96" i="14"/>
  <c r="BG96" i="14"/>
  <c r="BH96" i="14"/>
  <c r="BI96" i="14"/>
  <c r="BJ96" i="14"/>
  <c r="BK96" i="14"/>
  <c r="BL96" i="14"/>
  <c r="BM96" i="14"/>
  <c r="BN96" i="14"/>
  <c r="BO96" i="14"/>
  <c r="BP96" i="14"/>
  <c r="BQ96" i="14"/>
  <c r="BR96" i="14"/>
  <c r="BS96" i="14"/>
  <c r="BT96" i="14"/>
  <c r="C66" i="14"/>
  <c r="D66" i="14"/>
  <c r="E66" i="14"/>
  <c r="F66" i="14"/>
  <c r="G66" i="14"/>
  <c r="H66" i="14"/>
  <c r="I66" i="14"/>
  <c r="J66" i="14"/>
  <c r="K66" i="14"/>
  <c r="L66" i="14"/>
  <c r="M66" i="14"/>
  <c r="N66" i="14"/>
  <c r="O66" i="14"/>
  <c r="P66" i="14"/>
  <c r="Q66" i="14"/>
  <c r="R66" i="14"/>
  <c r="S66" i="14"/>
  <c r="T66" i="14"/>
  <c r="U66" i="14"/>
  <c r="V66" i="14"/>
  <c r="W66" i="14"/>
  <c r="X66" i="14"/>
  <c r="Y66" i="14"/>
  <c r="Z66" i="14"/>
  <c r="AA66" i="14"/>
  <c r="AB66" i="14"/>
  <c r="AC66" i="14"/>
  <c r="AD66" i="14"/>
  <c r="AE66" i="14"/>
  <c r="AF66" i="14"/>
  <c r="AG66" i="14"/>
  <c r="AH66" i="14"/>
  <c r="AI66" i="14"/>
  <c r="AJ66" i="14"/>
  <c r="AK66" i="14"/>
  <c r="AL66" i="14"/>
  <c r="AM66" i="14"/>
  <c r="AN66" i="14"/>
  <c r="AO66" i="14"/>
  <c r="AP66" i="14"/>
  <c r="AQ66" i="14"/>
  <c r="AR66" i="14"/>
  <c r="AS66" i="14"/>
  <c r="AT66" i="14"/>
  <c r="AU66" i="14"/>
  <c r="AV66" i="14"/>
  <c r="AW66" i="14"/>
  <c r="AX66" i="14"/>
  <c r="AY66" i="14"/>
  <c r="AZ66" i="14"/>
  <c r="BA66" i="14"/>
  <c r="BB66" i="14"/>
  <c r="BC66" i="14"/>
  <c r="BD66" i="14"/>
  <c r="BE66" i="14"/>
  <c r="BF66" i="14"/>
  <c r="BG66" i="14"/>
  <c r="BH66" i="14"/>
  <c r="BI66" i="14"/>
  <c r="BJ66" i="14"/>
  <c r="BK66" i="14"/>
  <c r="BL66" i="14"/>
  <c r="BM66" i="14"/>
  <c r="BN66" i="14"/>
  <c r="BO66" i="14"/>
  <c r="BP66" i="14"/>
  <c r="BQ66" i="14"/>
  <c r="BR66" i="14"/>
  <c r="BS66" i="14"/>
  <c r="BT66" i="14"/>
  <c r="B66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O35" i="14"/>
  <c r="P35" i="14"/>
  <c r="Q35" i="14"/>
  <c r="R35" i="14"/>
  <c r="S35" i="14"/>
  <c r="T35" i="14"/>
  <c r="U35" i="14"/>
  <c r="V35" i="14"/>
  <c r="W35" i="14"/>
  <c r="X35" i="14"/>
  <c r="Y35" i="14"/>
  <c r="Z35" i="14"/>
  <c r="AA35" i="14"/>
  <c r="AB35" i="14"/>
  <c r="AC35" i="14"/>
  <c r="AD35" i="14"/>
  <c r="AE35" i="14"/>
  <c r="AF35" i="14"/>
  <c r="AG35" i="14"/>
  <c r="AH35" i="14"/>
  <c r="AI35" i="14"/>
  <c r="AJ35" i="14"/>
  <c r="AK35" i="14"/>
  <c r="AL35" i="14"/>
  <c r="AM35" i="14"/>
  <c r="AN35" i="14"/>
  <c r="AO35" i="14"/>
  <c r="AP35" i="14"/>
  <c r="AQ35" i="14"/>
  <c r="AR35" i="14"/>
  <c r="AS35" i="14"/>
  <c r="AT35" i="14"/>
  <c r="AU35" i="14"/>
  <c r="AV35" i="14"/>
  <c r="AW35" i="14"/>
  <c r="AX35" i="14"/>
  <c r="AY35" i="14"/>
  <c r="AZ35" i="14"/>
  <c r="BA35" i="14"/>
  <c r="BB35" i="14"/>
  <c r="BC35" i="14"/>
  <c r="BD35" i="14"/>
  <c r="BE35" i="14"/>
  <c r="BF35" i="14"/>
  <c r="BG35" i="14"/>
  <c r="BH35" i="14"/>
  <c r="BI35" i="14"/>
  <c r="BJ35" i="14"/>
  <c r="BK35" i="14"/>
  <c r="BL35" i="14"/>
  <c r="BM35" i="14"/>
  <c r="BN35" i="14"/>
  <c r="BO35" i="14"/>
  <c r="BP35" i="14"/>
  <c r="BQ35" i="14"/>
  <c r="BR35" i="14"/>
  <c r="BS35" i="14"/>
  <c r="BT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S36" i="14"/>
  <c r="T36" i="14"/>
  <c r="U36" i="14"/>
  <c r="V36" i="14"/>
  <c r="W36" i="14"/>
  <c r="X36" i="14"/>
  <c r="Y36" i="14"/>
  <c r="Z36" i="14"/>
  <c r="AA36" i="14"/>
  <c r="AB36" i="14"/>
  <c r="AC36" i="14"/>
  <c r="AD36" i="14"/>
  <c r="AE36" i="14"/>
  <c r="AF36" i="14"/>
  <c r="AG36" i="14"/>
  <c r="AH36" i="14"/>
  <c r="AI36" i="14"/>
  <c r="AJ36" i="14"/>
  <c r="AK36" i="14"/>
  <c r="AL36" i="14"/>
  <c r="AM36" i="14"/>
  <c r="AN36" i="14"/>
  <c r="AO36" i="14"/>
  <c r="AP36" i="14"/>
  <c r="AQ36" i="14"/>
  <c r="AR36" i="14"/>
  <c r="AS36" i="14"/>
  <c r="AT36" i="14"/>
  <c r="AU36" i="14"/>
  <c r="AV36" i="14"/>
  <c r="AW36" i="14"/>
  <c r="AX36" i="14"/>
  <c r="AY36" i="14"/>
  <c r="AZ36" i="14"/>
  <c r="BA36" i="14"/>
  <c r="BB36" i="14"/>
  <c r="BC36" i="14"/>
  <c r="BD36" i="14"/>
  <c r="BE36" i="14"/>
  <c r="BF36" i="14"/>
  <c r="BG36" i="14"/>
  <c r="BH36" i="14"/>
  <c r="BI36" i="14"/>
  <c r="BJ36" i="14"/>
  <c r="BK36" i="14"/>
  <c r="BL36" i="14"/>
  <c r="BM36" i="14"/>
  <c r="BN36" i="14"/>
  <c r="BO36" i="14"/>
  <c r="BP36" i="14"/>
  <c r="BQ36" i="14"/>
  <c r="BR36" i="14"/>
  <c r="BS36" i="14"/>
  <c r="BT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S37" i="14"/>
  <c r="T37" i="14"/>
  <c r="U37" i="14"/>
  <c r="V37" i="14"/>
  <c r="W37" i="14"/>
  <c r="X37" i="14"/>
  <c r="Y37" i="14"/>
  <c r="Z37" i="14"/>
  <c r="AA37" i="14"/>
  <c r="AB37" i="14"/>
  <c r="AC37" i="14"/>
  <c r="AD37" i="14"/>
  <c r="AE37" i="14"/>
  <c r="AF37" i="14"/>
  <c r="AG37" i="14"/>
  <c r="AH37" i="14"/>
  <c r="AI37" i="14"/>
  <c r="AJ37" i="14"/>
  <c r="AK37" i="14"/>
  <c r="AL37" i="14"/>
  <c r="AM37" i="14"/>
  <c r="AN37" i="14"/>
  <c r="AO37" i="14"/>
  <c r="AP37" i="14"/>
  <c r="AQ37" i="14"/>
  <c r="AR37" i="14"/>
  <c r="AS37" i="14"/>
  <c r="AT37" i="14"/>
  <c r="AU37" i="14"/>
  <c r="AV37" i="14"/>
  <c r="AW37" i="14"/>
  <c r="AX37" i="14"/>
  <c r="AY37" i="14"/>
  <c r="AZ37" i="14"/>
  <c r="BA37" i="14"/>
  <c r="BB37" i="14"/>
  <c r="BC37" i="14"/>
  <c r="BD37" i="14"/>
  <c r="BE37" i="14"/>
  <c r="BF37" i="14"/>
  <c r="BG37" i="14"/>
  <c r="BH37" i="14"/>
  <c r="BI37" i="14"/>
  <c r="BJ37" i="14"/>
  <c r="BK37" i="14"/>
  <c r="BL37" i="14"/>
  <c r="BM37" i="14"/>
  <c r="BN37" i="14"/>
  <c r="BO37" i="14"/>
  <c r="BP37" i="14"/>
  <c r="BQ37" i="14"/>
  <c r="BR37" i="14"/>
  <c r="BS37" i="14"/>
  <c r="BT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S38" i="14"/>
  <c r="T38" i="14"/>
  <c r="U38" i="14"/>
  <c r="V38" i="14"/>
  <c r="W38" i="14"/>
  <c r="X38" i="14"/>
  <c r="Y38" i="14"/>
  <c r="Z38" i="14"/>
  <c r="AA38" i="14"/>
  <c r="AB38" i="14"/>
  <c r="AC38" i="14"/>
  <c r="AD38" i="14"/>
  <c r="AE38" i="14"/>
  <c r="AF38" i="14"/>
  <c r="AG38" i="14"/>
  <c r="AH38" i="14"/>
  <c r="AI38" i="14"/>
  <c r="AJ38" i="14"/>
  <c r="AK38" i="14"/>
  <c r="AL38" i="14"/>
  <c r="AM38" i="14"/>
  <c r="AN38" i="14"/>
  <c r="AO38" i="14"/>
  <c r="AP38" i="14"/>
  <c r="AQ38" i="14"/>
  <c r="AR38" i="14"/>
  <c r="AS38" i="14"/>
  <c r="AT38" i="14"/>
  <c r="AU38" i="14"/>
  <c r="AV38" i="14"/>
  <c r="AW38" i="14"/>
  <c r="AX38" i="14"/>
  <c r="AY38" i="14"/>
  <c r="AZ38" i="14"/>
  <c r="BA38" i="14"/>
  <c r="BB38" i="14"/>
  <c r="BC38" i="14"/>
  <c r="BD38" i="14"/>
  <c r="BE38" i="14"/>
  <c r="BF38" i="14"/>
  <c r="BG38" i="14"/>
  <c r="BH38" i="14"/>
  <c r="BI38" i="14"/>
  <c r="BJ38" i="14"/>
  <c r="BK38" i="14"/>
  <c r="BL38" i="14"/>
  <c r="BM38" i="14"/>
  <c r="BN38" i="14"/>
  <c r="BO38" i="14"/>
  <c r="BP38" i="14"/>
  <c r="BQ38" i="14"/>
  <c r="BR38" i="14"/>
  <c r="BS38" i="14"/>
  <c r="BT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S39" i="14"/>
  <c r="T39" i="14"/>
  <c r="U39" i="14"/>
  <c r="V39" i="14"/>
  <c r="W39" i="14"/>
  <c r="X39" i="14"/>
  <c r="Y39" i="14"/>
  <c r="Z39" i="14"/>
  <c r="AA39" i="14"/>
  <c r="AB39" i="14"/>
  <c r="AC39" i="14"/>
  <c r="AD39" i="14"/>
  <c r="AE39" i="14"/>
  <c r="AF39" i="14"/>
  <c r="AG39" i="14"/>
  <c r="AH39" i="14"/>
  <c r="AI39" i="14"/>
  <c r="AJ39" i="14"/>
  <c r="AK39" i="14"/>
  <c r="AL39" i="14"/>
  <c r="AM39" i="14"/>
  <c r="AN39" i="14"/>
  <c r="AO39" i="14"/>
  <c r="AP39" i="14"/>
  <c r="AQ39" i="14"/>
  <c r="AR39" i="14"/>
  <c r="AS39" i="14"/>
  <c r="AT39" i="14"/>
  <c r="AU39" i="14"/>
  <c r="AV39" i="14"/>
  <c r="AW39" i="14"/>
  <c r="AX39" i="14"/>
  <c r="AY39" i="14"/>
  <c r="AZ39" i="14"/>
  <c r="BA39" i="14"/>
  <c r="BB39" i="14"/>
  <c r="BC39" i="14"/>
  <c r="BD39" i="14"/>
  <c r="BE39" i="14"/>
  <c r="BF39" i="14"/>
  <c r="BG39" i="14"/>
  <c r="BH39" i="14"/>
  <c r="BI39" i="14"/>
  <c r="BJ39" i="14"/>
  <c r="BK39" i="14"/>
  <c r="BL39" i="14"/>
  <c r="BM39" i="14"/>
  <c r="BN39" i="14"/>
  <c r="BO39" i="14"/>
  <c r="BP39" i="14"/>
  <c r="BQ39" i="14"/>
  <c r="BR39" i="14"/>
  <c r="BS39" i="14"/>
  <c r="BT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O40" i="14"/>
  <c r="P40" i="14"/>
  <c r="Q40" i="14"/>
  <c r="R40" i="14"/>
  <c r="S40" i="14"/>
  <c r="T40" i="14"/>
  <c r="U40" i="14"/>
  <c r="V40" i="14"/>
  <c r="W40" i="14"/>
  <c r="X40" i="14"/>
  <c r="Y40" i="14"/>
  <c r="Z40" i="14"/>
  <c r="AA40" i="14"/>
  <c r="AB40" i="14"/>
  <c r="AC40" i="14"/>
  <c r="AD40" i="14"/>
  <c r="AE40" i="14"/>
  <c r="AF40" i="14"/>
  <c r="AG40" i="14"/>
  <c r="AH40" i="14"/>
  <c r="AI40" i="14"/>
  <c r="AJ40" i="14"/>
  <c r="AK40" i="14"/>
  <c r="AL40" i="14"/>
  <c r="AM40" i="14"/>
  <c r="AN40" i="14"/>
  <c r="AO40" i="14"/>
  <c r="AP40" i="14"/>
  <c r="AQ40" i="14"/>
  <c r="AR40" i="14"/>
  <c r="AS40" i="14"/>
  <c r="AT40" i="14"/>
  <c r="AU40" i="14"/>
  <c r="AV40" i="14"/>
  <c r="AW40" i="14"/>
  <c r="AX40" i="14"/>
  <c r="AY40" i="14"/>
  <c r="AZ40" i="14"/>
  <c r="BA40" i="14"/>
  <c r="BB40" i="14"/>
  <c r="BC40" i="14"/>
  <c r="BD40" i="14"/>
  <c r="BE40" i="14"/>
  <c r="BF40" i="14"/>
  <c r="BG40" i="14"/>
  <c r="BH40" i="14"/>
  <c r="BI40" i="14"/>
  <c r="BJ40" i="14"/>
  <c r="BK40" i="14"/>
  <c r="BL40" i="14"/>
  <c r="BM40" i="14"/>
  <c r="BN40" i="14"/>
  <c r="BO40" i="14"/>
  <c r="BP40" i="14"/>
  <c r="BQ40" i="14"/>
  <c r="BR40" i="14"/>
  <c r="BS40" i="14"/>
  <c r="BT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O41" i="14"/>
  <c r="P41" i="14"/>
  <c r="Q41" i="14"/>
  <c r="R41" i="14"/>
  <c r="S41" i="14"/>
  <c r="T41" i="14"/>
  <c r="U41" i="14"/>
  <c r="V41" i="14"/>
  <c r="W41" i="14"/>
  <c r="X41" i="14"/>
  <c r="Y41" i="14"/>
  <c r="Z41" i="14"/>
  <c r="AA41" i="14"/>
  <c r="AB41" i="14"/>
  <c r="AC41" i="14"/>
  <c r="AD41" i="14"/>
  <c r="AE41" i="14"/>
  <c r="AF41" i="14"/>
  <c r="AG41" i="14"/>
  <c r="AH41" i="14"/>
  <c r="AI41" i="14"/>
  <c r="AJ41" i="14"/>
  <c r="AK41" i="14"/>
  <c r="AL41" i="14"/>
  <c r="AM41" i="14"/>
  <c r="AN41" i="14"/>
  <c r="AO41" i="14"/>
  <c r="AP41" i="14"/>
  <c r="AQ41" i="14"/>
  <c r="AR41" i="14"/>
  <c r="AS41" i="14"/>
  <c r="AT41" i="14"/>
  <c r="AU41" i="14"/>
  <c r="AV41" i="14"/>
  <c r="AW41" i="14"/>
  <c r="AX41" i="14"/>
  <c r="AY41" i="14"/>
  <c r="AZ41" i="14"/>
  <c r="BA41" i="14"/>
  <c r="BB41" i="14"/>
  <c r="BC41" i="14"/>
  <c r="BD41" i="14"/>
  <c r="BE41" i="14"/>
  <c r="BF41" i="14"/>
  <c r="BG41" i="14"/>
  <c r="BH41" i="14"/>
  <c r="BI41" i="14"/>
  <c r="BJ41" i="14"/>
  <c r="BK41" i="14"/>
  <c r="BL41" i="14"/>
  <c r="BM41" i="14"/>
  <c r="BN41" i="14"/>
  <c r="BO41" i="14"/>
  <c r="BP41" i="14"/>
  <c r="BQ41" i="14"/>
  <c r="BR41" i="14"/>
  <c r="BS41" i="14"/>
  <c r="BT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O42" i="14"/>
  <c r="P42" i="14"/>
  <c r="Q42" i="14"/>
  <c r="R42" i="14"/>
  <c r="S42" i="14"/>
  <c r="T42" i="14"/>
  <c r="U42" i="14"/>
  <c r="V42" i="14"/>
  <c r="W42" i="14"/>
  <c r="X42" i="14"/>
  <c r="Y42" i="14"/>
  <c r="Z42" i="14"/>
  <c r="AA42" i="14"/>
  <c r="AB42" i="14"/>
  <c r="AC42" i="14"/>
  <c r="AD42" i="14"/>
  <c r="AE42" i="14"/>
  <c r="AF42" i="14"/>
  <c r="AG42" i="14"/>
  <c r="AH42" i="14"/>
  <c r="AI42" i="14"/>
  <c r="AJ42" i="14"/>
  <c r="AK42" i="14"/>
  <c r="AL42" i="14"/>
  <c r="AM42" i="14"/>
  <c r="AN42" i="14"/>
  <c r="AO42" i="14"/>
  <c r="AP42" i="14"/>
  <c r="AQ42" i="14"/>
  <c r="AR42" i="14"/>
  <c r="AS42" i="14"/>
  <c r="AT42" i="14"/>
  <c r="AU42" i="14"/>
  <c r="AV42" i="14"/>
  <c r="AW42" i="14"/>
  <c r="AX42" i="14"/>
  <c r="AY42" i="14"/>
  <c r="AZ42" i="14"/>
  <c r="BA42" i="14"/>
  <c r="BB42" i="14"/>
  <c r="BC42" i="14"/>
  <c r="BD42" i="14"/>
  <c r="BE42" i="14"/>
  <c r="BF42" i="14"/>
  <c r="BG42" i="14"/>
  <c r="BH42" i="14"/>
  <c r="BI42" i="14"/>
  <c r="BJ42" i="14"/>
  <c r="BK42" i="14"/>
  <c r="BL42" i="14"/>
  <c r="BM42" i="14"/>
  <c r="BN42" i="14"/>
  <c r="BO42" i="14"/>
  <c r="BP42" i="14"/>
  <c r="BQ42" i="14"/>
  <c r="BR42" i="14"/>
  <c r="BS42" i="14"/>
  <c r="BT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O43" i="14"/>
  <c r="P43" i="14"/>
  <c r="Q43" i="14"/>
  <c r="R43" i="14"/>
  <c r="S43" i="14"/>
  <c r="T43" i="14"/>
  <c r="U43" i="14"/>
  <c r="V43" i="14"/>
  <c r="W43" i="14"/>
  <c r="X43" i="14"/>
  <c r="Y43" i="14"/>
  <c r="Z43" i="14"/>
  <c r="AA43" i="14"/>
  <c r="AB43" i="14"/>
  <c r="AC43" i="14"/>
  <c r="AD43" i="14"/>
  <c r="AE43" i="14"/>
  <c r="AF43" i="14"/>
  <c r="AG43" i="14"/>
  <c r="AH43" i="14"/>
  <c r="AI43" i="14"/>
  <c r="AJ43" i="14"/>
  <c r="AK43" i="14"/>
  <c r="AL43" i="14"/>
  <c r="AM43" i="14"/>
  <c r="AN43" i="14"/>
  <c r="AO43" i="14"/>
  <c r="AP43" i="14"/>
  <c r="AQ43" i="14"/>
  <c r="AR43" i="14"/>
  <c r="AS43" i="14"/>
  <c r="AT43" i="14"/>
  <c r="AU43" i="14"/>
  <c r="AV43" i="14"/>
  <c r="AW43" i="14"/>
  <c r="AX43" i="14"/>
  <c r="AY43" i="14"/>
  <c r="AZ43" i="14"/>
  <c r="BA43" i="14"/>
  <c r="BB43" i="14"/>
  <c r="BC43" i="14"/>
  <c r="BD43" i="14"/>
  <c r="BE43" i="14"/>
  <c r="BF43" i="14"/>
  <c r="BG43" i="14"/>
  <c r="BH43" i="14"/>
  <c r="BI43" i="14"/>
  <c r="BJ43" i="14"/>
  <c r="BK43" i="14"/>
  <c r="BL43" i="14"/>
  <c r="BM43" i="14"/>
  <c r="BN43" i="14"/>
  <c r="BO43" i="14"/>
  <c r="BP43" i="14"/>
  <c r="BQ43" i="14"/>
  <c r="BR43" i="14"/>
  <c r="BS43" i="14"/>
  <c r="BT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O44" i="14"/>
  <c r="P44" i="14"/>
  <c r="Q44" i="14"/>
  <c r="R44" i="14"/>
  <c r="S44" i="14"/>
  <c r="T44" i="14"/>
  <c r="U44" i="14"/>
  <c r="V44" i="14"/>
  <c r="W44" i="14"/>
  <c r="X44" i="14"/>
  <c r="Y44" i="14"/>
  <c r="Z44" i="14"/>
  <c r="AA44" i="14"/>
  <c r="AB44" i="14"/>
  <c r="AC44" i="14"/>
  <c r="AD44" i="14"/>
  <c r="AE44" i="14"/>
  <c r="AF44" i="14"/>
  <c r="AG44" i="14"/>
  <c r="AH44" i="14"/>
  <c r="AI44" i="14"/>
  <c r="AJ44" i="14"/>
  <c r="AK44" i="14"/>
  <c r="AL44" i="14"/>
  <c r="AM44" i="14"/>
  <c r="AN44" i="14"/>
  <c r="AO44" i="14"/>
  <c r="AP44" i="14"/>
  <c r="AQ44" i="14"/>
  <c r="AR44" i="14"/>
  <c r="AS44" i="14"/>
  <c r="AT44" i="14"/>
  <c r="AU44" i="14"/>
  <c r="AV44" i="14"/>
  <c r="AW44" i="14"/>
  <c r="AX44" i="14"/>
  <c r="AY44" i="14"/>
  <c r="AZ44" i="14"/>
  <c r="BA44" i="14"/>
  <c r="BB44" i="14"/>
  <c r="BC44" i="14"/>
  <c r="BD44" i="14"/>
  <c r="BE44" i="14"/>
  <c r="BF44" i="14"/>
  <c r="BG44" i="14"/>
  <c r="BH44" i="14"/>
  <c r="BI44" i="14"/>
  <c r="BJ44" i="14"/>
  <c r="BK44" i="14"/>
  <c r="BL44" i="14"/>
  <c r="BM44" i="14"/>
  <c r="BN44" i="14"/>
  <c r="BO44" i="14"/>
  <c r="BP44" i="14"/>
  <c r="BQ44" i="14"/>
  <c r="BR44" i="14"/>
  <c r="BS44" i="14"/>
  <c r="BT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O45" i="14"/>
  <c r="P45" i="14"/>
  <c r="Q45" i="14"/>
  <c r="R45" i="14"/>
  <c r="S45" i="14"/>
  <c r="T45" i="14"/>
  <c r="U45" i="14"/>
  <c r="V45" i="14"/>
  <c r="W45" i="14"/>
  <c r="X45" i="14"/>
  <c r="Y45" i="14"/>
  <c r="Z45" i="14"/>
  <c r="AA45" i="14"/>
  <c r="AB45" i="14"/>
  <c r="AC45" i="14"/>
  <c r="AD45" i="14"/>
  <c r="AE45" i="14"/>
  <c r="AF45" i="14"/>
  <c r="AG45" i="14"/>
  <c r="AH45" i="14"/>
  <c r="AI45" i="14"/>
  <c r="AJ45" i="14"/>
  <c r="AK45" i="14"/>
  <c r="AL45" i="14"/>
  <c r="AM45" i="14"/>
  <c r="AN45" i="14"/>
  <c r="AO45" i="14"/>
  <c r="AP45" i="14"/>
  <c r="AQ45" i="14"/>
  <c r="AR45" i="14"/>
  <c r="AS45" i="14"/>
  <c r="AT45" i="14"/>
  <c r="AU45" i="14"/>
  <c r="AV45" i="14"/>
  <c r="AW45" i="14"/>
  <c r="AX45" i="14"/>
  <c r="AY45" i="14"/>
  <c r="AZ45" i="14"/>
  <c r="BA45" i="14"/>
  <c r="BB45" i="14"/>
  <c r="BC45" i="14"/>
  <c r="BD45" i="14"/>
  <c r="BE45" i="14"/>
  <c r="BF45" i="14"/>
  <c r="BG45" i="14"/>
  <c r="BH45" i="14"/>
  <c r="BI45" i="14"/>
  <c r="BJ45" i="14"/>
  <c r="BK45" i="14"/>
  <c r="BL45" i="14"/>
  <c r="BM45" i="14"/>
  <c r="BN45" i="14"/>
  <c r="BO45" i="14"/>
  <c r="BP45" i="14"/>
  <c r="BQ45" i="14"/>
  <c r="BR45" i="14"/>
  <c r="BS45" i="14"/>
  <c r="BT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O46" i="14"/>
  <c r="P46" i="14"/>
  <c r="Q46" i="14"/>
  <c r="R46" i="14"/>
  <c r="S46" i="14"/>
  <c r="T46" i="14"/>
  <c r="U46" i="14"/>
  <c r="V46" i="14"/>
  <c r="W46" i="14"/>
  <c r="X46" i="14"/>
  <c r="Y46" i="14"/>
  <c r="Z46" i="14"/>
  <c r="AA46" i="14"/>
  <c r="AB46" i="14"/>
  <c r="AC46" i="14"/>
  <c r="AD46" i="14"/>
  <c r="AE46" i="14"/>
  <c r="AF46" i="14"/>
  <c r="AG46" i="14"/>
  <c r="AH46" i="14"/>
  <c r="AI46" i="14"/>
  <c r="AJ46" i="14"/>
  <c r="AK46" i="14"/>
  <c r="AL46" i="14"/>
  <c r="AM46" i="14"/>
  <c r="AN46" i="14"/>
  <c r="AO46" i="14"/>
  <c r="AP46" i="14"/>
  <c r="AQ46" i="14"/>
  <c r="AR46" i="14"/>
  <c r="AS46" i="14"/>
  <c r="AT46" i="14"/>
  <c r="AU46" i="14"/>
  <c r="AV46" i="14"/>
  <c r="AW46" i="14"/>
  <c r="AX46" i="14"/>
  <c r="AY46" i="14"/>
  <c r="AZ46" i="14"/>
  <c r="BA46" i="14"/>
  <c r="BB46" i="14"/>
  <c r="BC46" i="14"/>
  <c r="BD46" i="14"/>
  <c r="BE46" i="14"/>
  <c r="BF46" i="14"/>
  <c r="BG46" i="14"/>
  <c r="BH46" i="14"/>
  <c r="BI46" i="14"/>
  <c r="BJ46" i="14"/>
  <c r="BK46" i="14"/>
  <c r="BL46" i="14"/>
  <c r="BM46" i="14"/>
  <c r="BN46" i="14"/>
  <c r="BO46" i="14"/>
  <c r="BP46" i="14"/>
  <c r="BQ46" i="14"/>
  <c r="BR46" i="14"/>
  <c r="BS46" i="14"/>
  <c r="BT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O47" i="14"/>
  <c r="P47" i="14"/>
  <c r="Q47" i="14"/>
  <c r="R47" i="14"/>
  <c r="S47" i="14"/>
  <c r="T47" i="14"/>
  <c r="U47" i="14"/>
  <c r="V47" i="14"/>
  <c r="W47" i="14"/>
  <c r="X47" i="14"/>
  <c r="Y47" i="14"/>
  <c r="Z47" i="14"/>
  <c r="AA47" i="14"/>
  <c r="AB47" i="14"/>
  <c r="AC47" i="14"/>
  <c r="AD47" i="14"/>
  <c r="AE47" i="14"/>
  <c r="AF47" i="14"/>
  <c r="AG47" i="14"/>
  <c r="AH47" i="14"/>
  <c r="AI47" i="14"/>
  <c r="AJ47" i="14"/>
  <c r="AK47" i="14"/>
  <c r="AL47" i="14"/>
  <c r="AM47" i="14"/>
  <c r="AN47" i="14"/>
  <c r="AO47" i="14"/>
  <c r="AP47" i="14"/>
  <c r="AQ47" i="14"/>
  <c r="AR47" i="14"/>
  <c r="AS47" i="14"/>
  <c r="AT47" i="14"/>
  <c r="AU47" i="14"/>
  <c r="AV47" i="14"/>
  <c r="AW47" i="14"/>
  <c r="AX47" i="14"/>
  <c r="AY47" i="14"/>
  <c r="AZ47" i="14"/>
  <c r="BA47" i="14"/>
  <c r="BB47" i="14"/>
  <c r="BC47" i="14"/>
  <c r="BD47" i="14"/>
  <c r="BE47" i="14"/>
  <c r="BF47" i="14"/>
  <c r="BG47" i="14"/>
  <c r="BH47" i="14"/>
  <c r="BI47" i="14"/>
  <c r="BJ47" i="14"/>
  <c r="BK47" i="14"/>
  <c r="BL47" i="14"/>
  <c r="BM47" i="14"/>
  <c r="BN47" i="14"/>
  <c r="BO47" i="14"/>
  <c r="BP47" i="14"/>
  <c r="BQ47" i="14"/>
  <c r="BR47" i="14"/>
  <c r="BS47" i="14"/>
  <c r="BT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O48" i="14"/>
  <c r="P48" i="14"/>
  <c r="Q48" i="14"/>
  <c r="R48" i="14"/>
  <c r="S48" i="14"/>
  <c r="T48" i="14"/>
  <c r="U48" i="14"/>
  <c r="V48" i="14"/>
  <c r="W48" i="14"/>
  <c r="X48" i="14"/>
  <c r="Y48" i="14"/>
  <c r="Z48" i="14"/>
  <c r="AA48" i="14"/>
  <c r="AB48" i="14"/>
  <c r="AC48" i="14"/>
  <c r="AD48" i="14"/>
  <c r="AE48" i="14"/>
  <c r="AF48" i="14"/>
  <c r="AG48" i="14"/>
  <c r="AH48" i="14"/>
  <c r="AI48" i="14"/>
  <c r="AJ48" i="14"/>
  <c r="AK48" i="14"/>
  <c r="AL48" i="14"/>
  <c r="AM48" i="14"/>
  <c r="AN48" i="14"/>
  <c r="AO48" i="14"/>
  <c r="AP48" i="14"/>
  <c r="AQ48" i="14"/>
  <c r="AR48" i="14"/>
  <c r="AS48" i="14"/>
  <c r="AT48" i="14"/>
  <c r="AU48" i="14"/>
  <c r="AV48" i="14"/>
  <c r="AW48" i="14"/>
  <c r="AX48" i="14"/>
  <c r="AY48" i="14"/>
  <c r="AZ48" i="14"/>
  <c r="BA48" i="14"/>
  <c r="BB48" i="14"/>
  <c r="BC48" i="14"/>
  <c r="BD48" i="14"/>
  <c r="BE48" i="14"/>
  <c r="BF48" i="14"/>
  <c r="BG48" i="14"/>
  <c r="BH48" i="14"/>
  <c r="BI48" i="14"/>
  <c r="BJ48" i="14"/>
  <c r="BK48" i="14"/>
  <c r="BL48" i="14"/>
  <c r="BM48" i="14"/>
  <c r="BN48" i="14"/>
  <c r="BO48" i="14"/>
  <c r="BP48" i="14"/>
  <c r="BQ48" i="14"/>
  <c r="BR48" i="14"/>
  <c r="BS48" i="14"/>
  <c r="BT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O49" i="14"/>
  <c r="P49" i="14"/>
  <c r="Q49" i="14"/>
  <c r="R49" i="14"/>
  <c r="S49" i="14"/>
  <c r="T49" i="14"/>
  <c r="U49" i="14"/>
  <c r="V49" i="14"/>
  <c r="W49" i="14"/>
  <c r="X49" i="14"/>
  <c r="Y49" i="14"/>
  <c r="Z49" i="14"/>
  <c r="AA49" i="14"/>
  <c r="AB49" i="14"/>
  <c r="AC49" i="14"/>
  <c r="AD49" i="14"/>
  <c r="AE49" i="14"/>
  <c r="AF49" i="14"/>
  <c r="AG49" i="14"/>
  <c r="AH49" i="14"/>
  <c r="AI49" i="14"/>
  <c r="AJ49" i="14"/>
  <c r="AK49" i="14"/>
  <c r="AL49" i="14"/>
  <c r="AM49" i="14"/>
  <c r="AN49" i="14"/>
  <c r="AO49" i="14"/>
  <c r="AP49" i="14"/>
  <c r="AQ49" i="14"/>
  <c r="AR49" i="14"/>
  <c r="AS49" i="14"/>
  <c r="AT49" i="14"/>
  <c r="AU49" i="14"/>
  <c r="AV49" i="14"/>
  <c r="AW49" i="14"/>
  <c r="AX49" i="14"/>
  <c r="AY49" i="14"/>
  <c r="AZ49" i="14"/>
  <c r="BA49" i="14"/>
  <c r="BB49" i="14"/>
  <c r="BC49" i="14"/>
  <c r="BD49" i="14"/>
  <c r="BE49" i="14"/>
  <c r="BF49" i="14"/>
  <c r="BG49" i="14"/>
  <c r="BH49" i="14"/>
  <c r="BI49" i="14"/>
  <c r="BJ49" i="14"/>
  <c r="BK49" i="14"/>
  <c r="BL49" i="14"/>
  <c r="BM49" i="14"/>
  <c r="BN49" i="14"/>
  <c r="BO49" i="14"/>
  <c r="BP49" i="14"/>
  <c r="BQ49" i="14"/>
  <c r="BR49" i="14"/>
  <c r="BS49" i="14"/>
  <c r="BT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O50" i="14"/>
  <c r="P50" i="14"/>
  <c r="Q50" i="14"/>
  <c r="R50" i="14"/>
  <c r="S50" i="14"/>
  <c r="T50" i="14"/>
  <c r="U50" i="14"/>
  <c r="V50" i="14"/>
  <c r="W50" i="14"/>
  <c r="X50" i="14"/>
  <c r="Y50" i="14"/>
  <c r="Z50" i="14"/>
  <c r="AA50" i="14"/>
  <c r="AB50" i="14"/>
  <c r="AC50" i="14"/>
  <c r="AD50" i="14"/>
  <c r="AE50" i="14"/>
  <c r="AF50" i="14"/>
  <c r="AG50" i="14"/>
  <c r="AH50" i="14"/>
  <c r="AI50" i="14"/>
  <c r="AJ50" i="14"/>
  <c r="AK50" i="14"/>
  <c r="AL50" i="14"/>
  <c r="AM50" i="14"/>
  <c r="AN50" i="14"/>
  <c r="AO50" i="14"/>
  <c r="AP50" i="14"/>
  <c r="AQ50" i="14"/>
  <c r="AR50" i="14"/>
  <c r="AS50" i="14"/>
  <c r="AT50" i="14"/>
  <c r="AU50" i="14"/>
  <c r="AV50" i="14"/>
  <c r="AW50" i="14"/>
  <c r="AX50" i="14"/>
  <c r="AY50" i="14"/>
  <c r="AZ50" i="14"/>
  <c r="BA50" i="14"/>
  <c r="BB50" i="14"/>
  <c r="BC50" i="14"/>
  <c r="BD50" i="14"/>
  <c r="BE50" i="14"/>
  <c r="BF50" i="14"/>
  <c r="BG50" i="14"/>
  <c r="BH50" i="14"/>
  <c r="BI50" i="14"/>
  <c r="BJ50" i="14"/>
  <c r="BK50" i="14"/>
  <c r="BL50" i="14"/>
  <c r="BM50" i="14"/>
  <c r="BN50" i="14"/>
  <c r="BO50" i="14"/>
  <c r="BP50" i="14"/>
  <c r="BQ50" i="14"/>
  <c r="BR50" i="14"/>
  <c r="BS50" i="14"/>
  <c r="BT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O51" i="14"/>
  <c r="P51" i="14"/>
  <c r="Q51" i="14"/>
  <c r="R51" i="14"/>
  <c r="S51" i="14"/>
  <c r="T51" i="14"/>
  <c r="U51" i="14"/>
  <c r="V51" i="14"/>
  <c r="W51" i="14"/>
  <c r="X51" i="14"/>
  <c r="Y51" i="14"/>
  <c r="Z51" i="14"/>
  <c r="AA51" i="14"/>
  <c r="AB51" i="14"/>
  <c r="AC51" i="14"/>
  <c r="AD51" i="14"/>
  <c r="AE51" i="14"/>
  <c r="AF51" i="14"/>
  <c r="AG51" i="14"/>
  <c r="AH51" i="14"/>
  <c r="AI51" i="14"/>
  <c r="AJ51" i="14"/>
  <c r="AK51" i="14"/>
  <c r="AL51" i="14"/>
  <c r="AM51" i="14"/>
  <c r="AN51" i="14"/>
  <c r="AO51" i="14"/>
  <c r="AP51" i="14"/>
  <c r="AQ51" i="14"/>
  <c r="AR51" i="14"/>
  <c r="AS51" i="14"/>
  <c r="AT51" i="14"/>
  <c r="AU51" i="14"/>
  <c r="AV51" i="14"/>
  <c r="AW51" i="14"/>
  <c r="AX51" i="14"/>
  <c r="AY51" i="14"/>
  <c r="AZ51" i="14"/>
  <c r="BA51" i="14"/>
  <c r="BB51" i="14"/>
  <c r="BC51" i="14"/>
  <c r="BD51" i="14"/>
  <c r="BE51" i="14"/>
  <c r="BF51" i="14"/>
  <c r="BG51" i="14"/>
  <c r="BH51" i="14"/>
  <c r="BI51" i="14"/>
  <c r="BJ51" i="14"/>
  <c r="BK51" i="14"/>
  <c r="BL51" i="14"/>
  <c r="BM51" i="14"/>
  <c r="BN51" i="14"/>
  <c r="BO51" i="14"/>
  <c r="BP51" i="14"/>
  <c r="BQ51" i="14"/>
  <c r="BR51" i="14"/>
  <c r="BS51" i="14"/>
  <c r="BT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O52" i="14"/>
  <c r="P52" i="14"/>
  <c r="Q52" i="14"/>
  <c r="R52" i="14"/>
  <c r="S52" i="14"/>
  <c r="T52" i="14"/>
  <c r="U52" i="14"/>
  <c r="V52" i="14"/>
  <c r="W52" i="14"/>
  <c r="X52" i="14"/>
  <c r="Y52" i="14"/>
  <c r="Z52" i="14"/>
  <c r="AA52" i="14"/>
  <c r="AB52" i="14"/>
  <c r="AC52" i="14"/>
  <c r="AD52" i="14"/>
  <c r="AE52" i="14"/>
  <c r="AF52" i="14"/>
  <c r="AG52" i="14"/>
  <c r="AH52" i="14"/>
  <c r="AI52" i="14"/>
  <c r="AJ52" i="14"/>
  <c r="AK52" i="14"/>
  <c r="AL52" i="14"/>
  <c r="AM52" i="14"/>
  <c r="AN52" i="14"/>
  <c r="AO52" i="14"/>
  <c r="AP52" i="14"/>
  <c r="AQ52" i="14"/>
  <c r="AR52" i="14"/>
  <c r="AS52" i="14"/>
  <c r="AT52" i="14"/>
  <c r="AU52" i="14"/>
  <c r="AV52" i="14"/>
  <c r="AW52" i="14"/>
  <c r="AX52" i="14"/>
  <c r="AY52" i="14"/>
  <c r="AZ52" i="14"/>
  <c r="BA52" i="14"/>
  <c r="BB52" i="14"/>
  <c r="BC52" i="14"/>
  <c r="BD52" i="14"/>
  <c r="BE52" i="14"/>
  <c r="BF52" i="14"/>
  <c r="BG52" i="14"/>
  <c r="BH52" i="14"/>
  <c r="BI52" i="14"/>
  <c r="BJ52" i="14"/>
  <c r="BK52" i="14"/>
  <c r="BL52" i="14"/>
  <c r="BM52" i="14"/>
  <c r="BN52" i="14"/>
  <c r="BO52" i="14"/>
  <c r="BP52" i="14"/>
  <c r="BQ52" i="14"/>
  <c r="BR52" i="14"/>
  <c r="BS52" i="14"/>
  <c r="BT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O53" i="14"/>
  <c r="P53" i="14"/>
  <c r="Q53" i="14"/>
  <c r="R53" i="14"/>
  <c r="S53" i="14"/>
  <c r="T53" i="14"/>
  <c r="U53" i="14"/>
  <c r="V53" i="14"/>
  <c r="W53" i="14"/>
  <c r="X53" i="14"/>
  <c r="Y53" i="14"/>
  <c r="Z53" i="14"/>
  <c r="AA53" i="14"/>
  <c r="AB53" i="14"/>
  <c r="AC53" i="14"/>
  <c r="AD53" i="14"/>
  <c r="AE53" i="14"/>
  <c r="AF53" i="14"/>
  <c r="AG53" i="14"/>
  <c r="AH53" i="14"/>
  <c r="AI53" i="14"/>
  <c r="AJ53" i="14"/>
  <c r="AK53" i="14"/>
  <c r="AL53" i="14"/>
  <c r="AM53" i="14"/>
  <c r="AN53" i="14"/>
  <c r="AO53" i="14"/>
  <c r="AP53" i="14"/>
  <c r="AQ53" i="14"/>
  <c r="AR53" i="14"/>
  <c r="AS53" i="14"/>
  <c r="AT53" i="14"/>
  <c r="AU53" i="14"/>
  <c r="AV53" i="14"/>
  <c r="AW53" i="14"/>
  <c r="AX53" i="14"/>
  <c r="AY53" i="14"/>
  <c r="AZ53" i="14"/>
  <c r="BA53" i="14"/>
  <c r="BB53" i="14"/>
  <c r="BC53" i="14"/>
  <c r="BD53" i="14"/>
  <c r="BE53" i="14"/>
  <c r="BF53" i="14"/>
  <c r="BG53" i="14"/>
  <c r="BH53" i="14"/>
  <c r="BI53" i="14"/>
  <c r="BJ53" i="14"/>
  <c r="BK53" i="14"/>
  <c r="BL53" i="14"/>
  <c r="BM53" i="14"/>
  <c r="BN53" i="14"/>
  <c r="BO53" i="14"/>
  <c r="BP53" i="14"/>
  <c r="BQ53" i="14"/>
  <c r="BR53" i="14"/>
  <c r="BS53" i="14"/>
  <c r="BT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O54" i="14"/>
  <c r="P54" i="14"/>
  <c r="Q54" i="14"/>
  <c r="R54" i="14"/>
  <c r="S54" i="14"/>
  <c r="T54" i="14"/>
  <c r="U54" i="14"/>
  <c r="V54" i="14"/>
  <c r="W54" i="14"/>
  <c r="X54" i="14"/>
  <c r="Y54" i="14"/>
  <c r="Z54" i="14"/>
  <c r="AA54" i="14"/>
  <c r="AB54" i="14"/>
  <c r="AC54" i="14"/>
  <c r="AD54" i="14"/>
  <c r="AE54" i="14"/>
  <c r="AF54" i="14"/>
  <c r="AG54" i="14"/>
  <c r="AH54" i="14"/>
  <c r="AI54" i="14"/>
  <c r="AJ54" i="14"/>
  <c r="AK54" i="14"/>
  <c r="AL54" i="14"/>
  <c r="AM54" i="14"/>
  <c r="AN54" i="14"/>
  <c r="AO54" i="14"/>
  <c r="AP54" i="14"/>
  <c r="AQ54" i="14"/>
  <c r="AR54" i="14"/>
  <c r="AS54" i="14"/>
  <c r="AT54" i="14"/>
  <c r="AU54" i="14"/>
  <c r="AV54" i="14"/>
  <c r="AW54" i="14"/>
  <c r="AX54" i="14"/>
  <c r="AY54" i="14"/>
  <c r="AZ54" i="14"/>
  <c r="BA54" i="14"/>
  <c r="BB54" i="14"/>
  <c r="BC54" i="14"/>
  <c r="BD54" i="14"/>
  <c r="BE54" i="14"/>
  <c r="BF54" i="14"/>
  <c r="BG54" i="14"/>
  <c r="BH54" i="14"/>
  <c r="BI54" i="14"/>
  <c r="BJ54" i="14"/>
  <c r="BK54" i="14"/>
  <c r="BL54" i="14"/>
  <c r="BM54" i="14"/>
  <c r="BN54" i="14"/>
  <c r="BO54" i="14"/>
  <c r="BP54" i="14"/>
  <c r="BQ54" i="14"/>
  <c r="BR54" i="14"/>
  <c r="BS54" i="14"/>
  <c r="BT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O55" i="14"/>
  <c r="P55" i="14"/>
  <c r="Q55" i="14"/>
  <c r="R55" i="14"/>
  <c r="S55" i="14"/>
  <c r="T55" i="14"/>
  <c r="U55" i="14"/>
  <c r="V55" i="14"/>
  <c r="W55" i="14"/>
  <c r="X55" i="14"/>
  <c r="Y55" i="14"/>
  <c r="Z55" i="14"/>
  <c r="AA55" i="14"/>
  <c r="AB55" i="14"/>
  <c r="AC55" i="14"/>
  <c r="AD55" i="14"/>
  <c r="AE55" i="14"/>
  <c r="AF55" i="14"/>
  <c r="AG55" i="14"/>
  <c r="AH55" i="14"/>
  <c r="AI55" i="14"/>
  <c r="AJ55" i="14"/>
  <c r="AK55" i="14"/>
  <c r="AL55" i="14"/>
  <c r="AM55" i="14"/>
  <c r="AN55" i="14"/>
  <c r="AO55" i="14"/>
  <c r="AP55" i="14"/>
  <c r="AQ55" i="14"/>
  <c r="AR55" i="14"/>
  <c r="AS55" i="14"/>
  <c r="AT55" i="14"/>
  <c r="AU55" i="14"/>
  <c r="AV55" i="14"/>
  <c r="AW55" i="14"/>
  <c r="AX55" i="14"/>
  <c r="AY55" i="14"/>
  <c r="AZ55" i="14"/>
  <c r="BA55" i="14"/>
  <c r="BB55" i="14"/>
  <c r="BC55" i="14"/>
  <c r="BD55" i="14"/>
  <c r="BE55" i="14"/>
  <c r="BF55" i="14"/>
  <c r="BG55" i="14"/>
  <c r="BH55" i="14"/>
  <c r="BI55" i="14"/>
  <c r="BJ55" i="14"/>
  <c r="BK55" i="14"/>
  <c r="BL55" i="14"/>
  <c r="BM55" i="14"/>
  <c r="BN55" i="14"/>
  <c r="BO55" i="14"/>
  <c r="BP55" i="14"/>
  <c r="BQ55" i="14"/>
  <c r="BR55" i="14"/>
  <c r="BS55" i="14"/>
  <c r="BT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O56" i="14"/>
  <c r="P56" i="14"/>
  <c r="Q56" i="14"/>
  <c r="R56" i="14"/>
  <c r="S56" i="14"/>
  <c r="T56" i="14"/>
  <c r="U56" i="14"/>
  <c r="V56" i="14"/>
  <c r="W56" i="14"/>
  <c r="X56" i="14"/>
  <c r="Y56" i="14"/>
  <c r="Z56" i="14"/>
  <c r="AA56" i="14"/>
  <c r="AB56" i="14"/>
  <c r="AC56" i="14"/>
  <c r="AD56" i="14"/>
  <c r="AE56" i="14"/>
  <c r="AF56" i="14"/>
  <c r="AG56" i="14"/>
  <c r="AH56" i="14"/>
  <c r="AI56" i="14"/>
  <c r="AJ56" i="14"/>
  <c r="AK56" i="14"/>
  <c r="AL56" i="14"/>
  <c r="AM56" i="14"/>
  <c r="AN56" i="14"/>
  <c r="AO56" i="14"/>
  <c r="AP56" i="14"/>
  <c r="AQ56" i="14"/>
  <c r="AR56" i="14"/>
  <c r="AS56" i="14"/>
  <c r="AT56" i="14"/>
  <c r="AU56" i="14"/>
  <c r="AV56" i="14"/>
  <c r="AW56" i="14"/>
  <c r="AX56" i="14"/>
  <c r="AY56" i="14"/>
  <c r="AZ56" i="14"/>
  <c r="BA56" i="14"/>
  <c r="BB56" i="14"/>
  <c r="BC56" i="14"/>
  <c r="BD56" i="14"/>
  <c r="BE56" i="14"/>
  <c r="BF56" i="14"/>
  <c r="BG56" i="14"/>
  <c r="BH56" i="14"/>
  <c r="BI56" i="14"/>
  <c r="BJ56" i="14"/>
  <c r="BK56" i="14"/>
  <c r="BL56" i="14"/>
  <c r="BM56" i="14"/>
  <c r="BN56" i="14"/>
  <c r="BO56" i="14"/>
  <c r="BP56" i="14"/>
  <c r="BQ56" i="14"/>
  <c r="BR56" i="14"/>
  <c r="BS56" i="14"/>
  <c r="BT56" i="14"/>
  <c r="C57" i="14"/>
  <c r="D57" i="14"/>
  <c r="E57" i="14"/>
  <c r="F57" i="14"/>
  <c r="G57" i="14"/>
  <c r="H57" i="14"/>
  <c r="I57" i="14"/>
  <c r="J57" i="14"/>
  <c r="K57" i="14"/>
  <c r="L57" i="14"/>
  <c r="M57" i="14"/>
  <c r="N57" i="14"/>
  <c r="O57" i="14"/>
  <c r="P57" i="14"/>
  <c r="Q57" i="14"/>
  <c r="R57" i="14"/>
  <c r="S57" i="14"/>
  <c r="T57" i="14"/>
  <c r="U57" i="14"/>
  <c r="V57" i="14"/>
  <c r="W57" i="14"/>
  <c r="X57" i="14"/>
  <c r="Y57" i="14"/>
  <c r="Z57" i="14"/>
  <c r="AA57" i="14"/>
  <c r="AB57" i="14"/>
  <c r="AC57" i="14"/>
  <c r="AD57" i="14"/>
  <c r="AE57" i="14"/>
  <c r="AF57" i="14"/>
  <c r="AG57" i="14"/>
  <c r="AH57" i="14"/>
  <c r="AI57" i="14"/>
  <c r="AJ57" i="14"/>
  <c r="AK57" i="14"/>
  <c r="AL57" i="14"/>
  <c r="AM57" i="14"/>
  <c r="AN57" i="14"/>
  <c r="AO57" i="14"/>
  <c r="AP57" i="14"/>
  <c r="AQ57" i="14"/>
  <c r="AR57" i="14"/>
  <c r="AS57" i="14"/>
  <c r="AT57" i="14"/>
  <c r="AU57" i="14"/>
  <c r="AV57" i="14"/>
  <c r="AW57" i="14"/>
  <c r="AX57" i="14"/>
  <c r="AY57" i="14"/>
  <c r="AZ57" i="14"/>
  <c r="BA57" i="14"/>
  <c r="BB57" i="14"/>
  <c r="BC57" i="14"/>
  <c r="BD57" i="14"/>
  <c r="BE57" i="14"/>
  <c r="BF57" i="14"/>
  <c r="BG57" i="14"/>
  <c r="BH57" i="14"/>
  <c r="BI57" i="14"/>
  <c r="BJ57" i="14"/>
  <c r="BK57" i="14"/>
  <c r="BL57" i="14"/>
  <c r="BM57" i="14"/>
  <c r="BN57" i="14"/>
  <c r="BO57" i="14"/>
  <c r="BP57" i="14"/>
  <c r="BQ57" i="14"/>
  <c r="BR57" i="14"/>
  <c r="BS57" i="14"/>
  <c r="BT57" i="14"/>
  <c r="C58" i="14"/>
  <c r="D58" i="14"/>
  <c r="E58" i="14"/>
  <c r="F58" i="14"/>
  <c r="G58" i="14"/>
  <c r="H58" i="14"/>
  <c r="I58" i="14"/>
  <c r="J58" i="14"/>
  <c r="K58" i="14"/>
  <c r="L58" i="14"/>
  <c r="M58" i="14"/>
  <c r="N58" i="14"/>
  <c r="O58" i="14"/>
  <c r="P58" i="14"/>
  <c r="Q58" i="14"/>
  <c r="R58" i="14"/>
  <c r="S58" i="14"/>
  <c r="T58" i="14"/>
  <c r="U58" i="14"/>
  <c r="V58" i="14"/>
  <c r="W58" i="14"/>
  <c r="X58" i="14"/>
  <c r="Y58" i="14"/>
  <c r="Z58" i="14"/>
  <c r="AA58" i="14"/>
  <c r="AB58" i="14"/>
  <c r="AC58" i="14"/>
  <c r="AD58" i="14"/>
  <c r="AE58" i="14"/>
  <c r="AF58" i="14"/>
  <c r="AG58" i="14"/>
  <c r="AH58" i="14"/>
  <c r="AI58" i="14"/>
  <c r="AJ58" i="14"/>
  <c r="AK58" i="14"/>
  <c r="AL58" i="14"/>
  <c r="AM58" i="14"/>
  <c r="AN58" i="14"/>
  <c r="AO58" i="14"/>
  <c r="AP58" i="14"/>
  <c r="AQ58" i="14"/>
  <c r="AR58" i="14"/>
  <c r="AS58" i="14"/>
  <c r="AT58" i="14"/>
  <c r="AU58" i="14"/>
  <c r="AV58" i="14"/>
  <c r="AW58" i="14"/>
  <c r="AX58" i="14"/>
  <c r="AY58" i="14"/>
  <c r="AZ58" i="14"/>
  <c r="BA58" i="14"/>
  <c r="BB58" i="14"/>
  <c r="BC58" i="14"/>
  <c r="BD58" i="14"/>
  <c r="BE58" i="14"/>
  <c r="BF58" i="14"/>
  <c r="BG58" i="14"/>
  <c r="BH58" i="14"/>
  <c r="BI58" i="14"/>
  <c r="BJ58" i="14"/>
  <c r="BK58" i="14"/>
  <c r="BL58" i="14"/>
  <c r="BM58" i="14"/>
  <c r="BN58" i="14"/>
  <c r="BO58" i="14"/>
  <c r="BP58" i="14"/>
  <c r="BQ58" i="14"/>
  <c r="BR58" i="14"/>
  <c r="BS58" i="14"/>
  <c r="BT58" i="14"/>
  <c r="C59" i="14"/>
  <c r="D59" i="14"/>
  <c r="E59" i="14"/>
  <c r="F59" i="14"/>
  <c r="G59" i="14"/>
  <c r="H59" i="14"/>
  <c r="I59" i="14"/>
  <c r="J59" i="14"/>
  <c r="K59" i="14"/>
  <c r="L59" i="14"/>
  <c r="M59" i="14"/>
  <c r="N59" i="14"/>
  <c r="O59" i="14"/>
  <c r="P59" i="14"/>
  <c r="Q59" i="14"/>
  <c r="R59" i="14"/>
  <c r="S59" i="14"/>
  <c r="T59" i="14"/>
  <c r="U59" i="14"/>
  <c r="V59" i="14"/>
  <c r="W59" i="14"/>
  <c r="X59" i="14"/>
  <c r="Y59" i="14"/>
  <c r="Z59" i="14"/>
  <c r="AA59" i="14"/>
  <c r="AB59" i="14"/>
  <c r="AC59" i="14"/>
  <c r="AD59" i="14"/>
  <c r="AE59" i="14"/>
  <c r="AF59" i="14"/>
  <c r="AG59" i="14"/>
  <c r="AH59" i="14"/>
  <c r="AI59" i="14"/>
  <c r="AJ59" i="14"/>
  <c r="AK59" i="14"/>
  <c r="AL59" i="14"/>
  <c r="AM59" i="14"/>
  <c r="AN59" i="14"/>
  <c r="AO59" i="14"/>
  <c r="AP59" i="14"/>
  <c r="AQ59" i="14"/>
  <c r="AR59" i="14"/>
  <c r="AS59" i="14"/>
  <c r="AT59" i="14"/>
  <c r="AU59" i="14"/>
  <c r="AV59" i="14"/>
  <c r="AW59" i="14"/>
  <c r="AX59" i="14"/>
  <c r="AY59" i="14"/>
  <c r="AZ59" i="14"/>
  <c r="BA59" i="14"/>
  <c r="BB59" i="14"/>
  <c r="BC59" i="14"/>
  <c r="BD59" i="14"/>
  <c r="BE59" i="14"/>
  <c r="BF59" i="14"/>
  <c r="BG59" i="14"/>
  <c r="BH59" i="14"/>
  <c r="BI59" i="14"/>
  <c r="BJ59" i="14"/>
  <c r="BK59" i="14"/>
  <c r="BL59" i="14"/>
  <c r="BM59" i="14"/>
  <c r="BN59" i="14"/>
  <c r="BO59" i="14"/>
  <c r="BP59" i="14"/>
  <c r="BQ59" i="14"/>
  <c r="BR59" i="14"/>
  <c r="BS59" i="14"/>
  <c r="BT59" i="14"/>
  <c r="C60" i="14"/>
  <c r="D60" i="14"/>
  <c r="E60" i="14"/>
  <c r="F60" i="14"/>
  <c r="G60" i="14"/>
  <c r="H60" i="14"/>
  <c r="I60" i="14"/>
  <c r="J60" i="14"/>
  <c r="K60" i="14"/>
  <c r="L60" i="14"/>
  <c r="M60" i="14"/>
  <c r="N60" i="14"/>
  <c r="O60" i="14"/>
  <c r="P60" i="14"/>
  <c r="Q60" i="14"/>
  <c r="R60" i="14"/>
  <c r="S60" i="14"/>
  <c r="T60" i="14"/>
  <c r="U60" i="14"/>
  <c r="V60" i="14"/>
  <c r="W60" i="14"/>
  <c r="X60" i="14"/>
  <c r="Y60" i="14"/>
  <c r="Z60" i="14"/>
  <c r="AA60" i="14"/>
  <c r="AB60" i="14"/>
  <c r="AC60" i="14"/>
  <c r="AD60" i="14"/>
  <c r="AE60" i="14"/>
  <c r="AF60" i="14"/>
  <c r="AG60" i="14"/>
  <c r="AH60" i="14"/>
  <c r="AI60" i="14"/>
  <c r="AJ60" i="14"/>
  <c r="AK60" i="14"/>
  <c r="AL60" i="14"/>
  <c r="AM60" i="14"/>
  <c r="AN60" i="14"/>
  <c r="AO60" i="14"/>
  <c r="AP60" i="14"/>
  <c r="AQ60" i="14"/>
  <c r="AR60" i="14"/>
  <c r="AS60" i="14"/>
  <c r="AT60" i="14"/>
  <c r="AU60" i="14"/>
  <c r="AV60" i="14"/>
  <c r="AW60" i="14"/>
  <c r="AX60" i="14"/>
  <c r="AY60" i="14"/>
  <c r="AZ60" i="14"/>
  <c r="BA60" i="14"/>
  <c r="BB60" i="14"/>
  <c r="BC60" i="14"/>
  <c r="BD60" i="14"/>
  <c r="BE60" i="14"/>
  <c r="BF60" i="14"/>
  <c r="BG60" i="14"/>
  <c r="BH60" i="14"/>
  <c r="BI60" i="14"/>
  <c r="BJ60" i="14"/>
  <c r="BK60" i="14"/>
  <c r="BL60" i="14"/>
  <c r="BM60" i="14"/>
  <c r="BN60" i="14"/>
  <c r="BO60" i="14"/>
  <c r="BP60" i="14"/>
  <c r="BQ60" i="14"/>
  <c r="BR60" i="14"/>
  <c r="BS60" i="14"/>
  <c r="BT60" i="14"/>
  <c r="C61" i="14"/>
  <c r="D61" i="14"/>
  <c r="E61" i="14"/>
  <c r="F61" i="14"/>
  <c r="G61" i="14"/>
  <c r="H61" i="14"/>
  <c r="I61" i="14"/>
  <c r="J61" i="14"/>
  <c r="K61" i="14"/>
  <c r="L61" i="14"/>
  <c r="M61" i="14"/>
  <c r="N61" i="14"/>
  <c r="O61" i="14"/>
  <c r="P61" i="14"/>
  <c r="Q61" i="14"/>
  <c r="R61" i="14"/>
  <c r="S61" i="14"/>
  <c r="T61" i="14"/>
  <c r="U61" i="14"/>
  <c r="V61" i="14"/>
  <c r="W61" i="14"/>
  <c r="X61" i="14"/>
  <c r="Y61" i="14"/>
  <c r="Z61" i="14"/>
  <c r="AA61" i="14"/>
  <c r="AB61" i="14"/>
  <c r="AC61" i="14"/>
  <c r="AD61" i="14"/>
  <c r="AE61" i="14"/>
  <c r="AF61" i="14"/>
  <c r="AG61" i="14"/>
  <c r="AH61" i="14"/>
  <c r="AI61" i="14"/>
  <c r="AJ61" i="14"/>
  <c r="AK61" i="14"/>
  <c r="AL61" i="14"/>
  <c r="AM61" i="14"/>
  <c r="AN61" i="14"/>
  <c r="AO61" i="14"/>
  <c r="AP61" i="14"/>
  <c r="AQ61" i="14"/>
  <c r="AR61" i="14"/>
  <c r="AS61" i="14"/>
  <c r="AT61" i="14"/>
  <c r="AU61" i="14"/>
  <c r="AV61" i="14"/>
  <c r="AW61" i="14"/>
  <c r="AX61" i="14"/>
  <c r="AY61" i="14"/>
  <c r="AZ61" i="14"/>
  <c r="BA61" i="14"/>
  <c r="BB61" i="14"/>
  <c r="BC61" i="14"/>
  <c r="BD61" i="14"/>
  <c r="BE61" i="14"/>
  <c r="BF61" i="14"/>
  <c r="BG61" i="14"/>
  <c r="BH61" i="14"/>
  <c r="BI61" i="14"/>
  <c r="BJ61" i="14"/>
  <c r="BK61" i="14"/>
  <c r="BL61" i="14"/>
  <c r="BM61" i="14"/>
  <c r="BN61" i="14"/>
  <c r="BO61" i="14"/>
  <c r="BP61" i="14"/>
  <c r="BQ61" i="14"/>
  <c r="BR61" i="14"/>
  <c r="BS61" i="14"/>
  <c r="BT61" i="14"/>
  <c r="C62" i="14"/>
  <c r="D62" i="14"/>
  <c r="E62" i="14"/>
  <c r="F62" i="14"/>
  <c r="G62" i="14"/>
  <c r="H62" i="14"/>
  <c r="I62" i="14"/>
  <c r="J62" i="14"/>
  <c r="K62" i="14"/>
  <c r="L62" i="14"/>
  <c r="M62" i="14"/>
  <c r="N62" i="14"/>
  <c r="O62" i="14"/>
  <c r="P62" i="14"/>
  <c r="Q62" i="14"/>
  <c r="R62" i="14"/>
  <c r="S62" i="14"/>
  <c r="T62" i="14"/>
  <c r="U62" i="14"/>
  <c r="V62" i="14"/>
  <c r="W62" i="14"/>
  <c r="X62" i="14"/>
  <c r="Y62" i="14"/>
  <c r="Z62" i="14"/>
  <c r="AA62" i="14"/>
  <c r="AB62" i="14"/>
  <c r="AC62" i="14"/>
  <c r="AD62" i="14"/>
  <c r="AE62" i="14"/>
  <c r="AF62" i="14"/>
  <c r="AG62" i="14"/>
  <c r="AH62" i="14"/>
  <c r="AI62" i="14"/>
  <c r="AJ62" i="14"/>
  <c r="AK62" i="14"/>
  <c r="AL62" i="14"/>
  <c r="AM62" i="14"/>
  <c r="AN62" i="14"/>
  <c r="AO62" i="14"/>
  <c r="AP62" i="14"/>
  <c r="AQ62" i="14"/>
  <c r="AR62" i="14"/>
  <c r="AS62" i="14"/>
  <c r="AT62" i="14"/>
  <c r="AU62" i="14"/>
  <c r="AV62" i="14"/>
  <c r="AW62" i="14"/>
  <c r="AX62" i="14"/>
  <c r="AY62" i="14"/>
  <c r="AZ62" i="14"/>
  <c r="BA62" i="14"/>
  <c r="BB62" i="14"/>
  <c r="BC62" i="14"/>
  <c r="BD62" i="14"/>
  <c r="BE62" i="14"/>
  <c r="BF62" i="14"/>
  <c r="BG62" i="14"/>
  <c r="BH62" i="14"/>
  <c r="BI62" i="14"/>
  <c r="BJ62" i="14"/>
  <c r="BK62" i="14"/>
  <c r="BL62" i="14"/>
  <c r="BM62" i="14"/>
  <c r="BN62" i="14"/>
  <c r="BO62" i="14"/>
  <c r="BP62" i="14"/>
  <c r="BQ62" i="14"/>
  <c r="BR62" i="14"/>
  <c r="BS62" i="14"/>
  <c r="BT62" i="14"/>
  <c r="C63" i="14"/>
  <c r="D63" i="14"/>
  <c r="E63" i="14"/>
  <c r="F63" i="14"/>
  <c r="G63" i="14"/>
  <c r="H63" i="14"/>
  <c r="I63" i="14"/>
  <c r="J63" i="14"/>
  <c r="K63" i="14"/>
  <c r="L63" i="14"/>
  <c r="M63" i="14"/>
  <c r="N63" i="14"/>
  <c r="O63" i="14"/>
  <c r="P63" i="14"/>
  <c r="Q63" i="14"/>
  <c r="R63" i="14"/>
  <c r="S63" i="14"/>
  <c r="T63" i="14"/>
  <c r="U63" i="14"/>
  <c r="V63" i="14"/>
  <c r="W63" i="14"/>
  <c r="X63" i="14"/>
  <c r="Y63" i="14"/>
  <c r="Z63" i="14"/>
  <c r="AA63" i="14"/>
  <c r="AB63" i="14"/>
  <c r="AC63" i="14"/>
  <c r="AD63" i="14"/>
  <c r="AE63" i="14"/>
  <c r="AF63" i="14"/>
  <c r="AG63" i="14"/>
  <c r="AH63" i="14"/>
  <c r="AI63" i="14"/>
  <c r="AJ63" i="14"/>
  <c r="AK63" i="14"/>
  <c r="AL63" i="14"/>
  <c r="AM63" i="14"/>
  <c r="AN63" i="14"/>
  <c r="AO63" i="14"/>
  <c r="AP63" i="14"/>
  <c r="AQ63" i="14"/>
  <c r="AR63" i="14"/>
  <c r="AS63" i="14"/>
  <c r="AT63" i="14"/>
  <c r="AU63" i="14"/>
  <c r="AV63" i="14"/>
  <c r="AW63" i="14"/>
  <c r="AX63" i="14"/>
  <c r="AY63" i="14"/>
  <c r="AZ63" i="14"/>
  <c r="BA63" i="14"/>
  <c r="BB63" i="14"/>
  <c r="BC63" i="14"/>
  <c r="BD63" i="14"/>
  <c r="BE63" i="14"/>
  <c r="BF63" i="14"/>
  <c r="BG63" i="14"/>
  <c r="BH63" i="14"/>
  <c r="BI63" i="14"/>
  <c r="BJ63" i="14"/>
  <c r="BK63" i="14"/>
  <c r="BL63" i="14"/>
  <c r="BM63" i="14"/>
  <c r="BN63" i="14"/>
  <c r="BO63" i="14"/>
  <c r="BP63" i="14"/>
  <c r="BQ63" i="14"/>
  <c r="BR63" i="14"/>
  <c r="BS63" i="14"/>
  <c r="BT63" i="14"/>
  <c r="C64" i="14"/>
  <c r="D64" i="14"/>
  <c r="E64" i="14"/>
  <c r="F64" i="14"/>
  <c r="G64" i="14"/>
  <c r="H64" i="14"/>
  <c r="I64" i="14"/>
  <c r="J64" i="14"/>
  <c r="K64" i="14"/>
  <c r="L64" i="14"/>
  <c r="M64" i="14"/>
  <c r="N64" i="14"/>
  <c r="O64" i="14"/>
  <c r="P64" i="14"/>
  <c r="Q64" i="14"/>
  <c r="R64" i="14"/>
  <c r="S64" i="14"/>
  <c r="T64" i="14"/>
  <c r="U64" i="14"/>
  <c r="V64" i="14"/>
  <c r="W64" i="14"/>
  <c r="X64" i="14"/>
  <c r="Y64" i="14"/>
  <c r="Z64" i="14"/>
  <c r="AA64" i="14"/>
  <c r="AB64" i="14"/>
  <c r="AC64" i="14"/>
  <c r="AD64" i="14"/>
  <c r="AE64" i="14"/>
  <c r="AF64" i="14"/>
  <c r="AG64" i="14"/>
  <c r="AH64" i="14"/>
  <c r="AI64" i="14"/>
  <c r="AJ64" i="14"/>
  <c r="AK64" i="14"/>
  <c r="AL64" i="14"/>
  <c r="AM64" i="14"/>
  <c r="AN64" i="14"/>
  <c r="AO64" i="14"/>
  <c r="AP64" i="14"/>
  <c r="AQ64" i="14"/>
  <c r="AR64" i="14"/>
  <c r="AS64" i="14"/>
  <c r="AT64" i="14"/>
  <c r="AU64" i="14"/>
  <c r="AV64" i="14"/>
  <c r="AW64" i="14"/>
  <c r="AX64" i="14"/>
  <c r="AY64" i="14"/>
  <c r="AZ64" i="14"/>
  <c r="BA64" i="14"/>
  <c r="BB64" i="14"/>
  <c r="BC64" i="14"/>
  <c r="BD64" i="14"/>
  <c r="BE64" i="14"/>
  <c r="BF64" i="14"/>
  <c r="BG64" i="14"/>
  <c r="BH64" i="14"/>
  <c r="BI64" i="14"/>
  <c r="BJ64" i="14"/>
  <c r="BK64" i="14"/>
  <c r="BL64" i="14"/>
  <c r="BM64" i="14"/>
  <c r="BN64" i="14"/>
  <c r="BO64" i="14"/>
  <c r="BP64" i="14"/>
  <c r="BQ64" i="14"/>
  <c r="BR64" i="14"/>
  <c r="BS64" i="14"/>
  <c r="BT64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35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O34" i="14"/>
  <c r="P34" i="14"/>
  <c r="Q34" i="14"/>
  <c r="R34" i="14"/>
  <c r="S34" i="14"/>
  <c r="T34" i="14"/>
  <c r="U34" i="14"/>
  <c r="V34" i="14"/>
  <c r="W34" i="14"/>
  <c r="X34" i="14"/>
  <c r="Y34" i="14"/>
  <c r="Z34" i="14"/>
  <c r="AA34" i="14"/>
  <c r="AB34" i="14"/>
  <c r="AC34" i="14"/>
  <c r="AD34" i="14"/>
  <c r="AE34" i="14"/>
  <c r="AF34" i="14"/>
  <c r="AG34" i="14"/>
  <c r="AH34" i="14"/>
  <c r="AI34" i="14"/>
  <c r="AJ34" i="14"/>
  <c r="AK34" i="14"/>
  <c r="AL34" i="14"/>
  <c r="AM34" i="14"/>
  <c r="AN34" i="14"/>
  <c r="AO34" i="14"/>
  <c r="AP34" i="14"/>
  <c r="AQ34" i="14"/>
  <c r="AR34" i="14"/>
  <c r="AS34" i="14"/>
  <c r="AT34" i="14"/>
  <c r="AU34" i="14"/>
  <c r="AV34" i="14"/>
  <c r="AW34" i="14"/>
  <c r="AX34" i="14"/>
  <c r="AY34" i="14"/>
  <c r="AZ34" i="14"/>
  <c r="BA34" i="14"/>
  <c r="BB34" i="14"/>
  <c r="BC34" i="14"/>
  <c r="BD34" i="14"/>
  <c r="BE34" i="14"/>
  <c r="BF34" i="14"/>
  <c r="BG34" i="14"/>
  <c r="BH34" i="14"/>
  <c r="BI34" i="14"/>
  <c r="BJ34" i="14"/>
  <c r="BK34" i="14"/>
  <c r="BL34" i="14"/>
  <c r="BM34" i="14"/>
  <c r="BN34" i="14"/>
  <c r="BO34" i="14"/>
  <c r="BP34" i="14"/>
  <c r="BQ34" i="14"/>
  <c r="BR34" i="14"/>
  <c r="BS34" i="14"/>
  <c r="BT34" i="14"/>
  <c r="B34" i="14"/>
  <c r="BO67" i="8"/>
  <c r="BP67" i="8"/>
  <c r="BQ67" i="8"/>
  <c r="BR67" i="8"/>
  <c r="BS67" i="8"/>
  <c r="BT67" i="8"/>
  <c r="BO68" i="8"/>
  <c r="BP68" i="8"/>
  <c r="BQ68" i="8"/>
  <c r="BR68" i="8"/>
  <c r="BS68" i="8"/>
  <c r="BT68" i="8"/>
  <c r="BO69" i="8"/>
  <c r="BP69" i="8"/>
  <c r="BQ69" i="8"/>
  <c r="BR69" i="8"/>
  <c r="BS69" i="8"/>
  <c r="BT69" i="8"/>
  <c r="BO70" i="8"/>
  <c r="BP70" i="8"/>
  <c r="BQ70" i="8"/>
  <c r="BR70" i="8"/>
  <c r="BS70" i="8"/>
  <c r="BT70" i="8"/>
  <c r="BO71" i="8"/>
  <c r="BP71" i="8"/>
  <c r="BQ71" i="8"/>
  <c r="BR71" i="8"/>
  <c r="BS71" i="8"/>
  <c r="BT71" i="8"/>
  <c r="BO72" i="8"/>
  <c r="BP72" i="8"/>
  <c r="BQ72" i="8"/>
  <c r="BR72" i="8"/>
  <c r="BS72" i="8"/>
  <c r="BT72" i="8"/>
  <c r="BO73" i="8"/>
  <c r="BP73" i="8"/>
  <c r="BQ73" i="8"/>
  <c r="BR73" i="8"/>
  <c r="BS73" i="8"/>
  <c r="BT73" i="8"/>
  <c r="BO74" i="8"/>
  <c r="BP74" i="8"/>
  <c r="BQ74" i="8"/>
  <c r="BR74" i="8"/>
  <c r="BS74" i="8"/>
  <c r="BT74" i="8"/>
  <c r="BO75" i="8"/>
  <c r="BP75" i="8"/>
  <c r="BQ75" i="8"/>
  <c r="BR75" i="8"/>
  <c r="BS75" i="8"/>
  <c r="BT75" i="8"/>
  <c r="BO76" i="8"/>
  <c r="BP76" i="8"/>
  <c r="BQ76" i="8"/>
  <c r="BR76" i="8"/>
  <c r="BS76" i="8"/>
  <c r="BT76" i="8"/>
  <c r="BO77" i="8"/>
  <c r="BP77" i="8"/>
  <c r="BQ77" i="8"/>
  <c r="BR77" i="8"/>
  <c r="BS77" i="8"/>
  <c r="BT77" i="8"/>
  <c r="BO78" i="8"/>
  <c r="BP78" i="8"/>
  <c r="BQ78" i="8"/>
  <c r="BR78" i="8"/>
  <c r="BS78" i="8"/>
  <c r="BT78" i="8"/>
  <c r="BO79" i="8"/>
  <c r="BP79" i="8"/>
  <c r="BQ79" i="8"/>
  <c r="BR79" i="8"/>
  <c r="BS79" i="8"/>
  <c r="BT79" i="8"/>
  <c r="BO80" i="8"/>
  <c r="BP80" i="8"/>
  <c r="BQ80" i="8"/>
  <c r="BR80" i="8"/>
  <c r="BS80" i="8"/>
  <c r="BT80" i="8"/>
  <c r="BO81" i="8"/>
  <c r="BP81" i="8"/>
  <c r="BQ81" i="8"/>
  <c r="BR81" i="8"/>
  <c r="BS81" i="8"/>
  <c r="BT81" i="8"/>
  <c r="BO82" i="8"/>
  <c r="BP82" i="8"/>
  <c r="BQ82" i="8"/>
  <c r="BR82" i="8"/>
  <c r="BS82" i="8"/>
  <c r="BT82" i="8"/>
  <c r="BO83" i="8"/>
  <c r="BP83" i="8"/>
  <c r="BQ83" i="8"/>
  <c r="BR83" i="8"/>
  <c r="BS83" i="8"/>
  <c r="BT83" i="8"/>
  <c r="BO84" i="8"/>
  <c r="BP84" i="8"/>
  <c r="BQ84" i="8"/>
  <c r="BR84" i="8"/>
  <c r="BS84" i="8"/>
  <c r="BT84" i="8"/>
  <c r="BO85" i="8"/>
  <c r="BP85" i="8"/>
  <c r="BQ85" i="8"/>
  <c r="BR85" i="8"/>
  <c r="BS85" i="8"/>
  <c r="BT85" i="8"/>
  <c r="BO86" i="8"/>
  <c r="BP86" i="8"/>
  <c r="BQ86" i="8"/>
  <c r="BR86" i="8"/>
  <c r="BS86" i="8"/>
  <c r="BT86" i="8"/>
  <c r="BO87" i="8"/>
  <c r="BP87" i="8"/>
  <c r="BQ87" i="8"/>
  <c r="BR87" i="8"/>
  <c r="BS87" i="8"/>
  <c r="BT87" i="8"/>
  <c r="BO88" i="8"/>
  <c r="BP88" i="8"/>
  <c r="BQ88" i="8"/>
  <c r="BR88" i="8"/>
  <c r="BS88" i="8"/>
  <c r="BT88" i="8"/>
  <c r="BO89" i="8"/>
  <c r="BP89" i="8"/>
  <c r="BQ89" i="8"/>
  <c r="BR89" i="8"/>
  <c r="BS89" i="8"/>
  <c r="BT89" i="8"/>
  <c r="BO90" i="8"/>
  <c r="BP90" i="8"/>
  <c r="BQ90" i="8"/>
  <c r="BR90" i="8"/>
  <c r="BS90" i="8"/>
  <c r="BT90" i="8"/>
  <c r="BO91" i="8"/>
  <c r="BP91" i="8"/>
  <c r="BQ91" i="8"/>
  <c r="BR91" i="8"/>
  <c r="BS91" i="8"/>
  <c r="BT91" i="8"/>
  <c r="BO92" i="8"/>
  <c r="BP92" i="8"/>
  <c r="BQ92" i="8"/>
  <c r="BR92" i="8"/>
  <c r="BS92" i="8"/>
  <c r="BT92" i="8"/>
  <c r="BO93" i="8"/>
  <c r="BP93" i="8"/>
  <c r="BQ93" i="8"/>
  <c r="BR93" i="8"/>
  <c r="BS93" i="8"/>
  <c r="BT93" i="8"/>
  <c r="BO94" i="8"/>
  <c r="BP94" i="8"/>
  <c r="BQ94" i="8"/>
  <c r="BR94" i="8"/>
  <c r="BS94" i="8"/>
  <c r="BT94" i="8"/>
  <c r="BO95" i="8"/>
  <c r="BP95" i="8"/>
  <c r="BQ95" i="8"/>
  <c r="BR95" i="8"/>
  <c r="BS95" i="8"/>
  <c r="BT95" i="8"/>
  <c r="C96" i="8"/>
  <c r="D96" i="8"/>
  <c r="E96" i="8"/>
  <c r="F96" i="8"/>
  <c r="G96" i="8"/>
  <c r="H96" i="8"/>
  <c r="I96" i="8"/>
  <c r="J96" i="8"/>
  <c r="K96" i="8"/>
  <c r="L96" i="8"/>
  <c r="M96" i="8"/>
  <c r="N96" i="8"/>
  <c r="O96" i="8"/>
  <c r="P96" i="8"/>
  <c r="Q96" i="8"/>
  <c r="R96" i="8"/>
  <c r="S96" i="8"/>
  <c r="T96" i="8"/>
  <c r="U96" i="8"/>
  <c r="V96" i="8"/>
  <c r="W96" i="8"/>
  <c r="X96" i="8"/>
  <c r="Y96" i="8"/>
  <c r="Z96" i="8"/>
  <c r="AA96" i="8"/>
  <c r="AB96" i="8"/>
  <c r="AC96" i="8"/>
  <c r="AD96" i="8"/>
  <c r="AE96" i="8"/>
  <c r="AF96" i="8"/>
  <c r="AG96" i="8"/>
  <c r="AH96" i="8"/>
  <c r="AI96" i="8"/>
  <c r="AJ96" i="8"/>
  <c r="AK96" i="8"/>
  <c r="AL96" i="8"/>
  <c r="AM96" i="8"/>
  <c r="AN96" i="8"/>
  <c r="AO96" i="8"/>
  <c r="AP96" i="8"/>
  <c r="AQ96" i="8"/>
  <c r="AR96" i="8"/>
  <c r="AS96" i="8"/>
  <c r="AT96" i="8"/>
  <c r="AU96" i="8"/>
  <c r="AV96" i="8"/>
  <c r="AW96" i="8"/>
  <c r="AX96" i="8"/>
  <c r="AY96" i="8"/>
  <c r="AZ96" i="8"/>
  <c r="BA96" i="8"/>
  <c r="BB96" i="8"/>
  <c r="BC96" i="8"/>
  <c r="BD96" i="8"/>
  <c r="BE96" i="8"/>
  <c r="BF96" i="8"/>
  <c r="BG96" i="8"/>
  <c r="BH96" i="8"/>
  <c r="BI96" i="8"/>
  <c r="BJ96" i="8"/>
  <c r="BK96" i="8"/>
  <c r="BL96" i="8"/>
  <c r="BM96" i="8"/>
  <c r="BN96" i="8"/>
  <c r="BO96" i="8"/>
  <c r="BP96" i="8"/>
  <c r="BQ96" i="8"/>
  <c r="BR96" i="8"/>
  <c r="BS96" i="8"/>
  <c r="BT96" i="8"/>
  <c r="A96" i="8"/>
  <c r="B96" i="8"/>
  <c r="BO66" i="8"/>
  <c r="BP66" i="8"/>
  <c r="BQ66" i="8"/>
  <c r="BR66" i="8"/>
  <c r="BS66" i="8"/>
  <c r="BT66" i="8"/>
  <c r="BO34" i="8"/>
  <c r="BP34" i="8"/>
  <c r="BQ34" i="8"/>
  <c r="BR34" i="8"/>
  <c r="BS34" i="8"/>
  <c r="BT34" i="8"/>
  <c r="BO36" i="8"/>
  <c r="BP36" i="8"/>
  <c r="BQ36" i="8"/>
  <c r="BR36" i="8"/>
  <c r="BS36" i="8"/>
  <c r="BT36" i="8"/>
  <c r="BO37" i="8"/>
  <c r="BP37" i="8"/>
  <c r="BQ37" i="8"/>
  <c r="BR37" i="8"/>
  <c r="BS37" i="8"/>
  <c r="BT37" i="8"/>
  <c r="BO38" i="8"/>
  <c r="BP38" i="8"/>
  <c r="BQ38" i="8"/>
  <c r="BR38" i="8"/>
  <c r="BS38" i="8"/>
  <c r="BT38" i="8"/>
  <c r="BO39" i="8"/>
  <c r="BP39" i="8"/>
  <c r="BQ39" i="8"/>
  <c r="BR39" i="8"/>
  <c r="BS39" i="8"/>
  <c r="BT39" i="8"/>
  <c r="BO40" i="8"/>
  <c r="BP40" i="8"/>
  <c r="BQ40" i="8"/>
  <c r="BR40" i="8"/>
  <c r="BS40" i="8"/>
  <c r="BT40" i="8"/>
  <c r="BO41" i="8"/>
  <c r="BP41" i="8"/>
  <c r="BQ41" i="8"/>
  <c r="BR41" i="8"/>
  <c r="BS41" i="8"/>
  <c r="BT41" i="8"/>
  <c r="BO42" i="8"/>
  <c r="BP42" i="8"/>
  <c r="BQ42" i="8"/>
  <c r="BR42" i="8"/>
  <c r="BS42" i="8"/>
  <c r="BT42" i="8"/>
  <c r="BO43" i="8"/>
  <c r="BP43" i="8"/>
  <c r="BQ43" i="8"/>
  <c r="BR43" i="8"/>
  <c r="BS43" i="8"/>
  <c r="BT43" i="8"/>
  <c r="BO44" i="8"/>
  <c r="BP44" i="8"/>
  <c r="BQ44" i="8"/>
  <c r="BR44" i="8"/>
  <c r="BS44" i="8"/>
  <c r="BT44" i="8"/>
  <c r="BO45" i="8"/>
  <c r="BP45" i="8"/>
  <c r="BQ45" i="8"/>
  <c r="BR45" i="8"/>
  <c r="BS45" i="8"/>
  <c r="BT45" i="8"/>
  <c r="BO46" i="8"/>
  <c r="BP46" i="8"/>
  <c r="BQ46" i="8"/>
  <c r="BR46" i="8"/>
  <c r="BS46" i="8"/>
  <c r="BT46" i="8"/>
  <c r="BO47" i="8"/>
  <c r="BP47" i="8"/>
  <c r="BQ47" i="8"/>
  <c r="BR47" i="8"/>
  <c r="BS47" i="8"/>
  <c r="BT47" i="8"/>
  <c r="BO48" i="8"/>
  <c r="BP48" i="8"/>
  <c r="BQ48" i="8"/>
  <c r="BR48" i="8"/>
  <c r="BS48" i="8"/>
  <c r="BT48" i="8"/>
  <c r="BO49" i="8"/>
  <c r="BP49" i="8"/>
  <c r="BQ49" i="8"/>
  <c r="BR49" i="8"/>
  <c r="BS49" i="8"/>
  <c r="BT49" i="8"/>
  <c r="BO50" i="8"/>
  <c r="BP50" i="8"/>
  <c r="BQ50" i="8"/>
  <c r="BR50" i="8"/>
  <c r="BS50" i="8"/>
  <c r="BT50" i="8"/>
  <c r="BO51" i="8"/>
  <c r="BP51" i="8"/>
  <c r="BQ51" i="8"/>
  <c r="BR51" i="8"/>
  <c r="BS51" i="8"/>
  <c r="BT51" i="8"/>
  <c r="BO52" i="8"/>
  <c r="BP52" i="8"/>
  <c r="BQ52" i="8"/>
  <c r="BR52" i="8"/>
  <c r="BS52" i="8"/>
  <c r="BT52" i="8"/>
  <c r="BO53" i="8"/>
  <c r="BP53" i="8"/>
  <c r="BQ53" i="8"/>
  <c r="BR53" i="8"/>
  <c r="BS53" i="8"/>
  <c r="BT53" i="8"/>
  <c r="BO54" i="8"/>
  <c r="BP54" i="8"/>
  <c r="BQ54" i="8"/>
  <c r="BR54" i="8"/>
  <c r="BS54" i="8"/>
  <c r="BT54" i="8"/>
  <c r="BO55" i="8"/>
  <c r="BP55" i="8"/>
  <c r="BQ55" i="8"/>
  <c r="BR55" i="8"/>
  <c r="BS55" i="8"/>
  <c r="BT55" i="8"/>
  <c r="BO56" i="8"/>
  <c r="BP56" i="8"/>
  <c r="BQ56" i="8"/>
  <c r="BR56" i="8"/>
  <c r="BS56" i="8"/>
  <c r="BT56" i="8"/>
  <c r="BO57" i="8"/>
  <c r="BP57" i="8"/>
  <c r="BQ57" i="8"/>
  <c r="BR57" i="8"/>
  <c r="BS57" i="8"/>
  <c r="BT57" i="8"/>
  <c r="BO58" i="8"/>
  <c r="BP58" i="8"/>
  <c r="BQ58" i="8"/>
  <c r="BR58" i="8"/>
  <c r="BS58" i="8"/>
  <c r="BT58" i="8"/>
  <c r="BO59" i="8"/>
  <c r="BP59" i="8"/>
  <c r="BQ59" i="8"/>
  <c r="BR59" i="8"/>
  <c r="BS59" i="8"/>
  <c r="BT59" i="8"/>
  <c r="BO60" i="8"/>
  <c r="BP60" i="8"/>
  <c r="BQ60" i="8"/>
  <c r="BR60" i="8"/>
  <c r="BS60" i="8"/>
  <c r="BT60" i="8"/>
  <c r="BO61" i="8"/>
  <c r="BP61" i="8"/>
  <c r="BQ61" i="8"/>
  <c r="BR61" i="8"/>
  <c r="BS61" i="8"/>
  <c r="BT61" i="8"/>
  <c r="BO62" i="8"/>
  <c r="BP62" i="8"/>
  <c r="BQ62" i="8"/>
  <c r="BR62" i="8"/>
  <c r="BS62" i="8"/>
  <c r="BT62" i="8"/>
  <c r="BO63" i="8"/>
  <c r="BP63" i="8"/>
  <c r="BQ63" i="8"/>
  <c r="BR63" i="8"/>
  <c r="BS63" i="8"/>
  <c r="BT63" i="8"/>
  <c r="A64" i="8"/>
  <c r="B64" i="8"/>
  <c r="C64" i="8"/>
  <c r="D64" i="8"/>
  <c r="E64" i="8"/>
  <c r="F64" i="8"/>
  <c r="G64" i="8"/>
  <c r="H64" i="8"/>
  <c r="I64" i="8"/>
  <c r="J64" i="8"/>
  <c r="K64" i="8"/>
  <c r="L64" i="8"/>
  <c r="M64" i="8"/>
  <c r="N64" i="8"/>
  <c r="O64" i="8"/>
  <c r="P64" i="8"/>
  <c r="Q64" i="8"/>
  <c r="R64" i="8"/>
  <c r="S64" i="8"/>
  <c r="T64" i="8"/>
  <c r="U64" i="8"/>
  <c r="V64" i="8"/>
  <c r="W64" i="8"/>
  <c r="X64" i="8"/>
  <c r="Y64" i="8"/>
  <c r="Z64" i="8"/>
  <c r="AA64" i="8"/>
  <c r="AB64" i="8"/>
  <c r="AC64" i="8"/>
  <c r="AD64" i="8"/>
  <c r="AE64" i="8"/>
  <c r="AF64" i="8"/>
  <c r="AG64" i="8"/>
  <c r="AH64" i="8"/>
  <c r="AI64" i="8"/>
  <c r="AJ64" i="8"/>
  <c r="AK64" i="8"/>
  <c r="AL64" i="8"/>
  <c r="AM64" i="8"/>
  <c r="AN64" i="8"/>
  <c r="AO64" i="8"/>
  <c r="AP64" i="8"/>
  <c r="AQ64" i="8"/>
  <c r="AR64" i="8"/>
  <c r="AS64" i="8"/>
  <c r="AT64" i="8"/>
  <c r="AU64" i="8"/>
  <c r="AV64" i="8"/>
  <c r="AW64" i="8"/>
  <c r="AX64" i="8"/>
  <c r="AY64" i="8"/>
  <c r="AZ64" i="8"/>
  <c r="BA64" i="8"/>
  <c r="BB64" i="8"/>
  <c r="BC64" i="8"/>
  <c r="BD64" i="8"/>
  <c r="BE64" i="8"/>
  <c r="BF64" i="8"/>
  <c r="BG64" i="8"/>
  <c r="BH64" i="8"/>
  <c r="BI64" i="8"/>
  <c r="BJ64" i="8"/>
  <c r="BK64" i="8"/>
  <c r="BL64" i="8"/>
  <c r="BM64" i="8"/>
  <c r="BN64" i="8"/>
  <c r="BO64" i="8"/>
  <c r="BP64" i="8"/>
  <c r="BQ64" i="8"/>
  <c r="BR64" i="8"/>
  <c r="BS64" i="8"/>
  <c r="BT64" i="8"/>
  <c r="BO35" i="8"/>
  <c r="BP35" i="8"/>
  <c r="BQ35" i="8"/>
  <c r="BR35" i="8"/>
  <c r="BS35" i="8"/>
  <c r="BT35" i="8"/>
  <c r="G40" i="11"/>
  <c r="H40" i="11"/>
  <c r="I40" i="11"/>
  <c r="J40" i="11"/>
  <c r="K40" i="11"/>
  <c r="L40" i="11"/>
  <c r="M40" i="11"/>
  <c r="N40" i="11"/>
  <c r="O40" i="11"/>
  <c r="P40" i="11"/>
  <c r="Q40" i="11"/>
  <c r="R40" i="11"/>
  <c r="S40" i="11"/>
  <c r="T40" i="11"/>
  <c r="U40" i="11"/>
  <c r="V40" i="11"/>
  <c r="W40" i="11"/>
  <c r="X40" i="11"/>
  <c r="Y40" i="11"/>
  <c r="Z40" i="11"/>
  <c r="AA40" i="11"/>
  <c r="AB40" i="11"/>
  <c r="AC40" i="11"/>
  <c r="AD40" i="11"/>
  <c r="AE40" i="11"/>
  <c r="AF40" i="11"/>
  <c r="AG40" i="11"/>
  <c r="AH40" i="11"/>
  <c r="AI40" i="11"/>
  <c r="AJ40" i="11"/>
  <c r="AK40" i="11"/>
  <c r="AL40" i="11"/>
  <c r="AM40" i="11"/>
  <c r="AN40" i="11"/>
  <c r="AO40" i="11"/>
  <c r="AP40" i="11"/>
  <c r="AQ40" i="11"/>
  <c r="AR40" i="11"/>
  <c r="AS40" i="11"/>
  <c r="AT40" i="11"/>
  <c r="AU40" i="11"/>
  <c r="AV40" i="11"/>
  <c r="AW40" i="11"/>
  <c r="AX40" i="11"/>
  <c r="AY40" i="11"/>
  <c r="AZ40" i="11"/>
  <c r="BA40" i="11"/>
  <c r="BB40" i="11"/>
  <c r="BC40" i="11"/>
  <c r="BD40" i="11"/>
  <c r="BE40" i="11"/>
  <c r="BF40" i="11"/>
  <c r="BG40" i="11"/>
  <c r="BH40" i="11"/>
  <c r="BI40" i="11"/>
  <c r="BJ40" i="11"/>
  <c r="BK40" i="11"/>
  <c r="BL40" i="11"/>
  <c r="BM40" i="11"/>
  <c r="BN40" i="11"/>
  <c r="BO40" i="11"/>
  <c r="BP40" i="11"/>
  <c r="BQ40" i="11"/>
  <c r="BR40" i="11"/>
  <c r="G45" i="11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 i="11"/>
  <c r="I79" i="11"/>
  <c r="J79" i="11"/>
  <c r="K79" i="11"/>
  <c r="L79" i="11"/>
  <c r="M79" i="11"/>
  <c r="N79" i="11"/>
  <c r="O79" i="11"/>
  <c r="P79" i="11"/>
  <c r="Q79" i="11"/>
  <c r="R79" i="11"/>
  <c r="S79" i="11"/>
  <c r="T79" i="11"/>
  <c r="U79" i="11"/>
  <c r="V79" i="11"/>
  <c r="W79" i="11"/>
  <c r="X79" i="11"/>
  <c r="Y79" i="11"/>
  <c r="Z79" i="11"/>
  <c r="AA79" i="11"/>
  <c r="AB79" i="11"/>
  <c r="AC79" i="11"/>
  <c r="AD79" i="11"/>
  <c r="AE79" i="11"/>
  <c r="AF79" i="11"/>
  <c r="AG79" i="11"/>
  <c r="AH79" i="11"/>
  <c r="AI79" i="11"/>
  <c r="AJ79" i="11"/>
  <c r="AK79" i="11"/>
  <c r="AL79" i="11"/>
  <c r="AM79" i="11"/>
  <c r="AN79" i="11"/>
  <c r="AO79" i="11"/>
  <c r="AP79" i="11"/>
  <c r="AQ79" i="11"/>
  <c r="AR79" i="11"/>
  <c r="AS79" i="11"/>
  <c r="AT79" i="11"/>
  <c r="AU79" i="11"/>
  <c r="AV79" i="11"/>
  <c r="AW79" i="11"/>
  <c r="AX79" i="11"/>
  <c r="AY79" i="11"/>
  <c r="AZ79" i="11"/>
  <c r="BA79" i="11"/>
  <c r="BB79" i="11"/>
  <c r="BC79" i="11"/>
  <c r="BD79" i="11"/>
  <c r="BE79" i="11"/>
  <c r="BF79" i="11"/>
  <c r="BG79" i="11"/>
  <c r="BH79" i="11"/>
  <c r="BI79" i="11"/>
  <c r="BJ79" i="11"/>
  <c r="BK79" i="11"/>
  <c r="BL79" i="11"/>
  <c r="BM79" i="11"/>
  <c r="BN79" i="11"/>
  <c r="BO79" i="11"/>
  <c r="BP79" i="11"/>
  <c r="BQ79" i="11"/>
  <c r="BR79" i="11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AD40" i="4"/>
  <c r="AE40" i="4"/>
  <c r="AF40" i="4"/>
  <c r="AG40" i="4"/>
  <c r="AH40" i="4"/>
  <c r="AI40" i="4"/>
  <c r="AJ40" i="4"/>
  <c r="AK40" i="4"/>
  <c r="AL40" i="4"/>
  <c r="AM40" i="4"/>
  <c r="AN40" i="4"/>
  <c r="AO40" i="4"/>
  <c r="AP40" i="4"/>
  <c r="AQ40" i="4"/>
  <c r="AR40" i="4"/>
  <c r="AS40" i="4"/>
  <c r="AT40" i="4"/>
  <c r="AU40" i="4"/>
  <c r="AV40" i="4"/>
  <c r="AW40" i="4"/>
  <c r="AX40" i="4"/>
  <c r="AY40" i="4"/>
  <c r="AZ40" i="4"/>
  <c r="BA40" i="4"/>
  <c r="BB40" i="4"/>
  <c r="BC40" i="4"/>
  <c r="BD40" i="4"/>
  <c r="BE40" i="4"/>
  <c r="BF40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G45" i="4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AD79" i="4"/>
  <c r="AE79" i="4"/>
  <c r="AF79" i="4"/>
  <c r="AG79" i="4"/>
  <c r="AH79" i="4"/>
  <c r="AI79" i="4"/>
  <c r="AJ79" i="4"/>
  <c r="AK79" i="4"/>
  <c r="AL79" i="4"/>
  <c r="AM79" i="4"/>
  <c r="AN79" i="4"/>
  <c r="AO79" i="4"/>
  <c r="AP79" i="4"/>
  <c r="AQ79" i="4"/>
  <c r="AR79" i="4"/>
  <c r="AS79" i="4"/>
  <c r="AT79" i="4"/>
  <c r="AU79" i="4"/>
  <c r="AV79" i="4"/>
  <c r="AW79" i="4"/>
  <c r="AX79" i="4"/>
  <c r="AY79" i="4"/>
  <c r="AZ79" i="4"/>
  <c r="BA79" i="4"/>
  <c r="BB79" i="4"/>
  <c r="BC79" i="4"/>
  <c r="BD79" i="4"/>
  <c r="BE79" i="4"/>
  <c r="BF79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G40" i="12"/>
  <c r="H40" i="12"/>
  <c r="I40" i="12"/>
  <c r="J40" i="12"/>
  <c r="K40" i="12"/>
  <c r="L40" i="12"/>
  <c r="M40" i="12"/>
  <c r="N40" i="12"/>
  <c r="O40" i="12"/>
  <c r="P40" i="12"/>
  <c r="Q40" i="12"/>
  <c r="R40" i="12"/>
  <c r="S40" i="12"/>
  <c r="T40" i="12"/>
  <c r="U40" i="12"/>
  <c r="V40" i="12"/>
  <c r="W40" i="12"/>
  <c r="X40" i="12"/>
  <c r="Y40" i="12"/>
  <c r="Z40" i="12"/>
  <c r="AA40" i="12"/>
  <c r="AB40" i="12"/>
  <c r="AC40" i="12"/>
  <c r="AD40" i="12"/>
  <c r="AE40" i="12"/>
  <c r="AF40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Z40" i="12"/>
  <c r="BA40" i="12"/>
  <c r="BB40" i="12"/>
  <c r="BC40" i="12"/>
  <c r="BD40" i="12"/>
  <c r="BE40" i="12"/>
  <c r="BF40" i="12"/>
  <c r="BG40" i="12"/>
  <c r="BH40" i="12"/>
  <c r="BI40" i="12"/>
  <c r="BJ40" i="12"/>
  <c r="BK40" i="12"/>
  <c r="BL40" i="12"/>
  <c r="BM40" i="12"/>
  <c r="BN40" i="12"/>
  <c r="BO40" i="12"/>
  <c r="BP40" i="12"/>
  <c r="BQ40" i="12"/>
  <c r="BR40" i="12"/>
  <c r="G45" i="12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BN34" i="8" s="1"/>
  <c r="G79" i="12"/>
  <c r="H79" i="12"/>
  <c r="I79" i="12"/>
  <c r="J79" i="12"/>
  <c r="K79" i="12"/>
  <c r="L79" i="12"/>
  <c r="M79" i="12"/>
  <c r="N79" i="12"/>
  <c r="O79" i="12"/>
  <c r="P79" i="12"/>
  <c r="Q79" i="12"/>
  <c r="R79" i="12"/>
  <c r="S79" i="12"/>
  <c r="T79" i="12"/>
  <c r="U79" i="12"/>
  <c r="V79" i="12"/>
  <c r="W79" i="12"/>
  <c r="X79" i="12"/>
  <c r="Y79" i="12"/>
  <c r="Z79" i="12"/>
  <c r="AA79" i="12"/>
  <c r="AB79" i="12"/>
  <c r="AC79" i="12"/>
  <c r="AD79" i="12"/>
  <c r="AE79" i="12"/>
  <c r="AF79" i="12"/>
  <c r="AG79" i="12"/>
  <c r="AH79" i="12"/>
  <c r="AI79" i="12"/>
  <c r="AJ79" i="12"/>
  <c r="AK79" i="12"/>
  <c r="AL79" i="12"/>
  <c r="AM79" i="12"/>
  <c r="AN79" i="12"/>
  <c r="AO79" i="12"/>
  <c r="AP79" i="12"/>
  <c r="AQ79" i="12"/>
  <c r="AR79" i="12"/>
  <c r="AS79" i="12"/>
  <c r="AT79" i="12"/>
  <c r="AU79" i="12"/>
  <c r="AV79" i="12"/>
  <c r="AW79" i="12"/>
  <c r="AX79" i="12"/>
  <c r="AY79" i="12"/>
  <c r="AZ79" i="12"/>
  <c r="BA79" i="12"/>
  <c r="BB79" i="12"/>
  <c r="BC79" i="12"/>
  <c r="BD79" i="12"/>
  <c r="BE79" i="12"/>
  <c r="BF79" i="12"/>
  <c r="BG79" i="12"/>
  <c r="BH79" i="12"/>
  <c r="BI79" i="12"/>
  <c r="BJ79" i="12"/>
  <c r="BK79" i="12"/>
  <c r="BL79" i="12"/>
  <c r="BM79" i="12"/>
  <c r="BN79" i="12"/>
  <c r="BO79" i="12"/>
  <c r="BP79" i="12"/>
  <c r="BQ79" i="12"/>
  <c r="BR79" i="12"/>
  <c r="AM113" i="4"/>
  <c r="AN113" i="4"/>
  <c r="AO113" i="4"/>
  <c r="AP113" i="4"/>
  <c r="AQ113" i="4"/>
  <c r="AR113" i="4"/>
  <c r="AS113" i="4"/>
  <c r="AT113" i="4"/>
  <c r="AU113" i="4"/>
  <c r="AV113" i="4"/>
  <c r="AW113" i="4"/>
  <c r="AX113" i="4"/>
  <c r="AY113" i="4"/>
  <c r="AZ113" i="4"/>
  <c r="BA113" i="4"/>
  <c r="BB113" i="4"/>
  <c r="BC113" i="4"/>
  <c r="BD113" i="4"/>
  <c r="BE113" i="4"/>
  <c r="BF113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67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" i="14"/>
  <c r="B3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S3" i="14"/>
  <c r="T3" i="14"/>
  <c r="U3" i="14"/>
  <c r="V3" i="14"/>
  <c r="W3" i="14"/>
  <c r="X3" i="14"/>
  <c r="Y3" i="14"/>
  <c r="Z3" i="14"/>
  <c r="AA3" i="14"/>
  <c r="AB3" i="14"/>
  <c r="AC3" i="14"/>
  <c r="AD3" i="14"/>
  <c r="AE3" i="14"/>
  <c r="AF3" i="14"/>
  <c r="AG3" i="14"/>
  <c r="AH3" i="14"/>
  <c r="AI3" i="14"/>
  <c r="AJ3" i="14"/>
  <c r="AK3" i="14"/>
  <c r="AL3" i="14"/>
  <c r="AM3" i="14"/>
  <c r="AN3" i="14"/>
  <c r="AO3" i="14"/>
  <c r="AP3" i="14"/>
  <c r="AQ3" i="14"/>
  <c r="AR3" i="14"/>
  <c r="AS3" i="14"/>
  <c r="AT3" i="14"/>
  <c r="AU3" i="14"/>
  <c r="AV3" i="14"/>
  <c r="AW3" i="14"/>
  <c r="AX3" i="14"/>
  <c r="AY3" i="14"/>
  <c r="AZ3" i="14"/>
  <c r="BA3" i="14"/>
  <c r="BB3" i="14"/>
  <c r="BC3" i="14"/>
  <c r="BD3" i="14"/>
  <c r="BE3" i="14"/>
  <c r="BF3" i="14"/>
  <c r="BG3" i="14"/>
  <c r="BH3" i="14"/>
  <c r="BI3" i="14"/>
  <c r="BJ3" i="14"/>
  <c r="BK3" i="14"/>
  <c r="BL3" i="14"/>
  <c r="BM3" i="14"/>
  <c r="BN3" i="14"/>
  <c r="BO3" i="14"/>
  <c r="BP3" i="14"/>
  <c r="BS3" i="14"/>
  <c r="BT3" i="14"/>
  <c r="B4" i="14"/>
  <c r="C4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V4" i="14"/>
  <c r="W4" i="14"/>
  <c r="X4" i="14"/>
  <c r="Y4" i="14"/>
  <c r="Z4" i="14"/>
  <c r="AA4" i="14"/>
  <c r="AB4" i="14"/>
  <c r="AC4" i="14"/>
  <c r="AD4" i="14"/>
  <c r="AE4" i="14"/>
  <c r="AF4" i="14"/>
  <c r="AG4" i="14"/>
  <c r="AH4" i="14"/>
  <c r="AI4" i="14"/>
  <c r="AJ4" i="14"/>
  <c r="AK4" i="14"/>
  <c r="AL4" i="14"/>
  <c r="AM4" i="14"/>
  <c r="AN4" i="14"/>
  <c r="AO4" i="14"/>
  <c r="AP4" i="14"/>
  <c r="AQ4" i="14"/>
  <c r="AR4" i="14"/>
  <c r="AS4" i="14"/>
  <c r="AT4" i="14"/>
  <c r="AU4" i="14"/>
  <c r="AV4" i="14"/>
  <c r="AW4" i="14"/>
  <c r="AX4" i="14"/>
  <c r="AY4" i="14"/>
  <c r="AZ4" i="14"/>
  <c r="BA4" i="14"/>
  <c r="BB4" i="14"/>
  <c r="BC4" i="14"/>
  <c r="BD4" i="14"/>
  <c r="BE4" i="14"/>
  <c r="BF4" i="14"/>
  <c r="BG4" i="14"/>
  <c r="BH4" i="14"/>
  <c r="BI4" i="14"/>
  <c r="BJ4" i="14"/>
  <c r="BK4" i="14"/>
  <c r="BL4" i="14"/>
  <c r="BM4" i="14"/>
  <c r="BN4" i="14"/>
  <c r="BO4" i="14"/>
  <c r="BP4" i="14"/>
  <c r="BS4" i="14"/>
  <c r="BT4" i="14"/>
  <c r="B5" i="14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V5" i="14"/>
  <c r="W5" i="14"/>
  <c r="X5" i="14"/>
  <c r="Y5" i="14"/>
  <c r="Z5" i="14"/>
  <c r="AA5" i="14"/>
  <c r="AB5" i="14"/>
  <c r="AC5" i="14"/>
  <c r="AD5" i="14"/>
  <c r="AE5" i="14"/>
  <c r="AF5" i="14"/>
  <c r="AG5" i="14"/>
  <c r="AH5" i="14"/>
  <c r="AI5" i="14"/>
  <c r="AJ5" i="14"/>
  <c r="AK5" i="14"/>
  <c r="AL5" i="14"/>
  <c r="AM5" i="14"/>
  <c r="AN5" i="14"/>
  <c r="AO5" i="14"/>
  <c r="AP5" i="14"/>
  <c r="AQ5" i="14"/>
  <c r="AR5" i="14"/>
  <c r="AS5" i="14"/>
  <c r="AT5" i="14"/>
  <c r="AU5" i="14"/>
  <c r="AV5" i="14"/>
  <c r="AW5" i="14"/>
  <c r="AX5" i="14"/>
  <c r="AY5" i="14"/>
  <c r="AZ5" i="14"/>
  <c r="BA5" i="14"/>
  <c r="BB5" i="14"/>
  <c r="BC5" i="14"/>
  <c r="BD5" i="14"/>
  <c r="BE5" i="14"/>
  <c r="BF5" i="14"/>
  <c r="BG5" i="14"/>
  <c r="BH5" i="14"/>
  <c r="BI5" i="14"/>
  <c r="BJ5" i="14"/>
  <c r="BK5" i="14"/>
  <c r="BL5" i="14"/>
  <c r="BM5" i="14"/>
  <c r="BN5" i="14"/>
  <c r="BO5" i="14"/>
  <c r="BP5" i="14"/>
  <c r="BS5" i="14"/>
  <c r="BT5" i="14"/>
  <c r="B6" i="14"/>
  <c r="C6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V6" i="14"/>
  <c r="W6" i="14"/>
  <c r="X6" i="14"/>
  <c r="Y6" i="14"/>
  <c r="Z6" i="14"/>
  <c r="AA6" i="14"/>
  <c r="AB6" i="14"/>
  <c r="AC6" i="14"/>
  <c r="AD6" i="14"/>
  <c r="AE6" i="14"/>
  <c r="AF6" i="14"/>
  <c r="AG6" i="14"/>
  <c r="AH6" i="14"/>
  <c r="AI6" i="14"/>
  <c r="AJ6" i="14"/>
  <c r="AK6" i="14"/>
  <c r="AL6" i="14"/>
  <c r="AM6" i="14"/>
  <c r="AN6" i="14"/>
  <c r="AO6" i="14"/>
  <c r="AP6" i="14"/>
  <c r="AQ6" i="14"/>
  <c r="AR6" i="14"/>
  <c r="AS6" i="14"/>
  <c r="AT6" i="14"/>
  <c r="AU6" i="14"/>
  <c r="AV6" i="14"/>
  <c r="AW6" i="14"/>
  <c r="AX6" i="14"/>
  <c r="AY6" i="14"/>
  <c r="AZ6" i="14"/>
  <c r="BA6" i="14"/>
  <c r="BB6" i="14"/>
  <c r="BC6" i="14"/>
  <c r="BD6" i="14"/>
  <c r="BE6" i="14"/>
  <c r="BF6" i="14"/>
  <c r="BG6" i="14"/>
  <c r="BH6" i="14"/>
  <c r="BI6" i="14"/>
  <c r="BJ6" i="14"/>
  <c r="BK6" i="14"/>
  <c r="BL6" i="14"/>
  <c r="BM6" i="14"/>
  <c r="BN6" i="14"/>
  <c r="BO6" i="14"/>
  <c r="BP6" i="14"/>
  <c r="BS6" i="14"/>
  <c r="BT6" i="14"/>
  <c r="B7" i="14"/>
  <c r="C7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V7" i="14"/>
  <c r="W7" i="14"/>
  <c r="X7" i="14"/>
  <c r="Y7" i="14"/>
  <c r="Z7" i="14"/>
  <c r="AA7" i="14"/>
  <c r="AB7" i="14"/>
  <c r="AC7" i="14"/>
  <c r="AD7" i="14"/>
  <c r="AE7" i="14"/>
  <c r="AF7" i="14"/>
  <c r="AG7" i="14"/>
  <c r="AH7" i="14"/>
  <c r="AI7" i="14"/>
  <c r="AJ7" i="14"/>
  <c r="AK7" i="14"/>
  <c r="AL7" i="14"/>
  <c r="AM7" i="14"/>
  <c r="AN7" i="14"/>
  <c r="AO7" i="14"/>
  <c r="AP7" i="14"/>
  <c r="AQ7" i="14"/>
  <c r="AR7" i="14"/>
  <c r="AS7" i="14"/>
  <c r="AT7" i="14"/>
  <c r="AU7" i="14"/>
  <c r="AV7" i="14"/>
  <c r="AW7" i="14"/>
  <c r="AX7" i="14"/>
  <c r="AY7" i="14"/>
  <c r="AZ7" i="14"/>
  <c r="BA7" i="14"/>
  <c r="BB7" i="14"/>
  <c r="BC7" i="14"/>
  <c r="BD7" i="14"/>
  <c r="BE7" i="14"/>
  <c r="BF7" i="14"/>
  <c r="BG7" i="14"/>
  <c r="BH7" i="14"/>
  <c r="BI7" i="14"/>
  <c r="BJ7" i="14"/>
  <c r="BK7" i="14"/>
  <c r="BL7" i="14"/>
  <c r="BM7" i="14"/>
  <c r="BN7" i="14"/>
  <c r="BO7" i="14"/>
  <c r="BP7" i="14"/>
  <c r="BS7" i="14"/>
  <c r="BT7" i="14"/>
  <c r="B8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V8" i="14"/>
  <c r="W8" i="14"/>
  <c r="X8" i="14"/>
  <c r="Y8" i="14"/>
  <c r="Z8" i="14"/>
  <c r="AA8" i="14"/>
  <c r="AB8" i="14"/>
  <c r="AC8" i="14"/>
  <c r="AD8" i="14"/>
  <c r="AE8" i="14"/>
  <c r="AF8" i="14"/>
  <c r="AG8" i="14"/>
  <c r="AH8" i="14"/>
  <c r="AI8" i="14"/>
  <c r="AJ8" i="14"/>
  <c r="AK8" i="14"/>
  <c r="AL8" i="14"/>
  <c r="AM8" i="14"/>
  <c r="AN8" i="14"/>
  <c r="AO8" i="14"/>
  <c r="AP8" i="14"/>
  <c r="AQ8" i="14"/>
  <c r="AR8" i="14"/>
  <c r="AS8" i="14"/>
  <c r="AT8" i="14"/>
  <c r="AU8" i="14"/>
  <c r="AV8" i="14"/>
  <c r="AW8" i="14"/>
  <c r="AX8" i="14"/>
  <c r="AY8" i="14"/>
  <c r="AZ8" i="14"/>
  <c r="BA8" i="14"/>
  <c r="BB8" i="14"/>
  <c r="BC8" i="14"/>
  <c r="BD8" i="14"/>
  <c r="BE8" i="14"/>
  <c r="BF8" i="14"/>
  <c r="BG8" i="14"/>
  <c r="BH8" i="14"/>
  <c r="BI8" i="14"/>
  <c r="BJ8" i="14"/>
  <c r="BK8" i="14"/>
  <c r="BL8" i="14"/>
  <c r="BM8" i="14"/>
  <c r="BN8" i="14"/>
  <c r="BO8" i="14"/>
  <c r="BP8" i="14"/>
  <c r="BS8" i="14"/>
  <c r="BT8" i="14"/>
  <c r="B9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W9" i="14"/>
  <c r="X9" i="14"/>
  <c r="Y9" i="14"/>
  <c r="Z9" i="14"/>
  <c r="AA9" i="14"/>
  <c r="AB9" i="14"/>
  <c r="AC9" i="14"/>
  <c r="AD9" i="14"/>
  <c r="AE9" i="14"/>
  <c r="AF9" i="14"/>
  <c r="AG9" i="14"/>
  <c r="AH9" i="14"/>
  <c r="AI9" i="14"/>
  <c r="AJ9" i="14"/>
  <c r="AK9" i="14"/>
  <c r="AL9" i="14"/>
  <c r="AM9" i="14"/>
  <c r="AN9" i="14"/>
  <c r="AO9" i="14"/>
  <c r="AP9" i="14"/>
  <c r="AQ9" i="14"/>
  <c r="AR9" i="14"/>
  <c r="AS9" i="14"/>
  <c r="AT9" i="14"/>
  <c r="AU9" i="14"/>
  <c r="AV9" i="14"/>
  <c r="AW9" i="14"/>
  <c r="AX9" i="14"/>
  <c r="AY9" i="14"/>
  <c r="AZ9" i="14"/>
  <c r="BA9" i="14"/>
  <c r="BB9" i="14"/>
  <c r="BC9" i="14"/>
  <c r="BD9" i="14"/>
  <c r="BE9" i="14"/>
  <c r="BF9" i="14"/>
  <c r="BG9" i="14"/>
  <c r="BH9" i="14"/>
  <c r="BI9" i="14"/>
  <c r="BJ9" i="14"/>
  <c r="BK9" i="14"/>
  <c r="BL9" i="14"/>
  <c r="BM9" i="14"/>
  <c r="BN9" i="14"/>
  <c r="BO9" i="14"/>
  <c r="BP9" i="14"/>
  <c r="BS9" i="14"/>
  <c r="BT9" i="14"/>
  <c r="B10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V10" i="14"/>
  <c r="W10" i="14"/>
  <c r="X10" i="14"/>
  <c r="Y10" i="14"/>
  <c r="Z10" i="14"/>
  <c r="AA10" i="14"/>
  <c r="AB10" i="14"/>
  <c r="AC10" i="14"/>
  <c r="AD10" i="14"/>
  <c r="AE10" i="14"/>
  <c r="AF10" i="14"/>
  <c r="AG10" i="14"/>
  <c r="AH10" i="14"/>
  <c r="AI10" i="14"/>
  <c r="AJ10" i="14"/>
  <c r="AK10" i="14"/>
  <c r="AL10" i="14"/>
  <c r="AM10" i="14"/>
  <c r="AN10" i="14"/>
  <c r="AO10" i="14"/>
  <c r="AP10" i="14"/>
  <c r="AQ10" i="14"/>
  <c r="AR10" i="14"/>
  <c r="AS10" i="14"/>
  <c r="AT10" i="14"/>
  <c r="AU10" i="14"/>
  <c r="AV10" i="14"/>
  <c r="AW10" i="14"/>
  <c r="AX10" i="14"/>
  <c r="AY10" i="14"/>
  <c r="AZ10" i="14"/>
  <c r="BA10" i="14"/>
  <c r="BB10" i="14"/>
  <c r="BC10" i="14"/>
  <c r="BD10" i="14"/>
  <c r="BE10" i="14"/>
  <c r="BF10" i="14"/>
  <c r="BG10" i="14"/>
  <c r="BH10" i="14"/>
  <c r="BI10" i="14"/>
  <c r="BJ10" i="14"/>
  <c r="BK10" i="14"/>
  <c r="BL10" i="14"/>
  <c r="BM10" i="14"/>
  <c r="BN10" i="14"/>
  <c r="BO10" i="14"/>
  <c r="BP10" i="14"/>
  <c r="BS10" i="14"/>
  <c r="BT10" i="14"/>
  <c r="B11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V11" i="14"/>
  <c r="W11" i="14"/>
  <c r="X11" i="14"/>
  <c r="Y11" i="14"/>
  <c r="Z11" i="14"/>
  <c r="AA11" i="14"/>
  <c r="AB11" i="14"/>
  <c r="AC11" i="14"/>
  <c r="AD11" i="14"/>
  <c r="AE11" i="14"/>
  <c r="AF11" i="14"/>
  <c r="AG11" i="14"/>
  <c r="AH11" i="14"/>
  <c r="AI11" i="14"/>
  <c r="AJ11" i="14"/>
  <c r="AK11" i="14"/>
  <c r="AL11" i="14"/>
  <c r="AM11" i="14"/>
  <c r="AN11" i="14"/>
  <c r="AO11" i="14"/>
  <c r="AP11" i="14"/>
  <c r="AQ11" i="14"/>
  <c r="AR11" i="14"/>
  <c r="AS11" i="14"/>
  <c r="AT11" i="14"/>
  <c r="AU11" i="14"/>
  <c r="AV11" i="14"/>
  <c r="AW11" i="14"/>
  <c r="AX11" i="14"/>
  <c r="AY11" i="14"/>
  <c r="AZ11" i="14"/>
  <c r="BA11" i="14"/>
  <c r="BB11" i="14"/>
  <c r="BC11" i="14"/>
  <c r="BD11" i="14"/>
  <c r="BE11" i="14"/>
  <c r="BF11" i="14"/>
  <c r="BG11" i="14"/>
  <c r="BH11" i="14"/>
  <c r="BI11" i="14"/>
  <c r="BJ11" i="14"/>
  <c r="BK11" i="14"/>
  <c r="BL11" i="14"/>
  <c r="BM11" i="14"/>
  <c r="BN11" i="14"/>
  <c r="BO11" i="14"/>
  <c r="BP11" i="14"/>
  <c r="BS11" i="14"/>
  <c r="BT11" i="14"/>
  <c r="B12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V12" i="14"/>
  <c r="W12" i="14"/>
  <c r="X12" i="14"/>
  <c r="Y12" i="14"/>
  <c r="Z12" i="14"/>
  <c r="AA12" i="14"/>
  <c r="AB12" i="14"/>
  <c r="AC12" i="14"/>
  <c r="AD12" i="14"/>
  <c r="AE12" i="14"/>
  <c r="AF12" i="14"/>
  <c r="AG12" i="14"/>
  <c r="AH12" i="14"/>
  <c r="AI12" i="14"/>
  <c r="AJ12" i="14"/>
  <c r="AK12" i="14"/>
  <c r="AL12" i="14"/>
  <c r="AM12" i="14"/>
  <c r="AN12" i="14"/>
  <c r="AO12" i="14"/>
  <c r="AP12" i="14"/>
  <c r="AQ12" i="14"/>
  <c r="AR12" i="14"/>
  <c r="AS12" i="14"/>
  <c r="AT12" i="14"/>
  <c r="AU12" i="14"/>
  <c r="AV12" i="14"/>
  <c r="AW12" i="14"/>
  <c r="AX12" i="14"/>
  <c r="AY12" i="14"/>
  <c r="AZ12" i="14"/>
  <c r="BA12" i="14"/>
  <c r="BB12" i="14"/>
  <c r="BC12" i="14"/>
  <c r="BD12" i="14"/>
  <c r="BE12" i="14"/>
  <c r="BF12" i="14"/>
  <c r="BG12" i="14"/>
  <c r="BH12" i="14"/>
  <c r="BI12" i="14"/>
  <c r="BJ12" i="14"/>
  <c r="BK12" i="14"/>
  <c r="BL12" i="14"/>
  <c r="BM12" i="14"/>
  <c r="BN12" i="14"/>
  <c r="BO12" i="14"/>
  <c r="BP12" i="14"/>
  <c r="BS12" i="14"/>
  <c r="BT12" i="14"/>
  <c r="B13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V13" i="14"/>
  <c r="W13" i="14"/>
  <c r="X13" i="14"/>
  <c r="Y13" i="14"/>
  <c r="Z13" i="14"/>
  <c r="AA13" i="14"/>
  <c r="AB13" i="14"/>
  <c r="AC13" i="14"/>
  <c r="AD13" i="14"/>
  <c r="AE13" i="14"/>
  <c r="AF13" i="14"/>
  <c r="AG13" i="14"/>
  <c r="AH13" i="14"/>
  <c r="AI13" i="14"/>
  <c r="AJ13" i="14"/>
  <c r="AK13" i="14"/>
  <c r="AL13" i="14"/>
  <c r="AM13" i="14"/>
  <c r="AN13" i="14"/>
  <c r="AO13" i="14"/>
  <c r="AP13" i="14"/>
  <c r="AQ13" i="14"/>
  <c r="AR13" i="14"/>
  <c r="AS13" i="14"/>
  <c r="AT13" i="14"/>
  <c r="AU13" i="14"/>
  <c r="AV13" i="14"/>
  <c r="AW13" i="14"/>
  <c r="AX13" i="14"/>
  <c r="AY13" i="14"/>
  <c r="AZ13" i="14"/>
  <c r="BA13" i="14"/>
  <c r="BB13" i="14"/>
  <c r="BC13" i="14"/>
  <c r="BD13" i="14"/>
  <c r="BE13" i="14"/>
  <c r="BF13" i="14"/>
  <c r="BG13" i="14"/>
  <c r="BH13" i="14"/>
  <c r="BI13" i="14"/>
  <c r="BJ13" i="14"/>
  <c r="BK13" i="14"/>
  <c r="BL13" i="14"/>
  <c r="BM13" i="14"/>
  <c r="BN13" i="14"/>
  <c r="BO13" i="14"/>
  <c r="BP13" i="14"/>
  <c r="BS13" i="14"/>
  <c r="BT13" i="14"/>
  <c r="B14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V14" i="14"/>
  <c r="W14" i="14"/>
  <c r="X14" i="14"/>
  <c r="Y14" i="14"/>
  <c r="Z14" i="14"/>
  <c r="AA14" i="14"/>
  <c r="AB14" i="14"/>
  <c r="AC14" i="14"/>
  <c r="AD14" i="14"/>
  <c r="AE14" i="14"/>
  <c r="AF14" i="14"/>
  <c r="AG14" i="14"/>
  <c r="AH14" i="14"/>
  <c r="AI14" i="14"/>
  <c r="AJ14" i="14"/>
  <c r="AK14" i="14"/>
  <c r="AL14" i="14"/>
  <c r="AM14" i="14"/>
  <c r="AN14" i="14"/>
  <c r="AO14" i="14"/>
  <c r="AP14" i="14"/>
  <c r="AQ14" i="14"/>
  <c r="AR14" i="14"/>
  <c r="AS14" i="14"/>
  <c r="AT14" i="14"/>
  <c r="AU14" i="14"/>
  <c r="AV14" i="14"/>
  <c r="AW14" i="14"/>
  <c r="AX14" i="14"/>
  <c r="AY14" i="14"/>
  <c r="AZ14" i="14"/>
  <c r="BA14" i="14"/>
  <c r="BB14" i="14"/>
  <c r="BC14" i="14"/>
  <c r="BD14" i="14"/>
  <c r="BE14" i="14"/>
  <c r="BF14" i="14"/>
  <c r="BG14" i="14"/>
  <c r="BH14" i="14"/>
  <c r="BI14" i="14"/>
  <c r="BJ14" i="14"/>
  <c r="BK14" i="14"/>
  <c r="BL14" i="14"/>
  <c r="BM14" i="14"/>
  <c r="BN14" i="14"/>
  <c r="BO14" i="14"/>
  <c r="BP14" i="14"/>
  <c r="BS14" i="14"/>
  <c r="BT14" i="14"/>
  <c r="B15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V15" i="14"/>
  <c r="W15" i="14"/>
  <c r="X15" i="14"/>
  <c r="Y15" i="14"/>
  <c r="Z15" i="14"/>
  <c r="AA15" i="14"/>
  <c r="AB15" i="14"/>
  <c r="AC15" i="14"/>
  <c r="AD15" i="14"/>
  <c r="AE15" i="14"/>
  <c r="AF15" i="14"/>
  <c r="AG15" i="14"/>
  <c r="AH15" i="14"/>
  <c r="AI15" i="14"/>
  <c r="AJ15" i="14"/>
  <c r="AK15" i="14"/>
  <c r="AL15" i="14"/>
  <c r="AM15" i="14"/>
  <c r="AN15" i="14"/>
  <c r="AO15" i="14"/>
  <c r="AP15" i="14"/>
  <c r="AQ15" i="14"/>
  <c r="AR15" i="14"/>
  <c r="AS15" i="14"/>
  <c r="AT15" i="14"/>
  <c r="AU15" i="14"/>
  <c r="AV15" i="14"/>
  <c r="AW15" i="14"/>
  <c r="AX15" i="14"/>
  <c r="AY15" i="14"/>
  <c r="AZ15" i="14"/>
  <c r="BA15" i="14"/>
  <c r="BB15" i="14"/>
  <c r="BC15" i="14"/>
  <c r="BD15" i="14"/>
  <c r="BE15" i="14"/>
  <c r="BF15" i="14"/>
  <c r="BG15" i="14"/>
  <c r="BH15" i="14"/>
  <c r="BI15" i="14"/>
  <c r="BJ15" i="14"/>
  <c r="BK15" i="14"/>
  <c r="BL15" i="14"/>
  <c r="BM15" i="14"/>
  <c r="BN15" i="14"/>
  <c r="BO15" i="14"/>
  <c r="BP15" i="14"/>
  <c r="BS15" i="14"/>
  <c r="BT15" i="14"/>
  <c r="B16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V16" i="14"/>
  <c r="W16" i="14"/>
  <c r="X16" i="14"/>
  <c r="Y16" i="14"/>
  <c r="Z16" i="14"/>
  <c r="AA16" i="14"/>
  <c r="AB16" i="14"/>
  <c r="AC16" i="14"/>
  <c r="AD16" i="14"/>
  <c r="AE16" i="14"/>
  <c r="AF16" i="14"/>
  <c r="AG16" i="14"/>
  <c r="AH16" i="14"/>
  <c r="AI16" i="14"/>
  <c r="AJ16" i="14"/>
  <c r="AK16" i="14"/>
  <c r="AL16" i="14"/>
  <c r="AM16" i="14"/>
  <c r="AN16" i="14"/>
  <c r="AO16" i="14"/>
  <c r="AP16" i="14"/>
  <c r="AQ16" i="14"/>
  <c r="AR16" i="14"/>
  <c r="AS16" i="14"/>
  <c r="AT16" i="14"/>
  <c r="AU16" i="14"/>
  <c r="AV16" i="14"/>
  <c r="AW16" i="14"/>
  <c r="AX16" i="14"/>
  <c r="AY16" i="14"/>
  <c r="AZ16" i="14"/>
  <c r="BA16" i="14"/>
  <c r="BB16" i="14"/>
  <c r="BC16" i="14"/>
  <c r="BD16" i="14"/>
  <c r="BE16" i="14"/>
  <c r="BF16" i="14"/>
  <c r="BG16" i="14"/>
  <c r="BH16" i="14"/>
  <c r="BI16" i="14"/>
  <c r="BJ16" i="14"/>
  <c r="BK16" i="14"/>
  <c r="BL16" i="14"/>
  <c r="BM16" i="14"/>
  <c r="BN16" i="14"/>
  <c r="BO16" i="14"/>
  <c r="BP16" i="14"/>
  <c r="BS16" i="14"/>
  <c r="BT16" i="14"/>
  <c r="B17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V17" i="14"/>
  <c r="W17" i="14"/>
  <c r="X17" i="14"/>
  <c r="Y17" i="14"/>
  <c r="Z17" i="14"/>
  <c r="AA17" i="14"/>
  <c r="AB17" i="14"/>
  <c r="AC17" i="14"/>
  <c r="AD17" i="14"/>
  <c r="AE17" i="14"/>
  <c r="AF17" i="14"/>
  <c r="AG17" i="14"/>
  <c r="AH17" i="14"/>
  <c r="AI17" i="14"/>
  <c r="AJ17" i="14"/>
  <c r="AK17" i="14"/>
  <c r="AL17" i="14"/>
  <c r="AM17" i="14"/>
  <c r="AN17" i="14"/>
  <c r="AO17" i="14"/>
  <c r="AP17" i="14"/>
  <c r="AQ17" i="14"/>
  <c r="AR17" i="14"/>
  <c r="AS17" i="14"/>
  <c r="AT17" i="14"/>
  <c r="AU17" i="14"/>
  <c r="AV17" i="14"/>
  <c r="AW17" i="14"/>
  <c r="AX17" i="14"/>
  <c r="AY17" i="14"/>
  <c r="AZ17" i="14"/>
  <c r="BA17" i="14"/>
  <c r="BB17" i="14"/>
  <c r="BC17" i="14"/>
  <c r="BD17" i="14"/>
  <c r="BE17" i="14"/>
  <c r="BF17" i="14"/>
  <c r="BG17" i="14"/>
  <c r="BH17" i="14"/>
  <c r="BI17" i="14"/>
  <c r="BJ17" i="14"/>
  <c r="BK17" i="14"/>
  <c r="BL17" i="14"/>
  <c r="BM17" i="14"/>
  <c r="BN17" i="14"/>
  <c r="BO17" i="14"/>
  <c r="BP17" i="14"/>
  <c r="BS17" i="14"/>
  <c r="BT17" i="14"/>
  <c r="B18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V18" i="14"/>
  <c r="W18" i="14"/>
  <c r="X18" i="14"/>
  <c r="Y18" i="14"/>
  <c r="Z18" i="14"/>
  <c r="AA18" i="14"/>
  <c r="AB18" i="14"/>
  <c r="AC18" i="14"/>
  <c r="AD18" i="14"/>
  <c r="AE18" i="14"/>
  <c r="AF18" i="14"/>
  <c r="AG18" i="14"/>
  <c r="AH18" i="14"/>
  <c r="AI18" i="14"/>
  <c r="AJ18" i="14"/>
  <c r="AK18" i="14"/>
  <c r="AL18" i="14"/>
  <c r="AM18" i="14"/>
  <c r="AN18" i="14"/>
  <c r="AO18" i="14"/>
  <c r="AP18" i="14"/>
  <c r="AQ18" i="14"/>
  <c r="AR18" i="14"/>
  <c r="AS18" i="14"/>
  <c r="AT18" i="14"/>
  <c r="AU18" i="14"/>
  <c r="AV18" i="14"/>
  <c r="AW18" i="14"/>
  <c r="AX18" i="14"/>
  <c r="AY18" i="14"/>
  <c r="AZ18" i="14"/>
  <c r="BA18" i="14"/>
  <c r="BB18" i="14"/>
  <c r="BC18" i="14"/>
  <c r="BD18" i="14"/>
  <c r="BE18" i="14"/>
  <c r="BF18" i="14"/>
  <c r="BG18" i="14"/>
  <c r="BH18" i="14"/>
  <c r="BI18" i="14"/>
  <c r="BJ18" i="14"/>
  <c r="BK18" i="14"/>
  <c r="BL18" i="14"/>
  <c r="BM18" i="14"/>
  <c r="BN18" i="14"/>
  <c r="BO18" i="14"/>
  <c r="BP18" i="14"/>
  <c r="BS18" i="14"/>
  <c r="BT18" i="14"/>
  <c r="B19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V19" i="14"/>
  <c r="W19" i="14"/>
  <c r="X19" i="14"/>
  <c r="Y19" i="14"/>
  <c r="Z19" i="14"/>
  <c r="AA19" i="14"/>
  <c r="AB19" i="14"/>
  <c r="AC19" i="14"/>
  <c r="AD19" i="14"/>
  <c r="AE19" i="14"/>
  <c r="AF19" i="14"/>
  <c r="AG19" i="14"/>
  <c r="AH19" i="14"/>
  <c r="AI19" i="14"/>
  <c r="AJ19" i="14"/>
  <c r="AK19" i="14"/>
  <c r="AL19" i="14"/>
  <c r="AM19" i="14"/>
  <c r="AN19" i="14"/>
  <c r="AO19" i="14"/>
  <c r="AP19" i="14"/>
  <c r="AQ19" i="14"/>
  <c r="AR19" i="14"/>
  <c r="AS19" i="14"/>
  <c r="AT19" i="14"/>
  <c r="AU19" i="14"/>
  <c r="AV19" i="14"/>
  <c r="AW19" i="14"/>
  <c r="AX19" i="14"/>
  <c r="AY19" i="14"/>
  <c r="AZ19" i="14"/>
  <c r="BA19" i="14"/>
  <c r="BB19" i="14"/>
  <c r="BC19" i="14"/>
  <c r="BD19" i="14"/>
  <c r="BE19" i="14"/>
  <c r="BF19" i="14"/>
  <c r="BG19" i="14"/>
  <c r="BH19" i="14"/>
  <c r="BI19" i="14"/>
  <c r="BJ19" i="14"/>
  <c r="BK19" i="14"/>
  <c r="BL19" i="14"/>
  <c r="BM19" i="14"/>
  <c r="BN19" i="14"/>
  <c r="BO19" i="14"/>
  <c r="BP19" i="14"/>
  <c r="BS19" i="14"/>
  <c r="BT19" i="14"/>
  <c r="B20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V20" i="14"/>
  <c r="W20" i="14"/>
  <c r="X20" i="14"/>
  <c r="Y20" i="14"/>
  <c r="Z20" i="14"/>
  <c r="AA20" i="14"/>
  <c r="AB20" i="14"/>
  <c r="AC20" i="14"/>
  <c r="AD20" i="14"/>
  <c r="AE20" i="14"/>
  <c r="AF20" i="14"/>
  <c r="AG20" i="14"/>
  <c r="AH20" i="14"/>
  <c r="AI20" i="14"/>
  <c r="AJ20" i="14"/>
  <c r="AK20" i="14"/>
  <c r="AL20" i="14"/>
  <c r="AM20" i="14"/>
  <c r="AN20" i="14"/>
  <c r="AO20" i="14"/>
  <c r="AP20" i="14"/>
  <c r="AQ20" i="14"/>
  <c r="AR20" i="14"/>
  <c r="AS20" i="14"/>
  <c r="AT20" i="14"/>
  <c r="AU20" i="14"/>
  <c r="AV20" i="14"/>
  <c r="AW20" i="14"/>
  <c r="AX20" i="14"/>
  <c r="AY20" i="14"/>
  <c r="AZ20" i="14"/>
  <c r="BA20" i="14"/>
  <c r="BB20" i="14"/>
  <c r="BC20" i="14"/>
  <c r="BD20" i="14"/>
  <c r="BE20" i="14"/>
  <c r="BF20" i="14"/>
  <c r="BG20" i="14"/>
  <c r="BH20" i="14"/>
  <c r="BI20" i="14"/>
  <c r="BJ20" i="14"/>
  <c r="BK20" i="14"/>
  <c r="BL20" i="14"/>
  <c r="BM20" i="14"/>
  <c r="BN20" i="14"/>
  <c r="BO20" i="14"/>
  <c r="BP20" i="14"/>
  <c r="BS20" i="14"/>
  <c r="BT20" i="14"/>
  <c r="B21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V21" i="14"/>
  <c r="W21" i="14"/>
  <c r="X21" i="14"/>
  <c r="Y21" i="14"/>
  <c r="Z21" i="14"/>
  <c r="AA21" i="14"/>
  <c r="AB21" i="14"/>
  <c r="AC21" i="14"/>
  <c r="AD21" i="14"/>
  <c r="AE21" i="14"/>
  <c r="AF21" i="14"/>
  <c r="AG21" i="14"/>
  <c r="AH21" i="14"/>
  <c r="AI21" i="14"/>
  <c r="AJ21" i="14"/>
  <c r="AK21" i="14"/>
  <c r="AL21" i="14"/>
  <c r="AM21" i="14"/>
  <c r="AN21" i="14"/>
  <c r="AO21" i="14"/>
  <c r="AP21" i="14"/>
  <c r="AQ21" i="14"/>
  <c r="AR21" i="14"/>
  <c r="AS21" i="14"/>
  <c r="AT21" i="14"/>
  <c r="AU21" i="14"/>
  <c r="AV21" i="14"/>
  <c r="AW21" i="14"/>
  <c r="AX21" i="14"/>
  <c r="AY21" i="14"/>
  <c r="AZ21" i="14"/>
  <c r="BA21" i="14"/>
  <c r="BB21" i="14"/>
  <c r="BC21" i="14"/>
  <c r="BD21" i="14"/>
  <c r="BE21" i="14"/>
  <c r="BF21" i="14"/>
  <c r="BG21" i="14"/>
  <c r="BH21" i="14"/>
  <c r="BI21" i="14"/>
  <c r="BJ21" i="14"/>
  <c r="BK21" i="14"/>
  <c r="BL21" i="14"/>
  <c r="BM21" i="14"/>
  <c r="BN21" i="14"/>
  <c r="BO21" i="14"/>
  <c r="BP21" i="14"/>
  <c r="BS21" i="14"/>
  <c r="BT21" i="14"/>
  <c r="B22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V22" i="14"/>
  <c r="W22" i="14"/>
  <c r="X22" i="14"/>
  <c r="Y22" i="14"/>
  <c r="Z22" i="14"/>
  <c r="AA22" i="14"/>
  <c r="AB22" i="14"/>
  <c r="AC22" i="14"/>
  <c r="AD22" i="14"/>
  <c r="AE22" i="14"/>
  <c r="AF22" i="14"/>
  <c r="AG22" i="14"/>
  <c r="AH22" i="14"/>
  <c r="AI22" i="14"/>
  <c r="AJ22" i="14"/>
  <c r="AK22" i="14"/>
  <c r="AL22" i="14"/>
  <c r="AM22" i="14"/>
  <c r="AN22" i="14"/>
  <c r="AO22" i="14"/>
  <c r="AP22" i="14"/>
  <c r="AQ22" i="14"/>
  <c r="AR22" i="14"/>
  <c r="AS22" i="14"/>
  <c r="AT22" i="14"/>
  <c r="AU22" i="14"/>
  <c r="AV22" i="14"/>
  <c r="AW22" i="14"/>
  <c r="AX22" i="14"/>
  <c r="AY22" i="14"/>
  <c r="AZ22" i="14"/>
  <c r="BA22" i="14"/>
  <c r="BB22" i="14"/>
  <c r="BC22" i="14"/>
  <c r="BD22" i="14"/>
  <c r="BE22" i="14"/>
  <c r="BF22" i="14"/>
  <c r="BG22" i="14"/>
  <c r="BH22" i="14"/>
  <c r="BI22" i="14"/>
  <c r="BJ22" i="14"/>
  <c r="BK22" i="14"/>
  <c r="BL22" i="14"/>
  <c r="BM22" i="14"/>
  <c r="BN22" i="14"/>
  <c r="BO22" i="14"/>
  <c r="BP22" i="14"/>
  <c r="BS22" i="14"/>
  <c r="BT22" i="14"/>
  <c r="B23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AF23" i="14"/>
  <c r="AG23" i="14"/>
  <c r="AH23" i="14"/>
  <c r="AI23" i="14"/>
  <c r="AJ23" i="14"/>
  <c r="AK23" i="14"/>
  <c r="AL23" i="14"/>
  <c r="AM23" i="14"/>
  <c r="AN23" i="14"/>
  <c r="AO23" i="14"/>
  <c r="AP23" i="14"/>
  <c r="AQ23" i="14"/>
  <c r="AR23" i="14"/>
  <c r="AS23" i="14"/>
  <c r="AT23" i="14"/>
  <c r="AU23" i="14"/>
  <c r="AV23" i="14"/>
  <c r="AW23" i="14"/>
  <c r="AX23" i="14"/>
  <c r="AY23" i="14"/>
  <c r="AZ23" i="14"/>
  <c r="BA23" i="14"/>
  <c r="BB23" i="14"/>
  <c r="BC23" i="14"/>
  <c r="BD23" i="14"/>
  <c r="BE23" i="14"/>
  <c r="BF23" i="14"/>
  <c r="BG23" i="14"/>
  <c r="BH23" i="14"/>
  <c r="BI23" i="14"/>
  <c r="BJ23" i="14"/>
  <c r="BK23" i="14"/>
  <c r="BL23" i="14"/>
  <c r="BM23" i="14"/>
  <c r="BN23" i="14"/>
  <c r="BO23" i="14"/>
  <c r="BP23" i="14"/>
  <c r="BS23" i="14"/>
  <c r="BT23" i="14"/>
  <c r="B24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V24" i="14"/>
  <c r="W24" i="14"/>
  <c r="X24" i="14"/>
  <c r="Y24" i="14"/>
  <c r="Z24" i="14"/>
  <c r="AA24" i="14"/>
  <c r="AB24" i="14"/>
  <c r="AC24" i="14"/>
  <c r="AD24" i="14"/>
  <c r="AE24" i="14"/>
  <c r="AF24" i="14"/>
  <c r="AG24" i="14"/>
  <c r="AH24" i="14"/>
  <c r="AI24" i="14"/>
  <c r="AJ24" i="14"/>
  <c r="AK24" i="14"/>
  <c r="AL24" i="14"/>
  <c r="AM24" i="14"/>
  <c r="AN24" i="14"/>
  <c r="AO24" i="14"/>
  <c r="AP24" i="14"/>
  <c r="AQ24" i="14"/>
  <c r="AR24" i="14"/>
  <c r="AS24" i="14"/>
  <c r="AT24" i="14"/>
  <c r="AU24" i="14"/>
  <c r="AV24" i="14"/>
  <c r="AW24" i="14"/>
  <c r="AX24" i="14"/>
  <c r="AY24" i="14"/>
  <c r="AZ24" i="14"/>
  <c r="BA24" i="14"/>
  <c r="BB24" i="14"/>
  <c r="BC24" i="14"/>
  <c r="BD24" i="14"/>
  <c r="BE24" i="14"/>
  <c r="BF24" i="14"/>
  <c r="BG24" i="14"/>
  <c r="BH24" i="14"/>
  <c r="BI24" i="14"/>
  <c r="BJ24" i="14"/>
  <c r="BK24" i="14"/>
  <c r="BL24" i="14"/>
  <c r="BM24" i="14"/>
  <c r="BN24" i="14"/>
  <c r="BO24" i="14"/>
  <c r="BP24" i="14"/>
  <c r="BS24" i="14"/>
  <c r="BT24" i="14"/>
  <c r="B25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V25" i="14"/>
  <c r="W25" i="14"/>
  <c r="X25" i="14"/>
  <c r="Y25" i="14"/>
  <c r="Z25" i="14"/>
  <c r="AA25" i="14"/>
  <c r="AB25" i="14"/>
  <c r="AC25" i="14"/>
  <c r="AD25" i="14"/>
  <c r="AE25" i="14"/>
  <c r="AF25" i="14"/>
  <c r="AG25" i="14"/>
  <c r="AH25" i="14"/>
  <c r="AI25" i="14"/>
  <c r="AJ25" i="14"/>
  <c r="AK25" i="14"/>
  <c r="AL25" i="14"/>
  <c r="AM25" i="14"/>
  <c r="AN25" i="14"/>
  <c r="AO25" i="14"/>
  <c r="AP25" i="14"/>
  <c r="AQ25" i="14"/>
  <c r="AR25" i="14"/>
  <c r="AS25" i="14"/>
  <c r="AT25" i="14"/>
  <c r="AU25" i="14"/>
  <c r="AV25" i="14"/>
  <c r="AW25" i="14"/>
  <c r="AX25" i="14"/>
  <c r="AY25" i="14"/>
  <c r="AZ25" i="14"/>
  <c r="BA25" i="14"/>
  <c r="BB25" i="14"/>
  <c r="BC25" i="14"/>
  <c r="BD25" i="14"/>
  <c r="BE25" i="14"/>
  <c r="BF25" i="14"/>
  <c r="BG25" i="14"/>
  <c r="BH25" i="14"/>
  <c r="BI25" i="14"/>
  <c r="BJ25" i="14"/>
  <c r="BK25" i="14"/>
  <c r="BL25" i="14"/>
  <c r="BM25" i="14"/>
  <c r="BN25" i="14"/>
  <c r="BO25" i="14"/>
  <c r="BP25" i="14"/>
  <c r="BS25" i="14"/>
  <c r="BT25" i="14"/>
  <c r="B26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V26" i="14"/>
  <c r="W26" i="14"/>
  <c r="X26" i="14"/>
  <c r="Y26" i="14"/>
  <c r="Z26" i="14"/>
  <c r="AA26" i="14"/>
  <c r="AB26" i="14"/>
  <c r="AC26" i="14"/>
  <c r="AD26" i="14"/>
  <c r="AE26" i="14"/>
  <c r="AF26" i="14"/>
  <c r="AG26" i="14"/>
  <c r="AH26" i="14"/>
  <c r="AI26" i="14"/>
  <c r="AJ26" i="14"/>
  <c r="AK26" i="14"/>
  <c r="AL26" i="14"/>
  <c r="AM26" i="14"/>
  <c r="AN26" i="14"/>
  <c r="AO26" i="14"/>
  <c r="AP26" i="14"/>
  <c r="AQ26" i="14"/>
  <c r="AR26" i="14"/>
  <c r="AS26" i="14"/>
  <c r="AT26" i="14"/>
  <c r="AU26" i="14"/>
  <c r="AV26" i="14"/>
  <c r="AW26" i="14"/>
  <c r="AX26" i="14"/>
  <c r="AY26" i="14"/>
  <c r="AZ26" i="14"/>
  <c r="BA26" i="14"/>
  <c r="BB26" i="14"/>
  <c r="BC26" i="14"/>
  <c r="BD26" i="14"/>
  <c r="BE26" i="14"/>
  <c r="BF26" i="14"/>
  <c r="BG26" i="14"/>
  <c r="BH26" i="14"/>
  <c r="BI26" i="14"/>
  <c r="BJ26" i="14"/>
  <c r="BK26" i="14"/>
  <c r="BL26" i="14"/>
  <c r="BM26" i="14"/>
  <c r="BN26" i="14"/>
  <c r="BO26" i="14"/>
  <c r="BP26" i="14"/>
  <c r="BS26" i="14"/>
  <c r="BT26" i="14"/>
  <c r="B27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V27" i="14"/>
  <c r="W27" i="14"/>
  <c r="X27" i="14"/>
  <c r="Y27" i="14"/>
  <c r="Z27" i="14"/>
  <c r="AA27" i="14"/>
  <c r="AB27" i="14"/>
  <c r="AC27" i="14"/>
  <c r="AD27" i="14"/>
  <c r="AE27" i="14"/>
  <c r="AF27" i="14"/>
  <c r="AG27" i="14"/>
  <c r="AH27" i="14"/>
  <c r="AI27" i="14"/>
  <c r="AJ27" i="14"/>
  <c r="AK27" i="14"/>
  <c r="AL27" i="14"/>
  <c r="AM27" i="14"/>
  <c r="AN27" i="14"/>
  <c r="AO27" i="14"/>
  <c r="AP27" i="14"/>
  <c r="AQ27" i="14"/>
  <c r="AR27" i="14"/>
  <c r="AS27" i="14"/>
  <c r="AT27" i="14"/>
  <c r="AU27" i="14"/>
  <c r="AV27" i="14"/>
  <c r="AW27" i="14"/>
  <c r="AX27" i="14"/>
  <c r="AY27" i="14"/>
  <c r="AZ27" i="14"/>
  <c r="BA27" i="14"/>
  <c r="BB27" i="14"/>
  <c r="BC27" i="14"/>
  <c r="BD27" i="14"/>
  <c r="BE27" i="14"/>
  <c r="BF27" i="14"/>
  <c r="BG27" i="14"/>
  <c r="BH27" i="14"/>
  <c r="BI27" i="14"/>
  <c r="BJ27" i="14"/>
  <c r="BK27" i="14"/>
  <c r="BL27" i="14"/>
  <c r="BM27" i="14"/>
  <c r="BN27" i="14"/>
  <c r="BO27" i="14"/>
  <c r="BP27" i="14"/>
  <c r="BS27" i="14"/>
  <c r="BT27" i="14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G28" i="14"/>
  <c r="AH28" i="14"/>
  <c r="AI28" i="14"/>
  <c r="AJ28" i="14"/>
  <c r="AK28" i="14"/>
  <c r="AL28" i="14"/>
  <c r="AM28" i="14"/>
  <c r="AN28" i="14"/>
  <c r="AO28" i="14"/>
  <c r="AP28" i="14"/>
  <c r="AQ28" i="14"/>
  <c r="AR28" i="14"/>
  <c r="AS28" i="14"/>
  <c r="AT28" i="14"/>
  <c r="AU28" i="14"/>
  <c r="AV28" i="14"/>
  <c r="AW28" i="14"/>
  <c r="AX28" i="14"/>
  <c r="AY28" i="14"/>
  <c r="AZ28" i="14"/>
  <c r="BA28" i="14"/>
  <c r="BB28" i="14"/>
  <c r="BC28" i="14"/>
  <c r="BD28" i="14"/>
  <c r="BE28" i="14"/>
  <c r="BF28" i="14"/>
  <c r="BG28" i="14"/>
  <c r="BH28" i="14"/>
  <c r="BI28" i="14"/>
  <c r="BJ28" i="14"/>
  <c r="BK28" i="14"/>
  <c r="BL28" i="14"/>
  <c r="BM28" i="14"/>
  <c r="BN28" i="14"/>
  <c r="BO28" i="14"/>
  <c r="BP28" i="14"/>
  <c r="BS28" i="14"/>
  <c r="BT28" i="14"/>
  <c r="B29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V29" i="14"/>
  <c r="W29" i="14"/>
  <c r="X29" i="14"/>
  <c r="Y29" i="14"/>
  <c r="Z29" i="14"/>
  <c r="AA29" i="14"/>
  <c r="AB29" i="14"/>
  <c r="AC29" i="14"/>
  <c r="AD29" i="14"/>
  <c r="AE29" i="14"/>
  <c r="AF29" i="14"/>
  <c r="AG29" i="14"/>
  <c r="AH29" i="14"/>
  <c r="AI29" i="14"/>
  <c r="AJ29" i="14"/>
  <c r="AK29" i="14"/>
  <c r="AL29" i="14"/>
  <c r="AM29" i="14"/>
  <c r="AN29" i="14"/>
  <c r="AO29" i="14"/>
  <c r="AP29" i="14"/>
  <c r="AQ29" i="14"/>
  <c r="AR29" i="14"/>
  <c r="AS29" i="14"/>
  <c r="AT29" i="14"/>
  <c r="AU29" i="14"/>
  <c r="AV29" i="14"/>
  <c r="AW29" i="14"/>
  <c r="AX29" i="14"/>
  <c r="AY29" i="14"/>
  <c r="AZ29" i="14"/>
  <c r="BA29" i="14"/>
  <c r="BB29" i="14"/>
  <c r="BC29" i="14"/>
  <c r="BD29" i="14"/>
  <c r="BE29" i="14"/>
  <c r="BF29" i="14"/>
  <c r="BG29" i="14"/>
  <c r="BH29" i="14"/>
  <c r="BI29" i="14"/>
  <c r="BJ29" i="14"/>
  <c r="BK29" i="14"/>
  <c r="BL29" i="14"/>
  <c r="BM29" i="14"/>
  <c r="BN29" i="14"/>
  <c r="BO29" i="14"/>
  <c r="BP29" i="14"/>
  <c r="BS29" i="14"/>
  <c r="BT29" i="14"/>
  <c r="B30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V30" i="14"/>
  <c r="W30" i="14"/>
  <c r="X30" i="14"/>
  <c r="Y30" i="14"/>
  <c r="Z30" i="14"/>
  <c r="AA30" i="14"/>
  <c r="AB30" i="14"/>
  <c r="AC30" i="14"/>
  <c r="AD30" i="14"/>
  <c r="AE30" i="14"/>
  <c r="AF30" i="14"/>
  <c r="AG30" i="14"/>
  <c r="AH30" i="14"/>
  <c r="AI30" i="14"/>
  <c r="AJ30" i="14"/>
  <c r="AK30" i="14"/>
  <c r="AL30" i="14"/>
  <c r="AM30" i="14"/>
  <c r="AN30" i="14"/>
  <c r="AO30" i="14"/>
  <c r="AP30" i="14"/>
  <c r="AQ30" i="14"/>
  <c r="AR30" i="14"/>
  <c r="AS30" i="14"/>
  <c r="AT30" i="14"/>
  <c r="AU30" i="14"/>
  <c r="AV30" i="14"/>
  <c r="AW30" i="14"/>
  <c r="AX30" i="14"/>
  <c r="AY30" i="14"/>
  <c r="AZ30" i="14"/>
  <c r="BA30" i="14"/>
  <c r="BB30" i="14"/>
  <c r="BC30" i="14"/>
  <c r="BD30" i="14"/>
  <c r="BE30" i="14"/>
  <c r="BF30" i="14"/>
  <c r="BG30" i="14"/>
  <c r="BH30" i="14"/>
  <c r="BI30" i="14"/>
  <c r="BJ30" i="14"/>
  <c r="BK30" i="14"/>
  <c r="BL30" i="14"/>
  <c r="BM30" i="14"/>
  <c r="BN30" i="14"/>
  <c r="BO30" i="14"/>
  <c r="BP30" i="14"/>
  <c r="BS30" i="14"/>
  <c r="BT30" i="14"/>
  <c r="B31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V31" i="14"/>
  <c r="W31" i="14"/>
  <c r="X31" i="14"/>
  <c r="Y31" i="14"/>
  <c r="Z31" i="14"/>
  <c r="AA31" i="14"/>
  <c r="AB31" i="14"/>
  <c r="AC31" i="14"/>
  <c r="AD31" i="14"/>
  <c r="AE31" i="14"/>
  <c r="AF31" i="14"/>
  <c r="AG31" i="14"/>
  <c r="AH31" i="14"/>
  <c r="AI31" i="14"/>
  <c r="AJ31" i="14"/>
  <c r="AK31" i="14"/>
  <c r="AL31" i="14"/>
  <c r="AM31" i="14"/>
  <c r="AN31" i="14"/>
  <c r="AO31" i="14"/>
  <c r="AP31" i="14"/>
  <c r="AQ31" i="14"/>
  <c r="AR31" i="14"/>
  <c r="AS31" i="14"/>
  <c r="AT31" i="14"/>
  <c r="AU31" i="14"/>
  <c r="AV31" i="14"/>
  <c r="AW31" i="14"/>
  <c r="AX31" i="14"/>
  <c r="AY31" i="14"/>
  <c r="AZ31" i="14"/>
  <c r="BA31" i="14"/>
  <c r="BB31" i="14"/>
  <c r="BC31" i="14"/>
  <c r="BD31" i="14"/>
  <c r="BE31" i="14"/>
  <c r="BF31" i="14"/>
  <c r="BG31" i="14"/>
  <c r="BH31" i="14"/>
  <c r="BI31" i="14"/>
  <c r="BJ31" i="14"/>
  <c r="BK31" i="14"/>
  <c r="BL31" i="14"/>
  <c r="BM31" i="14"/>
  <c r="BN31" i="14"/>
  <c r="BO31" i="14"/>
  <c r="BP31" i="14"/>
  <c r="BS31" i="14"/>
  <c r="BT31" i="14"/>
  <c r="B32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O32" i="14"/>
  <c r="P32" i="14"/>
  <c r="Q32" i="14"/>
  <c r="R32" i="14"/>
  <c r="S32" i="14"/>
  <c r="T32" i="14"/>
  <c r="U32" i="14"/>
  <c r="V32" i="14"/>
  <c r="W32" i="14"/>
  <c r="X32" i="14"/>
  <c r="Y32" i="14"/>
  <c r="Z32" i="14"/>
  <c r="AA32" i="14"/>
  <c r="AB32" i="14"/>
  <c r="AC32" i="14"/>
  <c r="AD32" i="14"/>
  <c r="AE32" i="14"/>
  <c r="AF32" i="14"/>
  <c r="AG32" i="14"/>
  <c r="AH32" i="14"/>
  <c r="AI32" i="14"/>
  <c r="AJ32" i="14"/>
  <c r="AK32" i="14"/>
  <c r="AL32" i="14"/>
  <c r="AM32" i="14"/>
  <c r="AN32" i="14"/>
  <c r="AO32" i="14"/>
  <c r="AP32" i="14"/>
  <c r="AQ32" i="14"/>
  <c r="AR32" i="14"/>
  <c r="AS32" i="14"/>
  <c r="AT32" i="14"/>
  <c r="AU32" i="14"/>
  <c r="AV32" i="14"/>
  <c r="AW32" i="14"/>
  <c r="AX32" i="14"/>
  <c r="AY32" i="14"/>
  <c r="AZ32" i="14"/>
  <c r="BA32" i="14"/>
  <c r="BB32" i="14"/>
  <c r="BC32" i="14"/>
  <c r="BD32" i="14"/>
  <c r="BE32" i="14"/>
  <c r="BF32" i="14"/>
  <c r="BG32" i="14"/>
  <c r="BH32" i="14"/>
  <c r="BI32" i="14"/>
  <c r="BJ32" i="14"/>
  <c r="BK32" i="14"/>
  <c r="BL32" i="14"/>
  <c r="BM32" i="14"/>
  <c r="BN32" i="14"/>
  <c r="BO32" i="14"/>
  <c r="BP32" i="14"/>
  <c r="BS32" i="14"/>
  <c r="BT32" i="14"/>
  <c r="C2" i="14"/>
  <c r="D2" i="14"/>
  <c r="E2" i="14"/>
  <c r="F2" i="14"/>
  <c r="G2" i="14"/>
  <c r="H2" i="14"/>
  <c r="I2" i="14"/>
  <c r="J2" i="14"/>
  <c r="K2" i="14"/>
  <c r="L2" i="14"/>
  <c r="M2" i="14"/>
  <c r="N2" i="14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AF2" i="14"/>
  <c r="AG2" i="14"/>
  <c r="AH2" i="14"/>
  <c r="AI2" i="14"/>
  <c r="AJ2" i="14"/>
  <c r="AK2" i="14"/>
  <c r="AL2" i="14"/>
  <c r="AM2" i="14"/>
  <c r="AN2" i="14"/>
  <c r="AO2" i="14"/>
  <c r="AP2" i="14"/>
  <c r="AQ2" i="14"/>
  <c r="AR2" i="14"/>
  <c r="AS2" i="14"/>
  <c r="AT2" i="14"/>
  <c r="AU2" i="14"/>
  <c r="AV2" i="14"/>
  <c r="AW2" i="14"/>
  <c r="AX2" i="14"/>
  <c r="AY2" i="14"/>
  <c r="AZ2" i="14"/>
  <c r="BA2" i="14"/>
  <c r="BB2" i="14"/>
  <c r="BC2" i="14"/>
  <c r="BD2" i="14"/>
  <c r="BE2" i="14"/>
  <c r="BF2" i="14"/>
  <c r="BG2" i="14"/>
  <c r="BH2" i="14"/>
  <c r="BI2" i="14"/>
  <c r="BJ2" i="14"/>
  <c r="BK2" i="14"/>
  <c r="BL2" i="14"/>
  <c r="BM2" i="14"/>
  <c r="BN2" i="14"/>
  <c r="BO2" i="14"/>
  <c r="BP2" i="14"/>
  <c r="BS2" i="14"/>
  <c r="BT2" i="14"/>
  <c r="B2" i="14"/>
  <c r="D35" i="4" l="1"/>
  <c r="D36" i="4"/>
  <c r="D37" i="4"/>
  <c r="G37" i="4" l="1"/>
  <c r="O37" i="4"/>
  <c r="W37" i="4"/>
  <c r="AE37" i="4"/>
  <c r="AM37" i="4"/>
  <c r="AU37" i="4"/>
  <c r="BC37" i="4"/>
  <c r="BK37" i="4"/>
  <c r="AB37" i="4"/>
  <c r="H37" i="4"/>
  <c r="P37" i="4"/>
  <c r="X37" i="4"/>
  <c r="AF37" i="4"/>
  <c r="AN37" i="4"/>
  <c r="AV37" i="4"/>
  <c r="BD37" i="4"/>
  <c r="BL37" i="4"/>
  <c r="L37" i="4"/>
  <c r="I37" i="4"/>
  <c r="Q37" i="4"/>
  <c r="Y37" i="4"/>
  <c r="AG37" i="4"/>
  <c r="AO37" i="4"/>
  <c r="AW37" i="4"/>
  <c r="BE37" i="4"/>
  <c r="BM37" i="4"/>
  <c r="F37" i="4"/>
  <c r="T37" i="4"/>
  <c r="BP37" i="4"/>
  <c r="J37" i="4"/>
  <c r="R37" i="4"/>
  <c r="Z37" i="4"/>
  <c r="AH37" i="4"/>
  <c r="AP37" i="4"/>
  <c r="AX37" i="4"/>
  <c r="BF37" i="4"/>
  <c r="BN37" i="4"/>
  <c r="AJ37" i="4"/>
  <c r="K37" i="4"/>
  <c r="S37" i="4"/>
  <c r="AA37" i="4"/>
  <c r="AI37" i="4"/>
  <c r="AQ37" i="4"/>
  <c r="AY37" i="4"/>
  <c r="BG37" i="4"/>
  <c r="BO37" i="4"/>
  <c r="AR37" i="4"/>
  <c r="M37" i="4"/>
  <c r="U37" i="4"/>
  <c r="AC37" i="4"/>
  <c r="AK37" i="4"/>
  <c r="AS37" i="4"/>
  <c r="BA37" i="4"/>
  <c r="BI37" i="4"/>
  <c r="BQ37" i="4"/>
  <c r="AZ37" i="4"/>
  <c r="N37" i="4"/>
  <c r="V37" i="4"/>
  <c r="AD37" i="4"/>
  <c r="AL37" i="4"/>
  <c r="AT37" i="4"/>
  <c r="BB37" i="4"/>
  <c r="BJ37" i="4"/>
  <c r="BR37" i="4"/>
  <c r="BH37" i="4"/>
  <c r="G36" i="4"/>
  <c r="O36" i="4"/>
  <c r="W36" i="4"/>
  <c r="AE36" i="4"/>
  <c r="AM36" i="4"/>
  <c r="AU36" i="4"/>
  <c r="BC36" i="4"/>
  <c r="BK36" i="4"/>
  <c r="T36" i="4"/>
  <c r="H36" i="4"/>
  <c r="P36" i="4"/>
  <c r="X36" i="4"/>
  <c r="AF36" i="4"/>
  <c r="AN36" i="4"/>
  <c r="AV36" i="4"/>
  <c r="BD36" i="4"/>
  <c r="BL36" i="4"/>
  <c r="F36" i="4"/>
  <c r="L36" i="4"/>
  <c r="I36" i="4"/>
  <c r="Q36" i="4"/>
  <c r="Y36" i="4"/>
  <c r="AG36" i="4"/>
  <c r="AO36" i="4"/>
  <c r="AW36" i="4"/>
  <c r="BE36" i="4"/>
  <c r="BM36" i="4"/>
  <c r="AR36" i="4"/>
  <c r="J36" i="4"/>
  <c r="R36" i="4"/>
  <c r="Z36" i="4"/>
  <c r="AH36" i="4"/>
  <c r="AP36" i="4"/>
  <c r="AX36" i="4"/>
  <c r="BF36" i="4"/>
  <c r="BN36" i="4"/>
  <c r="AB36" i="4"/>
  <c r="K36" i="4"/>
  <c r="S36" i="4"/>
  <c r="AA36" i="4"/>
  <c r="AI36" i="4"/>
  <c r="AQ36" i="4"/>
  <c r="AY36" i="4"/>
  <c r="BG36" i="4"/>
  <c r="BO36" i="4"/>
  <c r="AJ36" i="4"/>
  <c r="BP36" i="4"/>
  <c r="M36" i="4"/>
  <c r="U36" i="4"/>
  <c r="AC36" i="4"/>
  <c r="AK36" i="4"/>
  <c r="AS36" i="4"/>
  <c r="BA36" i="4"/>
  <c r="BI36" i="4"/>
  <c r="BQ36" i="4"/>
  <c r="AZ36" i="4"/>
  <c r="N36" i="4"/>
  <c r="V36" i="4"/>
  <c r="AD36" i="4"/>
  <c r="AL36" i="4"/>
  <c r="AT36" i="4"/>
  <c r="BB36" i="4"/>
  <c r="BJ36" i="4"/>
  <c r="BR36" i="4"/>
  <c r="BH36" i="4"/>
  <c r="G35" i="4"/>
  <c r="O35" i="4"/>
  <c r="W35" i="4"/>
  <c r="AE35" i="4"/>
  <c r="AM35" i="4"/>
  <c r="AU35" i="4"/>
  <c r="BC35" i="4"/>
  <c r="BK35" i="4"/>
  <c r="F35" i="4"/>
  <c r="AB35" i="4"/>
  <c r="H35" i="4"/>
  <c r="P35" i="4"/>
  <c r="X35" i="4"/>
  <c r="AF35" i="4"/>
  <c r="AN35" i="4"/>
  <c r="AV35" i="4"/>
  <c r="BD35" i="4"/>
  <c r="BL35" i="4"/>
  <c r="AJ35" i="4"/>
  <c r="I35" i="4"/>
  <c r="Q35" i="4"/>
  <c r="Y35" i="4"/>
  <c r="AG35" i="4"/>
  <c r="AO35" i="4"/>
  <c r="AW35" i="4"/>
  <c r="BE35" i="4"/>
  <c r="BM35" i="4"/>
  <c r="L35" i="4"/>
  <c r="BP35" i="4"/>
  <c r="J35" i="4"/>
  <c r="R35" i="4"/>
  <c r="Z35" i="4"/>
  <c r="AH35" i="4"/>
  <c r="AP35" i="4"/>
  <c r="AX35" i="4"/>
  <c r="BF35" i="4"/>
  <c r="BN35" i="4"/>
  <c r="T35" i="4"/>
  <c r="K35" i="4"/>
  <c r="S35" i="4"/>
  <c r="AA35" i="4"/>
  <c r="AI35" i="4"/>
  <c r="AQ35" i="4"/>
  <c r="AY35" i="4"/>
  <c r="BG35" i="4"/>
  <c r="BO35" i="4"/>
  <c r="BH35" i="4"/>
  <c r="M35" i="4"/>
  <c r="U35" i="4"/>
  <c r="AC35" i="4"/>
  <c r="AK35" i="4"/>
  <c r="AS35" i="4"/>
  <c r="BA35" i="4"/>
  <c r="BI35" i="4"/>
  <c r="BQ35" i="4"/>
  <c r="AZ35" i="4"/>
  <c r="N35" i="4"/>
  <c r="V35" i="4"/>
  <c r="AD35" i="4"/>
  <c r="AL35" i="4"/>
  <c r="AT35" i="4"/>
  <c r="BB35" i="4"/>
  <c r="BJ35" i="4"/>
  <c r="BR35" i="4"/>
  <c r="AR35" i="4"/>
  <c r="D34" i="11"/>
  <c r="B41" i="12"/>
  <c r="C41" i="12"/>
  <c r="D41" i="12"/>
  <c r="A41" i="12"/>
  <c r="B41" i="11"/>
  <c r="C41" i="11"/>
  <c r="D41" i="11"/>
  <c r="A41" i="11"/>
  <c r="A40" i="4"/>
  <c r="B41" i="4"/>
  <c r="C41" i="4"/>
  <c r="D41" i="4"/>
  <c r="A41" i="4"/>
  <c r="C114" i="12"/>
  <c r="AL113" i="12"/>
  <c r="AK113" i="12"/>
  <c r="AJ113" i="12"/>
  <c r="AI113" i="12"/>
  <c r="AH113" i="12"/>
  <c r="AG113" i="12"/>
  <c r="AF113" i="12"/>
  <c r="AE113" i="12"/>
  <c r="AD113" i="12"/>
  <c r="AC113" i="12"/>
  <c r="AB113" i="12"/>
  <c r="AA113" i="12"/>
  <c r="Z113" i="12"/>
  <c r="Y113" i="12"/>
  <c r="X113" i="12"/>
  <c r="W113" i="12"/>
  <c r="V113" i="12"/>
  <c r="U113" i="12"/>
  <c r="T113" i="12"/>
  <c r="S113" i="12"/>
  <c r="R113" i="12"/>
  <c r="Q113" i="12"/>
  <c r="P113" i="12"/>
  <c r="O113" i="12"/>
  <c r="N113" i="12"/>
  <c r="M113" i="12"/>
  <c r="L113" i="12"/>
  <c r="K113" i="12"/>
  <c r="J113" i="12"/>
  <c r="I113" i="12"/>
  <c r="H113" i="12"/>
  <c r="G113" i="12"/>
  <c r="F113" i="12"/>
  <c r="F79" i="12"/>
  <c r="E75" i="12"/>
  <c r="E109" i="12" s="1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F45" i="12"/>
  <c r="B34" i="8" s="1"/>
  <c r="E45" i="12"/>
  <c r="E79" i="12" s="1"/>
  <c r="F40" i="12"/>
  <c r="D37" i="12"/>
  <c r="D36" i="12"/>
  <c r="D35" i="12"/>
  <c r="D34" i="12"/>
  <c r="D33" i="12"/>
  <c r="D75" i="12" s="1"/>
  <c r="D109" i="12" s="1"/>
  <c r="C33" i="12"/>
  <c r="C75" i="12" s="1"/>
  <c r="C109" i="12" s="1"/>
  <c r="B33" i="12"/>
  <c r="B75" i="12" s="1"/>
  <c r="B109" i="12" s="1"/>
  <c r="A33" i="12"/>
  <c r="A75" i="12" s="1"/>
  <c r="A109" i="12" s="1"/>
  <c r="D32" i="12"/>
  <c r="D74" i="12" s="1"/>
  <c r="D108" i="12" s="1"/>
  <c r="C32" i="12"/>
  <c r="C74" i="12" s="1"/>
  <c r="C108" i="12" s="1"/>
  <c r="B32" i="12"/>
  <c r="B74" i="12" s="1"/>
  <c r="B108" i="12" s="1"/>
  <c r="A32" i="12"/>
  <c r="A74" i="12" s="1"/>
  <c r="D31" i="12"/>
  <c r="D73" i="12" s="1"/>
  <c r="D107" i="12" s="1"/>
  <c r="C31" i="12"/>
  <c r="C73" i="12" s="1"/>
  <c r="C107" i="12" s="1"/>
  <c r="B31" i="12"/>
  <c r="B73" i="12" s="1"/>
  <c r="B107" i="12" s="1"/>
  <c r="A31" i="12"/>
  <c r="A73" i="12" s="1"/>
  <c r="D30" i="12"/>
  <c r="D72" i="12" s="1"/>
  <c r="D106" i="12" s="1"/>
  <c r="C30" i="12"/>
  <c r="C72" i="12" s="1"/>
  <c r="C106" i="12" s="1"/>
  <c r="B30" i="12"/>
  <c r="B72" i="12" s="1"/>
  <c r="B106" i="12" s="1"/>
  <c r="A30" i="12"/>
  <c r="A72" i="12" s="1"/>
  <c r="D29" i="12"/>
  <c r="D71" i="12" s="1"/>
  <c r="D105" i="12" s="1"/>
  <c r="C29" i="12"/>
  <c r="C71" i="12" s="1"/>
  <c r="C105" i="12" s="1"/>
  <c r="B29" i="12"/>
  <c r="B71" i="12" s="1"/>
  <c r="B105" i="12" s="1"/>
  <c r="A29" i="12"/>
  <c r="A71" i="12" s="1"/>
  <c r="D28" i="12"/>
  <c r="D70" i="12" s="1"/>
  <c r="D104" i="12" s="1"/>
  <c r="C28" i="12"/>
  <c r="C70" i="12" s="1"/>
  <c r="C104" i="12" s="1"/>
  <c r="B28" i="12"/>
  <c r="B70" i="12" s="1"/>
  <c r="B104" i="12" s="1"/>
  <c r="A28" i="12"/>
  <c r="A70" i="12" s="1"/>
  <c r="D27" i="12"/>
  <c r="D69" i="12" s="1"/>
  <c r="D103" i="12" s="1"/>
  <c r="C27" i="12"/>
  <c r="C69" i="12" s="1"/>
  <c r="C103" i="12" s="1"/>
  <c r="B27" i="12"/>
  <c r="B69" i="12" s="1"/>
  <c r="B103" i="12" s="1"/>
  <c r="A27" i="12"/>
  <c r="A69" i="12" s="1"/>
  <c r="D26" i="12"/>
  <c r="D68" i="12" s="1"/>
  <c r="D102" i="12" s="1"/>
  <c r="C26" i="12"/>
  <c r="C68" i="12" s="1"/>
  <c r="C102" i="12" s="1"/>
  <c r="B26" i="12"/>
  <c r="B68" i="12" s="1"/>
  <c r="B102" i="12" s="1"/>
  <c r="A26" i="12"/>
  <c r="A68" i="12" s="1"/>
  <c r="D25" i="12"/>
  <c r="D67" i="12" s="1"/>
  <c r="D101" i="12" s="1"/>
  <c r="C25" i="12"/>
  <c r="C67" i="12" s="1"/>
  <c r="C101" i="12" s="1"/>
  <c r="B25" i="12"/>
  <c r="B67" i="12" s="1"/>
  <c r="B101" i="12" s="1"/>
  <c r="A25" i="12"/>
  <c r="A67" i="12" s="1"/>
  <c r="D24" i="12"/>
  <c r="D66" i="12" s="1"/>
  <c r="D100" i="12" s="1"/>
  <c r="C24" i="12"/>
  <c r="C66" i="12" s="1"/>
  <c r="C100" i="12" s="1"/>
  <c r="B24" i="12"/>
  <c r="B66" i="12" s="1"/>
  <c r="B100" i="12" s="1"/>
  <c r="A24" i="12"/>
  <c r="A66" i="12" s="1"/>
  <c r="D23" i="12"/>
  <c r="D65" i="12" s="1"/>
  <c r="D99" i="12" s="1"/>
  <c r="C23" i="12"/>
  <c r="C65" i="12" s="1"/>
  <c r="C99" i="12" s="1"/>
  <c r="B23" i="12"/>
  <c r="B65" i="12" s="1"/>
  <c r="B99" i="12" s="1"/>
  <c r="A23" i="12"/>
  <c r="A65" i="12" s="1"/>
  <c r="D22" i="12"/>
  <c r="D64" i="12" s="1"/>
  <c r="D98" i="12" s="1"/>
  <c r="C22" i="12"/>
  <c r="C64" i="12" s="1"/>
  <c r="C98" i="12" s="1"/>
  <c r="B22" i="12"/>
  <c r="B64" i="12" s="1"/>
  <c r="B98" i="12" s="1"/>
  <c r="A22" i="12"/>
  <c r="A64" i="12" s="1"/>
  <c r="D21" i="12"/>
  <c r="D63" i="12" s="1"/>
  <c r="D97" i="12" s="1"/>
  <c r="C21" i="12"/>
  <c r="C63" i="12" s="1"/>
  <c r="C97" i="12" s="1"/>
  <c r="B21" i="12"/>
  <c r="B63" i="12" s="1"/>
  <c r="B97" i="12" s="1"/>
  <c r="A21" i="12"/>
  <c r="A63" i="12" s="1"/>
  <c r="D20" i="12"/>
  <c r="D62" i="12" s="1"/>
  <c r="D96" i="12" s="1"/>
  <c r="C20" i="12"/>
  <c r="C62" i="12" s="1"/>
  <c r="C96" i="12" s="1"/>
  <c r="B20" i="12"/>
  <c r="B62" i="12" s="1"/>
  <c r="B96" i="12" s="1"/>
  <c r="A20" i="12"/>
  <c r="A62" i="12" s="1"/>
  <c r="D19" i="12"/>
  <c r="D61" i="12" s="1"/>
  <c r="D95" i="12" s="1"/>
  <c r="C19" i="12"/>
  <c r="C61" i="12" s="1"/>
  <c r="C95" i="12" s="1"/>
  <c r="B19" i="12"/>
  <c r="B61" i="12" s="1"/>
  <c r="B95" i="12" s="1"/>
  <c r="A19" i="12"/>
  <c r="A61" i="12" s="1"/>
  <c r="D18" i="12"/>
  <c r="D60" i="12" s="1"/>
  <c r="D94" i="12" s="1"/>
  <c r="C18" i="12"/>
  <c r="C60" i="12" s="1"/>
  <c r="C94" i="12" s="1"/>
  <c r="B18" i="12"/>
  <c r="B60" i="12" s="1"/>
  <c r="B94" i="12" s="1"/>
  <c r="A18" i="12"/>
  <c r="A60" i="12" s="1"/>
  <c r="D17" i="12"/>
  <c r="D59" i="12" s="1"/>
  <c r="D93" i="12" s="1"/>
  <c r="C17" i="12"/>
  <c r="C59" i="12" s="1"/>
  <c r="C93" i="12" s="1"/>
  <c r="B17" i="12"/>
  <c r="B59" i="12" s="1"/>
  <c r="B93" i="12" s="1"/>
  <c r="A17" i="12"/>
  <c r="A59" i="12" s="1"/>
  <c r="D16" i="12"/>
  <c r="D58" i="12" s="1"/>
  <c r="D92" i="12" s="1"/>
  <c r="C16" i="12"/>
  <c r="C58" i="12" s="1"/>
  <c r="C92" i="12" s="1"/>
  <c r="B16" i="12"/>
  <c r="B58" i="12" s="1"/>
  <c r="B92" i="12" s="1"/>
  <c r="A16" i="12"/>
  <c r="A58" i="12" s="1"/>
  <c r="D15" i="12"/>
  <c r="D57" i="12" s="1"/>
  <c r="D91" i="12" s="1"/>
  <c r="C15" i="12"/>
  <c r="C57" i="12" s="1"/>
  <c r="C91" i="12" s="1"/>
  <c r="B15" i="12"/>
  <c r="B57" i="12" s="1"/>
  <c r="B91" i="12" s="1"/>
  <c r="A15" i="12"/>
  <c r="A57" i="12" s="1"/>
  <c r="D14" i="12"/>
  <c r="D56" i="12" s="1"/>
  <c r="D90" i="12" s="1"/>
  <c r="C14" i="12"/>
  <c r="C56" i="12" s="1"/>
  <c r="C90" i="12" s="1"/>
  <c r="B14" i="12"/>
  <c r="B56" i="12" s="1"/>
  <c r="B90" i="12" s="1"/>
  <c r="A14" i="12"/>
  <c r="A56" i="12" s="1"/>
  <c r="D13" i="12"/>
  <c r="D55" i="12" s="1"/>
  <c r="D89" i="12" s="1"/>
  <c r="C13" i="12"/>
  <c r="C55" i="12" s="1"/>
  <c r="C89" i="12" s="1"/>
  <c r="B13" i="12"/>
  <c r="B55" i="12" s="1"/>
  <c r="B89" i="12" s="1"/>
  <c r="A13" i="12"/>
  <c r="A55" i="12" s="1"/>
  <c r="D12" i="12"/>
  <c r="D54" i="12" s="1"/>
  <c r="D88" i="12" s="1"/>
  <c r="C12" i="12"/>
  <c r="C54" i="12" s="1"/>
  <c r="C88" i="12" s="1"/>
  <c r="B12" i="12"/>
  <c r="B54" i="12" s="1"/>
  <c r="B88" i="12" s="1"/>
  <c r="A12" i="12"/>
  <c r="A54" i="12" s="1"/>
  <c r="D11" i="12"/>
  <c r="D53" i="12" s="1"/>
  <c r="D87" i="12" s="1"/>
  <c r="C11" i="12"/>
  <c r="C53" i="12" s="1"/>
  <c r="C87" i="12" s="1"/>
  <c r="B11" i="12"/>
  <c r="B53" i="12" s="1"/>
  <c r="B87" i="12" s="1"/>
  <c r="A11" i="12"/>
  <c r="A53" i="12" s="1"/>
  <c r="D10" i="12"/>
  <c r="D52" i="12" s="1"/>
  <c r="D86" i="12" s="1"/>
  <c r="C10" i="12"/>
  <c r="C52" i="12" s="1"/>
  <c r="C86" i="12" s="1"/>
  <c r="B10" i="12"/>
  <c r="B52" i="12" s="1"/>
  <c r="B86" i="12" s="1"/>
  <c r="A10" i="12"/>
  <c r="A52" i="12" s="1"/>
  <c r="D9" i="12"/>
  <c r="D51" i="12" s="1"/>
  <c r="D85" i="12" s="1"/>
  <c r="C9" i="12"/>
  <c r="C51" i="12" s="1"/>
  <c r="C85" i="12" s="1"/>
  <c r="B9" i="12"/>
  <c r="B51" i="12" s="1"/>
  <c r="B85" i="12" s="1"/>
  <c r="A9" i="12"/>
  <c r="A51" i="12" s="1"/>
  <c r="D8" i="12"/>
  <c r="D50" i="12" s="1"/>
  <c r="D84" i="12" s="1"/>
  <c r="C8" i="12"/>
  <c r="C50" i="12" s="1"/>
  <c r="C84" i="12" s="1"/>
  <c r="B8" i="12"/>
  <c r="B50" i="12" s="1"/>
  <c r="B84" i="12" s="1"/>
  <c r="A8" i="12"/>
  <c r="A50" i="12" s="1"/>
  <c r="D7" i="12"/>
  <c r="D49" i="12" s="1"/>
  <c r="D83" i="12" s="1"/>
  <c r="C7" i="12"/>
  <c r="C49" i="12" s="1"/>
  <c r="C83" i="12" s="1"/>
  <c r="B7" i="12"/>
  <c r="B49" i="12" s="1"/>
  <c r="B83" i="12" s="1"/>
  <c r="A7" i="12"/>
  <c r="A49" i="12" s="1"/>
  <c r="D6" i="12"/>
  <c r="D48" i="12" s="1"/>
  <c r="D82" i="12" s="1"/>
  <c r="C6" i="12"/>
  <c r="C48" i="12" s="1"/>
  <c r="C82" i="12" s="1"/>
  <c r="B6" i="12"/>
  <c r="B48" i="12" s="1"/>
  <c r="B82" i="12" s="1"/>
  <c r="A6" i="12"/>
  <c r="A48" i="12" s="1"/>
  <c r="D5" i="12"/>
  <c r="D47" i="12" s="1"/>
  <c r="D81" i="12" s="1"/>
  <c r="C5" i="12"/>
  <c r="C47" i="12" s="1"/>
  <c r="C81" i="12" s="1"/>
  <c r="B5" i="12"/>
  <c r="B47" i="12" s="1"/>
  <c r="B81" i="12" s="1"/>
  <c r="A5" i="12"/>
  <c r="A47" i="12" s="1"/>
  <c r="D4" i="12"/>
  <c r="D46" i="12" s="1"/>
  <c r="D80" i="12" s="1"/>
  <c r="C4" i="12"/>
  <c r="C46" i="12" s="1"/>
  <c r="C80" i="12" s="1"/>
  <c r="B4" i="12"/>
  <c r="B46" i="12" s="1"/>
  <c r="B80" i="12" s="1"/>
  <c r="A4" i="12"/>
  <c r="A46" i="12" s="1"/>
  <c r="C114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AA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F79" i="11"/>
  <c r="E75" i="11"/>
  <c r="E74" i="11"/>
  <c r="E108" i="11" s="1"/>
  <c r="E73" i="11"/>
  <c r="E107" i="11" s="1"/>
  <c r="E72" i="11"/>
  <c r="E106" i="11" s="1"/>
  <c r="E71" i="11"/>
  <c r="E105" i="11" s="1"/>
  <c r="E70" i="11"/>
  <c r="E104" i="11" s="1"/>
  <c r="E69" i="11"/>
  <c r="E103" i="11" s="1"/>
  <c r="E68" i="11"/>
  <c r="E102" i="11" s="1"/>
  <c r="E67" i="11"/>
  <c r="E101" i="11" s="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F45" i="11"/>
  <c r="B2" i="8" s="1"/>
  <c r="E45" i="11"/>
  <c r="E79" i="11" s="1"/>
  <c r="F40" i="11"/>
  <c r="D37" i="11"/>
  <c r="D36" i="11"/>
  <c r="D35" i="11"/>
  <c r="D33" i="11"/>
  <c r="D75" i="11" s="1"/>
  <c r="D109" i="11" s="1"/>
  <c r="C33" i="11"/>
  <c r="C75" i="11" s="1"/>
  <c r="C109" i="11" s="1"/>
  <c r="B33" i="11"/>
  <c r="B75" i="11" s="1"/>
  <c r="B109" i="11" s="1"/>
  <c r="A33" i="11"/>
  <c r="A75" i="11" s="1"/>
  <c r="A109" i="11" s="1"/>
  <c r="D32" i="11"/>
  <c r="D74" i="11" s="1"/>
  <c r="D108" i="11" s="1"/>
  <c r="C32" i="11"/>
  <c r="C74" i="11" s="1"/>
  <c r="C108" i="11" s="1"/>
  <c r="B32" i="11"/>
  <c r="B74" i="11" s="1"/>
  <c r="B108" i="11" s="1"/>
  <c r="A32" i="11"/>
  <c r="A74" i="11" s="1"/>
  <c r="D31" i="11"/>
  <c r="D73" i="11" s="1"/>
  <c r="D107" i="11" s="1"/>
  <c r="C31" i="11"/>
  <c r="C73" i="11" s="1"/>
  <c r="C107" i="11" s="1"/>
  <c r="B31" i="11"/>
  <c r="B73" i="11" s="1"/>
  <c r="B107" i="11" s="1"/>
  <c r="A31" i="11"/>
  <c r="A73" i="11" s="1"/>
  <c r="D30" i="11"/>
  <c r="D72" i="11" s="1"/>
  <c r="D106" i="11" s="1"/>
  <c r="C30" i="11"/>
  <c r="C72" i="11" s="1"/>
  <c r="C106" i="11" s="1"/>
  <c r="B30" i="11"/>
  <c r="B72" i="11" s="1"/>
  <c r="B106" i="11" s="1"/>
  <c r="A30" i="11"/>
  <c r="A72" i="11" s="1"/>
  <c r="D29" i="11"/>
  <c r="D71" i="11" s="1"/>
  <c r="D105" i="11" s="1"/>
  <c r="C29" i="11"/>
  <c r="C71" i="11" s="1"/>
  <c r="C105" i="11" s="1"/>
  <c r="B29" i="11"/>
  <c r="B71" i="11" s="1"/>
  <c r="B105" i="11" s="1"/>
  <c r="A29" i="11"/>
  <c r="A71" i="11" s="1"/>
  <c r="D28" i="11"/>
  <c r="D70" i="11" s="1"/>
  <c r="D104" i="11" s="1"/>
  <c r="C28" i="11"/>
  <c r="C70" i="11" s="1"/>
  <c r="C104" i="11" s="1"/>
  <c r="B28" i="11"/>
  <c r="B70" i="11" s="1"/>
  <c r="B104" i="11" s="1"/>
  <c r="A28" i="11"/>
  <c r="A70" i="11" s="1"/>
  <c r="D27" i="11"/>
  <c r="D69" i="11" s="1"/>
  <c r="D103" i="11" s="1"/>
  <c r="C27" i="11"/>
  <c r="C69" i="11" s="1"/>
  <c r="C103" i="11" s="1"/>
  <c r="B27" i="11"/>
  <c r="B69" i="11" s="1"/>
  <c r="B103" i="11" s="1"/>
  <c r="A27" i="11"/>
  <c r="A69" i="11" s="1"/>
  <c r="D26" i="11"/>
  <c r="D68" i="11" s="1"/>
  <c r="D102" i="11" s="1"/>
  <c r="C26" i="11"/>
  <c r="C68" i="11" s="1"/>
  <c r="C102" i="11" s="1"/>
  <c r="B26" i="11"/>
  <c r="B68" i="11" s="1"/>
  <c r="B102" i="11" s="1"/>
  <c r="A26" i="11"/>
  <c r="A68" i="11" s="1"/>
  <c r="D25" i="11"/>
  <c r="D67" i="11" s="1"/>
  <c r="D101" i="11" s="1"/>
  <c r="C25" i="11"/>
  <c r="C67" i="11" s="1"/>
  <c r="C101" i="11" s="1"/>
  <c r="B25" i="11"/>
  <c r="B67" i="11" s="1"/>
  <c r="B101" i="11" s="1"/>
  <c r="A25" i="11"/>
  <c r="A67" i="11" s="1"/>
  <c r="D24" i="11"/>
  <c r="D66" i="11" s="1"/>
  <c r="D100" i="11" s="1"/>
  <c r="C24" i="11"/>
  <c r="C66" i="11" s="1"/>
  <c r="C100" i="11" s="1"/>
  <c r="B24" i="11"/>
  <c r="B66" i="11" s="1"/>
  <c r="B100" i="11" s="1"/>
  <c r="A24" i="11"/>
  <c r="A66" i="11" s="1"/>
  <c r="D23" i="11"/>
  <c r="D65" i="11" s="1"/>
  <c r="D99" i="11" s="1"/>
  <c r="C23" i="11"/>
  <c r="C65" i="11" s="1"/>
  <c r="C99" i="11" s="1"/>
  <c r="B23" i="11"/>
  <c r="B65" i="11" s="1"/>
  <c r="B99" i="11" s="1"/>
  <c r="A23" i="11"/>
  <c r="A65" i="11" s="1"/>
  <c r="D22" i="11"/>
  <c r="D64" i="11" s="1"/>
  <c r="D98" i="11" s="1"/>
  <c r="C22" i="11"/>
  <c r="C64" i="11" s="1"/>
  <c r="C98" i="11" s="1"/>
  <c r="B22" i="11"/>
  <c r="B64" i="11" s="1"/>
  <c r="B98" i="11" s="1"/>
  <c r="A22" i="11"/>
  <c r="A64" i="11" s="1"/>
  <c r="D21" i="11"/>
  <c r="D63" i="11" s="1"/>
  <c r="D97" i="11" s="1"/>
  <c r="C21" i="11"/>
  <c r="C63" i="11" s="1"/>
  <c r="C97" i="11" s="1"/>
  <c r="B21" i="11"/>
  <c r="B63" i="11" s="1"/>
  <c r="B97" i="11" s="1"/>
  <c r="A21" i="11"/>
  <c r="A63" i="11" s="1"/>
  <c r="D20" i="11"/>
  <c r="D62" i="11" s="1"/>
  <c r="D96" i="11" s="1"/>
  <c r="C20" i="11"/>
  <c r="C62" i="11" s="1"/>
  <c r="C96" i="11" s="1"/>
  <c r="B20" i="11"/>
  <c r="B62" i="11" s="1"/>
  <c r="B96" i="11" s="1"/>
  <c r="A20" i="11"/>
  <c r="A62" i="11" s="1"/>
  <c r="D19" i="11"/>
  <c r="D61" i="11" s="1"/>
  <c r="D95" i="11" s="1"/>
  <c r="C19" i="11"/>
  <c r="C61" i="11" s="1"/>
  <c r="C95" i="11" s="1"/>
  <c r="B19" i="11"/>
  <c r="B61" i="11" s="1"/>
  <c r="B95" i="11" s="1"/>
  <c r="A19" i="11"/>
  <c r="A61" i="11" s="1"/>
  <c r="D18" i="11"/>
  <c r="D60" i="11" s="1"/>
  <c r="D94" i="11" s="1"/>
  <c r="C18" i="11"/>
  <c r="C60" i="11" s="1"/>
  <c r="C94" i="11" s="1"/>
  <c r="B18" i="11"/>
  <c r="B60" i="11" s="1"/>
  <c r="B94" i="11" s="1"/>
  <c r="A18" i="11"/>
  <c r="A60" i="11" s="1"/>
  <c r="D17" i="11"/>
  <c r="D59" i="11" s="1"/>
  <c r="D93" i="11" s="1"/>
  <c r="C17" i="11"/>
  <c r="C59" i="11" s="1"/>
  <c r="C93" i="11" s="1"/>
  <c r="B17" i="11"/>
  <c r="B59" i="11" s="1"/>
  <c r="B93" i="11" s="1"/>
  <c r="A17" i="11"/>
  <c r="A59" i="11" s="1"/>
  <c r="D16" i="11"/>
  <c r="D58" i="11" s="1"/>
  <c r="D92" i="11" s="1"/>
  <c r="C16" i="11"/>
  <c r="C58" i="11" s="1"/>
  <c r="C92" i="11" s="1"/>
  <c r="B16" i="11"/>
  <c r="B58" i="11" s="1"/>
  <c r="B92" i="11" s="1"/>
  <c r="A16" i="11"/>
  <c r="A58" i="11" s="1"/>
  <c r="D15" i="11"/>
  <c r="D57" i="11" s="1"/>
  <c r="D91" i="11" s="1"/>
  <c r="C15" i="11"/>
  <c r="C57" i="11" s="1"/>
  <c r="C91" i="11" s="1"/>
  <c r="B15" i="11"/>
  <c r="B57" i="11" s="1"/>
  <c r="B91" i="11" s="1"/>
  <c r="A15" i="11"/>
  <c r="A57" i="11" s="1"/>
  <c r="D14" i="11"/>
  <c r="D56" i="11" s="1"/>
  <c r="D90" i="11" s="1"/>
  <c r="C14" i="11"/>
  <c r="C56" i="11" s="1"/>
  <c r="C90" i="11" s="1"/>
  <c r="B14" i="11"/>
  <c r="B56" i="11" s="1"/>
  <c r="B90" i="11" s="1"/>
  <c r="A14" i="11"/>
  <c r="A56" i="11" s="1"/>
  <c r="D13" i="11"/>
  <c r="D55" i="11" s="1"/>
  <c r="D89" i="11" s="1"/>
  <c r="C13" i="11"/>
  <c r="C55" i="11" s="1"/>
  <c r="C89" i="11" s="1"/>
  <c r="B13" i="11"/>
  <c r="B55" i="11" s="1"/>
  <c r="B89" i="11" s="1"/>
  <c r="A13" i="11"/>
  <c r="A55" i="11" s="1"/>
  <c r="D12" i="11"/>
  <c r="D54" i="11" s="1"/>
  <c r="D88" i="11" s="1"/>
  <c r="C12" i="11"/>
  <c r="C54" i="11" s="1"/>
  <c r="C88" i="11" s="1"/>
  <c r="B12" i="11"/>
  <c r="B54" i="11" s="1"/>
  <c r="B88" i="11" s="1"/>
  <c r="A12" i="11"/>
  <c r="A54" i="11" s="1"/>
  <c r="D11" i="11"/>
  <c r="D53" i="11" s="1"/>
  <c r="D87" i="11" s="1"/>
  <c r="C11" i="11"/>
  <c r="C53" i="11" s="1"/>
  <c r="C87" i="11" s="1"/>
  <c r="B11" i="11"/>
  <c r="B53" i="11" s="1"/>
  <c r="B87" i="11" s="1"/>
  <c r="A11" i="11"/>
  <c r="A53" i="11" s="1"/>
  <c r="D10" i="11"/>
  <c r="D52" i="11" s="1"/>
  <c r="D86" i="11" s="1"/>
  <c r="C10" i="11"/>
  <c r="C52" i="11" s="1"/>
  <c r="C86" i="11" s="1"/>
  <c r="B10" i="11"/>
  <c r="B52" i="11" s="1"/>
  <c r="B86" i="11" s="1"/>
  <c r="A10" i="11"/>
  <c r="A52" i="11" s="1"/>
  <c r="D9" i="11"/>
  <c r="D51" i="11" s="1"/>
  <c r="D85" i="11" s="1"/>
  <c r="C9" i="11"/>
  <c r="C51" i="11" s="1"/>
  <c r="C85" i="11" s="1"/>
  <c r="B9" i="11"/>
  <c r="B51" i="11" s="1"/>
  <c r="B85" i="11" s="1"/>
  <c r="A9" i="11"/>
  <c r="A51" i="11" s="1"/>
  <c r="D8" i="11"/>
  <c r="D50" i="11" s="1"/>
  <c r="D84" i="11" s="1"/>
  <c r="C8" i="11"/>
  <c r="C50" i="11" s="1"/>
  <c r="C84" i="11" s="1"/>
  <c r="B8" i="11"/>
  <c r="B50" i="11" s="1"/>
  <c r="B84" i="11" s="1"/>
  <c r="A8" i="11"/>
  <c r="A50" i="11" s="1"/>
  <c r="D7" i="11"/>
  <c r="D49" i="11" s="1"/>
  <c r="D83" i="11" s="1"/>
  <c r="C7" i="11"/>
  <c r="C49" i="11" s="1"/>
  <c r="C83" i="11" s="1"/>
  <c r="B7" i="11"/>
  <c r="B49" i="11" s="1"/>
  <c r="B83" i="11" s="1"/>
  <c r="A7" i="11"/>
  <c r="A49" i="11" s="1"/>
  <c r="D6" i="11"/>
  <c r="D48" i="11" s="1"/>
  <c r="D82" i="11" s="1"/>
  <c r="C6" i="11"/>
  <c r="C48" i="11" s="1"/>
  <c r="C82" i="11" s="1"/>
  <c r="B6" i="11"/>
  <c r="B48" i="11" s="1"/>
  <c r="B82" i="11" s="1"/>
  <c r="A6" i="11"/>
  <c r="A48" i="11" s="1"/>
  <c r="D5" i="11"/>
  <c r="D47" i="11" s="1"/>
  <c r="D81" i="11" s="1"/>
  <c r="C5" i="11"/>
  <c r="C47" i="11" s="1"/>
  <c r="C81" i="11" s="1"/>
  <c r="B5" i="11"/>
  <c r="B47" i="11" s="1"/>
  <c r="B81" i="11" s="1"/>
  <c r="A5" i="11"/>
  <c r="A47" i="11" s="1"/>
  <c r="D4" i="11"/>
  <c r="D46" i="11" s="1"/>
  <c r="D80" i="11" s="1"/>
  <c r="C4" i="11"/>
  <c r="C46" i="11" s="1"/>
  <c r="C80" i="11" s="1"/>
  <c r="B4" i="11"/>
  <c r="B46" i="11" s="1"/>
  <c r="B80" i="11" s="1"/>
  <c r="A4" i="11"/>
  <c r="A46" i="11" s="1"/>
  <c r="G113" i="4"/>
  <c r="H113" i="4"/>
  <c r="I113" i="4"/>
  <c r="J113" i="4"/>
  <c r="K113" i="4"/>
  <c r="L113" i="4"/>
  <c r="M113" i="4"/>
  <c r="N113" i="4"/>
  <c r="O113" i="4"/>
  <c r="P113" i="4"/>
  <c r="Q113" i="4"/>
  <c r="R113" i="4"/>
  <c r="S113" i="4"/>
  <c r="T113" i="4"/>
  <c r="U113" i="4"/>
  <c r="V113" i="4"/>
  <c r="W113" i="4"/>
  <c r="X113" i="4"/>
  <c r="Y113" i="4"/>
  <c r="Z113" i="4"/>
  <c r="AA113" i="4"/>
  <c r="AB113" i="4"/>
  <c r="AC113" i="4"/>
  <c r="AD113" i="4"/>
  <c r="AE113" i="4"/>
  <c r="AF113" i="4"/>
  <c r="AG113" i="4"/>
  <c r="AH113" i="4"/>
  <c r="AI113" i="4"/>
  <c r="AJ113" i="4"/>
  <c r="AK113" i="4"/>
  <c r="AL113" i="4"/>
  <c r="A2" i="11"/>
  <c r="A22" i="7"/>
  <c r="E82" i="11" l="1"/>
  <c r="A5" i="8"/>
  <c r="E90" i="11"/>
  <c r="A13" i="8"/>
  <c r="E98" i="11"/>
  <c r="A21" i="8"/>
  <c r="E84" i="11"/>
  <c r="A7" i="8"/>
  <c r="E92" i="11"/>
  <c r="A15" i="8"/>
  <c r="E100" i="11"/>
  <c r="A23" i="8"/>
  <c r="E83" i="11"/>
  <c r="A6" i="8"/>
  <c r="E85" i="11"/>
  <c r="A8" i="8"/>
  <c r="E93" i="11"/>
  <c r="A16" i="8"/>
  <c r="E86" i="11"/>
  <c r="A9" i="8"/>
  <c r="E94" i="11"/>
  <c r="A17" i="8"/>
  <c r="E99" i="11"/>
  <c r="A22" i="8"/>
  <c r="E87" i="11"/>
  <c r="A10" i="8"/>
  <c r="E95" i="11"/>
  <c r="A18" i="8"/>
  <c r="E91" i="11"/>
  <c r="A14" i="8"/>
  <c r="E80" i="11"/>
  <c r="A3" i="8"/>
  <c r="E88" i="11"/>
  <c r="A11" i="8"/>
  <c r="E96" i="11"/>
  <c r="A19" i="8"/>
  <c r="E89" i="11"/>
  <c r="A12" i="8"/>
  <c r="E97" i="11"/>
  <c r="A20" i="8"/>
  <c r="E81" i="11"/>
  <c r="A4" i="8"/>
  <c r="G36" i="11"/>
  <c r="O36" i="11"/>
  <c r="W36" i="11"/>
  <c r="AE36" i="11"/>
  <c r="AM36" i="11"/>
  <c r="AU36" i="11"/>
  <c r="BC36" i="11"/>
  <c r="BK36" i="11"/>
  <c r="BR36" i="11"/>
  <c r="H36" i="11"/>
  <c r="P36" i="11"/>
  <c r="X36" i="11"/>
  <c r="AF36" i="11"/>
  <c r="AN36" i="11"/>
  <c r="AV36" i="11"/>
  <c r="BD36" i="11"/>
  <c r="BL36" i="11"/>
  <c r="F36" i="11"/>
  <c r="I36" i="11"/>
  <c r="Q36" i="11"/>
  <c r="Y36" i="11"/>
  <c r="AG36" i="11"/>
  <c r="AO36" i="11"/>
  <c r="AW36" i="11"/>
  <c r="BE36" i="11"/>
  <c r="BM36" i="11"/>
  <c r="J36" i="11"/>
  <c r="R36" i="11"/>
  <c r="Z36" i="11"/>
  <c r="AH36" i="11"/>
  <c r="AP36" i="11"/>
  <c r="AX36" i="11"/>
  <c r="BF36" i="11"/>
  <c r="BN36" i="11"/>
  <c r="AL36" i="11"/>
  <c r="K36" i="11"/>
  <c r="S36" i="11"/>
  <c r="AA36" i="11"/>
  <c r="AI36" i="11"/>
  <c r="AQ36" i="11"/>
  <c r="AY36" i="11"/>
  <c r="BG36" i="11"/>
  <c r="BO36" i="11"/>
  <c r="AD36" i="11"/>
  <c r="BJ36" i="11"/>
  <c r="L36" i="11"/>
  <c r="T36" i="11"/>
  <c r="AB36" i="11"/>
  <c r="AJ36" i="11"/>
  <c r="AR36" i="11"/>
  <c r="AZ36" i="11"/>
  <c r="BH36" i="11"/>
  <c r="BP36" i="11"/>
  <c r="V36" i="11"/>
  <c r="AT36" i="11"/>
  <c r="M36" i="11"/>
  <c r="U36" i="11"/>
  <c r="AC36" i="11"/>
  <c r="AK36" i="11"/>
  <c r="AS36" i="11"/>
  <c r="BA36" i="11"/>
  <c r="BI36" i="11"/>
  <c r="BQ36" i="11"/>
  <c r="N36" i="11"/>
  <c r="BB36" i="11"/>
  <c r="G37" i="11"/>
  <c r="O37" i="11"/>
  <c r="W37" i="11"/>
  <c r="AE37" i="11"/>
  <c r="AM37" i="11"/>
  <c r="AU37" i="11"/>
  <c r="BC37" i="11"/>
  <c r="BK37" i="11"/>
  <c r="H37" i="11"/>
  <c r="P37" i="11"/>
  <c r="X37" i="11"/>
  <c r="AF37" i="11"/>
  <c r="AN37" i="11"/>
  <c r="AV37" i="11"/>
  <c r="BD37" i="11"/>
  <c r="BL37" i="11"/>
  <c r="AD37" i="11"/>
  <c r="I37" i="11"/>
  <c r="Q37" i="11"/>
  <c r="Y37" i="11"/>
  <c r="AG37" i="11"/>
  <c r="AO37" i="11"/>
  <c r="AW37" i="11"/>
  <c r="BE37" i="11"/>
  <c r="BM37" i="11"/>
  <c r="F37" i="11"/>
  <c r="N37" i="11"/>
  <c r="J37" i="11"/>
  <c r="R37" i="11"/>
  <c r="Z37" i="11"/>
  <c r="AH37" i="11"/>
  <c r="AP37" i="11"/>
  <c r="AX37" i="11"/>
  <c r="BF37" i="11"/>
  <c r="BN37" i="11"/>
  <c r="AL37" i="11"/>
  <c r="K37" i="11"/>
  <c r="S37" i="11"/>
  <c r="AA37" i="11"/>
  <c r="AI37" i="11"/>
  <c r="AQ37" i="11"/>
  <c r="AY37" i="11"/>
  <c r="BG37" i="11"/>
  <c r="BO37" i="11"/>
  <c r="BB37" i="11"/>
  <c r="L37" i="11"/>
  <c r="T37" i="11"/>
  <c r="AB37" i="11"/>
  <c r="AJ37" i="11"/>
  <c r="AR37" i="11"/>
  <c r="AZ37" i="11"/>
  <c r="BH37" i="11"/>
  <c r="BP37" i="11"/>
  <c r="AT37" i="11"/>
  <c r="BR37" i="11"/>
  <c r="M37" i="11"/>
  <c r="U37" i="11"/>
  <c r="AC37" i="11"/>
  <c r="AK37" i="11"/>
  <c r="AS37" i="11"/>
  <c r="BA37" i="11"/>
  <c r="BI37" i="11"/>
  <c r="BQ37" i="11"/>
  <c r="V37" i="11"/>
  <c r="BJ37" i="11"/>
  <c r="G35" i="11"/>
  <c r="O35" i="11"/>
  <c r="W35" i="11"/>
  <c r="AE35" i="11"/>
  <c r="AM35" i="11"/>
  <c r="AU35" i="11"/>
  <c r="BC35" i="11"/>
  <c r="BK35" i="11"/>
  <c r="F35" i="11"/>
  <c r="H35" i="11"/>
  <c r="P35" i="11"/>
  <c r="X35" i="11"/>
  <c r="AF35" i="11"/>
  <c r="AN35" i="11"/>
  <c r="AV35" i="11"/>
  <c r="BD35" i="11"/>
  <c r="BL35" i="11"/>
  <c r="N35" i="11"/>
  <c r="I35" i="11"/>
  <c r="Q35" i="11"/>
  <c r="Y35" i="11"/>
  <c r="AG35" i="11"/>
  <c r="AO35" i="11"/>
  <c r="AW35" i="11"/>
  <c r="BE35" i="11"/>
  <c r="BM35" i="11"/>
  <c r="V35" i="11"/>
  <c r="J35" i="11"/>
  <c r="R35" i="11"/>
  <c r="Z35" i="11"/>
  <c r="AH35" i="11"/>
  <c r="AP35" i="11"/>
  <c r="AX35" i="11"/>
  <c r="BF35" i="11"/>
  <c r="BN35" i="11"/>
  <c r="AT35" i="11"/>
  <c r="K35" i="11"/>
  <c r="S35" i="11"/>
  <c r="AA35" i="11"/>
  <c r="AI35" i="11"/>
  <c r="AQ35" i="11"/>
  <c r="AY35" i="11"/>
  <c r="BG35" i="11"/>
  <c r="BO35" i="11"/>
  <c r="BB35" i="11"/>
  <c r="L35" i="11"/>
  <c r="T35" i="11"/>
  <c r="AB35" i="11"/>
  <c r="AJ35" i="11"/>
  <c r="AR35" i="11"/>
  <c r="AZ35" i="11"/>
  <c r="BH35" i="11"/>
  <c r="BP35" i="11"/>
  <c r="AL35" i="11"/>
  <c r="BR35" i="11"/>
  <c r="M35" i="11"/>
  <c r="U35" i="11"/>
  <c r="AC35" i="11"/>
  <c r="AK35" i="11"/>
  <c r="AS35" i="11"/>
  <c r="BA35" i="11"/>
  <c r="BI35" i="11"/>
  <c r="BQ35" i="11"/>
  <c r="AD35" i="11"/>
  <c r="BJ35" i="11"/>
  <c r="G34" i="11"/>
  <c r="O34" i="11"/>
  <c r="W34" i="11"/>
  <c r="AE34" i="11"/>
  <c r="AM34" i="11"/>
  <c r="AU34" i="11"/>
  <c r="BC34" i="11"/>
  <c r="BK34" i="11"/>
  <c r="BJ34" i="11"/>
  <c r="H34" i="11"/>
  <c r="P34" i="11"/>
  <c r="X34" i="11"/>
  <c r="AF34" i="11"/>
  <c r="AN34" i="11"/>
  <c r="AV34" i="11"/>
  <c r="BD34" i="11"/>
  <c r="BL34" i="11"/>
  <c r="I34" i="11"/>
  <c r="Q34" i="11"/>
  <c r="Y34" i="11"/>
  <c r="AG34" i="11"/>
  <c r="AO34" i="11"/>
  <c r="AW34" i="11"/>
  <c r="BE34" i="11"/>
  <c r="BM34" i="11"/>
  <c r="J34" i="11"/>
  <c r="R34" i="11"/>
  <c r="Z34" i="11"/>
  <c r="AH34" i="11"/>
  <c r="AP34" i="11"/>
  <c r="AX34" i="11"/>
  <c r="BF34" i="11"/>
  <c r="BN34" i="11"/>
  <c r="F34" i="11"/>
  <c r="AL34" i="11"/>
  <c r="K34" i="11"/>
  <c r="S34" i="11"/>
  <c r="AA34" i="11"/>
  <c r="AI34" i="11"/>
  <c r="AQ34" i="11"/>
  <c r="AY34" i="11"/>
  <c r="BG34" i="11"/>
  <c r="BO34" i="11"/>
  <c r="AD34" i="11"/>
  <c r="BR34" i="11"/>
  <c r="L34" i="11"/>
  <c r="T34" i="11"/>
  <c r="AB34" i="11"/>
  <c r="AJ34" i="11"/>
  <c r="AR34" i="11"/>
  <c r="AZ34" i="11"/>
  <c r="BH34" i="11"/>
  <c r="BP34" i="11"/>
  <c r="V34" i="11"/>
  <c r="BB34" i="11"/>
  <c r="M34" i="11"/>
  <c r="U34" i="11"/>
  <c r="AC34" i="11"/>
  <c r="AK34" i="11"/>
  <c r="AS34" i="11"/>
  <c r="BA34" i="11"/>
  <c r="BI34" i="11"/>
  <c r="BQ34" i="11"/>
  <c r="N34" i="11"/>
  <c r="AT34" i="11"/>
  <c r="E91" i="12"/>
  <c r="A46" i="8"/>
  <c r="G37" i="12"/>
  <c r="O37" i="12"/>
  <c r="W37" i="12"/>
  <c r="AE37" i="12"/>
  <c r="AM37" i="12"/>
  <c r="AU37" i="12"/>
  <c r="BC37" i="12"/>
  <c r="BK37" i="12"/>
  <c r="H37" i="12"/>
  <c r="P37" i="12"/>
  <c r="X37" i="12"/>
  <c r="AF37" i="12"/>
  <c r="AN37" i="12"/>
  <c r="AV37" i="12"/>
  <c r="BD37" i="12"/>
  <c r="BL37" i="12"/>
  <c r="I37" i="12"/>
  <c r="Q37" i="12"/>
  <c r="Y37" i="12"/>
  <c r="AG37" i="12"/>
  <c r="AO37" i="12"/>
  <c r="AW37" i="12"/>
  <c r="BE37" i="12"/>
  <c r="BM37" i="12"/>
  <c r="F37" i="12"/>
  <c r="J37" i="12"/>
  <c r="R37" i="12"/>
  <c r="Z37" i="12"/>
  <c r="AH37" i="12"/>
  <c r="AP37" i="12"/>
  <c r="AX37" i="12"/>
  <c r="BF37" i="12"/>
  <c r="BN37" i="12"/>
  <c r="AD37" i="12"/>
  <c r="BJ37" i="12"/>
  <c r="K37" i="12"/>
  <c r="S37" i="12"/>
  <c r="AA37" i="12"/>
  <c r="AI37" i="12"/>
  <c r="AQ37" i="12"/>
  <c r="AY37" i="12"/>
  <c r="BG37" i="12"/>
  <c r="BO37" i="12"/>
  <c r="V37" i="12"/>
  <c r="AT37" i="12"/>
  <c r="BR37" i="12"/>
  <c r="L37" i="12"/>
  <c r="T37" i="12"/>
  <c r="AB37" i="12"/>
  <c r="AJ37" i="12"/>
  <c r="AR37" i="12"/>
  <c r="AZ37" i="12"/>
  <c r="BH37" i="12"/>
  <c r="BP37" i="12"/>
  <c r="AL37" i="12"/>
  <c r="M37" i="12"/>
  <c r="U37" i="12"/>
  <c r="AC37" i="12"/>
  <c r="AK37" i="12"/>
  <c r="AS37" i="12"/>
  <c r="BA37" i="12"/>
  <c r="BI37" i="12"/>
  <c r="BQ37" i="12"/>
  <c r="N37" i="12"/>
  <c r="BB37" i="12"/>
  <c r="E84" i="12"/>
  <c r="A39" i="8"/>
  <c r="E92" i="12"/>
  <c r="A47" i="8"/>
  <c r="E100" i="12"/>
  <c r="A55" i="8"/>
  <c r="E108" i="12"/>
  <c r="A63" i="8"/>
  <c r="E99" i="12"/>
  <c r="A54" i="8"/>
  <c r="E85" i="12"/>
  <c r="A40" i="8"/>
  <c r="E93" i="12"/>
  <c r="A48" i="8"/>
  <c r="E101" i="12"/>
  <c r="A56" i="8"/>
  <c r="E107" i="12"/>
  <c r="A62" i="8"/>
  <c r="E86" i="12"/>
  <c r="A41" i="8"/>
  <c r="E94" i="12"/>
  <c r="A49" i="8"/>
  <c r="E102" i="12"/>
  <c r="A57" i="8"/>
  <c r="G36" i="12"/>
  <c r="O36" i="12"/>
  <c r="W36" i="12"/>
  <c r="AE36" i="12"/>
  <c r="AM36" i="12"/>
  <c r="AU36" i="12"/>
  <c r="BC36" i="12"/>
  <c r="BK36" i="12"/>
  <c r="H36" i="12"/>
  <c r="P36" i="12"/>
  <c r="X36" i="12"/>
  <c r="AF36" i="12"/>
  <c r="AN36" i="12"/>
  <c r="AV36" i="12"/>
  <c r="BD36" i="12"/>
  <c r="BL36" i="12"/>
  <c r="F36" i="12"/>
  <c r="I36" i="12"/>
  <c r="Q36" i="12"/>
  <c r="Y36" i="12"/>
  <c r="AG36" i="12"/>
  <c r="AO36" i="12"/>
  <c r="AW36" i="12"/>
  <c r="BE36" i="12"/>
  <c r="BM36" i="12"/>
  <c r="J36" i="12"/>
  <c r="R36" i="12"/>
  <c r="Z36" i="12"/>
  <c r="AH36" i="12"/>
  <c r="AP36" i="12"/>
  <c r="AX36" i="12"/>
  <c r="BF36" i="12"/>
  <c r="BN36" i="12"/>
  <c r="AL36" i="12"/>
  <c r="BR36" i="12"/>
  <c r="K36" i="12"/>
  <c r="S36" i="12"/>
  <c r="AA36" i="12"/>
  <c r="AI36" i="12"/>
  <c r="AQ36" i="12"/>
  <c r="AY36" i="12"/>
  <c r="BG36" i="12"/>
  <c r="BO36" i="12"/>
  <c r="AD36" i="12"/>
  <c r="BB36" i="12"/>
  <c r="L36" i="12"/>
  <c r="T36" i="12"/>
  <c r="AB36" i="12"/>
  <c r="AJ36" i="12"/>
  <c r="AR36" i="12"/>
  <c r="AZ36" i="12"/>
  <c r="BH36" i="12"/>
  <c r="BP36" i="12"/>
  <c r="V36" i="12"/>
  <c r="BJ36" i="12"/>
  <c r="M36" i="12"/>
  <c r="U36" i="12"/>
  <c r="AC36" i="12"/>
  <c r="AK36" i="12"/>
  <c r="AS36" i="12"/>
  <c r="BA36" i="12"/>
  <c r="BI36" i="12"/>
  <c r="BQ36" i="12"/>
  <c r="N36" i="12"/>
  <c r="AT36" i="12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E83" i="12"/>
  <c r="A38" i="8"/>
  <c r="G34" i="12"/>
  <c r="O34" i="12"/>
  <c r="W34" i="12"/>
  <c r="AE34" i="12"/>
  <c r="AM34" i="12"/>
  <c r="AU34" i="12"/>
  <c r="BC34" i="12"/>
  <c r="BK34" i="12"/>
  <c r="H34" i="12"/>
  <c r="P34" i="12"/>
  <c r="X34" i="12"/>
  <c r="AF34" i="12"/>
  <c r="AN34" i="12"/>
  <c r="AV34" i="12"/>
  <c r="BD34" i="12"/>
  <c r="BL34" i="12"/>
  <c r="I34" i="12"/>
  <c r="Q34" i="12"/>
  <c r="Y34" i="12"/>
  <c r="AG34" i="12"/>
  <c r="AO34" i="12"/>
  <c r="AW34" i="12"/>
  <c r="BE34" i="12"/>
  <c r="BM34" i="12"/>
  <c r="J34" i="12"/>
  <c r="R34" i="12"/>
  <c r="Z34" i="12"/>
  <c r="AH34" i="12"/>
  <c r="AP34" i="12"/>
  <c r="AX34" i="12"/>
  <c r="BF34" i="12"/>
  <c r="BN34" i="12"/>
  <c r="F34" i="12"/>
  <c r="AL34" i="12"/>
  <c r="AT34" i="12"/>
  <c r="K34" i="12"/>
  <c r="S34" i="12"/>
  <c r="AA34" i="12"/>
  <c r="AI34" i="12"/>
  <c r="AQ34" i="12"/>
  <c r="AY34" i="12"/>
  <c r="BG34" i="12"/>
  <c r="BO34" i="12"/>
  <c r="AD34" i="12"/>
  <c r="BB34" i="12"/>
  <c r="L34" i="12"/>
  <c r="T34" i="12"/>
  <c r="AB34" i="12"/>
  <c r="AJ34" i="12"/>
  <c r="AR34" i="12"/>
  <c r="AZ34" i="12"/>
  <c r="BH34" i="12"/>
  <c r="BP34" i="12"/>
  <c r="V34" i="12"/>
  <c r="BR34" i="12"/>
  <c r="M34" i="12"/>
  <c r="U34" i="12"/>
  <c r="AC34" i="12"/>
  <c r="AK34" i="12"/>
  <c r="AS34" i="12"/>
  <c r="BA34" i="12"/>
  <c r="BI34" i="12"/>
  <c r="BQ34" i="12"/>
  <c r="N34" i="12"/>
  <c r="BJ34" i="12"/>
  <c r="E81" i="12"/>
  <c r="A36" i="8"/>
  <c r="E89" i="12"/>
  <c r="A44" i="8"/>
  <c r="E97" i="12"/>
  <c r="A52" i="8"/>
  <c r="E105" i="12"/>
  <c r="A60" i="8"/>
  <c r="G35" i="12"/>
  <c r="O35" i="12"/>
  <c r="W35" i="12"/>
  <c r="AE35" i="12"/>
  <c r="AM35" i="12"/>
  <c r="AU35" i="12"/>
  <c r="BC35" i="12"/>
  <c r="BK35" i="12"/>
  <c r="F35" i="12"/>
  <c r="H35" i="12"/>
  <c r="P35" i="12"/>
  <c r="X35" i="12"/>
  <c r="AF35" i="12"/>
  <c r="AN35" i="12"/>
  <c r="AV35" i="12"/>
  <c r="BD35" i="12"/>
  <c r="BL35" i="12"/>
  <c r="I35" i="12"/>
  <c r="Q35" i="12"/>
  <c r="Y35" i="12"/>
  <c r="AG35" i="12"/>
  <c r="AO35" i="12"/>
  <c r="AW35" i="12"/>
  <c r="BE35" i="12"/>
  <c r="BM35" i="12"/>
  <c r="J35" i="12"/>
  <c r="R35" i="12"/>
  <c r="Z35" i="12"/>
  <c r="AH35" i="12"/>
  <c r="AP35" i="12"/>
  <c r="AX35" i="12"/>
  <c r="BF35" i="12"/>
  <c r="BN35" i="12"/>
  <c r="N35" i="12"/>
  <c r="AL35" i="12"/>
  <c r="BR35" i="12"/>
  <c r="K35" i="12"/>
  <c r="S35" i="12"/>
  <c r="AA35" i="12"/>
  <c r="AI35" i="12"/>
  <c r="AQ35" i="12"/>
  <c r="AY35" i="12"/>
  <c r="BG35" i="12"/>
  <c r="BO35" i="12"/>
  <c r="V35" i="12"/>
  <c r="BJ35" i="12"/>
  <c r="L35" i="12"/>
  <c r="T35" i="12"/>
  <c r="AB35" i="12"/>
  <c r="AJ35" i="12"/>
  <c r="AR35" i="12"/>
  <c r="AZ35" i="12"/>
  <c r="BH35" i="12"/>
  <c r="BP35" i="12"/>
  <c r="AT35" i="12"/>
  <c r="M35" i="12"/>
  <c r="U35" i="12"/>
  <c r="AC35" i="12"/>
  <c r="AK35" i="12"/>
  <c r="AS35" i="12"/>
  <c r="BA35" i="12"/>
  <c r="BI35" i="12"/>
  <c r="BQ35" i="12"/>
  <c r="AD35" i="12"/>
  <c r="BB35" i="12"/>
  <c r="E82" i="12"/>
  <c r="A37" i="8"/>
  <c r="E90" i="12"/>
  <c r="A45" i="8"/>
  <c r="E98" i="12"/>
  <c r="A53" i="8"/>
  <c r="E106" i="12"/>
  <c r="A61" i="8"/>
  <c r="AN41" i="4"/>
  <c r="AV41" i="4"/>
  <c r="BD41" i="4"/>
  <c r="BL41" i="4"/>
  <c r="AO41" i="4"/>
  <c r="AW41" i="4"/>
  <c r="BE41" i="4"/>
  <c r="BM41" i="4"/>
  <c r="AP41" i="4"/>
  <c r="AX41" i="4"/>
  <c r="BF41" i="4"/>
  <c r="BN41" i="4"/>
  <c r="AQ41" i="4"/>
  <c r="AY41" i="4"/>
  <c r="BG41" i="4"/>
  <c r="BO41" i="4"/>
  <c r="AR41" i="4"/>
  <c r="AZ41" i="4"/>
  <c r="BH41" i="4"/>
  <c r="BP41" i="4"/>
  <c r="AT41" i="4"/>
  <c r="BB41" i="4"/>
  <c r="BJ41" i="4"/>
  <c r="BR41" i="4"/>
  <c r="AM41" i="4"/>
  <c r="AU41" i="4"/>
  <c r="BC41" i="4"/>
  <c r="BK41" i="4"/>
  <c r="BI41" i="4"/>
  <c r="BQ41" i="4"/>
  <c r="AS41" i="4"/>
  <c r="BA41" i="4"/>
  <c r="M41" i="4"/>
  <c r="O41" i="4"/>
  <c r="U41" i="4"/>
  <c r="N41" i="4"/>
  <c r="T41" i="4"/>
  <c r="AI41" i="4"/>
  <c r="L41" i="4"/>
  <c r="AA41" i="4"/>
  <c r="S41" i="4"/>
  <c r="AH41" i="4"/>
  <c r="W41" i="4"/>
  <c r="K41" i="4"/>
  <c r="Z41" i="4"/>
  <c r="AG41" i="4"/>
  <c r="R41" i="4"/>
  <c r="Y41" i="4"/>
  <c r="AF41" i="4"/>
  <c r="AL41" i="4"/>
  <c r="J41" i="4"/>
  <c r="Q41" i="4"/>
  <c r="X41" i="4"/>
  <c r="AD41" i="4"/>
  <c r="AK41" i="4"/>
  <c r="AJ41" i="4"/>
  <c r="AE41" i="4"/>
  <c r="I41" i="4"/>
  <c r="P41" i="4"/>
  <c r="V41" i="4"/>
  <c r="AC41" i="4"/>
  <c r="AB41" i="4"/>
  <c r="G41" i="4"/>
  <c r="H41" i="4"/>
  <c r="E109" i="11"/>
  <c r="A32" i="14"/>
  <c r="A2" i="12"/>
  <c r="E41" i="12"/>
  <c r="C78" i="12" s="1"/>
  <c r="E41" i="11"/>
  <c r="C78" i="11" s="1"/>
  <c r="F106" i="11" s="1"/>
  <c r="E34" i="12"/>
  <c r="B34" i="12" s="1"/>
  <c r="E36" i="12"/>
  <c r="B36" i="12" s="1"/>
  <c r="E37" i="12"/>
  <c r="B37" i="12" s="1"/>
  <c r="E35" i="11"/>
  <c r="B35" i="11" s="1"/>
  <c r="A80" i="12"/>
  <c r="A82" i="12"/>
  <c r="A84" i="12"/>
  <c r="A86" i="12"/>
  <c r="A88" i="12"/>
  <c r="A92" i="12"/>
  <c r="A96" i="12"/>
  <c r="A81" i="12"/>
  <c r="A83" i="12"/>
  <c r="A85" i="12"/>
  <c r="A87" i="12"/>
  <c r="A89" i="12"/>
  <c r="A90" i="12"/>
  <c r="A94" i="12"/>
  <c r="A98" i="12"/>
  <c r="A100" i="12"/>
  <c r="A102" i="12"/>
  <c r="A104" i="12"/>
  <c r="A106" i="12"/>
  <c r="A108" i="12"/>
  <c r="A91" i="12"/>
  <c r="A93" i="12"/>
  <c r="A95" i="12"/>
  <c r="A97" i="12"/>
  <c r="A99" i="12"/>
  <c r="A101" i="12"/>
  <c r="A103" i="12"/>
  <c r="A105" i="12"/>
  <c r="A107" i="12"/>
  <c r="E35" i="12"/>
  <c r="B35" i="12" s="1"/>
  <c r="C115" i="12"/>
  <c r="A82" i="11"/>
  <c r="A84" i="11"/>
  <c r="A106" i="11"/>
  <c r="A80" i="11"/>
  <c r="A89" i="11"/>
  <c r="A105" i="11"/>
  <c r="A87" i="11"/>
  <c r="A107" i="11"/>
  <c r="A85" i="11"/>
  <c r="E36" i="11"/>
  <c r="B36" i="11" s="1"/>
  <c r="A95" i="11"/>
  <c r="A99" i="11"/>
  <c r="A86" i="11"/>
  <c r="A88" i="11"/>
  <c r="A90" i="11"/>
  <c r="A92" i="11"/>
  <c r="A94" i="11"/>
  <c r="A96" i="11"/>
  <c r="A98" i="11"/>
  <c r="A100" i="11"/>
  <c r="A102" i="11"/>
  <c r="A104" i="11"/>
  <c r="A108" i="11"/>
  <c r="A91" i="11"/>
  <c r="A103" i="11"/>
  <c r="E34" i="11"/>
  <c r="B34" i="11" s="1"/>
  <c r="E37" i="11"/>
  <c r="B37" i="11" s="1"/>
  <c r="A81" i="11"/>
  <c r="A93" i="11"/>
  <c r="A101" i="11"/>
  <c r="A83" i="11"/>
  <c r="A97" i="11"/>
  <c r="C115" i="11"/>
  <c r="H41" i="11" l="1"/>
  <c r="AD41" i="11"/>
  <c r="F80" i="11"/>
  <c r="BM41" i="11"/>
  <c r="BN41" i="11"/>
  <c r="AY41" i="11"/>
  <c r="O41" i="11"/>
  <c r="AK41" i="11"/>
  <c r="W41" i="11"/>
  <c r="AZ41" i="11"/>
  <c r="BG41" i="11"/>
  <c r="I41" i="11"/>
  <c r="P41" i="11"/>
  <c r="AC41" i="11"/>
  <c r="AR41" i="11"/>
  <c r="BF41" i="11"/>
  <c r="AS58" i="11"/>
  <c r="AO15" i="8" s="1"/>
  <c r="BH63" i="11"/>
  <c r="BD20" i="8" s="1"/>
  <c r="X62" i="11"/>
  <c r="T19" i="8" s="1"/>
  <c r="V58" i="11"/>
  <c r="R15" i="8" s="1"/>
  <c r="AE58" i="11"/>
  <c r="AA15" i="8" s="1"/>
  <c r="BB41" i="11"/>
  <c r="R41" i="11"/>
  <c r="BG48" i="11"/>
  <c r="BC5" i="8" s="1"/>
  <c r="AC67" i="11"/>
  <c r="Y24" i="8" s="1"/>
  <c r="AR62" i="11"/>
  <c r="AN19" i="8" s="1"/>
  <c r="BG54" i="11"/>
  <c r="BC11" i="8" s="1"/>
  <c r="O53" i="11"/>
  <c r="K10" i="8" s="1"/>
  <c r="Q41" i="11"/>
  <c r="AY51" i="11"/>
  <c r="AU8" i="8" s="1"/>
  <c r="BJ58" i="11"/>
  <c r="BF15" i="8" s="1"/>
  <c r="AD65" i="11"/>
  <c r="Z22" i="8" s="1"/>
  <c r="AO54" i="11"/>
  <c r="AK11" i="8" s="1"/>
  <c r="H48" i="11"/>
  <c r="D5" i="8" s="1"/>
  <c r="BJ54" i="11"/>
  <c r="BF11" i="8" s="1"/>
  <c r="U59" i="11"/>
  <c r="Q16" i="8" s="1"/>
  <c r="AJ61" i="11"/>
  <c r="AF18" i="8" s="1"/>
  <c r="BM55" i="11"/>
  <c r="BI12" i="8" s="1"/>
  <c r="AL41" i="11"/>
  <c r="AK58" i="11"/>
  <c r="AG15" i="8" s="1"/>
  <c r="W54" i="11"/>
  <c r="S11" i="8" s="1"/>
  <c r="AS41" i="11"/>
  <c r="BH41" i="11"/>
  <c r="V54" i="11"/>
  <c r="R11" i="8" s="1"/>
  <c r="BL51" i="11"/>
  <c r="BH8" i="8" s="1"/>
  <c r="G57" i="11"/>
  <c r="C14" i="8" s="1"/>
  <c r="BF54" i="11"/>
  <c r="BB11" i="8" s="1"/>
  <c r="AO41" i="11"/>
  <c r="AG48" i="11"/>
  <c r="AC5" i="8" s="1"/>
  <c r="AG41" i="11"/>
  <c r="AN41" i="11"/>
  <c r="BP54" i="11"/>
  <c r="BL11" i="8" s="1"/>
  <c r="BN50" i="11"/>
  <c r="BJ7" i="8" s="1"/>
  <c r="BJ67" i="11"/>
  <c r="BF24" i="8" s="1"/>
  <c r="V41" i="11"/>
  <c r="AD54" i="11"/>
  <c r="Z11" i="8" s="1"/>
  <c r="AF66" i="11"/>
  <c r="AB23" i="8" s="1"/>
  <c r="AD48" i="11"/>
  <c r="Z5" i="8" s="1"/>
  <c r="BM62" i="11"/>
  <c r="BI19" i="8" s="1"/>
  <c r="V62" i="11"/>
  <c r="R19" i="8" s="1"/>
  <c r="BH62" i="11"/>
  <c r="BD19" i="8" s="1"/>
  <c r="AE48" i="11"/>
  <c r="AA5" i="8" s="1"/>
  <c r="AG63" i="11"/>
  <c r="AC20" i="8" s="1"/>
  <c r="Z41" i="11"/>
  <c r="AG58" i="11"/>
  <c r="AC15" i="8" s="1"/>
  <c r="AN62" i="11"/>
  <c r="AJ19" i="8" s="1"/>
  <c r="BR41" i="11"/>
  <c r="AH41" i="11"/>
  <c r="AW48" i="11"/>
  <c r="AS5" i="8" s="1"/>
  <c r="BC48" i="11"/>
  <c r="AY5" i="8" s="1"/>
  <c r="N54" i="11"/>
  <c r="J11" i="8" s="1"/>
  <c r="M41" i="11"/>
  <c r="AW41" i="11"/>
  <c r="BD41" i="11"/>
  <c r="BH54" i="11"/>
  <c r="BD11" i="8" s="1"/>
  <c r="J48" i="11"/>
  <c r="F5" i="8" s="1"/>
  <c r="AD58" i="11"/>
  <c r="Z15" i="8" s="1"/>
  <c r="AT57" i="11"/>
  <c r="AP14" i="8" s="1"/>
  <c r="V66" i="11"/>
  <c r="R23" i="8" s="1"/>
  <c r="BE59" i="11"/>
  <c r="BA16" i="8" s="1"/>
  <c r="AJ41" i="11"/>
  <c r="BE41" i="11"/>
  <c r="Y66" i="11"/>
  <c r="U23" i="8" s="1"/>
  <c r="AD66" i="11"/>
  <c r="Z23" i="8" s="1"/>
  <c r="AD62" i="11"/>
  <c r="Z19" i="8" s="1"/>
  <c r="AV59" i="11"/>
  <c r="AR16" i="8" s="1"/>
  <c r="K48" i="11"/>
  <c r="G5" i="8" s="1"/>
  <c r="BH58" i="11"/>
  <c r="BD15" i="8" s="1"/>
  <c r="V61" i="11"/>
  <c r="R18" i="8" s="1"/>
  <c r="N41" i="11"/>
  <c r="AG62" i="11"/>
  <c r="AC19" i="8" s="1"/>
  <c r="AY48" i="11"/>
  <c r="AU5" i="8" s="1"/>
  <c r="N67" i="11"/>
  <c r="J24" i="8" s="1"/>
  <c r="M61" i="11"/>
  <c r="I18" i="8" s="1"/>
  <c r="AB58" i="11"/>
  <c r="X15" i="8" s="1"/>
  <c r="AQ54" i="11"/>
  <c r="AM11" i="8" s="1"/>
  <c r="BK66" i="11"/>
  <c r="BG23" i="8" s="1"/>
  <c r="BI41" i="11"/>
  <c r="AT66" i="11"/>
  <c r="AP23" i="8" s="1"/>
  <c r="L58" i="11"/>
  <c r="H15" i="8" s="1"/>
  <c r="S62" i="11"/>
  <c r="O19" i="8" s="1"/>
  <c r="Z66" i="11"/>
  <c r="V23" i="8" s="1"/>
  <c r="AO62" i="11"/>
  <c r="AK19" i="8" s="1"/>
  <c r="AV58" i="11"/>
  <c r="AR15" i="8" s="1"/>
  <c r="AU66" i="11"/>
  <c r="AQ23" i="8" s="1"/>
  <c r="AT41" i="11"/>
  <c r="T41" i="11"/>
  <c r="AI54" i="11"/>
  <c r="AE11" i="8" s="1"/>
  <c r="AP54" i="11"/>
  <c r="AL11" i="8" s="1"/>
  <c r="AV41" i="11"/>
  <c r="AQ66" i="11"/>
  <c r="AM23" i="8" s="1"/>
  <c r="BN58" i="11"/>
  <c r="BJ15" i="8" s="1"/>
  <c r="AX66" i="11"/>
  <c r="AT23" i="8" s="1"/>
  <c r="AW58" i="11"/>
  <c r="AS15" i="8" s="1"/>
  <c r="U63" i="11"/>
  <c r="Q20" i="8" s="1"/>
  <c r="AG66" i="11"/>
  <c r="AC23" i="8" s="1"/>
  <c r="AN54" i="11"/>
  <c r="AJ11" i="8" s="1"/>
  <c r="AY62" i="11"/>
  <c r="AU19" i="8" s="1"/>
  <c r="AY58" i="11"/>
  <c r="AU15" i="8" s="1"/>
  <c r="BM58" i="11"/>
  <c r="BI15" i="8" s="1"/>
  <c r="AN48" i="11"/>
  <c r="AJ5" i="8" s="1"/>
  <c r="BI54" i="11"/>
  <c r="BE11" i="8" s="1"/>
  <c r="L59" i="11"/>
  <c r="H16" i="8" s="1"/>
  <c r="AN58" i="11"/>
  <c r="AJ15" i="8" s="1"/>
  <c r="BP66" i="11"/>
  <c r="BL23" i="8" s="1"/>
  <c r="AH54" i="11"/>
  <c r="AD11" i="8" s="1"/>
  <c r="BN54" i="11"/>
  <c r="BJ11" i="8" s="1"/>
  <c r="BN48" i="11"/>
  <c r="BJ5" i="8" s="1"/>
  <c r="AH65" i="11"/>
  <c r="AD22" i="8" s="1"/>
  <c r="AG67" i="11"/>
  <c r="AC24" i="8" s="1"/>
  <c r="AN66" i="11"/>
  <c r="AJ23" i="8" s="1"/>
  <c r="AG54" i="11"/>
  <c r="AC11" i="8" s="1"/>
  <c r="BM54" i="11"/>
  <c r="BI11" i="8" s="1"/>
  <c r="AW62" i="11"/>
  <c r="AS19" i="8" s="1"/>
  <c r="BM48" i="11"/>
  <c r="BI5" i="8" s="1"/>
  <c r="BN66" i="11"/>
  <c r="BJ23" i="8" s="1"/>
  <c r="AY54" i="11"/>
  <c r="AU11" i="8" s="1"/>
  <c r="BK54" i="11"/>
  <c r="BG11" i="8" s="1"/>
  <c r="G58" i="11"/>
  <c r="C15" i="8" s="1"/>
  <c r="AY66" i="11"/>
  <c r="AU23" i="8" s="1"/>
  <c r="BM66" i="11"/>
  <c r="BI23" i="8" s="1"/>
  <c r="G54" i="11"/>
  <c r="C11" i="8" s="1"/>
  <c r="BN62" i="11"/>
  <c r="BJ19" i="8" s="1"/>
  <c r="G48" i="11"/>
  <c r="C5" i="8" s="1"/>
  <c r="K41" i="11"/>
  <c r="AU41" i="11"/>
  <c r="AO66" i="11"/>
  <c r="AK23" i="8" s="1"/>
  <c r="AU54" i="11"/>
  <c r="AQ11" i="8" s="1"/>
  <c r="BF62" i="11"/>
  <c r="BB19" i="8" s="1"/>
  <c r="L48" i="11"/>
  <c r="H5" i="8" s="1"/>
  <c r="AO48" i="11"/>
  <c r="AK5" i="8" s="1"/>
  <c r="V63" i="11"/>
  <c r="R20" i="8" s="1"/>
  <c r="BQ41" i="11"/>
  <c r="BR58" i="11"/>
  <c r="BN15" i="8" s="1"/>
  <c r="AA62" i="11"/>
  <c r="W19" i="8" s="1"/>
  <c r="AH62" i="11"/>
  <c r="AD19" i="8" s="1"/>
  <c r="BD54" i="11"/>
  <c r="AZ11" i="8" s="1"/>
  <c r="BC41" i="11"/>
  <c r="N66" i="11"/>
  <c r="J23" i="8" s="1"/>
  <c r="M62" i="11"/>
  <c r="I19" i="8" s="1"/>
  <c r="AB54" i="11"/>
  <c r="X11" i="8" s="1"/>
  <c r="AQ41" i="11"/>
  <c r="AX41" i="11"/>
  <c r="BK41" i="11"/>
  <c r="BF66" i="11"/>
  <c r="BB23" i="8" s="1"/>
  <c r="L54" i="11"/>
  <c r="H11" i="8" s="1"/>
  <c r="AQ62" i="11"/>
  <c r="AM19" i="8" s="1"/>
  <c r="BI58" i="11"/>
  <c r="BE15" i="8" s="1"/>
  <c r="AU58" i="11"/>
  <c r="AQ15" i="8" s="1"/>
  <c r="BQ54" i="11"/>
  <c r="BM11" i="8" s="1"/>
  <c r="BB61" i="11"/>
  <c r="AX18" i="8" s="1"/>
  <c r="T61" i="11"/>
  <c r="P18" i="8" s="1"/>
  <c r="AI48" i="11"/>
  <c r="AE5" i="8" s="1"/>
  <c r="AV65" i="11"/>
  <c r="AR22" i="8" s="1"/>
  <c r="BC54" i="11"/>
  <c r="AY11" i="8" s="1"/>
  <c r="U67" i="11"/>
  <c r="Q24" i="8" s="1"/>
  <c r="BO41" i="11"/>
  <c r="AT54" i="11"/>
  <c r="AP11" i="8" s="1"/>
  <c r="J41" i="11"/>
  <c r="X48" i="11"/>
  <c r="T5" i="8" s="1"/>
  <c r="AE41" i="11"/>
  <c r="AI41" i="11"/>
  <c r="L62" i="11"/>
  <c r="H19" i="8" s="1"/>
  <c r="AT62" i="11"/>
  <c r="AP19" i="8" s="1"/>
  <c r="AP58" i="11"/>
  <c r="AL15" i="8" s="1"/>
  <c r="L67" i="11"/>
  <c r="H24" i="8" s="1"/>
  <c r="AP67" i="11"/>
  <c r="AL24" i="8" s="1"/>
  <c r="AO65" i="11"/>
  <c r="AK22" i="8" s="1"/>
  <c r="AU49" i="11"/>
  <c r="AQ6" i="8" s="1"/>
  <c r="BK63" i="11"/>
  <c r="BG20" i="8" s="1"/>
  <c r="AS48" i="11"/>
  <c r="AO5" i="8" s="1"/>
  <c r="BH48" i="11"/>
  <c r="BD5" i="8" s="1"/>
  <c r="Y58" i="11"/>
  <c r="U15" i="8" s="1"/>
  <c r="AF58" i="11"/>
  <c r="AB15" i="8" s="1"/>
  <c r="AE54" i="11"/>
  <c r="AA11" i="8" s="1"/>
  <c r="BA66" i="11"/>
  <c r="AW23" i="8" s="1"/>
  <c r="BP48" i="11"/>
  <c r="BL5" i="8" s="1"/>
  <c r="BJ62" i="11"/>
  <c r="BF19" i="8" s="1"/>
  <c r="S66" i="11"/>
  <c r="O23" i="8" s="1"/>
  <c r="Z54" i="11"/>
  <c r="V11" i="8" s="1"/>
  <c r="Y41" i="11"/>
  <c r="AF41" i="11"/>
  <c r="AM48" i="11"/>
  <c r="AI5" i="8" s="1"/>
  <c r="BI62" i="11"/>
  <c r="BE19" i="8" s="1"/>
  <c r="BB48" i="11"/>
  <c r="AX5" i="8" s="1"/>
  <c r="BP65" i="11"/>
  <c r="BL22" i="8" s="1"/>
  <c r="AF57" i="11"/>
  <c r="AB14" i="8" s="1"/>
  <c r="AB65" i="11"/>
  <c r="X22" i="8" s="1"/>
  <c r="L66" i="11"/>
  <c r="H23" i="8" s="1"/>
  <c r="S54" i="11"/>
  <c r="O11" i="8" s="1"/>
  <c r="K62" i="11"/>
  <c r="G19" i="8" s="1"/>
  <c r="AP62" i="11"/>
  <c r="AL19" i="8" s="1"/>
  <c r="AU62" i="11"/>
  <c r="AQ19" i="8" s="1"/>
  <c r="U58" i="11"/>
  <c r="Q15" i="8" s="1"/>
  <c r="AO58" i="11"/>
  <c r="AK15" i="8" s="1"/>
  <c r="BI48" i="11"/>
  <c r="BE5" i="8" s="1"/>
  <c r="K59" i="11"/>
  <c r="G16" i="8" s="1"/>
  <c r="Y55" i="11"/>
  <c r="U12" i="8" s="1"/>
  <c r="M65" i="11"/>
  <c r="I22" i="8" s="1"/>
  <c r="AY61" i="11"/>
  <c r="AU18" i="8" s="1"/>
  <c r="U48" i="11"/>
  <c r="Q5" i="8" s="1"/>
  <c r="BL48" i="11"/>
  <c r="BH5" i="8" s="1"/>
  <c r="G62" i="11"/>
  <c r="C19" i="8" s="1"/>
  <c r="L41" i="11"/>
  <c r="AP41" i="11"/>
  <c r="BI66" i="11"/>
  <c r="BE23" i="8" s="1"/>
  <c r="BE54" i="11"/>
  <c r="BA11" i="8" s="1"/>
  <c r="V48" i="11"/>
  <c r="R5" i="8" s="1"/>
  <c r="AP48" i="11"/>
  <c r="AL5" i="8" s="1"/>
  <c r="AU48" i="11"/>
  <c r="AQ5" i="8" s="1"/>
  <c r="AK65" i="11"/>
  <c r="AG22" i="8" s="1"/>
  <c r="R66" i="11"/>
  <c r="N23" i="8" s="1"/>
  <c r="P54" i="11"/>
  <c r="L11" i="8" s="1"/>
  <c r="W63" i="11"/>
  <c r="S20" i="8" s="1"/>
  <c r="BN65" i="11"/>
  <c r="BJ22" i="8" s="1"/>
  <c r="BM61" i="11"/>
  <c r="BI18" i="8" s="1"/>
  <c r="K66" i="11"/>
  <c r="G23" i="8" s="1"/>
  <c r="AP66" i="11"/>
  <c r="AL23" i="8" s="1"/>
  <c r="K54" i="11"/>
  <c r="G11" i="8" s="1"/>
  <c r="K58" i="11"/>
  <c r="G15" i="8" s="1"/>
  <c r="BE48" i="11"/>
  <c r="BA5" i="8" s="1"/>
  <c r="I48" i="11"/>
  <c r="E5" i="8" s="1"/>
  <c r="BB65" i="11"/>
  <c r="AX22" i="8" s="1"/>
  <c r="U41" i="11"/>
  <c r="AA41" i="11"/>
  <c r="BJ41" i="11"/>
  <c r="G41" i="11"/>
  <c r="U66" i="11"/>
  <c r="Q23" i="8" s="1"/>
  <c r="AI66" i="11"/>
  <c r="AE23" i="8" s="1"/>
  <c r="G66" i="11"/>
  <c r="C23" i="8" s="1"/>
  <c r="BR66" i="11"/>
  <c r="BN23" i="8" s="1"/>
  <c r="BD66" i="11"/>
  <c r="AZ23" i="8" s="1"/>
  <c r="M54" i="11"/>
  <c r="I11" i="8" s="1"/>
  <c r="T54" i="11"/>
  <c r="P11" i="8" s="1"/>
  <c r="BA54" i="11"/>
  <c r="AW11" i="8" s="1"/>
  <c r="AX54" i="11"/>
  <c r="AT11" i="8" s="1"/>
  <c r="AV54" i="11"/>
  <c r="AR11" i="8" s="1"/>
  <c r="BB54" i="11"/>
  <c r="AX11" i="8" s="1"/>
  <c r="T62" i="11"/>
  <c r="P19" i="8" s="1"/>
  <c r="BA62" i="11"/>
  <c r="AW19" i="8" s="1"/>
  <c r="BB62" i="11"/>
  <c r="AX19" i="8" s="1"/>
  <c r="H58" i="11"/>
  <c r="D15" i="8" s="1"/>
  <c r="AA58" i="11"/>
  <c r="W15" i="8" s="1"/>
  <c r="M48" i="11"/>
  <c r="I5" i="8" s="1"/>
  <c r="S48" i="11"/>
  <c r="O5" i="8" s="1"/>
  <c r="AV48" i="11"/>
  <c r="AR5" i="8" s="1"/>
  <c r="AX48" i="11"/>
  <c r="AT5" i="8" s="1"/>
  <c r="AT51" i="11"/>
  <c r="AP8" i="8" s="1"/>
  <c r="U65" i="11"/>
  <c r="Q22" i="8" s="1"/>
  <c r="AJ47" i="11"/>
  <c r="AF4" i="8" s="1"/>
  <c r="BL49" i="11"/>
  <c r="BH6" i="8" s="1"/>
  <c r="BJ47" i="11"/>
  <c r="BF4" i="8" s="1"/>
  <c r="G64" i="11"/>
  <c r="C21" i="8" s="1"/>
  <c r="AY67" i="11"/>
  <c r="AU24" i="8" s="1"/>
  <c r="BJ65" i="11"/>
  <c r="BF22" i="8" s="1"/>
  <c r="I63" i="11"/>
  <c r="E20" i="8" s="1"/>
  <c r="BP63" i="11"/>
  <c r="BL20" i="8" s="1"/>
  <c r="AX61" i="11"/>
  <c r="AT18" i="8" s="1"/>
  <c r="G59" i="11"/>
  <c r="C16" i="8" s="1"/>
  <c r="BM59" i="11"/>
  <c r="BI16" i="8" s="1"/>
  <c r="BP41" i="11"/>
  <c r="BL41" i="11"/>
  <c r="H66" i="11"/>
  <c r="D23" i="8" s="1"/>
  <c r="M66" i="11"/>
  <c r="I23" i="8" s="1"/>
  <c r="AW66" i="11"/>
  <c r="AS23" i="8" s="1"/>
  <c r="U54" i="11"/>
  <c r="Q11" i="8" s="1"/>
  <c r="BL54" i="11"/>
  <c r="BH11" i="8" s="1"/>
  <c r="AM54" i="11"/>
  <c r="AI11" i="8" s="1"/>
  <c r="AS54" i="11"/>
  <c r="AO11" i="8" s="1"/>
  <c r="AE62" i="11"/>
  <c r="AA19" i="8" s="1"/>
  <c r="AI62" i="11"/>
  <c r="AE19" i="8" s="1"/>
  <c r="BC62" i="11"/>
  <c r="AY19" i="8" s="1"/>
  <c r="BQ62" i="11"/>
  <c r="BM19" i="8" s="1"/>
  <c r="U62" i="11"/>
  <c r="Q19" i="8" s="1"/>
  <c r="AS62" i="11"/>
  <c r="AO19" i="8" s="1"/>
  <c r="T58" i="11"/>
  <c r="P15" i="8" s="1"/>
  <c r="S58" i="11"/>
  <c r="O15" i="8" s="1"/>
  <c r="BL58" i="11"/>
  <c r="BH15" i="8" s="1"/>
  <c r="BQ58" i="11"/>
  <c r="BM15" i="8" s="1"/>
  <c r="BE58" i="11"/>
  <c r="BA15" i="8" s="1"/>
  <c r="T48" i="11"/>
  <c r="P5" i="8" s="1"/>
  <c r="AF48" i="11"/>
  <c r="AB5" i="8" s="1"/>
  <c r="AA48" i="11"/>
  <c r="W5" i="8" s="1"/>
  <c r="BR48" i="11"/>
  <c r="BN5" i="8" s="1"/>
  <c r="AQ48" i="11"/>
  <c r="AM5" i="8" s="1"/>
  <c r="BK67" i="11"/>
  <c r="BG24" i="8" s="1"/>
  <c r="AD67" i="11"/>
  <c r="Z24" i="8" s="1"/>
  <c r="AO67" i="11"/>
  <c r="AK24" i="8" s="1"/>
  <c r="AJ65" i="11"/>
  <c r="AF22" i="8" s="1"/>
  <c r="BQ65" i="11"/>
  <c r="BM22" i="8" s="1"/>
  <c r="AY63" i="11"/>
  <c r="AU20" i="8" s="1"/>
  <c r="G61" i="11"/>
  <c r="C18" i="8" s="1"/>
  <c r="BN61" i="11"/>
  <c r="BJ18" i="8" s="1"/>
  <c r="AJ59" i="11"/>
  <c r="AF16" i="8" s="1"/>
  <c r="AT59" i="11"/>
  <c r="AP16" i="8" s="1"/>
  <c r="BN55" i="11"/>
  <c r="BJ12" i="8" s="1"/>
  <c r="V47" i="11"/>
  <c r="R4" i="8" s="1"/>
  <c r="BQ67" i="11"/>
  <c r="BM24" i="8" s="1"/>
  <c r="X41" i="11"/>
  <c r="S41" i="11"/>
  <c r="AE66" i="11"/>
  <c r="AA23" i="8" s="1"/>
  <c r="T66" i="11"/>
  <c r="P23" i="8" s="1"/>
  <c r="X66" i="11"/>
  <c r="T23" i="8" s="1"/>
  <c r="BL66" i="11"/>
  <c r="BH23" i="8" s="1"/>
  <c r="BQ66" i="11"/>
  <c r="BM23" i="8" s="1"/>
  <c r="BB66" i="11"/>
  <c r="AX23" i="8" s="1"/>
  <c r="O54" i="11"/>
  <c r="K11" i="8" s="1"/>
  <c r="X54" i="11"/>
  <c r="T11" i="8" s="1"/>
  <c r="BR54" i="11"/>
  <c r="BN11" i="8" s="1"/>
  <c r="N62" i="11"/>
  <c r="J19" i="8" s="1"/>
  <c r="AB62" i="11"/>
  <c r="X19" i="8" s="1"/>
  <c r="AF62" i="11"/>
  <c r="AB19" i="8" s="1"/>
  <c r="AX62" i="11"/>
  <c r="AT19" i="8" s="1"/>
  <c r="BE62" i="11"/>
  <c r="BA19" i="8" s="1"/>
  <c r="AJ58" i="11"/>
  <c r="AF15" i="8" s="1"/>
  <c r="J58" i="11"/>
  <c r="F15" i="8" s="1"/>
  <c r="AI58" i="11"/>
  <c r="AE15" i="8" s="1"/>
  <c r="BC58" i="11"/>
  <c r="AY15" i="8" s="1"/>
  <c r="AX58" i="11"/>
  <c r="AT15" i="8" s="1"/>
  <c r="AM58" i="11"/>
  <c r="AI15" i="8" s="1"/>
  <c r="AJ48" i="11"/>
  <c r="AF5" i="8" s="1"/>
  <c r="AA63" i="11"/>
  <c r="W20" i="8" s="1"/>
  <c r="G67" i="11"/>
  <c r="C24" i="8" s="1"/>
  <c r="BM67" i="11"/>
  <c r="BI24" i="8" s="1"/>
  <c r="G65" i="11"/>
  <c r="C22" i="8" s="1"/>
  <c r="G63" i="11"/>
  <c r="C20" i="8" s="1"/>
  <c r="O61" i="11"/>
  <c r="K18" i="8" s="1"/>
  <c r="AT61" i="11"/>
  <c r="AP18" i="8" s="1"/>
  <c r="AQ59" i="11"/>
  <c r="AM16" i="8" s="1"/>
  <c r="M57" i="11"/>
  <c r="I14" i="8" s="1"/>
  <c r="AA53" i="11"/>
  <c r="W10" i="8" s="1"/>
  <c r="AG68" i="11"/>
  <c r="AC25" i="8" s="1"/>
  <c r="AB66" i="11"/>
  <c r="X23" i="8" s="1"/>
  <c r="BJ66" i="11"/>
  <c r="BF23" i="8" s="1"/>
  <c r="BH66" i="11"/>
  <c r="BD23" i="8" s="1"/>
  <c r="BE66" i="11"/>
  <c r="BA23" i="8" s="1"/>
  <c r="AS66" i="11"/>
  <c r="AO23" i="8" s="1"/>
  <c r="AJ54" i="11"/>
  <c r="AF11" i="8" s="1"/>
  <c r="AA54" i="11"/>
  <c r="W11" i="8" s="1"/>
  <c r="J54" i="11"/>
  <c r="F11" i="8" s="1"/>
  <c r="AW54" i="11"/>
  <c r="AS11" i="8" s="1"/>
  <c r="AJ62" i="11"/>
  <c r="AF19" i="8" s="1"/>
  <c r="BL62" i="11"/>
  <c r="BH19" i="8" s="1"/>
  <c r="AV62" i="11"/>
  <c r="AR19" i="8" s="1"/>
  <c r="Z58" i="11"/>
  <c r="V15" i="8" s="1"/>
  <c r="BA58" i="11"/>
  <c r="AW15" i="8" s="1"/>
  <c r="Y48" i="11"/>
  <c r="U5" i="8" s="1"/>
  <c r="AH48" i="11"/>
  <c r="AD5" i="8" s="1"/>
  <c r="BQ48" i="11"/>
  <c r="BM5" i="8" s="1"/>
  <c r="BJ48" i="11"/>
  <c r="BF5" i="8" s="1"/>
  <c r="BP49" i="11"/>
  <c r="BL6" i="8" s="1"/>
  <c r="BR61" i="11"/>
  <c r="BN18" i="8" s="1"/>
  <c r="S65" i="11"/>
  <c r="O22" i="8" s="1"/>
  <c r="AH61" i="11"/>
  <c r="AD18" i="8" s="1"/>
  <c r="AM65" i="11"/>
  <c r="AI22" i="8" s="1"/>
  <c r="AJ67" i="11"/>
  <c r="AF24" i="8" s="1"/>
  <c r="BC67" i="11"/>
  <c r="AY24" i="8" s="1"/>
  <c r="J65" i="11"/>
  <c r="F22" i="8" s="1"/>
  <c r="BM65" i="11"/>
  <c r="BI22" i="8" s="1"/>
  <c r="AJ63" i="11"/>
  <c r="AF20" i="8" s="1"/>
  <c r="BN63" i="11"/>
  <c r="BJ20" i="8" s="1"/>
  <c r="BK61" i="11"/>
  <c r="BG18" i="8" s="1"/>
  <c r="AF59" i="11"/>
  <c r="AB16" i="8" s="1"/>
  <c r="U57" i="11"/>
  <c r="Q14" i="8" s="1"/>
  <c r="BN53" i="11"/>
  <c r="BJ10" i="8" s="1"/>
  <c r="G56" i="11"/>
  <c r="C13" i="8" s="1"/>
  <c r="AC48" i="11"/>
  <c r="Y5" i="8" s="1"/>
  <c r="AB41" i="11"/>
  <c r="AM41" i="11"/>
  <c r="AJ66" i="11"/>
  <c r="AF23" i="8" s="1"/>
  <c r="AA66" i="11"/>
  <c r="W23" i="8" s="1"/>
  <c r="BC66" i="11"/>
  <c r="AY23" i="8" s="1"/>
  <c r="AV66" i="11"/>
  <c r="AR23" i="8" s="1"/>
  <c r="AF54" i="11"/>
  <c r="AB11" i="8" s="1"/>
  <c r="Y54" i="11"/>
  <c r="U11" i="8" s="1"/>
  <c r="Z62" i="11"/>
  <c r="V19" i="8" s="1"/>
  <c r="Y62" i="11"/>
  <c r="U19" i="8" s="1"/>
  <c r="BP62" i="11"/>
  <c r="BL19" i="8" s="1"/>
  <c r="AM62" i="11"/>
  <c r="AI19" i="8" s="1"/>
  <c r="X58" i="11"/>
  <c r="T15" i="8" s="1"/>
  <c r="AH58" i="11"/>
  <c r="AD15" i="8" s="1"/>
  <c r="AT58" i="11"/>
  <c r="AP15" i="8" s="1"/>
  <c r="BP58" i="11"/>
  <c r="BL15" i="8" s="1"/>
  <c r="Z48" i="11"/>
  <c r="V5" i="8" s="1"/>
  <c r="BA48" i="11"/>
  <c r="AW5" i="8" s="1"/>
  <c r="AS67" i="11"/>
  <c r="AO24" i="8" s="1"/>
  <c r="BH61" i="11"/>
  <c r="BD18" i="8" s="1"/>
  <c r="Z65" i="11"/>
  <c r="V22" i="8" s="1"/>
  <c r="Y63" i="11"/>
  <c r="U20" i="8" s="1"/>
  <c r="X67" i="11"/>
  <c r="T24" i="8" s="1"/>
  <c r="AE61" i="11"/>
  <c r="AA18" i="8" s="1"/>
  <c r="AT67" i="11"/>
  <c r="AP24" i="8" s="1"/>
  <c r="AY65" i="11"/>
  <c r="AU22" i="8" s="1"/>
  <c r="AT65" i="11"/>
  <c r="AP22" i="8" s="1"/>
  <c r="O63" i="11"/>
  <c r="K20" i="8" s="1"/>
  <c r="BM63" i="11"/>
  <c r="BI20" i="8" s="1"/>
  <c r="BG61" i="11"/>
  <c r="BC18" i="8" s="1"/>
  <c r="BP61" i="11"/>
  <c r="BL18" i="8" s="1"/>
  <c r="AY59" i="11"/>
  <c r="AU16" i="8" s="1"/>
  <c r="AH51" i="11"/>
  <c r="AD8" i="8" s="1"/>
  <c r="BA41" i="11"/>
  <c r="AH66" i="11"/>
  <c r="AD23" i="8" s="1"/>
  <c r="AM66" i="11"/>
  <c r="AI23" i="8" s="1"/>
  <c r="BR62" i="11"/>
  <c r="BN19" i="8" s="1"/>
  <c r="BB58" i="11"/>
  <c r="AX15" i="8" s="1"/>
  <c r="AT48" i="11"/>
  <c r="AP5" i="8" s="1"/>
  <c r="BO54" i="11"/>
  <c r="BK11" i="8" s="1"/>
  <c r="Q65" i="11"/>
  <c r="M22" i="8" s="1"/>
  <c r="K67" i="11"/>
  <c r="G24" i="8" s="1"/>
  <c r="BB67" i="11"/>
  <c r="AX24" i="8" s="1"/>
  <c r="X65" i="11"/>
  <c r="T22" i="8" s="1"/>
  <c r="BK65" i="11"/>
  <c r="BG22" i="8" s="1"/>
  <c r="L63" i="11"/>
  <c r="H20" i="8" s="1"/>
  <c r="AT63" i="11"/>
  <c r="AP20" i="8" s="1"/>
  <c r="S61" i="11"/>
  <c r="O18" i="8" s="1"/>
  <c r="X59" i="11"/>
  <c r="T16" i="8" s="1"/>
  <c r="BN57" i="11"/>
  <c r="BJ14" i="8" s="1"/>
  <c r="BP51" i="11"/>
  <c r="BL8" i="8" s="1"/>
  <c r="AL73" i="11"/>
  <c r="AH30" i="8" s="1"/>
  <c r="AL71" i="11"/>
  <c r="AH28" i="8" s="1"/>
  <c r="AL72" i="11"/>
  <c r="AH29" i="8" s="1"/>
  <c r="AL69" i="11"/>
  <c r="AH26" i="8" s="1"/>
  <c r="AL74" i="11"/>
  <c r="AH31" i="8" s="1"/>
  <c r="AL70" i="11"/>
  <c r="AH27" i="8" s="1"/>
  <c r="AL60" i="11"/>
  <c r="AH17" i="8" s="1"/>
  <c r="AL50" i="11"/>
  <c r="AH7" i="8" s="1"/>
  <c r="AL64" i="11"/>
  <c r="AH21" i="8" s="1"/>
  <c r="AL56" i="11"/>
  <c r="AH13" i="8" s="1"/>
  <c r="AL47" i="11"/>
  <c r="AH4" i="8" s="1"/>
  <c r="AL52" i="11"/>
  <c r="AH9" i="8" s="1"/>
  <c r="AL68" i="11"/>
  <c r="AH25" i="8" s="1"/>
  <c r="AL46" i="11"/>
  <c r="AH3" i="8" s="1"/>
  <c r="AL51" i="11"/>
  <c r="AH8" i="8" s="1"/>
  <c r="AL57" i="11"/>
  <c r="AH14" i="8" s="1"/>
  <c r="AL61" i="11"/>
  <c r="AH18" i="8" s="1"/>
  <c r="AL63" i="11"/>
  <c r="AH20" i="8" s="1"/>
  <c r="AL49" i="11"/>
  <c r="AH6" i="8" s="1"/>
  <c r="AL53" i="11"/>
  <c r="AH10" i="8" s="1"/>
  <c r="AL55" i="11"/>
  <c r="AH12" i="8" s="1"/>
  <c r="AK54" i="11"/>
  <c r="AG11" i="8" s="1"/>
  <c r="BO62" i="11"/>
  <c r="BK19" i="8" s="1"/>
  <c r="P58" i="11"/>
  <c r="L15" i="8" s="1"/>
  <c r="AC74" i="11"/>
  <c r="Y31" i="8" s="1"/>
  <c r="AC71" i="11"/>
  <c r="Y28" i="8" s="1"/>
  <c r="AC69" i="11"/>
  <c r="Y26" i="8" s="1"/>
  <c r="AC73" i="11"/>
  <c r="Y30" i="8" s="1"/>
  <c r="AC72" i="11"/>
  <c r="Y29" i="8" s="1"/>
  <c r="AC70" i="11"/>
  <c r="Y27" i="8" s="1"/>
  <c r="AC68" i="11"/>
  <c r="Y25" i="8" s="1"/>
  <c r="AC52" i="11"/>
  <c r="Y9" i="8" s="1"/>
  <c r="AC49" i="11"/>
  <c r="Y6" i="8" s="1"/>
  <c r="AC60" i="11"/>
  <c r="Y17" i="8" s="1"/>
  <c r="AC46" i="11"/>
  <c r="Y3" i="8" s="1"/>
  <c r="AC50" i="11"/>
  <c r="Y7" i="8" s="1"/>
  <c r="AC64" i="11"/>
  <c r="Y21" i="8" s="1"/>
  <c r="AC56" i="11"/>
  <c r="Y13" i="8" s="1"/>
  <c r="AC55" i="11"/>
  <c r="Y12" i="8" s="1"/>
  <c r="AC51" i="11"/>
  <c r="Y8" i="8" s="1"/>
  <c r="AC53" i="11"/>
  <c r="Y10" i="8" s="1"/>
  <c r="AC59" i="11"/>
  <c r="Y16" i="8" s="1"/>
  <c r="AC47" i="11"/>
  <c r="Y4" i="8" s="1"/>
  <c r="AC57" i="11"/>
  <c r="Y14" i="8" s="1"/>
  <c r="AR69" i="11"/>
  <c r="AN26" i="8" s="1"/>
  <c r="AR71" i="11"/>
  <c r="AN28" i="8" s="1"/>
  <c r="AR72" i="11"/>
  <c r="AN29" i="8" s="1"/>
  <c r="AR74" i="11"/>
  <c r="AN31" i="8" s="1"/>
  <c r="AR70" i="11"/>
  <c r="AN27" i="8" s="1"/>
  <c r="AR73" i="11"/>
  <c r="AN30" i="8" s="1"/>
  <c r="AR64" i="11"/>
  <c r="AN21" i="8" s="1"/>
  <c r="AR56" i="11"/>
  <c r="AN13" i="8" s="1"/>
  <c r="AR68" i="11"/>
  <c r="AN25" i="8" s="1"/>
  <c r="AR60" i="11"/>
  <c r="AN17" i="8" s="1"/>
  <c r="AR46" i="11"/>
  <c r="AN3" i="8" s="1"/>
  <c r="AR52" i="11"/>
  <c r="AN9" i="8" s="1"/>
  <c r="AR50" i="11"/>
  <c r="AN7" i="8" s="1"/>
  <c r="AR49" i="11"/>
  <c r="AN6" i="8" s="1"/>
  <c r="AR53" i="11"/>
  <c r="AN10" i="8" s="1"/>
  <c r="AR51" i="11"/>
  <c r="AN8" i="8" s="1"/>
  <c r="AR55" i="11"/>
  <c r="AN12" i="8" s="1"/>
  <c r="AR57" i="11"/>
  <c r="AN14" i="8" s="1"/>
  <c r="AR59" i="11"/>
  <c r="AN16" i="8" s="1"/>
  <c r="AR61" i="11"/>
  <c r="AN18" i="8" s="1"/>
  <c r="AR63" i="11"/>
  <c r="AN20" i="8" s="1"/>
  <c r="AR65" i="11"/>
  <c r="AN22" i="8" s="1"/>
  <c r="AR67" i="11"/>
  <c r="AN24" i="8" s="1"/>
  <c r="AR47" i="11"/>
  <c r="AN4" i="8" s="1"/>
  <c r="BG74" i="11"/>
  <c r="BC31" i="8" s="1"/>
  <c r="BG69" i="11"/>
  <c r="BC26" i="8" s="1"/>
  <c r="BG70" i="11"/>
  <c r="BC27" i="8" s="1"/>
  <c r="BG71" i="11"/>
  <c r="BC28" i="8" s="1"/>
  <c r="BG72" i="11"/>
  <c r="BC29" i="8" s="1"/>
  <c r="BG73" i="11"/>
  <c r="BC30" i="8" s="1"/>
  <c r="BG52" i="11"/>
  <c r="BC9" i="8" s="1"/>
  <c r="BG50" i="11"/>
  <c r="BC7" i="8" s="1"/>
  <c r="BG60" i="11"/>
  <c r="BC17" i="8" s="1"/>
  <c r="BG64" i="11"/>
  <c r="BC21" i="8" s="1"/>
  <c r="BG56" i="11"/>
  <c r="BC13" i="8" s="1"/>
  <c r="BG68" i="11"/>
  <c r="BC25" i="8" s="1"/>
  <c r="BG49" i="11"/>
  <c r="BC6" i="8" s="1"/>
  <c r="BG51" i="11"/>
  <c r="BC8" i="8" s="1"/>
  <c r="BG53" i="11"/>
  <c r="BC10" i="8" s="1"/>
  <c r="BG55" i="11"/>
  <c r="BC12" i="8" s="1"/>
  <c r="BG46" i="11"/>
  <c r="BC3" i="8" s="1"/>
  <c r="BG47" i="11"/>
  <c r="BC4" i="8" s="1"/>
  <c r="BG57" i="11"/>
  <c r="BC14" i="8" s="1"/>
  <c r="J74" i="11"/>
  <c r="F31" i="8" s="1"/>
  <c r="J69" i="11"/>
  <c r="F26" i="8" s="1"/>
  <c r="J73" i="11"/>
  <c r="F30" i="8" s="1"/>
  <c r="J71" i="11"/>
  <c r="F28" i="8" s="1"/>
  <c r="J72" i="11"/>
  <c r="F29" i="8" s="1"/>
  <c r="J70" i="11"/>
  <c r="F27" i="8" s="1"/>
  <c r="J52" i="11"/>
  <c r="F9" i="8" s="1"/>
  <c r="J68" i="11"/>
  <c r="F25" i="8" s="1"/>
  <c r="J49" i="11"/>
  <c r="F6" i="8" s="1"/>
  <c r="J46" i="11"/>
  <c r="F3" i="8" s="1"/>
  <c r="J50" i="11"/>
  <c r="F7" i="8" s="1"/>
  <c r="J64" i="11"/>
  <c r="F21" i="8" s="1"/>
  <c r="J60" i="11"/>
  <c r="F17" i="8" s="1"/>
  <c r="J51" i="11"/>
  <c r="F8" i="8" s="1"/>
  <c r="J63" i="11"/>
  <c r="F20" i="8" s="1"/>
  <c r="J53" i="11"/>
  <c r="F10" i="8" s="1"/>
  <c r="J56" i="11"/>
  <c r="F13" i="8" s="1"/>
  <c r="J55" i="11"/>
  <c r="F12" i="8" s="1"/>
  <c r="J59" i="11"/>
  <c r="F16" i="8" s="1"/>
  <c r="I73" i="11"/>
  <c r="E30" i="8" s="1"/>
  <c r="I74" i="11"/>
  <c r="E31" i="8" s="1"/>
  <c r="I72" i="11"/>
  <c r="E29" i="8" s="1"/>
  <c r="I71" i="11"/>
  <c r="E28" i="8" s="1"/>
  <c r="I70" i="11"/>
  <c r="E27" i="8" s="1"/>
  <c r="I69" i="11"/>
  <c r="E26" i="8" s="1"/>
  <c r="I46" i="11"/>
  <c r="E3" i="8" s="1"/>
  <c r="I53" i="11"/>
  <c r="E10" i="8" s="1"/>
  <c r="I60" i="11"/>
  <c r="E17" i="8" s="1"/>
  <c r="I56" i="11"/>
  <c r="E13" i="8" s="1"/>
  <c r="I68" i="11"/>
  <c r="E25" i="8" s="1"/>
  <c r="I52" i="11"/>
  <c r="E9" i="8" s="1"/>
  <c r="I64" i="11"/>
  <c r="E21" i="8" s="1"/>
  <c r="I51" i="11"/>
  <c r="E8" i="8" s="1"/>
  <c r="I65" i="11"/>
  <c r="E22" i="8" s="1"/>
  <c r="I49" i="11"/>
  <c r="E6" i="8" s="1"/>
  <c r="I55" i="11"/>
  <c r="E12" i="8" s="1"/>
  <c r="I57" i="11"/>
  <c r="E14" i="8" s="1"/>
  <c r="H71" i="11"/>
  <c r="D28" i="8" s="1"/>
  <c r="H69" i="11"/>
  <c r="D26" i="8" s="1"/>
  <c r="H70" i="11"/>
  <c r="D27" i="8" s="1"/>
  <c r="H72" i="11"/>
  <c r="D29" i="8" s="1"/>
  <c r="H73" i="11"/>
  <c r="D30" i="8" s="1"/>
  <c r="H74" i="11"/>
  <c r="D31" i="8" s="1"/>
  <c r="H60" i="11"/>
  <c r="D17" i="8" s="1"/>
  <c r="H64" i="11"/>
  <c r="D21" i="8" s="1"/>
  <c r="H68" i="11"/>
  <c r="D25" i="8" s="1"/>
  <c r="H46" i="11"/>
  <c r="D3" i="8" s="1"/>
  <c r="H52" i="11"/>
  <c r="D9" i="8" s="1"/>
  <c r="H47" i="11"/>
  <c r="D4" i="8" s="1"/>
  <c r="H50" i="11"/>
  <c r="D7" i="8" s="1"/>
  <c r="H56" i="11"/>
  <c r="D13" i="8" s="1"/>
  <c r="H55" i="11"/>
  <c r="D12" i="8" s="1"/>
  <c r="H57" i="11"/>
  <c r="D14" i="8" s="1"/>
  <c r="H51" i="11"/>
  <c r="D8" i="8" s="1"/>
  <c r="H53" i="11"/>
  <c r="D10" i="8" s="1"/>
  <c r="H49" i="11"/>
  <c r="D6" i="8" s="1"/>
  <c r="O69" i="11"/>
  <c r="K26" i="8" s="1"/>
  <c r="O74" i="11"/>
  <c r="K31" i="8" s="1"/>
  <c r="O72" i="11"/>
  <c r="K29" i="8" s="1"/>
  <c r="O70" i="11"/>
  <c r="K27" i="8" s="1"/>
  <c r="O73" i="11"/>
  <c r="K30" i="8" s="1"/>
  <c r="O71" i="11"/>
  <c r="K28" i="8" s="1"/>
  <c r="O68" i="11"/>
  <c r="K25" i="8" s="1"/>
  <c r="O60" i="11"/>
  <c r="K17" i="8" s="1"/>
  <c r="O50" i="11"/>
  <c r="K7" i="8" s="1"/>
  <c r="O64" i="11"/>
  <c r="K21" i="8" s="1"/>
  <c r="O56" i="11"/>
  <c r="K13" i="8" s="1"/>
  <c r="O47" i="11"/>
  <c r="K4" i="8" s="1"/>
  <c r="O46" i="11"/>
  <c r="K3" i="8" s="1"/>
  <c r="O51" i="11"/>
  <c r="K8" i="8" s="1"/>
  <c r="O65" i="11"/>
  <c r="K22" i="8" s="1"/>
  <c r="O49" i="11"/>
  <c r="K6" i="8" s="1"/>
  <c r="O57" i="11"/>
  <c r="K14" i="8" s="1"/>
  <c r="O55" i="11"/>
  <c r="K12" i="8" s="1"/>
  <c r="W67" i="11"/>
  <c r="S24" i="8" s="1"/>
  <c r="H67" i="11"/>
  <c r="D24" i="8" s="1"/>
  <c r="BG63" i="11"/>
  <c r="BC20" i="8" s="1"/>
  <c r="AK61" i="11"/>
  <c r="AG18" i="8" s="1"/>
  <c r="BO57" i="11"/>
  <c r="BK14" i="8" s="1"/>
  <c r="BO55" i="11"/>
  <c r="BK12" i="8" s="1"/>
  <c r="AZ69" i="11"/>
  <c r="AV26" i="8" s="1"/>
  <c r="AZ71" i="11"/>
  <c r="AV28" i="8" s="1"/>
  <c r="AZ70" i="11"/>
  <c r="AV27" i="8" s="1"/>
  <c r="AZ73" i="11"/>
  <c r="AV30" i="8" s="1"/>
  <c r="AZ72" i="11"/>
  <c r="AV29" i="8" s="1"/>
  <c r="AZ74" i="11"/>
  <c r="AV31" i="8" s="1"/>
  <c r="AZ46" i="11"/>
  <c r="AV3" i="8" s="1"/>
  <c r="AZ52" i="11"/>
  <c r="AV9" i="8" s="1"/>
  <c r="AZ49" i="11"/>
  <c r="AV6" i="8" s="1"/>
  <c r="AZ51" i="11"/>
  <c r="AV8" i="8" s="1"/>
  <c r="AZ60" i="11"/>
  <c r="AV17" i="8" s="1"/>
  <c r="AZ50" i="11"/>
  <c r="AV7" i="8" s="1"/>
  <c r="AZ64" i="11"/>
  <c r="AV21" i="8" s="1"/>
  <c r="AZ56" i="11"/>
  <c r="AV13" i="8" s="1"/>
  <c r="AZ68" i="11"/>
  <c r="AV25" i="8" s="1"/>
  <c r="AZ53" i="11"/>
  <c r="AV10" i="8" s="1"/>
  <c r="AZ47" i="11"/>
  <c r="AV4" i="8" s="1"/>
  <c r="AZ55" i="11"/>
  <c r="AV12" i="8" s="1"/>
  <c r="AZ57" i="11"/>
  <c r="AV14" i="8" s="1"/>
  <c r="AZ59" i="11"/>
  <c r="AV16" i="8" s="1"/>
  <c r="W66" i="11"/>
  <c r="S23" i="8" s="1"/>
  <c r="AC66" i="11"/>
  <c r="Y23" i="8" s="1"/>
  <c r="H54" i="11"/>
  <c r="D11" i="8" s="1"/>
  <c r="R54" i="11"/>
  <c r="N11" i="8" s="1"/>
  <c r="AK62" i="11"/>
  <c r="AG19" i="8" s="1"/>
  <c r="AC62" i="11"/>
  <c r="Y19" i="8" s="1"/>
  <c r="AQ58" i="11"/>
  <c r="AM15" i="8" s="1"/>
  <c r="W48" i="11"/>
  <c r="S5" i="8" s="1"/>
  <c r="AL48" i="11"/>
  <c r="AH5" i="8" s="1"/>
  <c r="AL67" i="11"/>
  <c r="AH24" i="8" s="1"/>
  <c r="I67" i="11"/>
  <c r="E24" i="8" s="1"/>
  <c r="BH67" i="11"/>
  <c r="BD24" i="8" s="1"/>
  <c r="BP67" i="11"/>
  <c r="BL24" i="8" s="1"/>
  <c r="V65" i="11"/>
  <c r="R22" i="8" s="1"/>
  <c r="H65" i="11"/>
  <c r="D22" i="8" s="1"/>
  <c r="AS65" i="11"/>
  <c r="AO22" i="8" s="1"/>
  <c r="K63" i="11"/>
  <c r="G20" i="8" s="1"/>
  <c r="T63" i="11"/>
  <c r="P20" i="8" s="1"/>
  <c r="S63" i="11"/>
  <c r="O20" i="8" s="1"/>
  <c r="AM63" i="11"/>
  <c r="AI20" i="8" s="1"/>
  <c r="BB63" i="11"/>
  <c r="AX20" i="8" s="1"/>
  <c r="W61" i="11"/>
  <c r="S18" i="8" s="1"/>
  <c r="AC61" i="11"/>
  <c r="Y18" i="8" s="1"/>
  <c r="H61" i="11"/>
  <c r="D18" i="8" s="1"/>
  <c r="AD59" i="11"/>
  <c r="Z16" i="8" s="1"/>
  <c r="AL59" i="11"/>
  <c r="AH16" i="8" s="1"/>
  <c r="Y59" i="11"/>
  <c r="U16" i="8" s="1"/>
  <c r="L57" i="11"/>
  <c r="H14" i="8" s="1"/>
  <c r="AA55" i="11"/>
  <c r="W12" i="8" s="1"/>
  <c r="AG53" i="11"/>
  <c r="AC10" i="8" s="1"/>
  <c r="AG47" i="11"/>
  <c r="AC4" i="8" s="1"/>
  <c r="Q69" i="11"/>
  <c r="M26" i="8" s="1"/>
  <c r="Q72" i="11"/>
  <c r="M29" i="8" s="1"/>
  <c r="Q74" i="11"/>
  <c r="M31" i="8" s="1"/>
  <c r="Q70" i="11"/>
  <c r="M27" i="8" s="1"/>
  <c r="Q73" i="11"/>
  <c r="M30" i="8" s="1"/>
  <c r="Q71" i="11"/>
  <c r="M28" i="8" s="1"/>
  <c r="Q64" i="11"/>
  <c r="M21" i="8" s="1"/>
  <c r="Q52" i="11"/>
  <c r="M9" i="8" s="1"/>
  <c r="Q46" i="11"/>
  <c r="M3" i="8" s="1"/>
  <c r="Q68" i="11"/>
  <c r="M25" i="8" s="1"/>
  <c r="Q56" i="11"/>
  <c r="M13" i="8" s="1"/>
  <c r="Q50" i="11"/>
  <c r="M7" i="8" s="1"/>
  <c r="Q49" i="11"/>
  <c r="M6" i="8" s="1"/>
  <c r="Q47" i="11"/>
  <c r="M4" i="8" s="1"/>
  <c r="Q55" i="11"/>
  <c r="M12" i="8" s="1"/>
  <c r="Q57" i="11"/>
  <c r="M14" i="8" s="1"/>
  <c r="Q63" i="11"/>
  <c r="M20" i="8" s="1"/>
  <c r="Q67" i="11"/>
  <c r="M24" i="8" s="1"/>
  <c r="Q60" i="11"/>
  <c r="M17" i="8" s="1"/>
  <c r="Q53" i="11"/>
  <c r="M10" i="8" s="1"/>
  <c r="O66" i="11"/>
  <c r="K23" i="8" s="1"/>
  <c r="I66" i="11"/>
  <c r="E23" i="8" s="1"/>
  <c r="AR66" i="11"/>
  <c r="AN23" i="8" s="1"/>
  <c r="I62" i="11"/>
  <c r="E19" i="8" s="1"/>
  <c r="Q62" i="11"/>
  <c r="M19" i="8" s="1"/>
  <c r="BO58" i="11"/>
  <c r="BK15" i="8" s="1"/>
  <c r="AR58" i="11"/>
  <c r="AN15" i="8" s="1"/>
  <c r="Q48" i="11"/>
  <c r="M5" i="8" s="1"/>
  <c r="P48" i="11"/>
  <c r="L5" i="8" s="1"/>
  <c r="AR48" i="11"/>
  <c r="AN5" i="8" s="1"/>
  <c r="N71" i="11"/>
  <c r="J28" i="8" s="1"/>
  <c r="N72" i="11"/>
  <c r="J29" i="8" s="1"/>
  <c r="N73" i="11"/>
  <c r="J30" i="8" s="1"/>
  <c r="N69" i="11"/>
  <c r="J26" i="8" s="1"/>
  <c r="N70" i="11"/>
  <c r="J27" i="8" s="1"/>
  <c r="N74" i="11"/>
  <c r="J31" i="8" s="1"/>
  <c r="N56" i="11"/>
  <c r="J13" i="8" s="1"/>
  <c r="N64" i="11"/>
  <c r="J21" i="8" s="1"/>
  <c r="N51" i="11"/>
  <c r="J8" i="8" s="1"/>
  <c r="N60" i="11"/>
  <c r="J17" i="8" s="1"/>
  <c r="N52" i="11"/>
  <c r="J9" i="8" s="1"/>
  <c r="N46" i="11"/>
  <c r="J3" i="8" s="1"/>
  <c r="N68" i="11"/>
  <c r="J25" i="8" s="1"/>
  <c r="N57" i="11"/>
  <c r="J14" i="8" s="1"/>
  <c r="N47" i="11"/>
  <c r="J4" i="8" s="1"/>
  <c r="N63" i="11"/>
  <c r="J20" i="8" s="1"/>
  <c r="N55" i="11"/>
  <c r="J12" i="8" s="1"/>
  <c r="N59" i="11"/>
  <c r="J16" i="8" s="1"/>
  <c r="N49" i="11"/>
  <c r="J6" i="8" s="1"/>
  <c r="N50" i="11"/>
  <c r="J7" i="8" s="1"/>
  <c r="M70" i="11"/>
  <c r="I27" i="8" s="1"/>
  <c r="M69" i="11"/>
  <c r="I26" i="8" s="1"/>
  <c r="M73" i="11"/>
  <c r="I30" i="8" s="1"/>
  <c r="M74" i="11"/>
  <c r="I31" i="8" s="1"/>
  <c r="M72" i="11"/>
  <c r="I29" i="8" s="1"/>
  <c r="M71" i="11"/>
  <c r="I28" i="8" s="1"/>
  <c r="M60" i="11"/>
  <c r="I17" i="8" s="1"/>
  <c r="M50" i="11"/>
  <c r="I7" i="8" s="1"/>
  <c r="M47" i="11"/>
  <c r="I4" i="8" s="1"/>
  <c r="M68" i="11"/>
  <c r="I25" i="8" s="1"/>
  <c r="M64" i="11"/>
  <c r="I21" i="8" s="1"/>
  <c r="M46" i="11"/>
  <c r="I3" i="8" s="1"/>
  <c r="M52" i="11"/>
  <c r="I9" i="8" s="1"/>
  <c r="M51" i="11"/>
  <c r="I8" i="8" s="1"/>
  <c r="M56" i="11"/>
  <c r="I13" i="8" s="1"/>
  <c r="M55" i="11"/>
  <c r="I12" i="8" s="1"/>
  <c r="M49" i="11"/>
  <c r="I6" i="8" s="1"/>
  <c r="M53" i="11"/>
  <c r="I10" i="8" s="1"/>
  <c r="M67" i="11"/>
  <c r="I24" i="8" s="1"/>
  <c r="M59" i="11"/>
  <c r="I16" i="8" s="1"/>
  <c r="M63" i="11"/>
  <c r="I20" i="8" s="1"/>
  <c r="AB73" i="11"/>
  <c r="X30" i="8" s="1"/>
  <c r="AB69" i="11"/>
  <c r="X26" i="8" s="1"/>
  <c r="AB71" i="11"/>
  <c r="X28" i="8" s="1"/>
  <c r="AB70" i="11"/>
  <c r="X27" i="8" s="1"/>
  <c r="AB74" i="11"/>
  <c r="X31" i="8" s="1"/>
  <c r="AB72" i="11"/>
  <c r="X29" i="8" s="1"/>
  <c r="AB56" i="11"/>
  <c r="X13" i="8" s="1"/>
  <c r="AB52" i="11"/>
  <c r="X9" i="8" s="1"/>
  <c r="AB50" i="11"/>
  <c r="X7" i="8" s="1"/>
  <c r="AB68" i="11"/>
  <c r="X25" i="8" s="1"/>
  <c r="AB46" i="11"/>
  <c r="X3" i="8" s="1"/>
  <c r="AB60" i="11"/>
  <c r="X17" i="8" s="1"/>
  <c r="AB64" i="11"/>
  <c r="X21" i="8" s="1"/>
  <c r="AB47" i="11"/>
  <c r="X4" i="8" s="1"/>
  <c r="AB57" i="11"/>
  <c r="X14" i="8" s="1"/>
  <c r="AB59" i="11"/>
  <c r="X16" i="8" s="1"/>
  <c r="AB61" i="11"/>
  <c r="X18" i="8" s="1"/>
  <c r="AB63" i="11"/>
  <c r="X20" i="8" s="1"/>
  <c r="AB53" i="11"/>
  <c r="X10" i="8" s="1"/>
  <c r="AB49" i="11"/>
  <c r="X6" i="8" s="1"/>
  <c r="AB51" i="11"/>
  <c r="X8" i="8" s="1"/>
  <c r="AQ72" i="11"/>
  <c r="AM29" i="8" s="1"/>
  <c r="AQ73" i="11"/>
  <c r="AM30" i="8" s="1"/>
  <c r="AQ74" i="11"/>
  <c r="AM31" i="8" s="1"/>
  <c r="AQ70" i="11"/>
  <c r="AM27" i="8" s="1"/>
  <c r="AQ71" i="11"/>
  <c r="AM28" i="8" s="1"/>
  <c r="AQ69" i="11"/>
  <c r="AM26" i="8" s="1"/>
  <c r="AQ60" i="11"/>
  <c r="AM17" i="8" s="1"/>
  <c r="AQ64" i="11"/>
  <c r="AM21" i="8" s="1"/>
  <c r="AQ56" i="11"/>
  <c r="AM13" i="8" s="1"/>
  <c r="AQ46" i="11"/>
  <c r="AM3" i="8" s="1"/>
  <c r="AQ52" i="11"/>
  <c r="AM9" i="8" s="1"/>
  <c r="AQ50" i="11"/>
  <c r="AM7" i="8" s="1"/>
  <c r="AQ68" i="11"/>
  <c r="AM25" i="8" s="1"/>
  <c r="AQ47" i="11"/>
  <c r="AM4" i="8" s="1"/>
  <c r="AQ49" i="11"/>
  <c r="AM6" i="8" s="1"/>
  <c r="AQ53" i="11"/>
  <c r="AM10" i="8" s="1"/>
  <c r="AQ55" i="11"/>
  <c r="AM12" i="8" s="1"/>
  <c r="AQ61" i="11"/>
  <c r="AM18" i="8" s="1"/>
  <c r="AQ51" i="11"/>
  <c r="AM8" i="8" s="1"/>
  <c r="AQ57" i="11"/>
  <c r="AM14" i="8" s="1"/>
  <c r="BF69" i="11"/>
  <c r="BB26" i="8" s="1"/>
  <c r="BF71" i="11"/>
  <c r="BB28" i="8" s="1"/>
  <c r="BF70" i="11"/>
  <c r="BB27" i="8" s="1"/>
  <c r="BF73" i="11"/>
  <c r="BB30" i="8" s="1"/>
  <c r="BF72" i="11"/>
  <c r="BB29" i="8" s="1"/>
  <c r="BF74" i="11"/>
  <c r="BB31" i="8" s="1"/>
  <c r="BF52" i="11"/>
  <c r="BB9" i="8" s="1"/>
  <c r="BF60" i="11"/>
  <c r="BB17" i="8" s="1"/>
  <c r="BF46" i="11"/>
  <c r="BB3" i="8" s="1"/>
  <c r="BF50" i="11"/>
  <c r="BB7" i="8" s="1"/>
  <c r="BF64" i="11"/>
  <c r="BB21" i="8" s="1"/>
  <c r="BF56" i="11"/>
  <c r="BB13" i="8" s="1"/>
  <c r="BF68" i="11"/>
  <c r="BB25" i="8" s="1"/>
  <c r="BF47" i="11"/>
  <c r="BB4" i="8" s="1"/>
  <c r="BF53" i="11"/>
  <c r="BB10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51" i="11"/>
  <c r="BB8" i="8" s="1"/>
  <c r="BF49" i="11"/>
  <c r="BB6" i="8" s="1"/>
  <c r="BE70" i="11"/>
  <c r="BA27" i="8" s="1"/>
  <c r="BE69" i="11"/>
  <c r="BA26" i="8" s="1"/>
  <c r="BE73" i="11"/>
  <c r="BA30" i="8" s="1"/>
  <c r="BE71" i="11"/>
  <c r="BA28" i="8" s="1"/>
  <c r="BE72" i="11"/>
  <c r="BA29" i="8" s="1"/>
  <c r="BE74" i="11"/>
  <c r="BA31" i="8" s="1"/>
  <c r="BE60" i="11"/>
  <c r="BA17" i="8" s="1"/>
  <c r="BE50" i="11"/>
  <c r="BA7" i="8" s="1"/>
  <c r="BE64" i="11"/>
  <c r="BA21" i="8" s="1"/>
  <c r="BE56" i="11"/>
  <c r="BA13" i="8" s="1"/>
  <c r="BE68" i="11"/>
  <c r="BA25" i="8" s="1"/>
  <c r="BE46" i="11"/>
  <c r="BA3" i="8" s="1"/>
  <c r="BE49" i="11"/>
  <c r="BA6" i="8" s="1"/>
  <c r="BE52" i="11"/>
  <c r="BA9" i="8" s="1"/>
  <c r="BE47" i="11"/>
  <c r="BA4" i="8" s="1"/>
  <c r="BE55" i="11"/>
  <c r="BA12" i="8" s="1"/>
  <c r="BE51" i="11"/>
  <c r="BA8" i="8" s="1"/>
  <c r="BE57" i="11"/>
  <c r="BA14" i="8" s="1"/>
  <c r="BE65" i="11"/>
  <c r="BA22" i="8" s="1"/>
  <c r="BE53" i="11"/>
  <c r="BA10" i="8" s="1"/>
  <c r="BD70" i="11"/>
  <c r="AZ27" i="8" s="1"/>
  <c r="BD69" i="11"/>
  <c r="AZ26" i="8" s="1"/>
  <c r="BD71" i="11"/>
  <c r="AZ28" i="8" s="1"/>
  <c r="BD72" i="11"/>
  <c r="AZ29" i="8" s="1"/>
  <c r="BD74" i="11"/>
  <c r="AZ31" i="8" s="1"/>
  <c r="BD73" i="11"/>
  <c r="AZ30" i="8" s="1"/>
  <c r="BD52" i="11"/>
  <c r="AZ9" i="8" s="1"/>
  <c r="BD60" i="11"/>
  <c r="AZ17" i="8" s="1"/>
  <c r="BD50" i="11"/>
  <c r="AZ7" i="8" s="1"/>
  <c r="BD64" i="11"/>
  <c r="AZ21" i="8" s="1"/>
  <c r="BD56" i="11"/>
  <c r="AZ13" i="8" s="1"/>
  <c r="BD68" i="11"/>
  <c r="AZ25" i="8" s="1"/>
  <c r="BD46" i="11"/>
  <c r="AZ3" i="8" s="1"/>
  <c r="BD47" i="11"/>
  <c r="AZ4" i="8" s="1"/>
  <c r="BD51" i="11"/>
  <c r="AZ8" i="8" s="1"/>
  <c r="BD49" i="11"/>
  <c r="AZ6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K70" i="11"/>
  <c r="BG27" i="8" s="1"/>
  <c r="BK69" i="11"/>
  <c r="BG26" i="8" s="1"/>
  <c r="BK71" i="11"/>
  <c r="BG28" i="8" s="1"/>
  <c r="BK72" i="11"/>
  <c r="BG29" i="8" s="1"/>
  <c r="BK74" i="11"/>
  <c r="BG31" i="8" s="1"/>
  <c r="BK73" i="11"/>
  <c r="BG30" i="8" s="1"/>
  <c r="BK52" i="11"/>
  <c r="BG9" i="8" s="1"/>
  <c r="BK60" i="11"/>
  <c r="BG17" i="8" s="1"/>
  <c r="BK64" i="11"/>
  <c r="BG21" i="8" s="1"/>
  <c r="BK46" i="11"/>
  <c r="BG3" i="8" s="1"/>
  <c r="BK47" i="11"/>
  <c r="BG4" i="8" s="1"/>
  <c r="BK56" i="11"/>
  <c r="BG13" i="8" s="1"/>
  <c r="BK68" i="11"/>
  <c r="BG25" i="8" s="1"/>
  <c r="BK50" i="11"/>
  <c r="BG7" i="8" s="1"/>
  <c r="BK49" i="11"/>
  <c r="BG6" i="8" s="1"/>
  <c r="BK51" i="11"/>
  <c r="BG8" i="8" s="1"/>
  <c r="BK53" i="11"/>
  <c r="BG10" i="8" s="1"/>
  <c r="BK55" i="11"/>
  <c r="BG12" i="8" s="1"/>
  <c r="BK57" i="11"/>
  <c r="BG14" i="8" s="1"/>
  <c r="BK59" i="11"/>
  <c r="BG16" i="8" s="1"/>
  <c r="AQ67" i="11"/>
  <c r="AM24" i="8" s="1"/>
  <c r="J67" i="11"/>
  <c r="F24" i="8" s="1"/>
  <c r="BE67" i="11"/>
  <c r="BA24" i="8" s="1"/>
  <c r="BF67" i="11"/>
  <c r="BB24" i="8" s="1"/>
  <c r="N65" i="11"/>
  <c r="J22" i="8" s="1"/>
  <c r="P65" i="11"/>
  <c r="L22" i="8" s="1"/>
  <c r="R63" i="11"/>
  <c r="N20" i="8" s="1"/>
  <c r="BE63" i="11"/>
  <c r="BA20" i="8" s="1"/>
  <c r="AS63" i="11"/>
  <c r="AO20" i="8" s="1"/>
  <c r="AS61" i="11"/>
  <c r="AO18" i="8" s="1"/>
  <c r="AE59" i="11"/>
  <c r="AA16" i="8" s="1"/>
  <c r="W59" i="11"/>
  <c r="S16" i="8" s="1"/>
  <c r="Q59" i="11"/>
  <c r="M16" i="8" s="1"/>
  <c r="AE57" i="11"/>
  <c r="AA14" i="8" s="1"/>
  <c r="AM57" i="11"/>
  <c r="AI14" i="8" s="1"/>
  <c r="P55" i="11"/>
  <c r="L12" i="8" s="1"/>
  <c r="AM51" i="11"/>
  <c r="AI8" i="8" s="1"/>
  <c r="J47" i="11"/>
  <c r="F4" i="8" s="1"/>
  <c r="AK64" i="11"/>
  <c r="AG21" i="8" s="1"/>
  <c r="AK66" i="11"/>
  <c r="AG23" i="8" s="1"/>
  <c r="Q66" i="11"/>
  <c r="M23" i="8" s="1"/>
  <c r="I54" i="11"/>
  <c r="E11" i="8" s="1"/>
  <c r="AZ54" i="11"/>
  <c r="AV11" i="8" s="1"/>
  <c r="W62" i="11"/>
  <c r="S19" i="8" s="1"/>
  <c r="BG62" i="11"/>
  <c r="BC19" i="8" s="1"/>
  <c r="AL58" i="11"/>
  <c r="AH15" i="8" s="1"/>
  <c r="I58" i="11"/>
  <c r="E15" i="8" s="1"/>
  <c r="AB48" i="11"/>
  <c r="X5" i="8" s="1"/>
  <c r="BO48" i="11"/>
  <c r="BK5" i="8" s="1"/>
  <c r="BK48" i="11"/>
  <c r="BG5" i="8" s="1"/>
  <c r="BQ70" i="11"/>
  <c r="BM27" i="8" s="1"/>
  <c r="BQ71" i="11"/>
  <c r="BM28" i="8" s="1"/>
  <c r="BQ73" i="11"/>
  <c r="BM30" i="8" s="1"/>
  <c r="BQ69" i="11"/>
  <c r="BM26" i="8" s="1"/>
  <c r="BQ72" i="11"/>
  <c r="BM29" i="8" s="1"/>
  <c r="BQ74" i="11"/>
  <c r="BM31" i="8" s="1"/>
  <c r="BQ60" i="11"/>
  <c r="BM17" i="8" s="1"/>
  <c r="BQ53" i="11"/>
  <c r="BM10" i="8" s="1"/>
  <c r="BQ50" i="11"/>
  <c r="BM7" i="8" s="1"/>
  <c r="BQ64" i="11"/>
  <c r="BM21" i="8" s="1"/>
  <c r="BQ56" i="11"/>
  <c r="BM13" i="8" s="1"/>
  <c r="BQ68" i="11"/>
  <c r="BM25" i="8" s="1"/>
  <c r="BQ49" i="11"/>
  <c r="BM6" i="8" s="1"/>
  <c r="BQ52" i="11"/>
  <c r="BM9" i="8" s="1"/>
  <c r="BQ61" i="11"/>
  <c r="BM18" i="8" s="1"/>
  <c r="BQ51" i="11"/>
  <c r="BM8" i="8" s="1"/>
  <c r="BQ59" i="11"/>
  <c r="BM16" i="8" s="1"/>
  <c r="BQ57" i="11"/>
  <c r="BM14" i="8" s="1"/>
  <c r="BQ46" i="11"/>
  <c r="BM3" i="8" s="1"/>
  <c r="BQ47" i="11"/>
  <c r="BM4" i="8" s="1"/>
  <c r="BQ55" i="11"/>
  <c r="BM12" i="8" s="1"/>
  <c r="BB70" i="11"/>
  <c r="AX27" i="8" s="1"/>
  <c r="BB69" i="11"/>
  <c r="AX26" i="8" s="1"/>
  <c r="BB71" i="11"/>
  <c r="AX28" i="8" s="1"/>
  <c r="BB72" i="11"/>
  <c r="AX29" i="8" s="1"/>
  <c r="BB74" i="11"/>
  <c r="AX31" i="8" s="1"/>
  <c r="BB73" i="11"/>
  <c r="AX30" i="8" s="1"/>
  <c r="BB60" i="11"/>
  <c r="AX17" i="8" s="1"/>
  <c r="BB64" i="11"/>
  <c r="AX21" i="8" s="1"/>
  <c r="BB46" i="11"/>
  <c r="AX3" i="8" s="1"/>
  <c r="BB51" i="11"/>
  <c r="AX8" i="8" s="1"/>
  <c r="BB56" i="11"/>
  <c r="AX13" i="8" s="1"/>
  <c r="BB68" i="11"/>
  <c r="AX25" i="8" s="1"/>
  <c r="BB52" i="11"/>
  <c r="AX9" i="8" s="1"/>
  <c r="BB50" i="11"/>
  <c r="AX7" i="8" s="1"/>
  <c r="BB49" i="11"/>
  <c r="AX6" i="8" s="1"/>
  <c r="BB47" i="11"/>
  <c r="AX4" i="8" s="1"/>
  <c r="T73" i="11"/>
  <c r="P30" i="8" s="1"/>
  <c r="T71" i="11"/>
  <c r="P28" i="8" s="1"/>
  <c r="T69" i="11"/>
  <c r="P26" i="8" s="1"/>
  <c r="T72" i="11"/>
  <c r="P29" i="8" s="1"/>
  <c r="T70" i="11"/>
  <c r="P27" i="8" s="1"/>
  <c r="T74" i="11"/>
  <c r="P31" i="8" s="1"/>
  <c r="T52" i="11"/>
  <c r="P9" i="8" s="1"/>
  <c r="T68" i="11"/>
  <c r="P25" i="8" s="1"/>
  <c r="T50" i="11"/>
  <c r="P7" i="8" s="1"/>
  <c r="T46" i="11"/>
  <c r="P3" i="8" s="1"/>
  <c r="T64" i="11"/>
  <c r="P21" i="8" s="1"/>
  <c r="T51" i="11"/>
  <c r="P8" i="8" s="1"/>
  <c r="T53" i="11"/>
  <c r="P10" i="8" s="1"/>
  <c r="T55" i="11"/>
  <c r="P12" i="8" s="1"/>
  <c r="T57" i="11"/>
  <c r="P14" i="8" s="1"/>
  <c r="T59" i="11"/>
  <c r="P16" i="8" s="1"/>
  <c r="T47" i="11"/>
  <c r="P4" i="8" s="1"/>
  <c r="T49" i="11"/>
  <c r="P6" i="8" s="1"/>
  <c r="T56" i="11"/>
  <c r="P13" i="8" s="1"/>
  <c r="AI74" i="11"/>
  <c r="AE31" i="8" s="1"/>
  <c r="AI73" i="11"/>
  <c r="AE30" i="8" s="1"/>
  <c r="AI69" i="11"/>
  <c r="AE26" i="8" s="1"/>
  <c r="AI72" i="11"/>
  <c r="AE29" i="8" s="1"/>
  <c r="AI70" i="11"/>
  <c r="AE27" i="8" s="1"/>
  <c r="AI71" i="11"/>
  <c r="AE28" i="8" s="1"/>
  <c r="AI56" i="11"/>
  <c r="AE13" i="8" s="1"/>
  <c r="AI68" i="11"/>
  <c r="AE25" i="8" s="1"/>
  <c r="AI51" i="11"/>
  <c r="AE8" i="8" s="1"/>
  <c r="AI64" i="11"/>
  <c r="AE21" i="8" s="1"/>
  <c r="AI50" i="11"/>
  <c r="AE7" i="8" s="1"/>
  <c r="AI52" i="11"/>
  <c r="AE9" i="8" s="1"/>
  <c r="AI60" i="11"/>
  <c r="AE17" i="8" s="1"/>
  <c r="AI46" i="11"/>
  <c r="AE3" i="8" s="1"/>
  <c r="AI47" i="11"/>
  <c r="AE4" i="8" s="1"/>
  <c r="AI49" i="11"/>
  <c r="AE6" i="8" s="1"/>
  <c r="AI67" i="11"/>
  <c r="AE24" i="8" s="1"/>
  <c r="AI55" i="11"/>
  <c r="AE12" i="8" s="1"/>
  <c r="AI53" i="11"/>
  <c r="AE10" i="8" s="1"/>
  <c r="AI57" i="11"/>
  <c r="AE14" i="8" s="1"/>
  <c r="AI63" i="11"/>
  <c r="AE20" i="8" s="1"/>
  <c r="AI59" i="11"/>
  <c r="AE16" i="8" s="1"/>
  <c r="AX70" i="11"/>
  <c r="AT27" i="8" s="1"/>
  <c r="AX73" i="11"/>
  <c r="AT30" i="8" s="1"/>
  <c r="AX74" i="11"/>
  <c r="AT31" i="8" s="1"/>
  <c r="AX71" i="11"/>
  <c r="AT28" i="8" s="1"/>
  <c r="AX72" i="11"/>
  <c r="AT29" i="8" s="1"/>
  <c r="AX69" i="11"/>
  <c r="AT26" i="8" s="1"/>
  <c r="AX46" i="11"/>
  <c r="AT3" i="8" s="1"/>
  <c r="AX64" i="11"/>
  <c r="AT21" i="8" s="1"/>
  <c r="AX56" i="11"/>
  <c r="AT13" i="8" s="1"/>
  <c r="AX68" i="11"/>
  <c r="AT25" i="8" s="1"/>
  <c r="AX50" i="11"/>
  <c r="AT7" i="8" s="1"/>
  <c r="AX52" i="11"/>
  <c r="AT9" i="8" s="1"/>
  <c r="AX47" i="11"/>
  <c r="AT4" i="8" s="1"/>
  <c r="AX60" i="11"/>
  <c r="AT17" i="8" s="1"/>
  <c r="AX51" i="11"/>
  <c r="AT8" i="8" s="1"/>
  <c r="AX57" i="11"/>
  <c r="AT14" i="8" s="1"/>
  <c r="AX65" i="11"/>
  <c r="AT22" i="8" s="1"/>
  <c r="AX49" i="11"/>
  <c r="AT6" i="8" s="1"/>
  <c r="AX55" i="11"/>
  <c r="AT12" i="8" s="1"/>
  <c r="AX63" i="11"/>
  <c r="AT20" i="8" s="1"/>
  <c r="AX59" i="11"/>
  <c r="AT16" i="8" s="1"/>
  <c r="AW69" i="11"/>
  <c r="AS2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0" i="11"/>
  <c r="AS7" i="8" s="1"/>
  <c r="AW46" i="11"/>
  <c r="AS3" i="8" s="1"/>
  <c r="AW52" i="11"/>
  <c r="AS9" i="8" s="1"/>
  <c r="AW60" i="11"/>
  <c r="AS17" i="8" s="1"/>
  <c r="AW64" i="11"/>
  <c r="AS21" i="8" s="1"/>
  <c r="AW56" i="11"/>
  <c r="AS13" i="8" s="1"/>
  <c r="AW68" i="11"/>
  <c r="AS25" i="8" s="1"/>
  <c r="AW47" i="11"/>
  <c r="AS4" i="8" s="1"/>
  <c r="AW49" i="11"/>
  <c r="AS6" i="8" s="1"/>
  <c r="AW53" i="11"/>
  <c r="AS10" i="8" s="1"/>
  <c r="AW55" i="11"/>
  <c r="AS12" i="8" s="1"/>
  <c r="AW57" i="11"/>
  <c r="AS14" i="8" s="1"/>
  <c r="AW59" i="11"/>
  <c r="AS16" i="8" s="1"/>
  <c r="AW61" i="11"/>
  <c r="AS18" i="8" s="1"/>
  <c r="AW63" i="11"/>
  <c r="AS20" i="8" s="1"/>
  <c r="AW65" i="11"/>
  <c r="AS22" i="8" s="1"/>
  <c r="AW67" i="11"/>
  <c r="AS24" i="8" s="1"/>
  <c r="AW51" i="11"/>
  <c r="AS8" i="8" s="1"/>
  <c r="AV70" i="11"/>
  <c r="AR27" i="8" s="1"/>
  <c r="AV73" i="11"/>
  <c r="AR30" i="8" s="1"/>
  <c r="AV69" i="11"/>
  <c r="AR26" i="8" s="1"/>
  <c r="AV71" i="11"/>
  <c r="AR28" i="8" s="1"/>
  <c r="AV72" i="11"/>
  <c r="AR29" i="8" s="1"/>
  <c r="AV74" i="11"/>
  <c r="AR31" i="8" s="1"/>
  <c r="AV52" i="11"/>
  <c r="AR9" i="8" s="1"/>
  <c r="AV64" i="11"/>
  <c r="AR21" i="8" s="1"/>
  <c r="AV56" i="11"/>
  <c r="AR13" i="8" s="1"/>
  <c r="AV68" i="11"/>
  <c r="AR25" i="8" s="1"/>
  <c r="AV51" i="11"/>
  <c r="AR8" i="8" s="1"/>
  <c r="AV60" i="11"/>
  <c r="AR17" i="8" s="1"/>
  <c r="AV49" i="11"/>
  <c r="AR6" i="8" s="1"/>
  <c r="AV50" i="11"/>
  <c r="AR7" i="8" s="1"/>
  <c r="AV57" i="11"/>
  <c r="AR14" i="8" s="1"/>
  <c r="AV46" i="11"/>
  <c r="AR3" i="8" s="1"/>
  <c r="AV47" i="11"/>
  <c r="AR4" i="8" s="1"/>
  <c r="AV55" i="11"/>
  <c r="AR12" i="8" s="1"/>
  <c r="AV63" i="11"/>
  <c r="AR20" i="8" s="1"/>
  <c r="AV53" i="11"/>
  <c r="AR10" i="8" s="1"/>
  <c r="BC69" i="11"/>
  <c r="AY26" i="8" s="1"/>
  <c r="BC71" i="11"/>
  <c r="AY28" i="8" s="1"/>
  <c r="BC72" i="11"/>
  <c r="AY29" i="8" s="1"/>
  <c r="BC74" i="11"/>
  <c r="AY31" i="8" s="1"/>
  <c r="BC73" i="11"/>
  <c r="AY30" i="8" s="1"/>
  <c r="BC70" i="11"/>
  <c r="AY27" i="8" s="1"/>
  <c r="BC52" i="11"/>
  <c r="AY9" i="8" s="1"/>
  <c r="BC68" i="11"/>
  <c r="AY25" i="8" s="1"/>
  <c r="BC50" i="11"/>
  <c r="AY7" i="8" s="1"/>
  <c r="BC64" i="11"/>
  <c r="AY21" i="8" s="1"/>
  <c r="BC56" i="11"/>
  <c r="AY13" i="8" s="1"/>
  <c r="BC46" i="11"/>
  <c r="AY3" i="8" s="1"/>
  <c r="BC51" i="11"/>
  <c r="AY8" i="8" s="1"/>
  <c r="BC53" i="11"/>
  <c r="AY10" i="8" s="1"/>
  <c r="BC49" i="11"/>
  <c r="AY6" i="8" s="1"/>
  <c r="BC55" i="11"/>
  <c r="AY12" i="8" s="1"/>
  <c r="BC57" i="11"/>
  <c r="AY14" i="8" s="1"/>
  <c r="BC59" i="11"/>
  <c r="AY16" i="8" s="1"/>
  <c r="BC60" i="11"/>
  <c r="AY17" i="8" s="1"/>
  <c r="BC47" i="11"/>
  <c r="AY4" i="8" s="1"/>
  <c r="O67" i="11"/>
  <c r="K24" i="8" s="1"/>
  <c r="Z67" i="11"/>
  <c r="V24" i="8" s="1"/>
  <c r="AX67" i="11"/>
  <c r="AT24" i="8" s="1"/>
  <c r="AE65" i="11"/>
  <c r="AA22" i="8" s="1"/>
  <c r="AI65" i="11"/>
  <c r="AE22" i="8" s="1"/>
  <c r="BR65" i="11"/>
  <c r="BN22" i="8" s="1"/>
  <c r="BQ63" i="11"/>
  <c r="BM20" i="8" s="1"/>
  <c r="BR63" i="11"/>
  <c r="BN20" i="8" s="1"/>
  <c r="N61" i="11"/>
  <c r="J18" i="8" s="1"/>
  <c r="AI61" i="11"/>
  <c r="AE18" i="8" s="1"/>
  <c r="AV61" i="11"/>
  <c r="AR18" i="8" s="1"/>
  <c r="I59" i="11"/>
  <c r="E16" i="8" s="1"/>
  <c r="BG59" i="11"/>
  <c r="BC16" i="8" s="1"/>
  <c r="BB59" i="11"/>
  <c r="AX16" i="8" s="1"/>
  <c r="R57" i="11"/>
  <c r="N14" i="8" s="1"/>
  <c r="BB53" i="11"/>
  <c r="AX10" i="8" s="1"/>
  <c r="W49" i="11"/>
  <c r="S6" i="8" s="1"/>
  <c r="I47" i="11"/>
  <c r="E4" i="8" s="1"/>
  <c r="I50" i="11"/>
  <c r="E7" i="8" s="1"/>
  <c r="AK71" i="11"/>
  <c r="AG28" i="8" s="1"/>
  <c r="AK69" i="11"/>
  <c r="AG26" i="8" s="1"/>
  <c r="AK73" i="11"/>
  <c r="AG30" i="8" s="1"/>
  <c r="AK74" i="11"/>
  <c r="AG31" i="8" s="1"/>
  <c r="AK72" i="11"/>
  <c r="AG29" i="8" s="1"/>
  <c r="AK70" i="11"/>
  <c r="AG27" i="8" s="1"/>
  <c r="AK50" i="11"/>
  <c r="AG7" i="8" s="1"/>
  <c r="AK46" i="11"/>
  <c r="AG3" i="8" s="1"/>
  <c r="AK49" i="11"/>
  <c r="AG6" i="8" s="1"/>
  <c r="AK56" i="11"/>
  <c r="AG13" i="8" s="1"/>
  <c r="AK68" i="11"/>
  <c r="AG25" i="8" s="1"/>
  <c r="AK47" i="11"/>
  <c r="AG4" i="8" s="1"/>
  <c r="AK53" i="11"/>
  <c r="AG10" i="8" s="1"/>
  <c r="AK51" i="11"/>
  <c r="AG8" i="8" s="1"/>
  <c r="AK55" i="11"/>
  <c r="AG12" i="8" s="1"/>
  <c r="AK57" i="11"/>
  <c r="AG14" i="8" s="1"/>
  <c r="AK63" i="11"/>
  <c r="AG20" i="8" s="1"/>
  <c r="AK59" i="11"/>
  <c r="AG16" i="8" s="1"/>
  <c r="AK52" i="11"/>
  <c r="AG9" i="8" s="1"/>
  <c r="AK60" i="11"/>
  <c r="AG17" i="8" s="1"/>
  <c r="P72" i="11"/>
  <c r="L29" i="8" s="1"/>
  <c r="P73" i="11"/>
  <c r="L30" i="8" s="1"/>
  <c r="P70" i="11"/>
  <c r="L27" i="8" s="1"/>
  <c r="P74" i="11"/>
  <c r="L31" i="8" s="1"/>
  <c r="P69" i="11"/>
  <c r="L26" i="8" s="1"/>
  <c r="P71" i="11"/>
  <c r="L28" i="8" s="1"/>
  <c r="P46" i="11"/>
  <c r="L3" i="8" s="1"/>
  <c r="P50" i="11"/>
  <c r="L7" i="8" s="1"/>
  <c r="P68" i="11"/>
  <c r="L25" i="8" s="1"/>
  <c r="P47" i="11"/>
  <c r="L4" i="8" s="1"/>
  <c r="P52" i="11"/>
  <c r="L9" i="8" s="1"/>
  <c r="P60" i="11"/>
  <c r="L17" i="8" s="1"/>
  <c r="P56" i="11"/>
  <c r="L13" i="8" s="1"/>
  <c r="P49" i="11"/>
  <c r="L6" i="8" s="1"/>
  <c r="P51" i="11"/>
  <c r="L8" i="8" s="1"/>
  <c r="P53" i="11"/>
  <c r="L10" i="8" s="1"/>
  <c r="P64" i="11"/>
  <c r="L21" i="8" s="1"/>
  <c r="P61" i="11"/>
  <c r="L18" i="8" s="1"/>
  <c r="P57" i="11"/>
  <c r="L14" i="8" s="1"/>
  <c r="AZ67" i="11"/>
  <c r="AV24" i="8" s="1"/>
  <c r="BO66" i="11"/>
  <c r="BK23" i="8" s="1"/>
  <c r="AL66" i="11"/>
  <c r="AH23" i="8" s="1"/>
  <c r="BG66" i="11"/>
  <c r="BC23" i="8" s="1"/>
  <c r="O62" i="11"/>
  <c r="K19" i="8" s="1"/>
  <c r="J62" i="11"/>
  <c r="F19" i="8" s="1"/>
  <c r="AZ62" i="11"/>
  <c r="AV19" i="8" s="1"/>
  <c r="BD62" i="11"/>
  <c r="AZ19" i="8" s="1"/>
  <c r="M58" i="11"/>
  <c r="I15" i="8" s="1"/>
  <c r="W58" i="11"/>
  <c r="S15" i="8" s="1"/>
  <c r="Q58" i="11"/>
  <c r="M15" i="8" s="1"/>
  <c r="BG58" i="11"/>
  <c r="BC15" i="8" s="1"/>
  <c r="BF58" i="11"/>
  <c r="BB15" i="8" s="1"/>
  <c r="BD58" i="11"/>
  <c r="AZ15" i="8" s="1"/>
  <c r="O48" i="11"/>
  <c r="K5" i="8" s="1"/>
  <c r="AZ48" i="11"/>
  <c r="AV5" i="8" s="1"/>
  <c r="BI69" i="11"/>
  <c r="BE26" i="8" s="1"/>
  <c r="BI71" i="11"/>
  <c r="BE28" i="8" s="1"/>
  <c r="BI70" i="11"/>
  <c r="BE27" i="8" s="1"/>
  <c r="BI73" i="11"/>
  <c r="BE30" i="8" s="1"/>
  <c r="BI72" i="11"/>
  <c r="BE29" i="8" s="1"/>
  <c r="BI74" i="11"/>
  <c r="BE31" i="8" s="1"/>
  <c r="BI50" i="11"/>
  <c r="BE7" i="8" s="1"/>
  <c r="BI51" i="11"/>
  <c r="BE8" i="8" s="1"/>
  <c r="BI47" i="11"/>
  <c r="BE4" i="8" s="1"/>
  <c r="BI52" i="11"/>
  <c r="BE9" i="8" s="1"/>
  <c r="BI60" i="11"/>
  <c r="BE17" i="8" s="1"/>
  <c r="BI46" i="11"/>
  <c r="BE3" i="8" s="1"/>
  <c r="BI64" i="11"/>
  <c r="BE21" i="8" s="1"/>
  <c r="BI56" i="11"/>
  <c r="BE13" i="8" s="1"/>
  <c r="BI68" i="11"/>
  <c r="BE25" i="8" s="1"/>
  <c r="BI55" i="11"/>
  <c r="BE12" i="8" s="1"/>
  <c r="BI57" i="11"/>
  <c r="BE14" i="8" s="1"/>
  <c r="BI49" i="11"/>
  <c r="BE6" i="8" s="1"/>
  <c r="BI53" i="11"/>
  <c r="BE10" i="8" s="1"/>
  <c r="V73" i="11"/>
  <c r="R30" i="8" s="1"/>
  <c r="V71" i="11"/>
  <c r="R28" i="8" s="1"/>
  <c r="V69" i="11"/>
  <c r="R26" i="8" s="1"/>
  <c r="V72" i="11"/>
  <c r="R29" i="8" s="1"/>
  <c r="V70" i="11"/>
  <c r="R27" i="8" s="1"/>
  <c r="V74" i="11"/>
  <c r="R31" i="8" s="1"/>
  <c r="V46" i="11"/>
  <c r="R3" i="8" s="1"/>
  <c r="V56" i="11"/>
  <c r="R13" i="8" s="1"/>
  <c r="V50" i="11"/>
  <c r="R7" i="8" s="1"/>
  <c r="V64" i="11"/>
  <c r="R21" i="8" s="1"/>
  <c r="V60" i="11"/>
  <c r="R17" i="8" s="1"/>
  <c r="V52" i="11"/>
  <c r="R9" i="8" s="1"/>
  <c r="V68" i="11"/>
  <c r="R25" i="8" s="1"/>
  <c r="V57" i="11"/>
  <c r="R14" i="8" s="1"/>
  <c r="V49" i="11"/>
  <c r="R6" i="8" s="1"/>
  <c r="V55" i="11"/>
  <c r="R12" i="8" s="1"/>
  <c r="V59" i="11"/>
  <c r="R16" i="8" s="1"/>
  <c r="V51" i="11"/>
  <c r="R8" i="8" s="1"/>
  <c r="V53" i="11"/>
  <c r="R10" i="8" s="1"/>
  <c r="L73" i="11"/>
  <c r="H30" i="8" s="1"/>
  <c r="L69" i="11"/>
  <c r="H26" i="8" s="1"/>
  <c r="L71" i="11"/>
  <c r="H28" i="8" s="1"/>
  <c r="L70" i="11"/>
  <c r="H27" i="8" s="1"/>
  <c r="L72" i="11"/>
  <c r="H29" i="8" s="1"/>
  <c r="L74" i="11"/>
  <c r="H31" i="8" s="1"/>
  <c r="L56" i="11"/>
  <c r="H13" i="8" s="1"/>
  <c r="L52" i="11"/>
  <c r="H9" i="8" s="1"/>
  <c r="L60" i="11"/>
  <c r="H17" i="8" s="1"/>
  <c r="L46" i="11"/>
  <c r="H3" i="8" s="1"/>
  <c r="L50" i="11"/>
  <c r="H7" i="8" s="1"/>
  <c r="L68" i="11"/>
  <c r="H25" i="8" s="1"/>
  <c r="L51" i="11"/>
  <c r="H8" i="8" s="1"/>
  <c r="L55" i="11"/>
  <c r="H12" i="8" s="1"/>
  <c r="L61" i="11"/>
  <c r="H18" i="8" s="1"/>
  <c r="L53" i="11"/>
  <c r="H10" i="8" s="1"/>
  <c r="L47" i="11"/>
  <c r="H4" i="8" s="1"/>
  <c r="L64" i="11"/>
  <c r="H21" i="8" s="1"/>
  <c r="L49" i="11"/>
  <c r="H6" i="8" s="1"/>
  <c r="AA73" i="11"/>
  <c r="W30" i="8" s="1"/>
  <c r="AA74" i="11"/>
  <c r="W31" i="8" s="1"/>
  <c r="AA71" i="11"/>
  <c r="W28" i="8" s="1"/>
  <c r="AA70" i="11"/>
  <c r="W27" i="8" s="1"/>
  <c r="AA69" i="11"/>
  <c r="W26" i="8" s="1"/>
  <c r="AA72" i="11"/>
  <c r="W29" i="8" s="1"/>
  <c r="AA46" i="11"/>
  <c r="W3" i="8" s="1"/>
  <c r="AA52" i="11"/>
  <c r="W9" i="8" s="1"/>
  <c r="AA50" i="11"/>
  <c r="W7" i="8" s="1"/>
  <c r="AA56" i="11"/>
  <c r="W13" i="8" s="1"/>
  <c r="AA64" i="11"/>
  <c r="W21" i="8" s="1"/>
  <c r="AA60" i="11"/>
  <c r="W17" i="8" s="1"/>
  <c r="AA65" i="11"/>
  <c r="W22" i="8" s="1"/>
  <c r="AA47" i="11"/>
  <c r="W4" i="8" s="1"/>
  <c r="AA49" i="11"/>
  <c r="W6" i="8" s="1"/>
  <c r="AA68" i="11"/>
  <c r="W25" i="8" s="1"/>
  <c r="AA51" i="11"/>
  <c r="W8" i="8" s="1"/>
  <c r="AA57" i="11"/>
  <c r="W14" i="8" s="1"/>
  <c r="AP69" i="11"/>
  <c r="AL26" i="8" s="1"/>
  <c r="AP71" i="11"/>
  <c r="AL28" i="8" s="1"/>
  <c r="AP70" i="11"/>
  <c r="AL27" i="8" s="1"/>
  <c r="AP73" i="11"/>
  <c r="AL30" i="8" s="1"/>
  <c r="AP72" i="11"/>
  <c r="AL29" i="8" s="1"/>
  <c r="AP74" i="11"/>
  <c r="AL31" i="8" s="1"/>
  <c r="AP60" i="11"/>
  <c r="AL17" i="8" s="1"/>
  <c r="AP52" i="11"/>
  <c r="AL9" i="8" s="1"/>
  <c r="AP64" i="11"/>
  <c r="AL21" i="8" s="1"/>
  <c r="AP56" i="11"/>
  <c r="AL13" i="8" s="1"/>
  <c r="AP68" i="11"/>
  <c r="AL25" i="8" s="1"/>
  <c r="AP50" i="11"/>
  <c r="AL7" i="8" s="1"/>
  <c r="AP46" i="11"/>
  <c r="AL3" i="8" s="1"/>
  <c r="AP49" i="11"/>
  <c r="AL6" i="8" s="1"/>
  <c r="AP53" i="11"/>
  <c r="AL10" i="8" s="1"/>
  <c r="AP47" i="11"/>
  <c r="AL4" i="8" s="1"/>
  <c r="AP51" i="11"/>
  <c r="AL8" i="8" s="1"/>
  <c r="AO70" i="11"/>
  <c r="AK27" i="8" s="1"/>
  <c r="AO74" i="11"/>
  <c r="AK31" i="8" s="1"/>
  <c r="AO73" i="11"/>
  <c r="AK30" i="8" s="1"/>
  <c r="AO72" i="11"/>
  <c r="AK29" i="8" s="1"/>
  <c r="AO71" i="11"/>
  <c r="AK28" i="8" s="1"/>
  <c r="AO69" i="11"/>
  <c r="AK26" i="8" s="1"/>
  <c r="AO64" i="11"/>
  <c r="AK21" i="8" s="1"/>
  <c r="AO56" i="11"/>
  <c r="AK13" i="8" s="1"/>
  <c r="AO68" i="11"/>
  <c r="AK25" i="8" s="1"/>
  <c r="AO52" i="11"/>
  <c r="AK9" i="8" s="1"/>
  <c r="AO50" i="11"/>
  <c r="AK7" i="8" s="1"/>
  <c r="AO46" i="11"/>
  <c r="AK3" i="8" s="1"/>
  <c r="AO49" i="11"/>
  <c r="AK6" i="8" s="1"/>
  <c r="AO60" i="11"/>
  <c r="AK17" i="8" s="1"/>
  <c r="AO47" i="11"/>
  <c r="AK4" i="8" s="1"/>
  <c r="AO51" i="11"/>
  <c r="AK8" i="8" s="1"/>
  <c r="AO53" i="11"/>
  <c r="AK10" i="8" s="1"/>
  <c r="AO55" i="11"/>
  <c r="AK12" i="8" s="1"/>
  <c r="AO63" i="11"/>
  <c r="AK20" i="8" s="1"/>
  <c r="AO61" i="11"/>
  <c r="AK18" i="8" s="1"/>
  <c r="AO57" i="11"/>
  <c r="AK14" i="8" s="1"/>
  <c r="AN69" i="11"/>
  <c r="AJ26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60" i="11"/>
  <c r="AJ17" i="8" s="1"/>
  <c r="AN46" i="11"/>
  <c r="AJ3" i="8" s="1"/>
  <c r="AN64" i="11"/>
  <c r="AJ21" i="8" s="1"/>
  <c r="AN56" i="11"/>
  <c r="AJ13" i="8" s="1"/>
  <c r="AN68" i="11"/>
  <c r="AJ25" i="8" s="1"/>
  <c r="AN52" i="11"/>
  <c r="AJ9" i="8" s="1"/>
  <c r="AN51" i="11"/>
  <c r="AJ8" i="8" s="1"/>
  <c r="AN50" i="11"/>
  <c r="AJ7" i="8" s="1"/>
  <c r="AN47" i="11"/>
  <c r="AJ4" i="8" s="1"/>
  <c r="AN55" i="11"/>
  <c r="AJ12" i="8" s="1"/>
  <c r="AN57" i="11"/>
  <c r="AJ14" i="8" s="1"/>
  <c r="AN59" i="11"/>
  <c r="AJ16" i="8" s="1"/>
  <c r="AN61" i="11"/>
  <c r="AJ18" i="8" s="1"/>
  <c r="AN63" i="11"/>
  <c r="AJ20" i="8" s="1"/>
  <c r="AN65" i="11"/>
  <c r="AJ22" i="8" s="1"/>
  <c r="AN67" i="11"/>
  <c r="AJ24" i="8" s="1"/>
  <c r="AN53" i="11"/>
  <c r="AJ10" i="8" s="1"/>
  <c r="AU70" i="11"/>
  <c r="AQ27" i="8" s="1"/>
  <c r="AU69" i="11"/>
  <c r="AQ26" i="8" s="1"/>
  <c r="AU71" i="11"/>
  <c r="AQ28" i="8" s="1"/>
  <c r="AU72" i="11"/>
  <c r="AQ29" i="8" s="1"/>
  <c r="AU74" i="11"/>
  <c r="AQ31" i="8" s="1"/>
  <c r="AU73" i="11"/>
  <c r="AQ30" i="8" s="1"/>
  <c r="AU60" i="11"/>
  <c r="AQ17" i="8" s="1"/>
  <c r="AU50" i="11"/>
  <c r="AQ7" i="8" s="1"/>
  <c r="AU46" i="11"/>
  <c r="AQ3" i="8" s="1"/>
  <c r="AU52" i="11"/>
  <c r="AQ9" i="8" s="1"/>
  <c r="AU64" i="11"/>
  <c r="AQ21" i="8" s="1"/>
  <c r="AU56" i="11"/>
  <c r="AQ13" i="8" s="1"/>
  <c r="AU68" i="11"/>
  <c r="AQ25" i="8" s="1"/>
  <c r="AU51" i="11"/>
  <c r="AQ8" i="8" s="1"/>
  <c r="AU53" i="11"/>
  <c r="AQ10" i="8" s="1"/>
  <c r="AU55" i="11"/>
  <c r="AQ12" i="8" s="1"/>
  <c r="AU57" i="11"/>
  <c r="AQ14" i="8" s="1"/>
  <c r="AU59" i="11"/>
  <c r="AQ16" i="8" s="1"/>
  <c r="AU61" i="11"/>
  <c r="AQ18" i="8" s="1"/>
  <c r="AU63" i="11"/>
  <c r="AQ20" i="8" s="1"/>
  <c r="AU65" i="11"/>
  <c r="AQ22" i="8" s="1"/>
  <c r="AU67" i="11"/>
  <c r="AQ24" i="8" s="1"/>
  <c r="T67" i="11"/>
  <c r="P24" i="8" s="1"/>
  <c r="AE67" i="11"/>
  <c r="AA24" i="8" s="1"/>
  <c r="BG67" i="11"/>
  <c r="BC24" i="8" s="1"/>
  <c r="AV67" i="11"/>
  <c r="AR24" i="8" s="1"/>
  <c r="W65" i="11"/>
  <c r="S22" i="8" s="1"/>
  <c r="L65" i="11"/>
  <c r="H22" i="8" s="1"/>
  <c r="AC65" i="11"/>
  <c r="Y22" i="8" s="1"/>
  <c r="BI65" i="11"/>
  <c r="BE22" i="8" s="1"/>
  <c r="H63" i="11"/>
  <c r="D20" i="8" s="1"/>
  <c r="BI63" i="11"/>
  <c r="BE20" i="8" s="1"/>
  <c r="I61" i="11"/>
  <c r="E18" i="8" s="1"/>
  <c r="AA61" i="11"/>
  <c r="W18" i="8" s="1"/>
  <c r="BE61" i="11"/>
  <c r="BA18" i="8" s="1"/>
  <c r="BI61" i="11"/>
  <c r="BE18" i="8" s="1"/>
  <c r="AA59" i="11"/>
  <c r="W16" i="8" s="1"/>
  <c r="BI59" i="11"/>
  <c r="BE16" i="8" s="1"/>
  <c r="J57" i="11"/>
  <c r="F14" i="8" s="1"/>
  <c r="BB57" i="11"/>
  <c r="AX14" i="8" s="1"/>
  <c r="BB55" i="11"/>
  <c r="AX12" i="8" s="1"/>
  <c r="AX53" i="11"/>
  <c r="AT10" i="8" s="1"/>
  <c r="AU47" i="11"/>
  <c r="AQ4" i="8" s="1"/>
  <c r="R70" i="11"/>
  <c r="N27" i="8" s="1"/>
  <c r="R69" i="11"/>
  <c r="N26" i="8" s="1"/>
  <c r="R71" i="11"/>
  <c r="N28" i="8" s="1"/>
  <c r="R74" i="11"/>
  <c r="N31" i="8" s="1"/>
  <c r="R72" i="11"/>
  <c r="N29" i="8" s="1"/>
  <c r="R73" i="11"/>
  <c r="N30" i="8" s="1"/>
  <c r="R50" i="11"/>
  <c r="N7" i="8" s="1"/>
  <c r="R60" i="11"/>
  <c r="N17" i="8" s="1"/>
  <c r="R64" i="11"/>
  <c r="N21" i="8" s="1"/>
  <c r="R51" i="11"/>
  <c r="N8" i="8" s="1"/>
  <c r="R56" i="11"/>
  <c r="N13" i="8" s="1"/>
  <c r="R68" i="11"/>
  <c r="N25" i="8" s="1"/>
  <c r="R52" i="11"/>
  <c r="N9" i="8" s="1"/>
  <c r="R53" i="11"/>
  <c r="N10" i="8" s="1"/>
  <c r="R59" i="11"/>
  <c r="N16" i="8" s="1"/>
  <c r="R49" i="11"/>
  <c r="N6" i="8" s="1"/>
  <c r="R67" i="11"/>
  <c r="N24" i="8" s="1"/>
  <c r="R47" i="11"/>
  <c r="N4" i="8" s="1"/>
  <c r="R55" i="11"/>
  <c r="N12" i="8" s="1"/>
  <c r="W74" i="11"/>
  <c r="S31" i="8" s="1"/>
  <c r="W73" i="11"/>
  <c r="S30" i="8" s="1"/>
  <c r="W72" i="11"/>
  <c r="S29" i="8" s="1"/>
  <c r="W71" i="11"/>
  <c r="S28" i="8" s="1"/>
  <c r="W70" i="11"/>
  <c r="S27" i="8" s="1"/>
  <c r="W69" i="11"/>
  <c r="S26" i="8" s="1"/>
  <c r="W52" i="11"/>
  <c r="S9" i="8" s="1"/>
  <c r="W64" i="11"/>
  <c r="S21" i="8" s="1"/>
  <c r="W46" i="11"/>
  <c r="S3" i="8" s="1"/>
  <c r="W68" i="11"/>
  <c r="S25" i="8" s="1"/>
  <c r="W60" i="11"/>
  <c r="S17" i="8" s="1"/>
  <c r="W47" i="11"/>
  <c r="S4" i="8" s="1"/>
  <c r="W50" i="11"/>
  <c r="S7" i="8" s="1"/>
  <c r="W56" i="11"/>
  <c r="S13" i="8" s="1"/>
  <c r="W53" i="11"/>
  <c r="S10" i="8" s="1"/>
  <c r="W51" i="11"/>
  <c r="S8" i="8" s="1"/>
  <c r="W57" i="11"/>
  <c r="S14" i="8" s="1"/>
  <c r="W55" i="11"/>
  <c r="S12" i="8" s="1"/>
  <c r="AK67" i="11"/>
  <c r="AG24" i="8" s="1"/>
  <c r="Q61" i="11"/>
  <c r="M18" i="8" s="1"/>
  <c r="AZ66" i="11"/>
  <c r="AV23" i="8" s="1"/>
  <c r="AL54" i="11"/>
  <c r="AH11" i="8" s="1"/>
  <c r="AL62" i="11"/>
  <c r="AH19" i="8" s="1"/>
  <c r="H62" i="11"/>
  <c r="D19" i="8" s="1"/>
  <c r="R62" i="11"/>
  <c r="N19" i="8" s="1"/>
  <c r="O58" i="11"/>
  <c r="K15" i="8" s="1"/>
  <c r="AZ58" i="11"/>
  <c r="AV15" i="8" s="1"/>
  <c r="AK48" i="11"/>
  <c r="AG5" i="8" s="1"/>
  <c r="R48" i="11"/>
  <c r="N5" i="8" s="1"/>
  <c r="BD48" i="11"/>
  <c r="AZ5" i="8" s="1"/>
  <c r="BF48" i="11"/>
  <c r="BB5" i="8" s="1"/>
  <c r="BA69" i="11"/>
  <c r="AW26" i="8" s="1"/>
  <c r="BA71" i="11"/>
  <c r="AW28" i="8" s="1"/>
  <c r="BA72" i="11"/>
  <c r="AW29" i="8" s="1"/>
  <c r="BA74" i="11"/>
  <c r="AW31" i="8" s="1"/>
  <c r="BA73" i="11"/>
  <c r="AW30" i="8" s="1"/>
  <c r="BA70" i="11"/>
  <c r="AW27" i="8" s="1"/>
  <c r="BA50" i="11"/>
  <c r="AW7" i="8" s="1"/>
  <c r="BA68" i="11"/>
  <c r="AW25" i="8" s="1"/>
  <c r="BA52" i="11"/>
  <c r="AW9" i="8" s="1"/>
  <c r="BA64" i="11"/>
  <c r="AW21" i="8" s="1"/>
  <c r="BA56" i="11"/>
  <c r="AW13" i="8" s="1"/>
  <c r="BA47" i="11"/>
  <c r="AW4" i="8" s="1"/>
  <c r="BA46" i="11"/>
  <c r="AW3" i="8" s="1"/>
  <c r="BA60" i="11"/>
  <c r="AW17" i="8" s="1"/>
  <c r="BA49" i="11"/>
  <c r="AW6" i="8" s="1"/>
  <c r="BA51" i="11"/>
  <c r="AW8" i="8" s="1"/>
  <c r="BA55" i="11"/>
  <c r="AW12" i="8" s="1"/>
  <c r="BA57" i="11"/>
  <c r="AW14" i="8" s="1"/>
  <c r="BA59" i="11"/>
  <c r="AW16" i="8" s="1"/>
  <c r="BA61" i="11"/>
  <c r="AW18" i="8" s="1"/>
  <c r="BA63" i="11"/>
  <c r="AW20" i="8" s="1"/>
  <c r="BA65" i="11"/>
  <c r="AW22" i="8" s="1"/>
  <c r="BA67" i="11"/>
  <c r="AW24" i="8" s="1"/>
  <c r="BA53" i="11"/>
  <c r="AW10" i="8" s="1"/>
  <c r="BP69" i="11"/>
  <c r="BL26" i="8" s="1"/>
  <c r="BP70" i="11"/>
  <c r="BL27" i="8" s="1"/>
  <c r="BP71" i="11"/>
  <c r="BL28" i="8" s="1"/>
  <c r="BP73" i="11"/>
  <c r="BL30" i="8" s="1"/>
  <c r="BP72" i="11"/>
  <c r="BL29" i="8" s="1"/>
  <c r="BP74" i="11"/>
  <c r="BL31" i="8" s="1"/>
  <c r="BP46" i="11"/>
  <c r="BL3" i="8" s="1"/>
  <c r="BP50" i="11"/>
  <c r="BL7" i="8" s="1"/>
  <c r="BP60" i="11"/>
  <c r="BL17" i="8" s="1"/>
  <c r="BP53" i="11"/>
  <c r="BL10" i="8" s="1"/>
  <c r="BP47" i="11"/>
  <c r="BL4" i="8" s="1"/>
  <c r="BP64" i="11"/>
  <c r="BL21" i="8" s="1"/>
  <c r="BP52" i="11"/>
  <c r="BL9" i="8" s="1"/>
  <c r="BP56" i="11"/>
  <c r="BL13" i="8" s="1"/>
  <c r="BP68" i="11"/>
  <c r="BL25" i="8" s="1"/>
  <c r="BP55" i="11"/>
  <c r="BL12" i="8" s="1"/>
  <c r="BP57" i="11"/>
  <c r="BL14" i="8" s="1"/>
  <c r="BP59" i="11"/>
  <c r="BL16" i="8" s="1"/>
  <c r="BR69" i="11"/>
  <c r="BN26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7" i="11"/>
  <c r="BN4" i="8" s="1"/>
  <c r="BR46" i="11"/>
  <c r="BN3" i="8" s="1"/>
  <c r="BR60" i="11"/>
  <c r="BN17" i="8" s="1"/>
  <c r="BR50" i="11"/>
  <c r="BN7" i="8" s="1"/>
  <c r="BR49" i="11"/>
  <c r="BN6" i="8" s="1"/>
  <c r="BR53" i="11"/>
  <c r="BN10" i="8" s="1"/>
  <c r="BR55" i="11"/>
  <c r="BN12" i="8" s="1"/>
  <c r="BR57" i="11"/>
  <c r="BN14" i="8" s="1"/>
  <c r="BR59" i="11"/>
  <c r="BN16" i="8" s="1"/>
  <c r="BR52" i="11"/>
  <c r="BN9" i="8" s="1"/>
  <c r="BR64" i="11"/>
  <c r="BN21" i="8" s="1"/>
  <c r="BR56" i="11"/>
  <c r="BN13" i="8" s="1"/>
  <c r="BR68" i="11"/>
  <c r="BN25" i="8" s="1"/>
  <c r="BR51" i="11"/>
  <c r="BN8" i="8" s="1"/>
  <c r="S74" i="11"/>
  <c r="O31" i="8" s="1"/>
  <c r="S72" i="11"/>
  <c r="O29" i="8" s="1"/>
  <c r="S73" i="11"/>
  <c r="O30" i="8" s="1"/>
  <c r="S71" i="11"/>
  <c r="O28" i="8" s="1"/>
  <c r="S69" i="11"/>
  <c r="O26" i="8" s="1"/>
  <c r="S70" i="11"/>
  <c r="O27" i="8" s="1"/>
  <c r="S46" i="11"/>
  <c r="O3" i="8" s="1"/>
  <c r="S49" i="11"/>
  <c r="O6" i="8" s="1"/>
  <c r="S50" i="11"/>
  <c r="O7" i="8" s="1"/>
  <c r="S64" i="11"/>
  <c r="O21" i="8" s="1"/>
  <c r="S68" i="11"/>
  <c r="O25" i="8" s="1"/>
  <c r="S52" i="11"/>
  <c r="O9" i="8" s="1"/>
  <c r="S60" i="11"/>
  <c r="O17" i="8" s="1"/>
  <c r="S56" i="11"/>
  <c r="O13" i="8" s="1"/>
  <c r="S67" i="11"/>
  <c r="O24" i="8" s="1"/>
  <c r="S47" i="11"/>
  <c r="O4" i="8" s="1"/>
  <c r="S59" i="11"/>
  <c r="O16" i="8" s="1"/>
  <c r="S55" i="11"/>
  <c r="O12" i="8" s="1"/>
  <c r="S51" i="11"/>
  <c r="O8" i="8" s="1"/>
  <c r="S53" i="11"/>
  <c r="O10" i="8" s="1"/>
  <c r="AH72" i="11"/>
  <c r="AD29" i="8" s="1"/>
  <c r="AH73" i="11"/>
  <c r="AD30" i="8" s="1"/>
  <c r="AH74" i="11"/>
  <c r="AD31" i="8" s="1"/>
  <c r="AH70" i="11"/>
  <c r="AD27" i="8" s="1"/>
  <c r="AH71" i="11"/>
  <c r="AD28" i="8" s="1"/>
  <c r="AH69" i="11"/>
  <c r="AD26" i="8" s="1"/>
  <c r="AH52" i="11"/>
  <c r="AD9" i="8" s="1"/>
  <c r="AH50" i="11"/>
  <c r="AD7" i="8" s="1"/>
  <c r="AH64" i="11"/>
  <c r="AD21" i="8" s="1"/>
  <c r="AH68" i="11"/>
  <c r="AD25" i="8" s="1"/>
  <c r="AH60" i="11"/>
  <c r="AD17" i="8" s="1"/>
  <c r="AH46" i="11"/>
  <c r="AD3" i="8" s="1"/>
  <c r="AH56" i="11"/>
  <c r="AD13" i="8" s="1"/>
  <c r="AH53" i="11"/>
  <c r="AD10" i="8" s="1"/>
  <c r="AH55" i="11"/>
  <c r="AD12" i="8" s="1"/>
  <c r="AH57" i="11"/>
  <c r="AD14" i="8" s="1"/>
  <c r="AH59" i="11"/>
  <c r="AD16" i="8" s="1"/>
  <c r="AH63" i="11"/>
  <c r="AD20" i="8" s="1"/>
  <c r="AH47" i="11"/>
  <c r="AD4" i="8" s="1"/>
  <c r="AG69" i="11"/>
  <c r="AC26" i="8" s="1"/>
  <c r="AG72" i="11"/>
  <c r="AC29" i="8" s="1"/>
  <c r="AG74" i="11"/>
  <c r="AC31" i="8" s="1"/>
  <c r="AG70" i="11"/>
  <c r="AC27" i="8" s="1"/>
  <c r="AG73" i="11"/>
  <c r="AC30" i="8" s="1"/>
  <c r="AG71" i="11"/>
  <c r="AC28" i="8" s="1"/>
  <c r="AG56" i="11"/>
  <c r="AC13" i="8" s="1"/>
  <c r="AG49" i="11"/>
  <c r="AC6" i="8" s="1"/>
  <c r="AG64" i="11"/>
  <c r="AC21" i="8" s="1"/>
  <c r="AG60" i="11"/>
  <c r="AC17" i="8" s="1"/>
  <c r="AG46" i="11"/>
  <c r="AC3" i="8" s="1"/>
  <c r="AG52" i="11"/>
  <c r="AC9" i="8" s="1"/>
  <c r="AG50" i="11"/>
  <c r="AC7" i="8" s="1"/>
  <c r="AG55" i="11"/>
  <c r="AC12" i="8" s="1"/>
  <c r="AG61" i="11"/>
  <c r="AC18" i="8" s="1"/>
  <c r="AG59" i="11"/>
  <c r="AC16" i="8" s="1"/>
  <c r="AG65" i="11"/>
  <c r="AC22" i="8" s="1"/>
  <c r="AF73" i="11"/>
  <c r="AB30" i="8" s="1"/>
  <c r="AF74" i="11"/>
  <c r="AB31" i="8" s="1"/>
  <c r="AF69" i="11"/>
  <c r="AB26" i="8" s="1"/>
  <c r="AF70" i="11"/>
  <c r="AB27" i="8" s="1"/>
  <c r="AF71" i="11"/>
  <c r="AB28" i="8" s="1"/>
  <c r="AF72" i="11"/>
  <c r="AB29" i="8" s="1"/>
  <c r="AF68" i="11"/>
  <c r="AB25" i="8" s="1"/>
  <c r="AF46" i="11"/>
  <c r="AB3" i="8" s="1"/>
  <c r="AF56" i="11"/>
  <c r="AB13" i="8" s="1"/>
  <c r="AF47" i="11"/>
  <c r="AB4" i="8" s="1"/>
  <c r="AF49" i="11"/>
  <c r="AB6" i="8" s="1"/>
  <c r="AF60" i="11"/>
  <c r="AB17" i="8" s="1"/>
  <c r="AF64" i="11"/>
  <c r="AB21" i="8" s="1"/>
  <c r="AF63" i="11"/>
  <c r="AB20" i="8" s="1"/>
  <c r="AF61" i="11"/>
  <c r="AB18" i="8" s="1"/>
  <c r="AF65" i="11"/>
  <c r="AB22" i="8" s="1"/>
  <c r="AF67" i="11"/>
  <c r="AB24" i="8" s="1"/>
  <c r="AF52" i="11"/>
  <c r="AB9" i="8" s="1"/>
  <c r="AF50" i="11"/>
  <c r="AB7" i="8" s="1"/>
  <c r="AF51" i="11"/>
  <c r="AB8" i="8" s="1"/>
  <c r="AF55" i="11"/>
  <c r="AB12" i="8" s="1"/>
  <c r="AF53" i="11"/>
  <c r="AB10" i="8" s="1"/>
  <c r="AM70" i="11"/>
  <c r="AI27" i="8" s="1"/>
  <c r="AM73" i="11"/>
  <c r="AI30" i="8" s="1"/>
  <c r="AM71" i="11"/>
  <c r="AI28" i="8" s="1"/>
  <c r="AM69" i="11"/>
  <c r="AI26" i="8" s="1"/>
  <c r="AM72" i="11"/>
  <c r="AI29" i="8" s="1"/>
  <c r="AM74" i="11"/>
  <c r="AI31" i="8" s="1"/>
  <c r="AM64" i="11"/>
  <c r="AI21" i="8" s="1"/>
  <c r="AM56" i="11"/>
  <c r="AI13" i="8" s="1"/>
  <c r="AM68" i="11"/>
  <c r="AI25" i="8" s="1"/>
  <c r="AM52" i="11"/>
  <c r="AI9" i="8" s="1"/>
  <c r="AM50" i="11"/>
  <c r="AI7" i="8" s="1"/>
  <c r="AM47" i="11"/>
  <c r="AI4" i="8" s="1"/>
  <c r="AM49" i="11"/>
  <c r="AI6" i="8" s="1"/>
  <c r="AM60" i="11"/>
  <c r="AI17" i="8" s="1"/>
  <c r="AM55" i="11"/>
  <c r="AI12" i="8" s="1"/>
  <c r="AM53" i="11"/>
  <c r="AI10" i="8" s="1"/>
  <c r="AM61" i="11"/>
  <c r="AI18" i="8" s="1"/>
  <c r="AM67" i="11"/>
  <c r="AI24" i="8" s="1"/>
  <c r="AM46" i="11"/>
  <c r="AI3" i="8" s="1"/>
  <c r="AB67" i="11"/>
  <c r="X24" i="8" s="1"/>
  <c r="AH67" i="11"/>
  <c r="AD24" i="8" s="1"/>
  <c r="AA67" i="11"/>
  <c r="W24" i="8" s="1"/>
  <c r="BR67" i="11"/>
  <c r="BN24" i="8" s="1"/>
  <c r="T65" i="11"/>
  <c r="P22" i="8" s="1"/>
  <c r="BG65" i="11"/>
  <c r="BC22" i="8" s="1"/>
  <c r="R65" i="11"/>
  <c r="N22" i="8" s="1"/>
  <c r="BC65" i="11"/>
  <c r="AY22" i="8" s="1"/>
  <c r="AZ65" i="11"/>
  <c r="AV22" i="8" s="1"/>
  <c r="AC63" i="11"/>
  <c r="Y20" i="8" s="1"/>
  <c r="P63" i="11"/>
  <c r="L20" i="8" s="1"/>
  <c r="AQ63" i="11"/>
  <c r="AM20" i="8" s="1"/>
  <c r="AZ63" i="11"/>
  <c r="AV20" i="8" s="1"/>
  <c r="J61" i="11"/>
  <c r="F18" i="8" s="1"/>
  <c r="R61" i="11"/>
  <c r="N18" i="8" s="1"/>
  <c r="AZ61" i="11"/>
  <c r="AV18" i="8" s="1"/>
  <c r="H59" i="11"/>
  <c r="D16" i="8" s="1"/>
  <c r="AO59" i="11"/>
  <c r="AK16" i="8" s="1"/>
  <c r="AP59" i="11"/>
  <c r="AL16" i="8" s="1"/>
  <c r="S57" i="11"/>
  <c r="O14" i="8" s="1"/>
  <c r="AP57" i="11"/>
  <c r="AL14" i="8" s="1"/>
  <c r="AP55" i="11"/>
  <c r="AL12" i="8" s="1"/>
  <c r="AG51" i="11"/>
  <c r="AC8" i="8" s="1"/>
  <c r="AH49" i="11"/>
  <c r="AD6" i="8" s="1"/>
  <c r="T60" i="11"/>
  <c r="P17" i="8" s="1"/>
  <c r="BO72" i="11"/>
  <c r="BK29" i="8" s="1"/>
  <c r="BO73" i="11"/>
  <c r="BK30" i="8" s="1"/>
  <c r="BO74" i="11"/>
  <c r="BK31" i="8" s="1"/>
  <c r="BO69" i="11"/>
  <c r="BK26" i="8" s="1"/>
  <c r="BO70" i="11"/>
  <c r="BK27" i="8" s="1"/>
  <c r="BO71" i="11"/>
  <c r="BK28" i="8" s="1"/>
  <c r="BO68" i="11"/>
  <c r="BK25" i="8" s="1"/>
  <c r="BO52" i="11"/>
  <c r="BK9" i="8" s="1"/>
  <c r="BO56" i="11"/>
  <c r="BK13" i="8" s="1"/>
  <c r="BO46" i="11"/>
  <c r="BK3" i="8" s="1"/>
  <c r="BO50" i="11"/>
  <c r="BK7" i="8" s="1"/>
  <c r="BO64" i="11"/>
  <c r="BK21" i="8" s="1"/>
  <c r="BO51" i="11"/>
  <c r="BK8" i="8" s="1"/>
  <c r="BO49" i="11"/>
  <c r="BK6" i="8" s="1"/>
  <c r="BO59" i="11"/>
  <c r="BK16" i="8" s="1"/>
  <c r="BO47" i="11"/>
  <c r="BK4" i="8" s="1"/>
  <c r="BO60" i="11"/>
  <c r="BK17" i="8" s="1"/>
  <c r="BO53" i="11"/>
  <c r="BK10" i="8" s="1"/>
  <c r="P66" i="11"/>
  <c r="L23" i="8" s="1"/>
  <c r="J66" i="11"/>
  <c r="F23" i="8" s="1"/>
  <c r="AC54" i="11"/>
  <c r="Y11" i="8" s="1"/>
  <c r="Q54" i="11"/>
  <c r="M11" i="8" s="1"/>
  <c r="AR54" i="11"/>
  <c r="AN11" i="8" s="1"/>
  <c r="P62" i="11"/>
  <c r="L19" i="8" s="1"/>
  <c r="BK62" i="11"/>
  <c r="BG19" i="8" s="1"/>
  <c r="N58" i="11"/>
  <c r="J15" i="8" s="1"/>
  <c r="AC58" i="11"/>
  <c r="Y15" i="8" s="1"/>
  <c r="R58" i="11"/>
  <c r="N15" i="8" s="1"/>
  <c r="BK58" i="11"/>
  <c r="BG15" i="8" s="1"/>
  <c r="N48" i="11"/>
  <c r="J5" i="8" s="1"/>
  <c r="AS70" i="11"/>
  <c r="AO27" i="8" s="1"/>
  <c r="AS69" i="11"/>
  <c r="AO26" i="8" s="1"/>
  <c r="AS71" i="11"/>
  <c r="AO28" i="8" s="1"/>
  <c r="AS72" i="11"/>
  <c r="AO29" i="8" s="1"/>
  <c r="AS74" i="11"/>
  <c r="AO31" i="8" s="1"/>
  <c r="AS73" i="11"/>
  <c r="AO30" i="8" s="1"/>
  <c r="AS60" i="11"/>
  <c r="AO17" i="8" s="1"/>
  <c r="AS50" i="11"/>
  <c r="AO7" i="8" s="1"/>
  <c r="AS64" i="11"/>
  <c r="AO21" i="8" s="1"/>
  <c r="AS56" i="11"/>
  <c r="AO13" i="8" s="1"/>
  <c r="AS68" i="11"/>
  <c r="AO25" i="8" s="1"/>
  <c r="AS47" i="11"/>
  <c r="AO4" i="8" s="1"/>
  <c r="AS53" i="11"/>
  <c r="AO10" i="8" s="1"/>
  <c r="AS46" i="11"/>
  <c r="AO3" i="8" s="1"/>
  <c r="AS51" i="11"/>
  <c r="AO8" i="8" s="1"/>
  <c r="AS52" i="11"/>
  <c r="AO9" i="8" s="1"/>
  <c r="AS49" i="11"/>
  <c r="AO6" i="8" s="1"/>
  <c r="AS55" i="11"/>
  <c r="AO12" i="8" s="1"/>
  <c r="AS57" i="11"/>
  <c r="AO14" i="8" s="1"/>
  <c r="AS59" i="11"/>
  <c r="AO16" i="8" s="1"/>
  <c r="BH70" i="11"/>
  <c r="BD27" i="8" s="1"/>
  <c r="BH72" i="11"/>
  <c r="BD29" i="8" s="1"/>
  <c r="BH69" i="11"/>
  <c r="BD26" i="8" s="1"/>
  <c r="BH73" i="11"/>
  <c r="BD30" i="8" s="1"/>
  <c r="BH74" i="11"/>
  <c r="BD31" i="8" s="1"/>
  <c r="BH71" i="11"/>
  <c r="BD28" i="8" s="1"/>
  <c r="BH52" i="11"/>
  <c r="BD9" i="8" s="1"/>
  <c r="BH60" i="11"/>
  <c r="BD17" i="8" s="1"/>
  <c r="BH64" i="11"/>
  <c r="BD21" i="8" s="1"/>
  <c r="BH56" i="11"/>
  <c r="BD13" i="8" s="1"/>
  <c r="BH68" i="11"/>
  <c r="BD25" i="8" s="1"/>
  <c r="BH49" i="11"/>
  <c r="BD6" i="8" s="1"/>
  <c r="BH47" i="11"/>
  <c r="BD4" i="8" s="1"/>
  <c r="BH59" i="11"/>
  <c r="BD16" i="8" s="1"/>
  <c r="BH46" i="11"/>
  <c r="BD3" i="8" s="1"/>
  <c r="BH57" i="11"/>
  <c r="BD14" i="8" s="1"/>
  <c r="BH65" i="11"/>
  <c r="BD22" i="8" s="1"/>
  <c r="BH50" i="11"/>
  <c r="BD7" i="8" s="1"/>
  <c r="BH55" i="11"/>
  <c r="BD12" i="8" s="1"/>
  <c r="BH51" i="11"/>
  <c r="BD8" i="8" s="1"/>
  <c r="BH53" i="11"/>
  <c r="BD10" i="8" s="1"/>
  <c r="AD73" i="11"/>
  <c r="Z30" i="8" s="1"/>
  <c r="AD69" i="11"/>
  <c r="Z26" i="8" s="1"/>
  <c r="AD70" i="11"/>
  <c r="Z27" i="8" s="1"/>
  <c r="AD71" i="11"/>
  <c r="Z28" i="8" s="1"/>
  <c r="AD72" i="11"/>
  <c r="Z29" i="8" s="1"/>
  <c r="AD74" i="11"/>
  <c r="Z31" i="8" s="1"/>
  <c r="AD50" i="11"/>
  <c r="Z7" i="8" s="1"/>
  <c r="AD68" i="11"/>
  <c r="Z25" i="8" s="1"/>
  <c r="AD64" i="11"/>
  <c r="Z21" i="8" s="1"/>
  <c r="AD56" i="11"/>
  <c r="Z13" i="8" s="1"/>
  <c r="AD47" i="11"/>
  <c r="Z4" i="8" s="1"/>
  <c r="AD51" i="11"/>
  <c r="Z8" i="8" s="1"/>
  <c r="AD46" i="11"/>
  <c r="Z3" i="8" s="1"/>
  <c r="AD60" i="11"/>
  <c r="Z17" i="8" s="1"/>
  <c r="AD49" i="11"/>
  <c r="Z6" i="8" s="1"/>
  <c r="AD55" i="11"/>
  <c r="Z12" i="8" s="1"/>
  <c r="AD53" i="11"/>
  <c r="Z10" i="8" s="1"/>
  <c r="AD61" i="11"/>
  <c r="Z18" i="8" s="1"/>
  <c r="AD52" i="11"/>
  <c r="Z9" i="8" s="1"/>
  <c r="AD57" i="11"/>
  <c r="Z14" i="8" s="1"/>
  <c r="K69" i="11"/>
  <c r="G26" i="8" s="1"/>
  <c r="K73" i="11"/>
  <c r="G30" i="8" s="1"/>
  <c r="K74" i="11"/>
  <c r="G31" i="8" s="1"/>
  <c r="K71" i="11"/>
  <c r="G28" i="8" s="1"/>
  <c r="K72" i="11"/>
  <c r="G29" i="8" s="1"/>
  <c r="K70" i="11"/>
  <c r="G27" i="8" s="1"/>
  <c r="K60" i="11"/>
  <c r="G17" i="8" s="1"/>
  <c r="K50" i="11"/>
  <c r="G7" i="8" s="1"/>
  <c r="K56" i="11"/>
  <c r="G13" i="8" s="1"/>
  <c r="K68" i="11"/>
  <c r="G25" i="8" s="1"/>
  <c r="K52" i="11"/>
  <c r="G9" i="8" s="1"/>
  <c r="K64" i="11"/>
  <c r="G21" i="8" s="1"/>
  <c r="K46" i="11"/>
  <c r="G3" i="8" s="1"/>
  <c r="K51" i="11"/>
  <c r="G8" i="8" s="1"/>
  <c r="K53" i="11"/>
  <c r="G10" i="8" s="1"/>
  <c r="K55" i="11"/>
  <c r="G12" i="8" s="1"/>
  <c r="K57" i="11"/>
  <c r="G14" i="8" s="1"/>
  <c r="K65" i="11"/>
  <c r="G22" i="8" s="1"/>
  <c r="K47" i="11"/>
  <c r="G4" i="8" s="1"/>
  <c r="K61" i="11"/>
  <c r="G18" i="8" s="1"/>
  <c r="K49" i="11"/>
  <c r="G6" i="8" s="1"/>
  <c r="Z69" i="11"/>
  <c r="V26" i="8" s="1"/>
  <c r="Z70" i="11"/>
  <c r="V27" i="8" s="1"/>
  <c r="Z72" i="11"/>
  <c r="V29" i="8" s="1"/>
  <c r="Z71" i="11"/>
  <c r="V28" i="8" s="1"/>
  <c r="Z73" i="11"/>
  <c r="V30" i="8" s="1"/>
  <c r="Z74" i="11"/>
  <c r="V31" i="8" s="1"/>
  <c r="Z60" i="11"/>
  <c r="V17" i="8" s="1"/>
  <c r="Z64" i="11"/>
  <c r="V21" i="8" s="1"/>
  <c r="Z68" i="11"/>
  <c r="V25" i="8" s="1"/>
  <c r="Z49" i="11"/>
  <c r="V6" i="8" s="1"/>
  <c r="Z52" i="11"/>
  <c r="V9" i="8" s="1"/>
  <c r="Z50" i="11"/>
  <c r="V7" i="8" s="1"/>
  <c r="Z56" i="11"/>
  <c r="V13" i="8" s="1"/>
  <c r="Z46" i="11"/>
  <c r="V3" i="8" s="1"/>
  <c r="Z51" i="11"/>
  <c r="V8" i="8" s="1"/>
  <c r="Z47" i="11"/>
  <c r="V4" i="8" s="1"/>
  <c r="Z55" i="11"/>
  <c r="V12" i="8" s="1"/>
  <c r="Z63" i="11"/>
  <c r="V20" i="8" s="1"/>
  <c r="Z57" i="11"/>
  <c r="V14" i="8" s="1"/>
  <c r="Z53" i="11"/>
  <c r="V10" i="8" s="1"/>
  <c r="Z59" i="11"/>
  <c r="V16" i="8" s="1"/>
  <c r="Y73" i="11"/>
  <c r="U30" i="8" s="1"/>
  <c r="Y72" i="11"/>
  <c r="U29" i="8" s="1"/>
  <c r="Y71" i="11"/>
  <c r="U28" i="8" s="1"/>
  <c r="Y70" i="11"/>
  <c r="U27" i="8" s="1"/>
  <c r="Y69" i="11"/>
  <c r="U26" i="8" s="1"/>
  <c r="Y74" i="11"/>
  <c r="U31" i="8" s="1"/>
  <c r="Y50" i="11"/>
  <c r="U7" i="8" s="1"/>
  <c r="Y56" i="11"/>
  <c r="U13" i="8" s="1"/>
  <c r="Y64" i="11"/>
  <c r="U21" i="8" s="1"/>
  <c r="Y52" i="11"/>
  <c r="U9" i="8" s="1"/>
  <c r="Y60" i="11"/>
  <c r="U17" i="8" s="1"/>
  <c r="Y68" i="11"/>
  <c r="U25" i="8" s="1"/>
  <c r="Y46" i="11"/>
  <c r="U3" i="8" s="1"/>
  <c r="Y47" i="11"/>
  <c r="U4" i="8" s="1"/>
  <c r="Y49" i="11"/>
  <c r="U6" i="8" s="1"/>
  <c r="Y53" i="11"/>
  <c r="U10" i="8" s="1"/>
  <c r="Y61" i="11"/>
  <c r="U18" i="8" s="1"/>
  <c r="Y65" i="11"/>
  <c r="U22" i="8" s="1"/>
  <c r="Y67" i="11"/>
  <c r="U24" i="8" s="1"/>
  <c r="Y57" i="11"/>
  <c r="U14" i="8" s="1"/>
  <c r="Y51" i="11"/>
  <c r="U8" i="8" s="1"/>
  <c r="X74" i="11"/>
  <c r="T31" i="8" s="1"/>
  <c r="X70" i="11"/>
  <c r="T27" i="8" s="1"/>
  <c r="X71" i="11"/>
  <c r="T28" i="8" s="1"/>
  <c r="X72" i="11"/>
  <c r="T29" i="8" s="1"/>
  <c r="X73" i="11"/>
  <c r="T30" i="8" s="1"/>
  <c r="X69" i="11"/>
  <c r="T26" i="8" s="1"/>
  <c r="X52" i="11"/>
  <c r="T9" i="8" s="1"/>
  <c r="X50" i="11"/>
  <c r="T7" i="8" s="1"/>
  <c r="X46" i="11"/>
  <c r="T3" i="8" s="1"/>
  <c r="X47" i="11"/>
  <c r="T4" i="8" s="1"/>
  <c r="X60" i="11"/>
  <c r="T17" i="8" s="1"/>
  <c r="X64" i="11"/>
  <c r="T21" i="8" s="1"/>
  <c r="X56" i="11"/>
  <c r="T13" i="8" s="1"/>
  <c r="X51" i="11"/>
  <c r="T8" i="8" s="1"/>
  <c r="X49" i="11"/>
  <c r="T6" i="8" s="1"/>
  <c r="X53" i="11"/>
  <c r="T10" i="8" s="1"/>
  <c r="X55" i="11"/>
  <c r="T12" i="8" s="1"/>
  <c r="X61" i="11"/>
  <c r="T18" i="8" s="1"/>
  <c r="X57" i="11"/>
  <c r="T14" i="8" s="1"/>
  <c r="X68" i="11"/>
  <c r="T25" i="8" s="1"/>
  <c r="AE74" i="11"/>
  <c r="AA31" i="8" s="1"/>
  <c r="AE69" i="11"/>
  <c r="AA26" i="8" s="1"/>
  <c r="AE72" i="11"/>
  <c r="AA29" i="8" s="1"/>
  <c r="AE70" i="11"/>
  <c r="AA27" i="8" s="1"/>
  <c r="AE71" i="11"/>
  <c r="AA28" i="8" s="1"/>
  <c r="AE73" i="11"/>
  <c r="AA30" i="8" s="1"/>
  <c r="AE56" i="11"/>
  <c r="AA13" i="8" s="1"/>
  <c r="AE52" i="11"/>
  <c r="AA9" i="8" s="1"/>
  <c r="AE64" i="11"/>
  <c r="AA21" i="8" s="1"/>
  <c r="AE50" i="11"/>
  <c r="AA7" i="8" s="1"/>
  <c r="AE68" i="11"/>
  <c r="AA25" i="8" s="1"/>
  <c r="AE46" i="11"/>
  <c r="AA3" i="8" s="1"/>
  <c r="AE47" i="11"/>
  <c r="AA4" i="8" s="1"/>
  <c r="AE49" i="11"/>
  <c r="AA6" i="8" s="1"/>
  <c r="AE53" i="11"/>
  <c r="AA10" i="8" s="1"/>
  <c r="AE55" i="11"/>
  <c r="AA12" i="8" s="1"/>
  <c r="AE63" i="11"/>
  <c r="AA20" i="8" s="1"/>
  <c r="AE51" i="11"/>
  <c r="AA8" i="8" s="1"/>
  <c r="AE60" i="11"/>
  <c r="AA17" i="8" s="1"/>
  <c r="V67" i="11"/>
  <c r="R24" i="8" s="1"/>
  <c r="P67" i="11"/>
  <c r="L24" i="8" s="1"/>
  <c r="BO67" i="11"/>
  <c r="BK24" i="8" s="1"/>
  <c r="BD67" i="11"/>
  <c r="AZ24" i="8" s="1"/>
  <c r="BI67" i="11"/>
  <c r="BE24" i="8" s="1"/>
  <c r="AL65" i="11"/>
  <c r="AH22" i="8" s="1"/>
  <c r="AQ65" i="11"/>
  <c r="AM22" i="8" s="1"/>
  <c r="BO65" i="11"/>
  <c r="BK22" i="8" s="1"/>
  <c r="AP65" i="11"/>
  <c r="AL22" i="8" s="1"/>
  <c r="AD63" i="11"/>
  <c r="Z20" i="8" s="1"/>
  <c r="BO63" i="11"/>
  <c r="BK20" i="8" s="1"/>
  <c r="X63" i="11"/>
  <c r="T20" i="8" s="1"/>
  <c r="BC63" i="11"/>
  <c r="AY20" i="8" s="1"/>
  <c r="AP63" i="11"/>
  <c r="AL20" i="8" s="1"/>
  <c r="BO61" i="11"/>
  <c r="BK18" i="8" s="1"/>
  <c r="Z61" i="11"/>
  <c r="V18" i="8" s="1"/>
  <c r="BC61" i="11"/>
  <c r="AY18" i="8" s="1"/>
  <c r="AP61" i="11"/>
  <c r="AL18" i="8" s="1"/>
  <c r="O59" i="11"/>
  <c r="K16" i="8" s="1"/>
  <c r="P59" i="11"/>
  <c r="L16" i="8" s="1"/>
  <c r="AM59" i="11"/>
  <c r="AI16" i="8" s="1"/>
  <c r="AG57" i="11"/>
  <c r="AC14" i="8" s="1"/>
  <c r="AB55" i="11"/>
  <c r="X12" i="8" s="1"/>
  <c r="N53" i="11"/>
  <c r="J10" i="8" s="1"/>
  <c r="Q51" i="11"/>
  <c r="M8" i="8" s="1"/>
  <c r="AN49" i="11"/>
  <c r="AJ6" i="8" s="1"/>
  <c r="R46" i="11"/>
  <c r="N3" i="8" s="1"/>
  <c r="O52" i="11"/>
  <c r="K9" i="8" s="1"/>
  <c r="AY55" i="11"/>
  <c r="AU12" i="8" s="1"/>
  <c r="AT49" i="11"/>
  <c r="AP6" i="8" s="1"/>
  <c r="U47" i="11"/>
  <c r="Q4" i="8" s="1"/>
  <c r="AY57" i="11"/>
  <c r="AU14" i="8" s="1"/>
  <c r="BM57" i="11"/>
  <c r="BI14" i="8" s="1"/>
  <c r="AJ55" i="11"/>
  <c r="AF12" i="8" s="1"/>
  <c r="BJ53" i="11"/>
  <c r="BF10" i="8" s="1"/>
  <c r="BJ63" i="11"/>
  <c r="BF20" i="8" s="1"/>
  <c r="U61" i="11"/>
  <c r="Q18" i="8" s="1"/>
  <c r="BJ61" i="11"/>
  <c r="BF18" i="8" s="1"/>
  <c r="BJ59" i="11"/>
  <c r="BF16" i="8" s="1"/>
  <c r="AJ57" i="11"/>
  <c r="AF14" i="8" s="1"/>
  <c r="BJ57" i="11"/>
  <c r="BF14" i="8" s="1"/>
  <c r="U55" i="11"/>
  <c r="Q12" i="8" s="1"/>
  <c r="BJ55" i="11"/>
  <c r="BF12" i="8" s="1"/>
  <c r="AJ53" i="11"/>
  <c r="AF10" i="8" s="1"/>
  <c r="U51" i="11"/>
  <c r="Q8" i="8" s="1"/>
  <c r="BN49" i="11"/>
  <c r="BJ6" i="8" s="1"/>
  <c r="BN59" i="11"/>
  <c r="BJ16" i="8" s="1"/>
  <c r="AT69" i="11"/>
  <c r="AP26" i="8" s="1"/>
  <c r="AT71" i="11"/>
  <c r="AP28" i="8" s="1"/>
  <c r="AT72" i="11"/>
  <c r="AP29" i="8" s="1"/>
  <c r="AT74" i="11"/>
  <c r="AP31" i="8" s="1"/>
  <c r="AT70" i="11"/>
  <c r="AP27" i="8" s="1"/>
  <c r="AT73" i="11"/>
  <c r="AP30" i="8" s="1"/>
  <c r="AT46" i="11"/>
  <c r="AP3" i="8" s="1"/>
  <c r="AT64" i="11"/>
  <c r="AP21" i="8" s="1"/>
  <c r="AT56" i="11"/>
  <c r="AP13" i="8" s="1"/>
  <c r="AT52" i="11"/>
  <c r="AP9" i="8" s="1"/>
  <c r="AT47" i="11"/>
  <c r="AP4" i="8" s="1"/>
  <c r="AT60" i="11"/>
  <c r="AP17" i="8" s="1"/>
  <c r="AT50" i="11"/>
  <c r="AP7" i="8" s="1"/>
  <c r="AT68" i="11"/>
  <c r="AP25" i="8" s="1"/>
  <c r="U69" i="11"/>
  <c r="Q26" i="8" s="1"/>
  <c r="U70" i="11"/>
  <c r="Q27" i="8" s="1"/>
  <c r="U74" i="11"/>
  <c r="Q31" i="8" s="1"/>
  <c r="U72" i="11"/>
  <c r="Q29" i="8" s="1"/>
  <c r="U73" i="11"/>
  <c r="Q30" i="8" s="1"/>
  <c r="U71" i="11"/>
  <c r="Q28" i="8" s="1"/>
  <c r="U50" i="11"/>
  <c r="Q7" i="8" s="1"/>
  <c r="U64" i="11"/>
  <c r="Q21" i="8" s="1"/>
  <c r="U46" i="11"/>
  <c r="Q3" i="8" s="1"/>
  <c r="U52" i="11"/>
  <c r="Q9" i="8" s="1"/>
  <c r="U68" i="11"/>
  <c r="Q25" i="8" s="1"/>
  <c r="U60" i="11"/>
  <c r="Q17" i="8" s="1"/>
  <c r="U56" i="11"/>
  <c r="Q13" i="8" s="1"/>
  <c r="AJ73" i="11"/>
  <c r="AF30" i="8" s="1"/>
  <c r="AJ72" i="11"/>
  <c r="AF29" i="8" s="1"/>
  <c r="AJ69" i="11"/>
  <c r="AF26" i="8" s="1"/>
  <c r="AJ74" i="11"/>
  <c r="AF31" i="8" s="1"/>
  <c r="AJ70" i="11"/>
  <c r="AF27" i="8" s="1"/>
  <c r="AJ71" i="11"/>
  <c r="AF28" i="8" s="1"/>
  <c r="AJ50" i="11"/>
  <c r="AF7" i="8" s="1"/>
  <c r="AJ46" i="11"/>
  <c r="AF3" i="8" s="1"/>
  <c r="AJ60" i="11"/>
  <c r="AF17" i="8" s="1"/>
  <c r="AJ49" i="11"/>
  <c r="AF6" i="8" s="1"/>
  <c r="AJ52" i="11"/>
  <c r="AF9" i="8" s="1"/>
  <c r="AJ64" i="11"/>
  <c r="AF21" i="8" s="1"/>
  <c r="AJ68" i="11"/>
  <c r="AF25" i="8" s="1"/>
  <c r="AJ56" i="11"/>
  <c r="AF13" i="8" s="1"/>
  <c r="AY70" i="11"/>
  <c r="AU27" i="8" s="1"/>
  <c r="AY71" i="11"/>
  <c r="AU28" i="8" s="1"/>
  <c r="AY69" i="11"/>
  <c r="AU26" i="8" s="1"/>
  <c r="AY72" i="11"/>
  <c r="AU29" i="8" s="1"/>
  <c r="AY73" i="11"/>
  <c r="AU30" i="8" s="1"/>
  <c r="AY74" i="11"/>
  <c r="AU31" i="8" s="1"/>
  <c r="AY52" i="11"/>
  <c r="AU9" i="8" s="1"/>
  <c r="AY50" i="11"/>
  <c r="AU7" i="8" s="1"/>
  <c r="AY56" i="11"/>
  <c r="AU13" i="8" s="1"/>
  <c r="AY46" i="11"/>
  <c r="AU3" i="8" s="1"/>
  <c r="AY64" i="11"/>
  <c r="AU21" i="8" s="1"/>
  <c r="AY68" i="11"/>
  <c r="AU25" i="8" s="1"/>
  <c r="AY49" i="11"/>
  <c r="AU6" i="8" s="1"/>
  <c r="AY53" i="11"/>
  <c r="AU10" i="8" s="1"/>
  <c r="AY47" i="11"/>
  <c r="AU4" i="8" s="1"/>
  <c r="AY60" i="11"/>
  <c r="AU17" i="8" s="1"/>
  <c r="BN70" i="11"/>
  <c r="BJ27" i="8" s="1"/>
  <c r="BN71" i="11"/>
  <c r="BJ28" i="8" s="1"/>
  <c r="BN73" i="11"/>
  <c r="BJ30" i="8" s="1"/>
  <c r="BN69" i="11"/>
  <c r="BJ26" i="8" s="1"/>
  <c r="BN72" i="11"/>
  <c r="BJ29" i="8" s="1"/>
  <c r="BN74" i="11"/>
  <c r="BJ31" i="8" s="1"/>
  <c r="BN52" i="11"/>
  <c r="BJ9" i="8" s="1"/>
  <c r="BN60" i="11"/>
  <c r="BJ17" i="8" s="1"/>
  <c r="BN51" i="11"/>
  <c r="BJ8" i="8" s="1"/>
  <c r="BN64" i="11"/>
  <c r="BJ21" i="8" s="1"/>
  <c r="BN56" i="11"/>
  <c r="BJ13" i="8" s="1"/>
  <c r="BN68" i="11"/>
  <c r="BJ25" i="8" s="1"/>
  <c r="BN47" i="11"/>
  <c r="BJ4" i="8" s="1"/>
  <c r="BN46" i="11"/>
  <c r="BJ3" i="8" s="1"/>
  <c r="BM70" i="11"/>
  <c r="BI27" i="8" s="1"/>
  <c r="BM69" i="11"/>
  <c r="BI26" i="8" s="1"/>
  <c r="BM71" i="11"/>
  <c r="BI28" i="8" s="1"/>
  <c r="BM72" i="11"/>
  <c r="BI29" i="8" s="1"/>
  <c r="BM74" i="11"/>
  <c r="BI31" i="8" s="1"/>
  <c r="BM73" i="11"/>
  <c r="BI30" i="8" s="1"/>
  <c r="BM46" i="11"/>
  <c r="BI3" i="8" s="1"/>
  <c r="BM47" i="11"/>
  <c r="BI4" i="8" s="1"/>
  <c r="BM53" i="11"/>
  <c r="BI10" i="8" s="1"/>
  <c r="BM50" i="11"/>
  <c r="BI7" i="8" s="1"/>
  <c r="BM60" i="11"/>
  <c r="BI17" i="8" s="1"/>
  <c r="BM52" i="11"/>
  <c r="BI9" i="8" s="1"/>
  <c r="BL69" i="11"/>
  <c r="BH26" i="8" s="1"/>
  <c r="BL71" i="11"/>
  <c r="BH28" i="8" s="1"/>
  <c r="BL73" i="11"/>
  <c r="BH30" i="8" s="1"/>
  <c r="BL70" i="11"/>
  <c r="BH27" i="8" s="1"/>
  <c r="BL72" i="11"/>
  <c r="BH29" i="8" s="1"/>
  <c r="BL74" i="11"/>
  <c r="BH31" i="8" s="1"/>
  <c r="BL60" i="11"/>
  <c r="BH17" i="8" s="1"/>
  <c r="BL50" i="11"/>
  <c r="BH7" i="8" s="1"/>
  <c r="BL52" i="11"/>
  <c r="BH9" i="8" s="1"/>
  <c r="BL68" i="11"/>
  <c r="BH25" i="8" s="1"/>
  <c r="BL64" i="11"/>
  <c r="BH21" i="8" s="1"/>
  <c r="BL56" i="11"/>
  <c r="BH13" i="8" s="1"/>
  <c r="BL46" i="11"/>
  <c r="BH3" i="8" s="1"/>
  <c r="BJ69" i="11"/>
  <c r="BF26" i="8" s="1"/>
  <c r="BJ71" i="11"/>
  <c r="BF28" i="8" s="1"/>
  <c r="BJ70" i="11"/>
  <c r="BF27" i="8" s="1"/>
  <c r="BJ72" i="11"/>
  <c r="BF29" i="8" s="1"/>
  <c r="BJ74" i="11"/>
  <c r="BF31" i="8" s="1"/>
  <c r="BJ73" i="11"/>
  <c r="BF30" i="8" s="1"/>
  <c r="BJ60" i="11"/>
  <c r="BF17" i="8" s="1"/>
  <c r="BJ46" i="11"/>
  <c r="BF3" i="8" s="1"/>
  <c r="BJ50" i="11"/>
  <c r="BF7" i="8" s="1"/>
  <c r="BJ49" i="11"/>
  <c r="BF6" i="8" s="1"/>
  <c r="BJ68" i="11"/>
  <c r="BF25" i="8" s="1"/>
  <c r="BJ64" i="11"/>
  <c r="BF21" i="8" s="1"/>
  <c r="BJ56" i="11"/>
  <c r="BF13" i="8" s="1"/>
  <c r="BJ52" i="11"/>
  <c r="BF9" i="8" s="1"/>
  <c r="G74" i="11"/>
  <c r="C31" i="8" s="1"/>
  <c r="G72" i="11"/>
  <c r="C29" i="8" s="1"/>
  <c r="G71" i="11"/>
  <c r="C28" i="8" s="1"/>
  <c r="G69" i="11"/>
  <c r="C26" i="8" s="1"/>
  <c r="G70" i="11"/>
  <c r="C27" i="8" s="1"/>
  <c r="G73" i="11"/>
  <c r="C30" i="8" s="1"/>
  <c r="G60" i="11"/>
  <c r="C17" i="8" s="1"/>
  <c r="G52" i="11"/>
  <c r="C9" i="8" s="1"/>
  <c r="G50" i="11"/>
  <c r="C7" i="8" s="1"/>
  <c r="G46" i="11"/>
  <c r="C3" i="8" s="1"/>
  <c r="G68" i="11"/>
  <c r="C25" i="8" s="1"/>
  <c r="G47" i="11"/>
  <c r="C4" i="8" s="1"/>
  <c r="BN67" i="11"/>
  <c r="BJ24" i="8" s="1"/>
  <c r="BL67" i="11"/>
  <c r="BH24" i="8" s="1"/>
  <c r="BL65" i="11"/>
  <c r="BH22" i="8" s="1"/>
  <c r="BL63" i="11"/>
  <c r="BH20" i="8" s="1"/>
  <c r="BL61" i="11"/>
  <c r="BH18" i="8" s="1"/>
  <c r="BL59" i="11"/>
  <c r="BH16" i="8" s="1"/>
  <c r="BL57" i="11"/>
  <c r="BH14" i="8" s="1"/>
  <c r="G55" i="11"/>
  <c r="C12" i="8" s="1"/>
  <c r="BL55" i="11"/>
  <c r="BH12" i="8" s="1"/>
  <c r="G53" i="11"/>
  <c r="C10" i="8" s="1"/>
  <c r="BJ51" i="11"/>
  <c r="BF8" i="8" s="1"/>
  <c r="G49" i="11"/>
  <c r="C6" i="8" s="1"/>
  <c r="BM49" i="11"/>
  <c r="BI6" i="8" s="1"/>
  <c r="BM68" i="11"/>
  <c r="BI25" i="8" s="1"/>
  <c r="BM56" i="11"/>
  <c r="BI13" i="8" s="1"/>
  <c r="BL53" i="11"/>
  <c r="BH10" i="8" s="1"/>
  <c r="G51" i="11"/>
  <c r="C8" i="8" s="1"/>
  <c r="BM51" i="11"/>
  <c r="BI8" i="8" s="1"/>
  <c r="U49" i="11"/>
  <c r="Q6" i="8" s="1"/>
  <c r="BL47" i="11"/>
  <c r="BH4" i="8" s="1"/>
  <c r="BM64" i="11"/>
  <c r="BI21" i="8" s="1"/>
  <c r="AT55" i="11"/>
  <c r="AP12" i="8" s="1"/>
  <c r="U53" i="11"/>
  <c r="Q10" i="8" s="1"/>
  <c r="AT53" i="11"/>
  <c r="AP10" i="8" s="1"/>
  <c r="AJ51" i="11"/>
  <c r="AF8" i="8" s="1"/>
  <c r="BQ41" i="12"/>
  <c r="F92" i="11"/>
  <c r="F83" i="11"/>
  <c r="F108" i="11"/>
  <c r="F82" i="11"/>
  <c r="AB41" i="12"/>
  <c r="AQ41" i="12"/>
  <c r="BF41" i="12"/>
  <c r="U41" i="12"/>
  <c r="L41" i="12"/>
  <c r="N41" i="12"/>
  <c r="BC41" i="12"/>
  <c r="AR41" i="12"/>
  <c r="AL41" i="12"/>
  <c r="AO41" i="12"/>
  <c r="BG41" i="12"/>
  <c r="P41" i="12"/>
  <c r="BL41" i="12"/>
  <c r="BE41" i="12"/>
  <c r="AI41" i="12"/>
  <c r="AX41" i="12"/>
  <c r="BD41" i="12"/>
  <c r="M41" i="12"/>
  <c r="BN41" i="12"/>
  <c r="BM41" i="12"/>
  <c r="G41" i="12"/>
  <c r="AJ41" i="12"/>
  <c r="AY41" i="12"/>
  <c r="H41" i="12"/>
  <c r="T41" i="12"/>
  <c r="BK41" i="12"/>
  <c r="X41" i="12"/>
  <c r="BJ41" i="12"/>
  <c r="AK41" i="12"/>
  <c r="AC41" i="12"/>
  <c r="J74" i="12"/>
  <c r="F63" i="8" s="1"/>
  <c r="I41" i="12"/>
  <c r="BH41" i="12"/>
  <c r="AD41" i="12"/>
  <c r="Y41" i="12"/>
  <c r="AT41" i="12"/>
  <c r="Z41" i="12"/>
  <c r="L74" i="12"/>
  <c r="H63" i="8" s="1"/>
  <c r="BJ74" i="12"/>
  <c r="BF63" i="8" s="1"/>
  <c r="BA41" i="12"/>
  <c r="S41" i="12"/>
  <c r="AH41" i="12"/>
  <c r="AN41" i="12"/>
  <c r="AP41" i="12"/>
  <c r="AZ41" i="12"/>
  <c r="BO41" i="12"/>
  <c r="R41" i="12"/>
  <c r="Q41" i="12"/>
  <c r="W41" i="12"/>
  <c r="AS41" i="12"/>
  <c r="V41" i="12"/>
  <c r="K41" i="12"/>
  <c r="AF41" i="12"/>
  <c r="AE41" i="12"/>
  <c r="F88" i="11"/>
  <c r="F91" i="11"/>
  <c r="F90" i="11"/>
  <c r="F87" i="11"/>
  <c r="F89" i="11"/>
  <c r="F95" i="11"/>
  <c r="F107" i="11"/>
  <c r="F84" i="11"/>
  <c r="F100" i="11"/>
  <c r="F86" i="11"/>
  <c r="F81" i="11"/>
  <c r="F98" i="11"/>
  <c r="F93" i="11"/>
  <c r="F85" i="11"/>
  <c r="AL72" i="12"/>
  <c r="AH61" i="8" s="1"/>
  <c r="P72" i="12"/>
  <c r="L61" i="8" s="1"/>
  <c r="BP41" i="12"/>
  <c r="BB41" i="12"/>
  <c r="AG41" i="12"/>
  <c r="AM41" i="12"/>
  <c r="BI41" i="12"/>
  <c r="BR41" i="12"/>
  <c r="AA41" i="12"/>
  <c r="AW41" i="12"/>
  <c r="AV41" i="12"/>
  <c r="AU41" i="12"/>
  <c r="O72" i="12"/>
  <c r="K61" i="8" s="1"/>
  <c r="V72" i="12"/>
  <c r="R61" i="8" s="1"/>
  <c r="AA74" i="12"/>
  <c r="W63" i="8" s="1"/>
  <c r="O41" i="12"/>
  <c r="AA72" i="12"/>
  <c r="W61" i="8" s="1"/>
  <c r="AQ74" i="12"/>
  <c r="AM63" i="8" s="1"/>
  <c r="J41" i="12"/>
  <c r="AW74" i="12"/>
  <c r="AS63" i="8" s="1"/>
  <c r="AO68" i="12"/>
  <c r="AK57" i="8" s="1"/>
  <c r="BH68" i="12"/>
  <c r="BD57" i="8" s="1"/>
  <c r="K68" i="12"/>
  <c r="G57" i="8" s="1"/>
  <c r="AH72" i="12"/>
  <c r="AD61" i="8" s="1"/>
  <c r="AG74" i="12"/>
  <c r="AC63" i="8" s="1"/>
  <c r="AZ74" i="12"/>
  <c r="AV63" i="8" s="1"/>
  <c r="BO72" i="12"/>
  <c r="BK61" i="8" s="1"/>
  <c r="AT70" i="12"/>
  <c r="AP59" i="8" s="1"/>
  <c r="Z72" i="12"/>
  <c r="V61" i="8" s="1"/>
  <c r="Y70" i="12"/>
  <c r="U59" i="8" s="1"/>
  <c r="X68" i="12"/>
  <c r="T57" i="8" s="1"/>
  <c r="W72" i="12"/>
  <c r="S61" i="8" s="1"/>
  <c r="AC70" i="12"/>
  <c r="Y59" i="8" s="1"/>
  <c r="AR70" i="12"/>
  <c r="AN59" i="8" s="1"/>
  <c r="BG62" i="12"/>
  <c r="BC51" i="8" s="1"/>
  <c r="AL70" i="12"/>
  <c r="AH59" i="8" s="1"/>
  <c r="R70" i="12"/>
  <c r="N59" i="8" s="1"/>
  <c r="Q66" i="12"/>
  <c r="M55" i="8" s="1"/>
  <c r="O66" i="12"/>
  <c r="K55" i="8" s="1"/>
  <c r="BJ72" i="12"/>
  <c r="BF61" i="8" s="1"/>
  <c r="U74" i="12"/>
  <c r="Q63" i="8" s="1"/>
  <c r="AJ68" i="12"/>
  <c r="AF57" i="8" s="1"/>
  <c r="AY68" i="12"/>
  <c r="AU57" i="8" s="1"/>
  <c r="J72" i="12"/>
  <c r="F61" i="8" s="1"/>
  <c r="I66" i="12"/>
  <c r="E55" i="8" s="1"/>
  <c r="H60" i="12"/>
  <c r="D49" i="8" s="1"/>
  <c r="G64" i="12"/>
  <c r="C53" i="8" s="1"/>
  <c r="N74" i="12"/>
  <c r="J63" i="8" s="1"/>
  <c r="M70" i="12"/>
  <c r="I59" i="8" s="1"/>
  <c r="AB74" i="12"/>
  <c r="X63" i="8" s="1"/>
  <c r="AQ62" i="12"/>
  <c r="AM51" i="8" s="1"/>
  <c r="BN64" i="12"/>
  <c r="BJ53" i="8" s="1"/>
  <c r="BM74" i="12"/>
  <c r="BI63" i="8" s="1"/>
  <c r="BL70" i="12"/>
  <c r="BH59" i="8" s="1"/>
  <c r="BK64" i="12"/>
  <c r="BG53" i="8" s="1"/>
  <c r="Q74" i="12"/>
  <c r="M63" i="8" s="1"/>
  <c r="BL74" i="12"/>
  <c r="BH63" i="8" s="1"/>
  <c r="S72" i="12"/>
  <c r="O61" i="8" s="1"/>
  <c r="BQ70" i="12"/>
  <c r="BM59" i="8" s="1"/>
  <c r="BR60" i="12"/>
  <c r="BN49" i="8" s="1"/>
  <c r="T74" i="12"/>
  <c r="P63" i="8" s="1"/>
  <c r="AI72" i="12"/>
  <c r="AE61" i="8" s="1"/>
  <c r="BF72" i="12"/>
  <c r="BB61" i="8" s="1"/>
  <c r="BE68" i="12"/>
  <c r="BA57" i="8" s="1"/>
  <c r="BD72" i="12"/>
  <c r="AZ61" i="8" s="1"/>
  <c r="BC70" i="12"/>
  <c r="AY59" i="8" s="1"/>
  <c r="K74" i="12"/>
  <c r="G63" i="8" s="1"/>
  <c r="AS74" i="12"/>
  <c r="AO63" i="8" s="1"/>
  <c r="AD72" i="12"/>
  <c r="Z61" i="8" s="1"/>
  <c r="AG72" i="12"/>
  <c r="AC61" i="8" s="1"/>
  <c r="AF72" i="12"/>
  <c r="AB61" i="8" s="1"/>
  <c r="AE74" i="12"/>
  <c r="AA63" i="8" s="1"/>
  <c r="M74" i="12"/>
  <c r="I63" i="8" s="1"/>
  <c r="BI49" i="12"/>
  <c r="BE38" i="8" s="1"/>
  <c r="BI63" i="12"/>
  <c r="BE52" i="8" s="1"/>
  <c r="BI59" i="12"/>
  <c r="BE48" i="8" s="1"/>
  <c r="BI51" i="12"/>
  <c r="BE40" i="8" s="1"/>
  <c r="BI55" i="12"/>
  <c r="BE44" i="8" s="1"/>
  <c r="BI47" i="12"/>
  <c r="BE36" i="8" s="1"/>
  <c r="BI57" i="12"/>
  <c r="BE46" i="8" s="1"/>
  <c r="BI69" i="12"/>
  <c r="BE58" i="8" s="1"/>
  <c r="BI67" i="12"/>
  <c r="BE56" i="8" s="1"/>
  <c r="BI71" i="12"/>
  <c r="BE60" i="8" s="1"/>
  <c r="BI54" i="12"/>
  <c r="BE43" i="8" s="1"/>
  <c r="BI61" i="12"/>
  <c r="BE50" i="8" s="1"/>
  <c r="BI48" i="12"/>
  <c r="BE37" i="8" s="1"/>
  <c r="BI46" i="12"/>
  <c r="BE35" i="8" s="1"/>
  <c r="BI53" i="12"/>
  <c r="BE42" i="8" s="1"/>
  <c r="BI65" i="12"/>
  <c r="BE54" i="8" s="1"/>
  <c r="BI73" i="12"/>
  <c r="BE62" i="8" s="1"/>
  <c r="BI58" i="12"/>
  <c r="BE47" i="8" s="1"/>
  <c r="BI52" i="12"/>
  <c r="BE41" i="8" s="1"/>
  <c r="BI56" i="12"/>
  <c r="BE45" i="8" s="1"/>
  <c r="BI62" i="12"/>
  <c r="BE51" i="8" s="1"/>
  <c r="BI60" i="12"/>
  <c r="BE49" i="8" s="1"/>
  <c r="BI50" i="12"/>
  <c r="BE39" i="8" s="1"/>
  <c r="BI64" i="12"/>
  <c r="BE53" i="8" s="1"/>
  <c r="BI66" i="12"/>
  <c r="BE55" i="8" s="1"/>
  <c r="V53" i="12"/>
  <c r="R42" i="8" s="1"/>
  <c r="V47" i="12"/>
  <c r="R36" i="8" s="1"/>
  <c r="V49" i="12"/>
  <c r="R38" i="8" s="1"/>
  <c r="V59" i="12"/>
  <c r="R48" i="8" s="1"/>
  <c r="V51" i="12"/>
  <c r="R40" i="8" s="1"/>
  <c r="V61" i="12"/>
  <c r="R50" i="8" s="1"/>
  <c r="V65" i="12"/>
  <c r="R54" i="8" s="1"/>
  <c r="V63" i="12"/>
  <c r="R52" i="8" s="1"/>
  <c r="V73" i="12"/>
  <c r="R62" i="8" s="1"/>
  <c r="V46" i="12"/>
  <c r="R35" i="8" s="1"/>
  <c r="V48" i="12"/>
  <c r="R37" i="8" s="1"/>
  <c r="V50" i="12"/>
  <c r="R39" i="8" s="1"/>
  <c r="V55" i="12"/>
  <c r="R44" i="8" s="1"/>
  <c r="V57" i="12"/>
  <c r="R46" i="8" s="1"/>
  <c r="V69" i="12"/>
  <c r="R58" i="8" s="1"/>
  <c r="V67" i="12"/>
  <c r="R56" i="8" s="1"/>
  <c r="V71" i="12"/>
  <c r="R60" i="8" s="1"/>
  <c r="V54" i="12"/>
  <c r="R43" i="8" s="1"/>
  <c r="V56" i="12"/>
  <c r="R45" i="8" s="1"/>
  <c r="V60" i="12"/>
  <c r="R49" i="8" s="1"/>
  <c r="V58" i="12"/>
  <c r="R47" i="8" s="1"/>
  <c r="V64" i="12"/>
  <c r="R53" i="8" s="1"/>
  <c r="V52" i="12"/>
  <c r="R41" i="8" s="1"/>
  <c r="V62" i="12"/>
  <c r="R51" i="8" s="1"/>
  <c r="L49" i="12"/>
  <c r="H38" i="8" s="1"/>
  <c r="L51" i="12"/>
  <c r="H40" i="8" s="1"/>
  <c r="L53" i="12"/>
  <c r="H42" i="8" s="1"/>
  <c r="L47" i="12"/>
  <c r="H36" i="8" s="1"/>
  <c r="L55" i="12"/>
  <c r="H44" i="8" s="1"/>
  <c r="L63" i="12"/>
  <c r="H52" i="8" s="1"/>
  <c r="L57" i="12"/>
  <c r="H46" i="8" s="1"/>
  <c r="L46" i="12"/>
  <c r="H35" i="8" s="1"/>
  <c r="L59" i="12"/>
  <c r="H48" i="8" s="1"/>
  <c r="L48" i="12"/>
  <c r="H37" i="8" s="1"/>
  <c r="L61" i="12"/>
  <c r="H50" i="8" s="1"/>
  <c r="L67" i="12"/>
  <c r="H56" i="8" s="1"/>
  <c r="L65" i="12"/>
  <c r="H54" i="8" s="1"/>
  <c r="L71" i="12"/>
  <c r="H60" i="8" s="1"/>
  <c r="L73" i="12"/>
  <c r="H62" i="8" s="1"/>
  <c r="L69" i="12"/>
  <c r="H58" i="8" s="1"/>
  <c r="L58" i="12"/>
  <c r="H47" i="8" s="1"/>
  <c r="L60" i="12"/>
  <c r="H49" i="8" s="1"/>
  <c r="L52" i="12"/>
  <c r="H41" i="8" s="1"/>
  <c r="L50" i="12"/>
  <c r="H39" i="8" s="1"/>
  <c r="L56" i="12"/>
  <c r="H45" i="8" s="1"/>
  <c r="L62" i="12"/>
  <c r="H51" i="8" s="1"/>
  <c r="L54" i="12"/>
  <c r="H43" i="8" s="1"/>
  <c r="L64" i="12"/>
  <c r="H53" i="8" s="1"/>
  <c r="AA57" i="12"/>
  <c r="W46" i="8" s="1"/>
  <c r="AA49" i="12"/>
  <c r="W38" i="8" s="1"/>
  <c r="AA47" i="12"/>
  <c r="W36" i="8" s="1"/>
  <c r="AA59" i="12"/>
  <c r="W48" i="8" s="1"/>
  <c r="AA61" i="12"/>
  <c r="W50" i="8" s="1"/>
  <c r="AA53" i="12"/>
  <c r="W42" i="8" s="1"/>
  <c r="AA51" i="12"/>
  <c r="W40" i="8" s="1"/>
  <c r="AA50" i="12"/>
  <c r="W39" i="8" s="1"/>
  <c r="AA71" i="12"/>
  <c r="W60" i="8" s="1"/>
  <c r="AA55" i="12"/>
  <c r="W44" i="8" s="1"/>
  <c r="AA63" i="12"/>
  <c r="W52" i="8" s="1"/>
  <c r="AA65" i="12"/>
  <c r="W54" i="8" s="1"/>
  <c r="AA69" i="12"/>
  <c r="W58" i="8" s="1"/>
  <c r="AA46" i="12"/>
  <c r="W35" i="8" s="1"/>
  <c r="AA67" i="12"/>
  <c r="W56" i="8" s="1"/>
  <c r="AA73" i="12"/>
  <c r="W62" i="8" s="1"/>
  <c r="AA60" i="12"/>
  <c r="W49" i="8" s="1"/>
  <c r="AA64" i="12"/>
  <c r="W53" i="8" s="1"/>
  <c r="AA68" i="12"/>
  <c r="W57" i="8" s="1"/>
  <c r="AA48" i="12"/>
  <c r="W37" i="8" s="1"/>
  <c r="AA54" i="12"/>
  <c r="W43" i="8" s="1"/>
  <c r="AA56" i="12"/>
  <c r="W45" i="8" s="1"/>
  <c r="AA58" i="12"/>
  <c r="W47" i="8" s="1"/>
  <c r="AA52" i="12"/>
  <c r="W41" i="8" s="1"/>
  <c r="AX65" i="12"/>
  <c r="AT54" i="8" s="1"/>
  <c r="AX57" i="12"/>
  <c r="AT46" i="8" s="1"/>
  <c r="AX53" i="12"/>
  <c r="AT42" i="8" s="1"/>
  <c r="AX49" i="12"/>
  <c r="AT38" i="8" s="1"/>
  <c r="AX61" i="12"/>
  <c r="AT50" i="8" s="1"/>
  <c r="AX63" i="12"/>
  <c r="AT52" i="8" s="1"/>
  <c r="AX55" i="12"/>
  <c r="AT44" i="8" s="1"/>
  <c r="AX51" i="12"/>
  <c r="AT40" i="8" s="1"/>
  <c r="AX47" i="12"/>
  <c r="AT36" i="8" s="1"/>
  <c r="AX69" i="12"/>
  <c r="AT58" i="8" s="1"/>
  <c r="AX71" i="12"/>
  <c r="AT60" i="8" s="1"/>
  <c r="AX59" i="12"/>
  <c r="AT48" i="8" s="1"/>
  <c r="AX50" i="12"/>
  <c r="AT39" i="8" s="1"/>
  <c r="AX67" i="12"/>
  <c r="AT56" i="8" s="1"/>
  <c r="AX73" i="12"/>
  <c r="AT62" i="8" s="1"/>
  <c r="AX46" i="12"/>
  <c r="AT35" i="8" s="1"/>
  <c r="AX48" i="12"/>
  <c r="AT37" i="8" s="1"/>
  <c r="AX54" i="12"/>
  <c r="AT43" i="8" s="1"/>
  <c r="AX52" i="12"/>
  <c r="AT41" i="8" s="1"/>
  <c r="AX58" i="12"/>
  <c r="AT47" i="8" s="1"/>
  <c r="AX62" i="12"/>
  <c r="AT51" i="8" s="1"/>
  <c r="AX64" i="12"/>
  <c r="AT53" i="8" s="1"/>
  <c r="AX60" i="12"/>
  <c r="AT49" i="8" s="1"/>
  <c r="AX56" i="12"/>
  <c r="AT45" i="8" s="1"/>
  <c r="AW49" i="12"/>
  <c r="AS38" i="8" s="1"/>
  <c r="AW51" i="12"/>
  <c r="AS40" i="8" s="1"/>
  <c r="AW53" i="12"/>
  <c r="AS42" i="8" s="1"/>
  <c r="AW57" i="12"/>
  <c r="AS46" i="8" s="1"/>
  <c r="AW47" i="12"/>
  <c r="AS36" i="8" s="1"/>
  <c r="AW63" i="12"/>
  <c r="AS52" i="8" s="1"/>
  <c r="AW54" i="12"/>
  <c r="AS43" i="8" s="1"/>
  <c r="AW48" i="12"/>
  <c r="AS37" i="8" s="1"/>
  <c r="AW59" i="12"/>
  <c r="AS48" i="8" s="1"/>
  <c r="AW67" i="12"/>
  <c r="AS56" i="8" s="1"/>
  <c r="AW69" i="12"/>
  <c r="AS58" i="8" s="1"/>
  <c r="AW46" i="12"/>
  <c r="AS35" i="8" s="1"/>
  <c r="AW61" i="12"/>
  <c r="AS50" i="8" s="1"/>
  <c r="AW65" i="12"/>
  <c r="AS54" i="8" s="1"/>
  <c r="AW71" i="12"/>
  <c r="AS60" i="8" s="1"/>
  <c r="AW55" i="12"/>
  <c r="AS44" i="8" s="1"/>
  <c r="AW73" i="12"/>
  <c r="AS62" i="8" s="1"/>
  <c r="AW52" i="12"/>
  <c r="AS41" i="8" s="1"/>
  <c r="AW60" i="12"/>
  <c r="AS49" i="8" s="1"/>
  <c r="AW62" i="12"/>
  <c r="AS51" i="8" s="1"/>
  <c r="AW56" i="12"/>
  <c r="AS45" i="8" s="1"/>
  <c r="AW58" i="12"/>
  <c r="AS47" i="8" s="1"/>
  <c r="AW68" i="12"/>
  <c r="AS57" i="8" s="1"/>
  <c r="AW66" i="12"/>
  <c r="AS55" i="8" s="1"/>
  <c r="AW50" i="12"/>
  <c r="AS39" i="8" s="1"/>
  <c r="AW64" i="12"/>
  <c r="AS53" i="8" s="1"/>
  <c r="AV51" i="12"/>
  <c r="AR40" i="8" s="1"/>
  <c r="AV47" i="12"/>
  <c r="AR36" i="8" s="1"/>
  <c r="AV53" i="12"/>
  <c r="AR42" i="8" s="1"/>
  <c r="AV61" i="12"/>
  <c r="AR50" i="8" s="1"/>
  <c r="AV49" i="12"/>
  <c r="AR38" i="8" s="1"/>
  <c r="AV57" i="12"/>
  <c r="AR46" i="8" s="1"/>
  <c r="AV63" i="12"/>
  <c r="AR52" i="8" s="1"/>
  <c r="AV65" i="12"/>
  <c r="AR54" i="8" s="1"/>
  <c r="AV67" i="12"/>
  <c r="AR56" i="8" s="1"/>
  <c r="AV46" i="12"/>
  <c r="AR35" i="8" s="1"/>
  <c r="AV50" i="12"/>
  <c r="AR39" i="8" s="1"/>
  <c r="AV55" i="12"/>
  <c r="AR44" i="8" s="1"/>
  <c r="AV59" i="12"/>
  <c r="AR48" i="8" s="1"/>
  <c r="AV69" i="12"/>
  <c r="AR58" i="8" s="1"/>
  <c r="AV71" i="12"/>
  <c r="AR60" i="8" s="1"/>
  <c r="AV73" i="12"/>
  <c r="AR62" i="8" s="1"/>
  <c r="AV52" i="12"/>
  <c r="AR41" i="8" s="1"/>
  <c r="AV54" i="12"/>
  <c r="AR43" i="8" s="1"/>
  <c r="AV70" i="12"/>
  <c r="AR59" i="8" s="1"/>
  <c r="AV48" i="12"/>
  <c r="AR37" i="8" s="1"/>
  <c r="AV56" i="12"/>
  <c r="AR45" i="8" s="1"/>
  <c r="AV62" i="12"/>
  <c r="AR51" i="8" s="1"/>
  <c r="AV58" i="12"/>
  <c r="AR47" i="8" s="1"/>
  <c r="AV64" i="12"/>
  <c r="AR53" i="8" s="1"/>
  <c r="AV60" i="12"/>
  <c r="AR49" i="8" s="1"/>
  <c r="AV66" i="12"/>
  <c r="AR55" i="8" s="1"/>
  <c r="AU47" i="12"/>
  <c r="AQ36" i="8" s="1"/>
  <c r="AU57" i="12"/>
  <c r="AQ46" i="8" s="1"/>
  <c r="AU63" i="12"/>
  <c r="AQ52" i="8" s="1"/>
  <c r="AU51" i="12"/>
  <c r="AQ40" i="8" s="1"/>
  <c r="AU55" i="12"/>
  <c r="AQ44" i="8" s="1"/>
  <c r="AU59" i="12"/>
  <c r="AQ48" i="8" s="1"/>
  <c r="AU49" i="12"/>
  <c r="AQ38" i="8" s="1"/>
  <c r="AU53" i="12"/>
  <c r="AQ42" i="8" s="1"/>
  <c r="AU61" i="12"/>
  <c r="AQ50" i="8" s="1"/>
  <c r="AU65" i="12"/>
  <c r="AQ54" i="8" s="1"/>
  <c r="AU71" i="12"/>
  <c r="AQ60" i="8" s="1"/>
  <c r="AU46" i="12"/>
  <c r="AQ35" i="8" s="1"/>
  <c r="AU69" i="12"/>
  <c r="AQ58" i="8" s="1"/>
  <c r="AU52" i="12"/>
  <c r="AQ41" i="8" s="1"/>
  <c r="AU67" i="12"/>
  <c r="AQ56" i="8" s="1"/>
  <c r="AU48" i="12"/>
  <c r="AQ37" i="8" s="1"/>
  <c r="AU73" i="12"/>
  <c r="AQ62" i="8" s="1"/>
  <c r="AU56" i="12"/>
  <c r="AQ45" i="8" s="1"/>
  <c r="AU58" i="12"/>
  <c r="AQ47" i="8" s="1"/>
  <c r="AU50" i="12"/>
  <c r="AQ39" i="8" s="1"/>
  <c r="AU64" i="12"/>
  <c r="AQ53" i="8" s="1"/>
  <c r="AU54" i="12"/>
  <c r="AQ43" i="8" s="1"/>
  <c r="AU68" i="12"/>
  <c r="AQ57" i="8" s="1"/>
  <c r="R74" i="12"/>
  <c r="N63" i="8" s="1"/>
  <c r="G74" i="12"/>
  <c r="C63" i="8" s="1"/>
  <c r="I74" i="12"/>
  <c r="E63" i="8" s="1"/>
  <c r="BK74" i="12"/>
  <c r="BG63" i="8" s="1"/>
  <c r="O74" i="12"/>
  <c r="K63" i="8" s="1"/>
  <c r="BD74" i="12"/>
  <c r="AZ63" i="8" s="1"/>
  <c r="AT74" i="12"/>
  <c r="AP63" i="8" s="1"/>
  <c r="R72" i="12"/>
  <c r="N61" i="8" s="1"/>
  <c r="G72" i="12"/>
  <c r="C61" i="8" s="1"/>
  <c r="BM72" i="12"/>
  <c r="BI61" i="8" s="1"/>
  <c r="AW72" i="12"/>
  <c r="AS61" i="8" s="1"/>
  <c r="AV72" i="12"/>
  <c r="AR61" i="8" s="1"/>
  <c r="AT72" i="12"/>
  <c r="AP61" i="8" s="1"/>
  <c r="N70" i="12"/>
  <c r="J59" i="8" s="1"/>
  <c r="Q70" i="12"/>
  <c r="M59" i="8" s="1"/>
  <c r="AJ70" i="12"/>
  <c r="AF59" i="8" s="1"/>
  <c r="AO70" i="12"/>
  <c r="AK59" i="8" s="1"/>
  <c r="BF70" i="12"/>
  <c r="BB59" i="8" s="1"/>
  <c r="BO70" i="12"/>
  <c r="BK59" i="8" s="1"/>
  <c r="R68" i="12"/>
  <c r="N57" i="8" s="1"/>
  <c r="AC68" i="12"/>
  <c r="Y57" i="8" s="1"/>
  <c r="H68" i="12"/>
  <c r="D57" i="8" s="1"/>
  <c r="BI68" i="12"/>
  <c r="BE57" i="8" s="1"/>
  <c r="Z66" i="12"/>
  <c r="V55" i="8" s="1"/>
  <c r="W66" i="12"/>
  <c r="S55" i="8" s="1"/>
  <c r="AJ66" i="12"/>
  <c r="AF55" i="8" s="1"/>
  <c r="BR66" i="12"/>
  <c r="BN55" i="8" s="1"/>
  <c r="AT66" i="12"/>
  <c r="AP55" i="8" s="1"/>
  <c r="Y64" i="12"/>
  <c r="U53" i="8" s="1"/>
  <c r="AR64" i="12"/>
  <c r="AN53" i="8" s="1"/>
  <c r="O62" i="12"/>
  <c r="K51" i="8" s="1"/>
  <c r="BO62" i="12"/>
  <c r="BK51" i="8" s="1"/>
  <c r="Q60" i="12"/>
  <c r="M49" i="8" s="1"/>
  <c r="BQ60" i="12"/>
  <c r="BM49" i="8" s="1"/>
  <c r="BA65" i="12"/>
  <c r="AW54" i="8" s="1"/>
  <c r="BA55" i="12"/>
  <c r="AW44" i="8" s="1"/>
  <c r="BA61" i="12"/>
  <c r="AW50" i="8" s="1"/>
  <c r="BA53" i="12"/>
  <c r="AW42" i="8" s="1"/>
  <c r="BA57" i="12"/>
  <c r="AW46" i="8" s="1"/>
  <c r="BA51" i="12"/>
  <c r="AW40" i="8" s="1"/>
  <c r="BA59" i="12"/>
  <c r="AW48" i="8" s="1"/>
  <c r="BA47" i="12"/>
  <c r="AW36" i="8" s="1"/>
  <c r="BA49" i="12"/>
  <c r="AW38" i="8" s="1"/>
  <c r="BA63" i="12"/>
  <c r="AW52" i="8" s="1"/>
  <c r="BA69" i="12"/>
  <c r="AW58" i="8" s="1"/>
  <c r="BA73" i="12"/>
  <c r="AW62" i="8" s="1"/>
  <c r="BA46" i="12"/>
  <c r="AW35" i="8" s="1"/>
  <c r="BA71" i="12"/>
  <c r="AW60" i="8" s="1"/>
  <c r="BA67" i="12"/>
  <c r="AW56" i="8" s="1"/>
  <c r="BA50" i="12"/>
  <c r="AW39" i="8" s="1"/>
  <c r="BA52" i="12"/>
  <c r="AW41" i="8" s="1"/>
  <c r="BA58" i="12"/>
  <c r="AW47" i="8" s="1"/>
  <c r="BA48" i="12"/>
  <c r="AW37" i="8" s="1"/>
  <c r="BA54" i="12"/>
  <c r="AW43" i="8" s="1"/>
  <c r="BA56" i="12"/>
  <c r="AW45" i="8" s="1"/>
  <c r="BA66" i="12"/>
  <c r="AW55" i="8" s="1"/>
  <c r="BA62" i="12"/>
  <c r="AW51" i="8" s="1"/>
  <c r="BA60" i="12"/>
  <c r="AW49" i="8" s="1"/>
  <c r="BA64" i="12"/>
  <c r="AW53" i="8" s="1"/>
  <c r="BA70" i="12"/>
  <c r="AW59" i="8" s="1"/>
  <c r="BP47" i="12"/>
  <c r="BL36" i="8" s="1"/>
  <c r="BP51" i="12"/>
  <c r="BL40" i="8" s="1"/>
  <c r="BP63" i="12"/>
  <c r="BL52" i="8" s="1"/>
  <c r="BP61" i="12"/>
  <c r="BL50" i="8" s="1"/>
  <c r="BP49" i="12"/>
  <c r="BL38" i="8" s="1"/>
  <c r="BP55" i="12"/>
  <c r="BL44" i="8" s="1"/>
  <c r="BP53" i="12"/>
  <c r="BL42" i="8" s="1"/>
  <c r="BP67" i="12"/>
  <c r="BL56" i="8" s="1"/>
  <c r="BP52" i="12"/>
  <c r="BL41" i="8" s="1"/>
  <c r="BP59" i="12"/>
  <c r="BL48" i="8" s="1"/>
  <c r="BP65" i="12"/>
  <c r="BL54" i="8" s="1"/>
  <c r="BP48" i="12"/>
  <c r="BL37" i="8" s="1"/>
  <c r="BP71" i="12"/>
  <c r="BL60" i="8" s="1"/>
  <c r="BP46" i="12"/>
  <c r="BL35" i="8" s="1"/>
  <c r="BP57" i="12"/>
  <c r="BL46" i="8" s="1"/>
  <c r="BP69" i="12"/>
  <c r="BL58" i="8" s="1"/>
  <c r="BP73" i="12"/>
  <c r="BL62" i="8" s="1"/>
  <c r="BP56" i="12"/>
  <c r="BL45" i="8" s="1"/>
  <c r="BP62" i="12"/>
  <c r="BL51" i="8" s="1"/>
  <c r="BP54" i="12"/>
  <c r="BL43" i="8" s="1"/>
  <c r="BP64" i="12"/>
  <c r="BL53" i="8" s="1"/>
  <c r="BP58" i="12"/>
  <c r="BL47" i="8" s="1"/>
  <c r="BP50" i="12"/>
  <c r="BL39" i="8" s="1"/>
  <c r="BB61" i="12"/>
  <c r="AX50" i="8" s="1"/>
  <c r="BB59" i="12"/>
  <c r="AX48" i="8" s="1"/>
  <c r="BB51" i="12"/>
  <c r="AX40" i="8" s="1"/>
  <c r="BB55" i="12"/>
  <c r="AX44" i="8" s="1"/>
  <c r="BB47" i="12"/>
  <c r="AX36" i="8" s="1"/>
  <c r="BB57" i="12"/>
  <c r="AX46" i="8" s="1"/>
  <c r="BB63" i="12"/>
  <c r="AX52" i="8" s="1"/>
  <c r="BB53" i="12"/>
  <c r="AX42" i="8" s="1"/>
  <c r="BB46" i="12"/>
  <c r="AX35" i="8" s="1"/>
  <c r="BB69" i="12"/>
  <c r="AX58" i="8" s="1"/>
  <c r="BB73" i="12"/>
  <c r="AX62" i="8" s="1"/>
  <c r="BB65" i="12"/>
  <c r="AX54" i="8" s="1"/>
  <c r="BB71" i="12"/>
  <c r="AX60" i="8" s="1"/>
  <c r="BB48" i="12"/>
  <c r="AX37" i="8" s="1"/>
  <c r="BB50" i="12"/>
  <c r="AX39" i="8" s="1"/>
  <c r="BB52" i="12"/>
  <c r="AX41" i="8" s="1"/>
  <c r="BB49" i="12"/>
  <c r="AX38" i="8" s="1"/>
  <c r="BB67" i="12"/>
  <c r="AX56" i="8" s="1"/>
  <c r="BB60" i="12"/>
  <c r="AX49" i="8" s="1"/>
  <c r="BB62" i="12"/>
  <c r="AX51" i="8" s="1"/>
  <c r="BB56" i="12"/>
  <c r="AX45" i="8" s="1"/>
  <c r="BB64" i="12"/>
  <c r="AX53" i="8" s="1"/>
  <c r="BB54" i="12"/>
  <c r="AX43" i="8" s="1"/>
  <c r="BB58" i="12"/>
  <c r="AX47" i="8" s="1"/>
  <c r="S65" i="12"/>
  <c r="O54" i="8" s="1"/>
  <c r="S51" i="12"/>
  <c r="O40" i="8" s="1"/>
  <c r="S57" i="12"/>
  <c r="O46" i="8" s="1"/>
  <c r="S49" i="12"/>
  <c r="O38" i="8" s="1"/>
  <c r="S53" i="12"/>
  <c r="O42" i="8" s="1"/>
  <c r="S61" i="12"/>
  <c r="O50" i="8" s="1"/>
  <c r="S63" i="12"/>
  <c r="O52" i="8" s="1"/>
  <c r="S55" i="12"/>
  <c r="O44" i="8" s="1"/>
  <c r="S47" i="12"/>
  <c r="O36" i="8" s="1"/>
  <c r="S59" i="12"/>
  <c r="O48" i="8" s="1"/>
  <c r="S67" i="12"/>
  <c r="O56" i="8" s="1"/>
  <c r="S48" i="12"/>
  <c r="O37" i="8" s="1"/>
  <c r="S73" i="12"/>
  <c r="O62" i="8" s="1"/>
  <c r="S69" i="12"/>
  <c r="O58" i="8" s="1"/>
  <c r="S46" i="12"/>
  <c r="O35" i="8" s="1"/>
  <c r="S71" i="12"/>
  <c r="O60" i="8" s="1"/>
  <c r="S52" i="12"/>
  <c r="O41" i="8" s="1"/>
  <c r="S50" i="12"/>
  <c r="O39" i="8" s="1"/>
  <c r="S56" i="12"/>
  <c r="O45" i="8" s="1"/>
  <c r="S66" i="12"/>
  <c r="O55" i="8" s="1"/>
  <c r="S68" i="12"/>
  <c r="O57" i="8" s="1"/>
  <c r="S54" i="12"/>
  <c r="O43" i="8" s="1"/>
  <c r="S62" i="12"/>
  <c r="O51" i="8" s="1"/>
  <c r="S64" i="12"/>
  <c r="O53" i="8" s="1"/>
  <c r="S58" i="12"/>
  <c r="O47" i="8" s="1"/>
  <c r="AP59" i="12"/>
  <c r="AL48" i="8" s="1"/>
  <c r="AP63" i="12"/>
  <c r="AL52" i="8" s="1"/>
  <c r="AP55" i="12"/>
  <c r="AL44" i="8" s="1"/>
  <c r="AP57" i="12"/>
  <c r="AL46" i="8" s="1"/>
  <c r="AP49" i="12"/>
  <c r="AL38" i="8" s="1"/>
  <c r="AP61" i="12"/>
  <c r="AL50" i="8" s="1"/>
  <c r="AP67" i="12"/>
  <c r="AL56" i="8" s="1"/>
  <c r="AP69" i="12"/>
  <c r="AL58" i="8" s="1"/>
  <c r="AP46" i="12"/>
  <c r="AL35" i="8" s="1"/>
  <c r="AP65" i="12"/>
  <c r="AL54" i="8" s="1"/>
  <c r="AP73" i="12"/>
  <c r="AL62" i="8" s="1"/>
  <c r="AP71" i="12"/>
  <c r="AL60" i="8" s="1"/>
  <c r="AP52" i="12"/>
  <c r="AL41" i="8" s="1"/>
  <c r="AP47" i="12"/>
  <c r="AL36" i="8" s="1"/>
  <c r="AP48" i="12"/>
  <c r="AL37" i="8" s="1"/>
  <c r="AP51" i="12"/>
  <c r="AL40" i="8" s="1"/>
  <c r="AP53" i="12"/>
  <c r="AL42" i="8" s="1"/>
  <c r="AP64" i="12"/>
  <c r="AL53" i="8" s="1"/>
  <c r="AP60" i="12"/>
  <c r="AL49" i="8" s="1"/>
  <c r="AP62" i="12"/>
  <c r="AL51" i="8" s="1"/>
  <c r="AP54" i="12"/>
  <c r="AL43" i="8" s="1"/>
  <c r="AP56" i="12"/>
  <c r="AL45" i="8" s="1"/>
  <c r="AP50" i="12"/>
  <c r="AL39" i="8" s="1"/>
  <c r="AP58" i="12"/>
  <c r="AL47" i="8" s="1"/>
  <c r="AP68" i="12"/>
  <c r="AL57" i="8" s="1"/>
  <c r="AO53" i="12"/>
  <c r="AK42" i="8" s="1"/>
  <c r="AO49" i="12"/>
  <c r="AK38" i="8" s="1"/>
  <c r="AO61" i="12"/>
  <c r="AK50" i="8" s="1"/>
  <c r="AO47" i="12"/>
  <c r="AK36" i="8" s="1"/>
  <c r="AO57" i="12"/>
  <c r="AK46" i="8" s="1"/>
  <c r="AO51" i="12"/>
  <c r="AK40" i="8" s="1"/>
  <c r="AO59" i="12"/>
  <c r="AK48" i="8" s="1"/>
  <c r="AO65" i="12"/>
  <c r="AK54" i="8" s="1"/>
  <c r="AO71" i="12"/>
  <c r="AK60" i="8" s="1"/>
  <c r="AO73" i="12"/>
  <c r="AK62" i="8" s="1"/>
  <c r="AO48" i="12"/>
  <c r="AK37" i="8" s="1"/>
  <c r="AO63" i="12"/>
  <c r="AK52" i="8" s="1"/>
  <c r="AO50" i="12"/>
  <c r="AK39" i="8" s="1"/>
  <c r="AO67" i="12"/>
  <c r="AK56" i="8" s="1"/>
  <c r="AO69" i="12"/>
  <c r="AK58" i="8" s="1"/>
  <c r="AO55" i="12"/>
  <c r="AK44" i="8" s="1"/>
  <c r="AO46" i="12"/>
  <c r="AK35" i="8" s="1"/>
  <c r="AO52" i="12"/>
  <c r="AK41" i="8" s="1"/>
  <c r="AO54" i="12"/>
  <c r="AK43" i="8" s="1"/>
  <c r="AO66" i="12"/>
  <c r="AK55" i="8" s="1"/>
  <c r="AO58" i="12"/>
  <c r="AK47" i="8" s="1"/>
  <c r="AO64" i="12"/>
  <c r="AK53" i="8" s="1"/>
  <c r="AO60" i="12"/>
  <c r="AK49" i="8" s="1"/>
  <c r="AO56" i="12"/>
  <c r="AK45" i="8" s="1"/>
  <c r="AO62" i="12"/>
  <c r="AK51" i="8" s="1"/>
  <c r="AN49" i="12"/>
  <c r="AJ38" i="8" s="1"/>
  <c r="AN61" i="12"/>
  <c r="AJ50" i="8" s="1"/>
  <c r="AN57" i="12"/>
  <c r="AJ46" i="8" s="1"/>
  <c r="AN63" i="12"/>
  <c r="AJ52" i="8" s="1"/>
  <c r="AN53" i="12"/>
  <c r="AJ42" i="8" s="1"/>
  <c r="AN55" i="12"/>
  <c r="AJ44" i="8" s="1"/>
  <c r="AN67" i="12"/>
  <c r="AJ56" i="8" s="1"/>
  <c r="AN65" i="12"/>
  <c r="AJ54" i="8" s="1"/>
  <c r="AN48" i="12"/>
  <c r="AJ37" i="8" s="1"/>
  <c r="AN46" i="12"/>
  <c r="AJ35" i="8" s="1"/>
  <c r="AN47" i="12"/>
  <c r="AJ36" i="8" s="1"/>
  <c r="AN51" i="12"/>
  <c r="AJ40" i="8" s="1"/>
  <c r="AN73" i="12"/>
  <c r="AJ62" i="8" s="1"/>
  <c r="AN59" i="12"/>
  <c r="AJ48" i="8" s="1"/>
  <c r="AN69" i="12"/>
  <c r="AJ58" i="8" s="1"/>
  <c r="AN71" i="12"/>
  <c r="AJ60" i="8" s="1"/>
  <c r="AN52" i="12"/>
  <c r="AJ41" i="8" s="1"/>
  <c r="AN60" i="12"/>
  <c r="AJ49" i="8" s="1"/>
  <c r="AN54" i="12"/>
  <c r="AJ43" i="8" s="1"/>
  <c r="AN58" i="12"/>
  <c r="AJ47" i="8" s="1"/>
  <c r="AN50" i="12"/>
  <c r="AJ39" i="8" s="1"/>
  <c r="AN56" i="12"/>
  <c r="AJ45" i="8" s="1"/>
  <c r="AN62" i="12"/>
  <c r="AJ51" i="8" s="1"/>
  <c r="AN64" i="12"/>
  <c r="AJ53" i="8" s="1"/>
  <c r="AM59" i="12"/>
  <c r="AI48" i="8" s="1"/>
  <c r="AM49" i="12"/>
  <c r="AI38" i="8" s="1"/>
  <c r="AM57" i="12"/>
  <c r="AI46" i="8" s="1"/>
  <c r="AM51" i="12"/>
  <c r="AI40" i="8" s="1"/>
  <c r="AM61" i="12"/>
  <c r="AI50" i="8" s="1"/>
  <c r="AM55" i="12"/>
  <c r="AI44" i="8" s="1"/>
  <c r="AM63" i="12"/>
  <c r="AI52" i="8" s="1"/>
  <c r="AM47" i="12"/>
  <c r="AI36" i="8" s="1"/>
  <c r="AM67" i="12"/>
  <c r="AI56" i="8" s="1"/>
  <c r="AM65" i="12"/>
  <c r="AI54" i="8" s="1"/>
  <c r="AM73" i="12"/>
  <c r="AI62" i="8" s="1"/>
  <c r="AM69" i="12"/>
  <c r="AI58" i="8" s="1"/>
  <c r="AM53" i="12"/>
  <c r="AI42" i="8" s="1"/>
  <c r="AM71" i="12"/>
  <c r="AI60" i="8" s="1"/>
  <c r="AM52" i="12"/>
  <c r="AI41" i="8" s="1"/>
  <c r="AM58" i="12"/>
  <c r="AI47" i="8" s="1"/>
  <c r="AM70" i="12"/>
  <c r="AI59" i="8" s="1"/>
  <c r="AM50" i="12"/>
  <c r="AI39" i="8" s="1"/>
  <c r="AM46" i="12"/>
  <c r="AI35" i="8" s="1"/>
  <c r="F33" i="8" s="1"/>
  <c r="AM48" i="12"/>
  <c r="AI37" i="8" s="1"/>
  <c r="AM54" i="12"/>
  <c r="AI43" i="8" s="1"/>
  <c r="AM56" i="12"/>
  <c r="AI45" i="8" s="1"/>
  <c r="AM62" i="12"/>
  <c r="AI51" i="8" s="1"/>
  <c r="AM60" i="12"/>
  <c r="AI49" i="8" s="1"/>
  <c r="AM64" i="12"/>
  <c r="AI53" i="8" s="1"/>
  <c r="AM66" i="12"/>
  <c r="AI55" i="8" s="1"/>
  <c r="V74" i="12"/>
  <c r="R63" i="8" s="1"/>
  <c r="AI74" i="12"/>
  <c r="AE63" i="8" s="1"/>
  <c r="AF74" i="12"/>
  <c r="AB63" i="8" s="1"/>
  <c r="BG74" i="12"/>
  <c r="BC63" i="8" s="1"/>
  <c r="BF74" i="12"/>
  <c r="BB63" i="8" s="1"/>
  <c r="BB74" i="12"/>
  <c r="AX63" i="8" s="1"/>
  <c r="X72" i="12"/>
  <c r="T61" i="8" s="1"/>
  <c r="I72" i="12"/>
  <c r="E61" i="8" s="1"/>
  <c r="BN72" i="12"/>
  <c r="BJ61" i="8" s="1"/>
  <c r="BG72" i="12"/>
  <c r="BC61" i="8" s="1"/>
  <c r="BL72" i="12"/>
  <c r="BH61" i="8" s="1"/>
  <c r="T70" i="12"/>
  <c r="P59" i="8" s="1"/>
  <c r="BG70" i="12"/>
  <c r="BC59" i="8" s="1"/>
  <c r="AU70" i="12"/>
  <c r="AQ59" i="8" s="1"/>
  <c r="AW70" i="12"/>
  <c r="AS59" i="8" s="1"/>
  <c r="J68" i="12"/>
  <c r="F57" i="8" s="1"/>
  <c r="Q68" i="12"/>
  <c r="M57" i="8" s="1"/>
  <c r="AM68" i="12"/>
  <c r="AI57" i="8" s="1"/>
  <c r="BM68" i="12"/>
  <c r="BI57" i="8" s="1"/>
  <c r="BD68" i="12"/>
  <c r="AZ57" i="8" s="1"/>
  <c r="H66" i="12"/>
  <c r="D55" i="8" s="1"/>
  <c r="BE66" i="12"/>
  <c r="BA55" i="8" s="1"/>
  <c r="AX66" i="12"/>
  <c r="AT55" i="8" s="1"/>
  <c r="AQ64" i="12"/>
  <c r="AM53" i="8" s="1"/>
  <c r="R62" i="12"/>
  <c r="N51" i="8" s="1"/>
  <c r="BP60" i="12"/>
  <c r="BL49" i="8" s="1"/>
  <c r="AS47" i="12"/>
  <c r="AO36" i="8" s="1"/>
  <c r="AS53" i="12"/>
  <c r="AO42" i="8" s="1"/>
  <c r="AS59" i="12"/>
  <c r="AO48" i="8" s="1"/>
  <c r="AS55" i="12"/>
  <c r="AO44" i="8" s="1"/>
  <c r="AS61" i="12"/>
  <c r="AO50" i="8" s="1"/>
  <c r="AS51" i="12"/>
  <c r="AO40" i="8" s="1"/>
  <c r="AS49" i="12"/>
  <c r="AO38" i="8" s="1"/>
  <c r="AS63" i="12"/>
  <c r="AO52" i="8" s="1"/>
  <c r="AS65" i="12"/>
  <c r="AO54" i="8" s="1"/>
  <c r="AS71" i="12"/>
  <c r="AO60" i="8" s="1"/>
  <c r="AS48" i="12"/>
  <c r="AO37" i="8" s="1"/>
  <c r="AS67" i="12"/>
  <c r="AO56" i="8" s="1"/>
  <c r="AS73" i="12"/>
  <c r="AO62" i="8" s="1"/>
  <c r="AS57" i="12"/>
  <c r="AO46" i="8" s="1"/>
  <c r="AS69" i="12"/>
  <c r="AO58" i="8" s="1"/>
  <c r="AS46" i="12"/>
  <c r="AO35" i="8" s="1"/>
  <c r="AS54" i="12"/>
  <c r="AO43" i="8" s="1"/>
  <c r="AS58" i="12"/>
  <c r="AO47" i="8" s="1"/>
  <c r="AS60" i="12"/>
  <c r="AO49" i="8" s="1"/>
  <c r="AS50" i="12"/>
  <c r="AO39" i="8" s="1"/>
  <c r="AS52" i="12"/>
  <c r="AO41" i="8" s="1"/>
  <c r="AS64" i="12"/>
  <c r="AO53" i="8" s="1"/>
  <c r="AS56" i="12"/>
  <c r="AO45" i="8" s="1"/>
  <c r="BH61" i="12"/>
  <c r="BD50" i="8" s="1"/>
  <c r="BH63" i="12"/>
  <c r="BD52" i="8" s="1"/>
  <c r="BH47" i="12"/>
  <c r="BD36" i="8" s="1"/>
  <c r="BH53" i="12"/>
  <c r="BD42" i="8" s="1"/>
  <c r="BH55" i="12"/>
  <c r="BD44" i="8" s="1"/>
  <c r="BH49" i="12"/>
  <c r="BD38" i="8" s="1"/>
  <c r="BH51" i="12"/>
  <c r="BD40" i="8" s="1"/>
  <c r="BH59" i="12"/>
  <c r="BD48" i="8" s="1"/>
  <c r="BH57" i="12"/>
  <c r="BD46" i="8" s="1"/>
  <c r="BH67" i="12"/>
  <c r="BD56" i="8" s="1"/>
  <c r="BH71" i="12"/>
  <c r="BD60" i="8" s="1"/>
  <c r="BH46" i="12"/>
  <c r="BD35" i="8" s="1"/>
  <c r="BH69" i="12"/>
  <c r="BD58" i="8" s="1"/>
  <c r="BH73" i="12"/>
  <c r="BD62" i="8" s="1"/>
  <c r="BH48" i="12"/>
  <c r="BD37" i="8" s="1"/>
  <c r="BH65" i="12"/>
  <c r="BD54" i="8" s="1"/>
  <c r="BH50" i="12"/>
  <c r="BD39" i="8" s="1"/>
  <c r="BH52" i="12"/>
  <c r="BD41" i="8" s="1"/>
  <c r="BH56" i="12"/>
  <c r="BD45" i="8" s="1"/>
  <c r="BH60" i="12"/>
  <c r="BD49" i="8" s="1"/>
  <c r="BH58" i="12"/>
  <c r="BD47" i="8" s="1"/>
  <c r="BH54" i="12"/>
  <c r="BD43" i="8" s="1"/>
  <c r="BH62" i="12"/>
  <c r="BD51" i="8" s="1"/>
  <c r="AD53" i="12"/>
  <c r="Z42" i="8" s="1"/>
  <c r="AD55" i="12"/>
  <c r="Z44" i="8" s="1"/>
  <c r="AD47" i="12"/>
  <c r="Z36" i="8" s="1"/>
  <c r="AD59" i="12"/>
  <c r="Z48" i="8" s="1"/>
  <c r="AD49" i="12"/>
  <c r="Z38" i="8" s="1"/>
  <c r="AD51" i="12"/>
  <c r="Z40" i="8" s="1"/>
  <c r="AD57" i="12"/>
  <c r="Z46" i="8" s="1"/>
  <c r="AD61" i="12"/>
  <c r="Z50" i="8" s="1"/>
  <c r="AD73" i="12"/>
  <c r="Z62" i="8" s="1"/>
  <c r="AD67" i="12"/>
  <c r="Z56" i="8" s="1"/>
  <c r="AD71" i="12"/>
  <c r="Z60" i="8" s="1"/>
  <c r="AD63" i="12"/>
  <c r="Z52" i="8" s="1"/>
  <c r="AD65" i="12"/>
  <c r="Z54" i="8" s="1"/>
  <c r="AD46" i="12"/>
  <c r="Z35" i="8" s="1"/>
  <c r="AD50" i="12"/>
  <c r="Z39" i="8" s="1"/>
  <c r="AD52" i="12"/>
  <c r="Z41" i="8" s="1"/>
  <c r="AD69" i="12"/>
  <c r="Z58" i="8" s="1"/>
  <c r="AD48" i="12"/>
  <c r="Z37" i="8" s="1"/>
  <c r="AD56" i="12"/>
  <c r="Z45" i="8" s="1"/>
  <c r="AD58" i="12"/>
  <c r="Z47" i="8" s="1"/>
  <c r="AD54" i="12"/>
  <c r="Z43" i="8" s="1"/>
  <c r="AD64" i="12"/>
  <c r="Z53" i="8" s="1"/>
  <c r="AD60" i="12"/>
  <c r="Z49" i="8" s="1"/>
  <c r="AD70" i="12"/>
  <c r="Z59" i="8" s="1"/>
  <c r="K57" i="12"/>
  <c r="G46" i="8" s="1"/>
  <c r="K63" i="12"/>
  <c r="G52" i="8" s="1"/>
  <c r="K67" i="12"/>
  <c r="G56" i="8" s="1"/>
  <c r="K47" i="12"/>
  <c r="G36" i="8" s="1"/>
  <c r="K55" i="12"/>
  <c r="G44" i="8" s="1"/>
  <c r="K51" i="12"/>
  <c r="G40" i="8" s="1"/>
  <c r="K53" i="12"/>
  <c r="G42" i="8" s="1"/>
  <c r="K59" i="12"/>
  <c r="G48" i="8" s="1"/>
  <c r="K46" i="12"/>
  <c r="G35" i="8" s="1"/>
  <c r="K48" i="12"/>
  <c r="G37" i="8" s="1"/>
  <c r="K71" i="12"/>
  <c r="G60" i="8" s="1"/>
  <c r="K50" i="12"/>
  <c r="G39" i="8" s="1"/>
  <c r="K65" i="12"/>
  <c r="G54" i="8" s="1"/>
  <c r="K49" i="12"/>
  <c r="G38" i="8" s="1"/>
  <c r="K69" i="12"/>
  <c r="G58" i="8" s="1"/>
  <c r="K52" i="12"/>
  <c r="G41" i="8" s="1"/>
  <c r="K61" i="12"/>
  <c r="G50" i="8" s="1"/>
  <c r="K73" i="12"/>
  <c r="G62" i="8" s="1"/>
  <c r="K58" i="12"/>
  <c r="G47" i="8" s="1"/>
  <c r="K54" i="12"/>
  <c r="G43" i="8" s="1"/>
  <c r="K56" i="12"/>
  <c r="G45" i="8" s="1"/>
  <c r="K62" i="12"/>
  <c r="G51" i="8" s="1"/>
  <c r="K64" i="12"/>
  <c r="G53" i="8" s="1"/>
  <c r="K60" i="12"/>
  <c r="G49" i="8" s="1"/>
  <c r="AH49" i="12"/>
  <c r="AD38" i="8" s="1"/>
  <c r="AH53" i="12"/>
  <c r="AD42" i="8" s="1"/>
  <c r="AH59" i="12"/>
  <c r="AD48" i="8" s="1"/>
  <c r="AH61" i="12"/>
  <c r="AD50" i="8" s="1"/>
  <c r="AH57" i="12"/>
  <c r="AD46" i="8" s="1"/>
  <c r="AH55" i="12"/>
  <c r="AD44" i="8" s="1"/>
  <c r="AH51" i="12"/>
  <c r="AD40" i="8" s="1"/>
  <c r="AH73" i="12"/>
  <c r="AD62" i="8" s="1"/>
  <c r="AH46" i="12"/>
  <c r="AD35" i="8" s="1"/>
  <c r="AH48" i="12"/>
  <c r="AD37" i="8" s="1"/>
  <c r="AH67" i="12"/>
  <c r="AD56" i="8" s="1"/>
  <c r="AH69" i="12"/>
  <c r="AD58" i="8" s="1"/>
  <c r="AH47" i="12"/>
  <c r="AD36" i="8" s="1"/>
  <c r="AH65" i="12"/>
  <c r="AD54" i="8" s="1"/>
  <c r="AH63" i="12"/>
  <c r="AD52" i="8" s="1"/>
  <c r="AH71" i="12"/>
  <c r="AD60" i="8" s="1"/>
  <c r="AH64" i="12"/>
  <c r="AD53" i="8" s="1"/>
  <c r="AH52" i="12"/>
  <c r="AD41" i="8" s="1"/>
  <c r="AH58" i="12"/>
  <c r="AD47" i="8" s="1"/>
  <c r="AH50" i="12"/>
  <c r="AD39" i="8" s="1"/>
  <c r="AH54" i="12"/>
  <c r="AD43" i="8" s="1"/>
  <c r="AH56" i="12"/>
  <c r="AD45" i="8" s="1"/>
  <c r="AH60" i="12"/>
  <c r="AD49" i="8" s="1"/>
  <c r="AH68" i="12"/>
  <c r="AD57" i="8" s="1"/>
  <c r="AG51" i="12"/>
  <c r="AC40" i="8" s="1"/>
  <c r="AG57" i="12"/>
  <c r="AC46" i="8" s="1"/>
  <c r="AG59" i="12"/>
  <c r="AC48" i="8" s="1"/>
  <c r="AG53" i="12"/>
  <c r="AC42" i="8" s="1"/>
  <c r="AG55" i="12"/>
  <c r="AC44" i="8" s="1"/>
  <c r="AG47" i="12"/>
  <c r="AC36" i="8" s="1"/>
  <c r="AG73" i="12"/>
  <c r="AC62" i="8" s="1"/>
  <c r="AG46" i="12"/>
  <c r="AC35" i="8" s="1"/>
  <c r="AG69" i="12"/>
  <c r="AC58" i="8" s="1"/>
  <c r="AG71" i="12"/>
  <c r="AC60" i="8" s="1"/>
  <c r="AG49" i="12"/>
  <c r="AC38" i="8" s="1"/>
  <c r="AG61" i="12"/>
  <c r="AC50" i="8" s="1"/>
  <c r="AG63" i="12"/>
  <c r="AC52" i="8" s="1"/>
  <c r="AG65" i="12"/>
  <c r="AC54" i="8" s="1"/>
  <c r="AG48" i="12"/>
  <c r="AC37" i="8" s="1"/>
  <c r="AG67" i="12"/>
  <c r="AC56" i="8" s="1"/>
  <c r="AG62" i="12"/>
  <c r="AC51" i="8" s="1"/>
  <c r="AG64" i="12"/>
  <c r="AC53" i="8" s="1"/>
  <c r="AG52" i="12"/>
  <c r="AC41" i="8" s="1"/>
  <c r="AG56" i="12"/>
  <c r="AC45" i="8" s="1"/>
  <c r="AG50" i="12"/>
  <c r="AC39" i="8" s="1"/>
  <c r="AG54" i="12"/>
  <c r="AC43" i="8" s="1"/>
  <c r="AG58" i="12"/>
  <c r="AC47" i="8" s="1"/>
  <c r="AG60" i="12"/>
  <c r="AC49" i="8" s="1"/>
  <c r="AF59" i="12"/>
  <c r="AB48" i="8" s="1"/>
  <c r="AF63" i="12"/>
  <c r="AB52" i="8" s="1"/>
  <c r="AF49" i="12"/>
  <c r="AB38" i="8" s="1"/>
  <c r="AF53" i="12"/>
  <c r="AB42" i="8" s="1"/>
  <c r="AF47" i="12"/>
  <c r="AB36" i="8" s="1"/>
  <c r="AF57" i="12"/>
  <c r="AB46" i="8" s="1"/>
  <c r="AF61" i="12"/>
  <c r="AB50" i="8" s="1"/>
  <c r="AF48" i="12"/>
  <c r="AB37" i="8" s="1"/>
  <c r="AF51" i="12"/>
  <c r="AB40" i="8" s="1"/>
  <c r="AF65" i="12"/>
  <c r="AB54" i="8" s="1"/>
  <c r="AF55" i="12"/>
  <c r="AB44" i="8" s="1"/>
  <c r="AF67" i="12"/>
  <c r="AB56" i="8" s="1"/>
  <c r="AF50" i="12"/>
  <c r="AB39" i="8" s="1"/>
  <c r="AF71" i="12"/>
  <c r="AB60" i="8" s="1"/>
  <c r="AF73" i="12"/>
  <c r="AB62" i="8" s="1"/>
  <c r="AF46" i="12"/>
  <c r="AB35" i="8" s="1"/>
  <c r="AF69" i="12"/>
  <c r="AB58" i="8" s="1"/>
  <c r="AF56" i="12"/>
  <c r="AB45" i="8" s="1"/>
  <c r="AF52" i="12"/>
  <c r="AB41" i="8" s="1"/>
  <c r="AF54" i="12"/>
  <c r="AB43" i="8" s="1"/>
  <c r="AF62" i="12"/>
  <c r="AB51" i="8" s="1"/>
  <c r="AF68" i="12"/>
  <c r="AB57" i="8" s="1"/>
  <c r="AF58" i="12"/>
  <c r="AB47" i="8" s="1"/>
  <c r="AF60" i="12"/>
  <c r="AB49" i="8" s="1"/>
  <c r="AF64" i="12"/>
  <c r="AB53" i="8" s="1"/>
  <c r="AE51" i="12"/>
  <c r="AA40" i="8" s="1"/>
  <c r="AE53" i="12"/>
  <c r="AA42" i="8" s="1"/>
  <c r="AE57" i="12"/>
  <c r="AA46" i="8" s="1"/>
  <c r="AE61" i="12"/>
  <c r="AA50" i="8" s="1"/>
  <c r="AE55" i="12"/>
  <c r="AA44" i="8" s="1"/>
  <c r="AE59" i="12"/>
  <c r="AA48" i="8" s="1"/>
  <c r="AE49" i="12"/>
  <c r="AA38" i="8" s="1"/>
  <c r="AE47" i="12"/>
  <c r="AA36" i="8" s="1"/>
  <c r="AE71" i="12"/>
  <c r="AA60" i="8" s="1"/>
  <c r="AE73" i="12"/>
  <c r="AA62" i="8" s="1"/>
  <c r="AE63" i="12"/>
  <c r="AA52" i="8" s="1"/>
  <c r="AE48" i="12"/>
  <c r="AA37" i="8" s="1"/>
  <c r="AE69" i="12"/>
  <c r="AA58" i="8" s="1"/>
  <c r="AE46" i="12"/>
  <c r="AA35" i="8" s="1"/>
  <c r="AE65" i="12"/>
  <c r="AA54" i="8" s="1"/>
  <c r="AE67" i="12"/>
  <c r="AA56" i="8" s="1"/>
  <c r="AE50" i="12"/>
  <c r="AA39" i="8" s="1"/>
  <c r="AE54" i="12"/>
  <c r="AA43" i="8" s="1"/>
  <c r="AE60" i="12"/>
  <c r="AA49" i="8" s="1"/>
  <c r="AE58" i="12"/>
  <c r="AA47" i="8" s="1"/>
  <c r="AE70" i="12"/>
  <c r="AA59" i="8" s="1"/>
  <c r="AE62" i="12"/>
  <c r="AA51" i="8" s="1"/>
  <c r="AE64" i="12"/>
  <c r="AA53" i="8" s="1"/>
  <c r="AE52" i="12"/>
  <c r="AA41" i="8" s="1"/>
  <c r="AE56" i="12"/>
  <c r="AA45" i="8" s="1"/>
  <c r="AE66" i="12"/>
  <c r="AA55" i="8" s="1"/>
  <c r="W74" i="12"/>
  <c r="S63" i="8" s="1"/>
  <c r="AL74" i="12"/>
  <c r="AH63" i="8" s="1"/>
  <c r="AJ74" i="12"/>
  <c r="AF63" i="8" s="1"/>
  <c r="AX74" i="12"/>
  <c r="AT63" i="8" s="1"/>
  <c r="AU74" i="12"/>
  <c r="AQ63" i="8" s="1"/>
  <c r="BC74" i="12"/>
  <c r="AY63" i="8" s="1"/>
  <c r="AP72" i="12"/>
  <c r="AL61" i="8" s="1"/>
  <c r="AJ72" i="12"/>
  <c r="AF61" i="8" s="1"/>
  <c r="AO72" i="12"/>
  <c r="AK61" i="8" s="1"/>
  <c r="AM72" i="12"/>
  <c r="AI61" i="8" s="1"/>
  <c r="BR72" i="12"/>
  <c r="BN61" i="8" s="1"/>
  <c r="AA70" i="12"/>
  <c r="W59" i="8" s="1"/>
  <c r="AG70" i="12"/>
  <c r="AC59" i="8" s="1"/>
  <c r="AP70" i="12"/>
  <c r="AL59" i="8" s="1"/>
  <c r="BN70" i="12"/>
  <c r="BJ59" i="8" s="1"/>
  <c r="AD68" i="12"/>
  <c r="Z57" i="8" s="1"/>
  <c r="L68" i="12"/>
  <c r="H57" i="8" s="1"/>
  <c r="BN68" i="12"/>
  <c r="BJ57" i="8" s="1"/>
  <c r="BF68" i="12"/>
  <c r="BB57" i="8" s="1"/>
  <c r="AV68" i="12"/>
  <c r="AR57" i="8" s="1"/>
  <c r="R66" i="12"/>
  <c r="N55" i="8" s="1"/>
  <c r="M66" i="12"/>
  <c r="I55" i="8" s="1"/>
  <c r="BC66" i="12"/>
  <c r="AY55" i="8" s="1"/>
  <c r="AP66" i="12"/>
  <c r="AL55" i="8" s="1"/>
  <c r="BP66" i="12"/>
  <c r="BL55" i="8" s="1"/>
  <c r="I64" i="12"/>
  <c r="E53" i="8" s="1"/>
  <c r="I62" i="12"/>
  <c r="E51" i="8" s="1"/>
  <c r="S60" i="12"/>
  <c r="O49" i="8" s="1"/>
  <c r="AU60" i="12"/>
  <c r="AQ49" i="8" s="1"/>
  <c r="AK47" i="12"/>
  <c r="AG36" i="8" s="1"/>
  <c r="AK59" i="12"/>
  <c r="AG48" i="8" s="1"/>
  <c r="AK49" i="12"/>
  <c r="AG38" i="8" s="1"/>
  <c r="AK53" i="12"/>
  <c r="AG42" i="8" s="1"/>
  <c r="AK63" i="12"/>
  <c r="AG52" i="8" s="1"/>
  <c r="AK55" i="12"/>
  <c r="AG44" i="8" s="1"/>
  <c r="AK57" i="12"/>
  <c r="AG46" i="8" s="1"/>
  <c r="AK61" i="12"/>
  <c r="AG50" i="8" s="1"/>
  <c r="AK65" i="12"/>
  <c r="AG54" i="8" s="1"/>
  <c r="AK67" i="12"/>
  <c r="AG56" i="8" s="1"/>
  <c r="AK48" i="12"/>
  <c r="AG37" i="8" s="1"/>
  <c r="AK51" i="12"/>
  <c r="AG40" i="8" s="1"/>
  <c r="AK46" i="12"/>
  <c r="AG35" i="8" s="1"/>
  <c r="AK69" i="12"/>
  <c r="AG58" i="8" s="1"/>
  <c r="AK71" i="12"/>
  <c r="AG60" i="8" s="1"/>
  <c r="AK73" i="12"/>
  <c r="AG62" i="8" s="1"/>
  <c r="AK50" i="12"/>
  <c r="AG39" i="8" s="1"/>
  <c r="AK52" i="12"/>
  <c r="AG41" i="8" s="1"/>
  <c r="AK56" i="12"/>
  <c r="AG45" i="8" s="1"/>
  <c r="AK62" i="12"/>
  <c r="AG51" i="8" s="1"/>
  <c r="AK60" i="12"/>
  <c r="AG49" i="8" s="1"/>
  <c r="AK54" i="12"/>
  <c r="AG43" i="8" s="1"/>
  <c r="AK64" i="12"/>
  <c r="AG53" i="8" s="1"/>
  <c r="AK58" i="12"/>
  <c r="AG47" i="8" s="1"/>
  <c r="AZ49" i="12"/>
  <c r="AV38" i="8" s="1"/>
  <c r="AZ55" i="12"/>
  <c r="AV44" i="8" s="1"/>
  <c r="AZ47" i="12"/>
  <c r="AV36" i="8" s="1"/>
  <c r="AZ61" i="12"/>
  <c r="AV50" i="8" s="1"/>
  <c r="AZ53" i="12"/>
  <c r="AV42" i="8" s="1"/>
  <c r="AZ57" i="12"/>
  <c r="AV46" i="8" s="1"/>
  <c r="AZ59" i="12"/>
  <c r="AV48" i="8" s="1"/>
  <c r="AZ63" i="12"/>
  <c r="AV52" i="8" s="1"/>
  <c r="AZ51" i="12"/>
  <c r="AV40" i="8" s="1"/>
  <c r="AZ73" i="12"/>
  <c r="AV62" i="8" s="1"/>
  <c r="AZ50" i="12"/>
  <c r="AV39" i="8" s="1"/>
  <c r="AZ69" i="12"/>
  <c r="AV58" i="8" s="1"/>
  <c r="AZ65" i="12"/>
  <c r="AV54" i="8" s="1"/>
  <c r="AZ67" i="12"/>
  <c r="AV56" i="8" s="1"/>
  <c r="AZ71" i="12"/>
  <c r="AV60" i="8" s="1"/>
  <c r="AZ56" i="12"/>
  <c r="AV45" i="8" s="1"/>
  <c r="AZ46" i="12"/>
  <c r="AV35" i="8" s="1"/>
  <c r="AZ64" i="12"/>
  <c r="AV53" i="8" s="1"/>
  <c r="AZ66" i="12"/>
  <c r="AV55" i="8" s="1"/>
  <c r="AZ58" i="12"/>
  <c r="AV47" i="8" s="1"/>
  <c r="AZ60" i="12"/>
  <c r="AV49" i="8" s="1"/>
  <c r="AZ48" i="12"/>
  <c r="AV37" i="8" s="1"/>
  <c r="AZ54" i="12"/>
  <c r="AV43" i="8" s="1"/>
  <c r="AZ62" i="12"/>
  <c r="AV51" i="8" s="1"/>
  <c r="AZ52" i="12"/>
  <c r="AV41" i="8" s="1"/>
  <c r="BO61" i="12"/>
  <c r="BK50" i="8" s="1"/>
  <c r="BO55" i="12"/>
  <c r="BK44" i="8" s="1"/>
  <c r="BO59" i="12"/>
  <c r="BK48" i="8" s="1"/>
  <c r="BO47" i="12"/>
  <c r="BK36" i="8" s="1"/>
  <c r="BO53" i="12"/>
  <c r="BK42" i="8" s="1"/>
  <c r="BO63" i="12"/>
  <c r="BK52" i="8" s="1"/>
  <c r="BO49" i="12"/>
  <c r="BK38" i="8" s="1"/>
  <c r="BO51" i="12"/>
  <c r="BK40" i="8" s="1"/>
  <c r="BO50" i="12"/>
  <c r="BK39" i="8" s="1"/>
  <c r="BO73" i="12"/>
  <c r="BK62" i="8" s="1"/>
  <c r="BO65" i="12"/>
  <c r="BK54" i="8" s="1"/>
  <c r="BO48" i="12"/>
  <c r="BK37" i="8" s="1"/>
  <c r="BO57" i="12"/>
  <c r="BK46" i="8" s="1"/>
  <c r="BO67" i="12"/>
  <c r="BK56" i="8" s="1"/>
  <c r="BO46" i="12"/>
  <c r="BK35" i="8" s="1"/>
  <c r="BO69" i="12"/>
  <c r="BK58" i="8" s="1"/>
  <c r="BO71" i="12"/>
  <c r="BK60" i="8" s="1"/>
  <c r="BO58" i="12"/>
  <c r="BK47" i="8" s="1"/>
  <c r="BO56" i="12"/>
  <c r="BK45" i="8" s="1"/>
  <c r="BO52" i="12"/>
  <c r="BK41" i="8" s="1"/>
  <c r="BO60" i="12"/>
  <c r="BK49" i="8" s="1"/>
  <c r="BO66" i="12"/>
  <c r="BK55" i="8" s="1"/>
  <c r="BO54" i="12"/>
  <c r="BK43" i="8" s="1"/>
  <c r="AT53" i="12"/>
  <c r="AP42" i="8" s="1"/>
  <c r="AT61" i="12"/>
  <c r="AP50" i="8" s="1"/>
  <c r="AT59" i="12"/>
  <c r="AP48" i="8" s="1"/>
  <c r="AT51" i="12"/>
  <c r="AP40" i="8" s="1"/>
  <c r="AT55" i="12"/>
  <c r="AP44" i="8" s="1"/>
  <c r="AT57" i="12"/>
  <c r="AP46" i="8" s="1"/>
  <c r="AT47" i="12"/>
  <c r="AP36" i="8" s="1"/>
  <c r="AT49" i="12"/>
  <c r="AP38" i="8" s="1"/>
  <c r="AT69" i="12"/>
  <c r="AP58" i="8" s="1"/>
  <c r="AT71" i="12"/>
  <c r="AP60" i="8" s="1"/>
  <c r="AT73" i="12"/>
  <c r="AP62" i="8" s="1"/>
  <c r="AT67" i="12"/>
  <c r="AP56" i="8" s="1"/>
  <c r="AT46" i="12"/>
  <c r="AP35" i="8" s="1"/>
  <c r="AT48" i="12"/>
  <c r="AP37" i="8" s="1"/>
  <c r="AT63" i="12"/>
  <c r="AP52" i="8" s="1"/>
  <c r="AT65" i="12"/>
  <c r="AP54" i="8" s="1"/>
  <c r="AT54" i="12"/>
  <c r="AP43" i="8" s="1"/>
  <c r="AT50" i="12"/>
  <c r="AP39" i="8" s="1"/>
  <c r="AT52" i="12"/>
  <c r="AP41" i="8" s="1"/>
  <c r="AT58" i="12"/>
  <c r="AP47" i="8" s="1"/>
  <c r="AT56" i="12"/>
  <c r="AP45" i="8" s="1"/>
  <c r="AT64" i="12"/>
  <c r="AP53" i="8" s="1"/>
  <c r="Z63" i="12"/>
  <c r="V52" i="8" s="1"/>
  <c r="Z55" i="12"/>
  <c r="V44" i="8" s="1"/>
  <c r="Z59" i="12"/>
  <c r="V48" i="8" s="1"/>
  <c r="Z47" i="12"/>
  <c r="V36" i="8" s="1"/>
  <c r="Z51" i="12"/>
  <c r="V40" i="8" s="1"/>
  <c r="Z61" i="12"/>
  <c r="V50" i="8" s="1"/>
  <c r="Z49" i="12"/>
  <c r="V38" i="8" s="1"/>
  <c r="Z53" i="12"/>
  <c r="V42" i="8" s="1"/>
  <c r="Z67" i="12"/>
  <c r="V56" i="8" s="1"/>
  <c r="Z71" i="12"/>
  <c r="V60" i="8" s="1"/>
  <c r="Z73" i="12"/>
  <c r="V62" i="8" s="1"/>
  <c r="Z65" i="12"/>
  <c r="V54" i="8" s="1"/>
  <c r="Z52" i="12"/>
  <c r="V41" i="8" s="1"/>
  <c r="Z69" i="12"/>
  <c r="V58" i="8" s="1"/>
  <c r="Z46" i="12"/>
  <c r="V35" i="8" s="1"/>
  <c r="Z57" i="12"/>
  <c r="V46" i="8" s="1"/>
  <c r="Z54" i="12"/>
  <c r="V43" i="8" s="1"/>
  <c r="Z48" i="12"/>
  <c r="V37" i="8" s="1"/>
  <c r="Z56" i="12"/>
  <c r="V45" i="8" s="1"/>
  <c r="Z50" i="12"/>
  <c r="V39" i="8" s="1"/>
  <c r="Z60" i="12"/>
  <c r="V49" i="8" s="1"/>
  <c r="Z58" i="12"/>
  <c r="V47" i="8" s="1"/>
  <c r="Z62" i="12"/>
  <c r="V51" i="8" s="1"/>
  <c r="Y61" i="12"/>
  <c r="U50" i="8" s="1"/>
  <c r="Y65" i="12"/>
  <c r="U54" i="8" s="1"/>
  <c r="Y49" i="12"/>
  <c r="U38" i="8" s="1"/>
  <c r="Y47" i="12"/>
  <c r="U36" i="8" s="1"/>
  <c r="Y53" i="12"/>
  <c r="U42" i="8" s="1"/>
  <c r="Y57" i="12"/>
  <c r="U46" i="8" s="1"/>
  <c r="Y55" i="12"/>
  <c r="U44" i="8" s="1"/>
  <c r="Y69" i="12"/>
  <c r="U58" i="8" s="1"/>
  <c r="Y67" i="12"/>
  <c r="U56" i="8" s="1"/>
  <c r="Y48" i="12"/>
  <c r="U37" i="8" s="1"/>
  <c r="Y51" i="12"/>
  <c r="U40" i="8" s="1"/>
  <c r="Y59" i="12"/>
  <c r="U48" i="8" s="1"/>
  <c r="Y71" i="12"/>
  <c r="U60" i="8" s="1"/>
  <c r="Y46" i="12"/>
  <c r="U35" i="8" s="1"/>
  <c r="Y73" i="12"/>
  <c r="U62" i="8" s="1"/>
  <c r="Y63" i="12"/>
  <c r="U52" i="8" s="1"/>
  <c r="Y54" i="12"/>
  <c r="U43" i="8" s="1"/>
  <c r="Y58" i="12"/>
  <c r="U47" i="8" s="1"/>
  <c r="Y52" i="12"/>
  <c r="U41" i="8" s="1"/>
  <c r="Y56" i="12"/>
  <c r="U45" i="8" s="1"/>
  <c r="Y50" i="12"/>
  <c r="U39" i="8" s="1"/>
  <c r="X59" i="12"/>
  <c r="T48" i="8" s="1"/>
  <c r="X49" i="12"/>
  <c r="T38" i="8" s="1"/>
  <c r="X47" i="12"/>
  <c r="T36" i="8" s="1"/>
  <c r="X51" i="12"/>
  <c r="T40" i="8" s="1"/>
  <c r="X57" i="12"/>
  <c r="T46" i="8" s="1"/>
  <c r="X53" i="12"/>
  <c r="T42" i="8" s="1"/>
  <c r="X55" i="12"/>
  <c r="T44" i="8" s="1"/>
  <c r="X50" i="12"/>
  <c r="T39" i="8" s="1"/>
  <c r="X46" i="12"/>
  <c r="T35" i="8" s="1"/>
  <c r="X65" i="12"/>
  <c r="T54" i="8" s="1"/>
  <c r="X73" i="12"/>
  <c r="T62" i="8" s="1"/>
  <c r="X52" i="12"/>
  <c r="T41" i="8" s="1"/>
  <c r="X61" i="12"/>
  <c r="T50" i="8" s="1"/>
  <c r="X63" i="12"/>
  <c r="T52" i="8" s="1"/>
  <c r="X48" i="12"/>
  <c r="T37" i="8" s="1"/>
  <c r="X67" i="12"/>
  <c r="T56" i="8" s="1"/>
  <c r="X69" i="12"/>
  <c r="T58" i="8" s="1"/>
  <c r="X71" i="12"/>
  <c r="T60" i="8" s="1"/>
  <c r="X62" i="12"/>
  <c r="T51" i="8" s="1"/>
  <c r="X58" i="12"/>
  <c r="T47" i="8" s="1"/>
  <c r="X56" i="12"/>
  <c r="T45" i="8" s="1"/>
  <c r="X64" i="12"/>
  <c r="T53" i="8" s="1"/>
  <c r="X60" i="12"/>
  <c r="T49" i="8" s="1"/>
  <c r="X54" i="12"/>
  <c r="T43" i="8" s="1"/>
  <c r="W65" i="12"/>
  <c r="S54" i="8" s="1"/>
  <c r="W49" i="12"/>
  <c r="S38" i="8" s="1"/>
  <c r="W51" i="12"/>
  <c r="S40" i="8" s="1"/>
  <c r="W57" i="12"/>
  <c r="S46" i="8" s="1"/>
  <c r="W47" i="12"/>
  <c r="S36" i="8" s="1"/>
  <c r="W55" i="12"/>
  <c r="S44" i="8" s="1"/>
  <c r="W61" i="12"/>
  <c r="S50" i="8" s="1"/>
  <c r="W73" i="12"/>
  <c r="S62" i="8" s="1"/>
  <c r="W69" i="12"/>
  <c r="S58" i="8" s="1"/>
  <c r="W59" i="12"/>
  <c r="S48" i="8" s="1"/>
  <c r="W53" i="12"/>
  <c r="S42" i="8" s="1"/>
  <c r="W67" i="12"/>
  <c r="S56" i="8" s="1"/>
  <c r="W71" i="12"/>
  <c r="S60" i="8" s="1"/>
  <c r="W63" i="12"/>
  <c r="S52" i="8" s="1"/>
  <c r="W46" i="12"/>
  <c r="S35" i="8" s="1"/>
  <c r="W52" i="12"/>
  <c r="S41" i="8" s="1"/>
  <c r="W58" i="12"/>
  <c r="S47" i="8" s="1"/>
  <c r="W48" i="12"/>
  <c r="S37" i="8" s="1"/>
  <c r="W62" i="12"/>
  <c r="S51" i="8" s="1"/>
  <c r="W68" i="12"/>
  <c r="S57" i="8" s="1"/>
  <c r="W60" i="12"/>
  <c r="S49" i="8" s="1"/>
  <c r="W64" i="12"/>
  <c r="S53" i="8" s="1"/>
  <c r="W50" i="12"/>
  <c r="S39" i="8" s="1"/>
  <c r="W54" i="12"/>
  <c r="S43" i="8" s="1"/>
  <c r="W56" i="12"/>
  <c r="S45" i="8" s="1"/>
  <c r="AK74" i="12"/>
  <c r="AG63" i="8" s="1"/>
  <c r="Z74" i="12"/>
  <c r="V63" i="8" s="1"/>
  <c r="BR74" i="12"/>
  <c r="BN63" i="8" s="1"/>
  <c r="AK72" i="12"/>
  <c r="AG61" i="8" s="1"/>
  <c r="BE72" i="12"/>
  <c r="BA61" i="8" s="1"/>
  <c r="BP72" i="12"/>
  <c r="BL61" i="8" s="1"/>
  <c r="AS72" i="12"/>
  <c r="AO61" i="8" s="1"/>
  <c r="BA72" i="12"/>
  <c r="AW61" i="8" s="1"/>
  <c r="AF70" i="12"/>
  <c r="AB59" i="8" s="1"/>
  <c r="BD70" i="12"/>
  <c r="AZ59" i="8" s="1"/>
  <c r="AS70" i="12"/>
  <c r="AO59" i="8" s="1"/>
  <c r="AG68" i="12"/>
  <c r="AC57" i="8" s="1"/>
  <c r="BC68" i="12"/>
  <c r="AY57" i="8" s="1"/>
  <c r="BO68" i="12"/>
  <c r="BK57" i="8" s="1"/>
  <c r="BB68" i="12"/>
  <c r="AX57" i="8" s="1"/>
  <c r="AF66" i="12"/>
  <c r="AB55" i="8" s="1"/>
  <c r="AG66" i="12"/>
  <c r="AC55" i="8" s="1"/>
  <c r="X66" i="12"/>
  <c r="T55" i="8" s="1"/>
  <c r="AU66" i="12"/>
  <c r="AQ55" i="8" s="1"/>
  <c r="AS66" i="12"/>
  <c r="AO55" i="8" s="1"/>
  <c r="AI64" i="12"/>
  <c r="AE53" i="8" s="1"/>
  <c r="Y62" i="12"/>
  <c r="U51" i="8" s="1"/>
  <c r="AU62" i="12"/>
  <c r="AQ51" i="8" s="1"/>
  <c r="AT60" i="12"/>
  <c r="AP49" i="8" s="1"/>
  <c r="BD60" i="12"/>
  <c r="AZ49" i="8" s="1"/>
  <c r="AC57" i="12"/>
  <c r="Y46" i="8" s="1"/>
  <c r="AC47" i="12"/>
  <c r="Y36" i="8" s="1"/>
  <c r="AC53" i="12"/>
  <c r="Y42" i="8" s="1"/>
  <c r="AC61" i="12"/>
  <c r="Y50" i="8" s="1"/>
  <c r="AC55" i="12"/>
  <c r="Y44" i="8" s="1"/>
  <c r="AC49" i="12"/>
  <c r="Y38" i="8" s="1"/>
  <c r="AC51" i="12"/>
  <c r="Y40" i="8" s="1"/>
  <c r="AC46" i="12"/>
  <c r="Y35" i="8" s="1"/>
  <c r="AC71" i="12"/>
  <c r="Y60" i="8" s="1"/>
  <c r="AC69" i="12"/>
  <c r="Y58" i="8" s="1"/>
  <c r="AC73" i="12"/>
  <c r="Y62" i="8" s="1"/>
  <c r="AC67" i="12"/>
  <c r="Y56" i="8" s="1"/>
  <c r="AC59" i="12"/>
  <c r="Y48" i="8" s="1"/>
  <c r="AC63" i="12"/>
  <c r="Y52" i="8" s="1"/>
  <c r="AC50" i="12"/>
  <c r="Y39" i="8" s="1"/>
  <c r="AC52" i="12"/>
  <c r="Y41" i="8" s="1"/>
  <c r="AC65" i="12"/>
  <c r="Y54" i="8" s="1"/>
  <c r="AC60" i="12"/>
  <c r="Y49" i="8" s="1"/>
  <c r="AC56" i="12"/>
  <c r="Y45" i="8" s="1"/>
  <c r="AC66" i="12"/>
  <c r="Y55" i="8" s="1"/>
  <c r="AC54" i="12"/>
  <c r="Y43" i="8" s="1"/>
  <c r="AC48" i="12"/>
  <c r="Y37" i="8" s="1"/>
  <c r="AC58" i="12"/>
  <c r="Y47" i="8" s="1"/>
  <c r="AC64" i="12"/>
  <c r="Y53" i="8" s="1"/>
  <c r="AC62" i="12"/>
  <c r="Y51" i="8" s="1"/>
  <c r="AR61" i="12"/>
  <c r="AN50" i="8" s="1"/>
  <c r="AR49" i="12"/>
  <c r="AN38" i="8" s="1"/>
  <c r="AR57" i="12"/>
  <c r="AN46" i="8" s="1"/>
  <c r="AR59" i="12"/>
  <c r="AN48" i="8" s="1"/>
  <c r="AR51" i="12"/>
  <c r="AN40" i="8" s="1"/>
  <c r="AR53" i="12"/>
  <c r="AN42" i="8" s="1"/>
  <c r="AR47" i="12"/>
  <c r="AN36" i="8" s="1"/>
  <c r="AR55" i="12"/>
  <c r="AN44" i="8" s="1"/>
  <c r="AR67" i="12"/>
  <c r="AN56" i="8" s="1"/>
  <c r="AR63" i="12"/>
  <c r="AN52" i="8" s="1"/>
  <c r="AR50" i="12"/>
  <c r="AN39" i="8" s="1"/>
  <c r="AR69" i="12"/>
  <c r="AN58" i="8" s="1"/>
  <c r="AR65" i="12"/>
  <c r="AN54" i="8" s="1"/>
  <c r="AR71" i="12"/>
  <c r="AN60" i="8" s="1"/>
  <c r="AR73" i="12"/>
  <c r="AN62" i="8" s="1"/>
  <c r="AR46" i="12"/>
  <c r="AN35" i="8" s="1"/>
  <c r="AR48" i="12"/>
  <c r="AN37" i="8" s="1"/>
  <c r="AR54" i="12"/>
  <c r="AN43" i="8" s="1"/>
  <c r="AR58" i="12"/>
  <c r="AN47" i="8" s="1"/>
  <c r="AR68" i="12"/>
  <c r="AN57" i="8" s="1"/>
  <c r="AR60" i="12"/>
  <c r="AN49" i="8" s="1"/>
  <c r="AR62" i="12"/>
  <c r="AN51" i="8" s="1"/>
  <c r="AR52" i="12"/>
  <c r="AN41" i="8" s="1"/>
  <c r="AR56" i="12"/>
  <c r="AN45" i="8" s="1"/>
  <c r="BG55" i="12"/>
  <c r="BC44" i="8" s="1"/>
  <c r="BG63" i="12"/>
  <c r="BC52" i="8" s="1"/>
  <c r="BG57" i="12"/>
  <c r="BC46" i="8" s="1"/>
  <c r="BG53" i="12"/>
  <c r="BC42" i="8" s="1"/>
  <c r="BG51" i="12"/>
  <c r="BC40" i="8" s="1"/>
  <c r="BG47" i="12"/>
  <c r="BC36" i="8" s="1"/>
  <c r="BG49" i="12"/>
  <c r="BC38" i="8" s="1"/>
  <c r="BG65" i="12"/>
  <c r="BC54" i="8" s="1"/>
  <c r="BG59" i="12"/>
  <c r="BC48" i="8" s="1"/>
  <c r="BG46" i="12"/>
  <c r="BC35" i="8" s="1"/>
  <c r="BG61" i="12"/>
  <c r="BC50" i="8" s="1"/>
  <c r="BG71" i="12"/>
  <c r="BC60" i="8" s="1"/>
  <c r="BG69" i="12"/>
  <c r="BC58" i="8" s="1"/>
  <c r="BG73" i="12"/>
  <c r="BC62" i="8" s="1"/>
  <c r="BG48" i="12"/>
  <c r="BC37" i="8" s="1"/>
  <c r="BG67" i="12"/>
  <c r="BC56" i="8" s="1"/>
  <c r="BG58" i="12"/>
  <c r="BC47" i="8" s="1"/>
  <c r="BG52" i="12"/>
  <c r="BC41" i="8" s="1"/>
  <c r="BG56" i="12"/>
  <c r="BC45" i="8" s="1"/>
  <c r="BG64" i="12"/>
  <c r="BC53" i="8" s="1"/>
  <c r="BG50" i="12"/>
  <c r="BC39" i="8" s="1"/>
  <c r="BG60" i="12"/>
  <c r="BC49" i="8" s="1"/>
  <c r="BG66" i="12"/>
  <c r="BC55" i="8" s="1"/>
  <c r="BG54" i="12"/>
  <c r="BC43" i="8" s="1"/>
  <c r="AL61" i="12"/>
  <c r="AH50" i="8" s="1"/>
  <c r="AL55" i="12"/>
  <c r="AH44" i="8" s="1"/>
  <c r="AL49" i="12"/>
  <c r="AH38" i="8" s="1"/>
  <c r="AL57" i="12"/>
  <c r="AH46" i="8" s="1"/>
  <c r="AL59" i="12"/>
  <c r="AH48" i="8" s="1"/>
  <c r="AL47" i="12"/>
  <c r="AH36" i="8" s="1"/>
  <c r="AL51" i="12"/>
  <c r="AH40" i="8" s="1"/>
  <c r="AL63" i="12"/>
  <c r="AH52" i="8" s="1"/>
  <c r="AL65" i="12"/>
  <c r="AH54" i="8" s="1"/>
  <c r="AL71" i="12"/>
  <c r="AH60" i="8" s="1"/>
  <c r="AL73" i="12"/>
  <c r="AH62" i="8" s="1"/>
  <c r="AL53" i="12"/>
  <c r="AH42" i="8" s="1"/>
  <c r="AL67" i="12"/>
  <c r="AH56" i="8" s="1"/>
  <c r="AL69" i="12"/>
  <c r="AH58" i="8" s="1"/>
  <c r="AL48" i="12"/>
  <c r="AH37" i="8" s="1"/>
  <c r="AL50" i="12"/>
  <c r="AH39" i="8" s="1"/>
  <c r="AL56" i="12"/>
  <c r="AH45" i="8" s="1"/>
  <c r="AL58" i="12"/>
  <c r="AH47" i="8" s="1"/>
  <c r="AL46" i="12"/>
  <c r="AH35" i="8" s="1"/>
  <c r="AL54" i="12"/>
  <c r="AH43" i="8" s="1"/>
  <c r="AL62" i="12"/>
  <c r="AH51" i="8" s="1"/>
  <c r="AL52" i="12"/>
  <c r="AH41" i="8" s="1"/>
  <c r="AL68" i="12"/>
  <c r="AH57" i="8" s="1"/>
  <c r="R57" i="12"/>
  <c r="N46" i="8" s="1"/>
  <c r="R55" i="12"/>
  <c r="N44" i="8" s="1"/>
  <c r="R59" i="12"/>
  <c r="N48" i="8" s="1"/>
  <c r="R49" i="12"/>
  <c r="N38" i="8" s="1"/>
  <c r="R51" i="12"/>
  <c r="N40" i="8" s="1"/>
  <c r="R47" i="12"/>
  <c r="N36" i="8" s="1"/>
  <c r="R53" i="12"/>
  <c r="N42" i="8" s="1"/>
  <c r="R61" i="12"/>
  <c r="N50" i="8" s="1"/>
  <c r="R63" i="12"/>
  <c r="N52" i="8" s="1"/>
  <c r="R46" i="12"/>
  <c r="N35" i="8" s="1"/>
  <c r="R71" i="12"/>
  <c r="N60" i="8" s="1"/>
  <c r="R65" i="12"/>
  <c r="N54" i="8" s="1"/>
  <c r="R67" i="12"/>
  <c r="N56" i="8" s="1"/>
  <c r="R48" i="12"/>
  <c r="N37" i="8" s="1"/>
  <c r="R69" i="12"/>
  <c r="N58" i="8" s="1"/>
  <c r="R73" i="12"/>
  <c r="N62" i="8" s="1"/>
  <c r="R64" i="12"/>
  <c r="N53" i="8" s="1"/>
  <c r="R54" i="12"/>
  <c r="N43" i="8" s="1"/>
  <c r="R56" i="12"/>
  <c r="N45" i="8" s="1"/>
  <c r="R50" i="12"/>
  <c r="N39" i="8" s="1"/>
  <c r="R52" i="12"/>
  <c r="N41" i="8" s="1"/>
  <c r="R58" i="12"/>
  <c r="N47" i="8" s="1"/>
  <c r="R60" i="12"/>
  <c r="N49" i="8" s="1"/>
  <c r="Q55" i="12"/>
  <c r="M44" i="8" s="1"/>
  <c r="Q51" i="12"/>
  <c r="M40" i="8" s="1"/>
  <c r="Q57" i="12"/>
  <c r="M46" i="8" s="1"/>
  <c r="Q49" i="12"/>
  <c r="M38" i="8" s="1"/>
  <c r="Q61" i="12"/>
  <c r="M50" i="8" s="1"/>
  <c r="Q47" i="12"/>
  <c r="M36" i="8" s="1"/>
  <c r="Q59" i="12"/>
  <c r="M48" i="8" s="1"/>
  <c r="Q63" i="12"/>
  <c r="M52" i="8" s="1"/>
  <c r="Q67" i="12"/>
  <c r="M56" i="8" s="1"/>
  <c r="Q65" i="12"/>
  <c r="M54" i="8" s="1"/>
  <c r="Q53" i="12"/>
  <c r="M42" i="8" s="1"/>
  <c r="Q73" i="12"/>
  <c r="M62" i="8" s="1"/>
  <c r="Q71" i="12"/>
  <c r="M60" i="8" s="1"/>
  <c r="Q46" i="12"/>
  <c r="M35" i="8" s="1"/>
  <c r="Q69" i="12"/>
  <c r="M58" i="8" s="1"/>
  <c r="Q48" i="12"/>
  <c r="M37" i="8" s="1"/>
  <c r="Q62" i="12"/>
  <c r="M51" i="8" s="1"/>
  <c r="Q54" i="12"/>
  <c r="M43" i="8" s="1"/>
  <c r="Q56" i="12"/>
  <c r="M45" i="8" s="1"/>
  <c r="Q52" i="12"/>
  <c r="M41" i="8" s="1"/>
  <c r="Q58" i="12"/>
  <c r="M47" i="8" s="1"/>
  <c r="Q50" i="12"/>
  <c r="M39" i="8" s="1"/>
  <c r="P59" i="12"/>
  <c r="L48" i="8" s="1"/>
  <c r="P65" i="12"/>
  <c r="L54" i="8" s="1"/>
  <c r="P55" i="12"/>
  <c r="L44" i="8" s="1"/>
  <c r="P47" i="12"/>
  <c r="L36" i="8" s="1"/>
  <c r="P53" i="12"/>
  <c r="L42" i="8" s="1"/>
  <c r="P51" i="12"/>
  <c r="L40" i="8" s="1"/>
  <c r="P57" i="12"/>
  <c r="L46" i="8" s="1"/>
  <c r="P61" i="12"/>
  <c r="L50" i="8" s="1"/>
  <c r="P63" i="12"/>
  <c r="L52" i="8" s="1"/>
  <c r="P49" i="12"/>
  <c r="L38" i="8" s="1"/>
  <c r="P71" i="12"/>
  <c r="L60" i="8" s="1"/>
  <c r="P48" i="12"/>
  <c r="L37" i="8" s="1"/>
  <c r="P67" i="12"/>
  <c r="L56" i="8" s="1"/>
  <c r="P73" i="12"/>
  <c r="L62" i="8" s="1"/>
  <c r="P52" i="12"/>
  <c r="L41" i="8" s="1"/>
  <c r="P69" i="12"/>
  <c r="L58" i="8" s="1"/>
  <c r="P46" i="12"/>
  <c r="L35" i="8" s="1"/>
  <c r="P58" i="12"/>
  <c r="L47" i="8" s="1"/>
  <c r="P60" i="12"/>
  <c r="L49" i="8" s="1"/>
  <c r="P56" i="12"/>
  <c r="L45" i="8" s="1"/>
  <c r="P50" i="12"/>
  <c r="L39" i="8" s="1"/>
  <c r="P54" i="12"/>
  <c r="L43" i="8" s="1"/>
  <c r="P62" i="12"/>
  <c r="L51" i="8" s="1"/>
  <c r="P66" i="12"/>
  <c r="L55" i="8" s="1"/>
  <c r="P70" i="12"/>
  <c r="L59" i="8" s="1"/>
  <c r="O49" i="12"/>
  <c r="K38" i="8" s="1"/>
  <c r="O55" i="12"/>
  <c r="K44" i="8" s="1"/>
  <c r="O57" i="12"/>
  <c r="K46" i="8" s="1"/>
  <c r="O61" i="12"/>
  <c r="K50" i="8" s="1"/>
  <c r="O53" i="12"/>
  <c r="K42" i="8" s="1"/>
  <c r="O59" i="12"/>
  <c r="K48" i="8" s="1"/>
  <c r="O50" i="12"/>
  <c r="K39" i="8" s="1"/>
  <c r="O63" i="12"/>
  <c r="K52" i="8" s="1"/>
  <c r="O47" i="12"/>
  <c r="K36" i="8" s="1"/>
  <c r="O67" i="12"/>
  <c r="K56" i="8" s="1"/>
  <c r="O71" i="12"/>
  <c r="K60" i="8" s="1"/>
  <c r="O65" i="12"/>
  <c r="K54" i="8" s="1"/>
  <c r="O51" i="12"/>
  <c r="K40" i="8" s="1"/>
  <c r="O69" i="12"/>
  <c r="K58" i="8" s="1"/>
  <c r="O46" i="12"/>
  <c r="K35" i="8" s="1"/>
  <c r="O52" i="12"/>
  <c r="K41" i="8" s="1"/>
  <c r="O73" i="12"/>
  <c r="K62" i="8" s="1"/>
  <c r="O58" i="12"/>
  <c r="K47" i="8" s="1"/>
  <c r="O60" i="12"/>
  <c r="K49" i="8" s="1"/>
  <c r="O70" i="12"/>
  <c r="K59" i="8" s="1"/>
  <c r="O54" i="12"/>
  <c r="K43" i="8" s="1"/>
  <c r="O48" i="12"/>
  <c r="K37" i="8" s="1"/>
  <c r="O56" i="12"/>
  <c r="K45" i="8" s="1"/>
  <c r="O64" i="12"/>
  <c r="K53" i="8" s="1"/>
  <c r="Y74" i="12"/>
  <c r="U63" i="8" s="1"/>
  <c r="P74" i="12"/>
  <c r="L63" i="8" s="1"/>
  <c r="AC74" i="12"/>
  <c r="Y63" i="8" s="1"/>
  <c r="BP74" i="12"/>
  <c r="BL63" i="8" s="1"/>
  <c r="BA74" i="12"/>
  <c r="AW63" i="8" s="1"/>
  <c r="BI74" i="12"/>
  <c r="BE63" i="8" s="1"/>
  <c r="AC72" i="12"/>
  <c r="Y61" i="8" s="1"/>
  <c r="T72" i="12"/>
  <c r="P61" i="8" s="1"/>
  <c r="BH72" i="12"/>
  <c r="BD61" i="8" s="1"/>
  <c r="AR72" i="12"/>
  <c r="AN61" i="8" s="1"/>
  <c r="BI72" i="12"/>
  <c r="BE61" i="8" s="1"/>
  <c r="BQ72" i="12"/>
  <c r="BM61" i="8" s="1"/>
  <c r="W70" i="12"/>
  <c r="S59" i="8" s="1"/>
  <c r="AH70" i="12"/>
  <c r="AD59" i="8" s="1"/>
  <c r="AX70" i="12"/>
  <c r="AT59" i="8" s="1"/>
  <c r="BR70" i="12"/>
  <c r="BN59" i="8" s="1"/>
  <c r="BI70" i="12"/>
  <c r="BE59" i="8" s="1"/>
  <c r="I68" i="12"/>
  <c r="E57" i="8" s="1"/>
  <c r="V68" i="12"/>
  <c r="R57" i="8" s="1"/>
  <c r="P68" i="12"/>
  <c r="L57" i="8" s="1"/>
  <c r="AZ68" i="12"/>
  <c r="AV57" i="8" s="1"/>
  <c r="BQ68" i="12"/>
  <c r="BM57" i="8" s="1"/>
  <c r="AH66" i="12"/>
  <c r="AD55" i="8" s="1"/>
  <c r="AI66" i="12"/>
  <c r="AE55" i="8" s="1"/>
  <c r="BH66" i="12"/>
  <c r="BD55" i="8" s="1"/>
  <c r="AN66" i="12"/>
  <c r="AJ55" i="8" s="1"/>
  <c r="P64" i="12"/>
  <c r="L53" i="8" s="1"/>
  <c r="BO64" i="12"/>
  <c r="BK53" i="8" s="1"/>
  <c r="AA62" i="12"/>
  <c r="W51" i="8" s="1"/>
  <c r="AS62" i="12"/>
  <c r="AO51" i="8" s="1"/>
  <c r="BJ55" i="12"/>
  <c r="BF44" i="8" s="1"/>
  <c r="BJ59" i="12"/>
  <c r="BF48" i="8" s="1"/>
  <c r="BJ51" i="12"/>
  <c r="BF40" i="8" s="1"/>
  <c r="BJ53" i="12"/>
  <c r="BF42" i="8" s="1"/>
  <c r="BJ49" i="12"/>
  <c r="BF38" i="8" s="1"/>
  <c r="BJ57" i="12"/>
  <c r="BF46" i="8" s="1"/>
  <c r="BJ61" i="12"/>
  <c r="BF50" i="8" s="1"/>
  <c r="BJ65" i="12"/>
  <c r="BF54" i="8" s="1"/>
  <c r="BJ71" i="12"/>
  <c r="BF60" i="8" s="1"/>
  <c r="BJ73" i="12"/>
  <c r="BF62" i="8" s="1"/>
  <c r="BJ69" i="12"/>
  <c r="BF58" i="8" s="1"/>
  <c r="BJ46" i="12"/>
  <c r="BF35" i="8" s="1"/>
  <c r="BJ63" i="12"/>
  <c r="BF52" i="8" s="1"/>
  <c r="BJ47" i="12"/>
  <c r="BF36" i="8" s="1"/>
  <c r="BJ67" i="12"/>
  <c r="BF56" i="8" s="1"/>
  <c r="BJ50" i="12"/>
  <c r="BF39" i="8" s="1"/>
  <c r="BJ54" i="12"/>
  <c r="BF43" i="8" s="1"/>
  <c r="BJ56" i="12"/>
  <c r="BF45" i="8" s="1"/>
  <c r="BJ62" i="12"/>
  <c r="BF51" i="8" s="1"/>
  <c r="BJ58" i="12"/>
  <c r="BF47" i="8" s="1"/>
  <c r="BJ52" i="12"/>
  <c r="BF41" i="8" s="1"/>
  <c r="BJ48" i="12"/>
  <c r="BF37" i="8" s="1"/>
  <c r="BJ66" i="12"/>
  <c r="BF55" i="8" s="1"/>
  <c r="BJ70" i="12"/>
  <c r="BF59" i="8" s="1"/>
  <c r="U47" i="12"/>
  <c r="Q36" i="8" s="1"/>
  <c r="U55" i="12"/>
  <c r="Q44" i="8" s="1"/>
  <c r="U57" i="12"/>
  <c r="Q46" i="8" s="1"/>
  <c r="U53" i="12"/>
  <c r="Q42" i="8" s="1"/>
  <c r="U61" i="12"/>
  <c r="Q50" i="8" s="1"/>
  <c r="U49" i="12"/>
  <c r="Q38" i="8" s="1"/>
  <c r="U51" i="12"/>
  <c r="Q40" i="8" s="1"/>
  <c r="U67" i="12"/>
  <c r="Q56" i="8" s="1"/>
  <c r="U71" i="12"/>
  <c r="Q60" i="8" s="1"/>
  <c r="U65" i="12"/>
  <c r="Q54" i="8" s="1"/>
  <c r="U50" i="12"/>
  <c r="Q39" i="8" s="1"/>
  <c r="U59" i="12"/>
  <c r="Q48" i="8" s="1"/>
  <c r="U69" i="12"/>
  <c r="Q58" i="8" s="1"/>
  <c r="U73" i="12"/>
  <c r="Q62" i="8" s="1"/>
  <c r="U46" i="12"/>
  <c r="Q35" i="8" s="1"/>
  <c r="U63" i="12"/>
  <c r="Q52" i="8" s="1"/>
  <c r="U48" i="12"/>
  <c r="Q37" i="8" s="1"/>
  <c r="U64" i="12"/>
  <c r="Q53" i="8" s="1"/>
  <c r="U58" i="12"/>
  <c r="Q47" i="8" s="1"/>
  <c r="U60" i="12"/>
  <c r="Q49" i="8" s="1"/>
  <c r="U54" i="12"/>
  <c r="Q43" i="8" s="1"/>
  <c r="U52" i="12"/>
  <c r="Q41" i="8" s="1"/>
  <c r="U56" i="12"/>
  <c r="Q45" i="8" s="1"/>
  <c r="U62" i="12"/>
  <c r="Q51" i="8" s="1"/>
  <c r="U66" i="12"/>
  <c r="Q55" i="8" s="1"/>
  <c r="U68" i="12"/>
  <c r="Q57" i="8" s="1"/>
  <c r="AJ47" i="12"/>
  <c r="AF36" i="8" s="1"/>
  <c r="AJ53" i="12"/>
  <c r="AF42" i="8" s="1"/>
  <c r="AJ55" i="12"/>
  <c r="AF44" i="8" s="1"/>
  <c r="AJ63" i="12"/>
  <c r="AF52" i="8" s="1"/>
  <c r="AJ49" i="12"/>
  <c r="AF38" i="8" s="1"/>
  <c r="AJ51" i="12"/>
  <c r="AF40" i="8" s="1"/>
  <c r="AJ61" i="12"/>
  <c r="AF50" i="8" s="1"/>
  <c r="AJ65" i="12"/>
  <c r="AF54" i="8" s="1"/>
  <c r="AJ57" i="12"/>
  <c r="AF46" i="8" s="1"/>
  <c r="AJ46" i="12"/>
  <c r="AF35" i="8" s="1"/>
  <c r="AJ48" i="12"/>
  <c r="AF37" i="8" s="1"/>
  <c r="AJ71" i="12"/>
  <c r="AF60" i="8" s="1"/>
  <c r="AJ73" i="12"/>
  <c r="AF62" i="8" s="1"/>
  <c r="AJ67" i="12"/>
  <c r="AF56" i="8" s="1"/>
  <c r="AJ59" i="12"/>
  <c r="AF48" i="8" s="1"/>
  <c r="AJ69" i="12"/>
  <c r="AF58" i="8" s="1"/>
  <c r="AJ50" i="12"/>
  <c r="AF39" i="8" s="1"/>
  <c r="AJ52" i="12"/>
  <c r="AF41" i="8" s="1"/>
  <c r="AJ58" i="12"/>
  <c r="AF47" i="8" s="1"/>
  <c r="AJ60" i="12"/>
  <c r="AF49" i="8" s="1"/>
  <c r="AJ54" i="12"/>
  <c r="AF43" i="8" s="1"/>
  <c r="AJ56" i="12"/>
  <c r="AF45" i="8" s="1"/>
  <c r="AJ64" i="12"/>
  <c r="AF53" i="8" s="1"/>
  <c r="AY47" i="12"/>
  <c r="AU36" i="8" s="1"/>
  <c r="AY55" i="12"/>
  <c r="AU44" i="8" s="1"/>
  <c r="AY57" i="12"/>
  <c r="AU46" i="8" s="1"/>
  <c r="AY51" i="12"/>
  <c r="AU40" i="8" s="1"/>
  <c r="AY59" i="12"/>
  <c r="AU48" i="8" s="1"/>
  <c r="AY49" i="12"/>
  <c r="AU38" i="8" s="1"/>
  <c r="AY53" i="12"/>
  <c r="AU42" i="8" s="1"/>
  <c r="AY71" i="12"/>
  <c r="AU60" i="8" s="1"/>
  <c r="AY69" i="12"/>
  <c r="AU58" i="8" s="1"/>
  <c r="AY48" i="12"/>
  <c r="AU37" i="8" s="1"/>
  <c r="AY67" i="12"/>
  <c r="AU56" i="8" s="1"/>
  <c r="AY73" i="12"/>
  <c r="AU62" i="8" s="1"/>
  <c r="AY46" i="12"/>
  <c r="AU35" i="8" s="1"/>
  <c r="AY50" i="12"/>
  <c r="AU39" i="8" s="1"/>
  <c r="AY65" i="12"/>
  <c r="AU54" i="8" s="1"/>
  <c r="AY63" i="12"/>
  <c r="AU52" i="8" s="1"/>
  <c r="AY61" i="12"/>
  <c r="AU50" i="8" s="1"/>
  <c r="AY60" i="12"/>
  <c r="AU49" i="8" s="1"/>
  <c r="AY54" i="12"/>
  <c r="AU43" i="8" s="1"/>
  <c r="AY56" i="12"/>
  <c r="AU45" i="8" s="1"/>
  <c r="AY52" i="12"/>
  <c r="AU41" i="8" s="1"/>
  <c r="AY66" i="12"/>
  <c r="AU55" i="8" s="1"/>
  <c r="AY58" i="12"/>
  <c r="AU47" i="8" s="1"/>
  <c r="AY64" i="12"/>
  <c r="AU53" i="8" s="1"/>
  <c r="AY62" i="12"/>
  <c r="AU51" i="8" s="1"/>
  <c r="J47" i="12"/>
  <c r="F36" i="8" s="1"/>
  <c r="J59" i="12"/>
  <c r="F48" i="8" s="1"/>
  <c r="J51" i="12"/>
  <c r="F40" i="8" s="1"/>
  <c r="J53" i="12"/>
  <c r="F42" i="8" s="1"/>
  <c r="J55" i="12"/>
  <c r="F44" i="8" s="1"/>
  <c r="J61" i="12"/>
  <c r="F50" i="8" s="1"/>
  <c r="J49" i="12"/>
  <c r="F38" i="8" s="1"/>
  <c r="J57" i="12"/>
  <c r="F46" i="8" s="1"/>
  <c r="J65" i="12"/>
  <c r="F54" i="8" s="1"/>
  <c r="J46" i="12"/>
  <c r="F35" i="8" s="1"/>
  <c r="J63" i="12"/>
  <c r="F52" i="8" s="1"/>
  <c r="J67" i="12"/>
  <c r="F56" i="8" s="1"/>
  <c r="J69" i="12"/>
  <c r="F58" i="8" s="1"/>
  <c r="J71" i="12"/>
  <c r="F60" i="8" s="1"/>
  <c r="J73" i="12"/>
  <c r="F62" i="8" s="1"/>
  <c r="J48" i="12"/>
  <c r="F37" i="8" s="1"/>
  <c r="J50" i="12"/>
  <c r="F39" i="8" s="1"/>
  <c r="J54" i="12"/>
  <c r="F43" i="8" s="1"/>
  <c r="J56" i="12"/>
  <c r="F45" i="8" s="1"/>
  <c r="J64" i="12"/>
  <c r="F53" i="8" s="1"/>
  <c r="J52" i="12"/>
  <c r="F41" i="8" s="1"/>
  <c r="J58" i="12"/>
  <c r="F47" i="8" s="1"/>
  <c r="J70" i="12"/>
  <c r="F59" i="8" s="1"/>
  <c r="I53" i="12"/>
  <c r="E42" i="8" s="1"/>
  <c r="I47" i="12"/>
  <c r="E36" i="8" s="1"/>
  <c r="I49" i="12"/>
  <c r="E38" i="8" s="1"/>
  <c r="I57" i="12"/>
  <c r="E46" i="8" s="1"/>
  <c r="I59" i="12"/>
  <c r="E48" i="8" s="1"/>
  <c r="I55" i="12"/>
  <c r="E44" i="8" s="1"/>
  <c r="I51" i="12"/>
  <c r="E40" i="8" s="1"/>
  <c r="I46" i="12"/>
  <c r="E35" i="8" s="1"/>
  <c r="I67" i="12"/>
  <c r="E56" i="8" s="1"/>
  <c r="I69" i="12"/>
  <c r="E58" i="8" s="1"/>
  <c r="I50" i="12"/>
  <c r="E39" i="8" s="1"/>
  <c r="I63" i="12"/>
  <c r="E52" i="8" s="1"/>
  <c r="I73" i="12"/>
  <c r="E62" i="8" s="1"/>
  <c r="I61" i="12"/>
  <c r="E50" i="8" s="1"/>
  <c r="I48" i="12"/>
  <c r="E37" i="8" s="1"/>
  <c r="I65" i="12"/>
  <c r="E54" i="8" s="1"/>
  <c r="I71" i="12"/>
  <c r="E60" i="8" s="1"/>
  <c r="I52" i="12"/>
  <c r="E41" i="8" s="1"/>
  <c r="I58" i="12"/>
  <c r="E47" i="8" s="1"/>
  <c r="I54" i="12"/>
  <c r="E43" i="8" s="1"/>
  <c r="I56" i="12"/>
  <c r="E45" i="8" s="1"/>
  <c r="I60" i="12"/>
  <c r="E49" i="8" s="1"/>
  <c r="I70" i="12"/>
  <c r="E59" i="8" s="1"/>
  <c r="H57" i="12"/>
  <c r="D46" i="8" s="1"/>
  <c r="H59" i="12"/>
  <c r="D48" i="8" s="1"/>
  <c r="H51" i="12"/>
  <c r="D40" i="8" s="1"/>
  <c r="H53" i="12"/>
  <c r="D42" i="8" s="1"/>
  <c r="H49" i="12"/>
  <c r="D38" i="8" s="1"/>
  <c r="H47" i="12"/>
  <c r="D36" i="8" s="1"/>
  <c r="H63" i="12"/>
  <c r="D52" i="8" s="1"/>
  <c r="H65" i="12"/>
  <c r="D54" i="8" s="1"/>
  <c r="H55" i="12"/>
  <c r="D44" i="8" s="1"/>
  <c r="H61" i="12"/>
  <c r="D50" i="8" s="1"/>
  <c r="H67" i="12"/>
  <c r="D56" i="8" s="1"/>
  <c r="H69" i="12"/>
  <c r="D58" i="8" s="1"/>
  <c r="H71" i="12"/>
  <c r="D60" i="8" s="1"/>
  <c r="H48" i="12"/>
  <c r="D37" i="8" s="1"/>
  <c r="H73" i="12"/>
  <c r="D62" i="8" s="1"/>
  <c r="H46" i="12"/>
  <c r="D35" i="8" s="1"/>
  <c r="H64" i="12"/>
  <c r="D53" i="8" s="1"/>
  <c r="H54" i="12"/>
  <c r="D43" i="8" s="1"/>
  <c r="H70" i="12"/>
  <c r="D59" i="8" s="1"/>
  <c r="H50" i="12"/>
  <c r="D39" i="8" s="1"/>
  <c r="H56" i="12"/>
  <c r="D45" i="8" s="1"/>
  <c r="H58" i="12"/>
  <c r="D47" i="8" s="1"/>
  <c r="H52" i="12"/>
  <c r="D41" i="8" s="1"/>
  <c r="G63" i="12"/>
  <c r="C52" i="8" s="1"/>
  <c r="G47" i="12"/>
  <c r="C36" i="8" s="1"/>
  <c r="G55" i="12"/>
  <c r="C44" i="8" s="1"/>
  <c r="G57" i="12"/>
  <c r="C46" i="8" s="1"/>
  <c r="G61" i="12"/>
  <c r="C50" i="8" s="1"/>
  <c r="G51" i="12"/>
  <c r="C40" i="8" s="1"/>
  <c r="G49" i="12"/>
  <c r="C38" i="8" s="1"/>
  <c r="G59" i="12"/>
  <c r="C48" i="8" s="1"/>
  <c r="G53" i="12"/>
  <c r="C42" i="8" s="1"/>
  <c r="G67" i="12"/>
  <c r="C56" i="8" s="1"/>
  <c r="G69" i="12"/>
  <c r="C58" i="8" s="1"/>
  <c r="G73" i="12"/>
  <c r="C62" i="8" s="1"/>
  <c r="G46" i="12"/>
  <c r="C35" i="8" s="1"/>
  <c r="G65" i="12"/>
  <c r="C54" i="8" s="1"/>
  <c r="G71" i="12"/>
  <c r="C60" i="8" s="1"/>
  <c r="G58" i="12"/>
  <c r="C47" i="8" s="1"/>
  <c r="G56" i="12"/>
  <c r="C45" i="8" s="1"/>
  <c r="G66" i="12"/>
  <c r="C55" i="8" s="1"/>
  <c r="G48" i="12"/>
  <c r="C37" i="8" s="1"/>
  <c r="G52" i="12"/>
  <c r="C41" i="8" s="1"/>
  <c r="G60" i="12"/>
  <c r="C49" i="8" s="1"/>
  <c r="G62" i="12"/>
  <c r="C51" i="8" s="1"/>
  <c r="G54" i="12"/>
  <c r="C43" i="8" s="1"/>
  <c r="G50" i="12"/>
  <c r="C39" i="8" s="1"/>
  <c r="X74" i="12"/>
  <c r="T63" i="8" s="1"/>
  <c r="S74" i="12"/>
  <c r="O63" i="8" s="1"/>
  <c r="BH74" i="12"/>
  <c r="BD63" i="8" s="1"/>
  <c r="AY74" i="12"/>
  <c r="AU63" i="8" s="1"/>
  <c r="AR74" i="12"/>
  <c r="AN63" i="8" s="1"/>
  <c r="AP74" i="12"/>
  <c r="AL63" i="8" s="1"/>
  <c r="BQ74" i="12"/>
  <c r="BM63" i="8" s="1"/>
  <c r="AN74" i="12"/>
  <c r="AJ63" i="8" s="1"/>
  <c r="H72" i="12"/>
  <c r="D61" i="8" s="1"/>
  <c r="AE72" i="12"/>
  <c r="AA61" i="8" s="1"/>
  <c r="U72" i="12"/>
  <c r="Q61" i="8" s="1"/>
  <c r="Y72" i="12"/>
  <c r="U61" i="8" s="1"/>
  <c r="AX72" i="12"/>
  <c r="AT61" i="8" s="1"/>
  <c r="AU72" i="12"/>
  <c r="AQ61" i="8" s="1"/>
  <c r="AN72" i="12"/>
  <c r="AJ61" i="8" s="1"/>
  <c r="AY72" i="12"/>
  <c r="AU61" i="8" s="1"/>
  <c r="K70" i="12"/>
  <c r="G59" i="8" s="1"/>
  <c r="U70" i="12"/>
  <c r="Q59" i="8" s="1"/>
  <c r="BH70" i="12"/>
  <c r="BD59" i="8" s="1"/>
  <c r="BB70" i="12"/>
  <c r="AX59" i="8" s="1"/>
  <c r="AN70" i="12"/>
  <c r="AJ59" i="8" s="1"/>
  <c r="Z68" i="12"/>
  <c r="V57" i="8" s="1"/>
  <c r="T68" i="12"/>
  <c r="P57" i="8" s="1"/>
  <c r="AT68" i="12"/>
  <c r="AP57" i="8" s="1"/>
  <c r="AX68" i="12"/>
  <c r="AT57" i="8" s="1"/>
  <c r="AS68" i="12"/>
  <c r="AO57" i="8" s="1"/>
  <c r="BA68" i="12"/>
  <c r="AW57" i="8" s="1"/>
  <c r="AD66" i="12"/>
  <c r="Z55" i="8" s="1"/>
  <c r="K66" i="12"/>
  <c r="G55" i="8" s="1"/>
  <c r="BB66" i="12"/>
  <c r="AX55" i="8" s="1"/>
  <c r="AR66" i="12"/>
  <c r="AN55" i="8" s="1"/>
  <c r="Z64" i="12"/>
  <c r="V53" i="8" s="1"/>
  <c r="T64" i="12"/>
  <c r="P53" i="8" s="1"/>
  <c r="J62" i="12"/>
  <c r="F51" i="8" s="1"/>
  <c r="H62" i="12"/>
  <c r="D51" i="8" s="1"/>
  <c r="J60" i="12"/>
  <c r="F49" i="8" s="1"/>
  <c r="T60" i="12"/>
  <c r="P49" i="8" s="1"/>
  <c r="N47" i="12"/>
  <c r="J36" i="8" s="1"/>
  <c r="N51" i="12"/>
  <c r="J40" i="8" s="1"/>
  <c r="N61" i="12"/>
  <c r="J50" i="8" s="1"/>
  <c r="N55" i="12"/>
  <c r="J44" i="8" s="1"/>
  <c r="N57" i="12"/>
  <c r="J46" i="8" s="1"/>
  <c r="N53" i="12"/>
  <c r="J42" i="8" s="1"/>
  <c r="N59" i="12"/>
  <c r="J48" i="8" s="1"/>
  <c r="N69" i="12"/>
  <c r="J58" i="8" s="1"/>
  <c r="N46" i="12"/>
  <c r="J35" i="8" s="1"/>
  <c r="N73" i="12"/>
  <c r="J62" i="8" s="1"/>
  <c r="N65" i="12"/>
  <c r="J54" i="8" s="1"/>
  <c r="N49" i="12"/>
  <c r="J38" i="8" s="1"/>
  <c r="N67" i="12"/>
  <c r="J56" i="8" s="1"/>
  <c r="N71" i="12"/>
  <c r="J60" i="8" s="1"/>
  <c r="N63" i="12"/>
  <c r="J52" i="8" s="1"/>
  <c r="N50" i="12"/>
  <c r="J39" i="8" s="1"/>
  <c r="N58" i="12"/>
  <c r="J47" i="8" s="1"/>
  <c r="N56" i="12"/>
  <c r="J45" i="8" s="1"/>
  <c r="N54" i="12"/>
  <c r="J43" i="8" s="1"/>
  <c r="N66" i="12"/>
  <c r="J55" i="8" s="1"/>
  <c r="N68" i="12"/>
  <c r="J57" i="8" s="1"/>
  <c r="N60" i="12"/>
  <c r="J49" i="8" s="1"/>
  <c r="N62" i="12"/>
  <c r="J51" i="8" s="1"/>
  <c r="N64" i="12"/>
  <c r="J53" i="8" s="1"/>
  <c r="N48" i="12"/>
  <c r="J37" i="8" s="1"/>
  <c r="N52" i="12"/>
  <c r="J41" i="8" s="1"/>
  <c r="M47" i="12"/>
  <c r="I36" i="8" s="1"/>
  <c r="M51" i="12"/>
  <c r="I40" i="8" s="1"/>
  <c r="M55" i="12"/>
  <c r="I44" i="8" s="1"/>
  <c r="M67" i="12"/>
  <c r="I56" i="8" s="1"/>
  <c r="M61" i="12"/>
  <c r="I50" i="8" s="1"/>
  <c r="M49" i="12"/>
  <c r="I38" i="8" s="1"/>
  <c r="M57" i="12"/>
  <c r="I46" i="8" s="1"/>
  <c r="M63" i="12"/>
  <c r="I52" i="8" s="1"/>
  <c r="M53" i="12"/>
  <c r="I42" i="8" s="1"/>
  <c r="M69" i="12"/>
  <c r="I58" i="8" s="1"/>
  <c r="M65" i="12"/>
  <c r="I54" i="8" s="1"/>
  <c r="M71" i="12"/>
  <c r="I60" i="8" s="1"/>
  <c r="M48" i="12"/>
  <c r="I37" i="8" s="1"/>
  <c r="M59" i="12"/>
  <c r="I48" i="8" s="1"/>
  <c r="M73" i="12"/>
  <c r="I62" i="8" s="1"/>
  <c r="M62" i="12"/>
  <c r="I51" i="8" s="1"/>
  <c r="M46" i="12"/>
  <c r="I35" i="8" s="1"/>
  <c r="M50" i="12"/>
  <c r="I39" i="8" s="1"/>
  <c r="M56" i="12"/>
  <c r="I45" i="8" s="1"/>
  <c r="M64" i="12"/>
  <c r="I53" i="8" s="1"/>
  <c r="M54" i="12"/>
  <c r="I43" i="8" s="1"/>
  <c r="M58" i="12"/>
  <c r="I47" i="8" s="1"/>
  <c r="M52" i="12"/>
  <c r="I41" i="8" s="1"/>
  <c r="AB51" i="12"/>
  <c r="X40" i="8" s="1"/>
  <c r="AB53" i="12"/>
  <c r="X42" i="8" s="1"/>
  <c r="AB47" i="12"/>
  <c r="X36" i="8" s="1"/>
  <c r="AB55" i="12"/>
  <c r="X44" i="8" s="1"/>
  <c r="AB59" i="12"/>
  <c r="X48" i="8" s="1"/>
  <c r="AB49" i="12"/>
  <c r="X38" i="8" s="1"/>
  <c r="AB69" i="12"/>
  <c r="X58" i="8" s="1"/>
  <c r="AB71" i="12"/>
  <c r="X60" i="8" s="1"/>
  <c r="AB48" i="12"/>
  <c r="X37" i="8" s="1"/>
  <c r="AB57" i="12"/>
  <c r="X46" i="8" s="1"/>
  <c r="AB63" i="12"/>
  <c r="X52" i="8" s="1"/>
  <c r="AB52" i="12"/>
  <c r="X41" i="8" s="1"/>
  <c r="AB65" i="12"/>
  <c r="X54" i="8" s="1"/>
  <c r="AB67" i="12"/>
  <c r="X56" i="8" s="1"/>
  <c r="AB73" i="12"/>
  <c r="X62" i="8" s="1"/>
  <c r="AB61" i="12"/>
  <c r="X50" i="8" s="1"/>
  <c r="AB50" i="12"/>
  <c r="X39" i="8" s="1"/>
  <c r="AB64" i="12"/>
  <c r="X53" i="8" s="1"/>
  <c r="AB66" i="12"/>
  <c r="X55" i="8" s="1"/>
  <c r="AB70" i="12"/>
  <c r="X59" i="8" s="1"/>
  <c r="AB46" i="12"/>
  <c r="X35" i="8" s="1"/>
  <c r="AB54" i="12"/>
  <c r="X43" i="8" s="1"/>
  <c r="AB58" i="12"/>
  <c r="X47" i="8" s="1"/>
  <c r="AB56" i="12"/>
  <c r="X45" i="8" s="1"/>
  <c r="AB60" i="12"/>
  <c r="X49" i="8" s="1"/>
  <c r="AB62" i="12"/>
  <c r="X51" i="8" s="1"/>
  <c r="AQ49" i="12"/>
  <c r="AM38" i="8" s="1"/>
  <c r="AQ51" i="12"/>
  <c r="AM40" i="8" s="1"/>
  <c r="AQ53" i="12"/>
  <c r="AM42" i="8" s="1"/>
  <c r="AQ57" i="12"/>
  <c r="AM46" i="8" s="1"/>
  <c r="AQ59" i="12"/>
  <c r="AM48" i="8" s="1"/>
  <c r="AQ63" i="12"/>
  <c r="AM52" i="8" s="1"/>
  <c r="AQ47" i="12"/>
  <c r="AM36" i="8" s="1"/>
  <c r="AQ55" i="12"/>
  <c r="AM44" i="8" s="1"/>
  <c r="AQ73" i="12"/>
  <c r="AM62" i="8" s="1"/>
  <c r="AQ48" i="12"/>
  <c r="AM37" i="8" s="1"/>
  <c r="AQ61" i="12"/>
  <c r="AM50" i="8" s="1"/>
  <c r="AQ46" i="12"/>
  <c r="AM35" i="8" s="1"/>
  <c r="AQ50" i="12"/>
  <c r="AM39" i="8" s="1"/>
  <c r="AQ67" i="12"/>
  <c r="AM56" i="8" s="1"/>
  <c r="AQ71" i="12"/>
  <c r="AM60" i="8" s="1"/>
  <c r="AQ54" i="12"/>
  <c r="AM43" i="8" s="1"/>
  <c r="AQ65" i="12"/>
  <c r="AM54" i="8" s="1"/>
  <c r="AQ69" i="12"/>
  <c r="AM58" i="8" s="1"/>
  <c r="AQ56" i="12"/>
  <c r="AM45" i="8" s="1"/>
  <c r="AQ70" i="12"/>
  <c r="AM59" i="8" s="1"/>
  <c r="AQ52" i="12"/>
  <c r="AM41" i="8" s="1"/>
  <c r="AQ58" i="12"/>
  <c r="AM47" i="8" s="1"/>
  <c r="AQ60" i="12"/>
  <c r="AM49" i="8" s="1"/>
  <c r="BN51" i="12"/>
  <c r="BJ40" i="8" s="1"/>
  <c r="BN59" i="12"/>
  <c r="BJ48" i="8" s="1"/>
  <c r="BN61" i="12"/>
  <c r="BJ50" i="8" s="1"/>
  <c r="BN47" i="12"/>
  <c r="BJ36" i="8" s="1"/>
  <c r="BN49" i="12"/>
  <c r="BJ38" i="8" s="1"/>
  <c r="BN57" i="12"/>
  <c r="BJ46" i="8" s="1"/>
  <c r="BN53" i="12"/>
  <c r="BJ42" i="8" s="1"/>
  <c r="BN55" i="12"/>
  <c r="BJ44" i="8" s="1"/>
  <c r="BN65" i="12"/>
  <c r="BJ54" i="8" s="1"/>
  <c r="BN46" i="12"/>
  <c r="BJ35" i="8" s="1"/>
  <c r="BN48" i="12"/>
  <c r="BJ37" i="8" s="1"/>
  <c r="BN69" i="12"/>
  <c r="BJ58" i="8" s="1"/>
  <c r="BN67" i="12"/>
  <c r="BJ56" i="8" s="1"/>
  <c r="BN73" i="12"/>
  <c r="BJ62" i="8" s="1"/>
  <c r="BN63" i="12"/>
  <c r="BJ52" i="8" s="1"/>
  <c r="BN71" i="12"/>
  <c r="BJ60" i="8" s="1"/>
  <c r="BN52" i="12"/>
  <c r="BJ41" i="8" s="1"/>
  <c r="BN54" i="12"/>
  <c r="BJ43" i="8" s="1"/>
  <c r="BN58" i="12"/>
  <c r="BJ47" i="8" s="1"/>
  <c r="BN56" i="12"/>
  <c r="BJ45" i="8" s="1"/>
  <c r="BN50" i="12"/>
  <c r="BJ39" i="8" s="1"/>
  <c r="BN60" i="12"/>
  <c r="BJ49" i="8" s="1"/>
  <c r="BN62" i="12"/>
  <c r="BJ51" i="8" s="1"/>
  <c r="BM51" i="12"/>
  <c r="BI40" i="8" s="1"/>
  <c r="BM61" i="12"/>
  <c r="BI50" i="8" s="1"/>
  <c r="BM47" i="12"/>
  <c r="BI36" i="8" s="1"/>
  <c r="BM63" i="12"/>
  <c r="BI52" i="8" s="1"/>
  <c r="BM53" i="12"/>
  <c r="BI42" i="8" s="1"/>
  <c r="BM57" i="12"/>
  <c r="BI46" i="8" s="1"/>
  <c r="BM49" i="12"/>
  <c r="BI38" i="8" s="1"/>
  <c r="BM55" i="12"/>
  <c r="BI44" i="8" s="1"/>
  <c r="BM59" i="12"/>
  <c r="BI48" i="8" s="1"/>
  <c r="BM67" i="12"/>
  <c r="BI56" i="8" s="1"/>
  <c r="BM73" i="12"/>
  <c r="BI62" i="8" s="1"/>
  <c r="BM46" i="12"/>
  <c r="BI35" i="8" s="1"/>
  <c r="BM69" i="12"/>
  <c r="BI58" i="8" s="1"/>
  <c r="BM65" i="12"/>
  <c r="BI54" i="8" s="1"/>
  <c r="BM71" i="12"/>
  <c r="BI60" i="8" s="1"/>
  <c r="BM48" i="12"/>
  <c r="BI37" i="8" s="1"/>
  <c r="BM64" i="12"/>
  <c r="BI53" i="8" s="1"/>
  <c r="BM56" i="12"/>
  <c r="BI45" i="8" s="1"/>
  <c r="BM58" i="12"/>
  <c r="BI47" i="8" s="1"/>
  <c r="BM60" i="12"/>
  <c r="BI49" i="8" s="1"/>
  <c r="BM50" i="12"/>
  <c r="BI39" i="8" s="1"/>
  <c r="BM52" i="12"/>
  <c r="BI41" i="8" s="1"/>
  <c r="BM54" i="12"/>
  <c r="BI43" i="8" s="1"/>
  <c r="BM62" i="12"/>
  <c r="BI51" i="8" s="1"/>
  <c r="BL47" i="12"/>
  <c r="BH36" i="8" s="1"/>
  <c r="BL59" i="12"/>
  <c r="BH48" i="8" s="1"/>
  <c r="BL67" i="12"/>
  <c r="BH56" i="8" s="1"/>
  <c r="BL53" i="12"/>
  <c r="BH42" i="8" s="1"/>
  <c r="BL55" i="12"/>
  <c r="BH44" i="8" s="1"/>
  <c r="BL57" i="12"/>
  <c r="BH46" i="8" s="1"/>
  <c r="BL51" i="12"/>
  <c r="BH40" i="8" s="1"/>
  <c r="BL61" i="12"/>
  <c r="BH50" i="8" s="1"/>
  <c r="BL63" i="12"/>
  <c r="BH52" i="8" s="1"/>
  <c r="BL48" i="12"/>
  <c r="BH37" i="8" s="1"/>
  <c r="BL46" i="12"/>
  <c r="BH35" i="8" s="1"/>
  <c r="BL69" i="12"/>
  <c r="BH58" i="8" s="1"/>
  <c r="BL71" i="12"/>
  <c r="BH60" i="8" s="1"/>
  <c r="BL49" i="12"/>
  <c r="BH38" i="8" s="1"/>
  <c r="BL65" i="12"/>
  <c r="BH54" i="8" s="1"/>
  <c r="BL73" i="12"/>
  <c r="BH62" i="8" s="1"/>
  <c r="BL60" i="12"/>
  <c r="BH49" i="8" s="1"/>
  <c r="BL62" i="12"/>
  <c r="BH51" i="8" s="1"/>
  <c r="BL64" i="12"/>
  <c r="BH53" i="8" s="1"/>
  <c r="BL66" i="12"/>
  <c r="BH55" i="8" s="1"/>
  <c r="BL54" i="12"/>
  <c r="BH43" i="8" s="1"/>
  <c r="BL68" i="12"/>
  <c r="BH57" i="8" s="1"/>
  <c r="BL52" i="12"/>
  <c r="BH41" i="8" s="1"/>
  <c r="BL50" i="12"/>
  <c r="BH39" i="8" s="1"/>
  <c r="BL56" i="12"/>
  <c r="BH45" i="8" s="1"/>
  <c r="BL58" i="12"/>
  <c r="BH47" i="8" s="1"/>
  <c r="BK49" i="12"/>
  <c r="BG38" i="8" s="1"/>
  <c r="BK53" i="12"/>
  <c r="BG42" i="8" s="1"/>
  <c r="BK57" i="12"/>
  <c r="BG46" i="8" s="1"/>
  <c r="BK61" i="12"/>
  <c r="BG50" i="8" s="1"/>
  <c r="BK51" i="12"/>
  <c r="BG40" i="8" s="1"/>
  <c r="BK59" i="12"/>
  <c r="BG48" i="8" s="1"/>
  <c r="BK63" i="12"/>
  <c r="BG52" i="8" s="1"/>
  <c r="BK47" i="12"/>
  <c r="BG36" i="8" s="1"/>
  <c r="BK55" i="12"/>
  <c r="BG44" i="8" s="1"/>
  <c r="BK65" i="12"/>
  <c r="BG54" i="8" s="1"/>
  <c r="BK67" i="12"/>
  <c r="BG56" i="8" s="1"/>
  <c r="BK48" i="12"/>
  <c r="BG37" i="8" s="1"/>
  <c r="BK71" i="12"/>
  <c r="BG60" i="8" s="1"/>
  <c r="BK73" i="12"/>
  <c r="BG62" i="8" s="1"/>
  <c r="BK69" i="12"/>
  <c r="BG58" i="8" s="1"/>
  <c r="BK46" i="12"/>
  <c r="BG35" i="8" s="1"/>
  <c r="BK50" i="12"/>
  <c r="BG39" i="8" s="1"/>
  <c r="BK56" i="12"/>
  <c r="BG45" i="8" s="1"/>
  <c r="BK54" i="12"/>
  <c r="BG43" i="8" s="1"/>
  <c r="BK52" i="12"/>
  <c r="BG41" i="8" s="1"/>
  <c r="BK62" i="12"/>
  <c r="BG51" i="8" s="1"/>
  <c r="BK58" i="12"/>
  <c r="BG47" i="8" s="1"/>
  <c r="BK60" i="12"/>
  <c r="BG49" i="8" s="1"/>
  <c r="BK66" i="12"/>
  <c r="BG55" i="8" s="1"/>
  <c r="BK68" i="12"/>
  <c r="BG57" i="8" s="1"/>
  <c r="BK70" i="12"/>
  <c r="BG59" i="8" s="1"/>
  <c r="AH74" i="12"/>
  <c r="AD63" i="8" s="1"/>
  <c r="AD74" i="12"/>
  <c r="Z63" i="8" s="1"/>
  <c r="BN74" i="12"/>
  <c r="BJ63" i="8" s="1"/>
  <c r="H74" i="12"/>
  <c r="D63" i="8" s="1"/>
  <c r="AO74" i="12"/>
  <c r="AK63" i="8" s="1"/>
  <c r="AM74" i="12"/>
  <c r="AI63" i="8" s="1"/>
  <c r="AV74" i="12"/>
  <c r="AR63" i="8" s="1"/>
  <c r="N72" i="12"/>
  <c r="J61" i="8" s="1"/>
  <c r="Q72" i="12"/>
  <c r="M61" i="8" s="1"/>
  <c r="M72" i="12"/>
  <c r="I61" i="8" s="1"/>
  <c r="AB72" i="12"/>
  <c r="X61" i="8" s="1"/>
  <c r="AQ72" i="12"/>
  <c r="AM61" i="8" s="1"/>
  <c r="BK72" i="12"/>
  <c r="BG61" i="8" s="1"/>
  <c r="V70" i="12"/>
  <c r="R59" i="8" s="1"/>
  <c r="AK70" i="12"/>
  <c r="AG59" i="8" s="1"/>
  <c r="BM70" i="12"/>
  <c r="BI59" i="8" s="1"/>
  <c r="L70" i="12"/>
  <c r="H59" i="8" s="1"/>
  <c r="AZ70" i="12"/>
  <c r="AV59" i="8" s="1"/>
  <c r="G68" i="12"/>
  <c r="C57" i="8" s="1"/>
  <c r="AE68" i="12"/>
  <c r="AA57" i="8" s="1"/>
  <c r="M68" i="12"/>
  <c r="I57" i="8" s="1"/>
  <c r="Y68" i="12"/>
  <c r="U57" i="8" s="1"/>
  <c r="AQ68" i="12"/>
  <c r="AM57" i="8" s="1"/>
  <c r="BJ68" i="12"/>
  <c r="BF57" i="8" s="1"/>
  <c r="J66" i="12"/>
  <c r="F55" i="8" s="1"/>
  <c r="L66" i="12"/>
  <c r="H55" i="8" s="1"/>
  <c r="Y66" i="12"/>
  <c r="U55" i="8" s="1"/>
  <c r="AQ66" i="12"/>
  <c r="AM55" i="8" s="1"/>
  <c r="BN66" i="12"/>
  <c r="BJ55" i="8" s="1"/>
  <c r="AL64" i="12"/>
  <c r="AH53" i="8" s="1"/>
  <c r="BJ64" i="12"/>
  <c r="BF53" i="8" s="1"/>
  <c r="AD62" i="12"/>
  <c r="Z51" i="8" s="1"/>
  <c r="AJ62" i="12"/>
  <c r="AF51" i="8" s="1"/>
  <c r="AL60" i="12"/>
  <c r="AH49" i="8" s="1"/>
  <c r="M60" i="12"/>
  <c r="I49" i="8" s="1"/>
  <c r="BQ53" i="12"/>
  <c r="BM42" i="8" s="1"/>
  <c r="BQ65" i="12"/>
  <c r="BM54" i="8" s="1"/>
  <c r="BQ47" i="12"/>
  <c r="BM36" i="8" s="1"/>
  <c r="BQ57" i="12"/>
  <c r="BM46" i="8" s="1"/>
  <c r="BQ55" i="12"/>
  <c r="BM44" i="8" s="1"/>
  <c r="BQ59" i="12"/>
  <c r="BM48" i="8" s="1"/>
  <c r="BQ49" i="12"/>
  <c r="BM38" i="8" s="1"/>
  <c r="BQ51" i="12"/>
  <c r="BM40" i="8" s="1"/>
  <c r="BQ73" i="12"/>
  <c r="BM62" i="8" s="1"/>
  <c r="BQ71" i="12"/>
  <c r="BM60" i="8" s="1"/>
  <c r="BQ52" i="12"/>
  <c r="BM41" i="8" s="1"/>
  <c r="BQ61" i="12"/>
  <c r="BM50" i="8" s="1"/>
  <c r="BQ67" i="12"/>
  <c r="BM56" i="8" s="1"/>
  <c r="BQ63" i="12"/>
  <c r="BM52" i="8" s="1"/>
  <c r="BQ69" i="12"/>
  <c r="BM58" i="8" s="1"/>
  <c r="BQ46" i="12"/>
  <c r="BM35" i="8" s="1"/>
  <c r="BQ56" i="12"/>
  <c r="BM45" i="8" s="1"/>
  <c r="BQ48" i="12"/>
  <c r="BM37" i="8" s="1"/>
  <c r="BQ54" i="12"/>
  <c r="BM43" i="8" s="1"/>
  <c r="BQ62" i="12"/>
  <c r="BM51" i="8" s="1"/>
  <c r="BQ66" i="12"/>
  <c r="BM55" i="8" s="1"/>
  <c r="BQ58" i="12"/>
  <c r="BM47" i="8" s="1"/>
  <c r="BQ64" i="12"/>
  <c r="BM53" i="8" s="1"/>
  <c r="BQ50" i="12"/>
  <c r="BM39" i="8" s="1"/>
  <c r="BR53" i="12"/>
  <c r="BN42" i="8" s="1"/>
  <c r="BR67" i="12"/>
  <c r="BN56" i="8" s="1"/>
  <c r="BR49" i="12"/>
  <c r="BN38" i="8" s="1"/>
  <c r="BR57" i="12"/>
  <c r="BN46" i="8" s="1"/>
  <c r="BR61" i="12"/>
  <c r="BN50" i="8" s="1"/>
  <c r="BR47" i="12"/>
  <c r="BN36" i="8" s="1"/>
  <c r="BR59" i="12"/>
  <c r="BN48" i="8" s="1"/>
  <c r="BR55" i="12"/>
  <c r="BN44" i="8" s="1"/>
  <c r="BR63" i="12"/>
  <c r="BN52" i="8" s="1"/>
  <c r="BR69" i="12"/>
  <c r="BN58" i="8" s="1"/>
  <c r="BR73" i="12"/>
  <c r="BN62" i="8" s="1"/>
  <c r="BR46" i="12"/>
  <c r="BN35" i="8" s="1"/>
  <c r="BR71" i="12"/>
  <c r="BN60" i="8" s="1"/>
  <c r="BR48" i="12"/>
  <c r="BN37" i="8" s="1"/>
  <c r="BR51" i="12"/>
  <c r="BN40" i="8" s="1"/>
  <c r="BR65" i="12"/>
  <c r="BN54" i="8" s="1"/>
  <c r="BR50" i="12"/>
  <c r="BN39" i="8" s="1"/>
  <c r="BR52" i="12"/>
  <c r="BN41" i="8" s="1"/>
  <c r="BR54" i="12"/>
  <c r="BN43" i="8" s="1"/>
  <c r="BR56" i="12"/>
  <c r="BN45" i="8" s="1"/>
  <c r="BR62" i="12"/>
  <c r="BN51" i="8" s="1"/>
  <c r="BR64" i="12"/>
  <c r="BN53" i="8" s="1"/>
  <c r="BR58" i="12"/>
  <c r="BN47" i="8" s="1"/>
  <c r="BR68" i="12"/>
  <c r="BN57" i="8" s="1"/>
  <c r="T51" i="12"/>
  <c r="P40" i="8" s="1"/>
  <c r="T49" i="12"/>
  <c r="P38" i="8" s="1"/>
  <c r="T61" i="12"/>
  <c r="P50" i="8" s="1"/>
  <c r="T57" i="12"/>
  <c r="P46" i="8" s="1"/>
  <c r="T55" i="12"/>
  <c r="P44" i="8" s="1"/>
  <c r="T59" i="12"/>
  <c r="P48" i="8" s="1"/>
  <c r="T53" i="12"/>
  <c r="P42" i="8" s="1"/>
  <c r="T63" i="12"/>
  <c r="P52" i="8" s="1"/>
  <c r="T69" i="12"/>
  <c r="P58" i="8" s="1"/>
  <c r="T73" i="12"/>
  <c r="P62" i="8" s="1"/>
  <c r="T46" i="12"/>
  <c r="P35" i="8" s="1"/>
  <c r="T71" i="12"/>
  <c r="P60" i="8" s="1"/>
  <c r="T50" i="12"/>
  <c r="P39" i="8" s="1"/>
  <c r="T47" i="12"/>
  <c r="P36" i="8" s="1"/>
  <c r="T65" i="12"/>
  <c r="P54" i="8" s="1"/>
  <c r="T67" i="12"/>
  <c r="P56" i="8" s="1"/>
  <c r="T62" i="12"/>
  <c r="P51" i="8" s="1"/>
  <c r="T52" i="12"/>
  <c r="P41" i="8" s="1"/>
  <c r="T54" i="12"/>
  <c r="P43" i="8" s="1"/>
  <c r="T58" i="12"/>
  <c r="P47" i="8" s="1"/>
  <c r="T56" i="12"/>
  <c r="P45" i="8" s="1"/>
  <c r="T48" i="12"/>
  <c r="P37" i="8" s="1"/>
  <c r="T66" i="12"/>
  <c r="P55" i="8" s="1"/>
  <c r="AI49" i="12"/>
  <c r="AE38" i="8" s="1"/>
  <c r="AI53" i="12"/>
  <c r="AE42" i="8" s="1"/>
  <c r="AI57" i="12"/>
  <c r="AE46" i="8" s="1"/>
  <c r="AI59" i="12"/>
  <c r="AE48" i="8" s="1"/>
  <c r="AI51" i="12"/>
  <c r="AE40" i="8" s="1"/>
  <c r="AI55" i="12"/>
  <c r="AE44" i="8" s="1"/>
  <c r="AI61" i="12"/>
  <c r="AE50" i="8" s="1"/>
  <c r="AI47" i="12"/>
  <c r="AE36" i="8" s="1"/>
  <c r="AI65" i="12"/>
  <c r="AE54" i="8" s="1"/>
  <c r="AI46" i="12"/>
  <c r="AE35" i="8" s="1"/>
  <c r="AI63" i="12"/>
  <c r="AE52" i="8" s="1"/>
  <c r="AI67" i="12"/>
  <c r="AE56" i="8" s="1"/>
  <c r="AI73" i="12"/>
  <c r="AE62" i="8" s="1"/>
  <c r="AI48" i="12"/>
  <c r="AE37" i="8" s="1"/>
  <c r="AI69" i="12"/>
  <c r="AE58" i="8" s="1"/>
  <c r="AI71" i="12"/>
  <c r="AE60" i="8" s="1"/>
  <c r="AI54" i="12"/>
  <c r="AE43" i="8" s="1"/>
  <c r="AI56" i="12"/>
  <c r="AE45" i="8" s="1"/>
  <c r="AI50" i="12"/>
  <c r="AE39" i="8" s="1"/>
  <c r="AI62" i="12"/>
  <c r="AE51" i="8" s="1"/>
  <c r="AI70" i="12"/>
  <c r="AE59" i="8" s="1"/>
  <c r="AI52" i="12"/>
  <c r="AE41" i="8" s="1"/>
  <c r="AI58" i="12"/>
  <c r="AE47" i="8" s="1"/>
  <c r="AI60" i="12"/>
  <c r="AE49" i="8" s="1"/>
  <c r="AI68" i="12"/>
  <c r="AE57" i="8" s="1"/>
  <c r="BF63" i="12"/>
  <c r="BB52" i="8" s="1"/>
  <c r="BF47" i="12"/>
  <c r="BB36" i="8" s="1"/>
  <c r="BF51" i="12"/>
  <c r="BB40" i="8" s="1"/>
  <c r="BF53" i="12"/>
  <c r="BB42" i="8" s="1"/>
  <c r="BF59" i="12"/>
  <c r="BB48" i="8" s="1"/>
  <c r="BF55" i="12"/>
  <c r="BB44" i="8" s="1"/>
  <c r="BF65" i="12"/>
  <c r="BB54" i="8" s="1"/>
  <c r="BF49" i="12"/>
  <c r="BB38" i="8" s="1"/>
  <c r="BF61" i="12"/>
  <c r="BB50" i="8" s="1"/>
  <c r="BF50" i="12"/>
  <c r="BB39" i="8" s="1"/>
  <c r="BF69" i="12"/>
  <c r="BB58" i="8" s="1"/>
  <c r="BF71" i="12"/>
  <c r="BB60" i="8" s="1"/>
  <c r="BF48" i="12"/>
  <c r="BB37" i="8" s="1"/>
  <c r="BF73" i="12"/>
  <c r="BB62" i="8" s="1"/>
  <c r="BF57" i="12"/>
  <c r="BB46" i="8" s="1"/>
  <c r="BF46" i="12"/>
  <c r="BB35" i="8" s="1"/>
  <c r="BF67" i="12"/>
  <c r="BB56" i="8" s="1"/>
  <c r="BF62" i="12"/>
  <c r="BB51" i="8" s="1"/>
  <c r="BF66" i="12"/>
  <c r="BB55" i="8" s="1"/>
  <c r="BF52" i="12"/>
  <c r="BB41" i="8" s="1"/>
  <c r="BF56" i="12"/>
  <c r="BB45" i="8" s="1"/>
  <c r="BF58" i="12"/>
  <c r="BB47" i="8" s="1"/>
  <c r="BF60" i="12"/>
  <c r="BB49" i="8" s="1"/>
  <c r="BF64" i="12"/>
  <c r="BB53" i="8" s="1"/>
  <c r="BF54" i="12"/>
  <c r="BB43" i="8" s="1"/>
  <c r="BE61" i="12"/>
  <c r="BA50" i="8" s="1"/>
  <c r="BE47" i="12"/>
  <c r="BA36" i="8" s="1"/>
  <c r="BE51" i="12"/>
  <c r="BA40" i="8" s="1"/>
  <c r="BE55" i="12"/>
  <c r="BA44" i="8" s="1"/>
  <c r="BE49" i="12"/>
  <c r="BA38" i="8" s="1"/>
  <c r="BE53" i="12"/>
  <c r="BA42" i="8" s="1"/>
  <c r="BE57" i="12"/>
  <c r="BA46" i="8" s="1"/>
  <c r="BE48" i="12"/>
  <c r="BA37" i="8" s="1"/>
  <c r="BE71" i="12"/>
  <c r="BA60" i="8" s="1"/>
  <c r="BE59" i="12"/>
  <c r="BA48" i="8" s="1"/>
  <c r="BE65" i="12"/>
  <c r="BA54" i="8" s="1"/>
  <c r="BE73" i="12"/>
  <c r="BA62" i="8" s="1"/>
  <c r="BE63" i="12"/>
  <c r="BA52" i="8" s="1"/>
  <c r="BE67" i="12"/>
  <c r="BA56" i="8" s="1"/>
  <c r="BE69" i="12"/>
  <c r="BA58" i="8" s="1"/>
  <c r="BE50" i="12"/>
  <c r="BA39" i="8" s="1"/>
  <c r="BE54" i="12"/>
  <c r="BA43" i="8" s="1"/>
  <c r="BE58" i="12"/>
  <c r="BA47" i="8" s="1"/>
  <c r="BE60" i="12"/>
  <c r="BA49" i="8" s="1"/>
  <c r="BE64" i="12"/>
  <c r="BA53" i="8" s="1"/>
  <c r="BE62" i="12"/>
  <c r="BA51" i="8" s="1"/>
  <c r="BE56" i="12"/>
  <c r="BA45" i="8" s="1"/>
  <c r="BE46" i="12"/>
  <c r="BA35" i="8" s="1"/>
  <c r="BE52" i="12"/>
  <c r="BA41" i="8" s="1"/>
  <c r="BE70" i="12"/>
  <c r="BA59" i="8" s="1"/>
  <c r="BD55" i="12"/>
  <c r="AZ44" i="8" s="1"/>
  <c r="BD57" i="12"/>
  <c r="AZ46" i="8" s="1"/>
  <c r="BD51" i="12"/>
  <c r="AZ40" i="8" s="1"/>
  <c r="BD47" i="12"/>
  <c r="AZ36" i="8" s="1"/>
  <c r="BD49" i="12"/>
  <c r="AZ38" i="8" s="1"/>
  <c r="BD53" i="12"/>
  <c r="AZ42" i="8" s="1"/>
  <c r="BD59" i="12"/>
  <c r="AZ48" i="8" s="1"/>
  <c r="BD67" i="12"/>
  <c r="AZ56" i="8" s="1"/>
  <c r="BD46" i="12"/>
  <c r="AZ35" i="8" s="1"/>
  <c r="BD48" i="12"/>
  <c r="AZ37" i="8" s="1"/>
  <c r="BD73" i="12"/>
  <c r="AZ62" i="8" s="1"/>
  <c r="BD61" i="12"/>
  <c r="AZ50" i="8" s="1"/>
  <c r="BD65" i="12"/>
  <c r="AZ54" i="8" s="1"/>
  <c r="BD69" i="12"/>
  <c r="AZ58" i="8" s="1"/>
  <c r="BD71" i="12"/>
  <c r="AZ60" i="8" s="1"/>
  <c r="BD50" i="12"/>
  <c r="AZ39" i="8" s="1"/>
  <c r="BD52" i="12"/>
  <c r="AZ41" i="8" s="1"/>
  <c r="BD63" i="12"/>
  <c r="AZ52" i="8" s="1"/>
  <c r="BD54" i="12"/>
  <c r="AZ43" i="8" s="1"/>
  <c r="BD56" i="12"/>
  <c r="AZ45" i="8" s="1"/>
  <c r="BD62" i="12"/>
  <c r="AZ51" i="8" s="1"/>
  <c r="BD66" i="12"/>
  <c r="AZ55" i="8" s="1"/>
  <c r="BD58" i="12"/>
  <c r="AZ47" i="8" s="1"/>
  <c r="BD64" i="12"/>
  <c r="AZ53" i="8" s="1"/>
  <c r="BC49" i="12"/>
  <c r="AY38" i="8" s="1"/>
  <c r="BC51" i="12"/>
  <c r="AY40" i="8" s="1"/>
  <c r="BC59" i="12"/>
  <c r="AY48" i="8" s="1"/>
  <c r="BC63" i="12"/>
  <c r="AY52" i="8" s="1"/>
  <c r="BC65" i="12"/>
  <c r="AY54" i="8" s="1"/>
  <c r="BC67" i="12"/>
  <c r="AY56" i="8" s="1"/>
  <c r="BC47" i="12"/>
  <c r="AY36" i="8" s="1"/>
  <c r="BC55" i="12"/>
  <c r="AY44" i="8" s="1"/>
  <c r="BC57" i="12"/>
  <c r="AY46" i="8" s="1"/>
  <c r="BC61" i="12"/>
  <c r="AY50" i="8" s="1"/>
  <c r="BC53" i="12"/>
  <c r="AY42" i="8" s="1"/>
  <c r="BC69" i="12"/>
  <c r="AY58" i="8" s="1"/>
  <c r="BC48" i="12"/>
  <c r="AY37" i="8" s="1"/>
  <c r="BC73" i="12"/>
  <c r="AY62" i="8" s="1"/>
  <c r="BC71" i="12"/>
  <c r="AY60" i="8" s="1"/>
  <c r="BC50" i="12"/>
  <c r="AY39" i="8" s="1"/>
  <c r="BC54" i="12"/>
  <c r="AY43" i="8" s="1"/>
  <c r="BC60" i="12"/>
  <c r="AY49" i="8" s="1"/>
  <c r="BC62" i="12"/>
  <c r="AY51" i="8" s="1"/>
  <c r="BC56" i="12"/>
  <c r="AY45" i="8" s="1"/>
  <c r="BC46" i="12"/>
  <c r="AY35" i="8" s="1"/>
  <c r="BC52" i="12"/>
  <c r="AY41" i="8" s="1"/>
  <c r="BC58" i="12"/>
  <c r="AY47" i="8" s="1"/>
  <c r="BC64" i="12"/>
  <c r="AY53" i="8" s="1"/>
  <c r="BE74" i="12"/>
  <c r="BA63" i="8" s="1"/>
  <c r="BO74" i="12"/>
  <c r="BK63" i="8" s="1"/>
  <c r="K72" i="12"/>
  <c r="G61" i="8" s="1"/>
  <c r="L72" i="12"/>
  <c r="H61" i="8" s="1"/>
  <c r="AZ72" i="12"/>
  <c r="AV61" i="8" s="1"/>
  <c r="BC72" i="12"/>
  <c r="AY61" i="8" s="1"/>
  <c r="BB72" i="12"/>
  <c r="AX61" i="8" s="1"/>
  <c r="Z70" i="12"/>
  <c r="V59" i="8" s="1"/>
  <c r="G70" i="12"/>
  <c r="C59" i="8" s="1"/>
  <c r="X70" i="12"/>
  <c r="T59" i="8" s="1"/>
  <c r="S70" i="12"/>
  <c r="O59" i="8" s="1"/>
  <c r="BP70" i="12"/>
  <c r="BL59" i="8" s="1"/>
  <c r="AY70" i="12"/>
  <c r="AU59" i="8" s="1"/>
  <c r="O68" i="12"/>
  <c r="K57" i="8" s="1"/>
  <c r="AK68" i="12"/>
  <c r="AG57" i="8" s="1"/>
  <c r="BG68" i="12"/>
  <c r="BC57" i="8" s="1"/>
  <c r="AB68" i="12"/>
  <c r="X57" i="8" s="1"/>
  <c r="BP68" i="12"/>
  <c r="BL57" i="8" s="1"/>
  <c r="AN68" i="12"/>
  <c r="AJ57" i="8" s="1"/>
  <c r="V66" i="12"/>
  <c r="R55" i="8" s="1"/>
  <c r="AL66" i="12"/>
  <c r="AH55" i="8" s="1"/>
  <c r="AK66" i="12"/>
  <c r="AG55" i="8" s="1"/>
  <c r="AA66" i="12"/>
  <c r="W55" i="8" s="1"/>
  <c r="BM66" i="12"/>
  <c r="BI55" i="8" s="1"/>
  <c r="Q64" i="12"/>
  <c r="M53" i="8" s="1"/>
  <c r="BH64" i="12"/>
  <c r="BD53" i="8" s="1"/>
  <c r="AH62" i="12"/>
  <c r="AD51" i="8" s="1"/>
  <c r="AT62" i="12"/>
  <c r="AP51" i="8" s="1"/>
  <c r="Y60" i="12"/>
  <c r="U49" i="8" s="1"/>
  <c r="BJ60" i="12"/>
  <c r="BF49" i="8" s="1"/>
  <c r="H80" i="11"/>
  <c r="P80" i="11"/>
  <c r="X80" i="11"/>
  <c r="AF80" i="11"/>
  <c r="AN80" i="11"/>
  <c r="AV80" i="11"/>
  <c r="BD80" i="11"/>
  <c r="BL80" i="11"/>
  <c r="H81" i="11"/>
  <c r="P81" i="11"/>
  <c r="X81" i="11"/>
  <c r="AF81" i="11"/>
  <c r="AN81" i="11"/>
  <c r="AV81" i="11"/>
  <c r="BD81" i="11"/>
  <c r="BL81" i="11"/>
  <c r="H82" i="11"/>
  <c r="P82" i="11"/>
  <c r="X82" i="11"/>
  <c r="AF82" i="11"/>
  <c r="AN82" i="11"/>
  <c r="AV82" i="11"/>
  <c r="BD82" i="11"/>
  <c r="BL82" i="11"/>
  <c r="H83" i="11"/>
  <c r="P83" i="11"/>
  <c r="X83" i="11"/>
  <c r="AF83" i="11"/>
  <c r="AN83" i="11"/>
  <c r="AV83" i="11"/>
  <c r="BD83" i="11"/>
  <c r="BL83" i="11"/>
  <c r="H84" i="11"/>
  <c r="P84" i="11"/>
  <c r="X84" i="11"/>
  <c r="AF84" i="11"/>
  <c r="AN84" i="11"/>
  <c r="AV84" i="11"/>
  <c r="BD84" i="11"/>
  <c r="BL84" i="11"/>
  <c r="H85" i="11"/>
  <c r="P85" i="11"/>
  <c r="X85" i="11"/>
  <c r="AF85" i="11"/>
  <c r="AN85" i="11"/>
  <c r="AV85" i="11"/>
  <c r="BD85" i="11"/>
  <c r="BL85" i="11"/>
  <c r="H86" i="11"/>
  <c r="P86" i="11"/>
  <c r="X86" i="11"/>
  <c r="AF86" i="11"/>
  <c r="AN86" i="11"/>
  <c r="AV86" i="11"/>
  <c r="BD86" i="11"/>
  <c r="BL86" i="11"/>
  <c r="H87" i="11"/>
  <c r="P87" i="11"/>
  <c r="X87" i="11"/>
  <c r="AF87" i="11"/>
  <c r="AN87" i="11"/>
  <c r="AV87" i="11"/>
  <c r="BD87" i="11"/>
  <c r="BL87" i="11"/>
  <c r="H88" i="11"/>
  <c r="P88" i="11"/>
  <c r="X88" i="11"/>
  <c r="AF88" i="11"/>
  <c r="AN88" i="11"/>
  <c r="AV88" i="11"/>
  <c r="BD88" i="11"/>
  <c r="BL88" i="11"/>
  <c r="H89" i="11"/>
  <c r="P89" i="11"/>
  <c r="X89" i="11"/>
  <c r="AF89" i="11"/>
  <c r="AN89" i="11"/>
  <c r="AV89" i="11"/>
  <c r="BD89" i="11"/>
  <c r="I80" i="11"/>
  <c r="Q80" i="11"/>
  <c r="Y80" i="11"/>
  <c r="AG80" i="11"/>
  <c r="AO80" i="11"/>
  <c r="AW80" i="11"/>
  <c r="BE80" i="11"/>
  <c r="BM80" i="11"/>
  <c r="I81" i="11"/>
  <c r="Q81" i="11"/>
  <c r="Y81" i="11"/>
  <c r="AG81" i="11"/>
  <c r="AO81" i="11"/>
  <c r="AW81" i="11"/>
  <c r="BE81" i="11"/>
  <c r="BM81" i="11"/>
  <c r="I82" i="11"/>
  <c r="Q82" i="11"/>
  <c r="Y82" i="11"/>
  <c r="AG82" i="11"/>
  <c r="AO82" i="11"/>
  <c r="AW82" i="11"/>
  <c r="BE82" i="11"/>
  <c r="BM82" i="11"/>
  <c r="I83" i="11"/>
  <c r="Q83" i="11"/>
  <c r="Y83" i="11"/>
  <c r="AG83" i="11"/>
  <c r="AO83" i="11"/>
  <c r="AW83" i="11"/>
  <c r="BE83" i="11"/>
  <c r="BM83" i="11"/>
  <c r="I84" i="11"/>
  <c r="Q84" i="11"/>
  <c r="Y84" i="11"/>
  <c r="AG84" i="11"/>
  <c r="AO84" i="11"/>
  <c r="AW84" i="11"/>
  <c r="BE84" i="11"/>
  <c r="BM84" i="11"/>
  <c r="I85" i="11"/>
  <c r="Q85" i="11"/>
  <c r="Y85" i="11"/>
  <c r="AG85" i="11"/>
  <c r="AO85" i="11"/>
  <c r="AW85" i="11"/>
  <c r="BE85" i="11"/>
  <c r="BM85" i="11"/>
  <c r="I86" i="11"/>
  <c r="Q86" i="11"/>
  <c r="Y86" i="11"/>
  <c r="AG86" i="11"/>
  <c r="AO86" i="11"/>
  <c r="AW86" i="11"/>
  <c r="BE86" i="11"/>
  <c r="BM86" i="11"/>
  <c r="I87" i="11"/>
  <c r="Q87" i="11"/>
  <c r="Y87" i="11"/>
  <c r="AG87" i="11"/>
  <c r="AO87" i="11"/>
  <c r="AW87" i="11"/>
  <c r="BE87" i="11"/>
  <c r="BM87" i="11"/>
  <c r="I88" i="11"/>
  <c r="Q88" i="11"/>
  <c r="Y88" i="11"/>
  <c r="AG88" i="11"/>
  <c r="AO88" i="11"/>
  <c r="AW88" i="11"/>
  <c r="BE88" i="11"/>
  <c r="BM88" i="11"/>
  <c r="I89" i="11"/>
  <c r="Q89" i="11"/>
  <c r="Y89" i="11"/>
  <c r="AG89" i="11"/>
  <c r="AO89" i="11"/>
  <c r="AW89" i="11"/>
  <c r="BE89" i="11"/>
  <c r="J80" i="11"/>
  <c r="R80" i="11"/>
  <c r="Z80" i="11"/>
  <c r="AH80" i="11"/>
  <c r="AP80" i="11"/>
  <c r="AX80" i="11"/>
  <c r="BF80" i="11"/>
  <c r="BN80" i="11"/>
  <c r="J81" i="11"/>
  <c r="R81" i="11"/>
  <c r="Z81" i="11"/>
  <c r="AH81" i="11"/>
  <c r="AP81" i="11"/>
  <c r="AX81" i="11"/>
  <c r="BF81" i="11"/>
  <c r="BN81" i="11"/>
  <c r="J82" i="11"/>
  <c r="R82" i="11"/>
  <c r="Z82" i="11"/>
  <c r="AH82" i="11"/>
  <c r="AP82" i="11"/>
  <c r="AX82" i="11"/>
  <c r="BF82" i="11"/>
  <c r="BN82" i="11"/>
  <c r="J83" i="11"/>
  <c r="R83" i="11"/>
  <c r="Z83" i="11"/>
  <c r="AH83" i="11"/>
  <c r="AP83" i="11"/>
  <c r="AX83" i="11"/>
  <c r="BF83" i="11"/>
  <c r="BN83" i="11"/>
  <c r="J84" i="11"/>
  <c r="R84" i="11"/>
  <c r="Z84" i="11"/>
  <c r="AH84" i="11"/>
  <c r="AP84" i="11"/>
  <c r="AX84" i="11"/>
  <c r="BF84" i="11"/>
  <c r="BN84" i="11"/>
  <c r="J85" i="11"/>
  <c r="R85" i="11"/>
  <c r="Z85" i="11"/>
  <c r="AH85" i="11"/>
  <c r="AP85" i="11"/>
  <c r="AX85" i="11"/>
  <c r="BF85" i="11"/>
  <c r="BN85" i="11"/>
  <c r="J86" i="11"/>
  <c r="R86" i="11"/>
  <c r="Z86" i="11"/>
  <c r="AH86" i="11"/>
  <c r="AP86" i="11"/>
  <c r="AX86" i="11"/>
  <c r="BF86" i="11"/>
  <c r="BN86" i="11"/>
  <c r="J87" i="11"/>
  <c r="R87" i="11"/>
  <c r="Z87" i="11"/>
  <c r="AH87" i="11"/>
  <c r="AP87" i="11"/>
  <c r="AX87" i="11"/>
  <c r="BF87" i="11"/>
  <c r="BN87" i="11"/>
  <c r="J88" i="11"/>
  <c r="R88" i="11"/>
  <c r="Z88" i="11"/>
  <c r="AH88" i="11"/>
  <c r="AP88" i="11"/>
  <c r="AX88" i="11"/>
  <c r="BF88" i="11"/>
  <c r="BN88" i="11"/>
  <c r="J89" i="11"/>
  <c r="R89" i="11"/>
  <c r="Z89" i="11"/>
  <c r="AH89" i="11"/>
  <c r="AP89" i="11"/>
  <c r="AX89" i="11"/>
  <c r="BF89" i="11"/>
  <c r="K80" i="11"/>
  <c r="S80" i="11"/>
  <c r="AA80" i="11"/>
  <c r="AI80" i="11"/>
  <c r="AQ80" i="11"/>
  <c r="AY80" i="11"/>
  <c r="BG80" i="11"/>
  <c r="BO80" i="11"/>
  <c r="K81" i="11"/>
  <c r="S81" i="11"/>
  <c r="AA81" i="11"/>
  <c r="AI81" i="11"/>
  <c r="AQ81" i="11"/>
  <c r="AY81" i="11"/>
  <c r="BG81" i="11"/>
  <c r="BO81" i="11"/>
  <c r="K82" i="11"/>
  <c r="S82" i="11"/>
  <c r="AA82" i="11"/>
  <c r="AI82" i="11"/>
  <c r="AQ82" i="11"/>
  <c r="AY82" i="11"/>
  <c r="BG82" i="11"/>
  <c r="BO82" i="11"/>
  <c r="K83" i="11"/>
  <c r="S83" i="11"/>
  <c r="AA83" i="11"/>
  <c r="AI83" i="11"/>
  <c r="AQ83" i="11"/>
  <c r="AY83" i="11"/>
  <c r="BG83" i="11"/>
  <c r="BO83" i="11"/>
  <c r="K84" i="11"/>
  <c r="S84" i="11"/>
  <c r="AA84" i="11"/>
  <c r="AI84" i="11"/>
  <c r="AQ84" i="11"/>
  <c r="AY84" i="11"/>
  <c r="BG84" i="11"/>
  <c r="BO84" i="11"/>
  <c r="K85" i="11"/>
  <c r="S85" i="11"/>
  <c r="AA85" i="11"/>
  <c r="AI85" i="11"/>
  <c r="AQ85" i="11"/>
  <c r="AY85" i="11"/>
  <c r="BG85" i="11"/>
  <c r="BO85" i="11"/>
  <c r="K86" i="11"/>
  <c r="S86" i="11"/>
  <c r="AA86" i="11"/>
  <c r="AI86" i="11"/>
  <c r="AQ86" i="11"/>
  <c r="AY86" i="11"/>
  <c r="BG86" i="11"/>
  <c r="BO86" i="11"/>
  <c r="K87" i="11"/>
  <c r="S87" i="11"/>
  <c r="AA87" i="11"/>
  <c r="AI87" i="11"/>
  <c r="AQ87" i="11"/>
  <c r="AY87" i="11"/>
  <c r="BG87" i="11"/>
  <c r="BO87" i="11"/>
  <c r="K88" i="11"/>
  <c r="S88" i="11"/>
  <c r="AA88" i="11"/>
  <c r="AI88" i="11"/>
  <c r="AQ88" i="11"/>
  <c r="AY88" i="11"/>
  <c r="BG88" i="11"/>
  <c r="BO88" i="11"/>
  <c r="K89" i="11"/>
  <c r="S89" i="11"/>
  <c r="AA89" i="11"/>
  <c r="AI89" i="11"/>
  <c r="AQ89" i="11"/>
  <c r="AY89" i="11"/>
  <c r="L80" i="11"/>
  <c r="T80" i="11"/>
  <c r="AB80" i="11"/>
  <c r="AJ80" i="11"/>
  <c r="AR80" i="11"/>
  <c r="AZ80" i="11"/>
  <c r="BH80" i="11"/>
  <c r="BP80" i="11"/>
  <c r="L81" i="11"/>
  <c r="T81" i="11"/>
  <c r="AB81" i="11"/>
  <c r="AJ81" i="11"/>
  <c r="AR81" i="11"/>
  <c r="AZ81" i="11"/>
  <c r="BH81" i="11"/>
  <c r="BP81" i="11"/>
  <c r="L82" i="11"/>
  <c r="T82" i="11"/>
  <c r="AB82" i="11"/>
  <c r="AJ82" i="11"/>
  <c r="AR82" i="11"/>
  <c r="AZ82" i="11"/>
  <c r="BH82" i="11"/>
  <c r="BP82" i="11"/>
  <c r="L83" i="11"/>
  <c r="T83" i="11"/>
  <c r="AB83" i="11"/>
  <c r="AJ83" i="11"/>
  <c r="AR83" i="11"/>
  <c r="AZ83" i="11"/>
  <c r="BH83" i="11"/>
  <c r="BP83" i="11"/>
  <c r="L84" i="11"/>
  <c r="T84" i="11"/>
  <c r="AB84" i="11"/>
  <c r="AJ84" i="11"/>
  <c r="AR84" i="11"/>
  <c r="AZ84" i="11"/>
  <c r="BH84" i="11"/>
  <c r="BP84" i="11"/>
  <c r="L85" i="11"/>
  <c r="T85" i="11"/>
  <c r="AB85" i="11"/>
  <c r="AJ85" i="11"/>
  <c r="AR85" i="11"/>
  <c r="AZ85" i="11"/>
  <c r="BH85" i="11"/>
  <c r="BP85" i="11"/>
  <c r="L86" i="11"/>
  <c r="T86" i="11"/>
  <c r="AB86" i="11"/>
  <c r="AJ86" i="11"/>
  <c r="AR86" i="11"/>
  <c r="AZ86" i="11"/>
  <c r="BH86" i="11"/>
  <c r="BP86" i="11"/>
  <c r="L87" i="11"/>
  <c r="T87" i="11"/>
  <c r="AB87" i="11"/>
  <c r="AJ87" i="11"/>
  <c r="AR87" i="11"/>
  <c r="AZ87" i="11"/>
  <c r="BH87" i="11"/>
  <c r="BP87" i="11"/>
  <c r="L88" i="11"/>
  <c r="T88" i="11"/>
  <c r="AB88" i="11"/>
  <c r="AJ88" i="11"/>
  <c r="AR88" i="11"/>
  <c r="AZ88" i="11"/>
  <c r="BH88" i="11"/>
  <c r="BP88" i="11"/>
  <c r="L89" i="11"/>
  <c r="T89" i="11"/>
  <c r="AB89" i="11"/>
  <c r="AJ89" i="11"/>
  <c r="AR89" i="11"/>
  <c r="AZ89" i="11"/>
  <c r="BH89" i="11"/>
  <c r="M80" i="11"/>
  <c r="U80" i="11"/>
  <c r="AC80" i="11"/>
  <c r="AK80" i="11"/>
  <c r="AS80" i="11"/>
  <c r="BA80" i="11"/>
  <c r="BI80" i="11"/>
  <c r="BQ80" i="11"/>
  <c r="M81" i="11"/>
  <c r="U81" i="11"/>
  <c r="AC81" i="11"/>
  <c r="AK81" i="11"/>
  <c r="AS81" i="11"/>
  <c r="BA81" i="11"/>
  <c r="BI81" i="11"/>
  <c r="BQ81" i="11"/>
  <c r="M82" i="11"/>
  <c r="U82" i="11"/>
  <c r="AC82" i="11"/>
  <c r="AK82" i="11"/>
  <c r="AS82" i="11"/>
  <c r="BA82" i="11"/>
  <c r="BI82" i="11"/>
  <c r="BQ82" i="11"/>
  <c r="M83" i="11"/>
  <c r="U83" i="11"/>
  <c r="AC83" i="11"/>
  <c r="AK83" i="11"/>
  <c r="AS83" i="11"/>
  <c r="BA83" i="11"/>
  <c r="BI83" i="11"/>
  <c r="BQ83" i="11"/>
  <c r="M84" i="11"/>
  <c r="U84" i="11"/>
  <c r="AC84" i="11"/>
  <c r="AK84" i="11"/>
  <c r="AS84" i="11"/>
  <c r="BA84" i="11"/>
  <c r="BI84" i="11"/>
  <c r="BQ84" i="11"/>
  <c r="M85" i="11"/>
  <c r="U85" i="11"/>
  <c r="AC85" i="11"/>
  <c r="AK85" i="11"/>
  <c r="AS85" i="11"/>
  <c r="BA85" i="11"/>
  <c r="BI85" i="11"/>
  <c r="BQ85" i="11"/>
  <c r="M86" i="11"/>
  <c r="U86" i="11"/>
  <c r="AC86" i="11"/>
  <c r="AK86" i="11"/>
  <c r="AS86" i="11"/>
  <c r="BA86" i="11"/>
  <c r="BI86" i="11"/>
  <c r="BQ86" i="11"/>
  <c r="M87" i="11"/>
  <c r="U87" i="11"/>
  <c r="AC87" i="11"/>
  <c r="AK87" i="11"/>
  <c r="AS87" i="11"/>
  <c r="BA87" i="11"/>
  <c r="BI87" i="11"/>
  <c r="BQ87" i="11"/>
  <c r="M88" i="11"/>
  <c r="U88" i="11"/>
  <c r="AC88" i="11"/>
  <c r="AK88" i="11"/>
  <c r="AS88" i="11"/>
  <c r="BA88" i="11"/>
  <c r="BI88" i="11"/>
  <c r="BQ88" i="11"/>
  <c r="M89" i="11"/>
  <c r="U89" i="11"/>
  <c r="AC89" i="11"/>
  <c r="AK89" i="11"/>
  <c r="AS89" i="11"/>
  <c r="BA89" i="11"/>
  <c r="BI89" i="11"/>
  <c r="N80" i="11"/>
  <c r="V80" i="11"/>
  <c r="AD80" i="11"/>
  <c r="AL80" i="11"/>
  <c r="AT80" i="11"/>
  <c r="BB80" i="11"/>
  <c r="BJ80" i="11"/>
  <c r="BR80" i="11"/>
  <c r="N81" i="11"/>
  <c r="V81" i="11"/>
  <c r="AD81" i="11"/>
  <c r="AL81" i="11"/>
  <c r="AT81" i="11"/>
  <c r="BB81" i="11"/>
  <c r="BJ81" i="11"/>
  <c r="BR81" i="11"/>
  <c r="N82" i="11"/>
  <c r="V82" i="11"/>
  <c r="AD82" i="11"/>
  <c r="AL82" i="11"/>
  <c r="AT82" i="11"/>
  <c r="BB82" i="11"/>
  <c r="BJ82" i="11"/>
  <c r="BR82" i="11"/>
  <c r="N83" i="11"/>
  <c r="V83" i="11"/>
  <c r="AD83" i="11"/>
  <c r="AL83" i="11"/>
  <c r="AT83" i="11"/>
  <c r="BB83" i="11"/>
  <c r="BJ83" i="11"/>
  <c r="BR83" i="11"/>
  <c r="N84" i="11"/>
  <c r="V84" i="11"/>
  <c r="AD84" i="11"/>
  <c r="AL84" i="11"/>
  <c r="AT84" i="11"/>
  <c r="BB84" i="11"/>
  <c r="BJ84" i="11"/>
  <c r="BR84" i="11"/>
  <c r="N85" i="11"/>
  <c r="V85" i="11"/>
  <c r="AD85" i="11"/>
  <c r="AL85" i="11"/>
  <c r="AT85" i="11"/>
  <c r="BB85" i="11"/>
  <c r="BJ85" i="11"/>
  <c r="BR85" i="11"/>
  <c r="N86" i="11"/>
  <c r="V86" i="11"/>
  <c r="AD86" i="11"/>
  <c r="BK80" i="11"/>
  <c r="BK81" i="11"/>
  <c r="BK82" i="11"/>
  <c r="BK83" i="11"/>
  <c r="BK84" i="11"/>
  <c r="BK85" i="11"/>
  <c r="AU86" i="11"/>
  <c r="O87" i="11"/>
  <c r="AU87" i="11"/>
  <c r="O88" i="11"/>
  <c r="AU88" i="11"/>
  <c r="O89" i="11"/>
  <c r="AU89" i="11"/>
  <c r="BN89" i="11"/>
  <c r="J90" i="11"/>
  <c r="R90" i="11"/>
  <c r="Z90" i="11"/>
  <c r="AH90" i="11"/>
  <c r="AP90" i="11"/>
  <c r="AX90" i="11"/>
  <c r="BF90" i="11"/>
  <c r="BN90" i="11"/>
  <c r="J91" i="11"/>
  <c r="R91" i="11"/>
  <c r="Z91" i="11"/>
  <c r="AH91" i="11"/>
  <c r="AP91" i="11"/>
  <c r="AX91" i="11"/>
  <c r="BF91" i="11"/>
  <c r="BN91" i="11"/>
  <c r="J92" i="11"/>
  <c r="R92" i="11"/>
  <c r="Z92" i="11"/>
  <c r="AH92" i="11"/>
  <c r="AP92" i="11"/>
  <c r="AX92" i="11"/>
  <c r="BF92" i="11"/>
  <c r="BN92" i="11"/>
  <c r="J93" i="11"/>
  <c r="R93" i="11"/>
  <c r="Z93" i="11"/>
  <c r="AH93" i="11"/>
  <c r="AP93" i="11"/>
  <c r="AX93" i="11"/>
  <c r="BF93" i="11"/>
  <c r="BN93" i="11"/>
  <c r="J94" i="11"/>
  <c r="R94" i="11"/>
  <c r="Z94" i="11"/>
  <c r="AH94" i="11"/>
  <c r="AP94" i="11"/>
  <c r="AX94" i="11"/>
  <c r="BF94" i="11"/>
  <c r="BN94" i="11"/>
  <c r="J95" i="11"/>
  <c r="R95" i="11"/>
  <c r="Z95" i="11"/>
  <c r="AH95" i="11"/>
  <c r="AP95" i="11"/>
  <c r="AX95" i="11"/>
  <c r="BF95" i="11"/>
  <c r="BN95" i="11"/>
  <c r="G80" i="11"/>
  <c r="G81" i="11"/>
  <c r="G82" i="11"/>
  <c r="G83" i="11"/>
  <c r="G84" i="11"/>
  <c r="G85" i="11"/>
  <c r="G86" i="11"/>
  <c r="BB86" i="11"/>
  <c r="V87" i="11"/>
  <c r="BB87" i="11"/>
  <c r="V88" i="11"/>
  <c r="BB88" i="11"/>
  <c r="V89" i="11"/>
  <c r="BB89" i="11"/>
  <c r="BO89" i="11"/>
  <c r="K90" i="11"/>
  <c r="S90" i="11"/>
  <c r="AA90" i="11"/>
  <c r="AI90" i="11"/>
  <c r="AQ90" i="11"/>
  <c r="AY90" i="11"/>
  <c r="BG90" i="11"/>
  <c r="BO90" i="11"/>
  <c r="K91" i="11"/>
  <c r="S91" i="11"/>
  <c r="AA91" i="11"/>
  <c r="AI91" i="11"/>
  <c r="AQ91" i="11"/>
  <c r="AY91" i="11"/>
  <c r="BG91" i="11"/>
  <c r="BO91" i="11"/>
  <c r="K92" i="11"/>
  <c r="S92" i="11"/>
  <c r="AA92" i="11"/>
  <c r="AI92" i="11"/>
  <c r="AQ92" i="11"/>
  <c r="AY92" i="11"/>
  <c r="BG92" i="11"/>
  <c r="BO92" i="11"/>
  <c r="K93" i="11"/>
  <c r="S93" i="11"/>
  <c r="AA93" i="11"/>
  <c r="AI93" i="11"/>
  <c r="AQ93" i="11"/>
  <c r="AY93" i="11"/>
  <c r="BG93" i="11"/>
  <c r="BO93" i="11"/>
  <c r="K94" i="11"/>
  <c r="S94" i="11"/>
  <c r="AA94" i="11"/>
  <c r="AI94" i="11"/>
  <c r="AQ94" i="11"/>
  <c r="AY94" i="11"/>
  <c r="BG94" i="11"/>
  <c r="BO94" i="11"/>
  <c r="K95" i="11"/>
  <c r="S95" i="11"/>
  <c r="AA95" i="11"/>
  <c r="AI95" i="11"/>
  <c r="AQ95" i="11"/>
  <c r="AY95" i="11"/>
  <c r="BG95" i="11"/>
  <c r="BO95" i="11"/>
  <c r="K96" i="11"/>
  <c r="S96" i="11"/>
  <c r="AA96" i="11"/>
  <c r="AI96" i="11"/>
  <c r="AQ96" i="11"/>
  <c r="AY96" i="11"/>
  <c r="BG96" i="11"/>
  <c r="BO96" i="11"/>
  <c r="K97" i="11"/>
  <c r="S97" i="11"/>
  <c r="AA97" i="11"/>
  <c r="AI97" i="11"/>
  <c r="AQ97" i="11"/>
  <c r="AY97" i="11"/>
  <c r="BG97" i="11"/>
  <c r="BO97" i="11"/>
  <c r="K98" i="11"/>
  <c r="S98" i="11"/>
  <c r="AA98" i="11"/>
  <c r="AI98" i="11"/>
  <c r="AQ98" i="11"/>
  <c r="AY98" i="11"/>
  <c r="O80" i="11"/>
  <c r="O81" i="11"/>
  <c r="O82" i="11"/>
  <c r="O83" i="11"/>
  <c r="O84" i="11"/>
  <c r="O85" i="11"/>
  <c r="O86" i="11"/>
  <c r="BC86" i="11"/>
  <c r="W87" i="11"/>
  <c r="BC87" i="11"/>
  <c r="W88" i="11"/>
  <c r="BC88" i="11"/>
  <c r="W89" i="11"/>
  <c r="BC89" i="11"/>
  <c r="BP89" i="11"/>
  <c r="L90" i="11"/>
  <c r="T90" i="11"/>
  <c r="AB90" i="11"/>
  <c r="AJ90" i="11"/>
  <c r="AR90" i="11"/>
  <c r="AZ90" i="11"/>
  <c r="BH90" i="11"/>
  <c r="BP90" i="11"/>
  <c r="L91" i="11"/>
  <c r="T91" i="11"/>
  <c r="AB91" i="11"/>
  <c r="AJ91" i="11"/>
  <c r="AR91" i="11"/>
  <c r="AZ91" i="11"/>
  <c r="BH91" i="11"/>
  <c r="BP91" i="11"/>
  <c r="L92" i="11"/>
  <c r="T92" i="11"/>
  <c r="AB92" i="11"/>
  <c r="AJ92" i="11"/>
  <c r="AR92" i="11"/>
  <c r="AZ92" i="11"/>
  <c r="BH92" i="11"/>
  <c r="BP92" i="11"/>
  <c r="L93" i="11"/>
  <c r="T93" i="11"/>
  <c r="AB93" i="11"/>
  <c r="AJ93" i="11"/>
  <c r="AR93" i="11"/>
  <c r="AZ93" i="11"/>
  <c r="BH93" i="11"/>
  <c r="BP93" i="11"/>
  <c r="L94" i="11"/>
  <c r="T94" i="11"/>
  <c r="AB94" i="11"/>
  <c r="AJ94" i="11"/>
  <c r="AR94" i="11"/>
  <c r="AZ94" i="11"/>
  <c r="BH94" i="11"/>
  <c r="BP94" i="11"/>
  <c r="L95" i="11"/>
  <c r="T95" i="11"/>
  <c r="AB95" i="11"/>
  <c r="AJ95" i="11"/>
  <c r="AR95" i="11"/>
  <c r="AZ95" i="11"/>
  <c r="BH95" i="11"/>
  <c r="BP95" i="11"/>
  <c r="L96" i="11"/>
  <c r="T96" i="11"/>
  <c r="AB96" i="11"/>
  <c r="AJ96" i="11"/>
  <c r="AR96" i="11"/>
  <c r="AZ96" i="11"/>
  <c r="BH96" i="11"/>
  <c r="BP96" i="11"/>
  <c r="L97" i="11"/>
  <c r="T97" i="11"/>
  <c r="AB97" i="11"/>
  <c r="AJ97" i="11"/>
  <c r="AR97" i="11"/>
  <c r="AZ97" i="11"/>
  <c r="W80" i="11"/>
  <c r="W81" i="11"/>
  <c r="W82" i="11"/>
  <c r="W83" i="11"/>
  <c r="W84" i="11"/>
  <c r="W85" i="11"/>
  <c r="W86" i="11"/>
  <c r="BJ86" i="11"/>
  <c r="AD87" i="11"/>
  <c r="BJ87" i="11"/>
  <c r="AD88" i="11"/>
  <c r="BJ88" i="11"/>
  <c r="AD89" i="11"/>
  <c r="BG89" i="11"/>
  <c r="BQ89" i="11"/>
  <c r="M90" i="11"/>
  <c r="U90" i="11"/>
  <c r="AC90" i="11"/>
  <c r="AK90" i="11"/>
  <c r="AS90" i="11"/>
  <c r="BA90" i="11"/>
  <c r="BI90" i="11"/>
  <c r="BQ90" i="11"/>
  <c r="M91" i="11"/>
  <c r="U91" i="11"/>
  <c r="AC91" i="11"/>
  <c r="AK91" i="11"/>
  <c r="AS91" i="11"/>
  <c r="BA91" i="11"/>
  <c r="BI91" i="11"/>
  <c r="BQ91" i="11"/>
  <c r="M92" i="11"/>
  <c r="U92" i="11"/>
  <c r="AC92" i="11"/>
  <c r="AK92" i="11"/>
  <c r="AS92" i="11"/>
  <c r="BA92" i="11"/>
  <c r="BI92" i="11"/>
  <c r="BQ92" i="11"/>
  <c r="M93" i="11"/>
  <c r="U93" i="11"/>
  <c r="AC93" i="11"/>
  <c r="AK93" i="11"/>
  <c r="AS93" i="11"/>
  <c r="BA93" i="11"/>
  <c r="BI93" i="11"/>
  <c r="BQ93" i="11"/>
  <c r="M94" i="11"/>
  <c r="U94" i="11"/>
  <c r="AC94" i="11"/>
  <c r="AK94" i="11"/>
  <c r="AS94" i="11"/>
  <c r="BA94" i="11"/>
  <c r="BI94" i="11"/>
  <c r="BQ94" i="11"/>
  <c r="M95" i="11"/>
  <c r="U95" i="11"/>
  <c r="AC95" i="11"/>
  <c r="AK95" i="11"/>
  <c r="AS95" i="11"/>
  <c r="BA95" i="11"/>
  <c r="BI95" i="11"/>
  <c r="AE80" i="11"/>
  <c r="AE81" i="11"/>
  <c r="AE82" i="11"/>
  <c r="AE83" i="11"/>
  <c r="AE84" i="11"/>
  <c r="AE85" i="11"/>
  <c r="AE86" i="11"/>
  <c r="BK86" i="11"/>
  <c r="AE87" i="11"/>
  <c r="BK87" i="11"/>
  <c r="AE88" i="11"/>
  <c r="BK88" i="11"/>
  <c r="AE89" i="11"/>
  <c r="BJ89" i="11"/>
  <c r="BR89" i="11"/>
  <c r="N90" i="11"/>
  <c r="V90" i="11"/>
  <c r="AD90" i="11"/>
  <c r="AL90" i="11"/>
  <c r="AT90" i="11"/>
  <c r="BB90" i="11"/>
  <c r="BJ90" i="11"/>
  <c r="BR90" i="11"/>
  <c r="N91" i="11"/>
  <c r="V91" i="11"/>
  <c r="AD91" i="11"/>
  <c r="AL91" i="11"/>
  <c r="AT91" i="11"/>
  <c r="BB91" i="11"/>
  <c r="BJ91" i="11"/>
  <c r="BR91" i="11"/>
  <c r="N92" i="11"/>
  <c r="V92" i="11"/>
  <c r="AD92" i="11"/>
  <c r="AL92" i="11"/>
  <c r="AT92" i="11"/>
  <c r="BB92" i="11"/>
  <c r="BJ92" i="11"/>
  <c r="BR92" i="11"/>
  <c r="N93" i="11"/>
  <c r="V93" i="11"/>
  <c r="AD93" i="11"/>
  <c r="AL93" i="11"/>
  <c r="AT93" i="11"/>
  <c r="BB93" i="11"/>
  <c r="BJ93" i="11"/>
  <c r="BR93" i="11"/>
  <c r="N94" i="11"/>
  <c r="V94" i="11"/>
  <c r="AD94" i="11"/>
  <c r="AL94" i="11"/>
  <c r="AT94" i="11"/>
  <c r="BB94" i="11"/>
  <c r="BJ94" i="11"/>
  <c r="BR94" i="11"/>
  <c r="N95" i="11"/>
  <c r="V95" i="11"/>
  <c r="AD95" i="11"/>
  <c r="AL95" i="11"/>
  <c r="AT95" i="11"/>
  <c r="BB95" i="11"/>
  <c r="BJ95" i="11"/>
  <c r="BR95" i="11"/>
  <c r="AM80" i="11"/>
  <c r="AM81" i="11"/>
  <c r="AM82" i="11"/>
  <c r="AM83" i="11"/>
  <c r="AM84" i="11"/>
  <c r="AM85" i="11"/>
  <c r="AL86" i="11"/>
  <c r="BR86" i="11"/>
  <c r="AL87" i="11"/>
  <c r="BR87" i="11"/>
  <c r="AL88" i="11"/>
  <c r="BR88" i="11"/>
  <c r="AL89" i="11"/>
  <c r="BK89" i="11"/>
  <c r="G90" i="11"/>
  <c r="O90" i="11"/>
  <c r="W90" i="11"/>
  <c r="AE90" i="11"/>
  <c r="AM90" i="11"/>
  <c r="AU90" i="11"/>
  <c r="BC90" i="11"/>
  <c r="BK90" i="11"/>
  <c r="G91" i="11"/>
  <c r="O91" i="11"/>
  <c r="W91" i="11"/>
  <c r="AE91" i="11"/>
  <c r="AM91" i="11"/>
  <c r="AU91" i="11"/>
  <c r="BC91" i="11"/>
  <c r="BK91" i="11"/>
  <c r="G92" i="11"/>
  <c r="O92" i="11"/>
  <c r="W92" i="11"/>
  <c r="AE92" i="11"/>
  <c r="AM92" i="11"/>
  <c r="AU92" i="11"/>
  <c r="BC92" i="11"/>
  <c r="BK92" i="11"/>
  <c r="G93" i="11"/>
  <c r="O93" i="11"/>
  <c r="W93" i="11"/>
  <c r="AE93" i="11"/>
  <c r="AM93" i="11"/>
  <c r="AU93" i="11"/>
  <c r="BC93" i="11"/>
  <c r="BK93" i="11"/>
  <c r="G94" i="11"/>
  <c r="O94" i="11"/>
  <c r="W94" i="11"/>
  <c r="AE94" i="11"/>
  <c r="AM94" i="11"/>
  <c r="AU94" i="11"/>
  <c r="BC94" i="11"/>
  <c r="BK94" i="11"/>
  <c r="G95" i="11"/>
  <c r="O95" i="11"/>
  <c r="W95" i="11"/>
  <c r="AE95" i="11"/>
  <c r="AM95" i="11"/>
  <c r="AU95" i="11"/>
  <c r="BC95" i="11"/>
  <c r="BK95" i="11"/>
  <c r="G96" i="11"/>
  <c r="O96" i="11"/>
  <c r="W96" i="11"/>
  <c r="AE96" i="11"/>
  <c r="AM96" i="11"/>
  <c r="AU96" i="11"/>
  <c r="BC96" i="11"/>
  <c r="BK96" i="11"/>
  <c r="G97" i="11"/>
  <c r="O97" i="11"/>
  <c r="W97" i="11"/>
  <c r="AE97" i="11"/>
  <c r="AM97" i="11"/>
  <c r="AU97" i="11"/>
  <c r="BC97" i="11"/>
  <c r="BK97" i="11"/>
  <c r="G98" i="11"/>
  <c r="O98" i="11"/>
  <c r="W98" i="11"/>
  <c r="AE98" i="11"/>
  <c r="AM98" i="11"/>
  <c r="AU98" i="11"/>
  <c r="AU80" i="11"/>
  <c r="AU81" i="11"/>
  <c r="AU82" i="11"/>
  <c r="AU83" i="11"/>
  <c r="AU84" i="11"/>
  <c r="AU85" i="11"/>
  <c r="AM86" i="11"/>
  <c r="G87" i="11"/>
  <c r="AM87" i="11"/>
  <c r="G88" i="11"/>
  <c r="AM88" i="11"/>
  <c r="G89" i="11"/>
  <c r="AM89" i="11"/>
  <c r="BL89" i="11"/>
  <c r="H90" i="11"/>
  <c r="P90" i="11"/>
  <c r="X90" i="11"/>
  <c r="AF90" i="11"/>
  <c r="AN90" i="11"/>
  <c r="AV90" i="11"/>
  <c r="BD90" i="11"/>
  <c r="BL90" i="11"/>
  <c r="H91" i="11"/>
  <c r="P91" i="11"/>
  <c r="X91" i="11"/>
  <c r="AF91" i="11"/>
  <c r="AN91" i="11"/>
  <c r="AV91" i="11"/>
  <c r="BD91" i="11"/>
  <c r="BL91" i="11"/>
  <c r="H92" i="11"/>
  <c r="P92" i="11"/>
  <c r="X92" i="11"/>
  <c r="AF92" i="11"/>
  <c r="AN92" i="11"/>
  <c r="AV92" i="11"/>
  <c r="BD92" i="11"/>
  <c r="BL92" i="11"/>
  <c r="H93" i="11"/>
  <c r="P93" i="11"/>
  <c r="X93" i="11"/>
  <c r="AF93" i="11"/>
  <c r="AN93" i="11"/>
  <c r="AV93" i="11"/>
  <c r="BD93" i="11"/>
  <c r="BL93" i="11"/>
  <c r="H94" i="11"/>
  <c r="P94" i="11"/>
  <c r="X94" i="11"/>
  <c r="AF94" i="11"/>
  <c r="AN94" i="11"/>
  <c r="AV94" i="11"/>
  <c r="BD94" i="11"/>
  <c r="BL94" i="11"/>
  <c r="H95" i="11"/>
  <c r="P95" i="11"/>
  <c r="X95" i="11"/>
  <c r="AF95" i="11"/>
  <c r="AN95" i="11"/>
  <c r="AV95" i="11"/>
  <c r="BD95" i="11"/>
  <c r="BL95" i="11"/>
  <c r="H96" i="11"/>
  <c r="P96" i="11"/>
  <c r="X96" i="11"/>
  <c r="AF96" i="11"/>
  <c r="AN96" i="11"/>
  <c r="AV96" i="11"/>
  <c r="BD96" i="11"/>
  <c r="BL96" i="11"/>
  <c r="H97" i="11"/>
  <c r="P97" i="11"/>
  <c r="X97" i="11"/>
  <c r="AF97" i="11"/>
  <c r="AN97" i="11"/>
  <c r="AV97" i="11"/>
  <c r="BC82" i="11"/>
  <c r="AT88" i="11"/>
  <c r="AO90" i="11"/>
  <c r="AO91" i="11"/>
  <c r="AO92" i="11"/>
  <c r="AO93" i="11"/>
  <c r="AO94" i="11"/>
  <c r="AO95" i="11"/>
  <c r="N96" i="11"/>
  <c r="AD96" i="11"/>
  <c r="AT96" i="11"/>
  <c r="BJ96" i="11"/>
  <c r="N97" i="11"/>
  <c r="AD97" i="11"/>
  <c r="AT97" i="11"/>
  <c r="BH97" i="11"/>
  <c r="BR97" i="11"/>
  <c r="Q98" i="11"/>
  <c r="AB98" i="11"/>
  <c r="AL98" i="11"/>
  <c r="AW98" i="11"/>
  <c r="BF98" i="11"/>
  <c r="BN98" i="11"/>
  <c r="J99" i="11"/>
  <c r="R99" i="11"/>
  <c r="Z99" i="11"/>
  <c r="AH99" i="11"/>
  <c r="AP99" i="11"/>
  <c r="AX99" i="11"/>
  <c r="BF99" i="11"/>
  <c r="BN99" i="11"/>
  <c r="J100" i="11"/>
  <c r="R100" i="11"/>
  <c r="Z100" i="11"/>
  <c r="AH100" i="11"/>
  <c r="AP100" i="11"/>
  <c r="AX100" i="11"/>
  <c r="BF100" i="11"/>
  <c r="BN100" i="11"/>
  <c r="J101" i="11"/>
  <c r="R101" i="11"/>
  <c r="Z101" i="11"/>
  <c r="AH101" i="11"/>
  <c r="AP101" i="11"/>
  <c r="AX101" i="11"/>
  <c r="BF101" i="11"/>
  <c r="BC83" i="11"/>
  <c r="N89" i="11"/>
  <c r="AW90" i="11"/>
  <c r="AW91" i="11"/>
  <c r="AW92" i="11"/>
  <c r="AW93" i="11"/>
  <c r="AW94" i="11"/>
  <c r="AW95" i="11"/>
  <c r="Q96" i="11"/>
  <c r="AG96" i="11"/>
  <c r="AW96" i="11"/>
  <c r="BM96" i="11"/>
  <c r="Q97" i="11"/>
  <c r="AG97" i="11"/>
  <c r="AW97" i="11"/>
  <c r="BI97" i="11"/>
  <c r="H98" i="11"/>
  <c r="R98" i="11"/>
  <c r="AC98" i="11"/>
  <c r="AN98" i="11"/>
  <c r="AX98" i="11"/>
  <c r="BG98" i="11"/>
  <c r="BO98" i="11"/>
  <c r="K99" i="11"/>
  <c r="S99" i="11"/>
  <c r="AA99" i="11"/>
  <c r="AI99" i="11"/>
  <c r="AQ99" i="11"/>
  <c r="AY99" i="11"/>
  <c r="BG99" i="11"/>
  <c r="BO99" i="11"/>
  <c r="K100" i="11"/>
  <c r="S100" i="11"/>
  <c r="AA100" i="11"/>
  <c r="AI100" i="11"/>
  <c r="AQ100" i="11"/>
  <c r="AY100" i="11"/>
  <c r="BG100" i="11"/>
  <c r="BO100" i="11"/>
  <c r="K101" i="11"/>
  <c r="S101" i="11"/>
  <c r="AA101" i="11"/>
  <c r="AI101" i="11"/>
  <c r="AQ101" i="11"/>
  <c r="AY101" i="11"/>
  <c r="BG101" i="11"/>
  <c r="BO101" i="11"/>
  <c r="K102" i="11"/>
  <c r="S102" i="11"/>
  <c r="AA102" i="11"/>
  <c r="AI102" i="11"/>
  <c r="AQ102" i="11"/>
  <c r="AY102" i="11"/>
  <c r="BG102" i="11"/>
  <c r="BO102" i="11"/>
  <c r="K103" i="11"/>
  <c r="S103" i="11"/>
  <c r="AA103" i="11"/>
  <c r="AI103" i="11"/>
  <c r="AQ103" i="11"/>
  <c r="BC84" i="11"/>
  <c r="AT89" i="11"/>
  <c r="BE90" i="11"/>
  <c r="BE91" i="11"/>
  <c r="BE92" i="11"/>
  <c r="BE93" i="11"/>
  <c r="BE94" i="11"/>
  <c r="BE95" i="11"/>
  <c r="R96" i="11"/>
  <c r="AH96" i="11"/>
  <c r="AX96" i="11"/>
  <c r="BN96" i="11"/>
  <c r="R97" i="11"/>
  <c r="AH97" i="11"/>
  <c r="AX97" i="11"/>
  <c r="BJ97" i="11"/>
  <c r="I98" i="11"/>
  <c r="T98" i="11"/>
  <c r="AD98" i="11"/>
  <c r="AO98" i="11"/>
  <c r="AZ98" i="11"/>
  <c r="BH98" i="11"/>
  <c r="BP98" i="11"/>
  <c r="L99" i="11"/>
  <c r="T99" i="11"/>
  <c r="AB99" i="11"/>
  <c r="AJ99" i="11"/>
  <c r="AR99" i="11"/>
  <c r="AZ99" i="11"/>
  <c r="BH99" i="11"/>
  <c r="BP99" i="11"/>
  <c r="L100" i="11"/>
  <c r="T100" i="11"/>
  <c r="AB100" i="11"/>
  <c r="AJ100" i="11"/>
  <c r="AR100" i="11"/>
  <c r="AZ100" i="11"/>
  <c r="BH100" i="11"/>
  <c r="BP100" i="11"/>
  <c r="L101" i="11"/>
  <c r="T101" i="11"/>
  <c r="AB101" i="11"/>
  <c r="AJ101" i="11"/>
  <c r="AR101" i="11"/>
  <c r="AZ101" i="11"/>
  <c r="BH101" i="11"/>
  <c r="BP101" i="11"/>
  <c r="L102" i="11"/>
  <c r="T102" i="11"/>
  <c r="AB102" i="11"/>
  <c r="AJ102" i="11"/>
  <c r="AR102" i="11"/>
  <c r="AZ102" i="11"/>
  <c r="BH102" i="11"/>
  <c r="BP102" i="11"/>
  <c r="L103" i="11"/>
  <c r="T103" i="11"/>
  <c r="AB103" i="11"/>
  <c r="AJ103" i="11"/>
  <c r="AR103" i="11"/>
  <c r="AZ103" i="11"/>
  <c r="BH103" i="11"/>
  <c r="BP103" i="11"/>
  <c r="L104" i="11"/>
  <c r="T104" i="11"/>
  <c r="AB104" i="11"/>
  <c r="AJ104" i="11"/>
  <c r="AR104" i="11"/>
  <c r="AZ104" i="11"/>
  <c r="BH104" i="11"/>
  <c r="BP104" i="11"/>
  <c r="L105" i="11"/>
  <c r="T105" i="11"/>
  <c r="AB105" i="11"/>
  <c r="AJ105" i="11"/>
  <c r="AR105" i="11"/>
  <c r="AZ105" i="11"/>
  <c r="BH105" i="11"/>
  <c r="BP105" i="11"/>
  <c r="L106" i="11"/>
  <c r="T106" i="11"/>
  <c r="AB106" i="11"/>
  <c r="AJ106" i="11"/>
  <c r="AR106" i="11"/>
  <c r="AZ106" i="11"/>
  <c r="BC85" i="11"/>
  <c r="BM89" i="11"/>
  <c r="BM90" i="11"/>
  <c r="BM91" i="11"/>
  <c r="BM92" i="11"/>
  <c r="BM93" i="11"/>
  <c r="BM94" i="11"/>
  <c r="BM95" i="11"/>
  <c r="U96" i="11"/>
  <c r="AK96" i="11"/>
  <c r="BA96" i="11"/>
  <c r="BQ96" i="11"/>
  <c r="U97" i="11"/>
  <c r="AK97" i="11"/>
  <c r="BA97" i="11"/>
  <c r="BL97" i="11"/>
  <c r="J98" i="11"/>
  <c r="U98" i="11"/>
  <c r="AF98" i="11"/>
  <c r="AP98" i="11"/>
  <c r="BA98" i="11"/>
  <c r="BI98" i="11"/>
  <c r="BQ98" i="11"/>
  <c r="M99" i="11"/>
  <c r="U99" i="11"/>
  <c r="AC99" i="11"/>
  <c r="AK99" i="11"/>
  <c r="AS99" i="11"/>
  <c r="BA99" i="11"/>
  <c r="BI99" i="11"/>
  <c r="BQ99" i="11"/>
  <c r="M100" i="11"/>
  <c r="U100" i="11"/>
  <c r="AC100" i="11"/>
  <c r="AK100" i="11"/>
  <c r="AS100" i="11"/>
  <c r="BA100" i="11"/>
  <c r="BI100" i="11"/>
  <c r="BQ100" i="11"/>
  <c r="M101" i="11"/>
  <c r="U101" i="11"/>
  <c r="AC101" i="11"/>
  <c r="AK101" i="11"/>
  <c r="AS101" i="11"/>
  <c r="BA101" i="11"/>
  <c r="AT86" i="11"/>
  <c r="I90" i="11"/>
  <c r="I91" i="11"/>
  <c r="I92" i="11"/>
  <c r="I93" i="11"/>
  <c r="I94" i="11"/>
  <c r="I95" i="11"/>
  <c r="BQ95" i="11"/>
  <c r="V96" i="11"/>
  <c r="AL96" i="11"/>
  <c r="BB96" i="11"/>
  <c r="BR96" i="11"/>
  <c r="V97" i="11"/>
  <c r="AL97" i="11"/>
  <c r="BB97" i="11"/>
  <c r="BM97" i="11"/>
  <c r="L98" i="11"/>
  <c r="V98" i="11"/>
  <c r="AG98" i="11"/>
  <c r="AR98" i="11"/>
  <c r="BB98" i="11"/>
  <c r="BJ98" i="11"/>
  <c r="BR98" i="11"/>
  <c r="N99" i="11"/>
  <c r="V99" i="11"/>
  <c r="AD99" i="11"/>
  <c r="AL99" i="11"/>
  <c r="AT99" i="11"/>
  <c r="BB99" i="11"/>
  <c r="BJ99" i="11"/>
  <c r="BR99" i="11"/>
  <c r="N100" i="11"/>
  <c r="V100" i="11"/>
  <c r="AD100" i="11"/>
  <c r="AL100" i="11"/>
  <c r="AT100" i="11"/>
  <c r="BB100" i="11"/>
  <c r="BJ100" i="11"/>
  <c r="BR100" i="11"/>
  <c r="N101" i="11"/>
  <c r="V101" i="11"/>
  <c r="AD101" i="11"/>
  <c r="AL101" i="11"/>
  <c r="AT101" i="11"/>
  <c r="BB101" i="11"/>
  <c r="BJ101" i="11"/>
  <c r="BR101" i="11"/>
  <c r="N102" i="11"/>
  <c r="V102" i="11"/>
  <c r="AD102" i="11"/>
  <c r="AL102" i="11"/>
  <c r="AT102" i="11"/>
  <c r="BB102" i="11"/>
  <c r="BJ102" i="11"/>
  <c r="BR102" i="11"/>
  <c r="N103" i="11"/>
  <c r="V103" i="11"/>
  <c r="AD103" i="11"/>
  <c r="N87" i="11"/>
  <c r="Q90" i="11"/>
  <c r="Q91" i="11"/>
  <c r="Q92" i="11"/>
  <c r="Q93" i="11"/>
  <c r="Q94" i="11"/>
  <c r="Q95" i="11"/>
  <c r="I96" i="11"/>
  <c r="Y96" i="11"/>
  <c r="AO96" i="11"/>
  <c r="BE96" i="11"/>
  <c r="I97" i="11"/>
  <c r="Y97" i="11"/>
  <c r="AO97" i="11"/>
  <c r="BD97" i="11"/>
  <c r="BN97" i="11"/>
  <c r="M98" i="11"/>
  <c r="X98" i="11"/>
  <c r="AH98" i="11"/>
  <c r="AS98" i="11"/>
  <c r="BC98" i="11"/>
  <c r="BK98" i="11"/>
  <c r="G99" i="11"/>
  <c r="O99" i="11"/>
  <c r="W99" i="11"/>
  <c r="AE99" i="11"/>
  <c r="AM99" i="11"/>
  <c r="AU99" i="11"/>
  <c r="BC99" i="11"/>
  <c r="BK99" i="11"/>
  <c r="G100" i="11"/>
  <c r="O100" i="11"/>
  <c r="W100" i="11"/>
  <c r="AE100" i="11"/>
  <c r="AM100" i="11"/>
  <c r="AU100" i="11"/>
  <c r="BC100" i="11"/>
  <c r="BK100" i="11"/>
  <c r="G101" i="11"/>
  <c r="O101" i="11"/>
  <c r="W101" i="11"/>
  <c r="AE101" i="11"/>
  <c r="AM101" i="11"/>
  <c r="AU101" i="11"/>
  <c r="BC101" i="11"/>
  <c r="BK101" i="11"/>
  <c r="G102" i="11"/>
  <c r="O102" i="11"/>
  <c r="W102" i="11"/>
  <c r="AE102" i="11"/>
  <c r="AM102" i="11"/>
  <c r="AU102" i="11"/>
  <c r="BC102" i="11"/>
  <c r="BK102" i="11"/>
  <c r="G103" i="11"/>
  <c r="O103" i="11"/>
  <c r="W103" i="11"/>
  <c r="AE103" i="11"/>
  <c r="BC80" i="11"/>
  <c r="AT87" i="11"/>
  <c r="Y90" i="11"/>
  <c r="Y91" i="11"/>
  <c r="Y92" i="11"/>
  <c r="Y93" i="11"/>
  <c r="Y94" i="11"/>
  <c r="Y95" i="11"/>
  <c r="J96" i="11"/>
  <c r="Z96" i="11"/>
  <c r="AP96" i="11"/>
  <c r="BF96" i="11"/>
  <c r="J97" i="11"/>
  <c r="Z97" i="11"/>
  <c r="AP97" i="11"/>
  <c r="BE97" i="11"/>
  <c r="BP97" i="11"/>
  <c r="N98" i="11"/>
  <c r="Y98" i="11"/>
  <c r="AJ98" i="11"/>
  <c r="AT98" i="11"/>
  <c r="BD98" i="11"/>
  <c r="BL98" i="11"/>
  <c r="H99" i="11"/>
  <c r="P99" i="11"/>
  <c r="X99" i="11"/>
  <c r="AF99" i="11"/>
  <c r="AN99" i="11"/>
  <c r="AV99" i="11"/>
  <c r="BD99" i="11"/>
  <c r="BL99" i="11"/>
  <c r="H100" i="11"/>
  <c r="P100" i="11"/>
  <c r="X100" i="11"/>
  <c r="AF100" i="11"/>
  <c r="AN100" i="11"/>
  <c r="AV100" i="11"/>
  <c r="BD100" i="11"/>
  <c r="BL100" i="11"/>
  <c r="H101" i="11"/>
  <c r="P101" i="11"/>
  <c r="X101" i="11"/>
  <c r="AF101" i="11"/>
  <c r="AN101" i="11"/>
  <c r="AV101" i="11"/>
  <c r="BD101" i="11"/>
  <c r="BL101" i="11"/>
  <c r="H102" i="11"/>
  <c r="P102" i="11"/>
  <c r="X102" i="11"/>
  <c r="AF102" i="11"/>
  <c r="AN102" i="11"/>
  <c r="AV102" i="11"/>
  <c r="BD102" i="11"/>
  <c r="BL102" i="11"/>
  <c r="H103" i="11"/>
  <c r="P103" i="11"/>
  <c r="X103" i="11"/>
  <c r="AF103" i="11"/>
  <c r="AN103" i="11"/>
  <c r="AV103" i="11"/>
  <c r="BD103" i="11"/>
  <c r="BL103" i="11"/>
  <c r="H104" i="11"/>
  <c r="P104" i="11"/>
  <c r="X104" i="11"/>
  <c r="AF104" i="11"/>
  <c r="AN104" i="11"/>
  <c r="AV104" i="11"/>
  <c r="BD104" i="11"/>
  <c r="BL104" i="11"/>
  <c r="H105" i="11"/>
  <c r="P105" i="11"/>
  <c r="X105" i="11"/>
  <c r="AF105" i="11"/>
  <c r="AN105" i="11"/>
  <c r="AV105" i="11"/>
  <c r="BD105" i="11"/>
  <c r="BL105" i="11"/>
  <c r="H106" i="11"/>
  <c r="P106" i="11"/>
  <c r="X106" i="11"/>
  <c r="AF106" i="11"/>
  <c r="AN106" i="11"/>
  <c r="AV106" i="11"/>
  <c r="AG91" i="11"/>
  <c r="BI96" i="11"/>
  <c r="AK98" i="11"/>
  <c r="AO99" i="11"/>
  <c r="AO100" i="11"/>
  <c r="AO101" i="11"/>
  <c r="J102" i="11"/>
  <c r="AG102" i="11"/>
  <c r="BA102" i="11"/>
  <c r="J103" i="11"/>
  <c r="AG103" i="11"/>
  <c r="AT103" i="11"/>
  <c r="BE103" i="11"/>
  <c r="BO103" i="11"/>
  <c r="N104" i="11"/>
  <c r="Y104" i="11"/>
  <c r="AI104" i="11"/>
  <c r="AT104" i="11"/>
  <c r="BE104" i="11"/>
  <c r="BO104" i="11"/>
  <c r="N105" i="11"/>
  <c r="Y105" i="11"/>
  <c r="AI105" i="11"/>
  <c r="AT105" i="11"/>
  <c r="BE105" i="11"/>
  <c r="BO105" i="11"/>
  <c r="N106" i="11"/>
  <c r="Y106" i="11"/>
  <c r="AI106" i="11"/>
  <c r="AT106" i="11"/>
  <c r="BD106" i="11"/>
  <c r="BL106" i="11"/>
  <c r="H107" i="11"/>
  <c r="P107" i="11"/>
  <c r="X107" i="11"/>
  <c r="AF107" i="11"/>
  <c r="AN107" i="11"/>
  <c r="AV107" i="11"/>
  <c r="BD107" i="11"/>
  <c r="BL107" i="11"/>
  <c r="H108" i="11"/>
  <c r="P108" i="11"/>
  <c r="X108" i="11"/>
  <c r="AF108" i="11"/>
  <c r="AN108" i="11"/>
  <c r="AV108" i="11"/>
  <c r="BD108" i="11"/>
  <c r="BL108" i="11"/>
  <c r="AG92" i="11"/>
  <c r="M97" i="11"/>
  <c r="AV98" i="11"/>
  <c r="AW99" i="11"/>
  <c r="AW100" i="11"/>
  <c r="AW101" i="11"/>
  <c r="M102" i="11"/>
  <c r="AH102" i="11"/>
  <c r="BE102" i="11"/>
  <c r="M103" i="11"/>
  <c r="AH103" i="11"/>
  <c r="AU103" i="11"/>
  <c r="BF103" i="11"/>
  <c r="BQ103" i="11"/>
  <c r="O104" i="11"/>
  <c r="Z104" i="11"/>
  <c r="AK104" i="11"/>
  <c r="AU104" i="11"/>
  <c r="BF104" i="11"/>
  <c r="BQ104" i="11"/>
  <c r="O105" i="11"/>
  <c r="Z105" i="11"/>
  <c r="AK105" i="11"/>
  <c r="AU105" i="11"/>
  <c r="BF105" i="11"/>
  <c r="BQ105" i="11"/>
  <c r="O106" i="11"/>
  <c r="Z106" i="11"/>
  <c r="AK106" i="11"/>
  <c r="AU106" i="11"/>
  <c r="BE106" i="11"/>
  <c r="BM106" i="11"/>
  <c r="I107" i="11"/>
  <c r="Q107" i="11"/>
  <c r="Y107" i="11"/>
  <c r="AG107" i="11"/>
  <c r="AO107" i="11"/>
  <c r="AW107" i="11"/>
  <c r="BE107" i="11"/>
  <c r="BM107" i="11"/>
  <c r="I108" i="11"/>
  <c r="Q108" i="11"/>
  <c r="Y108" i="11"/>
  <c r="AG108" i="11"/>
  <c r="AO108" i="11"/>
  <c r="AW108" i="11"/>
  <c r="BE108" i="11"/>
  <c r="BM108" i="11"/>
  <c r="AG93" i="11"/>
  <c r="AC97" i="11"/>
  <c r="BE98" i="11"/>
  <c r="BE99" i="11"/>
  <c r="BE100" i="11"/>
  <c r="BE101" i="11"/>
  <c r="Q102" i="11"/>
  <c r="AK102" i="11"/>
  <c r="BF102" i="11"/>
  <c r="Q103" i="11"/>
  <c r="AK103" i="11"/>
  <c r="AW103" i="11"/>
  <c r="BG103" i="11"/>
  <c r="BR103" i="11"/>
  <c r="Q104" i="11"/>
  <c r="AA104" i="11"/>
  <c r="AL104" i="11"/>
  <c r="AW104" i="11"/>
  <c r="BG104" i="11"/>
  <c r="BR104" i="11"/>
  <c r="Q105" i="11"/>
  <c r="AA105" i="11"/>
  <c r="AL105" i="11"/>
  <c r="AW105" i="11"/>
  <c r="BG105" i="11"/>
  <c r="BR105" i="11"/>
  <c r="Q106" i="11"/>
  <c r="AA106" i="11"/>
  <c r="AL106" i="11"/>
  <c r="AW106" i="11"/>
  <c r="BF106" i="11"/>
  <c r="BN106" i="11"/>
  <c r="J107" i="11"/>
  <c r="R107" i="11"/>
  <c r="Z107" i="11"/>
  <c r="AH107" i="11"/>
  <c r="AP107" i="11"/>
  <c r="AX107" i="11"/>
  <c r="BF107" i="11"/>
  <c r="BN107" i="11"/>
  <c r="J108" i="11"/>
  <c r="R108" i="11"/>
  <c r="Z108" i="11"/>
  <c r="AH108" i="11"/>
  <c r="AP108" i="11"/>
  <c r="AX108" i="11"/>
  <c r="BF108" i="11"/>
  <c r="BN108" i="11"/>
  <c r="AG94" i="11"/>
  <c r="AS97" i="11"/>
  <c r="BM98" i="11"/>
  <c r="BM99" i="11"/>
  <c r="BM100" i="11"/>
  <c r="BI101" i="11"/>
  <c r="R102" i="11"/>
  <c r="AO102" i="11"/>
  <c r="BI102" i="11"/>
  <c r="R103" i="11"/>
  <c r="AL103" i="11"/>
  <c r="AX103" i="11"/>
  <c r="BI103" i="11"/>
  <c r="G104" i="11"/>
  <c r="R104" i="11"/>
  <c r="AC104" i="11"/>
  <c r="AM104" i="11"/>
  <c r="AX104" i="11"/>
  <c r="BI104" i="11"/>
  <c r="G105" i="11"/>
  <c r="R105" i="11"/>
  <c r="AC105" i="11"/>
  <c r="AM105" i="11"/>
  <c r="AX105" i="11"/>
  <c r="BI105" i="11"/>
  <c r="G106" i="11"/>
  <c r="R106" i="11"/>
  <c r="AC106" i="11"/>
  <c r="AM106" i="11"/>
  <c r="AX106" i="11"/>
  <c r="BG106" i="11"/>
  <c r="BO106" i="11"/>
  <c r="K107" i="11"/>
  <c r="S107" i="11"/>
  <c r="AA107" i="11"/>
  <c r="AI107" i="11"/>
  <c r="AQ107" i="11"/>
  <c r="AY107" i="11"/>
  <c r="BG107" i="11"/>
  <c r="BO107" i="11"/>
  <c r="K108" i="11"/>
  <c r="S108" i="11"/>
  <c r="AA108" i="11"/>
  <c r="AI108" i="11"/>
  <c r="AQ108" i="11"/>
  <c r="AY108" i="11"/>
  <c r="BG108" i="11"/>
  <c r="BO108" i="11"/>
  <c r="AG95" i="11"/>
  <c r="BF97" i="11"/>
  <c r="I99" i="11"/>
  <c r="I100" i="11"/>
  <c r="I101" i="11"/>
  <c r="BM101" i="11"/>
  <c r="U102" i="11"/>
  <c r="AP102" i="11"/>
  <c r="BM102" i="11"/>
  <c r="U103" i="11"/>
  <c r="AM103" i="11"/>
  <c r="AY103" i="11"/>
  <c r="BJ103" i="11"/>
  <c r="I104" i="11"/>
  <c r="S104" i="11"/>
  <c r="AD104" i="11"/>
  <c r="AO104" i="11"/>
  <c r="AY104" i="11"/>
  <c r="BJ104" i="11"/>
  <c r="I105" i="11"/>
  <c r="S105" i="11"/>
  <c r="AD105" i="11"/>
  <c r="AO105" i="11"/>
  <c r="AY105" i="11"/>
  <c r="BJ105" i="11"/>
  <c r="I106" i="11"/>
  <c r="S106" i="11"/>
  <c r="AD106" i="11"/>
  <c r="AO106" i="11"/>
  <c r="AY106" i="11"/>
  <c r="BH106" i="11"/>
  <c r="BP106" i="11"/>
  <c r="L107" i="11"/>
  <c r="T107" i="11"/>
  <c r="AB107" i="11"/>
  <c r="AJ107" i="11"/>
  <c r="AR107" i="11"/>
  <c r="AZ107" i="11"/>
  <c r="BH107" i="11"/>
  <c r="BP107" i="11"/>
  <c r="L108" i="11"/>
  <c r="T108" i="11"/>
  <c r="AB108" i="11"/>
  <c r="AJ108" i="11"/>
  <c r="AR108" i="11"/>
  <c r="AZ108" i="11"/>
  <c r="BH108" i="11"/>
  <c r="BP108" i="11"/>
  <c r="N88" i="11"/>
  <c r="AC96" i="11"/>
  <c r="P98" i="11"/>
  <c r="Y99" i="11"/>
  <c r="Y100" i="11"/>
  <c r="Y101" i="11"/>
  <c r="BQ101" i="11"/>
  <c r="Z102" i="11"/>
  <c r="AW102" i="11"/>
  <c r="BQ102" i="11"/>
  <c r="Z103" i="11"/>
  <c r="AP103" i="11"/>
  <c r="BB103" i="11"/>
  <c r="BM103" i="11"/>
  <c r="K104" i="11"/>
  <c r="V104" i="11"/>
  <c r="AG104" i="11"/>
  <c r="AQ104" i="11"/>
  <c r="BB104" i="11"/>
  <c r="BM104" i="11"/>
  <c r="K105" i="11"/>
  <c r="V105" i="11"/>
  <c r="AG105" i="11"/>
  <c r="AQ105" i="11"/>
  <c r="BB105" i="11"/>
  <c r="BM105" i="11"/>
  <c r="K106" i="11"/>
  <c r="V106" i="11"/>
  <c r="AG106" i="11"/>
  <c r="AQ106" i="11"/>
  <c r="BB106" i="11"/>
  <c r="BJ106" i="11"/>
  <c r="BR106" i="11"/>
  <c r="N107" i="11"/>
  <c r="V107" i="11"/>
  <c r="AD107" i="11"/>
  <c r="AL107" i="11"/>
  <c r="AT107" i="11"/>
  <c r="BB107" i="11"/>
  <c r="BJ107" i="11"/>
  <c r="BR107" i="11"/>
  <c r="N108" i="11"/>
  <c r="V108" i="11"/>
  <c r="AD108" i="11"/>
  <c r="AL108" i="11"/>
  <c r="AT108" i="11"/>
  <c r="BB108" i="11"/>
  <c r="BJ108" i="11"/>
  <c r="BR108" i="11"/>
  <c r="AG90" i="11"/>
  <c r="AS96" i="11"/>
  <c r="Z98" i="11"/>
  <c r="AG99" i="11"/>
  <c r="AG100" i="11"/>
  <c r="AG101" i="11"/>
  <c r="I102" i="11"/>
  <c r="AC102" i="11"/>
  <c r="AX102" i="11"/>
  <c r="I103" i="11"/>
  <c r="AC103" i="11"/>
  <c r="AS103" i="11"/>
  <c r="BC103" i="11"/>
  <c r="BN103" i="11"/>
  <c r="M104" i="11"/>
  <c r="W104" i="11"/>
  <c r="AH104" i="11"/>
  <c r="AS104" i="11"/>
  <c r="BC104" i="11"/>
  <c r="BN104" i="11"/>
  <c r="M105" i="11"/>
  <c r="W105" i="11"/>
  <c r="AH105" i="11"/>
  <c r="AS105" i="11"/>
  <c r="BC105" i="11"/>
  <c r="BN105" i="11"/>
  <c r="M106" i="11"/>
  <c r="W106" i="11"/>
  <c r="AH106" i="11"/>
  <c r="AS106" i="11"/>
  <c r="BC106" i="11"/>
  <c r="BK106" i="11"/>
  <c r="G107" i="11"/>
  <c r="O107" i="11"/>
  <c r="W107" i="11"/>
  <c r="AE107" i="11"/>
  <c r="AM107" i="11"/>
  <c r="AU107" i="11"/>
  <c r="BC107" i="11"/>
  <c r="BK107" i="11"/>
  <c r="G108" i="11"/>
  <c r="O108" i="11"/>
  <c r="W108" i="11"/>
  <c r="AE108" i="11"/>
  <c r="AM108" i="11"/>
  <c r="AU108" i="11"/>
  <c r="BC108" i="11"/>
  <c r="BK108" i="11"/>
  <c r="Q99" i="11"/>
  <c r="AO103" i="11"/>
  <c r="BK104" i="11"/>
  <c r="U106" i="11"/>
  <c r="AC107" i="11"/>
  <c r="AC108" i="11"/>
  <c r="Q100" i="11"/>
  <c r="BA103" i="11"/>
  <c r="J105" i="11"/>
  <c r="AE106" i="11"/>
  <c r="AK107" i="11"/>
  <c r="AK108" i="11"/>
  <c r="Q101" i="11"/>
  <c r="BK103" i="11"/>
  <c r="U105" i="11"/>
  <c r="AP106" i="11"/>
  <c r="AS107" i="11"/>
  <c r="AS108" i="11"/>
  <c r="BN101" i="11"/>
  <c r="J104" i="11"/>
  <c r="AE105" i="11"/>
  <c r="BA106" i="11"/>
  <c r="BA107" i="11"/>
  <c r="BA108" i="11"/>
  <c r="Y102" i="11"/>
  <c r="U104" i="11"/>
  <c r="AP105" i="11"/>
  <c r="BI106" i="11"/>
  <c r="BI107" i="11"/>
  <c r="BI108" i="11"/>
  <c r="M96" i="11"/>
  <c r="BN102" i="11"/>
  <c r="AP104" i="11"/>
  <c r="BK105" i="11"/>
  <c r="M107" i="11"/>
  <c r="M108" i="11"/>
  <c r="BQ97" i="11"/>
  <c r="Y103" i="11"/>
  <c r="BA104" i="11"/>
  <c r="J106" i="11"/>
  <c r="U107" i="11"/>
  <c r="U108" i="11"/>
  <c r="BA105" i="11"/>
  <c r="BQ106" i="11"/>
  <c r="BQ107" i="11"/>
  <c r="BQ108" i="11"/>
  <c r="AS102" i="11"/>
  <c r="AE104" i="11"/>
  <c r="BC81" i="11"/>
  <c r="G80" i="12"/>
  <c r="O80" i="12"/>
  <c r="W80" i="12"/>
  <c r="AE80" i="12"/>
  <c r="AM80" i="12"/>
  <c r="AU80" i="12"/>
  <c r="BC80" i="12"/>
  <c r="BK80" i="12"/>
  <c r="G81" i="12"/>
  <c r="O81" i="12"/>
  <c r="W81" i="12"/>
  <c r="AE81" i="12"/>
  <c r="AM81" i="12"/>
  <c r="AU81" i="12"/>
  <c r="BC81" i="12"/>
  <c r="BK81" i="12"/>
  <c r="G82" i="12"/>
  <c r="O82" i="12"/>
  <c r="W82" i="12"/>
  <c r="AE82" i="12"/>
  <c r="AM82" i="12"/>
  <c r="AU82" i="12"/>
  <c r="BC82" i="12"/>
  <c r="BK82" i="12"/>
  <c r="G83" i="12"/>
  <c r="O83" i="12"/>
  <c r="W83" i="12"/>
  <c r="AE83" i="12"/>
  <c r="AM83" i="12"/>
  <c r="AU83" i="12"/>
  <c r="BC83" i="12"/>
  <c r="BK83" i="12"/>
  <c r="G84" i="12"/>
  <c r="O84" i="12"/>
  <c r="W84" i="12"/>
  <c r="AE84" i="12"/>
  <c r="AM84" i="12"/>
  <c r="AU84" i="12"/>
  <c r="BC84" i="12"/>
  <c r="BK84" i="12"/>
  <c r="G85" i="12"/>
  <c r="O85" i="12"/>
  <c r="W85" i="12"/>
  <c r="AE85" i="12"/>
  <c r="AM85" i="12"/>
  <c r="AU85" i="12"/>
  <c r="BC85" i="12"/>
  <c r="BK85" i="12"/>
  <c r="G86" i="12"/>
  <c r="O86" i="12"/>
  <c r="W86" i="12"/>
  <c r="AE86" i="12"/>
  <c r="AM86" i="12"/>
  <c r="AU86" i="12"/>
  <c r="BC86" i="12"/>
  <c r="BK86" i="12"/>
  <c r="G87" i="12"/>
  <c r="O87" i="12"/>
  <c r="W87" i="12"/>
  <c r="AE87" i="12"/>
  <c r="AM87" i="12"/>
  <c r="AU87" i="12"/>
  <c r="BC87" i="12"/>
  <c r="BK87" i="12"/>
  <c r="G88" i="12"/>
  <c r="O88" i="12"/>
  <c r="W88" i="12"/>
  <c r="AE88" i="12"/>
  <c r="AM88" i="12"/>
  <c r="AU88" i="12"/>
  <c r="BC88" i="12"/>
  <c r="BK88" i="12"/>
  <c r="G89" i="12"/>
  <c r="H80" i="12"/>
  <c r="P80" i="12"/>
  <c r="X80" i="12"/>
  <c r="AF80" i="12"/>
  <c r="AN80" i="12"/>
  <c r="AV80" i="12"/>
  <c r="BD80" i="12"/>
  <c r="BL80" i="12"/>
  <c r="H81" i="12"/>
  <c r="P81" i="12"/>
  <c r="X81" i="12"/>
  <c r="AF81" i="12"/>
  <c r="AN81" i="12"/>
  <c r="AV81" i="12"/>
  <c r="BD81" i="12"/>
  <c r="BL81" i="12"/>
  <c r="H82" i="12"/>
  <c r="P82" i="12"/>
  <c r="X82" i="12"/>
  <c r="AF82" i="12"/>
  <c r="AN82" i="12"/>
  <c r="AV82" i="12"/>
  <c r="BD82" i="12"/>
  <c r="BL82" i="12"/>
  <c r="H83" i="12"/>
  <c r="P83" i="12"/>
  <c r="X83" i="12"/>
  <c r="AF83" i="12"/>
  <c r="AN83" i="12"/>
  <c r="AV83" i="12"/>
  <c r="BD83" i="12"/>
  <c r="BL83" i="12"/>
  <c r="H84" i="12"/>
  <c r="P84" i="12"/>
  <c r="X84" i="12"/>
  <c r="AF84" i="12"/>
  <c r="AN84" i="12"/>
  <c r="AV84" i="12"/>
  <c r="BD84" i="12"/>
  <c r="BL84" i="12"/>
  <c r="H85" i="12"/>
  <c r="P85" i="12"/>
  <c r="X85" i="12"/>
  <c r="AF85" i="12"/>
  <c r="AN85" i="12"/>
  <c r="AV85" i="12"/>
  <c r="BD85" i="12"/>
  <c r="BL85" i="12"/>
  <c r="H86" i="12"/>
  <c r="P86" i="12"/>
  <c r="X86" i="12"/>
  <c r="AF86" i="12"/>
  <c r="AN86" i="12"/>
  <c r="AV86" i="12"/>
  <c r="BD86" i="12"/>
  <c r="BL86" i="12"/>
  <c r="H87" i="12"/>
  <c r="P87" i="12"/>
  <c r="X87" i="12"/>
  <c r="AF87" i="12"/>
  <c r="AN87" i="12"/>
  <c r="AV87" i="12"/>
  <c r="BD87" i="12"/>
  <c r="BL87" i="12"/>
  <c r="H88" i="12"/>
  <c r="P88" i="12"/>
  <c r="X88" i="12"/>
  <c r="AF88" i="12"/>
  <c r="AN88" i="12"/>
  <c r="AV88" i="12"/>
  <c r="BD88" i="12"/>
  <c r="BL88" i="12"/>
  <c r="H89" i="12"/>
  <c r="I80" i="12"/>
  <c r="Q80" i="12"/>
  <c r="Y80" i="12"/>
  <c r="AG80" i="12"/>
  <c r="AO80" i="12"/>
  <c r="AW80" i="12"/>
  <c r="BE80" i="12"/>
  <c r="BM80" i="12"/>
  <c r="I81" i="12"/>
  <c r="Q81" i="12"/>
  <c r="Y81" i="12"/>
  <c r="AG81" i="12"/>
  <c r="AO81" i="12"/>
  <c r="AW81" i="12"/>
  <c r="BE81" i="12"/>
  <c r="BM81" i="12"/>
  <c r="I82" i="12"/>
  <c r="Q82" i="12"/>
  <c r="Y82" i="12"/>
  <c r="AG82" i="12"/>
  <c r="AO82" i="12"/>
  <c r="AW82" i="12"/>
  <c r="BE82" i="12"/>
  <c r="BM82" i="12"/>
  <c r="I83" i="12"/>
  <c r="Q83" i="12"/>
  <c r="Y83" i="12"/>
  <c r="AG83" i="12"/>
  <c r="AO83" i="12"/>
  <c r="AW83" i="12"/>
  <c r="BE83" i="12"/>
  <c r="BM83" i="12"/>
  <c r="I84" i="12"/>
  <c r="Q84" i="12"/>
  <c r="Y84" i="12"/>
  <c r="AG84" i="12"/>
  <c r="AO84" i="12"/>
  <c r="AW84" i="12"/>
  <c r="BE84" i="12"/>
  <c r="BM84" i="12"/>
  <c r="I85" i="12"/>
  <c r="Q85" i="12"/>
  <c r="Y85" i="12"/>
  <c r="AG85" i="12"/>
  <c r="AO85" i="12"/>
  <c r="AW85" i="12"/>
  <c r="BE85" i="12"/>
  <c r="BM85" i="12"/>
  <c r="I86" i="12"/>
  <c r="Q86" i="12"/>
  <c r="Y86" i="12"/>
  <c r="AG86" i="12"/>
  <c r="AO86" i="12"/>
  <c r="AW86" i="12"/>
  <c r="BE86" i="12"/>
  <c r="BM86" i="12"/>
  <c r="I87" i="12"/>
  <c r="Q87" i="12"/>
  <c r="Y87" i="12"/>
  <c r="AG87" i="12"/>
  <c r="AO87" i="12"/>
  <c r="AW87" i="12"/>
  <c r="BE87" i="12"/>
  <c r="BM87" i="12"/>
  <c r="I88" i="12"/>
  <c r="Q88" i="12"/>
  <c r="Y88" i="12"/>
  <c r="AG88" i="12"/>
  <c r="AO88" i="12"/>
  <c r="AW88" i="12"/>
  <c r="BE88" i="12"/>
  <c r="BM88" i="12"/>
  <c r="J80" i="12"/>
  <c r="R80" i="12"/>
  <c r="Z80" i="12"/>
  <c r="AH80" i="12"/>
  <c r="AP80" i="12"/>
  <c r="AX80" i="12"/>
  <c r="BF80" i="12"/>
  <c r="BN80" i="12"/>
  <c r="J81" i="12"/>
  <c r="R81" i="12"/>
  <c r="Z81" i="12"/>
  <c r="AH81" i="12"/>
  <c r="AP81" i="12"/>
  <c r="AX81" i="12"/>
  <c r="BF81" i="12"/>
  <c r="BN81" i="12"/>
  <c r="J82" i="12"/>
  <c r="R82" i="12"/>
  <c r="Z82" i="12"/>
  <c r="AH82" i="12"/>
  <c r="AP82" i="12"/>
  <c r="AX82" i="12"/>
  <c r="BF82" i="12"/>
  <c r="BN82" i="12"/>
  <c r="J83" i="12"/>
  <c r="R83" i="12"/>
  <c r="Z83" i="12"/>
  <c r="AH83" i="12"/>
  <c r="AP83" i="12"/>
  <c r="AX83" i="12"/>
  <c r="BF83" i="12"/>
  <c r="BN83" i="12"/>
  <c r="J84" i="12"/>
  <c r="R84" i="12"/>
  <c r="Z84" i="12"/>
  <c r="AH84" i="12"/>
  <c r="AP84" i="12"/>
  <c r="AX84" i="12"/>
  <c r="BF84" i="12"/>
  <c r="BN84" i="12"/>
  <c r="J85" i="12"/>
  <c r="R85" i="12"/>
  <c r="Z85" i="12"/>
  <c r="AH85" i="12"/>
  <c r="AP85" i="12"/>
  <c r="AX85" i="12"/>
  <c r="BF85" i="12"/>
  <c r="BN85" i="12"/>
  <c r="J86" i="12"/>
  <c r="R86" i="12"/>
  <c r="Z86" i="12"/>
  <c r="AH86" i="12"/>
  <c r="AP86" i="12"/>
  <c r="AX86" i="12"/>
  <c r="BF86" i="12"/>
  <c r="BN86" i="12"/>
  <c r="J87" i="12"/>
  <c r="R87" i="12"/>
  <c r="Z87" i="12"/>
  <c r="AH87" i="12"/>
  <c r="AP87" i="12"/>
  <c r="AX87" i="12"/>
  <c r="BF87" i="12"/>
  <c r="BN87" i="12"/>
  <c r="J88" i="12"/>
  <c r="R88" i="12"/>
  <c r="Z88" i="12"/>
  <c r="AH88" i="12"/>
  <c r="AP88" i="12"/>
  <c r="AX88" i="12"/>
  <c r="BF88" i="12"/>
  <c r="BN88" i="12"/>
  <c r="J89" i="12"/>
  <c r="R89" i="12"/>
  <c r="Z89" i="12"/>
  <c r="AH89" i="12"/>
  <c r="AP89" i="12"/>
  <c r="AX89" i="12"/>
  <c r="BF89" i="12"/>
  <c r="BN89" i="12"/>
  <c r="K80" i="12"/>
  <c r="S80" i="12"/>
  <c r="AA80" i="12"/>
  <c r="AI80" i="12"/>
  <c r="AQ80" i="12"/>
  <c r="AY80" i="12"/>
  <c r="BG80" i="12"/>
  <c r="BO80" i="12"/>
  <c r="K81" i="12"/>
  <c r="S81" i="12"/>
  <c r="AA81" i="12"/>
  <c r="AI81" i="12"/>
  <c r="AQ81" i="12"/>
  <c r="AY81" i="12"/>
  <c r="BG81" i="12"/>
  <c r="BO81" i="12"/>
  <c r="K82" i="12"/>
  <c r="S82" i="12"/>
  <c r="AA82" i="12"/>
  <c r="AI82" i="12"/>
  <c r="AQ82" i="12"/>
  <c r="AY82" i="12"/>
  <c r="BG82" i="12"/>
  <c r="BO82" i="12"/>
  <c r="K83" i="12"/>
  <c r="S83" i="12"/>
  <c r="AA83" i="12"/>
  <c r="AI83" i="12"/>
  <c r="AQ83" i="12"/>
  <c r="AY83" i="12"/>
  <c r="BG83" i="12"/>
  <c r="BO83" i="12"/>
  <c r="K84" i="12"/>
  <c r="S84" i="12"/>
  <c r="AA84" i="12"/>
  <c r="AI84" i="12"/>
  <c r="AQ84" i="12"/>
  <c r="AY84" i="12"/>
  <c r="BG84" i="12"/>
  <c r="BO84" i="12"/>
  <c r="K85" i="12"/>
  <c r="S85" i="12"/>
  <c r="AA85" i="12"/>
  <c r="AI85" i="12"/>
  <c r="AQ85" i="12"/>
  <c r="AY85" i="12"/>
  <c r="BG85" i="12"/>
  <c r="BO85" i="12"/>
  <c r="K86" i="12"/>
  <c r="S86" i="12"/>
  <c r="AA86" i="12"/>
  <c r="AI86" i="12"/>
  <c r="AQ86" i="12"/>
  <c r="AY86" i="12"/>
  <c r="BG86" i="12"/>
  <c r="BO86" i="12"/>
  <c r="K87" i="12"/>
  <c r="S87" i="12"/>
  <c r="AA87" i="12"/>
  <c r="AI87" i="12"/>
  <c r="AQ87" i="12"/>
  <c r="AY87" i="12"/>
  <c r="BG87" i="12"/>
  <c r="BO87" i="12"/>
  <c r="K88" i="12"/>
  <c r="S88" i="12"/>
  <c r="AA88" i="12"/>
  <c r="AI88" i="12"/>
  <c r="AQ88" i="12"/>
  <c r="AY88" i="12"/>
  <c r="BG88" i="12"/>
  <c r="BO88" i="12"/>
  <c r="L80" i="12"/>
  <c r="T80" i="12"/>
  <c r="AB80" i="12"/>
  <c r="AJ80" i="12"/>
  <c r="AR80" i="12"/>
  <c r="AZ80" i="12"/>
  <c r="BH80" i="12"/>
  <c r="BP80" i="12"/>
  <c r="L81" i="12"/>
  <c r="T81" i="12"/>
  <c r="AB81" i="12"/>
  <c r="AJ81" i="12"/>
  <c r="AR81" i="12"/>
  <c r="AZ81" i="12"/>
  <c r="BH81" i="12"/>
  <c r="BP81" i="12"/>
  <c r="L82" i="12"/>
  <c r="T82" i="12"/>
  <c r="AB82" i="12"/>
  <c r="AJ82" i="12"/>
  <c r="AR82" i="12"/>
  <c r="AZ82" i="12"/>
  <c r="BH82" i="12"/>
  <c r="BP82" i="12"/>
  <c r="L83" i="12"/>
  <c r="T83" i="12"/>
  <c r="AB83" i="12"/>
  <c r="AJ83" i="12"/>
  <c r="AR83" i="12"/>
  <c r="AZ83" i="12"/>
  <c r="BH83" i="12"/>
  <c r="BP83" i="12"/>
  <c r="L84" i="12"/>
  <c r="T84" i="12"/>
  <c r="AB84" i="12"/>
  <c r="AJ84" i="12"/>
  <c r="AR84" i="12"/>
  <c r="AZ84" i="12"/>
  <c r="BH84" i="12"/>
  <c r="BP84" i="12"/>
  <c r="L85" i="12"/>
  <c r="T85" i="12"/>
  <c r="AB85" i="12"/>
  <c r="AJ85" i="12"/>
  <c r="AR85" i="12"/>
  <c r="AZ85" i="12"/>
  <c r="BH85" i="12"/>
  <c r="BP85" i="12"/>
  <c r="L86" i="12"/>
  <c r="T86" i="12"/>
  <c r="AB86" i="12"/>
  <c r="AJ86" i="12"/>
  <c r="AR86" i="12"/>
  <c r="AZ86" i="12"/>
  <c r="BH86" i="12"/>
  <c r="BP86" i="12"/>
  <c r="L87" i="12"/>
  <c r="T87" i="12"/>
  <c r="AB87" i="12"/>
  <c r="AJ87" i="12"/>
  <c r="AR87" i="12"/>
  <c r="AZ87" i="12"/>
  <c r="BH87" i="12"/>
  <c r="BP87" i="12"/>
  <c r="L88" i="12"/>
  <c r="T88" i="12"/>
  <c r="AB88" i="12"/>
  <c r="AJ88" i="12"/>
  <c r="AR88" i="12"/>
  <c r="AZ88" i="12"/>
  <c r="BH88" i="12"/>
  <c r="BP88" i="12"/>
  <c r="M80" i="12"/>
  <c r="U80" i="12"/>
  <c r="AC80" i="12"/>
  <c r="AK80" i="12"/>
  <c r="AS80" i="12"/>
  <c r="BA80" i="12"/>
  <c r="BI80" i="12"/>
  <c r="BQ80" i="12"/>
  <c r="M81" i="12"/>
  <c r="U81" i="12"/>
  <c r="AC81" i="12"/>
  <c r="AK81" i="12"/>
  <c r="AS81" i="12"/>
  <c r="BA81" i="12"/>
  <c r="BI81" i="12"/>
  <c r="BQ81" i="12"/>
  <c r="M82" i="12"/>
  <c r="U82" i="12"/>
  <c r="AC82" i="12"/>
  <c r="AK82" i="12"/>
  <c r="AS82" i="12"/>
  <c r="BA82" i="12"/>
  <c r="BI82" i="12"/>
  <c r="BQ82" i="12"/>
  <c r="M83" i="12"/>
  <c r="U83" i="12"/>
  <c r="AC83" i="12"/>
  <c r="AK83" i="12"/>
  <c r="AS83" i="12"/>
  <c r="BA83" i="12"/>
  <c r="BI83" i="12"/>
  <c r="BQ83" i="12"/>
  <c r="M84" i="12"/>
  <c r="U84" i="12"/>
  <c r="AC84" i="12"/>
  <c r="AK84" i="12"/>
  <c r="AS84" i="12"/>
  <c r="BA84" i="12"/>
  <c r="BI84" i="12"/>
  <c r="BQ84" i="12"/>
  <c r="M85" i="12"/>
  <c r="U85" i="12"/>
  <c r="AC85" i="12"/>
  <c r="AK85" i="12"/>
  <c r="AS85" i="12"/>
  <c r="BA85" i="12"/>
  <c r="BI85" i="12"/>
  <c r="BQ85" i="12"/>
  <c r="M86" i="12"/>
  <c r="U86" i="12"/>
  <c r="AC86" i="12"/>
  <c r="AK86" i="12"/>
  <c r="AS86" i="12"/>
  <c r="BA86" i="12"/>
  <c r="BI86" i="12"/>
  <c r="BQ86" i="12"/>
  <c r="M87" i="12"/>
  <c r="U87" i="12"/>
  <c r="AC87" i="12"/>
  <c r="AK87" i="12"/>
  <c r="AS87" i="12"/>
  <c r="BA87" i="12"/>
  <c r="BI87" i="12"/>
  <c r="BQ87" i="12"/>
  <c r="M88" i="12"/>
  <c r="U88" i="12"/>
  <c r="AC88" i="12"/>
  <c r="AK88" i="12"/>
  <c r="AS88" i="12"/>
  <c r="BA88" i="12"/>
  <c r="BI88" i="12"/>
  <c r="BQ88" i="12"/>
  <c r="M89" i="12"/>
  <c r="U89" i="12"/>
  <c r="AC89" i="12"/>
  <c r="AK89" i="12"/>
  <c r="AS89" i="12"/>
  <c r="BA89" i="12"/>
  <c r="BI89" i="12"/>
  <c r="BQ89" i="12"/>
  <c r="M90" i="12"/>
  <c r="N80" i="12"/>
  <c r="N81" i="12"/>
  <c r="N82" i="12"/>
  <c r="N83" i="12"/>
  <c r="N84" i="12"/>
  <c r="N85" i="12"/>
  <c r="N86" i="12"/>
  <c r="V80" i="12"/>
  <c r="V81" i="12"/>
  <c r="V82" i="12"/>
  <c r="V83" i="12"/>
  <c r="V84" i="12"/>
  <c r="V85" i="12"/>
  <c r="V86" i="12"/>
  <c r="V87" i="12"/>
  <c r="V88" i="12"/>
  <c r="K89" i="12"/>
  <c r="V89" i="12"/>
  <c r="AF89" i="12"/>
  <c r="AQ89" i="12"/>
  <c r="BB89" i="12"/>
  <c r="BL89" i="12"/>
  <c r="J90" i="12"/>
  <c r="S90" i="12"/>
  <c r="AA90" i="12"/>
  <c r="AI90" i="12"/>
  <c r="AQ90" i="12"/>
  <c r="AY90" i="12"/>
  <c r="BG90" i="12"/>
  <c r="BO90" i="12"/>
  <c r="K91" i="12"/>
  <c r="S91" i="12"/>
  <c r="AA91" i="12"/>
  <c r="AI91" i="12"/>
  <c r="AQ91" i="12"/>
  <c r="AY91" i="12"/>
  <c r="BG91" i="12"/>
  <c r="BO91" i="12"/>
  <c r="K92" i="12"/>
  <c r="S92" i="12"/>
  <c r="AA92" i="12"/>
  <c r="AI92" i="12"/>
  <c r="AQ92" i="12"/>
  <c r="AY92" i="12"/>
  <c r="BG92" i="12"/>
  <c r="BO92" i="12"/>
  <c r="K93" i="12"/>
  <c r="S93" i="12"/>
  <c r="AA93" i="12"/>
  <c r="AI93" i="12"/>
  <c r="AQ93" i="12"/>
  <c r="AY93" i="12"/>
  <c r="BG93" i="12"/>
  <c r="BO93" i="12"/>
  <c r="K94" i="12"/>
  <c r="S94" i="12"/>
  <c r="AA94" i="12"/>
  <c r="AI94" i="12"/>
  <c r="AQ94" i="12"/>
  <c r="AY94" i="12"/>
  <c r="BG94" i="12"/>
  <c r="BO94" i="12"/>
  <c r="K95" i="12"/>
  <c r="S95" i="12"/>
  <c r="AA95" i="12"/>
  <c r="AI95" i="12"/>
  <c r="AQ95" i="12"/>
  <c r="AY95" i="12"/>
  <c r="BG95" i="12"/>
  <c r="BO95" i="12"/>
  <c r="K96" i="12"/>
  <c r="S96" i="12"/>
  <c r="AA96" i="12"/>
  <c r="AI96" i="12"/>
  <c r="AQ96" i="12"/>
  <c r="AY96" i="12"/>
  <c r="BG96" i="12"/>
  <c r="BO96" i="12"/>
  <c r="K97" i="12"/>
  <c r="S97" i="12"/>
  <c r="AA97" i="12"/>
  <c r="AI97" i="12"/>
  <c r="AQ97" i="12"/>
  <c r="AY97" i="12"/>
  <c r="BG97" i="12"/>
  <c r="BO97" i="12"/>
  <c r="K98" i="12"/>
  <c r="S98" i="12"/>
  <c r="AA98" i="12"/>
  <c r="AI98" i="12"/>
  <c r="AQ98" i="12"/>
  <c r="AY98" i="12"/>
  <c r="AD80" i="12"/>
  <c r="AD81" i="12"/>
  <c r="AD82" i="12"/>
  <c r="AD83" i="12"/>
  <c r="AD84" i="12"/>
  <c r="AD85" i="12"/>
  <c r="AD86" i="12"/>
  <c r="AT80" i="12"/>
  <c r="AT81" i="12"/>
  <c r="AT82" i="12"/>
  <c r="AT83" i="12"/>
  <c r="AT84" i="12"/>
  <c r="AT85" i="12"/>
  <c r="AT86" i="12"/>
  <c r="AT87" i="12"/>
  <c r="AT88" i="12"/>
  <c r="O89" i="12"/>
  <c r="Y89" i="12"/>
  <c r="AJ89" i="12"/>
  <c r="AU89" i="12"/>
  <c r="BE89" i="12"/>
  <c r="BP89" i="12"/>
  <c r="N90" i="12"/>
  <c r="V90" i="12"/>
  <c r="AD90" i="12"/>
  <c r="AL90" i="12"/>
  <c r="AT90" i="12"/>
  <c r="BB90" i="12"/>
  <c r="BJ90" i="12"/>
  <c r="BR90" i="12"/>
  <c r="N91" i="12"/>
  <c r="V91" i="12"/>
  <c r="AD91" i="12"/>
  <c r="AL91" i="12"/>
  <c r="AT91" i="12"/>
  <c r="BB91" i="12"/>
  <c r="BJ91" i="12"/>
  <c r="BR91" i="12"/>
  <c r="N92" i="12"/>
  <c r="V92" i="12"/>
  <c r="AD92" i="12"/>
  <c r="AL92" i="12"/>
  <c r="AT92" i="12"/>
  <c r="BB92" i="12"/>
  <c r="BJ92" i="12"/>
  <c r="BR92" i="12"/>
  <c r="N93" i="12"/>
  <c r="V93" i="12"/>
  <c r="AD93" i="12"/>
  <c r="AL93" i="12"/>
  <c r="AT93" i="12"/>
  <c r="BB93" i="12"/>
  <c r="BJ93" i="12"/>
  <c r="BR93" i="12"/>
  <c r="N94" i="12"/>
  <c r="V94" i="12"/>
  <c r="AD94" i="12"/>
  <c r="AL94" i="12"/>
  <c r="AT94" i="12"/>
  <c r="BB94" i="12"/>
  <c r="BB80" i="12"/>
  <c r="BB81" i="12"/>
  <c r="BB82" i="12"/>
  <c r="BB83" i="12"/>
  <c r="BB84" i="12"/>
  <c r="BB85" i="12"/>
  <c r="BB86" i="12"/>
  <c r="BB87" i="12"/>
  <c r="BB88" i="12"/>
  <c r="P89" i="12"/>
  <c r="AA89" i="12"/>
  <c r="AL89" i="12"/>
  <c r="AV89" i="12"/>
  <c r="BG89" i="12"/>
  <c r="BR89" i="12"/>
  <c r="O90" i="12"/>
  <c r="W90" i="12"/>
  <c r="AE90" i="12"/>
  <c r="AM90" i="12"/>
  <c r="AU90" i="12"/>
  <c r="BC90" i="12"/>
  <c r="BK90" i="12"/>
  <c r="G91" i="12"/>
  <c r="O91" i="12"/>
  <c r="W91" i="12"/>
  <c r="AE91" i="12"/>
  <c r="AM91" i="12"/>
  <c r="AU91" i="12"/>
  <c r="BC91" i="12"/>
  <c r="BK91" i="12"/>
  <c r="G92" i="12"/>
  <c r="O92" i="12"/>
  <c r="W92" i="12"/>
  <c r="AE92" i="12"/>
  <c r="AM92" i="12"/>
  <c r="AU92" i="12"/>
  <c r="BC92" i="12"/>
  <c r="BK92" i="12"/>
  <c r="G93" i="12"/>
  <c r="O93" i="12"/>
  <c r="W93" i="12"/>
  <c r="AE93" i="12"/>
  <c r="AM93" i="12"/>
  <c r="AU93" i="12"/>
  <c r="BC93" i="12"/>
  <c r="BK93" i="12"/>
  <c r="G94" i="12"/>
  <c r="O94" i="12"/>
  <c r="W94" i="12"/>
  <c r="AE94" i="12"/>
  <c r="AM94" i="12"/>
  <c r="AU94" i="12"/>
  <c r="BC94" i="12"/>
  <c r="BK94" i="12"/>
  <c r="G95" i="12"/>
  <c r="O95" i="12"/>
  <c r="W95" i="12"/>
  <c r="AE95" i="12"/>
  <c r="AM95" i="12"/>
  <c r="AU95" i="12"/>
  <c r="BC95" i="12"/>
  <c r="BK95" i="12"/>
  <c r="G96" i="12"/>
  <c r="O96" i="12"/>
  <c r="W96" i="12"/>
  <c r="AE96" i="12"/>
  <c r="AM96" i="12"/>
  <c r="AU96" i="12"/>
  <c r="BC96" i="12"/>
  <c r="BK96" i="12"/>
  <c r="G97" i="12"/>
  <c r="O97" i="12"/>
  <c r="W97" i="12"/>
  <c r="AE97" i="12"/>
  <c r="AM97" i="12"/>
  <c r="AU97" i="12"/>
  <c r="BC97" i="12"/>
  <c r="BK97" i="12"/>
  <c r="G98" i="12"/>
  <c r="O98" i="12"/>
  <c r="W98" i="12"/>
  <c r="AE98" i="12"/>
  <c r="AM98" i="12"/>
  <c r="AU98" i="12"/>
  <c r="BC98" i="12"/>
  <c r="AL80" i="12"/>
  <c r="BR82" i="12"/>
  <c r="BJ85" i="12"/>
  <c r="BJ87" i="12"/>
  <c r="L89" i="12"/>
  <c r="AD89" i="12"/>
  <c r="AT89" i="12"/>
  <c r="BK89" i="12"/>
  <c r="P90" i="12"/>
  <c r="AB90" i="12"/>
  <c r="AO90" i="12"/>
  <c r="BA90" i="12"/>
  <c r="BN90" i="12"/>
  <c r="P91" i="12"/>
  <c r="BJ80" i="12"/>
  <c r="AL83" i="12"/>
  <c r="BR85" i="12"/>
  <c r="BR87" i="12"/>
  <c r="N89" i="12"/>
  <c r="AE89" i="12"/>
  <c r="AW89" i="12"/>
  <c r="BM89" i="12"/>
  <c r="Q90" i="12"/>
  <c r="AC90" i="12"/>
  <c r="AP90" i="12"/>
  <c r="BD90" i="12"/>
  <c r="BP90" i="12"/>
  <c r="Q91" i="12"/>
  <c r="AC91" i="12"/>
  <c r="AP91" i="12"/>
  <c r="BD91" i="12"/>
  <c r="BP91" i="12"/>
  <c r="Q92" i="12"/>
  <c r="AC92" i="12"/>
  <c r="AP92" i="12"/>
  <c r="BD92" i="12"/>
  <c r="BP92" i="12"/>
  <c r="Q93" i="12"/>
  <c r="AC93" i="12"/>
  <c r="AP93" i="12"/>
  <c r="BD93" i="12"/>
  <c r="BP93" i="12"/>
  <c r="Q94" i="12"/>
  <c r="AC94" i="12"/>
  <c r="AP94" i="12"/>
  <c r="BD94" i="12"/>
  <c r="BN94" i="12"/>
  <c r="M95" i="12"/>
  <c r="X95" i="12"/>
  <c r="AH95" i="12"/>
  <c r="AS95" i="12"/>
  <c r="BD95" i="12"/>
  <c r="BN95" i="12"/>
  <c r="M96" i="12"/>
  <c r="X96" i="12"/>
  <c r="AH96" i="12"/>
  <c r="AS96" i="12"/>
  <c r="BD96" i="12"/>
  <c r="BN96" i="12"/>
  <c r="M97" i="12"/>
  <c r="X97" i="12"/>
  <c r="AH97" i="12"/>
  <c r="BR80" i="12"/>
  <c r="BJ83" i="12"/>
  <c r="AL86" i="12"/>
  <c r="N88" i="12"/>
  <c r="Q89" i="12"/>
  <c r="AG89" i="12"/>
  <c r="AY89" i="12"/>
  <c r="BO89" i="12"/>
  <c r="R90" i="12"/>
  <c r="AF90" i="12"/>
  <c r="AR90" i="12"/>
  <c r="BE90" i="12"/>
  <c r="BQ90" i="12"/>
  <c r="R91" i="12"/>
  <c r="AF91" i="12"/>
  <c r="AR91" i="12"/>
  <c r="BE91" i="12"/>
  <c r="BQ91" i="12"/>
  <c r="R92" i="12"/>
  <c r="AF92" i="12"/>
  <c r="AR92" i="12"/>
  <c r="BE92" i="12"/>
  <c r="BQ92" i="12"/>
  <c r="R93" i="12"/>
  <c r="AF93" i="12"/>
  <c r="AR93" i="12"/>
  <c r="BE93" i="12"/>
  <c r="BQ93" i="12"/>
  <c r="R94" i="12"/>
  <c r="AF94" i="12"/>
  <c r="AR94" i="12"/>
  <c r="BE94" i="12"/>
  <c r="BP94" i="12"/>
  <c r="N95" i="12"/>
  <c r="Y95" i="12"/>
  <c r="AJ95" i="12"/>
  <c r="AT95" i="12"/>
  <c r="BE95" i="12"/>
  <c r="BP95" i="12"/>
  <c r="N96" i="12"/>
  <c r="Y96" i="12"/>
  <c r="AJ96" i="12"/>
  <c r="AT96" i="12"/>
  <c r="BE96" i="12"/>
  <c r="BP96" i="12"/>
  <c r="N97" i="12"/>
  <c r="Y97" i="12"/>
  <c r="AJ97" i="12"/>
  <c r="AT97" i="12"/>
  <c r="BE97" i="12"/>
  <c r="BP97" i="12"/>
  <c r="N98" i="12"/>
  <c r="Y98" i="12"/>
  <c r="AJ98" i="12"/>
  <c r="AT98" i="12"/>
  <c r="BE98" i="12"/>
  <c r="BM98" i="12"/>
  <c r="I99" i="12"/>
  <c r="Q99" i="12"/>
  <c r="Y99" i="12"/>
  <c r="AG99" i="12"/>
  <c r="AO99" i="12"/>
  <c r="AW99" i="12"/>
  <c r="BE99" i="12"/>
  <c r="BM99" i="12"/>
  <c r="I100" i="12"/>
  <c r="Q100" i="12"/>
  <c r="Y100" i="12"/>
  <c r="AG100" i="12"/>
  <c r="AO100" i="12"/>
  <c r="AW100" i="12"/>
  <c r="BE100" i="12"/>
  <c r="BM100" i="12"/>
  <c r="I101" i="12"/>
  <c r="Q101" i="12"/>
  <c r="Y101" i="12"/>
  <c r="AG101" i="12"/>
  <c r="AO101" i="12"/>
  <c r="AW101" i="12"/>
  <c r="BE101" i="12"/>
  <c r="BM101" i="12"/>
  <c r="I102" i="12"/>
  <c r="Q102" i="12"/>
  <c r="Y102" i="12"/>
  <c r="AG102" i="12"/>
  <c r="AO102" i="12"/>
  <c r="BJ81" i="12"/>
  <c r="AL84" i="12"/>
  <c r="BR86" i="12"/>
  <c r="AL88" i="12"/>
  <c r="T89" i="12"/>
  <c r="AM89" i="12"/>
  <c r="BC89" i="12"/>
  <c r="H90" i="12"/>
  <c r="U90" i="12"/>
  <c r="AH90" i="12"/>
  <c r="AV90" i="12"/>
  <c r="BH90" i="12"/>
  <c r="I91" i="12"/>
  <c r="U91" i="12"/>
  <c r="BR81" i="12"/>
  <c r="BJ84" i="12"/>
  <c r="N87" i="12"/>
  <c r="BJ88" i="12"/>
  <c r="W89" i="12"/>
  <c r="AN89" i="12"/>
  <c r="BD89" i="12"/>
  <c r="I90" i="12"/>
  <c r="X90" i="12"/>
  <c r="AJ90" i="12"/>
  <c r="AW90" i="12"/>
  <c r="BI90" i="12"/>
  <c r="J91" i="12"/>
  <c r="X91" i="12"/>
  <c r="AJ91" i="12"/>
  <c r="AW91" i="12"/>
  <c r="BI91" i="12"/>
  <c r="J92" i="12"/>
  <c r="X92" i="12"/>
  <c r="AJ92" i="12"/>
  <c r="AW92" i="12"/>
  <c r="BI92" i="12"/>
  <c r="J93" i="12"/>
  <c r="X93" i="12"/>
  <c r="AJ93" i="12"/>
  <c r="AW93" i="12"/>
  <c r="BI93" i="12"/>
  <c r="J94" i="12"/>
  <c r="X94" i="12"/>
  <c r="AJ94" i="12"/>
  <c r="AW94" i="12"/>
  <c r="BI94" i="12"/>
  <c r="H95" i="12"/>
  <c r="R95" i="12"/>
  <c r="AC95" i="12"/>
  <c r="AN95" i="12"/>
  <c r="AX95" i="12"/>
  <c r="BI95" i="12"/>
  <c r="H96" i="12"/>
  <c r="R96" i="12"/>
  <c r="AC96" i="12"/>
  <c r="AN96" i="12"/>
  <c r="AX96" i="12"/>
  <c r="BI96" i="12"/>
  <c r="H97" i="12"/>
  <c r="R97" i="12"/>
  <c r="AC97" i="12"/>
  <c r="AN97" i="12"/>
  <c r="AX97" i="12"/>
  <c r="BI97" i="12"/>
  <c r="H98" i="12"/>
  <c r="R98" i="12"/>
  <c r="AC98" i="12"/>
  <c r="AN98" i="12"/>
  <c r="AX98" i="12"/>
  <c r="BH98" i="12"/>
  <c r="BP98" i="12"/>
  <c r="L99" i="12"/>
  <c r="T99" i="12"/>
  <c r="AB99" i="12"/>
  <c r="AJ99" i="12"/>
  <c r="AR99" i="12"/>
  <c r="AZ99" i="12"/>
  <c r="BH99" i="12"/>
  <c r="BP99" i="12"/>
  <c r="L100" i="12"/>
  <c r="T100" i="12"/>
  <c r="AB100" i="12"/>
  <c r="AJ100" i="12"/>
  <c r="AR100" i="12"/>
  <c r="AZ100" i="12"/>
  <c r="BH100" i="12"/>
  <c r="BP100" i="12"/>
  <c r="L101" i="12"/>
  <c r="T101" i="12"/>
  <c r="AB101" i="12"/>
  <c r="AJ101" i="12"/>
  <c r="AR101" i="12"/>
  <c r="AZ101" i="12"/>
  <c r="BH101" i="12"/>
  <c r="BP101" i="12"/>
  <c r="L102" i="12"/>
  <c r="T102" i="12"/>
  <c r="AB102" i="12"/>
  <c r="AJ102" i="12"/>
  <c r="AD87" i="12"/>
  <c r="AI89" i="12"/>
  <c r="L90" i="12"/>
  <c r="AX90" i="12"/>
  <c r="T91" i="12"/>
  <c r="AO91" i="12"/>
  <c r="BL91" i="12"/>
  <c r="T92" i="12"/>
  <c r="AN92" i="12"/>
  <c r="BH92" i="12"/>
  <c r="P93" i="12"/>
  <c r="AK93" i="12"/>
  <c r="BF93" i="12"/>
  <c r="M94" i="12"/>
  <c r="AH94" i="12"/>
  <c r="BA94" i="12"/>
  <c r="I95" i="12"/>
  <c r="Z95" i="12"/>
  <c r="AP95" i="12"/>
  <c r="BH95" i="12"/>
  <c r="L96" i="12"/>
  <c r="AD96" i="12"/>
  <c r="AV96" i="12"/>
  <c r="BL96" i="12"/>
  <c r="Q97" i="12"/>
  <c r="AG97" i="12"/>
  <c r="AW97" i="12"/>
  <c r="BL97" i="12"/>
  <c r="M98" i="12"/>
  <c r="AL81" i="12"/>
  <c r="AL87" i="12"/>
  <c r="AO89" i="12"/>
  <c r="T90" i="12"/>
  <c r="AZ90" i="12"/>
  <c r="Y91" i="12"/>
  <c r="AS91" i="12"/>
  <c r="BM91" i="12"/>
  <c r="U92" i="12"/>
  <c r="AO92" i="12"/>
  <c r="BL92" i="12"/>
  <c r="T93" i="12"/>
  <c r="AN93" i="12"/>
  <c r="BH93" i="12"/>
  <c r="P94" i="12"/>
  <c r="AK94" i="12"/>
  <c r="BF94" i="12"/>
  <c r="J95" i="12"/>
  <c r="AB95" i="12"/>
  <c r="AR95" i="12"/>
  <c r="BJ95" i="12"/>
  <c r="P96" i="12"/>
  <c r="AF96" i="12"/>
  <c r="AW96" i="12"/>
  <c r="BM96" i="12"/>
  <c r="T97" i="12"/>
  <c r="AK97" i="12"/>
  <c r="AZ97" i="12"/>
  <c r="BM97" i="12"/>
  <c r="P98" i="12"/>
  <c r="AD98" i="12"/>
  <c r="AR98" i="12"/>
  <c r="BF98" i="12"/>
  <c r="BQ98" i="12"/>
  <c r="O99" i="12"/>
  <c r="Z99" i="12"/>
  <c r="AK99" i="12"/>
  <c r="AU99" i="12"/>
  <c r="BF99" i="12"/>
  <c r="BQ99" i="12"/>
  <c r="O100" i="12"/>
  <c r="Z100" i="12"/>
  <c r="AK100" i="12"/>
  <c r="AU100" i="12"/>
  <c r="BF100" i="12"/>
  <c r="BQ100" i="12"/>
  <c r="O101" i="12"/>
  <c r="Z101" i="12"/>
  <c r="AK101" i="12"/>
  <c r="AU101" i="12"/>
  <c r="BF101" i="12"/>
  <c r="BQ101" i="12"/>
  <c r="O102" i="12"/>
  <c r="Z102" i="12"/>
  <c r="AK102" i="12"/>
  <c r="AT102" i="12"/>
  <c r="BB102" i="12"/>
  <c r="BJ102" i="12"/>
  <c r="BR102" i="12"/>
  <c r="N103" i="12"/>
  <c r="V103" i="12"/>
  <c r="AD103" i="12"/>
  <c r="AL103" i="12"/>
  <c r="AT103" i="12"/>
  <c r="BB103" i="12"/>
  <c r="BJ103" i="12"/>
  <c r="AL82" i="12"/>
  <c r="AD88" i="12"/>
  <c r="AR89" i="12"/>
  <c r="Y90" i="12"/>
  <c r="BF90" i="12"/>
  <c r="Z91" i="12"/>
  <c r="AV91" i="12"/>
  <c r="BN91" i="12"/>
  <c r="Y92" i="12"/>
  <c r="AS92" i="12"/>
  <c r="BM92" i="12"/>
  <c r="U93" i="12"/>
  <c r="AO93" i="12"/>
  <c r="BL93" i="12"/>
  <c r="T94" i="12"/>
  <c r="AN94" i="12"/>
  <c r="BH94" i="12"/>
  <c r="L95" i="12"/>
  <c r="AD95" i="12"/>
  <c r="AV95" i="12"/>
  <c r="BL95" i="12"/>
  <c r="Q96" i="12"/>
  <c r="AG96" i="12"/>
  <c r="AZ96" i="12"/>
  <c r="BQ96" i="12"/>
  <c r="U97" i="12"/>
  <c r="AL97" i="12"/>
  <c r="BA97" i="12"/>
  <c r="BN97" i="12"/>
  <c r="Q98" i="12"/>
  <c r="AF98" i="12"/>
  <c r="AS98" i="12"/>
  <c r="BG98" i="12"/>
  <c r="BR98" i="12"/>
  <c r="P99" i="12"/>
  <c r="AA99" i="12"/>
  <c r="AL99" i="12"/>
  <c r="AV99" i="12"/>
  <c r="BG99" i="12"/>
  <c r="BR99" i="12"/>
  <c r="P100" i="12"/>
  <c r="AA100" i="12"/>
  <c r="AL100" i="12"/>
  <c r="AV100" i="12"/>
  <c r="BG100" i="12"/>
  <c r="BR100" i="12"/>
  <c r="P101" i="12"/>
  <c r="AA101" i="12"/>
  <c r="AL101" i="12"/>
  <c r="AV101" i="12"/>
  <c r="BG101" i="12"/>
  <c r="BR101" i="12"/>
  <c r="P102" i="12"/>
  <c r="AA102" i="12"/>
  <c r="AL102" i="12"/>
  <c r="AU102" i="12"/>
  <c r="BC102" i="12"/>
  <c r="BK102" i="12"/>
  <c r="G103" i="12"/>
  <c r="O103" i="12"/>
  <c r="W103" i="12"/>
  <c r="AE103" i="12"/>
  <c r="AM103" i="12"/>
  <c r="AU103" i="12"/>
  <c r="BC103" i="12"/>
  <c r="BK103" i="12"/>
  <c r="BJ82" i="12"/>
  <c r="BR88" i="12"/>
  <c r="AZ89" i="12"/>
  <c r="Z90" i="12"/>
  <c r="BL90" i="12"/>
  <c r="AB91" i="12"/>
  <c r="AX91" i="12"/>
  <c r="H92" i="12"/>
  <c r="Z92" i="12"/>
  <c r="AV92" i="12"/>
  <c r="BN92" i="12"/>
  <c r="Y93" i="12"/>
  <c r="AS93" i="12"/>
  <c r="BM93" i="12"/>
  <c r="U94" i="12"/>
  <c r="AO94" i="12"/>
  <c r="BJ94" i="12"/>
  <c r="P95" i="12"/>
  <c r="AF95" i="12"/>
  <c r="AW95" i="12"/>
  <c r="BM95" i="12"/>
  <c r="T96" i="12"/>
  <c r="AK96" i="12"/>
  <c r="BA96" i="12"/>
  <c r="BR96" i="12"/>
  <c r="V97" i="12"/>
  <c r="AO97" i="12"/>
  <c r="BB97" i="12"/>
  <c r="BQ97" i="12"/>
  <c r="T98" i="12"/>
  <c r="AG98" i="12"/>
  <c r="AV98" i="12"/>
  <c r="BI98" i="12"/>
  <c r="G99" i="12"/>
  <c r="R99" i="12"/>
  <c r="AC99" i="12"/>
  <c r="AM99" i="12"/>
  <c r="AX99" i="12"/>
  <c r="BI99" i="12"/>
  <c r="G100" i="12"/>
  <c r="R100" i="12"/>
  <c r="AC100" i="12"/>
  <c r="AM100" i="12"/>
  <c r="AX100" i="12"/>
  <c r="BI100" i="12"/>
  <c r="G101" i="12"/>
  <c r="R101" i="12"/>
  <c r="AC101" i="12"/>
  <c r="AM101" i="12"/>
  <c r="AX101" i="12"/>
  <c r="BI101" i="12"/>
  <c r="G102" i="12"/>
  <c r="R102" i="12"/>
  <c r="AC102" i="12"/>
  <c r="AM102" i="12"/>
  <c r="AV102" i="12"/>
  <c r="BD102" i="12"/>
  <c r="BL102" i="12"/>
  <c r="H103" i="12"/>
  <c r="P103" i="12"/>
  <c r="X103" i="12"/>
  <c r="AF103" i="12"/>
  <c r="AN103" i="12"/>
  <c r="AV103" i="12"/>
  <c r="BD103" i="12"/>
  <c r="BL103" i="12"/>
  <c r="H104" i="12"/>
  <c r="P104" i="12"/>
  <c r="X104" i="12"/>
  <c r="AF104" i="12"/>
  <c r="AN104" i="12"/>
  <c r="AV104" i="12"/>
  <c r="BD104" i="12"/>
  <c r="BL104" i="12"/>
  <c r="H105" i="12"/>
  <c r="P105" i="12"/>
  <c r="X105" i="12"/>
  <c r="AF105" i="12"/>
  <c r="AN105" i="12"/>
  <c r="AV105" i="12"/>
  <c r="BD105" i="12"/>
  <c r="BL105" i="12"/>
  <c r="H106" i="12"/>
  <c r="P106" i="12"/>
  <c r="X106" i="12"/>
  <c r="AF106" i="12"/>
  <c r="AN106" i="12"/>
  <c r="AV106" i="12"/>
  <c r="BD106" i="12"/>
  <c r="BL106" i="12"/>
  <c r="H107" i="12"/>
  <c r="P107" i="12"/>
  <c r="X107" i="12"/>
  <c r="AF107" i="12"/>
  <c r="AN107" i="12"/>
  <c r="AV107" i="12"/>
  <c r="BD107" i="12"/>
  <c r="BL107" i="12"/>
  <c r="H108" i="12"/>
  <c r="P108" i="12"/>
  <c r="X108" i="12"/>
  <c r="AF108" i="12"/>
  <c r="AN108" i="12"/>
  <c r="AV108" i="12"/>
  <c r="BD108" i="12"/>
  <c r="BL108" i="12"/>
  <c r="BR84" i="12"/>
  <c r="S89" i="12"/>
  <c r="BJ89" i="12"/>
  <c r="AK90" i="12"/>
  <c r="H91" i="12"/>
  <c r="AH91" i="12"/>
  <c r="BA91" i="12"/>
  <c r="L92" i="12"/>
  <c r="AG92" i="12"/>
  <c r="AZ92" i="12"/>
  <c r="I93" i="12"/>
  <c r="AB93" i="12"/>
  <c r="AX93" i="12"/>
  <c r="H94" i="12"/>
  <c r="Z94" i="12"/>
  <c r="AV94" i="12"/>
  <c r="BM94" i="12"/>
  <c r="T95" i="12"/>
  <c r="AK95" i="12"/>
  <c r="BA95" i="12"/>
  <c r="BR95" i="12"/>
  <c r="V96" i="12"/>
  <c r="AO96" i="12"/>
  <c r="BF96" i="12"/>
  <c r="J97" i="12"/>
  <c r="AB97" i="12"/>
  <c r="AR97" i="12"/>
  <c r="BF97" i="12"/>
  <c r="I98" i="12"/>
  <c r="V98" i="12"/>
  <c r="AK98" i="12"/>
  <c r="AZ98" i="12"/>
  <c r="BK98" i="12"/>
  <c r="J99" i="12"/>
  <c r="U99" i="12"/>
  <c r="AE99" i="12"/>
  <c r="AP99" i="12"/>
  <c r="BA99" i="12"/>
  <c r="BK99" i="12"/>
  <c r="J100" i="12"/>
  <c r="U100" i="12"/>
  <c r="AE100" i="12"/>
  <c r="AP100" i="12"/>
  <c r="BA100" i="12"/>
  <c r="BK100" i="12"/>
  <c r="J101" i="12"/>
  <c r="U101" i="12"/>
  <c r="AE101" i="12"/>
  <c r="AP101" i="12"/>
  <c r="BA101" i="12"/>
  <c r="BK101" i="12"/>
  <c r="J102" i="12"/>
  <c r="U102" i="12"/>
  <c r="AE102" i="12"/>
  <c r="AP102" i="12"/>
  <c r="AX102" i="12"/>
  <c r="BF102" i="12"/>
  <c r="BN102" i="12"/>
  <c r="J103" i="12"/>
  <c r="R103" i="12"/>
  <c r="Z103" i="12"/>
  <c r="AH103" i="12"/>
  <c r="AP103" i="12"/>
  <c r="AX103" i="12"/>
  <c r="BF103" i="12"/>
  <c r="BN103" i="12"/>
  <c r="AL85" i="12"/>
  <c r="X89" i="12"/>
  <c r="G90" i="12"/>
  <c r="AN90" i="12"/>
  <c r="L91" i="12"/>
  <c r="AK91" i="12"/>
  <c r="BF91" i="12"/>
  <c r="M92" i="12"/>
  <c r="AH92" i="12"/>
  <c r="BA92" i="12"/>
  <c r="L93" i="12"/>
  <c r="AG93" i="12"/>
  <c r="AZ93" i="12"/>
  <c r="I94" i="12"/>
  <c r="AB94" i="12"/>
  <c r="AX94" i="12"/>
  <c r="BQ94" i="12"/>
  <c r="U95" i="12"/>
  <c r="AL95" i="12"/>
  <c r="BB95" i="12"/>
  <c r="I96" i="12"/>
  <c r="Z96" i="12"/>
  <c r="AP96" i="12"/>
  <c r="BH96" i="12"/>
  <c r="L97" i="12"/>
  <c r="AD97" i="12"/>
  <c r="AS97" i="12"/>
  <c r="BH97" i="12"/>
  <c r="J98" i="12"/>
  <c r="X98" i="12"/>
  <c r="AL98" i="12"/>
  <c r="BA98" i="12"/>
  <c r="BL98" i="12"/>
  <c r="K99" i="12"/>
  <c r="V99" i="12"/>
  <c r="AF99" i="12"/>
  <c r="AQ99" i="12"/>
  <c r="BB99" i="12"/>
  <c r="BL99" i="12"/>
  <c r="K100" i="12"/>
  <c r="V100" i="12"/>
  <c r="AF100" i="12"/>
  <c r="AQ100" i="12"/>
  <c r="BB100" i="12"/>
  <c r="BL100" i="12"/>
  <c r="K101" i="12"/>
  <c r="V101" i="12"/>
  <c r="AF101" i="12"/>
  <c r="AQ101" i="12"/>
  <c r="BB101" i="12"/>
  <c r="BL101" i="12"/>
  <c r="K102" i="12"/>
  <c r="V102" i="12"/>
  <c r="AF102" i="12"/>
  <c r="AQ102" i="12"/>
  <c r="AY102" i="12"/>
  <c r="BG102" i="12"/>
  <c r="BO102" i="12"/>
  <c r="K103" i="12"/>
  <c r="S103" i="12"/>
  <c r="AA103" i="12"/>
  <c r="AI103" i="12"/>
  <c r="AQ103" i="12"/>
  <c r="AY103" i="12"/>
  <c r="BG103" i="12"/>
  <c r="BO103" i="12"/>
  <c r="BJ86" i="12"/>
  <c r="AB89" i="12"/>
  <c r="K90" i="12"/>
  <c r="AS90" i="12"/>
  <c r="M91" i="12"/>
  <c r="AN91" i="12"/>
  <c r="BH91" i="12"/>
  <c r="P92" i="12"/>
  <c r="AK92" i="12"/>
  <c r="BF92" i="12"/>
  <c r="M93" i="12"/>
  <c r="AH93" i="12"/>
  <c r="BA93" i="12"/>
  <c r="L94" i="12"/>
  <c r="AG94" i="12"/>
  <c r="AZ94" i="12"/>
  <c r="BR94" i="12"/>
  <c r="V95" i="12"/>
  <c r="AO95" i="12"/>
  <c r="BF95" i="12"/>
  <c r="J96" i="12"/>
  <c r="AB96" i="12"/>
  <c r="AR96" i="12"/>
  <c r="BJ96" i="12"/>
  <c r="P97" i="12"/>
  <c r="AF97" i="12"/>
  <c r="AV97" i="12"/>
  <c r="BJ97" i="12"/>
  <c r="L98" i="12"/>
  <c r="Z98" i="12"/>
  <c r="AO98" i="12"/>
  <c r="BB98" i="12"/>
  <c r="BN98" i="12"/>
  <c r="M99" i="12"/>
  <c r="W99" i="12"/>
  <c r="AH99" i="12"/>
  <c r="AS99" i="12"/>
  <c r="BC99" i="12"/>
  <c r="BN99" i="12"/>
  <c r="M100" i="12"/>
  <c r="W100" i="12"/>
  <c r="AH100" i="12"/>
  <c r="AS100" i="12"/>
  <c r="BC100" i="12"/>
  <c r="BN100" i="12"/>
  <c r="M101" i="12"/>
  <c r="W101" i="12"/>
  <c r="AH101" i="12"/>
  <c r="AS101" i="12"/>
  <c r="BC101" i="12"/>
  <c r="BN101" i="12"/>
  <c r="M102" i="12"/>
  <c r="W102" i="12"/>
  <c r="AH102" i="12"/>
  <c r="AR102" i="12"/>
  <c r="AZ102" i="12"/>
  <c r="BH102" i="12"/>
  <c r="BP102" i="12"/>
  <c r="L103" i="12"/>
  <c r="T103" i="12"/>
  <c r="AB103" i="12"/>
  <c r="AJ103" i="12"/>
  <c r="AR103" i="12"/>
  <c r="AZ103" i="12"/>
  <c r="BH103" i="12"/>
  <c r="BP103" i="12"/>
  <c r="L104" i="12"/>
  <c r="T104" i="12"/>
  <c r="AB104" i="12"/>
  <c r="AJ104" i="12"/>
  <c r="AR104" i="12"/>
  <c r="AZ104" i="12"/>
  <c r="BH104" i="12"/>
  <c r="BP104" i="12"/>
  <c r="L105" i="12"/>
  <c r="T105" i="12"/>
  <c r="AB105" i="12"/>
  <c r="AJ105" i="12"/>
  <c r="AR105" i="12"/>
  <c r="AZ105" i="12"/>
  <c r="BH105" i="12"/>
  <c r="BP105" i="12"/>
  <c r="L106" i="12"/>
  <c r="T106" i="12"/>
  <c r="AB106" i="12"/>
  <c r="I92" i="12"/>
  <c r="AS94" i="12"/>
  <c r="BB96" i="12"/>
  <c r="AH98" i="12"/>
  <c r="S99" i="12"/>
  <c r="BJ99" i="12"/>
  <c r="AN100" i="12"/>
  <c r="S101" i="12"/>
  <c r="BJ101" i="12"/>
  <c r="AN102" i="12"/>
  <c r="I103" i="12"/>
  <c r="AO103" i="12"/>
  <c r="BR103" i="12"/>
  <c r="Q104" i="12"/>
  <c r="AA104" i="12"/>
  <c r="AL104" i="12"/>
  <c r="AW104" i="12"/>
  <c r="BG104" i="12"/>
  <c r="BR104" i="12"/>
  <c r="Q105" i="12"/>
  <c r="AA105" i="12"/>
  <c r="AL105" i="12"/>
  <c r="AW105" i="12"/>
  <c r="BG105" i="12"/>
  <c r="BR105" i="12"/>
  <c r="Q106" i="12"/>
  <c r="AA106" i="12"/>
  <c r="AK106" i="12"/>
  <c r="AT106" i="12"/>
  <c r="BC106" i="12"/>
  <c r="BM106" i="12"/>
  <c r="J107" i="12"/>
  <c r="S107" i="12"/>
  <c r="AB107" i="12"/>
  <c r="AK107" i="12"/>
  <c r="AT107" i="12"/>
  <c r="BC107" i="12"/>
  <c r="BM107" i="12"/>
  <c r="J108" i="12"/>
  <c r="S108" i="12"/>
  <c r="AB108" i="12"/>
  <c r="AK108" i="12"/>
  <c r="AT108" i="12"/>
  <c r="BC108" i="12"/>
  <c r="BM108" i="12"/>
  <c r="BR83" i="12"/>
  <c r="AB92" i="12"/>
  <c r="BL94" i="12"/>
  <c r="I97" i="12"/>
  <c r="AP98" i="12"/>
  <c r="X99" i="12"/>
  <c r="BO99" i="12"/>
  <c r="AT100" i="12"/>
  <c r="X101" i="12"/>
  <c r="BO101" i="12"/>
  <c r="AS102" i="12"/>
  <c r="M103" i="12"/>
  <c r="AS103" i="12"/>
  <c r="G104" i="12"/>
  <c r="R104" i="12"/>
  <c r="AC104" i="12"/>
  <c r="AM104" i="12"/>
  <c r="AX104" i="12"/>
  <c r="BI104" i="12"/>
  <c r="G105" i="12"/>
  <c r="R105" i="12"/>
  <c r="AC105" i="12"/>
  <c r="AM105" i="12"/>
  <c r="AX105" i="12"/>
  <c r="BI105" i="12"/>
  <c r="G106" i="12"/>
  <c r="R106" i="12"/>
  <c r="AC106" i="12"/>
  <c r="AL106" i="12"/>
  <c r="AU106" i="12"/>
  <c r="BE106" i="12"/>
  <c r="BN106" i="12"/>
  <c r="K107" i="12"/>
  <c r="T107" i="12"/>
  <c r="AC107" i="12"/>
  <c r="AL107" i="12"/>
  <c r="AU107" i="12"/>
  <c r="BE107" i="12"/>
  <c r="BN107" i="12"/>
  <c r="K108" i="12"/>
  <c r="T108" i="12"/>
  <c r="AC108" i="12"/>
  <c r="AL108" i="12"/>
  <c r="AU108" i="12"/>
  <c r="BE108" i="12"/>
  <c r="BN108" i="12"/>
  <c r="I89" i="12"/>
  <c r="AX92" i="12"/>
  <c r="Q95" i="12"/>
  <c r="Z97" i="12"/>
  <c r="AW98" i="12"/>
  <c r="AD99" i="12"/>
  <c r="H100" i="12"/>
  <c r="AY100" i="12"/>
  <c r="AD101" i="12"/>
  <c r="H102" i="12"/>
  <c r="AW102" i="12"/>
  <c r="Q103" i="12"/>
  <c r="AW103" i="12"/>
  <c r="I104" i="12"/>
  <c r="S104" i="12"/>
  <c r="AD104" i="12"/>
  <c r="AO104" i="12"/>
  <c r="AY104" i="12"/>
  <c r="BJ104" i="12"/>
  <c r="I105" i="12"/>
  <c r="S105" i="12"/>
  <c r="AD105" i="12"/>
  <c r="AO105" i="12"/>
  <c r="AY105" i="12"/>
  <c r="BJ105" i="12"/>
  <c r="I106" i="12"/>
  <c r="S106" i="12"/>
  <c r="AD106" i="12"/>
  <c r="AM106" i="12"/>
  <c r="AW106" i="12"/>
  <c r="BF106" i="12"/>
  <c r="BO106" i="12"/>
  <c r="L107" i="12"/>
  <c r="U107" i="12"/>
  <c r="AD107" i="12"/>
  <c r="AM107" i="12"/>
  <c r="AW107" i="12"/>
  <c r="BF107" i="12"/>
  <c r="BO107" i="12"/>
  <c r="L108" i="12"/>
  <c r="U108" i="12"/>
  <c r="AD108" i="12"/>
  <c r="AM108" i="12"/>
  <c r="AW108" i="12"/>
  <c r="BF108" i="12"/>
  <c r="BO108" i="12"/>
  <c r="BH89" i="12"/>
  <c r="H93" i="12"/>
  <c r="AG95" i="12"/>
  <c r="AP97" i="12"/>
  <c r="BD98" i="12"/>
  <c r="AI99" i="12"/>
  <c r="N100" i="12"/>
  <c r="BD100" i="12"/>
  <c r="AI101" i="12"/>
  <c r="N102" i="12"/>
  <c r="BA102" i="12"/>
  <c r="U103" i="12"/>
  <c r="BA103" i="12"/>
  <c r="J104" i="12"/>
  <c r="U104" i="12"/>
  <c r="AE104" i="12"/>
  <c r="AP104" i="12"/>
  <c r="BA104" i="12"/>
  <c r="BK104" i="12"/>
  <c r="J105" i="12"/>
  <c r="U105" i="12"/>
  <c r="AE105" i="12"/>
  <c r="AP105" i="12"/>
  <c r="BA105" i="12"/>
  <c r="BK105" i="12"/>
  <c r="J106" i="12"/>
  <c r="U106" i="12"/>
  <c r="AE106" i="12"/>
  <c r="AO106" i="12"/>
  <c r="AX106" i="12"/>
  <c r="BG106" i="12"/>
  <c r="BP106" i="12"/>
  <c r="M107" i="12"/>
  <c r="V107" i="12"/>
  <c r="AE107" i="12"/>
  <c r="AO107" i="12"/>
  <c r="AX107" i="12"/>
  <c r="BG107" i="12"/>
  <c r="BP107" i="12"/>
  <c r="M108" i="12"/>
  <c r="V108" i="12"/>
  <c r="AE108" i="12"/>
  <c r="AO108" i="12"/>
  <c r="AX108" i="12"/>
  <c r="BG108" i="12"/>
  <c r="BP108" i="12"/>
  <c r="AG90" i="12"/>
  <c r="Z93" i="12"/>
  <c r="AZ95" i="12"/>
  <c r="BD97" i="12"/>
  <c r="BJ98" i="12"/>
  <c r="AN99" i="12"/>
  <c r="S100" i="12"/>
  <c r="BJ100" i="12"/>
  <c r="AN101" i="12"/>
  <c r="S102" i="12"/>
  <c r="BE102" i="12"/>
  <c r="Y103" i="12"/>
  <c r="BE103" i="12"/>
  <c r="K104" i="12"/>
  <c r="V104" i="12"/>
  <c r="AG104" i="12"/>
  <c r="AQ104" i="12"/>
  <c r="BB104" i="12"/>
  <c r="BM104" i="12"/>
  <c r="K105" i="12"/>
  <c r="V105" i="12"/>
  <c r="AG105" i="12"/>
  <c r="AQ105" i="12"/>
  <c r="BB105" i="12"/>
  <c r="BM105" i="12"/>
  <c r="K106" i="12"/>
  <c r="V106" i="12"/>
  <c r="AG106" i="12"/>
  <c r="AP106" i="12"/>
  <c r="AY106" i="12"/>
  <c r="BH106" i="12"/>
  <c r="BQ106" i="12"/>
  <c r="N107" i="12"/>
  <c r="W107" i="12"/>
  <c r="AG107" i="12"/>
  <c r="AP107" i="12"/>
  <c r="AY107" i="12"/>
  <c r="BH107" i="12"/>
  <c r="BQ107" i="12"/>
  <c r="N108" i="12"/>
  <c r="W108" i="12"/>
  <c r="AG108" i="12"/>
  <c r="AP108" i="12"/>
  <c r="AY108" i="12"/>
  <c r="BH108" i="12"/>
  <c r="BQ108" i="12"/>
  <c r="BM90" i="12"/>
  <c r="AV93" i="12"/>
  <c r="BQ95" i="12"/>
  <c r="BR97" i="12"/>
  <c r="BO98" i="12"/>
  <c r="AT99" i="12"/>
  <c r="X100" i="12"/>
  <c r="BO100" i="12"/>
  <c r="AT101" i="12"/>
  <c r="X102" i="12"/>
  <c r="BI102" i="12"/>
  <c r="AC103" i="12"/>
  <c r="BI103" i="12"/>
  <c r="M104" i="12"/>
  <c r="W104" i="12"/>
  <c r="AH104" i="12"/>
  <c r="AS104" i="12"/>
  <c r="BC104" i="12"/>
  <c r="BN104" i="12"/>
  <c r="M105" i="12"/>
  <c r="W105" i="12"/>
  <c r="AH105" i="12"/>
  <c r="AS105" i="12"/>
  <c r="BC105" i="12"/>
  <c r="BN105" i="12"/>
  <c r="M106" i="12"/>
  <c r="W106" i="12"/>
  <c r="AH106" i="12"/>
  <c r="AQ106" i="12"/>
  <c r="AZ106" i="12"/>
  <c r="BI106" i="12"/>
  <c r="BR106" i="12"/>
  <c r="O107" i="12"/>
  <c r="Y107" i="12"/>
  <c r="AH107" i="12"/>
  <c r="AQ107" i="12"/>
  <c r="AZ107" i="12"/>
  <c r="BI107" i="12"/>
  <c r="BR107" i="12"/>
  <c r="O108" i="12"/>
  <c r="Y108" i="12"/>
  <c r="AH108" i="12"/>
  <c r="AQ108" i="12"/>
  <c r="AZ108" i="12"/>
  <c r="BI108" i="12"/>
  <c r="BR108" i="12"/>
  <c r="AG91" i="12"/>
  <c r="BN93" i="12"/>
  <c r="U96" i="12"/>
  <c r="U98" i="12"/>
  <c r="H99" i="12"/>
  <c r="AY99" i="12"/>
  <c r="AD100" i="12"/>
  <c r="H101" i="12"/>
  <c r="AY101" i="12"/>
  <c r="AD102" i="12"/>
  <c r="BM102" i="12"/>
  <c r="AG103" i="12"/>
  <c r="BM103" i="12"/>
  <c r="N104" i="12"/>
  <c r="Y104" i="12"/>
  <c r="AI104" i="12"/>
  <c r="AT104" i="12"/>
  <c r="BE104" i="12"/>
  <c r="BO104" i="12"/>
  <c r="N105" i="12"/>
  <c r="Y105" i="12"/>
  <c r="AI105" i="12"/>
  <c r="AT105" i="12"/>
  <c r="BE105" i="12"/>
  <c r="BO105" i="12"/>
  <c r="N106" i="12"/>
  <c r="Y106" i="12"/>
  <c r="AI106" i="12"/>
  <c r="AR106" i="12"/>
  <c r="BA106" i="12"/>
  <c r="BJ106" i="12"/>
  <c r="G107" i="12"/>
  <c r="Q107" i="12"/>
  <c r="Z107" i="12"/>
  <c r="AI107" i="12"/>
  <c r="AR107" i="12"/>
  <c r="BA107" i="12"/>
  <c r="BJ107" i="12"/>
  <c r="G108" i="12"/>
  <c r="Q108" i="12"/>
  <c r="Z108" i="12"/>
  <c r="AI108" i="12"/>
  <c r="AR108" i="12"/>
  <c r="BA108" i="12"/>
  <c r="BJ108" i="12"/>
  <c r="AZ91" i="12"/>
  <c r="Y94" i="12"/>
  <c r="AL96" i="12"/>
  <c r="AB98" i="12"/>
  <c r="N99" i="12"/>
  <c r="BD99" i="12"/>
  <c r="AI100" i="12"/>
  <c r="N101" i="12"/>
  <c r="BD101" i="12"/>
  <c r="AI102" i="12"/>
  <c r="BQ102" i="12"/>
  <c r="AK103" i="12"/>
  <c r="BQ103" i="12"/>
  <c r="O104" i="12"/>
  <c r="Z104" i="12"/>
  <c r="AK104" i="12"/>
  <c r="AU104" i="12"/>
  <c r="BF104" i="12"/>
  <c r="BQ104" i="12"/>
  <c r="O105" i="12"/>
  <c r="Z105" i="12"/>
  <c r="AK105" i="12"/>
  <c r="AU105" i="12"/>
  <c r="BF105" i="12"/>
  <c r="BQ105" i="12"/>
  <c r="O106" i="12"/>
  <c r="Z106" i="12"/>
  <c r="AJ106" i="12"/>
  <c r="AS106" i="12"/>
  <c r="BB106" i="12"/>
  <c r="BK106" i="12"/>
  <c r="I107" i="12"/>
  <c r="R107" i="12"/>
  <c r="AA107" i="12"/>
  <c r="AJ107" i="12"/>
  <c r="AS107" i="12"/>
  <c r="BB107" i="12"/>
  <c r="BK107" i="12"/>
  <c r="I108" i="12"/>
  <c r="R108" i="12"/>
  <c r="AA108" i="12"/>
  <c r="AJ108" i="12"/>
  <c r="AS108" i="12"/>
  <c r="BB108" i="12"/>
  <c r="BK108" i="12"/>
  <c r="F84" i="12"/>
  <c r="F103" i="11"/>
  <c r="F94" i="11"/>
  <c r="F99" i="11"/>
  <c r="F102" i="11"/>
  <c r="F96" i="11"/>
  <c r="F105" i="11"/>
  <c r="F101" i="11"/>
  <c r="F104" i="11"/>
  <c r="F97" i="11"/>
  <c r="F106" i="12"/>
  <c r="F96" i="12"/>
  <c r="F87" i="12"/>
  <c r="F102" i="12"/>
  <c r="F95" i="12"/>
  <c r="F98" i="12"/>
  <c r="F90" i="12"/>
  <c r="F89" i="12"/>
  <c r="F86" i="12"/>
  <c r="F105" i="12"/>
  <c r="F103" i="12"/>
  <c r="F104" i="12"/>
  <c r="F88" i="12"/>
  <c r="F83" i="12"/>
  <c r="F92" i="12"/>
  <c r="F97" i="12"/>
  <c r="F93" i="12"/>
  <c r="F85" i="12"/>
  <c r="F82" i="12"/>
  <c r="F101" i="12"/>
  <c r="F99" i="12"/>
  <c r="F80" i="12"/>
  <c r="F81" i="12"/>
  <c r="F107" i="12"/>
  <c r="F94" i="12"/>
  <c r="F91" i="12"/>
  <c r="F100" i="12"/>
  <c r="F108" i="12"/>
  <c r="F62" i="12"/>
  <c r="B51" i="8" s="1"/>
  <c r="F41" i="11"/>
  <c r="F56" i="11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 i="1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G34" i="4" l="1"/>
  <c r="O34" i="4"/>
  <c r="W34" i="4"/>
  <c r="AE34" i="4"/>
  <c r="AM34" i="4"/>
  <c r="AU34" i="4"/>
  <c r="BC34" i="4"/>
  <c r="BK34" i="4"/>
  <c r="AZ34" i="4"/>
  <c r="H34" i="4"/>
  <c r="P34" i="4"/>
  <c r="X34" i="4"/>
  <c r="AF34" i="4"/>
  <c r="AN34" i="4"/>
  <c r="AV34" i="4"/>
  <c r="BD34" i="4"/>
  <c r="BL34" i="4"/>
  <c r="BH34" i="4"/>
  <c r="I34" i="4"/>
  <c r="Q34" i="4"/>
  <c r="Y34" i="4"/>
  <c r="AG34" i="4"/>
  <c r="AO34" i="4"/>
  <c r="AW34" i="4"/>
  <c r="BE34" i="4"/>
  <c r="BM34" i="4"/>
  <c r="L34" i="4"/>
  <c r="J34" i="4"/>
  <c r="R34" i="4"/>
  <c r="Z34" i="4"/>
  <c r="AH34" i="4"/>
  <c r="AP34" i="4"/>
  <c r="AX34" i="4"/>
  <c r="BF34" i="4"/>
  <c r="BN34" i="4"/>
  <c r="F34" i="4"/>
  <c r="AB34" i="4"/>
  <c r="K34" i="4"/>
  <c r="S34" i="4"/>
  <c r="AA34" i="4"/>
  <c r="AI34" i="4"/>
  <c r="AQ34" i="4"/>
  <c r="AY34" i="4"/>
  <c r="BG34" i="4"/>
  <c r="BO34" i="4"/>
  <c r="T34" i="4"/>
  <c r="BP34" i="4"/>
  <c r="M34" i="4"/>
  <c r="U34" i="4"/>
  <c r="AC34" i="4"/>
  <c r="AK34" i="4"/>
  <c r="AS34" i="4"/>
  <c r="BA34" i="4"/>
  <c r="BI34" i="4"/>
  <c r="BQ34" i="4"/>
  <c r="AJ34" i="4"/>
  <c r="N34" i="4"/>
  <c r="V34" i="4"/>
  <c r="AD34" i="4"/>
  <c r="AL34" i="4"/>
  <c r="AT34" i="4"/>
  <c r="BB34" i="4"/>
  <c r="BJ34" i="4"/>
  <c r="BR34" i="4"/>
  <c r="AR34" i="4"/>
  <c r="AE114" i="11"/>
  <c r="AL115" i="11"/>
  <c r="U114" i="11"/>
  <c r="I115" i="11"/>
  <c r="L115" i="11"/>
  <c r="AH115" i="11"/>
  <c r="AB115" i="11"/>
  <c r="T115" i="11"/>
  <c r="AB114" i="11"/>
  <c r="W115" i="11"/>
  <c r="J115" i="11"/>
  <c r="T114" i="11"/>
  <c r="AI115" i="11"/>
  <c r="AA114" i="11"/>
  <c r="O114" i="11"/>
  <c r="AC115" i="11"/>
  <c r="P114" i="11"/>
  <c r="G114" i="11"/>
  <c r="AD115" i="11"/>
  <c r="AH114" i="11"/>
  <c r="Z114" i="11"/>
  <c r="U115" i="11"/>
  <c r="Q114" i="11"/>
  <c r="AE115" i="11"/>
  <c r="AL114" i="11"/>
  <c r="AF115" i="11"/>
  <c r="W114" i="11"/>
  <c r="N114" i="11"/>
  <c r="H115" i="11"/>
  <c r="X115" i="11"/>
  <c r="X114" i="11"/>
  <c r="AK114" i="11"/>
  <c r="M115" i="11"/>
  <c r="M114" i="11"/>
  <c r="V115" i="11"/>
  <c r="Y114" i="11"/>
  <c r="AD114" i="11"/>
  <c r="AC114" i="11"/>
  <c r="O115" i="11"/>
  <c r="AJ115" i="11"/>
  <c r="S115" i="11"/>
  <c r="K115" i="11"/>
  <c r="J114" i="11"/>
  <c r="AI114" i="11"/>
  <c r="G115" i="11"/>
  <c r="R114" i="11"/>
  <c r="AJ114" i="11"/>
  <c r="AG114" i="11"/>
  <c r="I114" i="11"/>
  <c r="AK115" i="11"/>
  <c r="Q115" i="11"/>
  <c r="H114" i="11"/>
  <c r="P115" i="11"/>
  <c r="V114" i="11"/>
  <c r="S114" i="11"/>
  <c r="AG115" i="11"/>
  <c r="AA115" i="11"/>
  <c r="AF114" i="11"/>
  <c r="L114" i="11"/>
  <c r="K114" i="11"/>
  <c r="R115" i="11"/>
  <c r="N115" i="11"/>
  <c r="Y115" i="11"/>
  <c r="Z115" i="11"/>
  <c r="M115" i="12"/>
  <c r="M116" i="12"/>
  <c r="G114" i="12"/>
  <c r="AC115" i="12"/>
  <c r="AC116" i="12"/>
  <c r="AC114" i="12"/>
  <c r="AE114" i="12"/>
  <c r="AK114" i="12"/>
  <c r="P115" i="12"/>
  <c r="P116" i="12"/>
  <c r="K115" i="12"/>
  <c r="K116" i="12"/>
  <c r="U114" i="12"/>
  <c r="G115" i="12"/>
  <c r="G116" i="12"/>
  <c r="I114" i="12"/>
  <c r="O114" i="12"/>
  <c r="AI114" i="12"/>
  <c r="H114" i="12"/>
  <c r="AJ115" i="12"/>
  <c r="AJ116" i="12"/>
  <c r="AF115" i="12"/>
  <c r="AF116" i="12"/>
  <c r="Z115" i="12"/>
  <c r="Z116" i="12"/>
  <c r="AL115" i="12"/>
  <c r="AL116" i="12"/>
  <c r="U115" i="12"/>
  <c r="U116" i="12"/>
  <c r="T116" i="12"/>
  <c r="T115" i="12"/>
  <c r="J114" i="12"/>
  <c r="Y114" i="12"/>
  <c r="AJ114" i="12"/>
  <c r="AD114" i="12"/>
  <c r="R114" i="12"/>
  <c r="AF114" i="12"/>
  <c r="AL114" i="12"/>
  <c r="S115" i="12"/>
  <c r="S116" i="12"/>
  <c r="N114" i="12"/>
  <c r="Q114" i="12"/>
  <c r="Q115" i="12"/>
  <c r="Q116" i="12"/>
  <c r="V114" i="12"/>
  <c r="AD115" i="12"/>
  <c r="AD116" i="12"/>
  <c r="K114" i="12"/>
  <c r="L114" i="12"/>
  <c r="AG114" i="12"/>
  <c r="N115" i="12"/>
  <c r="N116" i="12"/>
  <c r="AB116" i="12"/>
  <c r="AB115" i="12"/>
  <c r="V115" i="12"/>
  <c r="V116" i="12"/>
  <c r="Y115" i="12"/>
  <c r="Y116" i="12"/>
  <c r="R115" i="12"/>
  <c r="R116" i="12"/>
  <c r="Z114" i="12"/>
  <c r="AH115" i="12"/>
  <c r="AH116" i="12"/>
  <c r="M114" i="12"/>
  <c r="AI115" i="12"/>
  <c r="AI116" i="12"/>
  <c r="AG115" i="12"/>
  <c r="AG116" i="12"/>
  <c r="AA115" i="12"/>
  <c r="AA116" i="12"/>
  <c r="O115" i="12"/>
  <c r="O116" i="12"/>
  <c r="I115" i="12"/>
  <c r="I116" i="12"/>
  <c r="T114" i="12"/>
  <c r="W115" i="12"/>
  <c r="W116" i="12"/>
  <c r="AB114" i="12"/>
  <c r="AE115" i="12"/>
  <c r="AE117" i="12" s="1"/>
  <c r="AE116" i="12"/>
  <c r="P114" i="12"/>
  <c r="AA114" i="12"/>
  <c r="H115" i="12"/>
  <c r="H116" i="12"/>
  <c r="L115" i="12"/>
  <c r="L116" i="12"/>
  <c r="W114" i="12"/>
  <c r="AK115" i="12"/>
  <c r="AK116" i="12"/>
  <c r="J115" i="12"/>
  <c r="J116" i="12"/>
  <c r="S114" i="12"/>
  <c r="AH114" i="12"/>
  <c r="X115" i="12"/>
  <c r="X116" i="12"/>
  <c r="X114" i="12"/>
  <c r="F116" i="12"/>
  <c r="F115" i="12"/>
  <c r="F114" i="12"/>
  <c r="F115" i="11"/>
  <c r="F114" i="11"/>
  <c r="I117" i="12" l="1"/>
  <c r="J117" i="12"/>
  <c r="V117" i="12"/>
  <c r="AI117" i="12"/>
  <c r="Y117" i="12"/>
  <c r="G117" i="12"/>
  <c r="AD117" i="12"/>
  <c r="P117" i="12"/>
  <c r="L117" i="12"/>
  <c r="N117" i="12"/>
  <c r="Z116" i="11"/>
  <c r="AG116" i="11"/>
  <c r="AJ116" i="11"/>
  <c r="AE116" i="11"/>
  <c r="AC116" i="11"/>
  <c r="T116" i="11"/>
  <c r="I116" i="11"/>
  <c r="O117" i="12"/>
  <c r="Y116" i="11"/>
  <c r="Q116" i="11"/>
  <c r="O116" i="11"/>
  <c r="V116" i="11"/>
  <c r="AD116" i="11"/>
  <c r="J116" i="11"/>
  <c r="AB116" i="11"/>
  <c r="N116" i="11"/>
  <c r="AK116" i="11"/>
  <c r="K116" i="11"/>
  <c r="X116" i="11"/>
  <c r="AF116" i="11"/>
  <c r="U116" i="11"/>
  <c r="W116" i="11"/>
  <c r="AH116" i="11"/>
  <c r="AL116" i="11"/>
  <c r="AK117" i="12"/>
  <c r="H117" i="12"/>
  <c r="R116" i="11"/>
  <c r="AA116" i="11"/>
  <c r="P116" i="11"/>
  <c r="G116" i="11"/>
  <c r="S116" i="11"/>
  <c r="M116" i="11"/>
  <c r="H116" i="11"/>
  <c r="AI116" i="11"/>
  <c r="L116" i="11"/>
  <c r="W117" i="12"/>
  <c r="U117" i="12"/>
  <c r="AA117" i="12"/>
  <c r="R117" i="12"/>
  <c r="AL117" i="12"/>
  <c r="AJ117" i="12"/>
  <c r="AG117" i="12"/>
  <c r="AC117" i="12"/>
  <c r="AF117" i="12"/>
  <c r="X117" i="12"/>
  <c r="AB117" i="12"/>
  <c r="S117" i="12"/>
  <c r="T117" i="12"/>
  <c r="K117" i="12"/>
  <c r="F117" i="12"/>
  <c r="Q117" i="12"/>
  <c r="M117" i="12"/>
  <c r="AH117" i="12"/>
  <c r="Z117" i="12"/>
  <c r="F116" i="11"/>
  <c r="E37" i="4"/>
  <c r="B37" i="4" s="1"/>
  <c r="E34" i="4"/>
  <c r="B34" i="4" s="1"/>
  <c r="E35" i="4"/>
  <c r="B35" i="4" s="1"/>
  <c r="E36" i="4"/>
  <c r="B36" i="4" s="1"/>
  <c r="E122" i="11" l="1" a="1"/>
  <c r="BE133" i="11" s="1"/>
  <c r="E122" i="12" a="1"/>
  <c r="E122" i="12" s="1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C28" i="4"/>
  <c r="D28" i="4"/>
  <c r="A29" i="4"/>
  <c r="B29" i="4"/>
  <c r="C29" i="4"/>
  <c r="D29" i="4"/>
  <c r="A30" i="4"/>
  <c r="B30" i="4"/>
  <c r="C30" i="4"/>
  <c r="D30" i="4"/>
  <c r="A31" i="4"/>
  <c r="B31" i="4"/>
  <c r="C31" i="4"/>
  <c r="D31" i="4"/>
  <c r="A32" i="4"/>
  <c r="B32" i="4"/>
  <c r="C32" i="4"/>
  <c r="D32" i="4"/>
  <c r="AP129" i="11" l="1"/>
  <c r="AZ123" i="11"/>
  <c r="AE125" i="11"/>
  <c r="Q125" i="11"/>
  <c r="AW133" i="11"/>
  <c r="BH130" i="11"/>
  <c r="AX125" i="11"/>
  <c r="I124" i="11"/>
  <c r="S133" i="11"/>
  <c r="AH128" i="11"/>
  <c r="AC122" i="11"/>
  <c r="L124" i="11"/>
  <c r="BB126" i="11"/>
  <c r="BE128" i="11"/>
  <c r="BC122" i="11"/>
  <c r="J123" i="11"/>
  <c r="E131" i="11"/>
  <c r="AR133" i="11"/>
  <c r="AQ122" i="11"/>
  <c r="G130" i="11"/>
  <c r="AD131" i="11"/>
  <c r="AB128" i="11"/>
  <c r="AU127" i="11"/>
  <c r="S135" i="11"/>
  <c r="AH124" i="11"/>
  <c r="V123" i="11"/>
  <c r="AT123" i="11"/>
  <c r="AP125" i="11"/>
  <c r="V133" i="11"/>
  <c r="E129" i="11"/>
  <c r="AW132" i="11"/>
  <c r="E134" i="11"/>
  <c r="BK122" i="11"/>
  <c r="AS127" i="11"/>
  <c r="BI128" i="11"/>
  <c r="AP128" i="11"/>
  <c r="AH134" i="11"/>
  <c r="AN134" i="11"/>
  <c r="AI131" i="11"/>
  <c r="AO126" i="11"/>
  <c r="BO126" i="11"/>
  <c r="S124" i="11"/>
  <c r="AJ131" i="11"/>
  <c r="AP126" i="11"/>
  <c r="E135" i="11"/>
  <c r="S134" i="11"/>
  <c r="S128" i="11"/>
  <c r="AR127" i="11"/>
  <c r="AF127" i="11"/>
  <c r="L133" i="11"/>
  <c r="BO134" i="11"/>
  <c r="AQ128" i="11"/>
  <c r="AR124" i="11"/>
  <c r="AS135" i="11"/>
  <c r="AJ126" i="11"/>
  <c r="BO128" i="11"/>
  <c r="BR133" i="11"/>
  <c r="AX123" i="11"/>
  <c r="AB129" i="11"/>
  <c r="G131" i="11"/>
  <c r="O129" i="11"/>
  <c r="U123" i="11"/>
  <c r="K134" i="11"/>
  <c r="M126" i="11"/>
  <c r="AL130" i="11"/>
  <c r="P126" i="11"/>
  <c r="K123" i="11"/>
  <c r="AJ127" i="11"/>
  <c r="N123" i="11"/>
  <c r="BG127" i="11"/>
  <c r="R132" i="11"/>
  <c r="BJ127" i="11"/>
  <c r="AX134" i="11"/>
  <c r="AU126" i="11"/>
  <c r="AJ129" i="11"/>
  <c r="P132" i="11"/>
  <c r="W129" i="11"/>
  <c r="K133" i="11"/>
  <c r="U122" i="11"/>
  <c r="AT126" i="11"/>
  <c r="X122" i="11"/>
  <c r="Q133" i="11"/>
  <c r="AR123" i="11"/>
  <c r="I125" i="11"/>
  <c r="AN123" i="11"/>
  <c r="BO127" i="11"/>
  <c r="G122" i="11"/>
  <c r="BR127" i="11"/>
  <c r="AR122" i="11"/>
  <c r="BR130" i="11"/>
  <c r="W127" i="11"/>
  <c r="AS133" i="11"/>
  <c r="X123" i="11"/>
  <c r="BM129" i="11"/>
  <c r="AT124" i="11"/>
  <c r="BO132" i="11"/>
  <c r="AP131" i="11"/>
  <c r="Q132" i="11"/>
  <c r="Q126" i="11"/>
  <c r="BA130" i="11"/>
  <c r="BR134" i="11"/>
  <c r="O133" i="11"/>
  <c r="BQ135" i="11"/>
  <c r="AA128" i="11"/>
  <c r="AZ130" i="11"/>
  <c r="BK129" i="11"/>
  <c r="BC133" i="11"/>
  <c r="AY123" i="11"/>
  <c r="AK134" i="11"/>
  <c r="AR135" i="11"/>
  <c r="BB135" i="11"/>
  <c r="AY131" i="11"/>
  <c r="BC128" i="11"/>
  <c r="AE133" i="11"/>
  <c r="BL130" i="11"/>
  <c r="BH122" i="11"/>
  <c r="AR131" i="11"/>
  <c r="BQ125" i="11"/>
  <c r="AT133" i="11"/>
  <c r="BE124" i="11"/>
  <c r="BP128" i="11"/>
  <c r="AC124" i="11"/>
  <c r="AD124" i="11"/>
  <c r="I133" i="11"/>
  <c r="S130" i="11"/>
  <c r="N127" i="11"/>
  <c r="BH124" i="11"/>
  <c r="BQ124" i="11"/>
  <c r="U126" i="11"/>
  <c r="AT130" i="11"/>
  <c r="S123" i="11"/>
  <c r="G126" i="11"/>
  <c r="T123" i="11"/>
  <c r="K130" i="11"/>
  <c r="BE122" i="11"/>
  <c r="BN127" i="11"/>
  <c r="AT125" i="11"/>
  <c r="AY130" i="11"/>
  <c r="Y129" i="11"/>
  <c r="H130" i="11"/>
  <c r="BD132" i="11"/>
  <c r="J129" i="11"/>
  <c r="BL132" i="11"/>
  <c r="AI129" i="11"/>
  <c r="O125" i="11"/>
  <c r="AN129" i="11"/>
  <c r="R125" i="11"/>
  <c r="M122" i="11"/>
  <c r="AL126" i="11"/>
  <c r="P122" i="11"/>
  <c r="AV134" i="11"/>
  <c r="AJ123" i="11"/>
  <c r="BO124" i="11"/>
  <c r="AX122" i="11"/>
  <c r="R128" i="11"/>
  <c r="BJ123" i="11"/>
  <c r="AX133" i="11"/>
  <c r="S131" i="11"/>
  <c r="R129" i="11"/>
  <c r="AU129" i="11"/>
  <c r="W125" i="11"/>
  <c r="AV129" i="11"/>
  <c r="K135" i="11"/>
  <c r="AT122" i="11"/>
  <c r="K124" i="11"/>
  <c r="BM126" i="11"/>
  <c r="BQ126" i="11"/>
  <c r="AB131" i="11"/>
  <c r="F127" i="11"/>
  <c r="BO123" i="11"/>
  <c r="Z128" i="11"/>
  <c r="BR123" i="11"/>
  <c r="BF133" i="11"/>
  <c r="BB130" i="11"/>
  <c r="Z123" i="11"/>
  <c r="F135" i="11"/>
  <c r="AA132" i="11"/>
  <c r="AJ130" i="11"/>
  <c r="AQ123" i="11"/>
  <c r="S125" i="11"/>
  <c r="AI125" i="11"/>
  <c r="F132" i="11"/>
  <c r="AO124" i="11"/>
  <c r="AX126" i="11"/>
  <c r="P134" i="11"/>
  <c r="BG122" i="11"/>
  <c r="AM125" i="11"/>
  <c r="BL134" i="11"/>
  <c r="Y130" i="11"/>
  <c r="AA124" i="11"/>
  <c r="W131" i="11"/>
  <c r="BE134" i="11"/>
  <c r="AY127" i="11"/>
  <c r="AG129" i="11"/>
  <c r="Y131" i="11"/>
  <c r="AK130" i="11"/>
  <c r="R134" i="11"/>
  <c r="U127" i="11"/>
  <c r="AG134" i="11"/>
  <c r="BG129" i="11"/>
  <c r="Q123" i="11"/>
  <c r="S127" i="11"/>
  <c r="BJ133" i="11"/>
  <c r="AT129" i="11"/>
  <c r="W123" i="11"/>
  <c r="BD125" i="11"/>
  <c r="AE129" i="11"/>
  <c r="BI126" i="11"/>
  <c r="AP135" i="11"/>
  <c r="BI135" i="11"/>
  <c r="M127" i="11"/>
  <c r="E126" i="11"/>
  <c r="BQ122" i="11"/>
  <c r="AB127" i="11"/>
  <c r="F123" i="11"/>
  <c r="BD128" i="11"/>
  <c r="Z124" i="11"/>
  <c r="BE125" i="11"/>
  <c r="AH126" i="11"/>
  <c r="AX135" i="11"/>
  <c r="AF122" i="11"/>
  <c r="AF128" i="11"/>
  <c r="AE135" i="11"/>
  <c r="AP132" i="11"/>
  <c r="N131" i="11"/>
  <c r="BP123" i="11"/>
  <c r="AA133" i="11"/>
  <c r="R133" i="11"/>
  <c r="V131" i="11"/>
  <c r="AN127" i="11"/>
  <c r="Y134" i="11"/>
  <c r="AO134" i="11"/>
  <c r="BI133" i="11"/>
  <c r="Z125" i="11"/>
  <c r="W135" i="11"/>
  <c r="BQ130" i="11"/>
  <c r="X126" i="11"/>
  <c r="BO131" i="11"/>
  <c r="X135" i="11"/>
  <c r="J128" i="11"/>
  <c r="Q130" i="11"/>
  <c r="BQ131" i="11"/>
  <c r="O131" i="11"/>
  <c r="AY134" i="11"/>
  <c r="O123" i="11"/>
  <c r="BN134" i="11"/>
  <c r="AM130" i="11"/>
  <c r="BM128" i="11"/>
  <c r="E123" i="11"/>
  <c r="Q122" i="11"/>
  <c r="BK125" i="11"/>
  <c r="V130" i="11"/>
  <c r="BN125" i="11"/>
  <c r="Q134" i="11"/>
  <c r="T127" i="11"/>
  <c r="BL122" i="11"/>
  <c r="AI128" i="11"/>
  <c r="BA129" i="11"/>
  <c r="AT127" i="11"/>
  <c r="AZ133" i="11"/>
  <c r="Y124" i="11"/>
  <c r="AX128" i="11"/>
  <c r="BK130" i="11"/>
  <c r="G129" i="11"/>
  <c r="M123" i="11"/>
  <c r="G123" i="11"/>
  <c r="AD126" i="11"/>
  <c r="H122" i="11"/>
  <c r="O124" i="11"/>
  <c r="AB123" i="11"/>
  <c r="BG124" i="11"/>
  <c r="AP122" i="11"/>
  <c r="AW131" i="11"/>
  <c r="J132" i="11"/>
  <c r="BB127" i="11"/>
  <c r="AP134" i="11"/>
  <c r="AG124" i="11"/>
  <c r="P133" i="11"/>
  <c r="AA122" i="11"/>
  <c r="G128" i="11"/>
  <c r="AS125" i="11"/>
  <c r="BM132" i="11"/>
  <c r="AV123" i="11"/>
  <c r="BH133" i="11"/>
  <c r="J135" i="11"/>
  <c r="BK132" i="11"/>
  <c r="AV135" i="11"/>
  <c r="AE128" i="11"/>
  <c r="AZ122" i="11"/>
  <c r="AB134" i="11"/>
  <c r="N122" i="11"/>
  <c r="BN122" i="11"/>
  <c r="R126" i="11"/>
  <c r="BK127" i="11"/>
  <c r="BJ128" i="11"/>
  <c r="R130" i="11"/>
  <c r="AR129" i="11"/>
  <c r="AY122" i="11"/>
  <c r="AG128" i="11"/>
  <c r="AG123" i="11"/>
  <c r="AY126" i="11"/>
  <c r="K122" i="11"/>
  <c r="BD131" i="11"/>
  <c r="BO122" i="11"/>
  <c r="I122" i="11"/>
  <c r="BJ122" i="11"/>
  <c r="Q124" i="11"/>
  <c r="AV128" i="11"/>
  <c r="BP126" i="11"/>
  <c r="BK135" i="11"/>
  <c r="AU123" i="11"/>
  <c r="H123" i="11"/>
  <c r="BB122" i="11"/>
  <c r="BM125" i="11"/>
  <c r="AP124" i="11"/>
  <c r="AC135" i="11"/>
  <c r="E127" i="11"/>
  <c r="AL122" i="11"/>
  <c r="I126" i="11"/>
  <c r="BL126" i="11"/>
  <c r="AR125" i="11"/>
  <c r="L126" i="11"/>
  <c r="AD130" i="11"/>
  <c r="BM124" i="11"/>
  <c r="X129" i="11"/>
  <c r="BP124" i="11"/>
  <c r="AS129" i="11"/>
  <c r="V126" i="11"/>
  <c r="BA127" i="11"/>
  <c r="G124" i="11"/>
  <c r="AZ126" i="11"/>
  <c r="AY124" i="11"/>
  <c r="BQ128" i="11"/>
  <c r="AL131" i="11"/>
  <c r="AA127" i="11"/>
  <c r="AZ132" i="11"/>
  <c r="BC134" i="11"/>
  <c r="AX124" i="11"/>
  <c r="O126" i="11"/>
  <c r="G125" i="11"/>
  <c r="AF129" i="11"/>
  <c r="J125" i="11"/>
  <c r="AD122" i="11"/>
  <c r="BI123" i="11"/>
  <c r="BO125" i="11"/>
  <c r="Q135" i="11"/>
  <c r="L131" i="11"/>
  <c r="BD126" i="11"/>
  <c r="P130" i="11"/>
  <c r="AI123" i="11"/>
  <c r="BB123" i="11"/>
  <c r="BH132" i="11"/>
  <c r="AQ130" i="11"/>
  <c r="BF124" i="11"/>
  <c r="AS126" i="11"/>
  <c r="BM131" i="11"/>
  <c r="N134" i="11"/>
  <c r="V135" i="11"/>
  <c r="BF132" i="11"/>
  <c r="BP127" i="11"/>
  <c r="AA135" i="11"/>
  <c r="AQ135" i="11"/>
  <c r="AC129" i="11"/>
  <c r="BN128" i="11"/>
  <c r="BJ131" i="11"/>
  <c r="R122" i="11"/>
  <c r="AL134" i="11"/>
  <c r="BL129" i="11"/>
  <c r="AX130" i="11"/>
  <c r="BE123" i="11"/>
  <c r="AB122" i="11"/>
  <c r="AI126" i="11"/>
  <c r="O128" i="11"/>
  <c r="F125" i="11"/>
  <c r="AB132" i="11"/>
  <c r="BF128" i="11"/>
  <c r="J133" i="11"/>
  <c r="P124" i="11"/>
  <c r="M133" i="11"/>
  <c r="BO130" i="11"/>
  <c r="AR132" i="11"/>
  <c r="AC130" i="11"/>
  <c r="T124" i="11"/>
  <c r="AA126" i="11"/>
  <c r="AS123" i="11"/>
  <c r="AJ124" i="11"/>
  <c r="AZ124" i="11"/>
  <c r="I123" i="11"/>
  <c r="K127" i="11"/>
  <c r="P129" i="11"/>
  <c r="W134" i="11"/>
  <c r="AN125" i="11"/>
  <c r="E125" i="11"/>
  <c r="BQ123" i="11"/>
  <c r="T131" i="11"/>
  <c r="AA130" i="11"/>
  <c r="AW125" i="11"/>
  <c r="Y128" i="11"/>
  <c r="AV125" i="11"/>
  <c r="H126" i="11"/>
  <c r="X125" i="11"/>
  <c r="BC126" i="11"/>
  <c r="Z130" i="11"/>
  <c r="Y132" i="11"/>
  <c r="BA123" i="11"/>
  <c r="K125" i="11"/>
  <c r="I135" i="11"/>
  <c r="AC126" i="11"/>
  <c r="AV126" i="11"/>
  <c r="AN128" i="11"/>
  <c r="AA123" i="11"/>
  <c r="AZ127" i="11"/>
  <c r="AR134" i="11"/>
  <c r="I128" i="11"/>
  <c r="O122" i="11"/>
  <c r="L128" i="11"/>
  <c r="AF125" i="11"/>
  <c r="BK126" i="11"/>
  <c r="AH130" i="11"/>
  <c r="N130" i="11"/>
  <c r="BF125" i="11"/>
  <c r="I134" i="11"/>
  <c r="AK122" i="11"/>
  <c r="BD122" i="11"/>
  <c r="H124" i="11"/>
  <c r="AY128" i="11"/>
  <c r="BH123" i="11"/>
  <c r="AJ125" i="11"/>
  <c r="AZ134" i="11"/>
  <c r="Q128" i="11"/>
  <c r="W122" i="11"/>
  <c r="AF126" i="11"/>
  <c r="AC133" i="11"/>
  <c r="BR124" i="11"/>
  <c r="J127" i="11"/>
  <c r="Z126" i="11"/>
  <c r="AG125" i="11"/>
  <c r="BB128" i="11"/>
  <c r="AK128" i="11"/>
  <c r="BE126" i="11"/>
  <c r="AL129" i="11"/>
  <c r="AZ129" i="11"/>
  <c r="BP129" i="11"/>
  <c r="AL135" i="11"/>
  <c r="K132" i="11"/>
  <c r="I131" i="11"/>
  <c r="F129" i="11"/>
  <c r="AU128" i="11"/>
  <c r="AG133" i="11"/>
  <c r="BC130" i="11"/>
  <c r="BB125" i="11"/>
  <c r="AQ132" i="11"/>
  <c r="AM122" i="11"/>
  <c r="AO122" i="11"/>
  <c r="BK123" i="11"/>
  <c r="U134" i="11"/>
  <c r="F134" i="11"/>
  <c r="AM134" i="11"/>
  <c r="AS122" i="11"/>
  <c r="BR126" i="11"/>
  <c r="AV122" i="11"/>
  <c r="AC132" i="11"/>
  <c r="BD127" i="11"/>
  <c r="BL124" i="11"/>
  <c r="L134" i="11"/>
  <c r="AU135" i="11"/>
  <c r="H131" i="11"/>
  <c r="K128" i="11"/>
  <c r="AH135" i="11"/>
  <c r="AZ131" i="11"/>
  <c r="AD127" i="11"/>
  <c r="BB132" i="11"/>
  <c r="AA134" i="11"/>
  <c r="BR135" i="11"/>
  <c r="BP125" i="11"/>
  <c r="BD124" i="11"/>
  <c r="AW129" i="11"/>
  <c r="BC131" i="11"/>
  <c r="X127" i="11"/>
  <c r="AD134" i="11"/>
  <c r="AB135" i="11"/>
  <c r="P125" i="11"/>
  <c r="W124" i="11"/>
  <c r="AH129" i="11"/>
  <c r="AC131" i="11"/>
  <c r="H135" i="11"/>
  <c r="Z127" i="11"/>
  <c r="BA124" i="11"/>
  <c r="BI134" i="11"/>
  <c r="AD125" i="11"/>
  <c r="BL125" i="11"/>
  <c r="AC127" i="11"/>
  <c r="S122" i="11"/>
  <c r="BD135" i="11"/>
  <c r="AD129" i="11"/>
  <c r="AE127" i="11"/>
  <c r="AT134" i="11"/>
  <c r="AU131" i="11"/>
  <c r="AH133" i="11"/>
  <c r="BA128" i="11"/>
  <c r="AY132" i="11"/>
  <c r="M125" i="11"/>
  <c r="BG126" i="11"/>
  <c r="M128" i="11"/>
  <c r="AO129" i="11"/>
  <c r="AM132" i="11"/>
  <c r="T122" i="11"/>
  <c r="N124" i="11"/>
  <c r="BN123" i="11"/>
  <c r="BE135" i="11"/>
  <c r="N129" i="11"/>
  <c r="BD133" i="11"/>
  <c r="J124" i="11"/>
  <c r="AO125" i="11"/>
  <c r="AG127" i="11"/>
  <c r="BJ124" i="11"/>
  <c r="BA131" i="11"/>
  <c r="BI130" i="11"/>
  <c r="BA132" i="11"/>
  <c r="N128" i="11"/>
  <c r="BO129" i="11"/>
  <c r="AN132" i="11"/>
  <c r="W126" i="11"/>
  <c r="AD128" i="11"/>
  <c r="AY129" i="11"/>
  <c r="BG131" i="11"/>
  <c r="AI133" i="11"/>
  <c r="BF130" i="11"/>
  <c r="AN133" i="11"/>
  <c r="R135" i="11"/>
  <c r="AH127" i="11"/>
  <c r="N132" i="11"/>
  <c r="H132" i="11"/>
  <c r="BP130" i="11"/>
  <c r="G134" i="11"/>
  <c r="BD123" i="11"/>
  <c r="BB134" i="11"/>
  <c r="AG135" i="11"/>
  <c r="AH131" i="11"/>
  <c r="H127" i="11"/>
  <c r="AF133" i="11"/>
  <c r="Q131" i="11"/>
  <c r="BQ132" i="11"/>
  <c r="BR122" i="11"/>
  <c r="AI124" i="11"/>
  <c r="E128" i="11"/>
  <c r="BJ132" i="11"/>
  <c r="AC125" i="11"/>
  <c r="AK124" i="11"/>
  <c r="AS134" i="11"/>
  <c r="AH123" i="11"/>
  <c r="BQ129" i="11"/>
  <c r="BG125" i="11"/>
  <c r="BO135" i="11"/>
  <c r="AD123" i="11"/>
  <c r="AQ131" i="11"/>
  <c r="AG130" i="11"/>
  <c r="BH134" i="11"/>
  <c r="V125" i="11"/>
  <c r="AO123" i="11"/>
  <c r="AZ128" i="11"/>
  <c r="AE130" i="11"/>
  <c r="AD132" i="11"/>
  <c r="BK124" i="11"/>
  <c r="AR126" i="11"/>
  <c r="AO128" i="11"/>
  <c r="AU122" i="11"/>
  <c r="BN133" i="11"/>
  <c r="S129" i="11"/>
  <c r="AU134" i="11"/>
  <c r="AO135" i="11"/>
  <c r="AM128" i="11"/>
  <c r="T125" i="11"/>
  <c r="Y133" i="11"/>
  <c r="BQ127" i="11"/>
  <c r="AC123" i="11"/>
  <c r="E124" i="11"/>
  <c r="U133" i="11"/>
  <c r="AN124" i="11"/>
  <c r="BR129" i="11"/>
  <c r="BL127" i="11"/>
  <c r="BE127" i="11"/>
  <c r="X132" i="11"/>
  <c r="BG133" i="11"/>
  <c r="T129" i="11"/>
  <c r="BK134" i="11"/>
  <c r="AP123" i="11"/>
  <c r="BA126" i="11"/>
  <c r="AT128" i="11"/>
  <c r="AI132" i="11"/>
  <c r="F133" i="11"/>
  <c r="T126" i="11"/>
  <c r="BL131" i="11"/>
  <c r="BP135" i="11"/>
  <c r="AV124" i="11"/>
  <c r="E130" i="11"/>
  <c r="AI127" i="11"/>
  <c r="BH131" i="11"/>
  <c r="AL127" i="11"/>
  <c r="BK128" i="11"/>
  <c r="AI122" i="11"/>
  <c r="L130" i="11"/>
  <c r="AM131" i="11"/>
  <c r="T133" i="11"/>
  <c r="BA125" i="11"/>
  <c r="BM122" i="11"/>
  <c r="G133" i="11"/>
  <c r="T128" i="11"/>
  <c r="AB126" i="11"/>
  <c r="Y122" i="11"/>
  <c r="AG132" i="11"/>
  <c r="BP133" i="11"/>
  <c r="AQ129" i="11"/>
  <c r="AQ125" i="11"/>
  <c r="AY135" i="11"/>
  <c r="BL128" i="11"/>
  <c r="AG131" i="11"/>
  <c r="X131" i="11"/>
  <c r="W133" i="11"/>
  <c r="V122" i="11"/>
  <c r="AN131" i="11"/>
  <c r="AA129" i="11"/>
  <c r="BN135" i="11"/>
  <c r="L132" i="11"/>
  <c r="AU124" i="11"/>
  <c r="BF129" i="11"/>
  <c r="BI131" i="11"/>
  <c r="AJ133" i="11"/>
  <c r="AW127" i="11"/>
  <c r="AV130" i="11"/>
  <c r="AK125" i="11"/>
  <c r="AW122" i="11"/>
  <c r="BE132" i="11"/>
  <c r="Z134" i="11"/>
  <c r="L122" i="11"/>
  <c r="G135" i="11"/>
  <c r="BA122" i="11"/>
  <c r="L127" i="11"/>
  <c r="S126" i="11"/>
  <c r="AE123" i="11"/>
  <c r="AM133" i="11"/>
  <c r="W128" i="11"/>
  <c r="K131" i="11"/>
  <c r="AW126" i="11"/>
  <c r="AO131" i="11"/>
  <c r="AW130" i="11"/>
  <c r="BH127" i="11"/>
  <c r="AL123" i="11"/>
  <c r="BB131" i="11"/>
  <c r="BI129" i="11"/>
  <c r="I132" i="11"/>
  <c r="J122" i="11"/>
  <c r="M135" i="11"/>
  <c r="BA133" i="11"/>
  <c r="AD135" i="11"/>
  <c r="AF123" i="11"/>
  <c r="X133" i="11"/>
  <c r="BD134" i="11"/>
  <c r="U131" i="11"/>
  <c r="BF122" i="11"/>
  <c r="AF130" i="11"/>
  <c r="AI134" i="11"/>
  <c r="O130" i="11"/>
  <c r="J126" i="11"/>
  <c r="AX127" i="11"/>
  <c r="BJ129" i="11"/>
  <c r="BN131" i="11"/>
  <c r="M132" i="11"/>
  <c r="AU125" i="11"/>
  <c r="F130" i="11"/>
  <c r="AS130" i="11"/>
  <c r="Y126" i="11"/>
  <c r="AM129" i="11"/>
  <c r="AU132" i="11"/>
  <c r="X134" i="11"/>
  <c r="Z122" i="11"/>
  <c r="BF123" i="11"/>
  <c r="BQ133" i="11"/>
  <c r="BM123" i="11"/>
  <c r="E122" i="11"/>
  <c r="AT131" i="11"/>
  <c r="BG123" i="11"/>
  <c r="AZ125" i="11"/>
  <c r="U135" i="11"/>
  <c r="V129" i="11"/>
  <c r="AQ133" i="11"/>
  <c r="BR128" i="11"/>
  <c r="BM133" i="11"/>
  <c r="AD133" i="11"/>
  <c r="BM134" i="11"/>
  <c r="BN124" i="11"/>
  <c r="AE126" i="11"/>
  <c r="AL128" i="11"/>
  <c r="BF134" i="11"/>
  <c r="BR125" i="11"/>
  <c r="AG126" i="11"/>
  <c r="U130" i="11"/>
  <c r="AB130" i="11"/>
  <c r="AJ132" i="11"/>
  <c r="BC127" i="11"/>
  <c r="BP122" i="11"/>
  <c r="AF131" i="11"/>
  <c r="M134" i="11"/>
  <c r="O127" i="11"/>
  <c r="AV133" i="11"/>
  <c r="Z131" i="11"/>
  <c r="N135" i="11"/>
  <c r="P123" i="11"/>
  <c r="Z132" i="11"/>
  <c r="BG134" i="11"/>
  <c r="N125" i="11"/>
  <c r="AX132" i="11"/>
  <c r="L123" i="11"/>
  <c r="AQ124" i="11"/>
  <c r="BJ135" i="11"/>
  <c r="BL123" i="11"/>
  <c r="T135" i="11"/>
  <c r="AK129" i="11"/>
  <c r="AS131" i="11"/>
  <c r="P127" i="11"/>
  <c r="BL133" i="11"/>
  <c r="AA131" i="11"/>
  <c r="Y125" i="11"/>
  <c r="AL124" i="11"/>
  <c r="BB133" i="11"/>
  <c r="AN130" i="11"/>
  <c r="AK132" i="11"/>
  <c r="BH129" i="11"/>
  <c r="H133" i="11"/>
  <c r="T134" i="11"/>
  <c r="BC135" i="11"/>
  <c r="P131" i="11"/>
  <c r="AE131" i="11"/>
  <c r="Q127" i="11"/>
  <c r="AW128" i="11"/>
  <c r="AP130" i="11"/>
  <c r="H128" i="11"/>
  <c r="BP134" i="11"/>
  <c r="BG130" i="11"/>
  <c r="AW123" i="11"/>
  <c r="BH128" i="11"/>
  <c r="AO130" i="11"/>
  <c r="AL132" i="11"/>
  <c r="AO133" i="11"/>
  <c r="F126" i="11"/>
  <c r="AK127" i="11"/>
  <c r="M131" i="11"/>
  <c r="BF126" i="11"/>
  <c r="AH132" i="11"/>
  <c r="N133" i="11"/>
  <c r="AW134" i="11"/>
  <c r="J130" i="11"/>
  <c r="BJ125" i="11"/>
  <c r="AJ134" i="11"/>
  <c r="G127" i="11"/>
  <c r="X128" i="11"/>
  <c r="U124" i="11"/>
  <c r="AC134" i="11"/>
  <c r="BL135" i="11"/>
  <c r="T132" i="11"/>
  <c r="AM127" i="11"/>
  <c r="L135" i="11"/>
  <c r="BF131" i="11"/>
  <c r="AP133" i="11"/>
  <c r="X130" i="11"/>
  <c r="V134" i="11"/>
  <c r="R124" i="11"/>
  <c r="Y123" i="11"/>
  <c r="AJ128" i="11"/>
  <c r="I130" i="11"/>
  <c r="J134" i="11"/>
  <c r="AQ126" i="11"/>
  <c r="BC123" i="11"/>
  <c r="BK133" i="11"/>
  <c r="AF135" i="11"/>
  <c r="AE122" i="11"/>
  <c r="AR128" i="11"/>
  <c r="I127" i="11"/>
  <c r="Y135" i="11"/>
  <c r="BI127" i="11"/>
  <c r="BN126" i="11"/>
  <c r="BN132" i="11"/>
  <c r="F131" i="11"/>
  <c r="BI132" i="11"/>
  <c r="V128" i="11"/>
  <c r="AR130" i="11"/>
  <c r="W132" i="11"/>
  <c r="BC125" i="11"/>
  <c r="AV127" i="11"/>
  <c r="BH135" i="11"/>
  <c r="BR131" i="11"/>
  <c r="AM135" i="11"/>
  <c r="BN130" i="11"/>
  <c r="AJ135" i="11"/>
  <c r="Z135" i="11"/>
  <c r="BM127" i="11"/>
  <c r="AK126" i="11"/>
  <c r="BJ130" i="11"/>
  <c r="AN126" i="11"/>
  <c r="X124" i="11"/>
  <c r="AV131" i="11"/>
  <c r="G132" i="11"/>
  <c r="T130" i="11"/>
  <c r="V132" i="11"/>
  <c r="BC124" i="11"/>
  <c r="BN129" i="11"/>
  <c r="E132" i="11"/>
  <c r="V127" i="11"/>
  <c r="AT132" i="11"/>
  <c r="Z129" i="11"/>
  <c r="R131" i="11"/>
  <c r="BR132" i="11"/>
  <c r="BH126" i="11"/>
  <c r="AS124" i="11"/>
  <c r="BA134" i="11"/>
  <c r="AF124" i="11"/>
  <c r="M130" i="11"/>
  <c r="AN135" i="11"/>
  <c r="AW124" i="11"/>
  <c r="H129" i="11"/>
  <c r="M129" i="11"/>
  <c r="AA125" i="11"/>
  <c r="AI135" i="11"/>
  <c r="AK131" i="11"/>
  <c r="Z133" i="11"/>
  <c r="AS128" i="11"/>
  <c r="S132" i="11"/>
  <c r="E133" i="11"/>
  <c r="F122" i="11"/>
  <c r="AK123" i="11"/>
  <c r="M124" i="11"/>
  <c r="BE131" i="11"/>
  <c r="AE124" i="11"/>
  <c r="AM123" i="11"/>
  <c r="AU133" i="11"/>
  <c r="P135" i="11"/>
  <c r="BF127" i="11"/>
  <c r="BI124" i="11"/>
  <c r="BQ134" i="11"/>
  <c r="O135" i="11"/>
  <c r="BI122" i="11"/>
  <c r="BB124" i="11"/>
  <c r="J131" i="11"/>
  <c r="AL125" i="11"/>
  <c r="AS132" i="11"/>
  <c r="F128" i="11"/>
  <c r="I129" i="11"/>
  <c r="AF132" i="11"/>
  <c r="BO133" i="11"/>
  <c r="AV132" i="11"/>
  <c r="AQ127" i="11"/>
  <c r="BP131" i="11"/>
  <c r="BP132" i="11"/>
  <c r="U128" i="11"/>
  <c r="W130" i="11"/>
  <c r="AQ134" i="11"/>
  <c r="R123" i="11"/>
  <c r="V124" i="11"/>
  <c r="Y127" i="11"/>
  <c r="BM135" i="11"/>
  <c r="AB124" i="11"/>
  <c r="AT135" i="11"/>
  <c r="BK131" i="11"/>
  <c r="BF135" i="11"/>
  <c r="Q129" i="11"/>
  <c r="AM124" i="11"/>
  <c r="AX129" i="11"/>
  <c r="AX131" i="11"/>
  <c r="AB133" i="11"/>
  <c r="BI125" i="11"/>
  <c r="BE130" i="11"/>
  <c r="AK135" i="11"/>
  <c r="N126" i="11"/>
  <c r="U125" i="11"/>
  <c r="AG122" i="11"/>
  <c r="AO132" i="11"/>
  <c r="AJ122" i="11"/>
  <c r="BC129" i="11"/>
  <c r="AY125" i="11"/>
  <c r="BG135" i="11"/>
  <c r="U129" i="11"/>
  <c r="BJ126" i="11"/>
  <c r="AN122" i="11"/>
  <c r="K126" i="11"/>
  <c r="AO127" i="11"/>
  <c r="BD130" i="11"/>
  <c r="AC128" i="11"/>
  <c r="BM130" i="11"/>
  <c r="BC132" i="11"/>
  <c r="AF134" i="11"/>
  <c r="AH122" i="11"/>
  <c r="R127" i="11"/>
  <c r="AI130" i="11"/>
  <c r="BB129" i="11"/>
  <c r="K129" i="11"/>
  <c r="O134" i="11"/>
  <c r="AK133" i="11"/>
  <c r="P128" i="11"/>
  <c r="L125" i="11"/>
  <c r="BG132" i="11"/>
  <c r="AP127" i="11"/>
  <c r="AU130" i="11"/>
  <c r="BJ134" i="11"/>
  <c r="H125" i="11"/>
  <c r="AM126" i="11"/>
  <c r="BE129" i="11"/>
  <c r="BH125" i="11"/>
  <c r="BA135" i="11"/>
  <c r="O132" i="11"/>
  <c r="AY133" i="11"/>
  <c r="L129" i="11"/>
  <c r="AE134" i="11"/>
  <c r="AL133" i="11"/>
  <c r="BD129" i="11"/>
  <c r="AH125" i="11"/>
  <c r="U132" i="11"/>
  <c r="AE132" i="11"/>
  <c r="H134" i="11"/>
  <c r="F124" i="11"/>
  <c r="AZ135" i="11"/>
  <c r="AW135" i="11"/>
  <c r="BG128" i="11"/>
  <c r="AB125" i="11"/>
  <c r="BE129" i="12"/>
  <c r="AQ123" i="12"/>
  <c r="O130" i="12"/>
  <c r="BL122" i="12"/>
  <c r="X125" i="12"/>
  <c r="BD130" i="12"/>
  <c r="BJ129" i="12"/>
  <c r="K135" i="12"/>
  <c r="AN125" i="12"/>
  <c r="E123" i="12"/>
  <c r="BC130" i="12"/>
  <c r="X123" i="12"/>
  <c r="AS131" i="12"/>
  <c r="AR127" i="12"/>
  <c r="I125" i="12"/>
  <c r="AN122" i="12"/>
  <c r="BL131" i="12"/>
  <c r="BJ122" i="12"/>
  <c r="AT130" i="12"/>
  <c r="K128" i="12"/>
  <c r="AP125" i="12"/>
  <c r="BC125" i="12"/>
  <c r="BL125" i="12"/>
  <c r="AC123" i="12"/>
  <c r="M131" i="12"/>
  <c r="L125" i="12"/>
  <c r="BI122" i="12"/>
  <c r="BN128" i="12"/>
  <c r="AE126" i="12"/>
  <c r="BJ123" i="12"/>
  <c r="AQ126" i="12"/>
  <c r="R124" i="12"/>
  <c r="BP131" i="12"/>
  <c r="AG129" i="12"/>
  <c r="AF130" i="12"/>
  <c r="AO135" i="12"/>
  <c r="V126" i="12"/>
  <c r="BA123" i="12"/>
  <c r="J125" i="12"/>
  <c r="AF125" i="12"/>
  <c r="V123" i="12"/>
  <c r="AP122" i="12"/>
  <c r="AW131" i="12"/>
  <c r="U134" i="12"/>
  <c r="N135" i="12"/>
  <c r="AM123" i="12"/>
  <c r="BE131" i="12"/>
  <c r="BO123" i="12"/>
  <c r="X134" i="12"/>
  <c r="AU123" i="12"/>
  <c r="J127" i="12"/>
  <c r="U130" i="12"/>
  <c r="AP123" i="12"/>
  <c r="BE126" i="12"/>
  <c r="AJ135" i="12"/>
  <c r="K125" i="12"/>
  <c r="AZ135" i="12"/>
  <c r="AP124" i="12"/>
  <c r="K124" i="12"/>
  <c r="AE122" i="12"/>
  <c r="AI128" i="12"/>
  <c r="AU130" i="12"/>
  <c r="AG132" i="12"/>
  <c r="BN133" i="12"/>
  <c r="U122" i="12"/>
  <c r="AL126" i="12"/>
  <c r="BQ123" i="12"/>
  <c r="BA131" i="12"/>
  <c r="P127" i="12"/>
  <c r="AK122" i="12"/>
  <c r="AP128" i="12"/>
  <c r="G126" i="12"/>
  <c r="AL123" i="12"/>
  <c r="AK125" i="12"/>
  <c r="BH123" i="12"/>
  <c r="AR131" i="12"/>
  <c r="I129" i="12"/>
  <c r="AR128" i="12"/>
  <c r="BA133" i="12"/>
  <c r="BJ126" i="12"/>
  <c r="AA124" i="12"/>
  <c r="K132" i="12"/>
  <c r="BR128" i="12"/>
  <c r="N122" i="12"/>
  <c r="BL129" i="12"/>
  <c r="AC127" i="12"/>
  <c r="BH124" i="12"/>
  <c r="AI130" i="12"/>
  <c r="P125" i="12"/>
  <c r="AU122" i="12"/>
  <c r="AE130" i="12"/>
  <c r="R122" i="12"/>
  <c r="X132" i="12"/>
  <c r="T127" i="12"/>
  <c r="AY124" i="12"/>
  <c r="AV126" i="12"/>
  <c r="AD126" i="12"/>
  <c r="AL127" i="12"/>
  <c r="AN123" i="12"/>
  <c r="AQ131" i="12"/>
  <c r="T126" i="12"/>
  <c r="BH122" i="12"/>
  <c r="AR125" i="12"/>
  <c r="AA129" i="12"/>
  <c r="AO126" i="12"/>
  <c r="I126" i="12"/>
  <c r="BB124" i="12"/>
  <c r="AU129" i="12"/>
  <c r="R129" i="12"/>
  <c r="AA125" i="12"/>
  <c r="AG128" i="12"/>
  <c r="AZ122" i="12"/>
  <c r="AZ128" i="12"/>
  <c r="H124" i="12"/>
  <c r="AL131" i="12"/>
  <c r="AV129" i="12"/>
  <c r="BP127" i="12"/>
  <c r="AN126" i="12"/>
  <c r="W133" i="12"/>
  <c r="BI134" i="12"/>
  <c r="X122" i="12"/>
  <c r="AJ127" i="12"/>
  <c r="BO124" i="12"/>
  <c r="AF122" i="12"/>
  <c r="H131" i="12"/>
  <c r="AI123" i="12"/>
  <c r="AN129" i="12"/>
  <c r="E127" i="12"/>
  <c r="AJ124" i="12"/>
  <c r="AC129" i="12"/>
  <c r="BF124" i="12"/>
  <c r="W122" i="12"/>
  <c r="G130" i="12"/>
  <c r="Q122" i="12"/>
  <c r="AH127" i="12"/>
  <c r="BH127" i="12"/>
  <c r="Y125" i="12"/>
  <c r="BD122" i="12"/>
  <c r="AQ122" i="12"/>
  <c r="L123" i="12"/>
  <c r="BJ130" i="12"/>
  <c r="AA128" i="12"/>
  <c r="BF125" i="12"/>
  <c r="AC128" i="12"/>
  <c r="N126" i="12"/>
  <c r="AS123" i="12"/>
  <c r="AC131" i="12"/>
  <c r="J126" i="12"/>
  <c r="M122" i="12"/>
  <c r="R128" i="12"/>
  <c r="AW125" i="12"/>
  <c r="R126" i="12"/>
  <c r="X129" i="12"/>
  <c r="BN130" i="12"/>
  <c r="AH126" i="12"/>
  <c r="E133" i="12"/>
  <c r="BL133" i="12"/>
  <c r="AB133" i="12"/>
  <c r="AP126" i="12"/>
  <c r="I135" i="12"/>
  <c r="H133" i="12"/>
  <c r="BH133" i="12"/>
  <c r="AT128" i="12"/>
  <c r="S134" i="12"/>
  <c r="BJ124" i="12"/>
  <c r="Y134" i="12"/>
  <c r="L130" i="12"/>
  <c r="BK129" i="12"/>
  <c r="AD124" i="12"/>
  <c r="AC132" i="12"/>
  <c r="AT126" i="12"/>
  <c r="AR124" i="12"/>
  <c r="AG125" i="12"/>
  <c r="P122" i="12"/>
  <c r="AQ135" i="12"/>
  <c r="AC122" i="12"/>
  <c r="AH128" i="12"/>
  <c r="BM125" i="12"/>
  <c r="AD123" i="12"/>
  <c r="AU124" i="12"/>
  <c r="BB122" i="12"/>
  <c r="AL130" i="12"/>
  <c r="BQ127" i="12"/>
  <c r="AH125" i="12"/>
  <c r="AI125" i="12"/>
  <c r="BD125" i="12"/>
  <c r="U123" i="12"/>
  <c r="E131" i="12"/>
  <c r="V124" i="12"/>
  <c r="BA122" i="12"/>
  <c r="BF128" i="12"/>
  <c r="W126" i="12"/>
  <c r="BB123" i="12"/>
  <c r="AI126" i="12"/>
  <c r="J124" i="12"/>
  <c r="BH131" i="12"/>
  <c r="Y129" i="12"/>
  <c r="AP129" i="12"/>
  <c r="AY134" i="12"/>
  <c r="L127" i="12"/>
  <c r="AQ124" i="12"/>
  <c r="H122" i="12"/>
  <c r="BP129" i="12"/>
  <c r="K123" i="12"/>
  <c r="P129" i="12"/>
  <c r="AU126" i="12"/>
  <c r="J130" i="12"/>
  <c r="V130" i="12"/>
  <c r="AM124" i="12"/>
  <c r="Z130" i="12"/>
  <c r="BM135" i="12"/>
  <c r="BJ134" i="12"/>
  <c r="AH134" i="12"/>
  <c r="AJ129" i="12"/>
  <c r="T122" i="12"/>
  <c r="AT125" i="12"/>
  <c r="BQ128" i="12"/>
  <c r="AR129" i="12"/>
  <c r="Z131" i="12"/>
  <c r="AA122" i="12"/>
  <c r="AE125" i="12"/>
  <c r="BC131" i="12"/>
  <c r="AQ133" i="12"/>
  <c r="N132" i="12"/>
  <c r="AO134" i="12"/>
  <c r="BI131" i="12"/>
  <c r="AK129" i="12"/>
  <c r="AY129" i="12"/>
  <c r="T123" i="12"/>
  <c r="BC122" i="12"/>
  <c r="AM129" i="12"/>
  <c r="AW122" i="12"/>
  <c r="N125" i="12"/>
  <c r="AA123" i="12"/>
  <c r="AF129" i="12"/>
  <c r="BK126" i="12"/>
  <c r="AB124" i="12"/>
  <c r="AM128" i="12"/>
  <c r="AZ123" i="12"/>
  <c r="AJ131" i="12"/>
  <c r="BO128" i="12"/>
  <c r="AJ128" i="12"/>
  <c r="AS133" i="12"/>
  <c r="BB126" i="12"/>
  <c r="S124" i="12"/>
  <c r="BQ131" i="12"/>
  <c r="N128" i="12"/>
  <c r="F122" i="12"/>
  <c r="BD129" i="12"/>
  <c r="U127" i="12"/>
  <c r="AZ124" i="12"/>
  <c r="AA130" i="12"/>
  <c r="H125" i="12"/>
  <c r="AM122" i="12"/>
  <c r="W130" i="12"/>
  <c r="O123" i="12"/>
  <c r="E130" i="12"/>
  <c r="J128" i="12"/>
  <c r="AO125" i="12"/>
  <c r="F123" i="12"/>
  <c r="AO123" i="12"/>
  <c r="AD122" i="12"/>
  <c r="N130" i="12"/>
  <c r="AS127" i="12"/>
  <c r="AG131" i="12"/>
  <c r="BK122" i="12"/>
  <c r="AU132" i="12"/>
  <c r="X131" i="12"/>
  <c r="AV132" i="12"/>
  <c r="BK127" i="12"/>
  <c r="V129" i="12"/>
  <c r="I123" i="12"/>
  <c r="BQ130" i="12"/>
  <c r="Q128" i="12"/>
  <c r="AT132" i="12"/>
  <c r="S122" i="12"/>
  <c r="AO132" i="12"/>
  <c r="K130" i="12"/>
  <c r="T132" i="12"/>
  <c r="AZ132" i="12"/>
  <c r="AX131" i="12"/>
  <c r="AS129" i="12"/>
  <c r="Q134" i="12"/>
  <c r="G122" i="12"/>
  <c r="F128" i="12"/>
  <c r="BN124" i="12"/>
  <c r="AY122" i="12"/>
  <c r="AS130" i="12"/>
  <c r="BC128" i="12"/>
  <c r="BG130" i="12"/>
  <c r="AF134" i="12"/>
  <c r="AT122" i="12"/>
  <c r="AD130" i="12"/>
  <c r="BI127" i="12"/>
  <c r="Z125" i="12"/>
  <c r="L122" i="12"/>
  <c r="AX124" i="12"/>
  <c r="O122" i="12"/>
  <c r="BM129" i="12"/>
  <c r="I122" i="12"/>
  <c r="K127" i="12"/>
  <c r="AZ127" i="12"/>
  <c r="Q125" i="12"/>
  <c r="AV122" i="12"/>
  <c r="F132" i="12"/>
  <c r="BR122" i="12"/>
  <c r="BB130" i="12"/>
  <c r="S128" i="12"/>
  <c r="AX125" i="12"/>
  <c r="H128" i="12"/>
  <c r="F126" i="12"/>
  <c r="AK123" i="12"/>
  <c r="U131" i="12"/>
  <c r="T125" i="12"/>
  <c r="BQ122" i="12"/>
  <c r="H129" i="12"/>
  <c r="AM126" i="12"/>
  <c r="BR123" i="12"/>
  <c r="AG127" i="12"/>
  <c r="AB123" i="12"/>
  <c r="L131" i="12"/>
  <c r="AQ128" i="12"/>
  <c r="BP130" i="12"/>
  <c r="BI123" i="12"/>
  <c r="BL126" i="12"/>
  <c r="BM123" i="12"/>
  <c r="AT133" i="12"/>
  <c r="AM134" i="12"/>
  <c r="H126" i="12"/>
  <c r="G124" i="12"/>
  <c r="AX135" i="12"/>
  <c r="AW133" i="12"/>
  <c r="P126" i="12"/>
  <c r="K126" i="12"/>
  <c r="P133" i="12"/>
  <c r="AA134" i="12"/>
  <c r="BL127" i="12"/>
  <c r="AM131" i="12"/>
  <c r="AX132" i="12"/>
  <c r="BI133" i="12"/>
  <c r="AU135" i="12"/>
  <c r="BI124" i="12"/>
  <c r="M127" i="12"/>
  <c r="G123" i="12"/>
  <c r="BR130" i="12"/>
  <c r="AL122" i="12"/>
  <c r="BL130" i="12"/>
  <c r="BQ129" i="12"/>
  <c r="AR123" i="12"/>
  <c r="AB131" i="12"/>
  <c r="BG128" i="12"/>
  <c r="AT127" i="12"/>
  <c r="BC132" i="12"/>
  <c r="AV125" i="12"/>
  <c r="M123" i="12"/>
  <c r="BK130" i="12"/>
  <c r="N124" i="12"/>
  <c r="AS122" i="12"/>
  <c r="AX128" i="12"/>
  <c r="O126" i="12"/>
  <c r="AT123" i="12"/>
  <c r="AS125" i="12"/>
  <c r="BP123" i="12"/>
  <c r="AZ131" i="12"/>
  <c r="Q129" i="12"/>
  <c r="AH129" i="12"/>
  <c r="AQ134" i="12"/>
  <c r="BR126" i="12"/>
  <c r="AI124" i="12"/>
  <c r="S132" i="12"/>
  <c r="L129" i="12"/>
  <c r="V122" i="12"/>
  <c r="F130" i="12"/>
  <c r="AK127" i="12"/>
  <c r="BP124" i="12"/>
  <c r="Y131" i="12"/>
  <c r="Z124" i="12"/>
  <c r="J132" i="12"/>
  <c r="AK131" i="12"/>
  <c r="S123" i="12"/>
  <c r="BC126" i="12"/>
  <c r="BJ127" i="12"/>
  <c r="BE127" i="12"/>
  <c r="AO124" i="12"/>
  <c r="AK135" i="12"/>
  <c r="BN129" i="12"/>
  <c r="BO126" i="12"/>
  <c r="BL124" i="12"/>
  <c r="W127" i="12"/>
  <c r="J129" i="12"/>
  <c r="I127" i="12"/>
  <c r="BE133" i="12"/>
  <c r="BP134" i="12"/>
  <c r="AC125" i="12"/>
  <c r="T134" i="12"/>
  <c r="Y133" i="12"/>
  <c r="AJ134" i="12"/>
  <c r="O135" i="12"/>
  <c r="AO129" i="12"/>
  <c r="AN130" i="12"/>
  <c r="AW135" i="12"/>
  <c r="AB127" i="12"/>
  <c r="BG124" i="12"/>
  <c r="T124" i="12"/>
  <c r="AE128" i="12"/>
  <c r="BH128" i="12"/>
  <c r="AL124" i="12"/>
  <c r="V132" i="12"/>
  <c r="BA129" i="12"/>
  <c r="BQ133" i="12"/>
  <c r="AR134" i="12"/>
  <c r="S135" i="12"/>
  <c r="BH135" i="12"/>
  <c r="AC124" i="12"/>
  <c r="BI132" i="12"/>
  <c r="G135" i="12"/>
  <c r="BJ131" i="12"/>
  <c r="AN127" i="12"/>
  <c r="E125" i="12"/>
  <c r="P124" i="12"/>
  <c r="BG125" i="12"/>
  <c r="AI127" i="12"/>
  <c r="N129" i="12"/>
  <c r="BE130" i="12"/>
  <c r="AB132" i="12"/>
  <c r="AU127" i="12"/>
  <c r="N127" i="12"/>
  <c r="BF122" i="12"/>
  <c r="AP130" i="12"/>
  <c r="G128" i="12"/>
  <c r="U132" i="12"/>
  <c r="BL132" i="12"/>
  <c r="AM133" i="12"/>
  <c r="N134" i="12"/>
  <c r="BC134" i="12"/>
  <c r="AD135" i="12"/>
  <c r="AF135" i="12"/>
  <c r="P130" i="12"/>
  <c r="BH125" i="12"/>
  <c r="Y123" i="12"/>
  <c r="I131" i="12"/>
  <c r="Y135" i="12"/>
  <c r="BN135" i="12"/>
  <c r="AS124" i="12"/>
  <c r="U126" i="12"/>
  <c r="BN127" i="12"/>
  <c r="AV128" i="12"/>
  <c r="AR133" i="12"/>
  <c r="BM122" i="12"/>
  <c r="BJ128" i="12"/>
  <c r="AA126" i="12"/>
  <c r="AY127" i="12"/>
  <c r="AD129" i="12"/>
  <c r="G131" i="12"/>
  <c r="AH132" i="12"/>
  <c r="I133" i="12"/>
  <c r="AX133" i="12"/>
  <c r="BK135" i="12"/>
  <c r="R135" i="12"/>
  <c r="BG135" i="12"/>
  <c r="Y124" i="12"/>
  <c r="BR125" i="12"/>
  <c r="W135" i="12"/>
  <c r="E128" i="12"/>
  <c r="G133" i="12"/>
  <c r="AV133" i="12"/>
  <c r="W134" i="12"/>
  <c r="BL134" i="12"/>
  <c r="AJ133" i="12"/>
  <c r="AX129" i="12"/>
  <c r="AB125" i="12"/>
  <c r="BG122" i="12"/>
  <c r="AQ130" i="12"/>
  <c r="BG134" i="12"/>
  <c r="AH135" i="12"/>
  <c r="AJ122" i="12"/>
  <c r="BQ124" i="12"/>
  <c r="AS126" i="12"/>
  <c r="BP122" i="12"/>
  <c r="AR130" i="12"/>
  <c r="P132" i="12"/>
  <c r="AY133" i="12"/>
  <c r="S133" i="12"/>
  <c r="AM130" i="12"/>
  <c r="Z122" i="12"/>
  <c r="AF132" i="12"/>
  <c r="Z128" i="12"/>
  <c r="BE125" i="12"/>
  <c r="R125" i="12"/>
  <c r="W132" i="12"/>
  <c r="BF129" i="12"/>
  <c r="AJ125" i="12"/>
  <c r="BO122" i="12"/>
  <c r="AY130" i="12"/>
  <c r="BO134" i="12"/>
  <c r="AP135" i="12"/>
  <c r="AH123" i="12"/>
  <c r="W125" i="12"/>
  <c r="BP126" i="12"/>
  <c r="BD124" i="12"/>
  <c r="BK131" i="12"/>
  <c r="AO122" i="12"/>
  <c r="AL128" i="12"/>
  <c r="BQ125" i="12"/>
  <c r="BA126" i="12"/>
  <c r="AF128" i="12"/>
  <c r="I130" i="12"/>
  <c r="AY131" i="12"/>
  <c r="AY132" i="12"/>
  <c r="Z133" i="12"/>
  <c r="AG134" i="12"/>
  <c r="L128" i="12"/>
  <c r="BD123" i="12"/>
  <c r="AN131" i="12"/>
  <c r="E129" i="12"/>
  <c r="U133" i="12"/>
  <c r="BJ133" i="12"/>
  <c r="AK134" i="12"/>
  <c r="L135" i="12"/>
  <c r="BA135" i="12"/>
  <c r="E126" i="12"/>
  <c r="BG131" i="12"/>
  <c r="N131" i="12"/>
  <c r="BF126" i="12"/>
  <c r="W124" i="12"/>
  <c r="G132" i="12"/>
  <c r="BK123" i="12"/>
  <c r="AM125" i="12"/>
  <c r="R127" i="12"/>
  <c r="BI128" i="12"/>
  <c r="AK130" i="12"/>
  <c r="BF134" i="12"/>
  <c r="AF126" i="12"/>
  <c r="J122" i="12"/>
  <c r="BH129" i="12"/>
  <c r="Y127" i="12"/>
  <c r="Y130" i="12"/>
  <c r="BO131" i="12"/>
  <c r="BE132" i="12"/>
  <c r="AF133" i="12"/>
  <c r="G134" i="12"/>
  <c r="AV134" i="12"/>
  <c r="AL132" i="12"/>
  <c r="Z123" i="12"/>
  <c r="V125" i="12"/>
  <c r="BM126" i="12"/>
  <c r="AO128" i="12"/>
  <c r="S131" i="12"/>
  <c r="AP134" i="12"/>
  <c r="E134" i="12"/>
  <c r="AT134" i="12"/>
  <c r="U135" i="12"/>
  <c r="BJ135" i="12"/>
  <c r="AW126" i="12"/>
  <c r="AV130" i="12"/>
  <c r="Z126" i="12"/>
  <c r="BE123" i="12"/>
  <c r="AO131" i="12"/>
  <c r="BE135" i="12"/>
  <c r="U124" i="12"/>
  <c r="BK125" i="12"/>
  <c r="AP127" i="12"/>
  <c r="S129" i="12"/>
  <c r="BJ132" i="12"/>
  <c r="AN135" i="12"/>
  <c r="BQ126" i="12"/>
  <c r="BI130" i="12"/>
  <c r="AQ129" i="12"/>
  <c r="BH134" i="12"/>
  <c r="AI135" i="12"/>
  <c r="AR122" i="12"/>
  <c r="F125" i="12"/>
  <c r="BG133" i="12"/>
  <c r="M124" i="12"/>
  <c r="L132" i="12"/>
  <c r="BD127" i="12"/>
  <c r="U125" i="12"/>
  <c r="BE124" i="12"/>
  <c r="AJ126" i="12"/>
  <c r="M128" i="12"/>
  <c r="BC129" i="12"/>
  <c r="AH131" i="12"/>
  <c r="AR132" i="12"/>
  <c r="T130" i="12"/>
  <c r="AD127" i="12"/>
  <c r="H123" i="12"/>
  <c r="BF130" i="12"/>
  <c r="W128" i="12"/>
  <c r="AM132" i="12"/>
  <c r="N133" i="12"/>
  <c r="BC133" i="12"/>
  <c r="AD134" i="12"/>
  <c r="E135" i="12"/>
  <c r="AT135" i="12"/>
  <c r="I124" i="12"/>
  <c r="Q126" i="12"/>
  <c r="BG127" i="12"/>
  <c r="AL129" i="12"/>
  <c r="O131" i="12"/>
  <c r="BD135" i="12"/>
  <c r="AB134" i="12"/>
  <c r="BQ134" i="12"/>
  <c r="AR135" i="12"/>
  <c r="AX123" i="12"/>
  <c r="R131" i="12"/>
  <c r="I134" i="12"/>
  <c r="AT131" i="12"/>
  <c r="X127" i="12"/>
  <c r="BC124" i="12"/>
  <c r="J123" i="12"/>
  <c r="O125" i="12"/>
  <c r="BH126" i="12"/>
  <c r="AK128" i="12"/>
  <c r="M130" i="12"/>
  <c r="BF131" i="12"/>
  <c r="G125" i="12"/>
  <c r="X128" i="12"/>
  <c r="AW134" i="12"/>
  <c r="AY125" i="12"/>
  <c r="AF124" i="12"/>
  <c r="BA127" i="12"/>
  <c r="AD131" i="12"/>
  <c r="AN124" i="12"/>
  <c r="BB131" i="12"/>
  <c r="AF127" i="12"/>
  <c r="BK124" i="12"/>
  <c r="BG123" i="12"/>
  <c r="AL125" i="12"/>
  <c r="O127" i="12"/>
  <c r="BE128" i="12"/>
  <c r="AJ130" i="12"/>
  <c r="M132" i="12"/>
  <c r="AB126" i="12"/>
  <c r="F127" i="12"/>
  <c r="AX122" i="12"/>
  <c r="AH130" i="12"/>
  <c r="BM127" i="12"/>
  <c r="BN131" i="12"/>
  <c r="BD132" i="12"/>
  <c r="AE133" i="12"/>
  <c r="F134" i="12"/>
  <c r="AU134" i="12"/>
  <c r="V135" i="12"/>
  <c r="BN134" i="12"/>
  <c r="H130" i="12"/>
  <c r="AZ125" i="12"/>
  <c r="Q123" i="12"/>
  <c r="BO130" i="12"/>
  <c r="Q135" i="12"/>
  <c r="BF135" i="12"/>
  <c r="X124" i="12"/>
  <c r="BO125" i="12"/>
  <c r="AQ127" i="12"/>
  <c r="AA127" i="12"/>
  <c r="L133" i="12"/>
  <c r="BE122" i="12"/>
  <c r="BB128" i="12"/>
  <c r="S126" i="12"/>
  <c r="AE127" i="12"/>
  <c r="G129" i="12"/>
  <c r="AZ130" i="12"/>
  <c r="Z132" i="12"/>
  <c r="BO132" i="12"/>
  <c r="AP133" i="12"/>
  <c r="AE135" i="12"/>
  <c r="AB128" i="12"/>
  <c r="F124" i="12"/>
  <c r="BD131" i="12"/>
  <c r="U129" i="12"/>
  <c r="AK133" i="12"/>
  <c r="L134" i="12"/>
  <c r="BA134" i="12"/>
  <c r="AB135" i="12"/>
  <c r="BQ135" i="12"/>
  <c r="AS128" i="12"/>
  <c r="K133" i="12"/>
  <c r="BD128" i="12"/>
  <c r="AG130" i="12"/>
  <c r="I132" i="12"/>
  <c r="BH132" i="12"/>
  <c r="AK132" i="12"/>
  <c r="Z135" i="12"/>
  <c r="BO135" i="12"/>
  <c r="AV124" i="12"/>
  <c r="Y126" i="12"/>
  <c r="BC135" i="12"/>
  <c r="W129" i="12"/>
  <c r="Y122" i="12"/>
  <c r="V128" i="12"/>
  <c r="BA125" i="12"/>
  <c r="L126" i="12"/>
  <c r="BC127" i="12"/>
  <c r="AE129" i="12"/>
  <c r="J131" i="12"/>
  <c r="AI132" i="12"/>
  <c r="J133" i="12"/>
  <c r="AI133" i="12"/>
  <c r="R134" i="12"/>
  <c r="AV135" i="12"/>
  <c r="P135" i="12"/>
  <c r="AX134" i="12"/>
  <c r="N123" i="12"/>
  <c r="AW123" i="12"/>
  <c r="AJ123" i="12"/>
  <c r="T131" i="12"/>
  <c r="AY128" i="12"/>
  <c r="P123" i="12"/>
  <c r="AD133" i="12"/>
  <c r="AG122" i="12"/>
  <c r="AD128" i="12"/>
  <c r="BI125" i="12"/>
  <c r="AG126" i="12"/>
  <c r="I128" i="12"/>
  <c r="BB129" i="12"/>
  <c r="AE131" i="12"/>
  <c r="AQ132" i="12"/>
  <c r="R133" i="12"/>
  <c r="BO133" i="12"/>
  <c r="BR127" i="12"/>
  <c r="AV123" i="12"/>
  <c r="AF131" i="12"/>
  <c r="BK128" i="12"/>
  <c r="M133" i="12"/>
  <c r="BB133" i="12"/>
  <c r="AC134" i="12"/>
  <c r="BR134" i="12"/>
  <c r="AS135" i="12"/>
  <c r="BA124" i="12"/>
  <c r="AO130" i="12"/>
  <c r="F131" i="12"/>
  <c r="AX126" i="12"/>
  <c r="O124" i="12"/>
  <c r="BM131" i="12"/>
  <c r="R123" i="12"/>
  <c r="S125" i="12"/>
  <c r="BI126" i="12"/>
  <c r="AN128" i="12"/>
  <c r="Q130" i="12"/>
  <c r="Z134" i="12"/>
  <c r="X126" i="12"/>
  <c r="BC123" i="12"/>
  <c r="AZ129" i="12"/>
  <c r="Q127" i="12"/>
  <c r="BR129" i="12"/>
  <c r="AU131" i="12"/>
  <c r="AW132" i="12"/>
  <c r="X133" i="12"/>
  <c r="BM133" i="12"/>
  <c r="AN134" i="12"/>
  <c r="AP131" i="12"/>
  <c r="Z129" i="12"/>
  <c r="BR124" i="12"/>
  <c r="AI122" i="12"/>
  <c r="S130" i="12"/>
  <c r="AI134" i="12"/>
  <c r="J135" i="12"/>
  <c r="AY135" i="12"/>
  <c r="E124" i="12"/>
  <c r="AU125" i="12"/>
  <c r="BE134" i="12"/>
  <c r="AZ126" i="12"/>
  <c r="AA131" i="12"/>
  <c r="AP132" i="12"/>
  <c r="Q133" i="12"/>
  <c r="BF133" i="12"/>
  <c r="BF123" i="12"/>
  <c r="BN123" i="12"/>
  <c r="AQ125" i="12"/>
  <c r="S127" i="12"/>
  <c r="BL128" i="12"/>
  <c r="AD132" i="12"/>
  <c r="H135" i="12"/>
  <c r="W123" i="12"/>
  <c r="T129" i="12"/>
  <c r="AY126" i="12"/>
  <c r="AW128" i="12"/>
  <c r="AB130" i="12"/>
  <c r="E132" i="12"/>
  <c r="BF132" i="12"/>
  <c r="AG133" i="12"/>
  <c r="H134" i="12"/>
  <c r="AC126" i="12"/>
  <c r="Q132" i="12"/>
  <c r="AZ133" i="12"/>
  <c r="T133" i="12"/>
  <c r="BB132" i="12"/>
  <c r="L124" i="12"/>
  <c r="AO127" i="12"/>
  <c r="AH124" i="12"/>
  <c r="R132" i="12"/>
  <c r="AW129" i="12"/>
  <c r="H127" i="12"/>
  <c r="BN125" i="12"/>
  <c r="AE123" i="12"/>
  <c r="AB129" i="12"/>
  <c r="BG126" i="12"/>
  <c r="F129" i="12"/>
  <c r="AW130" i="12"/>
  <c r="Y132" i="12"/>
  <c r="BN132" i="12"/>
  <c r="AO133" i="12"/>
  <c r="P134" i="12"/>
  <c r="AX127" i="12"/>
  <c r="BP128" i="12"/>
  <c r="AT124" i="12"/>
  <c r="K122" i="12"/>
  <c r="BI129" i="12"/>
  <c r="K134" i="12"/>
  <c r="AZ134" i="12"/>
  <c r="AA135" i="12"/>
  <c r="BP135" i="12"/>
  <c r="AW124" i="12"/>
  <c r="AA133" i="12"/>
  <c r="AM135" i="12"/>
  <c r="BR131" i="12"/>
  <c r="AV127" i="12"/>
  <c r="M125" i="12"/>
  <c r="AK124" i="12"/>
  <c r="M126" i="12"/>
  <c r="BF127" i="12"/>
  <c r="AI129" i="12"/>
  <c r="K131" i="12"/>
  <c r="AJ132" i="12"/>
  <c r="BM128" i="12"/>
  <c r="V127" i="12"/>
  <c r="BN122" i="12"/>
  <c r="AX130" i="12"/>
  <c r="O128" i="12"/>
  <c r="AE132" i="12"/>
  <c r="F133" i="12"/>
  <c r="AU133" i="12"/>
  <c r="V134" i="12"/>
  <c r="BK134" i="12"/>
  <c r="AL135" i="12"/>
  <c r="BL135" i="12"/>
  <c r="X130" i="12"/>
  <c r="BP125" i="12"/>
  <c r="AG123" i="12"/>
  <c r="Q131" i="12"/>
  <c r="AG135" i="12"/>
  <c r="AB122" i="12"/>
  <c r="BM124" i="12"/>
  <c r="AR126" i="12"/>
  <c r="U128" i="12"/>
  <c r="BO129" i="12"/>
  <c r="J134" i="12"/>
  <c r="BM132" i="12"/>
  <c r="AN133" i="12"/>
  <c r="O134" i="12"/>
  <c r="BD134" i="12"/>
  <c r="BR132" i="12"/>
  <c r="AK126" i="12"/>
  <c r="P128" i="12"/>
  <c r="BG129" i="12"/>
  <c r="AI131" i="12"/>
  <c r="AY123" i="12"/>
  <c r="BD126" i="12"/>
  <c r="AH122" i="12"/>
  <c r="R130" i="12"/>
  <c r="AW127" i="12"/>
  <c r="W131" i="12"/>
  <c r="AN132" i="12"/>
  <c r="O133" i="12"/>
  <c r="BD133" i="12"/>
  <c r="AE134" i="12"/>
  <c r="F135" i="12"/>
  <c r="BP133" i="12"/>
  <c r="G127" i="12"/>
  <c r="BM130" i="12"/>
  <c r="AT129" i="12"/>
  <c r="Y128" i="12"/>
  <c r="BA128" i="12"/>
  <c r="AC130" i="12"/>
  <c r="H132" i="12"/>
  <c r="BG132" i="12"/>
  <c r="AH133" i="12"/>
  <c r="BM134" i="12"/>
  <c r="T128" i="12"/>
  <c r="BL123" i="12"/>
  <c r="AV131" i="12"/>
  <c r="M129" i="12"/>
  <c r="AC133" i="12"/>
  <c r="BR133" i="12"/>
  <c r="AS134" i="12"/>
  <c r="T135" i="12"/>
  <c r="BI135" i="12"/>
  <c r="Z127" i="12"/>
  <c r="AS132" i="12"/>
  <c r="V131" i="12"/>
  <c r="BN126" i="12"/>
  <c r="AE124" i="12"/>
  <c r="O132" i="12"/>
  <c r="Q124" i="12"/>
  <c r="BJ125" i="12"/>
  <c r="AM127" i="12"/>
  <c r="O129" i="12"/>
  <c r="BH130" i="12"/>
  <c r="X135" i="12"/>
  <c r="V133" i="12"/>
  <c r="BK133" i="12"/>
  <c r="AL134" i="12"/>
  <c r="M135" i="12"/>
  <c r="BB135" i="12"/>
  <c r="AD125" i="12"/>
  <c r="K129" i="12"/>
  <c r="BA130" i="12"/>
  <c r="AA132" i="12"/>
  <c r="BP132" i="12"/>
  <c r="BQ132" i="12"/>
  <c r="BB127" i="12"/>
  <c r="AF123" i="12"/>
  <c r="P131" i="12"/>
  <c r="AU128" i="12"/>
  <c r="BK132" i="12"/>
  <c r="AL133" i="12"/>
  <c r="M134" i="12"/>
  <c r="BB134" i="12"/>
  <c r="AC135" i="12"/>
  <c r="BR135" i="12"/>
  <c r="BO127" i="12"/>
  <c r="BA132" i="12"/>
  <c r="BB125" i="12"/>
  <c r="AG124" i="12"/>
  <c r="A2" i="4"/>
  <c r="C114" i="4"/>
  <c r="F113" i="4"/>
  <c r="F79" i="4"/>
  <c r="E75" i="4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 i="4"/>
  <c r="D33" i="4"/>
  <c r="D75" i="4" s="1"/>
  <c r="D109" i="4" s="1"/>
  <c r="C33" i="4"/>
  <c r="C75" i="4" s="1"/>
  <c r="C109" i="4" s="1"/>
  <c r="B33" i="4"/>
  <c r="B75" i="4" s="1"/>
  <c r="B109" i="4" s="1"/>
  <c r="A33" i="4"/>
  <c r="A75" i="4" s="1"/>
  <c r="A109" i="4" s="1"/>
  <c r="D74" i="4"/>
  <c r="D108" i="4" s="1"/>
  <c r="C74" i="4"/>
  <c r="C108" i="4" s="1"/>
  <c r="B74" i="4"/>
  <c r="B108" i="4" s="1"/>
  <c r="A74" i="4"/>
  <c r="D73" i="4"/>
  <c r="D107" i="4" s="1"/>
  <c r="C73" i="4"/>
  <c r="C107" i="4" s="1"/>
  <c r="B73" i="4"/>
  <c r="B107" i="4" s="1"/>
  <c r="A73" i="4"/>
  <c r="D72" i="4"/>
  <c r="D106" i="4" s="1"/>
  <c r="C72" i="4"/>
  <c r="C106" i="4" s="1"/>
  <c r="B72" i="4"/>
  <c r="B106" i="4" s="1"/>
  <c r="A72" i="4"/>
  <c r="D71" i="4"/>
  <c r="D105" i="4" s="1"/>
  <c r="C71" i="4"/>
  <c r="C105" i="4" s="1"/>
  <c r="B71" i="4"/>
  <c r="B105" i="4" s="1"/>
  <c r="A71" i="4"/>
  <c r="D70" i="4"/>
  <c r="D104" i="4" s="1"/>
  <c r="C70" i="4"/>
  <c r="C104" i="4" s="1"/>
  <c r="B70" i="4"/>
  <c r="B104" i="4" s="1"/>
  <c r="A70" i="4"/>
  <c r="D69" i="4"/>
  <c r="D103" i="4" s="1"/>
  <c r="C69" i="4"/>
  <c r="C103" i="4" s="1"/>
  <c r="B69" i="4"/>
  <c r="B103" i="4" s="1"/>
  <c r="A69" i="4"/>
  <c r="D68" i="4"/>
  <c r="D102" i="4" s="1"/>
  <c r="C68" i="4"/>
  <c r="C102" i="4" s="1"/>
  <c r="B68" i="4"/>
  <c r="B102" i="4" s="1"/>
  <c r="A68" i="4"/>
  <c r="D67" i="4"/>
  <c r="D101" i="4" s="1"/>
  <c r="C67" i="4"/>
  <c r="C101" i="4" s="1"/>
  <c r="B67" i="4"/>
  <c r="B101" i="4" s="1"/>
  <c r="A67" i="4"/>
  <c r="D66" i="4"/>
  <c r="D100" i="4" s="1"/>
  <c r="C66" i="4"/>
  <c r="C100" i="4" s="1"/>
  <c r="B66" i="4"/>
  <c r="B100" i="4" s="1"/>
  <c r="A66" i="4"/>
  <c r="D65" i="4"/>
  <c r="D99" i="4" s="1"/>
  <c r="C65" i="4"/>
  <c r="C99" i="4" s="1"/>
  <c r="B65" i="4"/>
  <c r="B99" i="4" s="1"/>
  <c r="A65" i="4"/>
  <c r="D64" i="4"/>
  <c r="D98" i="4" s="1"/>
  <c r="C64" i="4"/>
  <c r="C98" i="4" s="1"/>
  <c r="B64" i="4"/>
  <c r="B98" i="4" s="1"/>
  <c r="A64" i="4"/>
  <c r="D63" i="4"/>
  <c r="D97" i="4" s="1"/>
  <c r="C63" i="4"/>
  <c r="C97" i="4" s="1"/>
  <c r="B63" i="4"/>
  <c r="B97" i="4" s="1"/>
  <c r="A63" i="4"/>
  <c r="D62" i="4"/>
  <c r="D96" i="4" s="1"/>
  <c r="C62" i="4"/>
  <c r="C96" i="4" s="1"/>
  <c r="B62" i="4"/>
  <c r="B96" i="4" s="1"/>
  <c r="A62" i="4"/>
  <c r="D61" i="4"/>
  <c r="D95" i="4" s="1"/>
  <c r="C61" i="4"/>
  <c r="C95" i="4" s="1"/>
  <c r="B61" i="4"/>
  <c r="B95" i="4" s="1"/>
  <c r="A61" i="4"/>
  <c r="D60" i="4"/>
  <c r="D94" i="4" s="1"/>
  <c r="C60" i="4"/>
  <c r="C94" i="4" s="1"/>
  <c r="B60" i="4"/>
  <c r="B94" i="4" s="1"/>
  <c r="A60" i="4"/>
  <c r="D59" i="4"/>
  <c r="D93" i="4" s="1"/>
  <c r="C59" i="4"/>
  <c r="C93" i="4" s="1"/>
  <c r="B59" i="4"/>
  <c r="B93" i="4" s="1"/>
  <c r="A59" i="4"/>
  <c r="D16" i="4"/>
  <c r="D58" i="4" s="1"/>
  <c r="D92" i="4" s="1"/>
  <c r="C16" i="4"/>
  <c r="C58" i="4" s="1"/>
  <c r="C92" i="4" s="1"/>
  <c r="B16" i="4"/>
  <c r="B58" i="4" s="1"/>
  <c r="B92" i="4" s="1"/>
  <c r="A16" i="4"/>
  <c r="A58" i="4" s="1"/>
  <c r="D15" i="4"/>
  <c r="D57" i="4" s="1"/>
  <c r="D91" i="4" s="1"/>
  <c r="C15" i="4"/>
  <c r="C57" i="4" s="1"/>
  <c r="C91" i="4" s="1"/>
  <c r="B15" i="4"/>
  <c r="B57" i="4" s="1"/>
  <c r="B91" i="4" s="1"/>
  <c r="A15" i="4"/>
  <c r="A57" i="4" s="1"/>
  <c r="D14" i="4"/>
  <c r="D56" i="4" s="1"/>
  <c r="D90" i="4" s="1"/>
  <c r="C14" i="4"/>
  <c r="C56" i="4" s="1"/>
  <c r="C90" i="4" s="1"/>
  <c r="B14" i="4"/>
  <c r="B56" i="4" s="1"/>
  <c r="B90" i="4" s="1"/>
  <c r="A14" i="4"/>
  <c r="A56" i="4" s="1"/>
  <c r="D13" i="4"/>
  <c r="D55" i="4" s="1"/>
  <c r="D89" i="4" s="1"/>
  <c r="C13" i="4"/>
  <c r="C55" i="4" s="1"/>
  <c r="C89" i="4" s="1"/>
  <c r="B13" i="4"/>
  <c r="B55" i="4" s="1"/>
  <c r="B89" i="4" s="1"/>
  <c r="A13" i="4"/>
  <c r="A55" i="4" s="1"/>
  <c r="D12" i="4"/>
  <c r="D54" i="4" s="1"/>
  <c r="D88" i="4" s="1"/>
  <c r="C12" i="4"/>
  <c r="C54" i="4" s="1"/>
  <c r="C88" i="4" s="1"/>
  <c r="B12" i="4"/>
  <c r="B54" i="4" s="1"/>
  <c r="B88" i="4" s="1"/>
  <c r="A12" i="4"/>
  <c r="A54" i="4" s="1"/>
  <c r="D11" i="4"/>
  <c r="D53" i="4" s="1"/>
  <c r="D87" i="4" s="1"/>
  <c r="C11" i="4"/>
  <c r="C53" i="4" s="1"/>
  <c r="C87" i="4" s="1"/>
  <c r="B11" i="4"/>
  <c r="B53" i="4" s="1"/>
  <c r="B87" i="4" s="1"/>
  <c r="A11" i="4"/>
  <c r="A53" i="4" s="1"/>
  <c r="D10" i="4"/>
  <c r="D52" i="4" s="1"/>
  <c r="D86" i="4" s="1"/>
  <c r="C10" i="4"/>
  <c r="C52" i="4" s="1"/>
  <c r="C86" i="4" s="1"/>
  <c r="B10" i="4"/>
  <c r="B52" i="4" s="1"/>
  <c r="B86" i="4" s="1"/>
  <c r="A10" i="4"/>
  <c r="A52" i="4" s="1"/>
  <c r="D9" i="4"/>
  <c r="D51" i="4" s="1"/>
  <c r="D85" i="4" s="1"/>
  <c r="C9" i="4"/>
  <c r="C51" i="4" s="1"/>
  <c r="C85" i="4" s="1"/>
  <c r="B9" i="4"/>
  <c r="B51" i="4" s="1"/>
  <c r="B85" i="4" s="1"/>
  <c r="A9" i="4"/>
  <c r="A51" i="4" s="1"/>
  <c r="D8" i="4"/>
  <c r="D50" i="4" s="1"/>
  <c r="D84" i="4" s="1"/>
  <c r="C8" i="4"/>
  <c r="C50" i="4" s="1"/>
  <c r="C84" i="4" s="1"/>
  <c r="B8" i="4"/>
  <c r="B50" i="4" s="1"/>
  <c r="B84" i="4" s="1"/>
  <c r="A8" i="4"/>
  <c r="A50" i="4" s="1"/>
  <c r="D7" i="4"/>
  <c r="D49" i="4" s="1"/>
  <c r="D83" i="4" s="1"/>
  <c r="C7" i="4"/>
  <c r="C49" i="4" s="1"/>
  <c r="C83" i="4" s="1"/>
  <c r="B7" i="4"/>
  <c r="B49" i="4" s="1"/>
  <c r="B83" i="4" s="1"/>
  <c r="A7" i="4"/>
  <c r="A49" i="4" s="1"/>
  <c r="D6" i="4"/>
  <c r="D48" i="4" s="1"/>
  <c r="D82" i="4" s="1"/>
  <c r="C6" i="4"/>
  <c r="C48" i="4" s="1"/>
  <c r="C82" i="4" s="1"/>
  <c r="B6" i="4"/>
  <c r="B48" i="4" s="1"/>
  <c r="B82" i="4" s="1"/>
  <c r="A6" i="4"/>
  <c r="A48" i="4" s="1"/>
  <c r="D5" i="4"/>
  <c r="D47" i="4" s="1"/>
  <c r="D81" i="4" s="1"/>
  <c r="C5" i="4"/>
  <c r="C47" i="4" s="1"/>
  <c r="C81" i="4" s="1"/>
  <c r="B5" i="4"/>
  <c r="B47" i="4" s="1"/>
  <c r="B81" i="4" s="1"/>
  <c r="A5" i="4"/>
  <c r="A47" i="4" s="1"/>
  <c r="D4" i="4"/>
  <c r="D46" i="4" s="1"/>
  <c r="D80" i="4" s="1"/>
  <c r="C4" i="4"/>
  <c r="C46" i="4" s="1"/>
  <c r="C80" i="4" s="1"/>
  <c r="B4" i="4"/>
  <c r="B46" i="4" s="1"/>
  <c r="B80" i="4" s="1"/>
  <c r="A4" i="4"/>
  <c r="A46" i="4" s="1"/>
  <c r="BJ46" i="4" l="1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AR46" i="4"/>
  <c r="AN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AV46" i="4"/>
  <c r="AR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K46" i="4"/>
  <c r="G67" i="8" s="1"/>
  <c r="N46" i="4"/>
  <c r="J67" i="8" s="1"/>
  <c r="Z46" i="4"/>
  <c r="V67" i="8" s="1"/>
  <c r="AY46" i="4"/>
  <c r="AU67" i="8" s="1"/>
  <c r="BE46" i="4"/>
  <c r="BA67" i="8" s="1"/>
  <c r="AQ46" i="4"/>
  <c r="AM67" i="8" s="1"/>
  <c r="BM46" i="4"/>
  <c r="BI67" i="8" s="1"/>
  <c r="AI46" i="4"/>
  <c r="AE67" i="8" s="1"/>
  <c r="M46" i="4"/>
  <c r="I67" i="8" s="1"/>
  <c r="L46" i="4"/>
  <c r="H67" i="8" s="1"/>
  <c r="AE46" i="4"/>
  <c r="AA67" i="8" s="1"/>
  <c r="U46" i="4"/>
  <c r="Q67" i="8" s="1"/>
  <c r="R46" i="4"/>
  <c r="N67" i="8" s="1"/>
  <c r="AG46" i="4"/>
  <c r="AC67" i="8" s="1"/>
  <c r="AJ46" i="4"/>
  <c r="AF67" i="8" s="1"/>
  <c r="Y46" i="4"/>
  <c r="U67" i="8" s="1"/>
  <c r="AF46" i="4"/>
  <c r="AB67" i="8" s="1"/>
  <c r="AK46" i="4"/>
  <c r="AG67" i="8" s="1"/>
  <c r="H46" i="4"/>
  <c r="D67" i="8" s="1"/>
  <c r="AL46" i="4"/>
  <c r="AH67" i="8" s="1"/>
  <c r="Q46" i="4"/>
  <c r="M67" i="8" s="1"/>
  <c r="X46" i="4"/>
  <c r="T67" i="8" s="1"/>
  <c r="I46" i="4"/>
  <c r="E67" i="8" s="1"/>
  <c r="V46" i="4"/>
  <c r="R67" i="8" s="1"/>
  <c r="AA46" i="4"/>
  <c r="W67" i="8" s="1"/>
  <c r="AD46" i="4"/>
  <c r="Z67" i="8" s="1"/>
  <c r="G46" i="4"/>
  <c r="C67" i="8" s="1"/>
  <c r="J46" i="4"/>
  <c r="F67" i="8" s="1"/>
  <c r="W46" i="4"/>
  <c r="S67" i="8" s="1"/>
  <c r="AC46" i="4"/>
  <c r="Y67" i="8" s="1"/>
  <c r="P46" i="4"/>
  <c r="L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L48" i="4"/>
  <c r="BH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AW48" i="4"/>
  <c r="AS69" i="8" s="1"/>
  <c r="AX48" i="4"/>
  <c r="AT69" i="8" s="1"/>
  <c r="U48" i="4"/>
  <c r="Q69" i="8" s="1"/>
  <c r="L48" i="4"/>
  <c r="H69" i="8" s="1"/>
  <c r="N48" i="4"/>
  <c r="J69" i="8" s="1"/>
  <c r="O48" i="4"/>
  <c r="K69" i="8" s="1"/>
  <c r="AH48" i="4"/>
  <c r="AD69" i="8" s="1"/>
  <c r="T48" i="4"/>
  <c r="P69" i="8" s="1"/>
  <c r="K48" i="4"/>
  <c r="G69" i="8" s="1"/>
  <c r="AG48" i="4"/>
  <c r="AC69" i="8" s="1"/>
  <c r="AY48" i="4"/>
  <c r="AU69" i="8" s="1"/>
  <c r="BE48" i="4"/>
  <c r="BA69" i="8" s="1"/>
  <c r="AQ48" i="4"/>
  <c r="AM69" i="8" s="1"/>
  <c r="BM48" i="4"/>
  <c r="BI69" i="8" s="1"/>
  <c r="AI48" i="4"/>
  <c r="AE69" i="8" s="1"/>
  <c r="M48" i="4"/>
  <c r="I69" i="8" s="1"/>
  <c r="AA48" i="4"/>
  <c r="W69" i="8" s="1"/>
  <c r="S48" i="4"/>
  <c r="O69" i="8" s="1"/>
  <c r="I48" i="4"/>
  <c r="E69" i="8" s="1"/>
  <c r="W48" i="4"/>
  <c r="S69" i="8" s="1"/>
  <c r="AF48" i="4"/>
  <c r="AB69" i="8" s="1"/>
  <c r="Q48" i="4"/>
  <c r="M69" i="8" s="1"/>
  <c r="Z48" i="4"/>
  <c r="V69" i="8" s="1"/>
  <c r="AK48" i="4"/>
  <c r="AG69" i="8" s="1"/>
  <c r="AJ48" i="4"/>
  <c r="AF69" i="8" s="1"/>
  <c r="H48" i="4"/>
  <c r="D69" i="8" s="1"/>
  <c r="G48" i="4"/>
  <c r="C69" i="8" s="1"/>
  <c r="R48" i="4"/>
  <c r="N69" i="8" s="1"/>
  <c r="AE48" i="4"/>
  <c r="AA69" i="8" s="1"/>
  <c r="V48" i="4"/>
  <c r="R69" i="8" s="1"/>
  <c r="AL48" i="4"/>
  <c r="AH69" i="8" s="1"/>
  <c r="AD48" i="4"/>
  <c r="Z69" i="8" s="1"/>
  <c r="P48" i="4"/>
  <c r="L69" i="8" s="1"/>
  <c r="AC48" i="4"/>
  <c r="Y69" i="8" s="1"/>
  <c r="Y48" i="4"/>
  <c r="U69" i="8" s="1"/>
  <c r="J48" i="4"/>
  <c r="F69" i="8" s="1"/>
  <c r="X48" i="4"/>
  <c r="T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AR50" i="4"/>
  <c r="AN71" i="8" s="1"/>
  <c r="AY50" i="4"/>
  <c r="AU71" i="8" s="1"/>
  <c r="BE50" i="4"/>
  <c r="BA71" i="8" s="1"/>
  <c r="AQ50" i="4"/>
  <c r="AM71" i="8" s="1"/>
  <c r="BM50" i="4"/>
  <c r="BI71" i="8" s="1"/>
  <c r="AH50" i="4"/>
  <c r="AD71" i="8" s="1"/>
  <c r="K50" i="4"/>
  <c r="G71" i="8" s="1"/>
  <c r="AG50" i="4"/>
  <c r="AC71" i="8" s="1"/>
  <c r="S50" i="4"/>
  <c r="O71" i="8" s="1"/>
  <c r="J50" i="4"/>
  <c r="F71" i="8" s="1"/>
  <c r="N50" i="4"/>
  <c r="J71" i="8" s="1"/>
  <c r="L50" i="4"/>
  <c r="H71" i="8" s="1"/>
  <c r="BF50" i="4"/>
  <c r="BB71" i="8" s="1"/>
  <c r="AW50" i="4"/>
  <c r="AS71" i="8" s="1"/>
  <c r="AX50" i="4"/>
  <c r="AT71" i="8" s="1"/>
  <c r="AI50" i="4"/>
  <c r="AE71" i="8" s="1"/>
  <c r="T50" i="4"/>
  <c r="P71" i="8" s="1"/>
  <c r="AB50" i="4"/>
  <c r="X71" i="8" s="1"/>
  <c r="Z50" i="4"/>
  <c r="V71" i="8" s="1"/>
  <c r="O50" i="4"/>
  <c r="K71" i="8" s="1"/>
  <c r="AA50" i="4"/>
  <c r="W71" i="8" s="1"/>
  <c r="R50" i="4"/>
  <c r="N71" i="8" s="1"/>
  <c r="Q50" i="4"/>
  <c r="M71" i="8" s="1"/>
  <c r="AD50" i="4"/>
  <c r="Z71" i="8" s="1"/>
  <c r="Y50" i="4"/>
  <c r="U71" i="8" s="1"/>
  <c r="AC50" i="4"/>
  <c r="Y71" i="8" s="1"/>
  <c r="P50" i="4"/>
  <c r="L71" i="8" s="1"/>
  <c r="G50" i="4"/>
  <c r="C71" i="8" s="1"/>
  <c r="AE50" i="4"/>
  <c r="AA71" i="8" s="1"/>
  <c r="AL50" i="4"/>
  <c r="AH71" i="8" s="1"/>
  <c r="X50" i="4"/>
  <c r="T71" i="8" s="1"/>
  <c r="H50" i="4"/>
  <c r="D71" i="8" s="1"/>
  <c r="M50" i="4"/>
  <c r="I71" i="8" s="1"/>
  <c r="AF50" i="4"/>
  <c r="AB71" i="8" s="1"/>
  <c r="I50" i="4"/>
  <c r="E71" i="8" s="1"/>
  <c r="V50" i="4"/>
  <c r="R71" i="8" s="1"/>
  <c r="AJ50" i="4"/>
  <c r="AF71" i="8" s="1"/>
  <c r="U50" i="4"/>
  <c r="Q71" i="8" s="1"/>
  <c r="W50" i="4"/>
  <c r="S71" i="8" s="1"/>
  <c r="AK50" i="4"/>
  <c r="AG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AS52" i="4"/>
  <c r="AO73" i="8" s="1"/>
  <c r="BL52" i="4"/>
  <c r="BH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BJ52" i="4"/>
  <c r="BF73" i="8" s="1"/>
  <c r="L52" i="4"/>
  <c r="H73" i="8" s="1"/>
  <c r="O52" i="4"/>
  <c r="K73" i="8" s="1"/>
  <c r="T52" i="4"/>
  <c r="P73" i="8" s="1"/>
  <c r="AY52" i="4"/>
  <c r="AU73" i="8" s="1"/>
  <c r="BE52" i="4"/>
  <c r="BA73" i="8" s="1"/>
  <c r="AQ52" i="4"/>
  <c r="AM73" i="8" s="1"/>
  <c r="BM52" i="4"/>
  <c r="BI73" i="8" s="1"/>
  <c r="AB52" i="4"/>
  <c r="X73" i="8" s="1"/>
  <c r="Z52" i="4"/>
  <c r="V73" i="8" s="1"/>
  <c r="N52" i="4"/>
  <c r="J73" i="8" s="1"/>
  <c r="AI52" i="4"/>
  <c r="AE73" i="8" s="1"/>
  <c r="M52" i="4"/>
  <c r="I73" i="8" s="1"/>
  <c r="AA52" i="4"/>
  <c r="W73" i="8" s="1"/>
  <c r="U52" i="4"/>
  <c r="Q73" i="8" s="1"/>
  <c r="AE52" i="4"/>
  <c r="AA73" i="8" s="1"/>
  <c r="S52" i="4"/>
  <c r="O73" i="8" s="1"/>
  <c r="K52" i="4"/>
  <c r="G73" i="8" s="1"/>
  <c r="BF52" i="4"/>
  <c r="BB73" i="8" s="1"/>
  <c r="AW52" i="4"/>
  <c r="AS73" i="8" s="1"/>
  <c r="AX52" i="4"/>
  <c r="AT73" i="8" s="1"/>
  <c r="AH52" i="4"/>
  <c r="AD73" i="8" s="1"/>
  <c r="R52" i="4"/>
  <c r="N73" i="8" s="1"/>
  <c r="Y52" i="4"/>
  <c r="U73" i="8" s="1"/>
  <c r="AK52" i="4"/>
  <c r="AG73" i="8" s="1"/>
  <c r="AL52" i="4"/>
  <c r="AH73" i="8" s="1"/>
  <c r="I52" i="4"/>
  <c r="E73" i="8" s="1"/>
  <c r="AJ52" i="4"/>
  <c r="AF73" i="8" s="1"/>
  <c r="G52" i="4"/>
  <c r="C73" i="8" s="1"/>
  <c r="AG52" i="4"/>
  <c r="AC73" i="8" s="1"/>
  <c r="V52" i="4"/>
  <c r="R73" i="8" s="1"/>
  <c r="AD52" i="4"/>
  <c r="Z73" i="8" s="1"/>
  <c r="J52" i="4"/>
  <c r="F73" i="8" s="1"/>
  <c r="W52" i="4"/>
  <c r="S73" i="8" s="1"/>
  <c r="AF52" i="4"/>
  <c r="AB73" i="8" s="1"/>
  <c r="AC52" i="4"/>
  <c r="Y73" i="8" s="1"/>
  <c r="Q52" i="4"/>
  <c r="M73" i="8" s="1"/>
  <c r="X52" i="4"/>
  <c r="T73" i="8" s="1"/>
  <c r="P52" i="4"/>
  <c r="L73" i="8" s="1"/>
  <c r="H52" i="4"/>
  <c r="D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AH54" i="4"/>
  <c r="AD75" i="8" s="1"/>
  <c r="AA54" i="4"/>
  <c r="W75" i="8" s="1"/>
  <c r="S54" i="4"/>
  <c r="O75" i="8" s="1"/>
  <c r="AB54" i="4"/>
  <c r="X75" i="8" s="1"/>
  <c r="K54" i="4"/>
  <c r="G75" i="8" s="1"/>
  <c r="AY54" i="4"/>
  <c r="AU75" i="8" s="1"/>
  <c r="BE54" i="4"/>
  <c r="BA75" i="8" s="1"/>
  <c r="AQ54" i="4"/>
  <c r="AM75" i="8" s="1"/>
  <c r="BM54" i="4"/>
  <c r="BI75" i="8" s="1"/>
  <c r="Z54" i="4"/>
  <c r="V75" i="8" s="1"/>
  <c r="N54" i="4"/>
  <c r="J75" i="8" s="1"/>
  <c r="T54" i="4"/>
  <c r="P75" i="8" s="1"/>
  <c r="R54" i="4"/>
  <c r="N75" i="8" s="1"/>
  <c r="AE54" i="4"/>
  <c r="AA75" i="8" s="1"/>
  <c r="AG54" i="4"/>
  <c r="AC75" i="8" s="1"/>
  <c r="J54" i="4"/>
  <c r="F75" i="8" s="1"/>
  <c r="Q54" i="4"/>
  <c r="M75" i="8" s="1"/>
  <c r="AC54" i="4"/>
  <c r="Y75" i="8" s="1"/>
  <c r="O54" i="4"/>
  <c r="K75" i="8" s="1"/>
  <c r="AF54" i="4"/>
  <c r="AB75" i="8" s="1"/>
  <c r="AL54" i="4"/>
  <c r="AH75" i="8" s="1"/>
  <c r="AD54" i="4"/>
  <c r="Z75" i="8" s="1"/>
  <c r="AJ54" i="4"/>
  <c r="AF75" i="8" s="1"/>
  <c r="X54" i="4"/>
  <c r="T75" i="8" s="1"/>
  <c r="I54" i="4"/>
  <c r="E75" i="8" s="1"/>
  <c r="P54" i="4"/>
  <c r="L75" i="8" s="1"/>
  <c r="V54" i="4"/>
  <c r="R75" i="8" s="1"/>
  <c r="H54" i="4"/>
  <c r="D75" i="8" s="1"/>
  <c r="AK54" i="4"/>
  <c r="AG75" i="8" s="1"/>
  <c r="W54" i="4"/>
  <c r="S75" i="8" s="1"/>
  <c r="U54" i="4"/>
  <c r="Q75" i="8" s="1"/>
  <c r="M54" i="4"/>
  <c r="I75" i="8" s="1"/>
  <c r="Y54" i="4"/>
  <c r="U75" i="8" s="1"/>
  <c r="G54" i="4"/>
  <c r="C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K58" i="4"/>
  <c r="BG79" i="8" s="1"/>
  <c r="BR58" i="4"/>
  <c r="BN79" i="8" s="1"/>
  <c r="AV58" i="4"/>
  <c r="AR79" i="8" s="1"/>
  <c r="BA58" i="4"/>
  <c r="AW79" i="8" s="1"/>
  <c r="AO58" i="4"/>
  <c r="AK79" i="8" s="1"/>
  <c r="AM58" i="4"/>
  <c r="AI79" i="8" s="1"/>
  <c r="BD58" i="4"/>
  <c r="AZ79" i="8" s="1"/>
  <c r="BB58" i="4"/>
  <c r="AX79" i="8" s="1"/>
  <c r="BI58" i="4"/>
  <c r="BE79" i="8" s="1"/>
  <c r="BP58" i="4"/>
  <c r="BL79" i="8" s="1"/>
  <c r="AN58" i="4"/>
  <c r="AJ79" i="8" s="1"/>
  <c r="BO58" i="4"/>
  <c r="BK79" i="8" s="1"/>
  <c r="AZ58" i="4"/>
  <c r="AV79" i="8" s="1"/>
  <c r="BN58" i="4"/>
  <c r="BJ79" i="8" s="1"/>
  <c r="BL58" i="4"/>
  <c r="BH79" i="8" s="1"/>
  <c r="N58" i="4"/>
  <c r="J79" i="8" s="1"/>
  <c r="AH58" i="4"/>
  <c r="AD79" i="8" s="1"/>
  <c r="L58" i="4"/>
  <c r="H79" i="8" s="1"/>
  <c r="S58" i="4"/>
  <c r="O79" i="8" s="1"/>
  <c r="K58" i="4"/>
  <c r="G79" i="8" s="1"/>
  <c r="AB58" i="4"/>
  <c r="X79" i="8" s="1"/>
  <c r="T58" i="4"/>
  <c r="P79" i="8" s="1"/>
  <c r="Z58" i="4"/>
  <c r="V79" i="8" s="1"/>
  <c r="AG58" i="4"/>
  <c r="AC79" i="8" s="1"/>
  <c r="AR58" i="4"/>
  <c r="AN79" i="8" s="1"/>
  <c r="BF58" i="4"/>
  <c r="BB79" i="8" s="1"/>
  <c r="AW58" i="4"/>
  <c r="AS79" i="8" s="1"/>
  <c r="AX58" i="4"/>
  <c r="AT79" i="8" s="1"/>
  <c r="M58" i="4"/>
  <c r="I79" i="8" s="1"/>
  <c r="U58" i="4"/>
  <c r="Q79" i="8" s="1"/>
  <c r="AA58" i="4"/>
  <c r="W79" i="8" s="1"/>
  <c r="AE58" i="4"/>
  <c r="AA79" i="8" s="1"/>
  <c r="BM58" i="4"/>
  <c r="BI79" i="8" s="1"/>
  <c r="J58" i="4"/>
  <c r="F79" i="8" s="1"/>
  <c r="Y58" i="4"/>
  <c r="U79" i="8" s="1"/>
  <c r="V58" i="4"/>
  <c r="R79" i="8" s="1"/>
  <c r="AQ58" i="4"/>
  <c r="AM79" i="8" s="1"/>
  <c r="Q58" i="4"/>
  <c r="M79" i="8" s="1"/>
  <c r="AJ58" i="4"/>
  <c r="AF79" i="8" s="1"/>
  <c r="AI58" i="4"/>
  <c r="AE79" i="8" s="1"/>
  <c r="BE58" i="4"/>
  <c r="BA79" i="8" s="1"/>
  <c r="AK58" i="4"/>
  <c r="AG79" i="8" s="1"/>
  <c r="I58" i="4"/>
  <c r="E79" i="8" s="1"/>
  <c r="AY58" i="4"/>
  <c r="AU79" i="8" s="1"/>
  <c r="O58" i="4"/>
  <c r="K79" i="8" s="1"/>
  <c r="R58" i="4"/>
  <c r="N79" i="8" s="1"/>
  <c r="AD58" i="4"/>
  <c r="Z79" i="8" s="1"/>
  <c r="AC58" i="4"/>
  <c r="Y79" i="8" s="1"/>
  <c r="AF58" i="4"/>
  <c r="AB79" i="8" s="1"/>
  <c r="X58" i="4"/>
  <c r="T79" i="8" s="1"/>
  <c r="P58" i="4"/>
  <c r="L79" i="8" s="1"/>
  <c r="G58" i="4"/>
  <c r="C79" i="8" s="1"/>
  <c r="H58" i="4"/>
  <c r="D79" i="8" s="1"/>
  <c r="AL58" i="4"/>
  <c r="AH79" i="8" s="1"/>
  <c r="W58" i="4"/>
  <c r="S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H60" i="4"/>
  <c r="BD81" i="8" s="1"/>
  <c r="BG60" i="4"/>
  <c r="BC81" i="8" s="1"/>
  <c r="BK60" i="4"/>
  <c r="BG81" i="8" s="1"/>
  <c r="BR60" i="4"/>
  <c r="BN81" i="8" s="1"/>
  <c r="AI60" i="4"/>
  <c r="AE81" i="8" s="1"/>
  <c r="O60" i="4"/>
  <c r="K81" i="8" s="1"/>
  <c r="T60" i="4"/>
  <c r="P81" i="8" s="1"/>
  <c r="K60" i="4"/>
  <c r="G81" i="8" s="1"/>
  <c r="AY60" i="4"/>
  <c r="AU81" i="8" s="1"/>
  <c r="BE60" i="4"/>
  <c r="BA81" i="8" s="1"/>
  <c r="AQ60" i="4"/>
  <c r="AM81" i="8" s="1"/>
  <c r="BM60" i="4"/>
  <c r="BI81" i="8" s="1"/>
  <c r="U60" i="4"/>
  <c r="Q81" i="8" s="1"/>
  <c r="AG60" i="4"/>
  <c r="AC81" i="8" s="1"/>
  <c r="S60" i="4"/>
  <c r="O81" i="8" s="1"/>
  <c r="AE60" i="4"/>
  <c r="AA81" i="8" s="1"/>
  <c r="AA60" i="4"/>
  <c r="W81" i="8" s="1"/>
  <c r="Z60" i="4"/>
  <c r="V81" i="8" s="1"/>
  <c r="AR60" i="4"/>
  <c r="AN81" i="8" s="1"/>
  <c r="BF60" i="4"/>
  <c r="BB81" i="8" s="1"/>
  <c r="AW60" i="4"/>
  <c r="AS81" i="8" s="1"/>
  <c r="AX60" i="4"/>
  <c r="AT81" i="8" s="1"/>
  <c r="AH60" i="4"/>
  <c r="AD81" i="8" s="1"/>
  <c r="N60" i="4"/>
  <c r="J81" i="8" s="1"/>
  <c r="AB60" i="4"/>
  <c r="X81" i="8" s="1"/>
  <c r="L60" i="4"/>
  <c r="H81" i="8" s="1"/>
  <c r="J60" i="4"/>
  <c r="F81" i="8" s="1"/>
  <c r="X60" i="4"/>
  <c r="T81" i="8" s="1"/>
  <c r="AK60" i="4"/>
  <c r="AG81" i="8" s="1"/>
  <c r="AC60" i="4"/>
  <c r="Y81" i="8" s="1"/>
  <c r="Y60" i="4"/>
  <c r="U81" i="8" s="1"/>
  <c r="AD60" i="4"/>
  <c r="Z81" i="8" s="1"/>
  <c r="P60" i="4"/>
  <c r="L81" i="8" s="1"/>
  <c r="G60" i="4"/>
  <c r="C81" i="8" s="1"/>
  <c r="V60" i="4"/>
  <c r="R81" i="8" s="1"/>
  <c r="AJ60" i="4"/>
  <c r="AF81" i="8" s="1"/>
  <c r="I60" i="4"/>
  <c r="E81" i="8" s="1"/>
  <c r="W60" i="4"/>
  <c r="S81" i="8" s="1"/>
  <c r="H60" i="4"/>
  <c r="D81" i="8" s="1"/>
  <c r="AL60" i="4"/>
  <c r="AH81" i="8" s="1"/>
  <c r="M60" i="4"/>
  <c r="I81" i="8" s="1"/>
  <c r="Q60" i="4"/>
  <c r="M81" i="8" s="1"/>
  <c r="R60" i="4"/>
  <c r="N81" i="8" s="1"/>
  <c r="AF60" i="4"/>
  <c r="AB81" i="8" s="1"/>
  <c r="BD62" i="4"/>
  <c r="AZ83" i="8" s="1"/>
  <c r="BB62" i="4"/>
  <c r="AX83" i="8" s="1"/>
  <c r="BI62" i="4"/>
  <c r="BE83" i="8" s="1"/>
  <c r="AN62" i="4"/>
  <c r="AJ83" i="8" s="1"/>
  <c r="BL62" i="4"/>
  <c r="BH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AP62" i="4"/>
  <c r="AL83" i="8" s="1"/>
  <c r="AU62" i="4"/>
  <c r="AQ83" i="8" s="1"/>
  <c r="BH62" i="4"/>
  <c r="BD83" i="8" s="1"/>
  <c r="BG62" i="4"/>
  <c r="BC83" i="8" s="1"/>
  <c r="BK62" i="4"/>
  <c r="BG83" i="8" s="1"/>
  <c r="N62" i="4"/>
  <c r="J83" i="8" s="1"/>
  <c r="AA62" i="4"/>
  <c r="W83" i="8" s="1"/>
  <c r="L62" i="4"/>
  <c r="H83" i="8" s="1"/>
  <c r="R62" i="4"/>
  <c r="N83" i="8" s="1"/>
  <c r="K62" i="4"/>
  <c r="G83" i="8" s="1"/>
  <c r="AY62" i="4"/>
  <c r="AU83" i="8" s="1"/>
  <c r="BE62" i="4"/>
  <c r="BA83" i="8" s="1"/>
  <c r="AQ62" i="4"/>
  <c r="AM83" i="8" s="1"/>
  <c r="BM62" i="4"/>
  <c r="BI83" i="8" s="1"/>
  <c r="Z62" i="4"/>
  <c r="V83" i="8" s="1"/>
  <c r="AB62" i="4"/>
  <c r="X83" i="8" s="1"/>
  <c r="O62" i="4"/>
  <c r="K83" i="8" s="1"/>
  <c r="M62" i="4"/>
  <c r="I83" i="8" s="1"/>
  <c r="J62" i="4"/>
  <c r="F83" i="8" s="1"/>
  <c r="U62" i="4"/>
  <c r="Q83" i="8" s="1"/>
  <c r="T62" i="4"/>
  <c r="P83" i="8" s="1"/>
  <c r="S62" i="4"/>
  <c r="O83" i="8" s="1"/>
  <c r="AR62" i="4"/>
  <c r="AN83" i="8" s="1"/>
  <c r="AG62" i="4"/>
  <c r="AC83" i="8" s="1"/>
  <c r="AH62" i="4"/>
  <c r="AD83" i="8" s="1"/>
  <c r="AF62" i="4"/>
  <c r="AB83" i="8" s="1"/>
  <c r="AL62" i="4"/>
  <c r="AH83" i="8" s="1"/>
  <c r="X62" i="4"/>
  <c r="T83" i="8" s="1"/>
  <c r="AK62" i="4"/>
  <c r="AG83" i="8" s="1"/>
  <c r="I62" i="4"/>
  <c r="E83" i="8" s="1"/>
  <c r="W62" i="4"/>
  <c r="S83" i="8" s="1"/>
  <c r="AC62" i="4"/>
  <c r="Y83" i="8" s="1"/>
  <c r="AJ62" i="4"/>
  <c r="AF83" i="8" s="1"/>
  <c r="V62" i="4"/>
  <c r="R83" i="8" s="1"/>
  <c r="Y62" i="4"/>
  <c r="U83" i="8" s="1"/>
  <c r="Q62" i="4"/>
  <c r="M83" i="8" s="1"/>
  <c r="AX62" i="4"/>
  <c r="AT83" i="8" s="1"/>
  <c r="AI62" i="4"/>
  <c r="AE83" i="8" s="1"/>
  <c r="AE62" i="4"/>
  <c r="AA83" i="8" s="1"/>
  <c r="P62" i="4"/>
  <c r="L83" i="8" s="1"/>
  <c r="G62" i="4"/>
  <c r="C83" i="8" s="1"/>
  <c r="H62" i="4"/>
  <c r="D83" i="8" s="1"/>
  <c r="AW62" i="4"/>
  <c r="AS83" i="8" s="1"/>
  <c r="AD62" i="4"/>
  <c r="Z83" i="8" s="1"/>
  <c r="BF62" i="4"/>
  <c r="BB83" i="8" s="1"/>
  <c r="BC64" i="4"/>
  <c r="AY85" i="8" s="1"/>
  <c r="AP64" i="4"/>
  <c r="AL85" i="8" s="1"/>
  <c r="AU64" i="4"/>
  <c r="AQ85" i="8" s="1"/>
  <c r="BH64" i="4"/>
  <c r="BD85" i="8" s="1"/>
  <c r="BG64" i="4"/>
  <c r="BC85" i="8" s="1"/>
  <c r="BK64" i="4"/>
  <c r="BG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O64" i="4"/>
  <c r="BK85" i="8" s="1"/>
  <c r="AZ64" i="4"/>
  <c r="AV85" i="8" s="1"/>
  <c r="BN64" i="4"/>
  <c r="BJ85" i="8" s="1"/>
  <c r="BJ64" i="4"/>
  <c r="BF85" i="8" s="1"/>
  <c r="BQ64" i="4"/>
  <c r="BM85" i="8" s="1"/>
  <c r="BR64" i="4"/>
  <c r="BN85" i="8" s="1"/>
  <c r="BA64" i="4"/>
  <c r="AW85" i="8" s="1"/>
  <c r="Z64" i="4"/>
  <c r="V85" i="8" s="1"/>
  <c r="K64" i="4"/>
  <c r="G85" i="8" s="1"/>
  <c r="AR64" i="4"/>
  <c r="AN85" i="8" s="1"/>
  <c r="BF64" i="4"/>
  <c r="BB85" i="8" s="1"/>
  <c r="AW64" i="4"/>
  <c r="AS85" i="8" s="1"/>
  <c r="AX64" i="4"/>
  <c r="AT85" i="8" s="1"/>
  <c r="L64" i="4"/>
  <c r="H85" i="8" s="1"/>
  <c r="AG64" i="4"/>
  <c r="AC85" i="8" s="1"/>
  <c r="O64" i="4"/>
  <c r="K85" i="8" s="1"/>
  <c r="M64" i="4"/>
  <c r="I85" i="8" s="1"/>
  <c r="T64" i="4"/>
  <c r="P85" i="8" s="1"/>
  <c r="R64" i="4"/>
  <c r="N85" i="8" s="1"/>
  <c r="U64" i="4"/>
  <c r="Q85" i="8" s="1"/>
  <c r="AB64" i="4"/>
  <c r="X85" i="8" s="1"/>
  <c r="S64" i="4"/>
  <c r="O85" i="8" s="1"/>
  <c r="AI64" i="4"/>
  <c r="AE85" i="8" s="1"/>
  <c r="AE64" i="4"/>
  <c r="AA85" i="8" s="1"/>
  <c r="AY64" i="4"/>
  <c r="AU85" i="8" s="1"/>
  <c r="BE64" i="4"/>
  <c r="BA85" i="8" s="1"/>
  <c r="AQ64" i="4"/>
  <c r="AM85" i="8" s="1"/>
  <c r="BM64" i="4"/>
  <c r="BI85" i="8" s="1"/>
  <c r="N64" i="4"/>
  <c r="J85" i="8" s="1"/>
  <c r="W64" i="4"/>
  <c r="S85" i="8" s="1"/>
  <c r="I64" i="4"/>
  <c r="E85" i="8" s="1"/>
  <c r="P64" i="4"/>
  <c r="L85" i="8" s="1"/>
  <c r="AC64" i="4"/>
  <c r="Y85" i="8" s="1"/>
  <c r="AJ64" i="4"/>
  <c r="AF85" i="8" s="1"/>
  <c r="V64" i="4"/>
  <c r="R85" i="8" s="1"/>
  <c r="AH64" i="4"/>
  <c r="AD85" i="8" s="1"/>
  <c r="AF64" i="4"/>
  <c r="AB85" i="8" s="1"/>
  <c r="AL64" i="4"/>
  <c r="AH85" i="8" s="1"/>
  <c r="X64" i="4"/>
  <c r="T85" i="8" s="1"/>
  <c r="AK64" i="4"/>
  <c r="AG85" i="8" s="1"/>
  <c r="G64" i="4"/>
  <c r="C85" i="8" s="1"/>
  <c r="AA64" i="4"/>
  <c r="W85" i="8" s="1"/>
  <c r="AD64" i="4"/>
  <c r="Z85" i="8" s="1"/>
  <c r="Q64" i="4"/>
  <c r="M85" i="8" s="1"/>
  <c r="J64" i="4"/>
  <c r="F85" i="8" s="1"/>
  <c r="Y64" i="4"/>
  <c r="U85" i="8" s="1"/>
  <c r="H64" i="4"/>
  <c r="D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BK66" i="4"/>
  <c r="BG87" i="8" s="1"/>
  <c r="BL66" i="4"/>
  <c r="BH87" i="8" s="1"/>
  <c r="AS66" i="4"/>
  <c r="AO87" i="8" s="1"/>
  <c r="BR66" i="4"/>
  <c r="BN87" i="8" s="1"/>
  <c r="AT66" i="4"/>
  <c r="AP87" i="8" s="1"/>
  <c r="BJ66" i="4"/>
  <c r="BF87" i="8" s="1"/>
  <c r="BQ66" i="4"/>
  <c r="BM87" i="8" s="1"/>
  <c r="AO66" i="4"/>
  <c r="AK87" i="8" s="1"/>
  <c r="AV66" i="4"/>
  <c r="AR87" i="8" s="1"/>
  <c r="AM66" i="4"/>
  <c r="AI87" i="8" s="1"/>
  <c r="BP66" i="4"/>
  <c r="BL87" i="8" s="1"/>
  <c r="BO66" i="4"/>
  <c r="BK87" i="8" s="1"/>
  <c r="AZ66" i="4"/>
  <c r="AV87" i="8" s="1"/>
  <c r="BN66" i="4"/>
  <c r="BJ87" i="8" s="1"/>
  <c r="U66" i="4"/>
  <c r="Q87" i="8" s="1"/>
  <c r="Z66" i="4"/>
  <c r="V87" i="8" s="1"/>
  <c r="L66" i="4"/>
  <c r="H87" i="8" s="1"/>
  <c r="AH66" i="4"/>
  <c r="AD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K66" i="4"/>
  <c r="G87" i="8" s="1"/>
  <c r="AA66" i="4"/>
  <c r="W87" i="8" s="1"/>
  <c r="AI66" i="4"/>
  <c r="AE87" i="8" s="1"/>
  <c r="O66" i="4"/>
  <c r="K87" i="8" s="1"/>
  <c r="M66" i="4"/>
  <c r="I87" i="8" s="1"/>
  <c r="AG66" i="4"/>
  <c r="AC87" i="8" s="1"/>
  <c r="J66" i="4"/>
  <c r="F87" i="8" s="1"/>
  <c r="S66" i="4"/>
  <c r="O87" i="8" s="1"/>
  <c r="AD66" i="4"/>
  <c r="Z87" i="8" s="1"/>
  <c r="P66" i="4"/>
  <c r="L87" i="8" s="1"/>
  <c r="BM66" i="4"/>
  <c r="BI87" i="8" s="1"/>
  <c r="H66" i="4"/>
  <c r="D87" i="8" s="1"/>
  <c r="AQ66" i="4"/>
  <c r="AM87" i="8" s="1"/>
  <c r="Y66" i="4"/>
  <c r="U87" i="8" s="1"/>
  <c r="AJ66" i="4"/>
  <c r="AF87" i="8" s="1"/>
  <c r="BE66" i="4"/>
  <c r="BA87" i="8" s="1"/>
  <c r="AF66" i="4"/>
  <c r="AB87" i="8" s="1"/>
  <c r="Q66" i="4"/>
  <c r="M87" i="8" s="1"/>
  <c r="R66" i="4"/>
  <c r="N87" i="8" s="1"/>
  <c r="AE66" i="4"/>
  <c r="AA87" i="8" s="1"/>
  <c r="I66" i="4"/>
  <c r="E87" i="8" s="1"/>
  <c r="AY66" i="4"/>
  <c r="AU87" i="8" s="1"/>
  <c r="N66" i="4"/>
  <c r="J87" i="8" s="1"/>
  <c r="AK66" i="4"/>
  <c r="AG87" i="8" s="1"/>
  <c r="W66" i="4"/>
  <c r="S87" i="8" s="1"/>
  <c r="V66" i="4"/>
  <c r="R87" i="8" s="1"/>
  <c r="AC66" i="4"/>
  <c r="Y87" i="8" s="1"/>
  <c r="AL66" i="4"/>
  <c r="AH87" i="8" s="1"/>
  <c r="X66" i="4"/>
  <c r="T87" i="8" s="1"/>
  <c r="G66" i="4"/>
  <c r="C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BN68" i="4"/>
  <c r="BJ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H68" i="4"/>
  <c r="BD89" i="8" s="1"/>
  <c r="BG68" i="4"/>
  <c r="BC89" i="8" s="1"/>
  <c r="BL68" i="4"/>
  <c r="BH89" i="8" s="1"/>
  <c r="BJ68" i="4"/>
  <c r="BF89" i="8" s="1"/>
  <c r="AS68" i="4"/>
  <c r="AO89" i="8" s="1"/>
  <c r="AT68" i="4"/>
  <c r="AP89" i="8" s="1"/>
  <c r="N68" i="4"/>
  <c r="J89" i="8" s="1"/>
  <c r="U68" i="4"/>
  <c r="Q89" i="8" s="1"/>
  <c r="AY68" i="4"/>
  <c r="AU89" i="8" s="1"/>
  <c r="BE68" i="4"/>
  <c r="BA89" i="8" s="1"/>
  <c r="AQ68" i="4"/>
  <c r="AM89" i="8" s="1"/>
  <c r="BM68" i="4"/>
  <c r="BI89" i="8" s="1"/>
  <c r="T68" i="4"/>
  <c r="P89" i="8" s="1"/>
  <c r="AI68" i="4"/>
  <c r="AE89" i="8" s="1"/>
  <c r="AA68" i="4"/>
  <c r="W89" i="8" s="1"/>
  <c r="S68" i="4"/>
  <c r="O89" i="8" s="1"/>
  <c r="M68" i="4"/>
  <c r="I89" i="8" s="1"/>
  <c r="AR68" i="4"/>
  <c r="AN89" i="8" s="1"/>
  <c r="BF68" i="4"/>
  <c r="BB89" i="8" s="1"/>
  <c r="AW68" i="4"/>
  <c r="AS89" i="8" s="1"/>
  <c r="AX68" i="4"/>
  <c r="AT89" i="8" s="1"/>
  <c r="O68" i="4"/>
  <c r="K89" i="8" s="1"/>
  <c r="Z68" i="4"/>
  <c r="V89" i="8" s="1"/>
  <c r="AE68" i="4"/>
  <c r="AA89" i="8" s="1"/>
  <c r="AH68" i="4"/>
  <c r="AD89" i="8" s="1"/>
  <c r="Q68" i="4"/>
  <c r="M89" i="8" s="1"/>
  <c r="AJ68" i="4"/>
  <c r="AF89" i="8" s="1"/>
  <c r="H68" i="4"/>
  <c r="D89" i="8" s="1"/>
  <c r="AL68" i="4"/>
  <c r="AH89" i="8" s="1"/>
  <c r="W68" i="4"/>
  <c r="S89" i="8" s="1"/>
  <c r="AB68" i="4"/>
  <c r="X89" i="8" s="1"/>
  <c r="Y68" i="4"/>
  <c r="U89" i="8" s="1"/>
  <c r="V68" i="4"/>
  <c r="R89" i="8" s="1"/>
  <c r="AG68" i="4"/>
  <c r="AC89" i="8" s="1"/>
  <c r="X68" i="4"/>
  <c r="T89" i="8" s="1"/>
  <c r="AD68" i="4"/>
  <c r="Z89" i="8" s="1"/>
  <c r="AK68" i="4"/>
  <c r="AG89" i="8" s="1"/>
  <c r="AF68" i="4"/>
  <c r="AB89" i="8" s="1"/>
  <c r="I68" i="4"/>
  <c r="E89" i="8" s="1"/>
  <c r="P68" i="4"/>
  <c r="L89" i="8" s="1"/>
  <c r="G68" i="4"/>
  <c r="C89" i="8" s="1"/>
  <c r="AC68" i="4"/>
  <c r="Y89" i="8" s="1"/>
  <c r="L68" i="4"/>
  <c r="H89" i="8" s="1"/>
  <c r="R68" i="4"/>
  <c r="N89" i="8" s="1"/>
  <c r="J68" i="4"/>
  <c r="F89" i="8" s="1"/>
  <c r="K68" i="4"/>
  <c r="G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N70" i="4"/>
  <c r="BJ91" i="8" s="1"/>
  <c r="BC70" i="4"/>
  <c r="AY91" i="8" s="1"/>
  <c r="BK70" i="4"/>
  <c r="BG91" i="8" s="1"/>
  <c r="AV70" i="4"/>
  <c r="AR91" i="8" s="1"/>
  <c r="AM70" i="4"/>
  <c r="AI91" i="8" s="1"/>
  <c r="AP70" i="4"/>
  <c r="AL91" i="8" s="1"/>
  <c r="BR70" i="4"/>
  <c r="BN91" i="8" s="1"/>
  <c r="BD70" i="4"/>
  <c r="AZ91" i="8" s="1"/>
  <c r="AN70" i="4"/>
  <c r="AJ91" i="8" s="1"/>
  <c r="BH70" i="4"/>
  <c r="BD91" i="8" s="1"/>
  <c r="BG70" i="4"/>
  <c r="BC91" i="8" s="1"/>
  <c r="BL70" i="4"/>
  <c r="BH91" i="8" s="1"/>
  <c r="M70" i="4"/>
  <c r="I91" i="8" s="1"/>
  <c r="AA70" i="4"/>
  <c r="W91" i="8" s="1"/>
  <c r="N70" i="4"/>
  <c r="J91" i="8" s="1"/>
  <c r="L70" i="4"/>
  <c r="H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H70" i="4"/>
  <c r="AD91" i="8" s="1"/>
  <c r="K70" i="4"/>
  <c r="G91" i="8" s="1"/>
  <c r="AB70" i="4"/>
  <c r="X91" i="8" s="1"/>
  <c r="BF70" i="4"/>
  <c r="BB91" i="8" s="1"/>
  <c r="R70" i="4"/>
  <c r="N91" i="8" s="1"/>
  <c r="AF70" i="4"/>
  <c r="AB91" i="8" s="1"/>
  <c r="AL70" i="4"/>
  <c r="AH91" i="8" s="1"/>
  <c r="AK70" i="4"/>
  <c r="AG91" i="8" s="1"/>
  <c r="AR70" i="4"/>
  <c r="AN91" i="8" s="1"/>
  <c r="J70" i="4"/>
  <c r="F91" i="8" s="1"/>
  <c r="Y70" i="4"/>
  <c r="U91" i="8" s="1"/>
  <c r="W70" i="4"/>
  <c r="S91" i="8" s="1"/>
  <c r="T70" i="4"/>
  <c r="P91" i="8" s="1"/>
  <c r="X70" i="4"/>
  <c r="T91" i="8" s="1"/>
  <c r="AD70" i="4"/>
  <c r="Z91" i="8" s="1"/>
  <c r="P70" i="4"/>
  <c r="L91" i="8" s="1"/>
  <c r="AJ70" i="4"/>
  <c r="AF91" i="8" s="1"/>
  <c r="H70" i="4"/>
  <c r="D91" i="8" s="1"/>
  <c r="AE70" i="4"/>
  <c r="AA91" i="8" s="1"/>
  <c r="I70" i="4"/>
  <c r="E91" i="8" s="1"/>
  <c r="AC70" i="4"/>
  <c r="Y91" i="8" s="1"/>
  <c r="G70" i="4"/>
  <c r="C91" i="8" s="1"/>
  <c r="AW70" i="4"/>
  <c r="AS91" i="8" s="1"/>
  <c r="S70" i="4"/>
  <c r="O91" i="8" s="1"/>
  <c r="AX70" i="4"/>
  <c r="AT91" i="8" s="1"/>
  <c r="AI70" i="4"/>
  <c r="AE91" i="8" s="1"/>
  <c r="AG70" i="4"/>
  <c r="AC91" i="8" s="1"/>
  <c r="Q70" i="4"/>
  <c r="M91" i="8" s="1"/>
  <c r="V70" i="4"/>
  <c r="R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BL72" i="4"/>
  <c r="BH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O72" i="4"/>
  <c r="BK93" i="8" s="1"/>
  <c r="AZ72" i="4"/>
  <c r="AV93" i="8" s="1"/>
  <c r="BN72" i="4"/>
  <c r="BJ93" i="8" s="1"/>
  <c r="BK72" i="4"/>
  <c r="BG93" i="8" s="1"/>
  <c r="AR72" i="4"/>
  <c r="AN93" i="8" s="1"/>
  <c r="BF72" i="4"/>
  <c r="BB93" i="8" s="1"/>
  <c r="AW72" i="4"/>
  <c r="AS93" i="8" s="1"/>
  <c r="AX72" i="4"/>
  <c r="AT93" i="8" s="1"/>
  <c r="R72" i="4"/>
  <c r="N93" i="8" s="1"/>
  <c r="N72" i="4"/>
  <c r="J93" i="8" s="1"/>
  <c r="AH72" i="4"/>
  <c r="AD93" i="8" s="1"/>
  <c r="L72" i="4"/>
  <c r="H93" i="8" s="1"/>
  <c r="T72" i="4"/>
  <c r="P93" i="8" s="1"/>
  <c r="AB72" i="4"/>
  <c r="X93" i="8" s="1"/>
  <c r="AI72" i="4"/>
  <c r="AE93" i="8" s="1"/>
  <c r="S72" i="4"/>
  <c r="O93" i="8" s="1"/>
  <c r="AY72" i="4"/>
  <c r="AU93" i="8" s="1"/>
  <c r="BE72" i="4"/>
  <c r="BA93" i="8" s="1"/>
  <c r="AQ72" i="4"/>
  <c r="AM93" i="8" s="1"/>
  <c r="BM72" i="4"/>
  <c r="BI93" i="8" s="1"/>
  <c r="M72" i="4"/>
  <c r="I93" i="8" s="1"/>
  <c r="U72" i="4"/>
  <c r="Q93" i="8" s="1"/>
  <c r="Z72" i="4"/>
  <c r="V93" i="8" s="1"/>
  <c r="AE72" i="4"/>
  <c r="AA93" i="8" s="1"/>
  <c r="Q72" i="4"/>
  <c r="M93" i="8" s="1"/>
  <c r="X72" i="4"/>
  <c r="T93" i="8" s="1"/>
  <c r="O72" i="4"/>
  <c r="K93" i="8" s="1"/>
  <c r="W72" i="4"/>
  <c r="S93" i="8" s="1"/>
  <c r="P72" i="4"/>
  <c r="L93" i="8" s="1"/>
  <c r="AG72" i="4"/>
  <c r="AC93" i="8" s="1"/>
  <c r="J72" i="4"/>
  <c r="F93" i="8" s="1"/>
  <c r="AJ72" i="4"/>
  <c r="AF93" i="8" s="1"/>
  <c r="G72" i="4"/>
  <c r="C93" i="8" s="1"/>
  <c r="Y72" i="4"/>
  <c r="U93" i="8" s="1"/>
  <c r="K72" i="4"/>
  <c r="G93" i="8" s="1"/>
  <c r="AL72" i="4"/>
  <c r="AH93" i="8" s="1"/>
  <c r="I72" i="4"/>
  <c r="E93" i="8" s="1"/>
  <c r="V72" i="4"/>
  <c r="R93" i="8" s="1"/>
  <c r="AC72" i="4"/>
  <c r="Y93" i="8" s="1"/>
  <c r="AD72" i="4"/>
  <c r="Z93" i="8" s="1"/>
  <c r="H72" i="4"/>
  <c r="D93" i="8" s="1"/>
  <c r="AA72" i="4"/>
  <c r="W93" i="8" s="1"/>
  <c r="AF72" i="4"/>
  <c r="AB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BL74" i="4"/>
  <c r="BH95" i="8" s="1"/>
  <c r="AS74" i="4"/>
  <c r="AO95" i="8" s="1"/>
  <c r="AM74" i="4"/>
  <c r="AI95" i="8" s="1"/>
  <c r="BB74" i="4"/>
  <c r="AX95" i="8" s="1"/>
  <c r="AU74" i="4"/>
  <c r="AQ95" i="8" s="1"/>
  <c r="BQ74" i="4"/>
  <c r="BM95" i="8" s="1"/>
  <c r="AO74" i="4"/>
  <c r="AK95" i="8" s="1"/>
  <c r="BR74" i="4"/>
  <c r="BN95" i="8" s="1"/>
  <c r="BI74" i="4"/>
  <c r="BE95" i="8" s="1"/>
  <c r="BP74" i="4"/>
  <c r="BL95" i="8" s="1"/>
  <c r="BA74" i="4"/>
  <c r="AW95" i="8" s="1"/>
  <c r="BO74" i="4"/>
  <c r="BK95" i="8" s="1"/>
  <c r="AZ74" i="4"/>
  <c r="AV95" i="8" s="1"/>
  <c r="BN74" i="4"/>
  <c r="BJ95" i="8" s="1"/>
  <c r="T74" i="4"/>
  <c r="P95" i="8" s="1"/>
  <c r="N74" i="4"/>
  <c r="J95" i="8" s="1"/>
  <c r="O74" i="4"/>
  <c r="K95" i="8" s="1"/>
  <c r="S74" i="4"/>
  <c r="O95" i="8" s="1"/>
  <c r="R74" i="4"/>
  <c r="N95" i="8" s="1"/>
  <c r="M74" i="4"/>
  <c r="I95" i="8" s="1"/>
  <c r="AG74" i="4"/>
  <c r="AC95" i="8" s="1"/>
  <c r="AR74" i="4"/>
  <c r="AN95" i="8" s="1"/>
  <c r="BF74" i="4"/>
  <c r="BB95" i="8" s="1"/>
  <c r="AW74" i="4"/>
  <c r="AS95" i="8" s="1"/>
  <c r="AX74" i="4"/>
  <c r="AT95" i="8" s="1"/>
  <c r="U74" i="4"/>
  <c r="Q95" i="8" s="1"/>
  <c r="AB74" i="4"/>
  <c r="X95" i="8" s="1"/>
  <c r="AA74" i="4"/>
  <c r="W95" i="8" s="1"/>
  <c r="K74" i="4"/>
  <c r="G95" i="8" s="1"/>
  <c r="AI74" i="4"/>
  <c r="AE95" i="8" s="1"/>
  <c r="AH74" i="4"/>
  <c r="AD95" i="8" s="1"/>
  <c r="AE74" i="4"/>
  <c r="AA95" i="8" s="1"/>
  <c r="V74" i="4"/>
  <c r="R95" i="8" s="1"/>
  <c r="AC74" i="4"/>
  <c r="Y95" i="8" s="1"/>
  <c r="AJ74" i="4"/>
  <c r="AF95" i="8" s="1"/>
  <c r="BM74" i="4"/>
  <c r="BI95" i="8" s="1"/>
  <c r="J74" i="4"/>
  <c r="F95" i="8" s="1"/>
  <c r="AQ74" i="4"/>
  <c r="AM95" i="8" s="1"/>
  <c r="L74" i="4"/>
  <c r="H95" i="8" s="1"/>
  <c r="Q74" i="4"/>
  <c r="M95" i="8" s="1"/>
  <c r="W74" i="4"/>
  <c r="S95" i="8" s="1"/>
  <c r="BE74" i="4"/>
  <c r="BA95" i="8" s="1"/>
  <c r="Z74" i="4"/>
  <c r="V95" i="8" s="1"/>
  <c r="AL74" i="4"/>
  <c r="AH95" i="8" s="1"/>
  <c r="AY74" i="4"/>
  <c r="AU95" i="8" s="1"/>
  <c r="AF74" i="4"/>
  <c r="AB95" i="8" s="1"/>
  <c r="X74" i="4"/>
  <c r="T95" i="8" s="1"/>
  <c r="AK74" i="4"/>
  <c r="AG95" i="8" s="1"/>
  <c r="I74" i="4"/>
  <c r="E95" i="8" s="1"/>
  <c r="AD74" i="4"/>
  <c r="Z95" i="8" s="1"/>
  <c r="P74" i="4"/>
  <c r="L95" i="8" s="1"/>
  <c r="G74" i="4"/>
  <c r="C95" i="8" s="1"/>
  <c r="H74" i="4"/>
  <c r="D95" i="8" s="1"/>
  <c r="Y74" i="4"/>
  <c r="U95" i="8" s="1"/>
  <c r="AV47" i="4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K47" i="4"/>
  <c r="BG68" i="8" s="1"/>
  <c r="AR47" i="4"/>
  <c r="AN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O47" i="4"/>
  <c r="BK68" i="8" s="1"/>
  <c r="AZ47" i="4"/>
  <c r="AV68" i="8" s="1"/>
  <c r="BN47" i="4"/>
  <c r="BJ68" i="8" s="1"/>
  <c r="BL47" i="4"/>
  <c r="BH68" i="8" s="1"/>
  <c r="M47" i="4"/>
  <c r="I68" i="8" s="1"/>
  <c r="AA47" i="4"/>
  <c r="W68" i="8" s="1"/>
  <c r="BF47" i="4"/>
  <c r="BB68" i="8" s="1"/>
  <c r="AW47" i="4"/>
  <c r="AS68" i="8" s="1"/>
  <c r="AX47" i="4"/>
  <c r="AT68" i="8" s="1"/>
  <c r="O47" i="4"/>
  <c r="K68" i="8" s="1"/>
  <c r="J47" i="4"/>
  <c r="F68" i="8" s="1"/>
  <c r="AE47" i="4"/>
  <c r="AA68" i="8" s="1"/>
  <c r="U47" i="4"/>
  <c r="Q68" i="8" s="1"/>
  <c r="K47" i="4"/>
  <c r="G68" i="8" s="1"/>
  <c r="R47" i="4"/>
  <c r="N68" i="8" s="1"/>
  <c r="AY47" i="4"/>
  <c r="AU68" i="8" s="1"/>
  <c r="BE47" i="4"/>
  <c r="BA68" i="8" s="1"/>
  <c r="AQ47" i="4"/>
  <c r="AM68" i="8" s="1"/>
  <c r="BM47" i="4"/>
  <c r="BI68" i="8" s="1"/>
  <c r="AB47" i="4"/>
  <c r="X68" i="8" s="1"/>
  <c r="AI47" i="4"/>
  <c r="AE68" i="8" s="1"/>
  <c r="AH47" i="4"/>
  <c r="AD68" i="8" s="1"/>
  <c r="L47" i="4"/>
  <c r="H68" i="8" s="1"/>
  <c r="Z47" i="4"/>
  <c r="V68" i="8" s="1"/>
  <c r="N47" i="4"/>
  <c r="J68" i="8" s="1"/>
  <c r="S47" i="4"/>
  <c r="O68" i="8" s="1"/>
  <c r="AK47" i="4"/>
  <c r="AG68" i="8" s="1"/>
  <c r="I47" i="4"/>
  <c r="E68" i="8" s="1"/>
  <c r="T47" i="4"/>
  <c r="P68" i="8" s="1"/>
  <c r="AG47" i="4"/>
  <c r="AC68" i="8" s="1"/>
  <c r="X47" i="4"/>
  <c r="T68" i="8" s="1"/>
  <c r="P47" i="4"/>
  <c r="L68" i="8" s="1"/>
  <c r="V47" i="4"/>
  <c r="R68" i="8" s="1"/>
  <c r="AC47" i="4"/>
  <c r="Y68" i="8" s="1"/>
  <c r="H47" i="4"/>
  <c r="D68" i="8" s="1"/>
  <c r="Y47" i="4"/>
  <c r="U68" i="8" s="1"/>
  <c r="G47" i="4"/>
  <c r="C68" i="8" s="1"/>
  <c r="AD47" i="4"/>
  <c r="Z68" i="8" s="1"/>
  <c r="AL47" i="4"/>
  <c r="AH68" i="8" s="1"/>
  <c r="AF47" i="4"/>
  <c r="AB68" i="8" s="1"/>
  <c r="Q47" i="4"/>
  <c r="M68" i="8" s="1"/>
  <c r="W47" i="4"/>
  <c r="S68" i="8" s="1"/>
  <c r="AJ47" i="4"/>
  <c r="AF6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K49" i="4"/>
  <c r="BG70" i="8" s="1"/>
  <c r="AR49" i="4"/>
  <c r="AN70" i="8" s="1"/>
  <c r="BR49" i="4"/>
  <c r="BN70" i="8" s="1"/>
  <c r="BL49" i="4"/>
  <c r="BH70" i="8" s="1"/>
  <c r="BJ49" i="4"/>
  <c r="BF70" i="8" s="1"/>
  <c r="BQ49" i="4"/>
  <c r="BM70" i="8" s="1"/>
  <c r="AO49" i="4"/>
  <c r="AK70" i="8" s="1"/>
  <c r="AM49" i="4"/>
  <c r="AI70" i="8" s="1"/>
  <c r="BB49" i="4"/>
  <c r="AX70" i="8" s="1"/>
  <c r="BP49" i="4"/>
  <c r="BL70" i="8" s="1"/>
  <c r="AN49" i="4"/>
  <c r="AJ70" i="8" s="1"/>
  <c r="BA49" i="4"/>
  <c r="AW70" i="8" s="1"/>
  <c r="BO49" i="4"/>
  <c r="BK70" i="8" s="1"/>
  <c r="AZ49" i="4"/>
  <c r="AV70" i="8" s="1"/>
  <c r="BN49" i="4"/>
  <c r="BJ70" i="8" s="1"/>
  <c r="AI49" i="4"/>
  <c r="AE70" i="8" s="1"/>
  <c r="AB49" i="4"/>
  <c r="X70" i="8" s="1"/>
  <c r="T49" i="4"/>
  <c r="P70" i="8" s="1"/>
  <c r="AH49" i="4"/>
  <c r="AD70" i="8" s="1"/>
  <c r="K49" i="4"/>
  <c r="G70" i="8" s="1"/>
  <c r="AE49" i="4"/>
  <c r="AA70" i="8" s="1"/>
  <c r="J49" i="4"/>
  <c r="F70" i="8" s="1"/>
  <c r="R49" i="4"/>
  <c r="N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S49" i="4"/>
  <c r="O70" i="8" s="1"/>
  <c r="N49" i="4"/>
  <c r="J70" i="8" s="1"/>
  <c r="U49" i="4"/>
  <c r="Q70" i="8" s="1"/>
  <c r="Z49" i="4"/>
  <c r="V70" i="8" s="1"/>
  <c r="AG49" i="4"/>
  <c r="AC70" i="8" s="1"/>
  <c r="AQ49" i="4"/>
  <c r="AM70" i="8" s="1"/>
  <c r="Y49" i="4"/>
  <c r="U70" i="8" s="1"/>
  <c r="AK49" i="4"/>
  <c r="AG70" i="8" s="1"/>
  <c r="AJ49" i="4"/>
  <c r="AF70" i="8" s="1"/>
  <c r="G49" i="4"/>
  <c r="C70" i="8" s="1"/>
  <c r="BE49" i="4"/>
  <c r="BA70" i="8" s="1"/>
  <c r="H49" i="4"/>
  <c r="D70" i="8" s="1"/>
  <c r="AY49" i="4"/>
  <c r="AU70" i="8" s="1"/>
  <c r="W49" i="4"/>
  <c r="S70" i="8" s="1"/>
  <c r="I49" i="4"/>
  <c r="E70" i="8" s="1"/>
  <c r="X49" i="4"/>
  <c r="T70" i="8" s="1"/>
  <c r="AL49" i="4"/>
  <c r="AH70" i="8" s="1"/>
  <c r="BM49" i="4"/>
  <c r="BI70" i="8" s="1"/>
  <c r="L49" i="4"/>
  <c r="H70" i="8" s="1"/>
  <c r="AD49" i="4"/>
  <c r="Z70" i="8" s="1"/>
  <c r="P49" i="4"/>
  <c r="L70" i="8" s="1"/>
  <c r="V49" i="4"/>
  <c r="R70" i="8" s="1"/>
  <c r="AF49" i="4"/>
  <c r="AB70" i="8" s="1"/>
  <c r="Q49" i="4"/>
  <c r="M70" i="8" s="1"/>
  <c r="AC49" i="4"/>
  <c r="Y70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BH51" i="4"/>
  <c r="BD72" i="8" s="1"/>
  <c r="AS51" i="4"/>
  <c r="AO72" i="8" s="1"/>
  <c r="BG51" i="4"/>
  <c r="BC72" i="8" s="1"/>
  <c r="BK51" i="4"/>
  <c r="BG72" i="8" s="1"/>
  <c r="AR51" i="4"/>
  <c r="AN72" i="8" s="1"/>
  <c r="AT51" i="4"/>
  <c r="AP72" i="8" s="1"/>
  <c r="T51" i="4"/>
  <c r="P72" i="8" s="1"/>
  <c r="AY51" i="4"/>
  <c r="AU72" i="8" s="1"/>
  <c r="BE51" i="4"/>
  <c r="BA72" i="8" s="1"/>
  <c r="AQ51" i="4"/>
  <c r="AM72" i="8" s="1"/>
  <c r="BM51" i="4"/>
  <c r="BI72" i="8" s="1"/>
  <c r="AG51" i="4"/>
  <c r="AC72" i="8" s="1"/>
  <c r="AE51" i="4"/>
  <c r="AA72" i="8" s="1"/>
  <c r="L51" i="4"/>
  <c r="H72" i="8" s="1"/>
  <c r="N51" i="4"/>
  <c r="J72" i="8" s="1"/>
  <c r="O51" i="4"/>
  <c r="K72" i="8" s="1"/>
  <c r="AH51" i="4"/>
  <c r="AD72" i="8" s="1"/>
  <c r="Z51" i="4"/>
  <c r="V72" i="8" s="1"/>
  <c r="BF51" i="4"/>
  <c r="BB72" i="8" s="1"/>
  <c r="AW51" i="4"/>
  <c r="AS72" i="8" s="1"/>
  <c r="AX51" i="4"/>
  <c r="AT72" i="8" s="1"/>
  <c r="U51" i="4"/>
  <c r="Q72" i="8" s="1"/>
  <c r="AI51" i="4"/>
  <c r="AE72" i="8" s="1"/>
  <c r="AA51" i="4"/>
  <c r="W72" i="8" s="1"/>
  <c r="K51" i="4"/>
  <c r="G72" i="8" s="1"/>
  <c r="AB51" i="4"/>
  <c r="X72" i="8" s="1"/>
  <c r="Y51" i="4"/>
  <c r="U72" i="8" s="1"/>
  <c r="X51" i="4"/>
  <c r="T72" i="8" s="1"/>
  <c r="AL51" i="4"/>
  <c r="AH72" i="8" s="1"/>
  <c r="I51" i="4"/>
  <c r="E72" i="8" s="1"/>
  <c r="R51" i="4"/>
  <c r="N72" i="8" s="1"/>
  <c r="Q51" i="4"/>
  <c r="M72" i="8" s="1"/>
  <c r="G51" i="4"/>
  <c r="C72" i="8" s="1"/>
  <c r="AK51" i="4"/>
  <c r="AG72" i="8" s="1"/>
  <c r="W51" i="4"/>
  <c r="S72" i="8" s="1"/>
  <c r="P51" i="4"/>
  <c r="L72" i="8" s="1"/>
  <c r="H51" i="4"/>
  <c r="D72" i="8" s="1"/>
  <c r="AF51" i="4"/>
  <c r="AB72" i="8" s="1"/>
  <c r="AC51" i="4"/>
  <c r="Y72" i="8" s="1"/>
  <c r="M51" i="4"/>
  <c r="I72" i="8" s="1"/>
  <c r="AD51" i="4"/>
  <c r="Z72" i="8" s="1"/>
  <c r="AJ51" i="4"/>
  <c r="AF72" i="8" s="1"/>
  <c r="V51" i="4"/>
  <c r="R72" i="8" s="1"/>
  <c r="S51" i="4"/>
  <c r="O72" i="8" s="1"/>
  <c r="J51" i="4"/>
  <c r="F72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L53" i="4"/>
  <c r="BH74" i="8" s="1"/>
  <c r="BA53" i="4"/>
  <c r="AW74" i="8" s="1"/>
  <c r="AS53" i="4"/>
  <c r="AO74" i="8" s="1"/>
  <c r="BC53" i="4"/>
  <c r="AY74" i="8" s="1"/>
  <c r="AP53" i="4"/>
  <c r="AL74" i="8" s="1"/>
  <c r="AU53" i="4"/>
  <c r="AQ74" i="8" s="1"/>
  <c r="BH53" i="4"/>
  <c r="BD74" i="8" s="1"/>
  <c r="BG53" i="4"/>
  <c r="BC74" i="8" s="1"/>
  <c r="BK53" i="4"/>
  <c r="BG74" i="8" s="1"/>
  <c r="AR53" i="4"/>
  <c r="AN74" i="8" s="1"/>
  <c r="AB53" i="4"/>
  <c r="X74" i="8" s="1"/>
  <c r="AA53" i="4"/>
  <c r="W74" i="8" s="1"/>
  <c r="M53" i="4"/>
  <c r="I74" i="8" s="1"/>
  <c r="AH53" i="4"/>
  <c r="AD74" i="8" s="1"/>
  <c r="U53" i="4"/>
  <c r="Q74" i="8" s="1"/>
  <c r="AI53" i="4"/>
  <c r="AE74" i="8" s="1"/>
  <c r="O53" i="4"/>
  <c r="K74" i="8" s="1"/>
  <c r="T53" i="4"/>
  <c r="P74" i="8" s="1"/>
  <c r="AY53" i="4"/>
  <c r="AU74" i="8" s="1"/>
  <c r="BE53" i="4"/>
  <c r="BA74" i="8" s="1"/>
  <c r="AQ53" i="4"/>
  <c r="AM74" i="8" s="1"/>
  <c r="BM53" i="4"/>
  <c r="BI74" i="8" s="1"/>
  <c r="N53" i="4"/>
  <c r="J74" i="8" s="1"/>
  <c r="S53" i="4"/>
  <c r="O74" i="8" s="1"/>
  <c r="K53" i="4"/>
  <c r="G74" i="8" s="1"/>
  <c r="L53" i="4"/>
  <c r="H74" i="8" s="1"/>
  <c r="AG53" i="4"/>
  <c r="AC74" i="8" s="1"/>
  <c r="R53" i="4"/>
  <c r="N74" i="8" s="1"/>
  <c r="G53" i="4"/>
  <c r="C74" i="8" s="1"/>
  <c r="Z53" i="4"/>
  <c r="V74" i="8" s="1"/>
  <c r="AE53" i="4"/>
  <c r="AA74" i="8" s="1"/>
  <c r="X53" i="4"/>
  <c r="T74" i="8" s="1"/>
  <c r="V53" i="4"/>
  <c r="R74" i="8" s="1"/>
  <c r="AJ53" i="4"/>
  <c r="AF74" i="8" s="1"/>
  <c r="H53" i="4"/>
  <c r="D74" i="8" s="1"/>
  <c r="Y53" i="4"/>
  <c r="U74" i="8" s="1"/>
  <c r="AF53" i="4"/>
  <c r="AB74" i="8" s="1"/>
  <c r="AK53" i="4"/>
  <c r="AG74" i="8" s="1"/>
  <c r="AX53" i="4"/>
  <c r="AT74" i="8" s="1"/>
  <c r="J53" i="4"/>
  <c r="F74" i="8" s="1"/>
  <c r="AC53" i="4"/>
  <c r="Y74" i="8" s="1"/>
  <c r="AW53" i="4"/>
  <c r="AS74" i="8" s="1"/>
  <c r="Q53" i="4"/>
  <c r="M74" i="8" s="1"/>
  <c r="AD53" i="4"/>
  <c r="Z74" i="8" s="1"/>
  <c r="W53" i="4"/>
  <c r="S74" i="8" s="1"/>
  <c r="BF53" i="4"/>
  <c r="BB74" i="8" s="1"/>
  <c r="AL53" i="4"/>
  <c r="AH74" i="8" s="1"/>
  <c r="I53" i="4"/>
  <c r="E74" i="8" s="1"/>
  <c r="P53" i="4"/>
  <c r="L74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K55" i="4"/>
  <c r="BG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O55" i="4"/>
  <c r="BK76" i="8" s="1"/>
  <c r="AZ55" i="4"/>
  <c r="AV76" i="8" s="1"/>
  <c r="BN55" i="4"/>
  <c r="BJ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T55" i="4"/>
  <c r="P76" i="8" s="1"/>
  <c r="S55" i="4"/>
  <c r="O76" i="8" s="1"/>
  <c r="O55" i="4"/>
  <c r="K76" i="8" s="1"/>
  <c r="Z55" i="4"/>
  <c r="V76" i="8" s="1"/>
  <c r="AH55" i="4"/>
  <c r="AD76" i="8" s="1"/>
  <c r="M55" i="4"/>
  <c r="I76" i="8" s="1"/>
  <c r="L55" i="4"/>
  <c r="H76" i="8" s="1"/>
  <c r="AG55" i="4"/>
  <c r="AC76" i="8" s="1"/>
  <c r="J55" i="4"/>
  <c r="F76" i="8" s="1"/>
  <c r="AY55" i="4"/>
  <c r="AU76" i="8" s="1"/>
  <c r="BE55" i="4"/>
  <c r="BA76" i="8" s="1"/>
  <c r="AQ55" i="4"/>
  <c r="AM76" i="8" s="1"/>
  <c r="BM55" i="4"/>
  <c r="BI76" i="8" s="1"/>
  <c r="AA55" i="4"/>
  <c r="W76" i="8" s="1"/>
  <c r="AE55" i="4"/>
  <c r="AA76" i="8" s="1"/>
  <c r="U55" i="4"/>
  <c r="Q76" i="8" s="1"/>
  <c r="AC55" i="4"/>
  <c r="Y76" i="8" s="1"/>
  <c r="R55" i="4"/>
  <c r="N76" i="8" s="1"/>
  <c r="AF55" i="4"/>
  <c r="AB76" i="8" s="1"/>
  <c r="X55" i="4"/>
  <c r="T76" i="8" s="1"/>
  <c r="V55" i="4"/>
  <c r="R76" i="8" s="1"/>
  <c r="AB55" i="4"/>
  <c r="X76" i="8" s="1"/>
  <c r="G55" i="4"/>
  <c r="C76" i="8" s="1"/>
  <c r="H55" i="4"/>
  <c r="D76" i="8" s="1"/>
  <c r="Y55" i="4"/>
  <c r="U76" i="8" s="1"/>
  <c r="AL55" i="4"/>
  <c r="AH76" i="8" s="1"/>
  <c r="AD55" i="4"/>
  <c r="Z76" i="8" s="1"/>
  <c r="P55" i="4"/>
  <c r="L76" i="8" s="1"/>
  <c r="N55" i="4"/>
  <c r="J76" i="8" s="1"/>
  <c r="Q55" i="4"/>
  <c r="M76" i="8" s="1"/>
  <c r="AK55" i="4"/>
  <c r="AG76" i="8" s="1"/>
  <c r="W55" i="4"/>
  <c r="S76" i="8" s="1"/>
  <c r="I55" i="4"/>
  <c r="E76" i="8" s="1"/>
  <c r="AJ55" i="4"/>
  <c r="AF76" i="8" s="1"/>
  <c r="K55" i="4"/>
  <c r="G76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D57" i="4"/>
  <c r="AZ78" i="8" s="1"/>
  <c r="AS57" i="4"/>
  <c r="AO78" i="8" s="1"/>
  <c r="BL57" i="4"/>
  <c r="BH78" i="8" s="1"/>
  <c r="O57" i="4"/>
  <c r="K78" i="8" s="1"/>
  <c r="M57" i="4"/>
  <c r="I78" i="8" s="1"/>
  <c r="AE57" i="4"/>
  <c r="AA78" i="8" s="1"/>
  <c r="AR57" i="4"/>
  <c r="AN78" i="8" s="1"/>
  <c r="BF57" i="4"/>
  <c r="BB78" i="8" s="1"/>
  <c r="AW57" i="4"/>
  <c r="AS78" i="8" s="1"/>
  <c r="AX57" i="4"/>
  <c r="AT78" i="8" s="1"/>
  <c r="N57" i="4"/>
  <c r="J78" i="8" s="1"/>
  <c r="AI57" i="4"/>
  <c r="AE78" i="8" s="1"/>
  <c r="AA57" i="4"/>
  <c r="W78" i="8" s="1"/>
  <c r="S57" i="4"/>
  <c r="O78" i="8" s="1"/>
  <c r="K57" i="4"/>
  <c r="G78" i="8" s="1"/>
  <c r="R57" i="4"/>
  <c r="N78" i="8" s="1"/>
  <c r="AH57" i="4"/>
  <c r="AD78" i="8" s="1"/>
  <c r="U57" i="4"/>
  <c r="Q78" i="8" s="1"/>
  <c r="L57" i="4"/>
  <c r="H78" i="8" s="1"/>
  <c r="T57" i="4"/>
  <c r="P78" i="8" s="1"/>
  <c r="AY57" i="4"/>
  <c r="AU78" i="8" s="1"/>
  <c r="BE57" i="4"/>
  <c r="BA78" i="8" s="1"/>
  <c r="AQ57" i="4"/>
  <c r="AM78" i="8" s="1"/>
  <c r="BM57" i="4"/>
  <c r="BI78" i="8" s="1"/>
  <c r="AB57" i="4"/>
  <c r="X78" i="8" s="1"/>
  <c r="Z57" i="4"/>
  <c r="V78" i="8" s="1"/>
  <c r="W57" i="4"/>
  <c r="S78" i="8" s="1"/>
  <c r="I57" i="4"/>
  <c r="E78" i="8" s="1"/>
  <c r="AK57" i="4"/>
  <c r="AG78" i="8" s="1"/>
  <c r="P57" i="4"/>
  <c r="L78" i="8" s="1"/>
  <c r="Q57" i="4"/>
  <c r="M78" i="8" s="1"/>
  <c r="Y57" i="4"/>
  <c r="U78" i="8" s="1"/>
  <c r="AF57" i="4"/>
  <c r="AB78" i="8" s="1"/>
  <c r="AL57" i="4"/>
  <c r="AH78" i="8" s="1"/>
  <c r="J57" i="4"/>
  <c r="F78" i="8" s="1"/>
  <c r="AC57" i="4"/>
  <c r="Y78" i="8" s="1"/>
  <c r="V57" i="4"/>
  <c r="R78" i="8" s="1"/>
  <c r="AJ57" i="4"/>
  <c r="AF78" i="8" s="1"/>
  <c r="AG57" i="4"/>
  <c r="AC78" i="8" s="1"/>
  <c r="X57" i="4"/>
  <c r="T78" i="8" s="1"/>
  <c r="AD57" i="4"/>
  <c r="Z78" i="8" s="1"/>
  <c r="G57" i="4"/>
  <c r="C78" i="8" s="1"/>
  <c r="H57" i="4"/>
  <c r="D78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AY59" i="4"/>
  <c r="AU80" i="8" s="1"/>
  <c r="BE59" i="4"/>
  <c r="BA80" i="8" s="1"/>
  <c r="AQ59" i="4"/>
  <c r="AM80" i="8" s="1"/>
  <c r="BM59" i="4"/>
  <c r="BI80" i="8" s="1"/>
  <c r="M59" i="4"/>
  <c r="I80" i="8" s="1"/>
  <c r="R59" i="4"/>
  <c r="N80" i="8" s="1"/>
  <c r="U59" i="4"/>
  <c r="Q80" i="8" s="1"/>
  <c r="AB59" i="4"/>
  <c r="X80" i="8" s="1"/>
  <c r="K59" i="4"/>
  <c r="G80" i="8" s="1"/>
  <c r="AG59" i="4"/>
  <c r="AC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A59" i="4"/>
  <c r="W80" i="8" s="1"/>
  <c r="O59" i="4"/>
  <c r="K80" i="8" s="1"/>
  <c r="T59" i="4"/>
  <c r="P80" i="8" s="1"/>
  <c r="AE59" i="4"/>
  <c r="AA80" i="8" s="1"/>
  <c r="AI59" i="4"/>
  <c r="AE80" i="8" s="1"/>
  <c r="P59" i="4"/>
  <c r="L80" i="8" s="1"/>
  <c r="I59" i="4"/>
  <c r="E80" i="8" s="1"/>
  <c r="Q59" i="4"/>
  <c r="M80" i="8" s="1"/>
  <c r="X59" i="4"/>
  <c r="T80" i="8" s="1"/>
  <c r="AD59" i="4"/>
  <c r="Z80" i="8" s="1"/>
  <c r="AC59" i="4"/>
  <c r="Y80" i="8" s="1"/>
  <c r="AL59" i="4"/>
  <c r="AH80" i="8" s="1"/>
  <c r="AK59" i="4"/>
  <c r="AG80" i="8" s="1"/>
  <c r="Y59" i="4"/>
  <c r="U80" i="8" s="1"/>
  <c r="G59" i="4"/>
  <c r="C80" i="8" s="1"/>
  <c r="AF59" i="4"/>
  <c r="AB80" i="8" s="1"/>
  <c r="AJ59" i="4"/>
  <c r="AF80" i="8" s="1"/>
  <c r="J59" i="4"/>
  <c r="F80" i="8" s="1"/>
  <c r="W59" i="4"/>
  <c r="S80" i="8" s="1"/>
  <c r="H59" i="4"/>
  <c r="D80" i="8" s="1"/>
  <c r="V59" i="4"/>
  <c r="R80" i="8" s="1"/>
  <c r="BJ61" i="4"/>
  <c r="BF82" i="8" s="1"/>
  <c r="BR61" i="4"/>
  <c r="BN82" i="8" s="1"/>
  <c r="BD61" i="4"/>
  <c r="AZ82" i="8" s="1"/>
  <c r="AS61" i="4"/>
  <c r="AO82" i="8" s="1"/>
  <c r="BL61" i="4"/>
  <c r="BH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S61" i="4"/>
  <c r="O82" i="8" s="1"/>
  <c r="N61" i="4"/>
  <c r="J82" i="8" s="1"/>
  <c r="AB61" i="4"/>
  <c r="X82" i="8" s="1"/>
  <c r="AI61" i="4"/>
  <c r="AE82" i="8" s="1"/>
  <c r="AY61" i="4"/>
  <c r="AU82" i="8" s="1"/>
  <c r="BE61" i="4"/>
  <c r="BA82" i="8" s="1"/>
  <c r="AQ61" i="4"/>
  <c r="AM82" i="8" s="1"/>
  <c r="BM61" i="4"/>
  <c r="BI82" i="8" s="1"/>
  <c r="AG61" i="4"/>
  <c r="AC82" i="8" s="1"/>
  <c r="AE61" i="4"/>
  <c r="AA82" i="8" s="1"/>
  <c r="O61" i="4"/>
  <c r="K82" i="8" s="1"/>
  <c r="T61" i="4"/>
  <c r="P82" i="8" s="1"/>
  <c r="K61" i="4"/>
  <c r="G82" i="8" s="1"/>
  <c r="M61" i="4"/>
  <c r="I82" i="8" s="1"/>
  <c r="AA61" i="4"/>
  <c r="W82" i="8" s="1"/>
  <c r="Z61" i="4"/>
  <c r="V82" i="8" s="1"/>
  <c r="R61" i="4"/>
  <c r="N82" i="8" s="1"/>
  <c r="J61" i="4"/>
  <c r="F82" i="8" s="1"/>
  <c r="AR61" i="4"/>
  <c r="AN82" i="8" s="1"/>
  <c r="BF61" i="4"/>
  <c r="BB82" i="8" s="1"/>
  <c r="AW61" i="4"/>
  <c r="AS82" i="8" s="1"/>
  <c r="AX61" i="4"/>
  <c r="AT82" i="8" s="1"/>
  <c r="U61" i="4"/>
  <c r="Q82" i="8" s="1"/>
  <c r="L61" i="4"/>
  <c r="H82" i="8" s="1"/>
  <c r="AH61" i="4"/>
  <c r="AD82" i="8" s="1"/>
  <c r="AL61" i="4"/>
  <c r="AH82" i="8" s="1"/>
  <c r="I61" i="4"/>
  <c r="E82" i="8" s="1"/>
  <c r="G61" i="4"/>
  <c r="C82" i="8" s="1"/>
  <c r="W61" i="4"/>
  <c r="S82" i="8" s="1"/>
  <c r="P61" i="4"/>
  <c r="L82" i="8" s="1"/>
  <c r="V61" i="4"/>
  <c r="R82" i="8" s="1"/>
  <c r="H61" i="4"/>
  <c r="D82" i="8" s="1"/>
  <c r="AJ61" i="4"/>
  <c r="AF82" i="8" s="1"/>
  <c r="Q61" i="4"/>
  <c r="M82" i="8" s="1"/>
  <c r="X61" i="4"/>
  <c r="T82" i="8" s="1"/>
  <c r="AD61" i="4"/>
  <c r="Z82" i="8" s="1"/>
  <c r="Y61" i="4"/>
  <c r="U82" i="8" s="1"/>
  <c r="AF61" i="4"/>
  <c r="AB82" i="8" s="1"/>
  <c r="AC61" i="4"/>
  <c r="Y82" i="8" s="1"/>
  <c r="AK61" i="4"/>
  <c r="AG82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BI63" i="4"/>
  <c r="BE84" i="8" s="1"/>
  <c r="AT63" i="4"/>
  <c r="AP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M63" i="4"/>
  <c r="I84" i="8" s="1"/>
  <c r="Z63" i="4"/>
  <c r="V84" i="8" s="1"/>
  <c r="T63" i="4"/>
  <c r="P84" i="8" s="1"/>
  <c r="AH63" i="4"/>
  <c r="AD84" i="8" s="1"/>
  <c r="AI63" i="4"/>
  <c r="AE84" i="8" s="1"/>
  <c r="S63" i="4"/>
  <c r="O84" i="8" s="1"/>
  <c r="AY63" i="4"/>
  <c r="AU84" i="8" s="1"/>
  <c r="BE63" i="4"/>
  <c r="BA84" i="8" s="1"/>
  <c r="AQ63" i="4"/>
  <c r="AM84" i="8" s="1"/>
  <c r="BM63" i="4"/>
  <c r="BI84" i="8" s="1"/>
  <c r="AE63" i="4"/>
  <c r="AA84" i="8" s="1"/>
  <c r="U63" i="4"/>
  <c r="Q84" i="8" s="1"/>
  <c r="L63" i="4"/>
  <c r="H84" i="8" s="1"/>
  <c r="AG63" i="4"/>
  <c r="AC84" i="8" s="1"/>
  <c r="K63" i="4"/>
  <c r="G84" i="8" s="1"/>
  <c r="R63" i="4"/>
  <c r="N84" i="8" s="1"/>
  <c r="J63" i="4"/>
  <c r="F84" i="8" s="1"/>
  <c r="V63" i="4"/>
  <c r="R84" i="8" s="1"/>
  <c r="AK63" i="4"/>
  <c r="AG84" i="8" s="1"/>
  <c r="W63" i="4"/>
  <c r="S84" i="8" s="1"/>
  <c r="Y63" i="4"/>
  <c r="U84" i="8" s="1"/>
  <c r="AC63" i="4"/>
  <c r="Y84" i="8" s="1"/>
  <c r="H63" i="4"/>
  <c r="D84" i="8" s="1"/>
  <c r="G63" i="4"/>
  <c r="C84" i="8" s="1"/>
  <c r="Q63" i="4"/>
  <c r="M84" i="8" s="1"/>
  <c r="I63" i="4"/>
  <c r="E84" i="8" s="1"/>
  <c r="X63" i="4"/>
  <c r="T84" i="8" s="1"/>
  <c r="AJ63" i="4"/>
  <c r="AF84" i="8" s="1"/>
  <c r="AF63" i="4"/>
  <c r="AB84" i="8" s="1"/>
  <c r="AL63" i="4"/>
  <c r="AH84" i="8" s="1"/>
  <c r="AD63" i="4"/>
  <c r="Z84" i="8" s="1"/>
  <c r="P63" i="4"/>
  <c r="L84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BL65" i="4"/>
  <c r="BH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Q65" i="4"/>
  <c r="BM86" i="8" s="1"/>
  <c r="BB65" i="4"/>
  <c r="AX86" i="8" s="1"/>
  <c r="BA65" i="4"/>
  <c r="AW86" i="8" s="1"/>
  <c r="Z65" i="4"/>
  <c r="V86" i="8" s="1"/>
  <c r="AA65" i="4"/>
  <c r="W86" i="8" s="1"/>
  <c r="S65" i="4"/>
  <c r="O86" i="8" s="1"/>
  <c r="K65" i="4"/>
  <c r="G86" i="8" s="1"/>
  <c r="AR65" i="4"/>
  <c r="AN86" i="8" s="1"/>
  <c r="BF65" i="4"/>
  <c r="BB86" i="8" s="1"/>
  <c r="AW65" i="4"/>
  <c r="AS86" i="8" s="1"/>
  <c r="AX65" i="4"/>
  <c r="AT86" i="8" s="1"/>
  <c r="N65" i="4"/>
  <c r="J86" i="8" s="1"/>
  <c r="U65" i="4"/>
  <c r="Q86" i="8" s="1"/>
  <c r="AH65" i="4"/>
  <c r="AD86" i="8" s="1"/>
  <c r="R65" i="4"/>
  <c r="N86" i="8" s="1"/>
  <c r="AI65" i="4"/>
  <c r="AE86" i="8" s="1"/>
  <c r="O65" i="4"/>
  <c r="K86" i="8" s="1"/>
  <c r="M65" i="4"/>
  <c r="I86" i="8" s="1"/>
  <c r="L65" i="4"/>
  <c r="H86" i="8" s="1"/>
  <c r="AY65" i="4"/>
  <c r="AU86" i="8" s="1"/>
  <c r="BE65" i="4"/>
  <c r="BA86" i="8" s="1"/>
  <c r="AQ65" i="4"/>
  <c r="AM86" i="8" s="1"/>
  <c r="BM65" i="4"/>
  <c r="BI86" i="8" s="1"/>
  <c r="T65" i="4"/>
  <c r="P86" i="8" s="1"/>
  <c r="AL65" i="4"/>
  <c r="AH86" i="8" s="1"/>
  <c r="X65" i="4"/>
  <c r="T86" i="8" s="1"/>
  <c r="V65" i="4"/>
  <c r="R86" i="8" s="1"/>
  <c r="H65" i="4"/>
  <c r="D86" i="8" s="1"/>
  <c r="G65" i="4"/>
  <c r="C86" i="8" s="1"/>
  <c r="Y65" i="4"/>
  <c r="U86" i="8" s="1"/>
  <c r="AK65" i="4"/>
  <c r="AG86" i="8" s="1"/>
  <c r="AE65" i="4"/>
  <c r="AA86" i="8" s="1"/>
  <c r="J65" i="4"/>
  <c r="F86" i="8" s="1"/>
  <c r="AF65" i="4"/>
  <c r="AB86" i="8" s="1"/>
  <c r="AD65" i="4"/>
  <c r="Z86" i="8" s="1"/>
  <c r="W65" i="4"/>
  <c r="S86" i="8" s="1"/>
  <c r="AB65" i="4"/>
  <c r="X86" i="8" s="1"/>
  <c r="Q65" i="4"/>
  <c r="M86" i="8" s="1"/>
  <c r="I65" i="4"/>
  <c r="E86" i="8" s="1"/>
  <c r="AG65" i="4"/>
  <c r="AC86" i="8" s="1"/>
  <c r="P65" i="4"/>
  <c r="L86" i="8" s="1"/>
  <c r="AC65" i="4"/>
  <c r="Y86" i="8" s="1"/>
  <c r="AJ65" i="4"/>
  <c r="AF86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K67" i="4"/>
  <c r="BG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AS67" i="4"/>
  <c r="AO88" i="8" s="1"/>
  <c r="BC67" i="4"/>
  <c r="AY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I67" i="4"/>
  <c r="AE88" i="8" s="1"/>
  <c r="O67" i="4"/>
  <c r="K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H67" i="4"/>
  <c r="AD88" i="8" s="1"/>
  <c r="L67" i="4"/>
  <c r="H88" i="8" s="1"/>
  <c r="U67" i="4"/>
  <c r="Q88" i="8" s="1"/>
  <c r="M67" i="4"/>
  <c r="I88" i="8" s="1"/>
  <c r="T67" i="4"/>
  <c r="P88" i="8" s="1"/>
  <c r="Z67" i="4"/>
  <c r="V88" i="8" s="1"/>
  <c r="K67" i="4"/>
  <c r="G88" i="8" s="1"/>
  <c r="R67" i="4"/>
  <c r="N88" i="8" s="1"/>
  <c r="W67" i="4"/>
  <c r="S88" i="8" s="1"/>
  <c r="H67" i="4"/>
  <c r="D88" i="8" s="1"/>
  <c r="AD67" i="4"/>
  <c r="Z88" i="8" s="1"/>
  <c r="G67" i="4"/>
  <c r="C88" i="8" s="1"/>
  <c r="J67" i="4"/>
  <c r="F88" i="8" s="1"/>
  <c r="X67" i="4"/>
  <c r="T88" i="8" s="1"/>
  <c r="AL67" i="4"/>
  <c r="AH88" i="8" s="1"/>
  <c r="AG67" i="4"/>
  <c r="AC88" i="8" s="1"/>
  <c r="AE67" i="4"/>
  <c r="AA88" i="8" s="1"/>
  <c r="Q67" i="4"/>
  <c r="M88" i="8" s="1"/>
  <c r="AK67" i="4"/>
  <c r="AG88" i="8" s="1"/>
  <c r="AC67" i="4"/>
  <c r="Y88" i="8" s="1"/>
  <c r="P67" i="4"/>
  <c r="L88" i="8" s="1"/>
  <c r="Y67" i="4"/>
  <c r="U88" i="8" s="1"/>
  <c r="AJ67" i="4"/>
  <c r="AF88" i="8" s="1"/>
  <c r="AF67" i="4"/>
  <c r="AB88" i="8" s="1"/>
  <c r="V67" i="4"/>
  <c r="R88" i="8" s="1"/>
  <c r="I67" i="4"/>
  <c r="E88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BJ69" i="4"/>
  <c r="BF90" i="8" s="1"/>
  <c r="BC69" i="4"/>
  <c r="AY90" i="8" s="1"/>
  <c r="AS69" i="4"/>
  <c r="AO90" i="8" s="1"/>
  <c r="AH69" i="4"/>
  <c r="AD90" i="8" s="1"/>
  <c r="U69" i="4"/>
  <c r="Q90" i="8" s="1"/>
  <c r="K69" i="4"/>
  <c r="G90" i="8" s="1"/>
  <c r="AY69" i="4"/>
  <c r="AU90" i="8" s="1"/>
  <c r="BE69" i="4"/>
  <c r="BA90" i="8" s="1"/>
  <c r="AQ69" i="4"/>
  <c r="AM90" i="8" s="1"/>
  <c r="BM69" i="4"/>
  <c r="BI90" i="8" s="1"/>
  <c r="AB69" i="4"/>
  <c r="X90" i="8" s="1"/>
  <c r="O69" i="4"/>
  <c r="K90" i="8" s="1"/>
  <c r="T69" i="4"/>
  <c r="P90" i="8" s="1"/>
  <c r="J69" i="4"/>
  <c r="F90" i="8" s="1"/>
  <c r="M69" i="4"/>
  <c r="I90" i="8" s="1"/>
  <c r="AA69" i="4"/>
  <c r="W90" i="8" s="1"/>
  <c r="S69" i="4"/>
  <c r="O90" i="8" s="1"/>
  <c r="R69" i="4"/>
  <c r="N90" i="8" s="1"/>
  <c r="AG69" i="4"/>
  <c r="AC90" i="8" s="1"/>
  <c r="AR69" i="4"/>
  <c r="AN90" i="8" s="1"/>
  <c r="BF69" i="4"/>
  <c r="BB90" i="8" s="1"/>
  <c r="AW69" i="4"/>
  <c r="AS90" i="8" s="1"/>
  <c r="AX69" i="4"/>
  <c r="AT90" i="8" s="1"/>
  <c r="N69" i="4"/>
  <c r="J90" i="8" s="1"/>
  <c r="AE69" i="4"/>
  <c r="AA90" i="8" s="1"/>
  <c r="AI69" i="4"/>
  <c r="AE90" i="8" s="1"/>
  <c r="AD69" i="4"/>
  <c r="Z90" i="8" s="1"/>
  <c r="AC69" i="4"/>
  <c r="Y90" i="8" s="1"/>
  <c r="L69" i="4"/>
  <c r="H90" i="8" s="1"/>
  <c r="Z69" i="4"/>
  <c r="V90" i="8" s="1"/>
  <c r="AL69" i="4"/>
  <c r="AH90" i="8" s="1"/>
  <c r="I69" i="4"/>
  <c r="E90" i="8" s="1"/>
  <c r="P69" i="4"/>
  <c r="L90" i="8" s="1"/>
  <c r="H69" i="4"/>
  <c r="D90" i="8" s="1"/>
  <c r="V69" i="4"/>
  <c r="R90" i="8" s="1"/>
  <c r="AJ69" i="4"/>
  <c r="AF90" i="8" s="1"/>
  <c r="W69" i="4"/>
  <c r="S90" i="8" s="1"/>
  <c r="Y69" i="4"/>
  <c r="U90" i="8" s="1"/>
  <c r="AF69" i="4"/>
  <c r="AB90" i="8" s="1"/>
  <c r="Q69" i="4"/>
  <c r="M90" i="8" s="1"/>
  <c r="AK69" i="4"/>
  <c r="AG90" i="8" s="1"/>
  <c r="G69" i="4"/>
  <c r="C90" i="8" s="1"/>
  <c r="X69" i="4"/>
  <c r="T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B71" i="4"/>
  <c r="AX92" i="8" s="1"/>
  <c r="BK71" i="4"/>
  <c r="BG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AB71" i="4"/>
  <c r="X92" i="8" s="1"/>
  <c r="S71" i="4"/>
  <c r="O92" i="8" s="1"/>
  <c r="M71" i="4"/>
  <c r="I92" i="8" s="1"/>
  <c r="J71" i="4"/>
  <c r="F92" i="8" s="1"/>
  <c r="T71" i="4"/>
  <c r="P92" i="8" s="1"/>
  <c r="AY71" i="4"/>
  <c r="AU92" i="8" s="1"/>
  <c r="BE71" i="4"/>
  <c r="BA92" i="8" s="1"/>
  <c r="AQ71" i="4"/>
  <c r="AM92" i="8" s="1"/>
  <c r="BM71" i="4"/>
  <c r="BI92" i="8" s="1"/>
  <c r="R71" i="4"/>
  <c r="N92" i="8" s="1"/>
  <c r="AI71" i="4"/>
  <c r="AE92" i="8" s="1"/>
  <c r="Z71" i="4"/>
  <c r="V92" i="8" s="1"/>
  <c r="O71" i="4"/>
  <c r="K92" i="8" s="1"/>
  <c r="AA71" i="4"/>
  <c r="W92" i="8" s="1"/>
  <c r="L71" i="4"/>
  <c r="H92" i="8" s="1"/>
  <c r="K71" i="4"/>
  <c r="G92" i="8" s="1"/>
  <c r="AF71" i="4"/>
  <c r="AB92" i="8" s="1"/>
  <c r="AL71" i="4"/>
  <c r="AH92" i="8" s="1"/>
  <c r="AJ71" i="4"/>
  <c r="AF92" i="8" s="1"/>
  <c r="Q71" i="4"/>
  <c r="M92" i="8" s="1"/>
  <c r="AK71" i="4"/>
  <c r="AG92" i="8" s="1"/>
  <c r="V71" i="4"/>
  <c r="R92" i="8" s="1"/>
  <c r="H71" i="4"/>
  <c r="D92" i="8" s="1"/>
  <c r="AG71" i="4"/>
  <c r="AC92" i="8" s="1"/>
  <c r="X71" i="4"/>
  <c r="T92" i="8" s="1"/>
  <c r="AD71" i="4"/>
  <c r="Z92" i="8" s="1"/>
  <c r="G71" i="4"/>
  <c r="C92" i="8" s="1"/>
  <c r="P71" i="4"/>
  <c r="L92" i="8" s="1"/>
  <c r="W71" i="4"/>
  <c r="S92" i="8" s="1"/>
  <c r="AE71" i="4"/>
  <c r="AA92" i="8" s="1"/>
  <c r="Y71" i="4"/>
  <c r="U92" i="8" s="1"/>
  <c r="I71" i="4"/>
  <c r="E92" i="8" s="1"/>
  <c r="AC71" i="4"/>
  <c r="Y92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K73" i="4"/>
  <c r="BG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AB73" i="4"/>
  <c r="X94" i="8" s="1"/>
  <c r="O73" i="4"/>
  <c r="K94" i="8" s="1"/>
  <c r="Z73" i="4"/>
  <c r="V94" i="8" s="1"/>
  <c r="AR73" i="4"/>
  <c r="AN94" i="8" s="1"/>
  <c r="BF73" i="4"/>
  <c r="BB94" i="8" s="1"/>
  <c r="AW73" i="4"/>
  <c r="AS94" i="8" s="1"/>
  <c r="AX73" i="4"/>
  <c r="AT94" i="8" s="1"/>
  <c r="K73" i="4"/>
  <c r="G94" i="8" s="1"/>
  <c r="AI73" i="4"/>
  <c r="AE94" i="8" s="1"/>
  <c r="R73" i="4"/>
  <c r="N94" i="8" s="1"/>
  <c r="AG73" i="4"/>
  <c r="AC94" i="8" s="1"/>
  <c r="AH73" i="4"/>
  <c r="AD94" i="8" s="1"/>
  <c r="S73" i="4"/>
  <c r="O94" i="8" s="1"/>
  <c r="AE73" i="4"/>
  <c r="AA94" i="8" s="1"/>
  <c r="AY73" i="4"/>
  <c r="AU94" i="8" s="1"/>
  <c r="BE73" i="4"/>
  <c r="BA94" i="8" s="1"/>
  <c r="AQ73" i="4"/>
  <c r="AM94" i="8" s="1"/>
  <c r="BM73" i="4"/>
  <c r="BI94" i="8" s="1"/>
  <c r="M73" i="4"/>
  <c r="I94" i="8" s="1"/>
  <c r="L73" i="4"/>
  <c r="H94" i="8" s="1"/>
  <c r="T73" i="4"/>
  <c r="P94" i="8" s="1"/>
  <c r="AF73" i="4"/>
  <c r="AB94" i="8" s="1"/>
  <c r="G73" i="4"/>
  <c r="C94" i="8" s="1"/>
  <c r="H73" i="4"/>
  <c r="D94" i="8" s="1"/>
  <c r="U73" i="4"/>
  <c r="Q94" i="8" s="1"/>
  <c r="AD73" i="4"/>
  <c r="Z94" i="8" s="1"/>
  <c r="AK73" i="4"/>
  <c r="AG94" i="8" s="1"/>
  <c r="V73" i="4"/>
  <c r="R94" i="8" s="1"/>
  <c r="Y73" i="4"/>
  <c r="U94" i="8" s="1"/>
  <c r="AC73" i="4"/>
  <c r="Y94" i="8" s="1"/>
  <c r="I73" i="4"/>
  <c r="E94" i="8" s="1"/>
  <c r="N73" i="4"/>
  <c r="J94" i="8" s="1"/>
  <c r="AA73" i="4"/>
  <c r="W94" i="8" s="1"/>
  <c r="X73" i="4"/>
  <c r="T94" i="8" s="1"/>
  <c r="P73" i="4"/>
  <c r="L94" i="8" s="1"/>
  <c r="AL73" i="4"/>
  <c r="AH94" i="8" s="1"/>
  <c r="W73" i="4"/>
  <c r="S94" i="8" s="1"/>
  <c r="Q73" i="4"/>
  <c r="M94" i="8" s="1"/>
  <c r="J73" i="4"/>
  <c r="F94" i="8" s="1"/>
  <c r="AJ73" i="4"/>
  <c r="AF94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 i="4"/>
  <c r="E93" i="4"/>
  <c r="E101" i="4"/>
  <c r="E109" i="4"/>
  <c r="E92" i="4"/>
  <c r="E79" i="4"/>
  <c r="E86" i="4"/>
  <c r="E94" i="4"/>
  <c r="E102" i="4"/>
  <c r="E87" i="4"/>
  <c r="E95" i="4"/>
  <c r="E103" i="4"/>
  <c r="E80" i="4"/>
  <c r="E88" i="4"/>
  <c r="E96" i="4"/>
  <c r="E104" i="4"/>
  <c r="E84" i="4"/>
  <c r="E81" i="4"/>
  <c r="E89" i="4"/>
  <c r="E97" i="4"/>
  <c r="E105" i="4"/>
  <c r="E100" i="4"/>
  <c r="E82" i="4"/>
  <c r="E90" i="4"/>
  <c r="E98" i="4"/>
  <c r="E106" i="4"/>
  <c r="E83" i="4"/>
  <c r="E91" i="4"/>
  <c r="E99" i="4"/>
  <c r="E107" i="4"/>
  <c r="A83" i="4"/>
  <c r="F49" i="4"/>
  <c r="B70" i="8" s="1"/>
  <c r="A87" i="4"/>
  <c r="F53" i="4"/>
  <c r="B74" i="8" s="1"/>
  <c r="A80" i="4"/>
  <c r="F46" i="4"/>
  <c r="B67" i="8" s="1"/>
  <c r="A84" i="4"/>
  <c r="F50" i="4"/>
  <c r="B71" i="8" s="1"/>
  <c r="A88" i="4"/>
  <c r="F54" i="4"/>
  <c r="B75" i="8" s="1"/>
  <c r="A90" i="4"/>
  <c r="F56" i="4"/>
  <c r="B77" i="8" s="1"/>
  <c r="A94" i="4"/>
  <c r="F60" i="4"/>
  <c r="B81" i="8" s="1"/>
  <c r="A82" i="4"/>
  <c r="F48" i="4"/>
  <c r="B69" i="8" s="1"/>
  <c r="A86" i="4"/>
  <c r="F52" i="4"/>
  <c r="B73" i="8" s="1"/>
  <c r="A92" i="4"/>
  <c r="F58" i="4"/>
  <c r="B79" i="8" s="1"/>
  <c r="A91" i="4"/>
  <c r="F57" i="4"/>
  <c r="B78" i="8" s="1"/>
  <c r="F47" i="4"/>
  <c r="B68" i="8" s="1"/>
  <c r="A96" i="4"/>
  <c r="F62" i="4"/>
  <c r="B83" i="8" s="1"/>
  <c r="A98" i="4"/>
  <c r="F64" i="4"/>
  <c r="B85" i="8" s="1"/>
  <c r="A100" i="4"/>
  <c r="F66" i="4"/>
  <c r="B87" i="8" s="1"/>
  <c r="A102" i="4"/>
  <c r="F68" i="4"/>
  <c r="B89" i="8" s="1"/>
  <c r="A104" i="4"/>
  <c r="F70" i="4"/>
  <c r="B91" i="8" s="1"/>
  <c r="A106" i="4"/>
  <c r="F72" i="4"/>
  <c r="B93" i="8" s="1"/>
  <c r="A108" i="4"/>
  <c r="F74" i="4"/>
  <c r="B95" i="8" s="1"/>
  <c r="F59" i="4"/>
  <c r="B80" i="8" s="1"/>
  <c r="F51" i="4"/>
  <c r="B72" i="8" s="1"/>
  <c r="A81" i="4"/>
  <c r="A85" i="4"/>
  <c r="A89" i="4"/>
  <c r="A93" i="4"/>
  <c r="A95" i="4"/>
  <c r="F61" i="4"/>
  <c r="B82" i="8" s="1"/>
  <c r="A97" i="4"/>
  <c r="F63" i="4"/>
  <c r="B84" i="8" s="1"/>
  <c r="A99" i="4"/>
  <c r="F65" i="4"/>
  <c r="B86" i="8" s="1"/>
  <c r="A101" i="4"/>
  <c r="F67" i="4"/>
  <c r="B88" i="8" s="1"/>
  <c r="A103" i="4"/>
  <c r="F69" i="4"/>
  <c r="B90" i="8" s="1"/>
  <c r="A105" i="4"/>
  <c r="F71" i="4"/>
  <c r="B92" i="8" s="1"/>
  <c r="A107" i="4"/>
  <c r="F73" i="4"/>
  <c r="B94" i="8" s="1"/>
  <c r="F55" i="4"/>
  <c r="B76" i="8" s="1"/>
  <c r="C115" i="4"/>
  <c r="F41" i="4" l="1"/>
  <c r="E41" i="4"/>
  <c r="C78" i="4" s="1"/>
  <c r="H80" i="4" l="1"/>
  <c r="P80" i="4"/>
  <c r="X80" i="4"/>
  <c r="AF80" i="4"/>
  <c r="AN80" i="4"/>
  <c r="AV80" i="4"/>
  <c r="BD80" i="4"/>
  <c r="BL80" i="4"/>
  <c r="H81" i="4"/>
  <c r="P81" i="4"/>
  <c r="X81" i="4"/>
  <c r="AF81" i="4"/>
  <c r="AN81" i="4"/>
  <c r="AV81" i="4"/>
  <c r="BD81" i="4"/>
  <c r="BL81" i="4"/>
  <c r="H82" i="4"/>
  <c r="P82" i="4"/>
  <c r="X82" i="4"/>
  <c r="AF82" i="4"/>
  <c r="AN82" i="4"/>
  <c r="AV82" i="4"/>
  <c r="BD82" i="4"/>
  <c r="BD116" i="4" s="1"/>
  <c r="BL82" i="4"/>
  <c r="H83" i="4"/>
  <c r="P83" i="4"/>
  <c r="X83" i="4"/>
  <c r="AF83" i="4"/>
  <c r="AN83" i="4"/>
  <c r="AV83" i="4"/>
  <c r="BD83" i="4"/>
  <c r="BL83" i="4"/>
  <c r="H84" i="4"/>
  <c r="I80" i="4"/>
  <c r="Q80" i="4"/>
  <c r="Y80" i="4"/>
  <c r="AG80" i="4"/>
  <c r="AO80" i="4"/>
  <c r="AW80" i="4"/>
  <c r="BE80" i="4"/>
  <c r="BM80" i="4"/>
  <c r="I81" i="4"/>
  <c r="Q81" i="4"/>
  <c r="Y81" i="4"/>
  <c r="AG81" i="4"/>
  <c r="AO81" i="4"/>
  <c r="AW81" i="4"/>
  <c r="BE81" i="4"/>
  <c r="BM81" i="4"/>
  <c r="I82" i="4"/>
  <c r="Q82" i="4"/>
  <c r="Y82" i="4"/>
  <c r="AG82" i="4"/>
  <c r="AO82" i="4"/>
  <c r="AW82" i="4"/>
  <c r="AW116" i="4" s="1"/>
  <c r="BE82" i="4"/>
  <c r="BM82" i="4"/>
  <c r="I83" i="4"/>
  <c r="Q83" i="4"/>
  <c r="Y83" i="4"/>
  <c r="AG83" i="4"/>
  <c r="AO83" i="4"/>
  <c r="AW83" i="4"/>
  <c r="BE83" i="4"/>
  <c r="BM83" i="4"/>
  <c r="I84" i="4"/>
  <c r="J80" i="4"/>
  <c r="R80" i="4"/>
  <c r="Z80" i="4"/>
  <c r="AH80" i="4"/>
  <c r="AP80" i="4"/>
  <c r="AX80" i="4"/>
  <c r="BF80" i="4"/>
  <c r="BN80" i="4"/>
  <c r="J81" i="4"/>
  <c r="R81" i="4"/>
  <c r="Z81" i="4"/>
  <c r="AH81" i="4"/>
  <c r="AP81" i="4"/>
  <c r="AX81" i="4"/>
  <c r="BF81" i="4"/>
  <c r="BN81" i="4"/>
  <c r="J82" i="4"/>
  <c r="R82" i="4"/>
  <c r="Z82" i="4"/>
  <c r="AH82" i="4"/>
  <c r="AP82" i="4"/>
  <c r="AP116" i="4" s="1"/>
  <c r="AX82" i="4"/>
  <c r="BF82" i="4"/>
  <c r="BN82" i="4"/>
  <c r="J83" i="4"/>
  <c r="R83" i="4"/>
  <c r="Z83" i="4"/>
  <c r="AH83" i="4"/>
  <c r="AP83" i="4"/>
  <c r="AX83" i="4"/>
  <c r="BF83" i="4"/>
  <c r="BN83" i="4"/>
  <c r="J84" i="4"/>
  <c r="K80" i="4"/>
  <c r="S80" i="4"/>
  <c r="AA80" i="4"/>
  <c r="AI80" i="4"/>
  <c r="AQ80" i="4"/>
  <c r="AY80" i="4"/>
  <c r="BG80" i="4"/>
  <c r="BO80" i="4"/>
  <c r="K81" i="4"/>
  <c r="S81" i="4"/>
  <c r="AA81" i="4"/>
  <c r="AI81" i="4"/>
  <c r="AQ81" i="4"/>
  <c r="AY81" i="4"/>
  <c r="BG81" i="4"/>
  <c r="BO81" i="4"/>
  <c r="K82" i="4"/>
  <c r="S82" i="4"/>
  <c r="AA82" i="4"/>
  <c r="AI82" i="4"/>
  <c r="AI116" i="4" s="1"/>
  <c r="AQ82" i="4"/>
  <c r="AY82" i="4"/>
  <c r="BG82" i="4"/>
  <c r="BO82" i="4"/>
  <c r="K83" i="4"/>
  <c r="S83" i="4"/>
  <c r="AA83" i="4"/>
  <c r="AI83" i="4"/>
  <c r="AQ83" i="4"/>
  <c r="AY83" i="4"/>
  <c r="BG83" i="4"/>
  <c r="BO83" i="4"/>
  <c r="K84" i="4"/>
  <c r="L80" i="4"/>
  <c r="T80" i="4"/>
  <c r="AB80" i="4"/>
  <c r="AJ80" i="4"/>
  <c r="AR80" i="4"/>
  <c r="AZ80" i="4"/>
  <c r="BH80" i="4"/>
  <c r="BP80" i="4"/>
  <c r="L81" i="4"/>
  <c r="T81" i="4"/>
  <c r="AB81" i="4"/>
  <c r="AJ81" i="4"/>
  <c r="AR81" i="4"/>
  <c r="AZ81" i="4"/>
  <c r="BH81" i="4"/>
  <c r="BP81" i="4"/>
  <c r="L82" i="4"/>
  <c r="T82" i="4"/>
  <c r="AB82" i="4"/>
  <c r="AB116" i="4" s="1"/>
  <c r="AJ82" i="4"/>
  <c r="AR82" i="4"/>
  <c r="AZ82" i="4"/>
  <c r="BH82" i="4"/>
  <c r="BP82" i="4"/>
  <c r="L83" i="4"/>
  <c r="T83" i="4"/>
  <c r="AB83" i="4"/>
  <c r="AJ83" i="4"/>
  <c r="AR83" i="4"/>
  <c r="AZ83" i="4"/>
  <c r="BH83" i="4"/>
  <c r="BP83" i="4"/>
  <c r="L84" i="4"/>
  <c r="N80" i="4"/>
  <c r="V80" i="4"/>
  <c r="AD80" i="4"/>
  <c r="AL80" i="4"/>
  <c r="AT80" i="4"/>
  <c r="BB80" i="4"/>
  <c r="BJ80" i="4"/>
  <c r="BR80" i="4"/>
  <c r="N81" i="4"/>
  <c r="V81" i="4"/>
  <c r="AD81" i="4"/>
  <c r="AL81" i="4"/>
  <c r="AT81" i="4"/>
  <c r="BB81" i="4"/>
  <c r="BJ81" i="4"/>
  <c r="BR81" i="4"/>
  <c r="N82" i="4"/>
  <c r="V82" i="4"/>
  <c r="V116" i="4" s="1"/>
  <c r="AD82" i="4"/>
  <c r="AL82" i="4"/>
  <c r="AT82" i="4"/>
  <c r="BB82" i="4"/>
  <c r="BJ82" i="4"/>
  <c r="BR82" i="4"/>
  <c r="N83" i="4"/>
  <c r="V83" i="4"/>
  <c r="AD83" i="4"/>
  <c r="AL83" i="4"/>
  <c r="AT83" i="4"/>
  <c r="BB83" i="4"/>
  <c r="BJ83" i="4"/>
  <c r="BR83" i="4"/>
  <c r="N84" i="4"/>
  <c r="G80" i="4"/>
  <c r="O80" i="4"/>
  <c r="W80" i="4"/>
  <c r="AE80" i="4"/>
  <c r="AM80" i="4"/>
  <c r="AU80" i="4"/>
  <c r="BC80" i="4"/>
  <c r="BK80" i="4"/>
  <c r="G81" i="4"/>
  <c r="O81" i="4"/>
  <c r="W81" i="4"/>
  <c r="AE81" i="4"/>
  <c r="AM81" i="4"/>
  <c r="AU81" i="4"/>
  <c r="BC81" i="4"/>
  <c r="BK81" i="4"/>
  <c r="G82" i="4"/>
  <c r="G116" i="4" s="1"/>
  <c r="O82" i="4"/>
  <c r="W82" i="4"/>
  <c r="AE82" i="4"/>
  <c r="AM82" i="4"/>
  <c r="AU82" i="4"/>
  <c r="BC82" i="4"/>
  <c r="BK82" i="4"/>
  <c r="G83" i="4"/>
  <c r="O83" i="4"/>
  <c r="W83" i="4"/>
  <c r="AE83" i="4"/>
  <c r="AM83" i="4"/>
  <c r="AU83" i="4"/>
  <c r="BC83" i="4"/>
  <c r="BK83" i="4"/>
  <c r="G84" i="4"/>
  <c r="BI80" i="4"/>
  <c r="BI81" i="4"/>
  <c r="BI82" i="4"/>
  <c r="BI83" i="4"/>
  <c r="T84" i="4"/>
  <c r="AB84" i="4"/>
  <c r="AJ84" i="4"/>
  <c r="AR84" i="4"/>
  <c r="AZ84" i="4"/>
  <c r="BH84" i="4"/>
  <c r="BP84" i="4"/>
  <c r="L85" i="4"/>
  <c r="T85" i="4"/>
  <c r="AB85" i="4"/>
  <c r="AJ85" i="4"/>
  <c r="AR85" i="4"/>
  <c r="AR114" i="4" s="1"/>
  <c r="AZ85" i="4"/>
  <c r="BH85" i="4"/>
  <c r="BP85" i="4"/>
  <c r="L86" i="4"/>
  <c r="T86" i="4"/>
  <c r="AB86" i="4"/>
  <c r="AJ86" i="4"/>
  <c r="AR86" i="4"/>
  <c r="AZ86" i="4"/>
  <c r="BH86" i="4"/>
  <c r="BP86" i="4"/>
  <c r="L87" i="4"/>
  <c r="T87" i="4"/>
  <c r="AB87" i="4"/>
  <c r="AJ87" i="4"/>
  <c r="AR87" i="4"/>
  <c r="AZ87" i="4"/>
  <c r="BH87" i="4"/>
  <c r="BP87" i="4"/>
  <c r="L88" i="4"/>
  <c r="T88" i="4"/>
  <c r="AB88" i="4"/>
  <c r="AJ88" i="4"/>
  <c r="AR88" i="4"/>
  <c r="AZ88" i="4"/>
  <c r="BH88" i="4"/>
  <c r="BP88" i="4"/>
  <c r="L89" i="4"/>
  <c r="T89" i="4"/>
  <c r="AB89" i="4"/>
  <c r="AJ89" i="4"/>
  <c r="AR89" i="4"/>
  <c r="AZ89" i="4"/>
  <c r="BH89" i="4"/>
  <c r="BP89" i="4"/>
  <c r="L90" i="4"/>
  <c r="T90" i="4"/>
  <c r="AB90" i="4"/>
  <c r="AJ90" i="4"/>
  <c r="AR90" i="4"/>
  <c r="AZ90" i="4"/>
  <c r="BH90" i="4"/>
  <c r="BP90" i="4"/>
  <c r="L91" i="4"/>
  <c r="T91" i="4"/>
  <c r="AB91" i="4"/>
  <c r="AJ91" i="4"/>
  <c r="AR91" i="4"/>
  <c r="AZ91" i="4"/>
  <c r="BH91" i="4"/>
  <c r="BP91" i="4"/>
  <c r="L92" i="4"/>
  <c r="T92" i="4"/>
  <c r="AB92" i="4"/>
  <c r="AJ92" i="4"/>
  <c r="AR92" i="4"/>
  <c r="AZ92" i="4"/>
  <c r="BH92" i="4"/>
  <c r="BP92" i="4"/>
  <c r="L93" i="4"/>
  <c r="T93" i="4"/>
  <c r="AB93" i="4"/>
  <c r="BQ80" i="4"/>
  <c r="BQ81" i="4"/>
  <c r="BQ82" i="4"/>
  <c r="BQ83" i="4"/>
  <c r="U84" i="4"/>
  <c r="AC84" i="4"/>
  <c r="AK84" i="4"/>
  <c r="AS84" i="4"/>
  <c r="BA84" i="4"/>
  <c r="BI84" i="4"/>
  <c r="BQ84" i="4"/>
  <c r="M85" i="4"/>
  <c r="U85" i="4"/>
  <c r="AC85" i="4"/>
  <c r="AK85" i="4"/>
  <c r="AS85" i="4"/>
  <c r="BA85" i="4"/>
  <c r="BI85" i="4"/>
  <c r="BQ85" i="4"/>
  <c r="M86" i="4"/>
  <c r="U86" i="4"/>
  <c r="AC86" i="4"/>
  <c r="AK86" i="4"/>
  <c r="AS86" i="4"/>
  <c r="BA86" i="4"/>
  <c r="BI86" i="4"/>
  <c r="BQ86" i="4"/>
  <c r="M87" i="4"/>
  <c r="U87" i="4"/>
  <c r="AC87" i="4"/>
  <c r="AK87" i="4"/>
  <c r="AS87" i="4"/>
  <c r="BA87" i="4"/>
  <c r="BI87" i="4"/>
  <c r="BQ87" i="4"/>
  <c r="M88" i="4"/>
  <c r="U88" i="4"/>
  <c r="AC88" i="4"/>
  <c r="AK88" i="4"/>
  <c r="AS88" i="4"/>
  <c r="BA88" i="4"/>
  <c r="BI88" i="4"/>
  <c r="BQ88" i="4"/>
  <c r="M89" i="4"/>
  <c r="U89" i="4"/>
  <c r="AC89" i="4"/>
  <c r="AK89" i="4"/>
  <c r="AS89" i="4"/>
  <c r="BA89" i="4"/>
  <c r="BI89" i="4"/>
  <c r="BQ89" i="4"/>
  <c r="M90" i="4"/>
  <c r="U90" i="4"/>
  <c r="AC90" i="4"/>
  <c r="AK90" i="4"/>
  <c r="AS90" i="4"/>
  <c r="BA90" i="4"/>
  <c r="BI90" i="4"/>
  <c r="BQ90" i="4"/>
  <c r="M91" i="4"/>
  <c r="U91" i="4"/>
  <c r="M80" i="4"/>
  <c r="M81" i="4"/>
  <c r="M82" i="4"/>
  <c r="M83" i="4"/>
  <c r="M84" i="4"/>
  <c r="V84" i="4"/>
  <c r="AD84" i="4"/>
  <c r="AL84" i="4"/>
  <c r="AT84" i="4"/>
  <c r="BB84" i="4"/>
  <c r="BJ84" i="4"/>
  <c r="BR84" i="4"/>
  <c r="N85" i="4"/>
  <c r="V85" i="4"/>
  <c r="AD85" i="4"/>
  <c r="AL85" i="4"/>
  <c r="AT85" i="4"/>
  <c r="BB85" i="4"/>
  <c r="BJ85" i="4"/>
  <c r="BR85" i="4"/>
  <c r="N86" i="4"/>
  <c r="V86" i="4"/>
  <c r="AD86" i="4"/>
  <c r="AL86" i="4"/>
  <c r="AT86" i="4"/>
  <c r="BB86" i="4"/>
  <c r="BJ86" i="4"/>
  <c r="BR86" i="4"/>
  <c r="N87" i="4"/>
  <c r="V87" i="4"/>
  <c r="AD87" i="4"/>
  <c r="AL87" i="4"/>
  <c r="AT87" i="4"/>
  <c r="BB87" i="4"/>
  <c r="BJ87" i="4"/>
  <c r="BR87" i="4"/>
  <c r="N88" i="4"/>
  <c r="V88" i="4"/>
  <c r="AD88" i="4"/>
  <c r="AL88" i="4"/>
  <c r="AT88" i="4"/>
  <c r="BB88" i="4"/>
  <c r="BJ88" i="4"/>
  <c r="BR88" i="4"/>
  <c r="N89" i="4"/>
  <c r="V89" i="4"/>
  <c r="AD89" i="4"/>
  <c r="AL89" i="4"/>
  <c r="AT89" i="4"/>
  <c r="BB89" i="4"/>
  <c r="BJ89" i="4"/>
  <c r="BR89" i="4"/>
  <c r="N90" i="4"/>
  <c r="V90" i="4"/>
  <c r="AD90" i="4"/>
  <c r="AL90" i="4"/>
  <c r="AT90" i="4"/>
  <c r="BB90" i="4"/>
  <c r="BJ90" i="4"/>
  <c r="BR90" i="4"/>
  <c r="N91" i="4"/>
  <c r="V91" i="4"/>
  <c r="AD91" i="4"/>
  <c r="U80" i="4"/>
  <c r="U81" i="4"/>
  <c r="U82" i="4"/>
  <c r="U83" i="4"/>
  <c r="O84" i="4"/>
  <c r="W84" i="4"/>
  <c r="AE84" i="4"/>
  <c r="AM84" i="4"/>
  <c r="AU84" i="4"/>
  <c r="BC84" i="4"/>
  <c r="BK84" i="4"/>
  <c r="G85" i="4"/>
  <c r="O85" i="4"/>
  <c r="W85" i="4"/>
  <c r="W114" i="4" s="1"/>
  <c r="AE85" i="4"/>
  <c r="AM85" i="4"/>
  <c r="AU85" i="4"/>
  <c r="BC85" i="4"/>
  <c r="BK85" i="4"/>
  <c r="G86" i="4"/>
  <c r="O86" i="4"/>
  <c r="W86" i="4"/>
  <c r="AE86" i="4"/>
  <c r="AM86" i="4"/>
  <c r="AU86" i="4"/>
  <c r="BC86" i="4"/>
  <c r="BK86" i="4"/>
  <c r="G87" i="4"/>
  <c r="O87" i="4"/>
  <c r="W87" i="4"/>
  <c r="AE87" i="4"/>
  <c r="AM87" i="4"/>
  <c r="AU87" i="4"/>
  <c r="BC87" i="4"/>
  <c r="BK87" i="4"/>
  <c r="G88" i="4"/>
  <c r="O88" i="4"/>
  <c r="W88" i="4"/>
  <c r="AE88" i="4"/>
  <c r="AM88" i="4"/>
  <c r="AU88" i="4"/>
  <c r="BC88" i="4"/>
  <c r="BK88" i="4"/>
  <c r="G89" i="4"/>
  <c r="O89" i="4"/>
  <c r="W89" i="4"/>
  <c r="AE89" i="4"/>
  <c r="AM89" i="4"/>
  <c r="AU89" i="4"/>
  <c r="BC89" i="4"/>
  <c r="BK89" i="4"/>
  <c r="G90" i="4"/>
  <c r="O90" i="4"/>
  <c r="W90" i="4"/>
  <c r="AE90" i="4"/>
  <c r="AM90" i="4"/>
  <c r="AU90" i="4"/>
  <c r="BC90" i="4"/>
  <c r="BK90" i="4"/>
  <c r="G91" i="4"/>
  <c r="O91" i="4"/>
  <c r="W91" i="4"/>
  <c r="AE91" i="4"/>
  <c r="AM91" i="4"/>
  <c r="AU91" i="4"/>
  <c r="BC91" i="4"/>
  <c r="BK91" i="4"/>
  <c r="G92" i="4"/>
  <c r="O92" i="4"/>
  <c r="W92" i="4"/>
  <c r="AE92" i="4"/>
  <c r="AM92" i="4"/>
  <c r="AU92" i="4"/>
  <c r="BC92" i="4"/>
  <c r="BK92" i="4"/>
  <c r="G93" i="4"/>
  <c r="O93" i="4"/>
  <c r="W93" i="4"/>
  <c r="AE93" i="4"/>
  <c r="AC80" i="4"/>
  <c r="AC81" i="4"/>
  <c r="AC82" i="4"/>
  <c r="AC83" i="4"/>
  <c r="P84" i="4"/>
  <c r="X84" i="4"/>
  <c r="AF84" i="4"/>
  <c r="AN84" i="4"/>
  <c r="AV84" i="4"/>
  <c r="BD84" i="4"/>
  <c r="BL84" i="4"/>
  <c r="H85" i="4"/>
  <c r="P85" i="4"/>
  <c r="X85" i="4"/>
  <c r="AF85" i="4"/>
  <c r="AN85" i="4"/>
  <c r="AV85" i="4"/>
  <c r="BD85" i="4"/>
  <c r="BL85" i="4"/>
  <c r="H86" i="4"/>
  <c r="P86" i="4"/>
  <c r="X86" i="4"/>
  <c r="AF86" i="4"/>
  <c r="AN86" i="4"/>
  <c r="AV86" i="4"/>
  <c r="BD86" i="4"/>
  <c r="BL86" i="4"/>
  <c r="H87" i="4"/>
  <c r="P87" i="4"/>
  <c r="X87" i="4"/>
  <c r="AF87" i="4"/>
  <c r="AN87" i="4"/>
  <c r="AV87" i="4"/>
  <c r="BD87" i="4"/>
  <c r="BL87" i="4"/>
  <c r="H88" i="4"/>
  <c r="P88" i="4"/>
  <c r="X88" i="4"/>
  <c r="AF88" i="4"/>
  <c r="AN88" i="4"/>
  <c r="AV88" i="4"/>
  <c r="BD88" i="4"/>
  <c r="BL88" i="4"/>
  <c r="H89" i="4"/>
  <c r="P89" i="4"/>
  <c r="X89" i="4"/>
  <c r="AF89" i="4"/>
  <c r="AN89" i="4"/>
  <c r="AV89" i="4"/>
  <c r="BD89" i="4"/>
  <c r="BL89" i="4"/>
  <c r="H90" i="4"/>
  <c r="P90" i="4"/>
  <c r="X90" i="4"/>
  <c r="AF90" i="4"/>
  <c r="AN90" i="4"/>
  <c r="AV90" i="4"/>
  <c r="BD90" i="4"/>
  <c r="BL90" i="4"/>
  <c r="H91" i="4"/>
  <c r="P91" i="4"/>
  <c r="X91" i="4"/>
  <c r="AS80" i="4"/>
  <c r="AS81" i="4"/>
  <c r="AS82" i="4"/>
  <c r="AS83" i="4"/>
  <c r="R84" i="4"/>
  <c r="Z84" i="4"/>
  <c r="AH84" i="4"/>
  <c r="AP84" i="4"/>
  <c r="AX84" i="4"/>
  <c r="BF84" i="4"/>
  <c r="BN84" i="4"/>
  <c r="J85" i="4"/>
  <c r="R85" i="4"/>
  <c r="Z85" i="4"/>
  <c r="AH85" i="4"/>
  <c r="AP85" i="4"/>
  <c r="AX85" i="4"/>
  <c r="BF85" i="4"/>
  <c r="BN85" i="4"/>
  <c r="J86" i="4"/>
  <c r="R86" i="4"/>
  <c r="Z86" i="4"/>
  <c r="AH86" i="4"/>
  <c r="AP86" i="4"/>
  <c r="AX86" i="4"/>
  <c r="BF86" i="4"/>
  <c r="BN86" i="4"/>
  <c r="J87" i="4"/>
  <c r="R87" i="4"/>
  <c r="Z87" i="4"/>
  <c r="AH87" i="4"/>
  <c r="AP87" i="4"/>
  <c r="AX87" i="4"/>
  <c r="BF87" i="4"/>
  <c r="BN87" i="4"/>
  <c r="J88" i="4"/>
  <c r="R88" i="4"/>
  <c r="Z88" i="4"/>
  <c r="AH88" i="4"/>
  <c r="AP88" i="4"/>
  <c r="AX88" i="4"/>
  <c r="BF88" i="4"/>
  <c r="BN88" i="4"/>
  <c r="J89" i="4"/>
  <c r="R89" i="4"/>
  <c r="Z89" i="4"/>
  <c r="AH89" i="4"/>
  <c r="AP89" i="4"/>
  <c r="AX89" i="4"/>
  <c r="BF89" i="4"/>
  <c r="BN89" i="4"/>
  <c r="J90" i="4"/>
  <c r="R90" i="4"/>
  <c r="Z90" i="4"/>
  <c r="AH90" i="4"/>
  <c r="AP90" i="4"/>
  <c r="AX90" i="4"/>
  <c r="BF90" i="4"/>
  <c r="BN90" i="4"/>
  <c r="J91" i="4"/>
  <c r="R91" i="4"/>
  <c r="Z91" i="4"/>
  <c r="BA80" i="4"/>
  <c r="BA81" i="4"/>
  <c r="BA82" i="4"/>
  <c r="BA83" i="4"/>
  <c r="S84" i="4"/>
  <c r="AA84" i="4"/>
  <c r="AI84" i="4"/>
  <c r="AQ84" i="4"/>
  <c r="AY84" i="4"/>
  <c r="BG84" i="4"/>
  <c r="BO84" i="4"/>
  <c r="K85" i="4"/>
  <c r="S85" i="4"/>
  <c r="AA85" i="4"/>
  <c r="AI85" i="4"/>
  <c r="AQ85" i="4"/>
  <c r="AY85" i="4"/>
  <c r="BG85" i="4"/>
  <c r="BO85" i="4"/>
  <c r="K86" i="4"/>
  <c r="S86" i="4"/>
  <c r="AA86" i="4"/>
  <c r="AI86" i="4"/>
  <c r="AQ86" i="4"/>
  <c r="AY86" i="4"/>
  <c r="BG86" i="4"/>
  <c r="BO86" i="4"/>
  <c r="K87" i="4"/>
  <c r="S87" i="4"/>
  <c r="AA87" i="4"/>
  <c r="AI87" i="4"/>
  <c r="AQ87" i="4"/>
  <c r="AY87" i="4"/>
  <c r="BG87" i="4"/>
  <c r="BO87" i="4"/>
  <c r="K88" i="4"/>
  <c r="S88" i="4"/>
  <c r="AA88" i="4"/>
  <c r="AI88" i="4"/>
  <c r="AQ88" i="4"/>
  <c r="AY88" i="4"/>
  <c r="BG88" i="4"/>
  <c r="BO88" i="4"/>
  <c r="K89" i="4"/>
  <c r="S89" i="4"/>
  <c r="AA89" i="4"/>
  <c r="AI89" i="4"/>
  <c r="Q84" i="4"/>
  <c r="Q85" i="4"/>
  <c r="Q86" i="4"/>
  <c r="Q87" i="4"/>
  <c r="Q88" i="4"/>
  <c r="Q89" i="4"/>
  <c r="BG89" i="4"/>
  <c r="AA90" i="4"/>
  <c r="BG90" i="4"/>
  <c r="AA91" i="4"/>
  <c r="AN91" i="4"/>
  <c r="AX91" i="4"/>
  <c r="BI91" i="4"/>
  <c r="H92" i="4"/>
  <c r="R92" i="4"/>
  <c r="AC92" i="4"/>
  <c r="AN92" i="4"/>
  <c r="AX92" i="4"/>
  <c r="BI92" i="4"/>
  <c r="H93" i="4"/>
  <c r="R93" i="4"/>
  <c r="AC93" i="4"/>
  <c r="AL93" i="4"/>
  <c r="AT93" i="4"/>
  <c r="BB93" i="4"/>
  <c r="BJ93" i="4"/>
  <c r="BR93" i="4"/>
  <c r="N94" i="4"/>
  <c r="V94" i="4"/>
  <c r="AD94" i="4"/>
  <c r="AL94" i="4"/>
  <c r="AT94" i="4"/>
  <c r="BB94" i="4"/>
  <c r="BJ94" i="4"/>
  <c r="BR94" i="4"/>
  <c r="N95" i="4"/>
  <c r="V95" i="4"/>
  <c r="AD95" i="4"/>
  <c r="AL95" i="4"/>
  <c r="AT95" i="4"/>
  <c r="BB95" i="4"/>
  <c r="BJ95" i="4"/>
  <c r="BR95" i="4"/>
  <c r="N96" i="4"/>
  <c r="V96" i="4"/>
  <c r="AD96" i="4"/>
  <c r="AL96" i="4"/>
  <c r="AT96" i="4"/>
  <c r="BB96" i="4"/>
  <c r="BJ96" i="4"/>
  <c r="BR96" i="4"/>
  <c r="N97" i="4"/>
  <c r="V97" i="4"/>
  <c r="AD97" i="4"/>
  <c r="AL97" i="4"/>
  <c r="AT97" i="4"/>
  <c r="BB97" i="4"/>
  <c r="BJ97" i="4"/>
  <c r="BR97" i="4"/>
  <c r="N98" i="4"/>
  <c r="V98" i="4"/>
  <c r="AD98" i="4"/>
  <c r="AL98" i="4"/>
  <c r="AT98" i="4"/>
  <c r="BB98" i="4"/>
  <c r="BJ98" i="4"/>
  <c r="BR98" i="4"/>
  <c r="N99" i="4"/>
  <c r="V99" i="4"/>
  <c r="AD99" i="4"/>
  <c r="AL99" i="4"/>
  <c r="AT99" i="4"/>
  <c r="BB99" i="4"/>
  <c r="BJ99" i="4"/>
  <c r="BR99" i="4"/>
  <c r="N100" i="4"/>
  <c r="V100" i="4"/>
  <c r="AD100" i="4"/>
  <c r="AL100" i="4"/>
  <c r="AT100" i="4"/>
  <c r="BB100" i="4"/>
  <c r="BJ100" i="4"/>
  <c r="BR100" i="4"/>
  <c r="N101" i="4"/>
  <c r="V101" i="4"/>
  <c r="Y84" i="4"/>
  <c r="Y85" i="4"/>
  <c r="Y86" i="4"/>
  <c r="Y87" i="4"/>
  <c r="Y88" i="4"/>
  <c r="Y89" i="4"/>
  <c r="BM89" i="4"/>
  <c r="AG90" i="4"/>
  <c r="BM90" i="4"/>
  <c r="AC91" i="4"/>
  <c r="AO91" i="4"/>
  <c r="AY91" i="4"/>
  <c r="BJ91" i="4"/>
  <c r="I92" i="4"/>
  <c r="S92" i="4"/>
  <c r="AD92" i="4"/>
  <c r="AO92" i="4"/>
  <c r="AY92" i="4"/>
  <c r="BJ92" i="4"/>
  <c r="I93" i="4"/>
  <c r="S93" i="4"/>
  <c r="AD93" i="4"/>
  <c r="AM93" i="4"/>
  <c r="AU93" i="4"/>
  <c r="BC93" i="4"/>
  <c r="BK93" i="4"/>
  <c r="G94" i="4"/>
  <c r="O94" i="4"/>
  <c r="W94" i="4"/>
  <c r="AE94" i="4"/>
  <c r="AM94" i="4"/>
  <c r="AU94" i="4"/>
  <c r="BC94" i="4"/>
  <c r="BK94" i="4"/>
  <c r="G95" i="4"/>
  <c r="O95" i="4"/>
  <c r="W95" i="4"/>
  <c r="AE95" i="4"/>
  <c r="AM95" i="4"/>
  <c r="AU95" i="4"/>
  <c r="BC95" i="4"/>
  <c r="BK95" i="4"/>
  <c r="G96" i="4"/>
  <c r="O96" i="4"/>
  <c r="W96" i="4"/>
  <c r="AE96" i="4"/>
  <c r="AM96" i="4"/>
  <c r="AU96" i="4"/>
  <c r="BC96" i="4"/>
  <c r="BK96" i="4"/>
  <c r="G97" i="4"/>
  <c r="O97" i="4"/>
  <c r="W97" i="4"/>
  <c r="AE97" i="4"/>
  <c r="AM97" i="4"/>
  <c r="AU97" i="4"/>
  <c r="BC97" i="4"/>
  <c r="BK97" i="4"/>
  <c r="G98" i="4"/>
  <c r="O98" i="4"/>
  <c r="W98" i="4"/>
  <c r="AE98" i="4"/>
  <c r="AM98" i="4"/>
  <c r="AU98" i="4"/>
  <c r="BC98" i="4"/>
  <c r="BK98" i="4"/>
  <c r="G99" i="4"/>
  <c r="O99" i="4"/>
  <c r="W99" i="4"/>
  <c r="AE99" i="4"/>
  <c r="AM99" i="4"/>
  <c r="AU99" i="4"/>
  <c r="BC99" i="4"/>
  <c r="BK99" i="4"/>
  <c r="G100" i="4"/>
  <c r="O100" i="4"/>
  <c r="W100" i="4"/>
  <c r="AE100" i="4"/>
  <c r="AM100" i="4"/>
  <c r="AM115" i="4" s="1"/>
  <c r="AU100" i="4"/>
  <c r="AG84" i="4"/>
  <c r="AG85" i="4"/>
  <c r="AG86" i="4"/>
  <c r="AG87" i="4"/>
  <c r="AG88" i="4"/>
  <c r="AG89" i="4"/>
  <c r="BO89" i="4"/>
  <c r="AI90" i="4"/>
  <c r="BO90" i="4"/>
  <c r="AF91" i="4"/>
  <c r="AP91" i="4"/>
  <c r="BA91" i="4"/>
  <c r="BL91" i="4"/>
  <c r="J92" i="4"/>
  <c r="U92" i="4"/>
  <c r="AF92" i="4"/>
  <c r="AP92" i="4"/>
  <c r="BA92" i="4"/>
  <c r="BL92" i="4"/>
  <c r="J93" i="4"/>
  <c r="U93" i="4"/>
  <c r="AF93" i="4"/>
  <c r="AN93" i="4"/>
  <c r="AV93" i="4"/>
  <c r="BD93" i="4"/>
  <c r="BL93" i="4"/>
  <c r="H94" i="4"/>
  <c r="P94" i="4"/>
  <c r="X94" i="4"/>
  <c r="AF94" i="4"/>
  <c r="AN94" i="4"/>
  <c r="AV94" i="4"/>
  <c r="BD94" i="4"/>
  <c r="BL94" i="4"/>
  <c r="H95" i="4"/>
  <c r="P95" i="4"/>
  <c r="X95" i="4"/>
  <c r="AF95" i="4"/>
  <c r="AN95" i="4"/>
  <c r="AV95" i="4"/>
  <c r="BD95" i="4"/>
  <c r="BL95" i="4"/>
  <c r="H96" i="4"/>
  <c r="P96" i="4"/>
  <c r="X96" i="4"/>
  <c r="AF96" i="4"/>
  <c r="AN96" i="4"/>
  <c r="AV96" i="4"/>
  <c r="BD96" i="4"/>
  <c r="BL96" i="4"/>
  <c r="H97" i="4"/>
  <c r="P97" i="4"/>
  <c r="X97" i="4"/>
  <c r="AF97" i="4"/>
  <c r="AN97" i="4"/>
  <c r="AV97" i="4"/>
  <c r="BD97" i="4"/>
  <c r="BL97" i="4"/>
  <c r="H98" i="4"/>
  <c r="P98" i="4"/>
  <c r="X98" i="4"/>
  <c r="AF98" i="4"/>
  <c r="AN98" i="4"/>
  <c r="AV98" i="4"/>
  <c r="BD98" i="4"/>
  <c r="BL98" i="4"/>
  <c r="H99" i="4"/>
  <c r="P99" i="4"/>
  <c r="X99" i="4"/>
  <c r="AF99" i="4"/>
  <c r="AN99" i="4"/>
  <c r="AV99" i="4"/>
  <c r="BD99" i="4"/>
  <c r="BL99" i="4"/>
  <c r="H100" i="4"/>
  <c r="P100" i="4"/>
  <c r="X100" i="4"/>
  <c r="AF100" i="4"/>
  <c r="AN100" i="4"/>
  <c r="AV100" i="4"/>
  <c r="BD100" i="4"/>
  <c r="BL100" i="4"/>
  <c r="H101" i="4"/>
  <c r="P101" i="4"/>
  <c r="AO84" i="4"/>
  <c r="AO85" i="4"/>
  <c r="AO86" i="4"/>
  <c r="AO87" i="4"/>
  <c r="AO88" i="4"/>
  <c r="AO89" i="4"/>
  <c r="I90" i="4"/>
  <c r="AO90" i="4"/>
  <c r="I91" i="4"/>
  <c r="AG91" i="4"/>
  <c r="AQ91" i="4"/>
  <c r="BB91" i="4"/>
  <c r="BB114" i="4" s="1"/>
  <c r="BM91" i="4"/>
  <c r="K92" i="4"/>
  <c r="V92" i="4"/>
  <c r="AG92" i="4"/>
  <c r="AQ92" i="4"/>
  <c r="BB92" i="4"/>
  <c r="BM92" i="4"/>
  <c r="K93" i="4"/>
  <c r="V93" i="4"/>
  <c r="AG93" i="4"/>
  <c r="AO93" i="4"/>
  <c r="AW93" i="4"/>
  <c r="BE93" i="4"/>
  <c r="BM93" i="4"/>
  <c r="I94" i="4"/>
  <c r="Q94" i="4"/>
  <c r="Y94" i="4"/>
  <c r="AG94" i="4"/>
  <c r="AO94" i="4"/>
  <c r="AW94" i="4"/>
  <c r="BE94" i="4"/>
  <c r="BM94" i="4"/>
  <c r="I95" i="4"/>
  <c r="Q95" i="4"/>
  <c r="Y95" i="4"/>
  <c r="AG95" i="4"/>
  <c r="AO95" i="4"/>
  <c r="AW95" i="4"/>
  <c r="BE95" i="4"/>
  <c r="BM95" i="4"/>
  <c r="I96" i="4"/>
  <c r="Q96" i="4"/>
  <c r="Y96" i="4"/>
  <c r="AG96" i="4"/>
  <c r="AO96" i="4"/>
  <c r="AW96" i="4"/>
  <c r="BE96" i="4"/>
  <c r="BM96" i="4"/>
  <c r="I97" i="4"/>
  <c r="Q97" i="4"/>
  <c r="Y97" i="4"/>
  <c r="AG97" i="4"/>
  <c r="AO97" i="4"/>
  <c r="AW97" i="4"/>
  <c r="BE97" i="4"/>
  <c r="BM97" i="4"/>
  <c r="I98" i="4"/>
  <c r="Q98" i="4"/>
  <c r="Y98" i="4"/>
  <c r="AG98" i="4"/>
  <c r="AO98" i="4"/>
  <c r="AW98" i="4"/>
  <c r="BE98" i="4"/>
  <c r="BM98" i="4"/>
  <c r="I99" i="4"/>
  <c r="Q99" i="4"/>
  <c r="Y99" i="4"/>
  <c r="AG99" i="4"/>
  <c r="AO99" i="4"/>
  <c r="AW99" i="4"/>
  <c r="BE99" i="4"/>
  <c r="BM99" i="4"/>
  <c r="I100" i="4"/>
  <c r="I115" i="4" s="1"/>
  <c r="Q100" i="4"/>
  <c r="Y100" i="4"/>
  <c r="AG100" i="4"/>
  <c r="AO100" i="4"/>
  <c r="AW100" i="4"/>
  <c r="BE100" i="4"/>
  <c r="BM100" i="4"/>
  <c r="I101" i="4"/>
  <c r="Q101" i="4"/>
  <c r="Y101" i="4"/>
  <c r="AK80" i="4"/>
  <c r="AW84" i="4"/>
  <c r="AW85" i="4"/>
  <c r="AW86" i="4"/>
  <c r="AW87" i="4"/>
  <c r="AW88" i="4"/>
  <c r="AQ89" i="4"/>
  <c r="K90" i="4"/>
  <c r="AQ90" i="4"/>
  <c r="K91" i="4"/>
  <c r="AH91" i="4"/>
  <c r="AS91" i="4"/>
  <c r="BD91" i="4"/>
  <c r="BN91" i="4"/>
  <c r="M92" i="4"/>
  <c r="X92" i="4"/>
  <c r="AH92" i="4"/>
  <c r="AS92" i="4"/>
  <c r="BD92" i="4"/>
  <c r="BN92" i="4"/>
  <c r="M93" i="4"/>
  <c r="X93" i="4"/>
  <c r="AH93" i="4"/>
  <c r="AP93" i="4"/>
  <c r="AX93" i="4"/>
  <c r="BF93" i="4"/>
  <c r="BN93" i="4"/>
  <c r="J94" i="4"/>
  <c r="R94" i="4"/>
  <c r="Z94" i="4"/>
  <c r="AH94" i="4"/>
  <c r="AP94" i="4"/>
  <c r="AX94" i="4"/>
  <c r="BF94" i="4"/>
  <c r="BN94" i="4"/>
  <c r="J95" i="4"/>
  <c r="R95" i="4"/>
  <c r="Z95" i="4"/>
  <c r="AH95" i="4"/>
  <c r="AP95" i="4"/>
  <c r="AX95" i="4"/>
  <c r="BF95" i="4"/>
  <c r="BN95" i="4"/>
  <c r="J96" i="4"/>
  <c r="R96" i="4"/>
  <c r="Z96" i="4"/>
  <c r="AH96" i="4"/>
  <c r="AP96" i="4"/>
  <c r="AX96" i="4"/>
  <c r="BF96" i="4"/>
  <c r="BN96" i="4"/>
  <c r="J97" i="4"/>
  <c r="R97" i="4"/>
  <c r="Z97" i="4"/>
  <c r="AH97" i="4"/>
  <c r="AP97" i="4"/>
  <c r="AX97" i="4"/>
  <c r="BF97" i="4"/>
  <c r="BN97" i="4"/>
  <c r="J98" i="4"/>
  <c r="R98" i="4"/>
  <c r="Z98" i="4"/>
  <c r="AH98" i="4"/>
  <c r="AP98" i="4"/>
  <c r="AX98" i="4"/>
  <c r="BF98" i="4"/>
  <c r="BN98" i="4"/>
  <c r="J99" i="4"/>
  <c r="R99" i="4"/>
  <c r="Z99" i="4"/>
  <c r="AH99" i="4"/>
  <c r="AP99" i="4"/>
  <c r="AX99" i="4"/>
  <c r="BF99" i="4"/>
  <c r="BN99" i="4"/>
  <c r="J100" i="4"/>
  <c r="R100" i="4"/>
  <c r="Z100" i="4"/>
  <c r="Z115" i="4" s="1"/>
  <c r="AH100" i="4"/>
  <c r="AP100" i="4"/>
  <c r="AX100" i="4"/>
  <c r="BF100" i="4"/>
  <c r="BN100" i="4"/>
  <c r="J101" i="4"/>
  <c r="R101" i="4"/>
  <c r="Z101" i="4"/>
  <c r="AK82" i="4"/>
  <c r="AK116" i="4" s="1"/>
  <c r="BM84" i="4"/>
  <c r="BM85" i="4"/>
  <c r="BM86" i="4"/>
  <c r="BM87" i="4"/>
  <c r="BM88" i="4"/>
  <c r="AY89" i="4"/>
  <c r="S90" i="4"/>
  <c r="AY90" i="4"/>
  <c r="S91" i="4"/>
  <c r="AK91" i="4"/>
  <c r="AV91" i="4"/>
  <c r="BF91" i="4"/>
  <c r="BQ91" i="4"/>
  <c r="P92" i="4"/>
  <c r="P114" i="4" s="1"/>
  <c r="Z92" i="4"/>
  <c r="AK92" i="4"/>
  <c r="AK114" i="4" s="1"/>
  <c r="AV92" i="4"/>
  <c r="BF92" i="4"/>
  <c r="BQ92" i="4"/>
  <c r="P93" i="4"/>
  <c r="Z93" i="4"/>
  <c r="AJ93" i="4"/>
  <c r="AR93" i="4"/>
  <c r="AZ93" i="4"/>
  <c r="BH93" i="4"/>
  <c r="BP93" i="4"/>
  <c r="L94" i="4"/>
  <c r="T94" i="4"/>
  <c r="AB94" i="4"/>
  <c r="AJ94" i="4"/>
  <c r="AR94" i="4"/>
  <c r="AZ94" i="4"/>
  <c r="BH94" i="4"/>
  <c r="BP94" i="4"/>
  <c r="L95" i="4"/>
  <c r="T95" i="4"/>
  <c r="AB95" i="4"/>
  <c r="AJ95" i="4"/>
  <c r="AR95" i="4"/>
  <c r="AZ95" i="4"/>
  <c r="BH95" i="4"/>
  <c r="BP95" i="4"/>
  <c r="L96" i="4"/>
  <c r="T96" i="4"/>
  <c r="AB96" i="4"/>
  <c r="AJ96" i="4"/>
  <c r="AR96" i="4"/>
  <c r="AZ96" i="4"/>
  <c r="BH96" i="4"/>
  <c r="BP96" i="4"/>
  <c r="L97" i="4"/>
  <c r="T97" i="4"/>
  <c r="AB97" i="4"/>
  <c r="AJ97" i="4"/>
  <c r="AR97" i="4"/>
  <c r="AZ97" i="4"/>
  <c r="BH97" i="4"/>
  <c r="BP97" i="4"/>
  <c r="L98" i="4"/>
  <c r="T98" i="4"/>
  <c r="AK83" i="4"/>
  <c r="I85" i="4"/>
  <c r="I86" i="4"/>
  <c r="I87" i="4"/>
  <c r="I88" i="4"/>
  <c r="I89" i="4"/>
  <c r="BE89" i="4"/>
  <c r="Y90" i="4"/>
  <c r="BE90" i="4"/>
  <c r="Y91" i="4"/>
  <c r="AL91" i="4"/>
  <c r="AW91" i="4"/>
  <c r="BG91" i="4"/>
  <c r="BR91" i="4"/>
  <c r="Q92" i="4"/>
  <c r="AA92" i="4"/>
  <c r="AL92" i="4"/>
  <c r="AW92" i="4"/>
  <c r="BG92" i="4"/>
  <c r="BR92" i="4"/>
  <c r="Q93" i="4"/>
  <c r="AA93" i="4"/>
  <c r="AK93" i="4"/>
  <c r="AS93" i="4"/>
  <c r="BA93" i="4"/>
  <c r="BI93" i="4"/>
  <c r="BQ93" i="4"/>
  <c r="M94" i="4"/>
  <c r="U94" i="4"/>
  <c r="AC94" i="4"/>
  <c r="AK94" i="4"/>
  <c r="AS94" i="4"/>
  <c r="BA94" i="4"/>
  <c r="BI94" i="4"/>
  <c r="BQ94" i="4"/>
  <c r="M95" i="4"/>
  <c r="U95" i="4"/>
  <c r="AC95" i="4"/>
  <c r="AK95" i="4"/>
  <c r="AS95" i="4"/>
  <c r="BA95" i="4"/>
  <c r="BI95" i="4"/>
  <c r="BQ95" i="4"/>
  <c r="M96" i="4"/>
  <c r="U96" i="4"/>
  <c r="AC96" i="4"/>
  <c r="AK96" i="4"/>
  <c r="AS96" i="4"/>
  <c r="BA96" i="4"/>
  <c r="BI96" i="4"/>
  <c r="BQ96" i="4"/>
  <c r="M97" i="4"/>
  <c r="U97" i="4"/>
  <c r="AC97" i="4"/>
  <c r="AK97" i="4"/>
  <c r="AS97" i="4"/>
  <c r="BA97" i="4"/>
  <c r="BI97" i="4"/>
  <c r="BQ97" i="4"/>
  <c r="M98" i="4"/>
  <c r="U98" i="4"/>
  <c r="BE85" i="4"/>
  <c r="AI91" i="4"/>
  <c r="BE92" i="4"/>
  <c r="BO93" i="4"/>
  <c r="BO94" i="4"/>
  <c r="BO95" i="4"/>
  <c r="BO96" i="4"/>
  <c r="BO97" i="4"/>
  <c r="AK98" i="4"/>
  <c r="BH98" i="4"/>
  <c r="S99" i="4"/>
  <c r="AK99" i="4"/>
  <c r="BH99" i="4"/>
  <c r="S100" i="4"/>
  <c r="AK100" i="4"/>
  <c r="AK115" i="4" s="1"/>
  <c r="BG100" i="4"/>
  <c r="K101" i="4"/>
  <c r="X101" i="4"/>
  <c r="AH101" i="4"/>
  <c r="AP101" i="4"/>
  <c r="AX101" i="4"/>
  <c r="AX115" i="4" s="1"/>
  <c r="BF101" i="4"/>
  <c r="BN101" i="4"/>
  <c r="BN115" i="4" s="1"/>
  <c r="J102" i="4"/>
  <c r="R102" i="4"/>
  <c r="Z102" i="4"/>
  <c r="AH102" i="4"/>
  <c r="AP102" i="4"/>
  <c r="AX102" i="4"/>
  <c r="BF102" i="4"/>
  <c r="BN102" i="4"/>
  <c r="J103" i="4"/>
  <c r="R103" i="4"/>
  <c r="Z103" i="4"/>
  <c r="AH103" i="4"/>
  <c r="AP103" i="4"/>
  <c r="AX103" i="4"/>
  <c r="BF103" i="4"/>
  <c r="BN103" i="4"/>
  <c r="J104" i="4"/>
  <c r="R104" i="4"/>
  <c r="Z104" i="4"/>
  <c r="AH104" i="4"/>
  <c r="AP104" i="4"/>
  <c r="AX104" i="4"/>
  <c r="BF104" i="4"/>
  <c r="BN104" i="4"/>
  <c r="J105" i="4"/>
  <c r="R105" i="4"/>
  <c r="Z105" i="4"/>
  <c r="AH105" i="4"/>
  <c r="AP105" i="4"/>
  <c r="AX105" i="4"/>
  <c r="BF105" i="4"/>
  <c r="BN105" i="4"/>
  <c r="J106" i="4"/>
  <c r="R106" i="4"/>
  <c r="Z106" i="4"/>
  <c r="AH106" i="4"/>
  <c r="AP106" i="4"/>
  <c r="AX106" i="4"/>
  <c r="BF106" i="4"/>
  <c r="BN106" i="4"/>
  <c r="J107" i="4"/>
  <c r="R107" i="4"/>
  <c r="Z107" i="4"/>
  <c r="AH107" i="4"/>
  <c r="AP107" i="4"/>
  <c r="AX107" i="4"/>
  <c r="BF107" i="4"/>
  <c r="BN107" i="4"/>
  <c r="J108" i="4"/>
  <c r="R108" i="4"/>
  <c r="Z108" i="4"/>
  <c r="AH108" i="4"/>
  <c r="AP108" i="4"/>
  <c r="AX108" i="4"/>
  <c r="BF108" i="4"/>
  <c r="BN108" i="4"/>
  <c r="BE86" i="4"/>
  <c r="AT91" i="4"/>
  <c r="BO92" i="4"/>
  <c r="K94" i="4"/>
  <c r="K95" i="4"/>
  <c r="K96" i="4"/>
  <c r="K97" i="4"/>
  <c r="K98" i="4"/>
  <c r="AQ98" i="4"/>
  <c r="BI98" i="4"/>
  <c r="T99" i="4"/>
  <c r="AQ99" i="4"/>
  <c r="BI99" i="4"/>
  <c r="T100" i="4"/>
  <c r="AQ100" i="4"/>
  <c r="AQ115" i="4" s="1"/>
  <c r="BH100" i="4"/>
  <c r="BH115" i="4" s="1"/>
  <c r="L101" i="4"/>
  <c r="AA101" i="4"/>
  <c r="AI101" i="4"/>
  <c r="AQ101" i="4"/>
  <c r="AY101" i="4"/>
  <c r="BG101" i="4"/>
  <c r="BG115" i="4" s="1"/>
  <c r="BO101" i="4"/>
  <c r="K102" i="4"/>
  <c r="S102" i="4"/>
  <c r="AA102" i="4"/>
  <c r="AI102" i="4"/>
  <c r="AQ102" i="4"/>
  <c r="AY102" i="4"/>
  <c r="BG102" i="4"/>
  <c r="BO102" i="4"/>
  <c r="K103" i="4"/>
  <c r="S103" i="4"/>
  <c r="AA103" i="4"/>
  <c r="AI103" i="4"/>
  <c r="AQ103" i="4"/>
  <c r="AY103" i="4"/>
  <c r="BG103" i="4"/>
  <c r="BO103" i="4"/>
  <c r="K104" i="4"/>
  <c r="S104" i="4"/>
  <c r="AA104" i="4"/>
  <c r="AI104" i="4"/>
  <c r="AQ104" i="4"/>
  <c r="AY104" i="4"/>
  <c r="BG104" i="4"/>
  <c r="BO104" i="4"/>
  <c r="K105" i="4"/>
  <c r="S105" i="4"/>
  <c r="AA105" i="4"/>
  <c r="AI105" i="4"/>
  <c r="AQ105" i="4"/>
  <c r="AY105" i="4"/>
  <c r="BG105" i="4"/>
  <c r="BO105" i="4"/>
  <c r="K106" i="4"/>
  <c r="S106" i="4"/>
  <c r="AA106" i="4"/>
  <c r="AI106" i="4"/>
  <c r="AQ106" i="4"/>
  <c r="AY106" i="4"/>
  <c r="BG106" i="4"/>
  <c r="BO106" i="4"/>
  <c r="K107" i="4"/>
  <c r="S107" i="4"/>
  <c r="AA107" i="4"/>
  <c r="AI107" i="4"/>
  <c r="AQ107" i="4"/>
  <c r="AY107" i="4"/>
  <c r="BG107" i="4"/>
  <c r="BO107" i="4"/>
  <c r="K108" i="4"/>
  <c r="S108" i="4"/>
  <c r="AA108" i="4"/>
  <c r="AI108" i="4"/>
  <c r="AQ108" i="4"/>
  <c r="AY108" i="4"/>
  <c r="BG108" i="4"/>
  <c r="BO108" i="4"/>
  <c r="BE87" i="4"/>
  <c r="BE114" i="4" s="1"/>
  <c r="BE91" i="4"/>
  <c r="N93" i="4"/>
  <c r="S94" i="4"/>
  <c r="S95" i="4"/>
  <c r="S96" i="4"/>
  <c r="S97" i="4"/>
  <c r="S98" i="4"/>
  <c r="AR98" i="4"/>
  <c r="BO98" i="4"/>
  <c r="U99" i="4"/>
  <c r="AR99" i="4"/>
  <c r="BO99" i="4"/>
  <c r="U100" i="4"/>
  <c r="AR100" i="4"/>
  <c r="AR115" i="4" s="1"/>
  <c r="BI100" i="4"/>
  <c r="BI115" i="4" s="1"/>
  <c r="M101" i="4"/>
  <c r="AB101" i="4"/>
  <c r="AJ101" i="4"/>
  <c r="AR101" i="4"/>
  <c r="AZ101" i="4"/>
  <c r="BH101" i="4"/>
  <c r="BP101" i="4"/>
  <c r="L102" i="4"/>
  <c r="T102" i="4"/>
  <c r="AB102" i="4"/>
  <c r="AJ102" i="4"/>
  <c r="AR102" i="4"/>
  <c r="AZ102" i="4"/>
  <c r="BH102" i="4"/>
  <c r="BP102" i="4"/>
  <c r="L103" i="4"/>
  <c r="T103" i="4"/>
  <c r="AB103" i="4"/>
  <c r="AJ103" i="4"/>
  <c r="AR103" i="4"/>
  <c r="AZ103" i="4"/>
  <c r="BH103" i="4"/>
  <c r="BP103" i="4"/>
  <c r="L104" i="4"/>
  <c r="T104" i="4"/>
  <c r="AB104" i="4"/>
  <c r="AJ104" i="4"/>
  <c r="AR104" i="4"/>
  <c r="AZ104" i="4"/>
  <c r="BH104" i="4"/>
  <c r="BP104" i="4"/>
  <c r="L105" i="4"/>
  <c r="T105" i="4"/>
  <c r="AB105" i="4"/>
  <c r="AJ105" i="4"/>
  <c r="AR105" i="4"/>
  <c r="AZ105" i="4"/>
  <c r="BH105" i="4"/>
  <c r="BP105" i="4"/>
  <c r="L106" i="4"/>
  <c r="T106" i="4"/>
  <c r="AB106" i="4"/>
  <c r="AJ106" i="4"/>
  <c r="AR106" i="4"/>
  <c r="AZ106" i="4"/>
  <c r="BH106" i="4"/>
  <c r="BP106" i="4"/>
  <c r="L107" i="4"/>
  <c r="T107" i="4"/>
  <c r="AB107" i="4"/>
  <c r="AJ107" i="4"/>
  <c r="AR107" i="4"/>
  <c r="AZ107" i="4"/>
  <c r="BH107" i="4"/>
  <c r="BP107" i="4"/>
  <c r="L108" i="4"/>
  <c r="T108" i="4"/>
  <c r="AB108" i="4"/>
  <c r="AJ108" i="4"/>
  <c r="AR108" i="4"/>
  <c r="AZ108" i="4"/>
  <c r="BH108" i="4"/>
  <c r="BP108" i="4"/>
  <c r="BE88" i="4"/>
  <c r="BO91" i="4"/>
  <c r="Y93" i="4"/>
  <c r="AA94" i="4"/>
  <c r="AA95" i="4"/>
  <c r="AA96" i="4"/>
  <c r="AA97" i="4"/>
  <c r="AA98" i="4"/>
  <c r="AS98" i="4"/>
  <c r="BP98" i="4"/>
  <c r="AA99" i="4"/>
  <c r="AS99" i="4"/>
  <c r="BP99" i="4"/>
  <c r="AA100" i="4"/>
  <c r="AS100" i="4"/>
  <c r="BK100" i="4"/>
  <c r="BK115" i="4" s="1"/>
  <c r="O101" i="4"/>
  <c r="AC101" i="4"/>
  <c r="AC115" i="4" s="1"/>
  <c r="AK101" i="4"/>
  <c r="AS101" i="4"/>
  <c r="BA101" i="4"/>
  <c r="BI101" i="4"/>
  <c r="BQ101" i="4"/>
  <c r="M102" i="4"/>
  <c r="U102" i="4"/>
  <c r="AC102" i="4"/>
  <c r="AK102" i="4"/>
  <c r="AS102" i="4"/>
  <c r="BA102" i="4"/>
  <c r="BI102" i="4"/>
  <c r="BQ102" i="4"/>
  <c r="M103" i="4"/>
  <c r="U103" i="4"/>
  <c r="AC103" i="4"/>
  <c r="AK103" i="4"/>
  <c r="AS103" i="4"/>
  <c r="BA103" i="4"/>
  <c r="BI103" i="4"/>
  <c r="BQ103" i="4"/>
  <c r="M104" i="4"/>
  <c r="U104" i="4"/>
  <c r="AC104" i="4"/>
  <c r="AK104" i="4"/>
  <c r="AS104" i="4"/>
  <c r="BA104" i="4"/>
  <c r="BI104" i="4"/>
  <c r="BQ104" i="4"/>
  <c r="M105" i="4"/>
  <c r="U105" i="4"/>
  <c r="AC105" i="4"/>
  <c r="AK105" i="4"/>
  <c r="AS105" i="4"/>
  <c r="BA105" i="4"/>
  <c r="BI105" i="4"/>
  <c r="BQ105" i="4"/>
  <c r="M106" i="4"/>
  <c r="U106" i="4"/>
  <c r="AC106" i="4"/>
  <c r="AK106" i="4"/>
  <c r="AS106" i="4"/>
  <c r="BA106" i="4"/>
  <c r="BI106" i="4"/>
  <c r="BQ106" i="4"/>
  <c r="M107" i="4"/>
  <c r="U107" i="4"/>
  <c r="AC107" i="4"/>
  <c r="AK107" i="4"/>
  <c r="AS107" i="4"/>
  <c r="BA107" i="4"/>
  <c r="BI107" i="4"/>
  <c r="BQ107" i="4"/>
  <c r="M108" i="4"/>
  <c r="U108" i="4"/>
  <c r="AC108" i="4"/>
  <c r="AK108" i="4"/>
  <c r="AS108" i="4"/>
  <c r="BA108" i="4"/>
  <c r="BI108" i="4"/>
  <c r="BQ108" i="4"/>
  <c r="AW89" i="4"/>
  <c r="N92" i="4"/>
  <c r="AI93" i="4"/>
  <c r="AI94" i="4"/>
  <c r="AI95" i="4"/>
  <c r="AI96" i="4"/>
  <c r="AI97" i="4"/>
  <c r="AB98" i="4"/>
  <c r="AY98" i="4"/>
  <c r="BQ98" i="4"/>
  <c r="AB99" i="4"/>
  <c r="AY99" i="4"/>
  <c r="BQ99" i="4"/>
  <c r="AB100" i="4"/>
  <c r="AY100" i="4"/>
  <c r="BO100" i="4"/>
  <c r="S101" i="4"/>
  <c r="AD101" i="4"/>
  <c r="AL101" i="4"/>
  <c r="AL115" i="4" s="1"/>
  <c r="AT101" i="4"/>
  <c r="BB101" i="4"/>
  <c r="BJ101" i="4"/>
  <c r="BR101" i="4"/>
  <c r="N102" i="4"/>
  <c r="V102" i="4"/>
  <c r="AD102" i="4"/>
  <c r="AL102" i="4"/>
  <c r="AT102" i="4"/>
  <c r="BB102" i="4"/>
  <c r="BJ102" i="4"/>
  <c r="BR102" i="4"/>
  <c r="N103" i="4"/>
  <c r="V103" i="4"/>
  <c r="AD103" i="4"/>
  <c r="AL103" i="4"/>
  <c r="AT103" i="4"/>
  <c r="BB103" i="4"/>
  <c r="BJ103" i="4"/>
  <c r="BR103" i="4"/>
  <c r="N104" i="4"/>
  <c r="V104" i="4"/>
  <c r="AD104" i="4"/>
  <c r="AL104" i="4"/>
  <c r="AT104" i="4"/>
  <c r="BB104" i="4"/>
  <c r="BJ104" i="4"/>
  <c r="BR104" i="4"/>
  <c r="N105" i="4"/>
  <c r="V105" i="4"/>
  <c r="AD105" i="4"/>
  <c r="AL105" i="4"/>
  <c r="AT105" i="4"/>
  <c r="BB105" i="4"/>
  <c r="BJ105" i="4"/>
  <c r="BR105" i="4"/>
  <c r="N106" i="4"/>
  <c r="V106" i="4"/>
  <c r="AD106" i="4"/>
  <c r="AL106" i="4"/>
  <c r="AT106" i="4"/>
  <c r="BB106" i="4"/>
  <c r="BJ106" i="4"/>
  <c r="BR106" i="4"/>
  <c r="N107" i="4"/>
  <c r="V107" i="4"/>
  <c r="AD107" i="4"/>
  <c r="AL107" i="4"/>
  <c r="AT107" i="4"/>
  <c r="BB107" i="4"/>
  <c r="BJ107" i="4"/>
  <c r="BR107" i="4"/>
  <c r="N108" i="4"/>
  <c r="V108" i="4"/>
  <c r="AD108" i="4"/>
  <c r="AL108" i="4"/>
  <c r="AT108" i="4"/>
  <c r="BB108" i="4"/>
  <c r="BJ108" i="4"/>
  <c r="BR108" i="4"/>
  <c r="Q90" i="4"/>
  <c r="Y92" i="4"/>
  <c r="AQ93" i="4"/>
  <c r="AQ94" i="4"/>
  <c r="AQ95" i="4"/>
  <c r="AQ96" i="4"/>
  <c r="AQ97" i="4"/>
  <c r="AC98" i="4"/>
  <c r="AZ98" i="4"/>
  <c r="K99" i="4"/>
  <c r="AC99" i="4"/>
  <c r="AZ99" i="4"/>
  <c r="K100" i="4"/>
  <c r="AC100" i="4"/>
  <c r="AZ100" i="4"/>
  <c r="BP100" i="4"/>
  <c r="T101" i="4"/>
  <c r="AE101" i="4"/>
  <c r="AM101" i="4"/>
  <c r="AU101" i="4"/>
  <c r="BC101" i="4"/>
  <c r="BK101" i="4"/>
  <c r="G102" i="4"/>
  <c r="O102" i="4"/>
  <c r="W102" i="4"/>
  <c r="AE102" i="4"/>
  <c r="AM102" i="4"/>
  <c r="AU102" i="4"/>
  <c r="BC102" i="4"/>
  <c r="BK102" i="4"/>
  <c r="G103" i="4"/>
  <c r="O103" i="4"/>
  <c r="W103" i="4"/>
  <c r="AE103" i="4"/>
  <c r="AM103" i="4"/>
  <c r="AU103" i="4"/>
  <c r="BC103" i="4"/>
  <c r="BK103" i="4"/>
  <c r="G104" i="4"/>
  <c r="O104" i="4"/>
  <c r="W104" i="4"/>
  <c r="AE104" i="4"/>
  <c r="AM104" i="4"/>
  <c r="AU104" i="4"/>
  <c r="BC104" i="4"/>
  <c r="BK104" i="4"/>
  <c r="G105" i="4"/>
  <c r="O105" i="4"/>
  <c r="W105" i="4"/>
  <c r="AE105" i="4"/>
  <c r="AM105" i="4"/>
  <c r="AU105" i="4"/>
  <c r="BC105" i="4"/>
  <c r="BK105" i="4"/>
  <c r="G106" i="4"/>
  <c r="O106" i="4"/>
  <c r="W106" i="4"/>
  <c r="AE106" i="4"/>
  <c r="AM106" i="4"/>
  <c r="AU106" i="4"/>
  <c r="BC106" i="4"/>
  <c r="BK106" i="4"/>
  <c r="G107" i="4"/>
  <c r="O107" i="4"/>
  <c r="W107" i="4"/>
  <c r="AE107" i="4"/>
  <c r="AM107" i="4"/>
  <c r="AU107" i="4"/>
  <c r="BC107" i="4"/>
  <c r="BK107" i="4"/>
  <c r="G108" i="4"/>
  <c r="O108" i="4"/>
  <c r="W108" i="4"/>
  <c r="AE108" i="4"/>
  <c r="AM108" i="4"/>
  <c r="AU108" i="4"/>
  <c r="BC108" i="4"/>
  <c r="BK108" i="4"/>
  <c r="AK81" i="4"/>
  <c r="AW90" i="4"/>
  <c r="AI92" i="4"/>
  <c r="AY93" i="4"/>
  <c r="AY94" i="4"/>
  <c r="AY95" i="4"/>
  <c r="AY96" i="4"/>
  <c r="AY97" i="4"/>
  <c r="AI98" i="4"/>
  <c r="BA98" i="4"/>
  <c r="L99" i="4"/>
  <c r="AI99" i="4"/>
  <c r="BA99" i="4"/>
  <c r="L100" i="4"/>
  <c r="L115" i="4" s="1"/>
  <c r="AI100" i="4"/>
  <c r="BA100" i="4"/>
  <c r="BQ100" i="4"/>
  <c r="U101" i="4"/>
  <c r="AF101" i="4"/>
  <c r="AN101" i="4"/>
  <c r="AV101" i="4"/>
  <c r="BD101" i="4"/>
  <c r="BD115" i="4" s="1"/>
  <c r="BL101" i="4"/>
  <c r="H102" i="4"/>
  <c r="P102" i="4"/>
  <c r="X102" i="4"/>
  <c r="AF102" i="4"/>
  <c r="AN102" i="4"/>
  <c r="AV102" i="4"/>
  <c r="BD102" i="4"/>
  <c r="BL102" i="4"/>
  <c r="H103" i="4"/>
  <c r="P103" i="4"/>
  <c r="X103" i="4"/>
  <c r="AF103" i="4"/>
  <c r="AN103" i="4"/>
  <c r="AV103" i="4"/>
  <c r="BD103" i="4"/>
  <c r="BL103" i="4"/>
  <c r="H104" i="4"/>
  <c r="P104" i="4"/>
  <c r="X104" i="4"/>
  <c r="AF104" i="4"/>
  <c r="AN104" i="4"/>
  <c r="AV104" i="4"/>
  <c r="BD104" i="4"/>
  <c r="BL104" i="4"/>
  <c r="H105" i="4"/>
  <c r="P105" i="4"/>
  <c r="X105" i="4"/>
  <c r="AF105" i="4"/>
  <c r="AN105" i="4"/>
  <c r="AV105" i="4"/>
  <c r="BD105" i="4"/>
  <c r="BL105" i="4"/>
  <c r="H106" i="4"/>
  <c r="P106" i="4"/>
  <c r="X106" i="4"/>
  <c r="AF106" i="4"/>
  <c r="AN106" i="4"/>
  <c r="AV106" i="4"/>
  <c r="BD106" i="4"/>
  <c r="BL106" i="4"/>
  <c r="H107" i="4"/>
  <c r="P107" i="4"/>
  <c r="X107" i="4"/>
  <c r="AF107" i="4"/>
  <c r="AN107" i="4"/>
  <c r="AV107" i="4"/>
  <c r="BD107" i="4"/>
  <c r="BL107" i="4"/>
  <c r="H108" i="4"/>
  <c r="P108" i="4"/>
  <c r="X108" i="4"/>
  <c r="AF108" i="4"/>
  <c r="AN108" i="4"/>
  <c r="AV108" i="4"/>
  <c r="BD108" i="4"/>
  <c r="BL108" i="4"/>
  <c r="BE84" i="4"/>
  <c r="Q91" i="4"/>
  <c r="AT92" i="4"/>
  <c r="BG93" i="4"/>
  <c r="BG94" i="4"/>
  <c r="BG95" i="4"/>
  <c r="BG96" i="4"/>
  <c r="BG97" i="4"/>
  <c r="AJ98" i="4"/>
  <c r="BG98" i="4"/>
  <c r="M99" i="4"/>
  <c r="AJ99" i="4"/>
  <c r="BG99" i="4"/>
  <c r="M100" i="4"/>
  <c r="AJ100" i="4"/>
  <c r="AJ115" i="4" s="1"/>
  <c r="BC100" i="4"/>
  <c r="G101" i="4"/>
  <c r="W101" i="4"/>
  <c r="W115" i="4" s="1"/>
  <c r="AG101" i="4"/>
  <c r="AO101" i="4"/>
  <c r="AO115" i="4" s="1"/>
  <c r="AW101" i="4"/>
  <c r="AW115" i="4" s="1"/>
  <c r="BE101" i="4"/>
  <c r="BE115" i="4" s="1"/>
  <c r="BM101" i="4"/>
  <c r="I102" i="4"/>
  <c r="Q102" i="4"/>
  <c r="Y102" i="4"/>
  <c r="AG102" i="4"/>
  <c r="AO102" i="4"/>
  <c r="AW102" i="4"/>
  <c r="BE102" i="4"/>
  <c r="BM102" i="4"/>
  <c r="I103" i="4"/>
  <c r="Q103" i="4"/>
  <c r="Y103" i="4"/>
  <c r="AG103" i="4"/>
  <c r="AO103" i="4"/>
  <c r="AW103" i="4"/>
  <c r="BE103" i="4"/>
  <c r="BM103" i="4"/>
  <c r="I104" i="4"/>
  <c r="Q104" i="4"/>
  <c r="Y104" i="4"/>
  <c r="AG104" i="4"/>
  <c r="AO104" i="4"/>
  <c r="AW104" i="4"/>
  <c r="BE104" i="4"/>
  <c r="BM104" i="4"/>
  <c r="I105" i="4"/>
  <c r="Q105" i="4"/>
  <c r="Y105" i="4"/>
  <c r="AG105" i="4"/>
  <c r="AO105" i="4"/>
  <c r="AW105" i="4"/>
  <c r="BE105" i="4"/>
  <c r="BM105" i="4"/>
  <c r="I106" i="4"/>
  <c r="Q106" i="4"/>
  <c r="Y106" i="4"/>
  <c r="AG106" i="4"/>
  <c r="AO106" i="4"/>
  <c r="AW106" i="4"/>
  <c r="BE106" i="4"/>
  <c r="BM106" i="4"/>
  <c r="I107" i="4"/>
  <c r="Q107" i="4"/>
  <c r="Y107" i="4"/>
  <c r="AG107" i="4"/>
  <c r="AO107" i="4"/>
  <c r="AW107" i="4"/>
  <c r="BE107" i="4"/>
  <c r="BM107" i="4"/>
  <c r="I108" i="4"/>
  <c r="Q108" i="4"/>
  <c r="Y108" i="4"/>
  <c r="AG108" i="4"/>
  <c r="AO108" i="4"/>
  <c r="AW108" i="4"/>
  <c r="BE108" i="4"/>
  <c r="BM108" i="4"/>
  <c r="AT116" i="4"/>
  <c r="BB116" i="4"/>
  <c r="BJ116" i="4"/>
  <c r="BR116" i="4"/>
  <c r="AT114" i="4"/>
  <c r="BJ114" i="4"/>
  <c r="AT115" i="4"/>
  <c r="AM116" i="4"/>
  <c r="AU116" i="4"/>
  <c r="BC116" i="4"/>
  <c r="AM114" i="4"/>
  <c r="BC114" i="4"/>
  <c r="BK114" i="4"/>
  <c r="AN116" i="4"/>
  <c r="BL114" i="4"/>
  <c r="BM116" i="4"/>
  <c r="BF116" i="4"/>
  <c r="BN116" i="4"/>
  <c r="AX114" i="4"/>
  <c r="BN114" i="4"/>
  <c r="AP115" i="4"/>
  <c r="AY116" i="4"/>
  <c r="BG116" i="4"/>
  <c r="BO116" i="4"/>
  <c r="AR116" i="4"/>
  <c r="AZ116" i="4"/>
  <c r="BH116" i="4"/>
  <c r="BP116" i="4"/>
  <c r="BH114" i="4"/>
  <c r="BP114" i="4"/>
  <c r="BI116" i="4"/>
  <c r="AS116" i="4"/>
  <c r="AS115" i="4"/>
  <c r="BF115" i="4"/>
  <c r="AS114" i="4"/>
  <c r="AY115" i="4"/>
  <c r="BO115" i="4"/>
  <c r="AZ115" i="4"/>
  <c r="BA115" i="4"/>
  <c r="BQ115" i="4"/>
  <c r="BB115" i="4"/>
  <c r="BJ115" i="4"/>
  <c r="BC115" i="4"/>
  <c r="BL115" i="4"/>
  <c r="W116" i="4"/>
  <c r="AE116" i="4"/>
  <c r="G114" i="4"/>
  <c r="H116" i="4"/>
  <c r="P116" i="4"/>
  <c r="X116" i="4"/>
  <c r="AF116" i="4"/>
  <c r="H114" i="4"/>
  <c r="H115" i="4"/>
  <c r="P115" i="4"/>
  <c r="X115" i="4"/>
  <c r="I116" i="4"/>
  <c r="Q116" i="4"/>
  <c r="Y116" i="4"/>
  <c r="AG116" i="4"/>
  <c r="J116" i="4"/>
  <c r="R116" i="4"/>
  <c r="Z116" i="4"/>
  <c r="Z114" i="4"/>
  <c r="K116" i="4"/>
  <c r="S116" i="4"/>
  <c r="S114" i="4"/>
  <c r="AA114" i="4"/>
  <c r="K115" i="4"/>
  <c r="AA115" i="4"/>
  <c r="L116" i="4"/>
  <c r="L114" i="4"/>
  <c r="T114" i="4"/>
  <c r="AB114" i="4"/>
  <c r="AB115" i="4"/>
  <c r="AD115" i="4"/>
  <c r="N114" i="4"/>
  <c r="U116" i="4"/>
  <c r="U114" i="4"/>
  <c r="G115" i="4"/>
  <c r="U115" i="4"/>
  <c r="AG115" i="4"/>
  <c r="AC116" i="4"/>
  <c r="AC114" i="4"/>
  <c r="J115" i="4"/>
  <c r="AI115" i="4"/>
  <c r="AL116" i="4"/>
  <c r="Y115" i="4"/>
  <c r="AL114" i="4"/>
  <c r="O115" i="4"/>
  <c r="N115" i="4"/>
  <c r="F106" i="4"/>
  <c r="F92" i="4"/>
  <c r="F102" i="4"/>
  <c r="F108" i="4"/>
  <c r="F88" i="4"/>
  <c r="F98" i="4"/>
  <c r="F104" i="4"/>
  <c r="F91" i="4"/>
  <c r="F84" i="4"/>
  <c r="F93" i="4"/>
  <c r="F107" i="4"/>
  <c r="F100" i="4"/>
  <c r="F80" i="4"/>
  <c r="F89" i="4"/>
  <c r="F103" i="4"/>
  <c r="F96" i="4"/>
  <c r="F95" i="4"/>
  <c r="F99" i="4"/>
  <c r="F101" i="4"/>
  <c r="F85" i="4"/>
  <c r="F94" i="4"/>
  <c r="F90" i="4"/>
  <c r="F97" i="4"/>
  <c r="F87" i="4"/>
  <c r="F83" i="4"/>
  <c r="F86" i="4"/>
  <c r="F82" i="4"/>
  <c r="F105" i="4"/>
  <c r="F81" i="4"/>
  <c r="AN115" i="4" l="1"/>
  <c r="S115" i="4"/>
  <c r="BP115" i="4"/>
  <c r="AH115" i="4"/>
  <c r="BQ116" i="4"/>
  <c r="BD114" i="4"/>
  <c r="BD119" i="4" s="1"/>
  <c r="M116" i="4"/>
  <c r="AR119" i="4"/>
  <c r="AS119" i="4"/>
  <c r="AH114" i="4"/>
  <c r="AV115" i="4"/>
  <c r="V115" i="4"/>
  <c r="V118" i="4" s="1"/>
  <c r="AD116" i="4"/>
  <c r="AD118" i="4" s="1"/>
  <c r="BE116" i="4"/>
  <c r="BE118" i="4" s="1"/>
  <c r="AQ114" i="4"/>
  <c r="T115" i="4"/>
  <c r="J114" i="4"/>
  <c r="J117" i="4" s="1"/>
  <c r="BR115" i="4"/>
  <c r="BR118" i="4" s="1"/>
  <c r="M115" i="4"/>
  <c r="BA116" i="4"/>
  <c r="BA118" i="4" s="1"/>
  <c r="Q115" i="4"/>
  <c r="Q118" i="4" s="1"/>
  <c r="AV114" i="4"/>
  <c r="AI114" i="4"/>
  <c r="AI119" i="4" s="1"/>
  <c r="AU115" i="4"/>
  <c r="AU118" i="4" s="1"/>
  <c r="AU114" i="4"/>
  <c r="K114" i="4"/>
  <c r="K119" i="4" s="1"/>
  <c r="BF114" i="4"/>
  <c r="BF119" i="4" s="1"/>
  <c r="V114" i="4"/>
  <c r="V117" i="4" s="1"/>
  <c r="BQ114" i="4"/>
  <c r="BQ119" i="4" s="1"/>
  <c r="AZ114" i="4"/>
  <c r="AZ119" i="4" s="1"/>
  <c r="O116" i="4"/>
  <c r="O118" i="4" s="1"/>
  <c r="AJ116" i="4"/>
  <c r="AJ118" i="4" s="1"/>
  <c r="AQ116" i="4"/>
  <c r="AQ118" i="4" s="1"/>
  <c r="AX116" i="4"/>
  <c r="AX117" i="4" s="1"/>
  <c r="BL116" i="4"/>
  <c r="BL119" i="4" s="1"/>
  <c r="R114" i="4"/>
  <c r="R117" i="4" s="1"/>
  <c r="BM114" i="4"/>
  <c r="BM117" i="4" s="1"/>
  <c r="AF115" i="4"/>
  <c r="AF118" i="4" s="1"/>
  <c r="AE114" i="4"/>
  <c r="AE117" i="4" s="1"/>
  <c r="BK116" i="4"/>
  <c r="BK119" i="4" s="1"/>
  <c r="T116" i="4"/>
  <c r="BJ118" i="4"/>
  <c r="BP119" i="4"/>
  <c r="BH119" i="4"/>
  <c r="BC119" i="4"/>
  <c r="BJ119" i="4"/>
  <c r="BB119" i="4"/>
  <c r="AT119" i="4"/>
  <c r="AM119" i="4"/>
  <c r="BN119" i="4"/>
  <c r="AP118" i="4"/>
  <c r="P119" i="4"/>
  <c r="AK119" i="4"/>
  <c r="BO114" i="4"/>
  <c r="BO119" i="4" s="1"/>
  <c r="R115" i="4"/>
  <c r="BM115" i="4"/>
  <c r="BM118" i="4" s="1"/>
  <c r="AP114" i="4"/>
  <c r="AP119" i="4" s="1"/>
  <c r="L119" i="4"/>
  <c r="M114" i="4"/>
  <c r="AO114" i="4"/>
  <c r="AF114" i="4"/>
  <c r="Q114" i="4"/>
  <c r="AA116" i="4"/>
  <c r="AA119" i="4" s="1"/>
  <c r="AH116" i="4"/>
  <c r="AO116" i="4"/>
  <c r="AO118" i="4" s="1"/>
  <c r="I114" i="4"/>
  <c r="I119" i="4" s="1"/>
  <c r="AD114" i="4"/>
  <c r="AN114" i="4"/>
  <c r="AN119" i="4" s="1"/>
  <c r="O114" i="4"/>
  <c r="AY114" i="4"/>
  <c r="AY119" i="4" s="1"/>
  <c r="Y114" i="4"/>
  <c r="Y119" i="4" s="1"/>
  <c r="BG114" i="4"/>
  <c r="BG119" i="4" s="1"/>
  <c r="AJ114" i="4"/>
  <c r="AW114" i="4"/>
  <c r="AW119" i="4" s="1"/>
  <c r="AE115" i="4"/>
  <c r="BI114" i="4"/>
  <c r="BI119" i="4" s="1"/>
  <c r="AV116" i="4"/>
  <c r="AL119" i="4"/>
  <c r="BR114" i="4"/>
  <c r="AG114" i="4"/>
  <c r="AG119" i="4" s="1"/>
  <c r="AB119" i="4"/>
  <c r="X114" i="4"/>
  <c r="X119" i="4" s="1"/>
  <c r="BA114" i="4"/>
  <c r="BA119" i="4" s="1"/>
  <c r="N116" i="4"/>
  <c r="N117" i="4" s="1"/>
  <c r="AC119" i="4"/>
  <c r="W119" i="4"/>
  <c r="U119" i="4"/>
  <c r="H119" i="4"/>
  <c r="G119" i="4"/>
  <c r="Z119" i="4"/>
  <c r="S119" i="4"/>
  <c r="BQ118" i="4"/>
  <c r="AR118" i="4"/>
  <c r="AR117" i="4"/>
  <c r="AY118" i="4"/>
  <c r="BF118" i="4"/>
  <c r="AS118" i="4"/>
  <c r="AS117" i="4"/>
  <c r="AW118" i="4"/>
  <c r="BD118" i="4"/>
  <c r="BD117" i="4"/>
  <c r="BC118" i="4"/>
  <c r="BC117" i="4"/>
  <c r="BP117" i="4"/>
  <c r="BP118" i="4"/>
  <c r="AN118" i="4"/>
  <c r="BJ117" i="4"/>
  <c r="BI118" i="4"/>
  <c r="BH117" i="4"/>
  <c r="BH118" i="4"/>
  <c r="BO118" i="4"/>
  <c r="AM118" i="4"/>
  <c r="AM117" i="4"/>
  <c r="BB117" i="4"/>
  <c r="BB118" i="4"/>
  <c r="AZ118" i="4"/>
  <c r="BG118" i="4"/>
  <c r="BN118" i="4"/>
  <c r="BN117" i="4"/>
  <c r="AT118" i="4"/>
  <c r="AT117" i="4"/>
  <c r="J118" i="4"/>
  <c r="L118" i="4"/>
  <c r="L117" i="4"/>
  <c r="AI118" i="4"/>
  <c r="U117" i="4"/>
  <c r="U118" i="4"/>
  <c r="AC118" i="4"/>
  <c r="AC117" i="4"/>
  <c r="X118" i="4"/>
  <c r="AK118" i="4"/>
  <c r="AK117" i="4"/>
  <c r="S117" i="4"/>
  <c r="S118" i="4"/>
  <c r="P117" i="4"/>
  <c r="P118" i="4"/>
  <c r="K118" i="4"/>
  <c r="AG118" i="4"/>
  <c r="H118" i="4"/>
  <c r="H117" i="4"/>
  <c r="Y118" i="4"/>
  <c r="W117" i="4"/>
  <c r="W118" i="4"/>
  <c r="Z117" i="4"/>
  <c r="Z118" i="4"/>
  <c r="AL117" i="4"/>
  <c r="AL118" i="4"/>
  <c r="AB118" i="4"/>
  <c r="AB117" i="4"/>
  <c r="I118" i="4"/>
  <c r="G118" i="4"/>
  <c r="G117" i="4"/>
  <c r="F115" i="4"/>
  <c r="F116" i="4"/>
  <c r="F114" i="4"/>
  <c r="M118" i="4" l="1"/>
  <c r="BF117" i="4"/>
  <c r="T119" i="4"/>
  <c r="BK117" i="4"/>
  <c r="BR119" i="4"/>
  <c r="AJ119" i="4"/>
  <c r="BE117" i="4"/>
  <c r="AH119" i="4"/>
  <c r="O119" i="4"/>
  <c r="M119" i="4"/>
  <c r="BL118" i="4"/>
  <c r="AD119" i="4"/>
  <c r="BK118" i="4"/>
  <c r="AQ119" i="4"/>
  <c r="BL117" i="4"/>
  <c r="BQ117" i="4"/>
  <c r="T118" i="4"/>
  <c r="AU119" i="4"/>
  <c r="Q119" i="4"/>
  <c r="AE119" i="4"/>
  <c r="AI117" i="4"/>
  <c r="AX119" i="4"/>
  <c r="BE119" i="4"/>
  <c r="AF119" i="4"/>
  <c r="J119" i="4"/>
  <c r="AV117" i="4"/>
  <c r="AU117" i="4"/>
  <c r="AZ117" i="4"/>
  <c r="AX118" i="4"/>
  <c r="T117" i="4"/>
  <c r="AQ117" i="4"/>
  <c r="K117" i="4"/>
  <c r="R119" i="4"/>
  <c r="V119" i="4"/>
  <c r="R118" i="4"/>
  <c r="BO117" i="4"/>
  <c r="AY117" i="4"/>
  <c r="AO119" i="4"/>
  <c r="BM119" i="4"/>
  <c r="AV119" i="4"/>
  <c r="AP117" i="4"/>
  <c r="AW117" i="4"/>
  <c r="BR117" i="4"/>
  <c r="BG117" i="4"/>
  <c r="BA117" i="4"/>
  <c r="AH117" i="4"/>
  <c r="AA118" i="4"/>
  <c r="AH118" i="4"/>
  <c r="AA117" i="4"/>
  <c r="N118" i="4"/>
  <c r="AG117" i="4"/>
  <c r="M117" i="4"/>
  <c r="Q117" i="4"/>
  <c r="Y117" i="4"/>
  <c r="AF117" i="4"/>
  <c r="N119" i="4"/>
  <c r="AE118" i="4"/>
  <c r="AD117" i="4"/>
  <c r="I117" i="4"/>
  <c r="O117" i="4"/>
  <c r="AJ117" i="4"/>
  <c r="BI117" i="4"/>
  <c r="AO117" i="4"/>
  <c r="AN117" i="4"/>
  <c r="AV118" i="4"/>
  <c r="X117" i="4"/>
  <c r="F119" i="4"/>
  <c r="F117" i="4"/>
  <c r="F118" i="4"/>
  <c r="E122" i="4" l="1" a="1"/>
  <c r="E122" i="4" s="1"/>
  <c r="AS125" i="4" l="1"/>
  <c r="AD131" i="4"/>
  <c r="I125" i="4"/>
  <c r="AK123" i="4"/>
  <c r="L131" i="4"/>
  <c r="AF125" i="4"/>
  <c r="AO134" i="4"/>
  <c r="I124" i="4"/>
  <c r="BG124" i="4"/>
  <c r="F122" i="4"/>
  <c r="G125" i="4"/>
  <c r="AC126" i="4"/>
  <c r="BJ127" i="4"/>
  <c r="T124" i="4"/>
  <c r="BP124" i="4"/>
  <c r="R125" i="4"/>
  <c r="X126" i="4"/>
  <c r="BI129" i="4"/>
  <c r="G126" i="4"/>
  <c r="M127" i="4"/>
  <c r="G123" i="4"/>
  <c r="BG123" i="4"/>
  <c r="W126" i="4"/>
  <c r="BB123" i="4"/>
  <c r="AL131" i="4"/>
  <c r="AQ126" i="4"/>
  <c r="BQ123" i="4"/>
  <c r="K122" i="4"/>
  <c r="E127" i="4"/>
  <c r="AF126" i="4"/>
  <c r="BK123" i="4"/>
  <c r="BM131" i="4"/>
  <c r="S124" i="4"/>
  <c r="AF130" i="4"/>
  <c r="AF124" i="4"/>
  <c r="AI124" i="4"/>
  <c r="S132" i="4"/>
  <c r="AX129" i="4"/>
  <c r="E125" i="4"/>
  <c r="AA125" i="4"/>
  <c r="AS127" i="4"/>
  <c r="O127" i="4"/>
  <c r="V127" i="4"/>
  <c r="L135" i="4"/>
  <c r="P124" i="4"/>
  <c r="M130" i="4"/>
  <c r="G133" i="4"/>
  <c r="V134" i="4"/>
  <c r="AL124" i="4"/>
  <c r="BQ133" i="4"/>
  <c r="BF130" i="4"/>
  <c r="Z122" i="4"/>
  <c r="AZ127" i="4"/>
  <c r="S134" i="4"/>
  <c r="G132" i="4"/>
  <c r="BI130" i="4"/>
  <c r="AR125" i="4"/>
  <c r="AB126" i="4"/>
  <c r="AJ133" i="4"/>
  <c r="R130" i="4"/>
  <c r="AM135" i="4"/>
  <c r="Z123" i="4"/>
  <c r="AZ133" i="4"/>
  <c r="AC131" i="4"/>
  <c r="K124" i="4"/>
  <c r="AN130" i="4"/>
  <c r="W122" i="4"/>
  <c r="AC124" i="4"/>
  <c r="AR130" i="4"/>
  <c r="V129" i="4"/>
  <c r="AG132" i="4"/>
  <c r="AQ124" i="4"/>
  <c r="AY128" i="4"/>
  <c r="AO125" i="4"/>
  <c r="G122" i="4"/>
  <c r="AI128" i="4"/>
  <c r="BR131" i="4"/>
  <c r="L128" i="4"/>
  <c r="BH128" i="4"/>
  <c r="J129" i="4"/>
  <c r="R129" i="4"/>
  <c r="AV125" i="4"/>
  <c r="BQ127" i="4"/>
  <c r="G130" i="4"/>
  <c r="BQ124" i="4"/>
  <c r="BE124" i="4"/>
  <c r="U127" i="4"/>
  <c r="AZ124" i="4"/>
  <c r="Q122" i="4"/>
  <c r="AM128" i="4"/>
  <c r="BI127" i="4"/>
  <c r="BE131" i="4"/>
  <c r="BO128" i="4"/>
  <c r="AD127" i="4"/>
  <c r="BI124" i="4"/>
  <c r="BR125" i="4"/>
  <c r="O126" i="4"/>
  <c r="I122" i="4"/>
  <c r="BQ122" i="4"/>
  <c r="AG125" i="4"/>
  <c r="BL122" i="4"/>
  <c r="AV130" i="4"/>
  <c r="BG130" i="4"/>
  <c r="E129" i="4"/>
  <c r="AQ128" i="4"/>
  <c r="AC129" i="4"/>
  <c r="AG126" i="4"/>
  <c r="N122" i="4"/>
  <c r="AU131" i="4"/>
  <c r="BI133" i="4"/>
  <c r="AO126" i="4"/>
  <c r="AM127" i="4"/>
  <c r="V130" i="4"/>
  <c r="AP126" i="4"/>
  <c r="AN127" i="4"/>
  <c r="K134" i="4"/>
  <c r="AP122" i="4"/>
  <c r="AF128" i="4"/>
  <c r="AV133" i="4"/>
  <c r="BD127" i="4"/>
  <c r="AN132" i="4"/>
  <c r="AS135" i="4"/>
  <c r="K131" i="4"/>
  <c r="AX126" i="4"/>
  <c r="AR133" i="4"/>
  <c r="BI135" i="4"/>
  <c r="AJ131" i="4"/>
  <c r="AU130" i="4"/>
  <c r="BM127" i="4"/>
  <c r="BD122" i="4"/>
  <c r="AH125" i="4"/>
  <c r="H133" i="4"/>
  <c r="BA123" i="4"/>
  <c r="BN133" i="4"/>
  <c r="H135" i="4"/>
  <c r="BB132" i="4"/>
  <c r="H122" i="4"/>
  <c r="X122" i="4"/>
  <c r="AG129" i="4"/>
  <c r="BE125" i="4"/>
  <c r="AK122" i="4"/>
  <c r="AO127" i="4"/>
  <c r="AW122" i="4"/>
  <c r="AU123" i="4"/>
  <c r="AS124" i="4"/>
  <c r="P130" i="4"/>
  <c r="BP135" i="4"/>
  <c r="AN122" i="4"/>
  <c r="BQ131" i="4"/>
  <c r="AQ122" i="4"/>
  <c r="BC125" i="4"/>
  <c r="S128" i="4"/>
  <c r="AX125" i="4"/>
  <c r="O123" i="4"/>
  <c r="AI130" i="4"/>
  <c r="BC130" i="4"/>
  <c r="BO131" i="4"/>
  <c r="BM129" i="4"/>
  <c r="AB128" i="4"/>
  <c r="BG125" i="4"/>
  <c r="AP132" i="4"/>
  <c r="K128" i="4"/>
  <c r="E124" i="4"/>
  <c r="BO123" i="4"/>
  <c r="AE126" i="4"/>
  <c r="BJ123" i="4"/>
  <c r="AT131" i="4"/>
  <c r="J123" i="4"/>
  <c r="BO130" i="4"/>
  <c r="AK131" i="4"/>
  <c r="Y131" i="4"/>
  <c r="BC124" i="4"/>
  <c r="BJ128" i="4"/>
  <c r="BI132" i="4"/>
  <c r="L134" i="4"/>
  <c r="BM123" i="4"/>
  <c r="H129" i="4"/>
  <c r="BM134" i="4"/>
  <c r="BD132" i="4"/>
  <c r="K129" i="4"/>
  <c r="I135" i="4"/>
  <c r="N125" i="4"/>
  <c r="BB133" i="4"/>
  <c r="AT134" i="4"/>
  <c r="AA129" i="4"/>
  <c r="F133" i="4"/>
  <c r="AJ123" i="4"/>
  <c r="AM132" i="4"/>
  <c r="AK128" i="4"/>
  <c r="AP134" i="4"/>
  <c r="N124" i="4"/>
  <c r="BC132" i="4"/>
  <c r="BQ126" i="4"/>
  <c r="BI122" i="4"/>
  <c r="AZ128" i="4"/>
  <c r="W133" i="4"/>
  <c r="P126" i="4"/>
  <c r="F123" i="4"/>
  <c r="AW129" i="4"/>
  <c r="W125" i="4"/>
  <c r="K123" i="4"/>
  <c r="AA123" i="4"/>
  <c r="AI123" i="4"/>
  <c r="BO124" i="4"/>
  <c r="L132" i="4"/>
  <c r="AS122" i="4"/>
  <c r="AY123" i="4"/>
  <c r="AT123" i="4"/>
  <c r="AI126" i="4"/>
  <c r="BA126" i="4"/>
  <c r="Q129" i="4"/>
  <c r="AV126" i="4"/>
  <c r="M124" i="4"/>
  <c r="L122" i="4"/>
  <c r="AF122" i="4"/>
  <c r="T130" i="4"/>
  <c r="BK130" i="4"/>
  <c r="Z129" i="4"/>
  <c r="S122" i="4"/>
  <c r="L123" i="4"/>
  <c r="E131" i="4"/>
  <c r="Q126" i="4"/>
  <c r="BM124" i="4"/>
  <c r="AC127" i="4"/>
  <c r="BH124" i="4"/>
  <c r="Y122" i="4"/>
  <c r="BR126" i="4"/>
  <c r="AL134" i="4"/>
  <c r="J125" i="4"/>
  <c r="BR134" i="4"/>
  <c r="BA125" i="4"/>
  <c r="G134" i="4"/>
  <c r="BC135" i="4"/>
  <c r="AI127" i="4"/>
  <c r="BE127" i="4"/>
  <c r="Q133" i="4"/>
  <c r="BK135" i="4"/>
  <c r="BK133" i="4"/>
  <c r="BF124" i="4"/>
  <c r="V133" i="4"/>
  <c r="O135" i="4"/>
  <c r="BI134" i="4"/>
  <c r="AQ132" i="4"/>
  <c r="AN125" i="4"/>
  <c r="AA126" i="4"/>
  <c r="AN134" i="4"/>
  <c r="AA131" i="4"/>
  <c r="BF123" i="4"/>
  <c r="AU132" i="4"/>
  <c r="BD134" i="4"/>
  <c r="AW132" i="4"/>
  <c r="AG124" i="4"/>
  <c r="AS131" i="4"/>
  <c r="AU124" i="4"/>
  <c r="AJ128" i="4"/>
  <c r="AP128" i="4"/>
  <c r="E133" i="4"/>
  <c r="X129" i="4"/>
  <c r="BD123" i="4"/>
  <c r="BN125" i="4"/>
  <c r="BF129" i="4"/>
  <c r="H130" i="4"/>
  <c r="BL126" i="4"/>
  <c r="V123" i="4"/>
  <c r="AU122" i="4"/>
  <c r="AE125" i="4"/>
  <c r="E126" i="4"/>
  <c r="U126" i="4"/>
  <c r="BK126" i="4"/>
  <c r="BC123" i="4"/>
  <c r="AO124" i="4"/>
  <c r="AU125" i="4"/>
  <c r="AP125" i="4"/>
  <c r="AA130" i="4"/>
  <c r="AE122" i="4"/>
  <c r="O130" i="4"/>
  <c r="AT127" i="4"/>
  <c r="K125" i="4"/>
  <c r="I128" i="4"/>
  <c r="Z125" i="4"/>
  <c r="AQ123" i="4"/>
  <c r="BI131" i="4"/>
  <c r="X130" i="4"/>
  <c r="O124" i="4"/>
  <c r="BR130" i="4"/>
  <c r="AV122" i="4"/>
  <c r="AM124" i="4"/>
  <c r="BK125" i="4"/>
  <c r="AA128" i="4"/>
  <c r="BF125" i="4"/>
  <c r="W123" i="4"/>
  <c r="BO132" i="4"/>
  <c r="U122" i="4"/>
  <c r="H126" i="4"/>
  <c r="AX124" i="4"/>
  <c r="AU128" i="4"/>
  <c r="E135" i="4"/>
  <c r="L130" i="4"/>
  <c r="X132" i="4"/>
  <c r="BC128" i="4"/>
  <c r="BD124" i="4"/>
  <c r="BB128" i="4"/>
  <c r="AL133" i="4"/>
  <c r="AA127" i="4"/>
  <c r="X125" i="4"/>
  <c r="AR122" i="4"/>
  <c r="AB123" i="4"/>
  <c r="AO133" i="4"/>
  <c r="BF127" i="4"/>
  <c r="Y127" i="4"/>
  <c r="AL135" i="4"/>
  <c r="AQ135" i="4"/>
  <c r="AD126" i="4"/>
  <c r="AS133" i="4"/>
  <c r="BB135" i="4"/>
  <c r="BP123" i="4"/>
  <c r="BR123" i="4"/>
  <c r="Q125" i="4"/>
  <c r="AI132" i="4"/>
  <c r="BM122" i="4"/>
  <c r="U131" i="4"/>
  <c r="AM123" i="4"/>
  <c r="BE130" i="4"/>
  <c r="U133" i="4"/>
  <c r="AL132" i="4"/>
  <c r="AQ125" i="4"/>
  <c r="W127" i="4"/>
  <c r="BD130" i="4"/>
  <c r="N127" i="4"/>
  <c r="AM126" i="4"/>
  <c r="BK122" i="4"/>
  <c r="AS123" i="4"/>
  <c r="BI123" i="4"/>
  <c r="BG128" i="4"/>
  <c r="AY125" i="4"/>
  <c r="AK126" i="4"/>
  <c r="AS126" i="4"/>
  <c r="AL127" i="4"/>
  <c r="T127" i="4"/>
  <c r="AC123" i="4"/>
  <c r="M131" i="4"/>
  <c r="AR128" i="4"/>
  <c r="Y126" i="4"/>
  <c r="AN133" i="4"/>
  <c r="T128" i="4"/>
  <c r="AM125" i="4"/>
  <c r="AL123" i="4"/>
  <c r="V131" i="4"/>
  <c r="K126" i="4"/>
  <c r="BA122" i="4"/>
  <c r="AR124" i="4"/>
  <c r="AE128" i="4"/>
  <c r="BI126" i="4"/>
  <c r="Y129" i="4"/>
  <c r="BD126" i="4"/>
  <c r="U124" i="4"/>
  <c r="BE126" i="4"/>
  <c r="O125" i="4"/>
  <c r="BP128" i="4"/>
  <c r="P131" i="4"/>
  <c r="AH122" i="4"/>
  <c r="H127" i="4"/>
  <c r="AV131" i="4"/>
  <c r="AD129" i="4"/>
  <c r="AW131" i="4"/>
  <c r="Z127" i="4"/>
  <c r="BP133" i="4"/>
  <c r="BQ130" i="4"/>
  <c r="V122" i="4"/>
  <c r="AH135" i="4"/>
  <c r="R134" i="4"/>
  <c r="Y123" i="4"/>
  <c r="G131" i="4"/>
  <c r="BN124" i="4"/>
  <c r="AT126" i="4"/>
  <c r="AI133" i="4"/>
  <c r="Z124" i="4"/>
  <c r="AT135" i="4"/>
  <c r="AX122" i="4"/>
  <c r="AY133" i="4"/>
  <c r="BN126" i="4"/>
  <c r="AC122" i="4"/>
  <c r="AB124" i="4"/>
  <c r="Y125" i="4"/>
  <c r="BE122" i="4"/>
  <c r="BQ129" i="4"/>
  <c r="I123" i="4"/>
  <c r="AD123" i="4"/>
  <c r="BR135" i="4"/>
  <c r="I131" i="4"/>
  <c r="AV128" i="4"/>
  <c r="Y124" i="4"/>
  <c r="M122" i="4"/>
  <c r="AW123" i="4"/>
  <c r="F131" i="4"/>
  <c r="AE130" i="4"/>
  <c r="BC126" i="4"/>
  <c r="AK127" i="4"/>
  <c r="BA127" i="4"/>
  <c r="BA131" i="4"/>
  <c r="BQ125" i="4"/>
  <c r="M123" i="4"/>
  <c r="U123" i="4"/>
  <c r="AH129" i="4"/>
  <c r="BD131" i="4"/>
  <c r="AA124" i="4"/>
  <c r="K132" i="4"/>
  <c r="AP129" i="4"/>
  <c r="AY122" i="4"/>
  <c r="AZ125" i="4"/>
  <c r="N131" i="4"/>
  <c r="O122" i="4"/>
  <c r="AJ124" i="4"/>
  <c r="T132" i="4"/>
  <c r="G128" i="4"/>
  <c r="AW124" i="4"/>
  <c r="AN126" i="4"/>
  <c r="W132" i="4"/>
  <c r="AM122" i="4"/>
  <c r="W130" i="4"/>
  <c r="BB127" i="4"/>
  <c r="AW126" i="4"/>
  <c r="I127" i="4"/>
  <c r="M126" i="4"/>
  <c r="AO122" i="4"/>
  <c r="G124" i="4"/>
  <c r="F125" i="4"/>
  <c r="BP132" i="4"/>
  <c r="BF134" i="4"/>
  <c r="AB134" i="4"/>
  <c r="T129" i="4"/>
  <c r="E132" i="4"/>
  <c r="BN134" i="4"/>
  <c r="AH132" i="4"/>
  <c r="BJ124" i="4"/>
  <c r="BL131" i="4"/>
  <c r="P135" i="4"/>
  <c r="W124" i="4"/>
  <c r="AJ132" i="4"/>
  <c r="J132" i="4"/>
  <c r="AH128" i="4"/>
  <c r="AG134" i="4"/>
  <c r="AZ131" i="4"/>
  <c r="AN123" i="4"/>
  <c r="BA130" i="4"/>
  <c r="AW134" i="4"/>
  <c r="BM132" i="4"/>
  <c r="S125" i="4"/>
  <c r="BI128" i="4"/>
  <c r="BL127" i="4"/>
  <c r="AF123" i="4"/>
  <c r="K127" i="4"/>
  <c r="AO129" i="4"/>
  <c r="F127" i="4"/>
  <c r="AK124" i="4"/>
  <c r="AD124" i="4"/>
  <c r="AJ135" i="4"/>
  <c r="BA124" i="4"/>
  <c r="AY126" i="4"/>
  <c r="AJ127" i="4"/>
  <c r="BB124" i="4"/>
  <c r="BQ135" i="4"/>
  <c r="BL134" i="4"/>
  <c r="BG133" i="4"/>
  <c r="BJ132" i="4"/>
  <c r="AX131" i="4"/>
  <c r="O133" i="4"/>
  <c r="BH127" i="4"/>
  <c r="J122" i="4"/>
  <c r="BA129" i="4"/>
  <c r="Z132" i="4"/>
  <c r="AS130" i="4"/>
  <c r="BL128" i="4"/>
  <c r="J127" i="4"/>
  <c r="AN124" i="4"/>
  <c r="BL135" i="4"/>
  <c r="BO134" i="4"/>
  <c r="F124" i="4"/>
  <c r="BE128" i="4"/>
  <c r="AF133" i="4"/>
  <c r="AA132" i="4"/>
  <c r="AT130" i="4"/>
  <c r="BM128" i="4"/>
  <c r="AB127" i="4"/>
  <c r="BL124" i="4"/>
  <c r="AB122" i="4"/>
  <c r="Y132" i="4"/>
  <c r="BL125" i="4"/>
  <c r="W129" i="4"/>
  <c r="AP127" i="4"/>
  <c r="P125" i="4"/>
  <c r="AT122" i="4"/>
  <c r="Q135" i="4"/>
  <c r="AR126" i="4"/>
  <c r="BR133" i="4"/>
  <c r="U125" i="4"/>
  <c r="AZ123" i="4"/>
  <c r="AR135" i="4"/>
  <c r="AM134" i="4"/>
  <c r="AH133" i="4"/>
  <c r="AC132" i="4"/>
  <c r="BJ130" i="4"/>
  <c r="AB129" i="4"/>
  <c r="AD122" i="4"/>
  <c r="AF132" i="4"/>
  <c r="I126" i="4"/>
  <c r="W128" i="4"/>
  <c r="E130" i="4"/>
  <c r="X128" i="4"/>
  <c r="J126" i="4"/>
  <c r="R123" i="4"/>
  <c r="AE135" i="4"/>
  <c r="AH134" i="4"/>
  <c r="AK133" i="4"/>
  <c r="BP129" i="4"/>
  <c r="BG135" i="4"/>
  <c r="BC131" i="4"/>
  <c r="F130" i="4"/>
  <c r="Y128" i="4"/>
  <c r="L126" i="4"/>
  <c r="AP123" i="4"/>
  <c r="AN135" i="4"/>
  <c r="AQ134" i="4"/>
  <c r="R135" i="4"/>
  <c r="AM133" i="4"/>
  <c r="AZ126" i="4"/>
  <c r="BH123" i="4"/>
  <c r="AU135" i="4"/>
  <c r="AX134" i="4"/>
  <c r="BA133" i="4"/>
  <c r="AM131" i="4"/>
  <c r="F128" i="4"/>
  <c r="F134" i="4"/>
  <c r="AG122" i="4"/>
  <c r="AT129" i="4"/>
  <c r="BC122" i="4"/>
  <c r="AM130" i="4"/>
  <c r="BR127" i="4"/>
  <c r="AI125" i="4"/>
  <c r="AD130" i="4"/>
  <c r="AI129" i="4"/>
  <c r="I129" i="4"/>
  <c r="AW127" i="4"/>
  <c r="G129" i="4"/>
  <c r="X127" i="4"/>
  <c r="AH124" i="4"/>
  <c r="BJ135" i="4"/>
  <c r="BE134" i="4"/>
  <c r="BH133" i="4"/>
  <c r="BK132" i="4"/>
  <c r="V125" i="4"/>
  <c r="AE133" i="4"/>
  <c r="BO122" i="4"/>
  <c r="AY130" i="4"/>
  <c r="X133" i="4"/>
  <c r="P132" i="4"/>
  <c r="AH130" i="4"/>
  <c r="BA128" i="4"/>
  <c r="L127" i="4"/>
  <c r="AP124" i="4"/>
  <c r="BM135" i="4"/>
  <c r="AN131" i="4"/>
  <c r="BO135" i="4"/>
  <c r="AD134" i="4"/>
  <c r="Y133" i="4"/>
  <c r="Q132" i="4"/>
  <c r="AJ130" i="4"/>
  <c r="BN128" i="4"/>
  <c r="AF127" i="4"/>
  <c r="AO130" i="4"/>
  <c r="BR122" i="4"/>
  <c r="AB130" i="4"/>
  <c r="BH130" i="4"/>
  <c r="L129" i="4"/>
  <c r="AQ127" i="4"/>
  <c r="T125" i="4"/>
  <c r="AV123" i="4"/>
  <c r="BE132" i="4"/>
  <c r="AQ129" i="4"/>
  <c r="S126" i="4"/>
  <c r="Z126" i="4"/>
  <c r="AH123" i="4"/>
  <c r="AK135" i="4"/>
  <c r="AF134" i="4"/>
  <c r="AA133" i="4"/>
  <c r="AD132" i="4"/>
  <c r="BM130" i="4"/>
  <c r="AP130" i="4"/>
  <c r="H123" i="4"/>
  <c r="G127" i="4"/>
  <c r="U129" i="4"/>
  <c r="AP131" i="4"/>
  <c r="BH129" i="4"/>
  <c r="M128" i="4"/>
  <c r="BD125" i="4"/>
  <c r="T123" i="4"/>
  <c r="AF135" i="4"/>
  <c r="AI134" i="4"/>
  <c r="AZ134" i="4"/>
  <c r="O131" i="4"/>
  <c r="BN132" i="4"/>
  <c r="AQ131" i="4"/>
  <c r="BJ129" i="4"/>
  <c r="N128" i="4"/>
  <c r="N126" i="4"/>
  <c r="AR123" i="4"/>
  <c r="AO135" i="4"/>
  <c r="S129" i="4"/>
  <c r="BF128" i="4"/>
  <c r="AL128" i="4"/>
  <c r="AH126" i="4"/>
  <c r="BL123" i="4"/>
  <c r="AV135" i="4"/>
  <c r="AY134" i="4"/>
  <c r="AX135" i="4"/>
  <c r="AI135" i="4"/>
  <c r="P127" i="4"/>
  <c r="BC129" i="4"/>
  <c r="AY135" i="4"/>
  <c r="AK134" i="4"/>
  <c r="AB135" i="4"/>
  <c r="W134" i="4"/>
  <c r="R133" i="4"/>
  <c r="F132" i="4"/>
  <c r="AK130" i="4"/>
  <c r="BQ128" i="4"/>
  <c r="J135" i="4"/>
  <c r="BN130" i="4"/>
  <c r="AG133" i="4"/>
  <c r="AB132" i="4"/>
  <c r="AW130" i="4"/>
  <c r="N129" i="4"/>
  <c r="AR127" i="4"/>
  <c r="Z131" i="4"/>
  <c r="X124" i="4"/>
  <c r="AC130" i="4"/>
  <c r="Q127" i="4"/>
  <c r="V128" i="4"/>
  <c r="F126" i="4"/>
  <c r="P123" i="4"/>
  <c r="AD135" i="4"/>
  <c r="Y134" i="4"/>
  <c r="AB133" i="4"/>
  <c r="AE132" i="4"/>
  <c r="K135" i="4"/>
  <c r="BP130" i="4"/>
  <c r="AI122" i="4"/>
  <c r="S130" i="4"/>
  <c r="BF132" i="4"/>
  <c r="AE131" i="4"/>
  <c r="AV129" i="4"/>
  <c r="BO127" i="4"/>
  <c r="BH125" i="4"/>
  <c r="X123" i="4"/>
  <c r="AG135" i="4"/>
  <c r="AG128" i="4"/>
  <c r="AV124" i="4"/>
  <c r="BL133" i="4"/>
  <c r="BG132" i="4"/>
  <c r="AF131" i="4"/>
  <c r="AY129" i="4"/>
  <c r="P128" i="4"/>
  <c r="R126" i="4"/>
  <c r="AH127" i="4"/>
  <c r="U134" i="4"/>
  <c r="BP125" i="4"/>
  <c r="I130" i="4"/>
  <c r="Z128" i="4"/>
  <c r="AJ126" i="4"/>
  <c r="BN123" i="4"/>
  <c r="AW135" i="4"/>
  <c r="BR129" i="4"/>
  <c r="BN131" i="4"/>
  <c r="AY124" i="4"/>
  <c r="P122" i="4"/>
  <c r="BN129" i="4"/>
  <c r="AO123" i="4"/>
  <c r="AW128" i="4"/>
  <c r="E123" i="4"/>
  <c r="AE127" i="4"/>
  <c r="AS129" i="4"/>
  <c r="N132" i="4"/>
  <c r="AG130" i="4"/>
  <c r="AX128" i="4"/>
  <c r="BB126" i="4"/>
  <c r="R124" i="4"/>
  <c r="BD135" i="4"/>
  <c r="BG134" i="4"/>
  <c r="AZ122" i="4"/>
  <c r="AT124" i="4"/>
  <c r="BK124" i="4"/>
  <c r="BB122" i="4"/>
  <c r="T135" i="4"/>
  <c r="O134" i="4"/>
  <c r="J133" i="4"/>
  <c r="BG131" i="4"/>
  <c r="Y130" i="4"/>
  <c r="BD128" i="4"/>
  <c r="AR134" i="4"/>
  <c r="N130" i="4"/>
  <c r="BQ134" i="4"/>
  <c r="BF122" i="4"/>
  <c r="U135" i="4"/>
  <c r="P134" i="4"/>
  <c r="K133" i="4"/>
  <c r="H132" i="4"/>
  <c r="AL130" i="4"/>
  <c r="F129" i="4"/>
  <c r="Z135" i="4"/>
  <c r="AE134" i="4"/>
  <c r="Z133" i="4"/>
  <c r="R132" i="4"/>
  <c r="AX130" i="4"/>
  <c r="O129" i="4"/>
  <c r="AP135" i="4"/>
  <c r="AY131" i="4"/>
  <c r="BO125" i="4"/>
  <c r="O128" i="4"/>
  <c r="BG129" i="4"/>
  <c r="J128" i="4"/>
  <c r="BB125" i="4"/>
  <c r="BJ122" i="4"/>
  <c r="W135" i="4"/>
  <c r="Z134" i="4"/>
  <c r="AC133" i="4"/>
  <c r="P129" i="4"/>
  <c r="AA135" i="4"/>
  <c r="AG123" i="4"/>
  <c r="Q131" i="4"/>
  <c r="BD133" i="4"/>
  <c r="AY132" i="4"/>
  <c r="S131" i="4"/>
  <c r="AL129" i="4"/>
  <c r="BP127" i="4"/>
  <c r="BJ125" i="4"/>
  <c r="T126" i="4"/>
  <c r="BC133" i="4"/>
  <c r="AJ134" i="4"/>
  <c r="BJ134" i="4"/>
  <c r="BE133" i="4"/>
  <c r="AZ132" i="4"/>
  <c r="T131" i="4"/>
  <c r="AZ129" i="4"/>
  <c r="Q128" i="4"/>
  <c r="N133" i="4"/>
  <c r="BG127" i="4"/>
  <c r="R127" i="4"/>
  <c r="AR131" i="4"/>
  <c r="BK129" i="4"/>
  <c r="AC128" i="4"/>
  <c r="AL126" i="4"/>
  <c r="R128" i="4"/>
  <c r="BA134" i="4"/>
  <c r="AR129" i="4"/>
  <c r="BO126" i="4"/>
  <c r="BB131" i="4"/>
  <c r="Q123" i="4"/>
  <c r="S123" i="4"/>
  <c r="AW125" i="4"/>
  <c r="N123" i="4"/>
  <c r="BL130" i="4"/>
  <c r="AK125" i="4"/>
  <c r="AK129" i="4"/>
  <c r="BM125" i="4"/>
  <c r="BG122" i="4"/>
  <c r="AQ130" i="4"/>
  <c r="P133" i="4"/>
  <c r="BP131" i="4"/>
  <c r="U130" i="4"/>
  <c r="AN128" i="4"/>
  <c r="BF126" i="4"/>
  <c r="V124" i="4"/>
  <c r="BE135" i="4"/>
  <c r="BB130" i="4"/>
  <c r="E134" i="4"/>
  <c r="BI125" i="4"/>
  <c r="AB125" i="4"/>
  <c r="AJ122" i="4"/>
  <c r="M135" i="4"/>
  <c r="H134" i="4"/>
  <c r="BQ132" i="4"/>
  <c r="BH131" i="4"/>
  <c r="Z130" i="4"/>
  <c r="U128" i="4"/>
  <c r="BH134" i="4"/>
  <c r="BK127" i="4"/>
  <c r="AD125" i="4"/>
  <c r="AL122" i="4"/>
  <c r="N135" i="4"/>
  <c r="I134" i="4"/>
  <c r="L133" i="4"/>
  <c r="I132" i="4"/>
  <c r="M134" i="4"/>
  <c r="AE129" i="4"/>
  <c r="AC135" i="4"/>
  <c r="X134" i="4"/>
  <c r="S133" i="4"/>
  <c r="U132" i="4"/>
  <c r="AZ130" i="4"/>
  <c r="BD129" i="4"/>
  <c r="BF135" i="4"/>
  <c r="BM126" i="4"/>
  <c r="M129" i="4"/>
  <c r="AB131" i="4"/>
  <c r="AU129" i="4"/>
  <c r="BN127" i="4"/>
  <c r="AJ125" i="4"/>
  <c r="BN122" i="4"/>
  <c r="X135" i="4"/>
  <c r="AA134" i="4"/>
  <c r="T134" i="4"/>
  <c r="H128" i="4"/>
  <c r="AE124" i="4"/>
  <c r="O132" i="4"/>
  <c r="BB134" i="4"/>
  <c r="AW133" i="4"/>
  <c r="AR132" i="4"/>
  <c r="H131" i="4"/>
  <c r="AM129" i="4"/>
  <c r="E128" i="4"/>
  <c r="AV132" i="4"/>
  <c r="BJ126" i="4"/>
  <c r="BP134" i="4"/>
  <c r="BH135" i="4"/>
  <c r="BC134" i="4"/>
  <c r="AX133" i="4"/>
  <c r="AS132" i="4"/>
  <c r="W131" i="4"/>
  <c r="BB129" i="4"/>
  <c r="BR124" i="4"/>
  <c r="AD133" i="4"/>
  <c r="BM133" i="4"/>
  <c r="BH132" i="4"/>
  <c r="AH131" i="4"/>
  <c r="BL129" i="4"/>
  <c r="AD128" i="4"/>
  <c r="AT133" i="4"/>
  <c r="AS128" i="4"/>
  <c r="S127" i="4"/>
  <c r="BK128" i="4"/>
  <c r="AE123" i="4"/>
  <c r="M125" i="4"/>
  <c r="Q124" i="4"/>
  <c r="AU126" i="4"/>
  <c r="L124" i="4"/>
  <c r="BJ131" i="4"/>
  <c r="AG127" i="4"/>
  <c r="AG131" i="4"/>
  <c r="BE129" i="4"/>
  <c r="BE123" i="4"/>
  <c r="AO131" i="4"/>
  <c r="N134" i="4"/>
  <c r="I133" i="4"/>
  <c r="BF131" i="4"/>
  <c r="J130" i="4"/>
  <c r="AO128" i="4"/>
  <c r="BH126" i="4"/>
  <c r="BR128" i="4"/>
  <c r="S135" i="4"/>
  <c r="AO132" i="4"/>
  <c r="BG126" i="4"/>
  <c r="AX127" i="4"/>
  <c r="H125" i="4"/>
  <c r="R122" i="4"/>
  <c r="F135" i="4"/>
  <c r="BO133" i="4"/>
  <c r="BR132" i="4"/>
  <c r="BK131" i="4"/>
  <c r="AU133" i="4"/>
  <c r="AT128" i="4"/>
  <c r="AF129" i="4"/>
  <c r="AY127" i="4"/>
  <c r="L125" i="4"/>
  <c r="T122" i="4"/>
  <c r="G135" i="4"/>
  <c r="J134" i="4"/>
  <c r="M133" i="4"/>
  <c r="AU127" i="4"/>
  <c r="AC134" i="4"/>
  <c r="BH122" i="4"/>
  <c r="V135" i="4"/>
  <c r="Q134" i="4"/>
  <c r="T133" i="4"/>
  <c r="V132" i="4"/>
  <c r="AS134" i="4"/>
  <c r="Q130" i="4"/>
  <c r="AA122" i="4"/>
  <c r="K130" i="4"/>
  <c r="AX132" i="4"/>
  <c r="R131" i="4"/>
  <c r="AJ129" i="4"/>
  <c r="BC127" i="4"/>
  <c r="AL125" i="4"/>
  <c r="BP122" i="4"/>
  <c r="Y135" i="4"/>
  <c r="AV127" i="4"/>
  <c r="BN135" i="4"/>
  <c r="AC125" i="4"/>
  <c r="H124" i="4"/>
  <c r="AZ135" i="4"/>
  <c r="AU134" i="4"/>
  <c r="AP133" i="4"/>
  <c r="AK132" i="4"/>
  <c r="J131" i="4"/>
  <c r="AN129" i="4"/>
  <c r="AX123" i="4"/>
  <c r="BL132" i="4"/>
  <c r="BP126" i="4"/>
  <c r="J124" i="4"/>
  <c r="BA135" i="4"/>
  <c r="AV134" i="4"/>
  <c r="AQ133" i="4"/>
  <c r="AT132" i="4"/>
  <c r="X131" i="4"/>
  <c r="M132" i="4"/>
  <c r="AT125" i="4"/>
  <c r="BK134" i="4"/>
  <c r="BF133" i="4"/>
  <c r="BA132" i="4"/>
  <c r="AI131" i="4"/>
  <c r="BO129" i="4"/>
  <c r="V126" i="4"/>
  <c r="BJ13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3918A722-5DA0-46E7-9636-19AFF6A53BD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B7BFF688-8FF7-43E4-8A6E-0410D9C0BB23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DC0EB8C3-F1F4-4202-81F8-4EF95141A1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A63E3F70-D42B-4D47-A850-448E34E73C5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B1" authorId="0" shapeId="0" xr:uid="{4AC65004-1483-48A2-B8CC-307A7E8FE6C7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 shapeId="0" xr:uid="{72C223DB-F1A0-4167-8568-7A71915FB086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 shapeId="0" xr:uid="{68F935A8-FE0E-4490-936D-2ACED3759B68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 shapeId="0" xr:uid="{8D170626-7B29-47C7-8553-8611A55ABFFE}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<sst xmlns="http://schemas.openxmlformats.org/spreadsheetml/2006/main" count="169" uniqueCount="82">
  <si>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</si>
  <si>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</si>
  <si>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</si>
  <si>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</si>
  <si>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</si>
  <si>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</si>
  <si>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</si>
  <si>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</si>
  <si>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</si>
  <si>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</si>
  <si>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</si>
  <si>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</si>
  <si>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</si>
  <si>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</si>
  <si>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</si>
  <si>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</si>
  <si>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</si>
  <si>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</si>
  <si>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</si>
  <si>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</si>
  <si>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</si>
  <si>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</si>
  <si>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</si>
  <si>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</si>
  <si>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</si>
  <si>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</si>
  <si>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</si>
  <si>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</si>
  <si>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</si>
  <si>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</si>
  <si>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</si>
  <si>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</si>
  <si>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</si>
  <si>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</si>
  <si>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</si>
  <si>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</si>
  <si>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</si>
  <si>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</si>
  <si>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</si>
  <si>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</si>
  <si>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</si>
  <si>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</si>
  <si>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</si>
  <si>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</si>
  <si>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</si>
  <si>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</si>
  <si>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</si>
  <si>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</si>
  <si>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</si>
  <si>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end</t>
  </si>
  <si>
    <t>Se?</t>
  </si>
  <si>
    <t>(l)GaEU</t>
  </si>
  <si>
    <t>(DGeEU</t>
  </si>
  <si>
    <t>(DSeEU</t>
  </si>
  <si>
    <t>(DGeSeEU</t>
  </si>
  <si>
    <t>jXAr)</t>
  </si>
  <si>
    <t>p(Ga)</t>
  </si>
  <si>
    <t>p(Ge)</t>
  </si>
  <si>
    <t>p(Se)</t>
  </si>
  <si>
    <t>Vapor</t>
  </si>
  <si>
    <r>
      <t>Temperature,</t>
    </r>
    <r>
      <rPr>
        <sz val="7.5"/>
        <rFont val="Arial"/>
        <family val="2"/>
        <charset val="204"/>
      </rPr>
      <t>К</t>
    </r>
  </si>
  <si>
    <r>
      <t>*GaSe</t>
    </r>
    <r>
      <rPr>
        <vertAlign val="subscript"/>
        <sz val="7.5"/>
        <rFont val="Arial"/>
        <family val="2"/>
        <charset val="204"/>
      </rPr>
      <t>2</t>
    </r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</si>
  <si>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</si>
  <si>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</si>
  <si>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e</t>
    </r>
  </si>
  <si>
    <r>
      <t>Se</t>
    </r>
    <r>
      <rPr>
        <vertAlign val="subscript"/>
        <sz val="7.5"/>
        <rFont val="Arial"/>
        <family val="2"/>
        <charset val="204"/>
      </rPr>
      <t>8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</si>
  <si>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</si>
  <si>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</si>
  <si>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r>
      <t>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</si>
  <si>
    <t>Temperature,К</t>
  </si>
  <si>
    <t>*GaSe2</t>
  </si>
  <si>
    <t>Se4</t>
  </si>
  <si>
    <t>Se5</t>
  </si>
  <si>
    <t>See</t>
  </si>
  <si>
    <t>Se8</t>
  </si>
  <si>
    <t>Se3</t>
  </si>
  <si>
    <t>Se2</t>
  </si>
  <si>
    <t>Ga2Se</t>
  </si>
  <si>
    <t>(l)Ga[l]</t>
  </si>
  <si>
    <t>(1)Ge[l]</t>
  </si>
  <si>
    <t>(1)Se[l]</t>
  </si>
  <si>
    <t>(1)GeSe[l]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</si>
</sst>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E+00"/>
    <numFmt numFmtId="165" formatCode="0.000"/>
  </numFmts>
  <fonts count="33" x14ac:knownFonts="1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Arial"/>
      <family val="2"/>
      <charset val="204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20" fillId="3" borderId="1">
      <alignment horizontal="center" vertical="center"/>
    </xf>
    <xf numFmtId="164" fontId="10" fillId="0" borderId="0"/>
    <xf numFmtId="164" fontId="10" fillId="0" borderId="0"/>
    <xf numFmtId="0" fontId="23" fillId="0" borderId="0" applyNumberFormat="0" applyFont="0" applyFill="0" applyBorder="0" applyAlignment="0" applyProtection="0">
      <alignment vertical="top"/>
    </xf>
  </cellStyleXfs>
  <cellXfs count="129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4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5" fillId="11" borderId="9" xfId="0" applyNumberFormat="1" applyFont="1" applyFill="1" applyBorder="1" applyAlignment="1">
      <alignment horizontal="center" vertical="center"/>
    </xf>
    <xf numFmtId="0" fontId="20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21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13" fillId="0" borderId="0" xfId="0" applyNumberFormat="1" applyFont="1" applyFill="1" applyBorder="1" applyAlignment="1" applyProtection="1">
      <alignment vertical="top"/>
    </xf>
    <xf numFmtId="11" fontId="23" fillId="0" borderId="0" xfId="0" applyNumberFormat="1" applyFont="1" applyFill="1" applyBorder="1" applyAlignment="1" applyProtection="1">
      <alignment vertical="top"/>
    </xf>
    <xf numFmtId="11" fontId="24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5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5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6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8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9" fillId="0" borderId="0" xfId="0" applyNumberFormat="1" applyFont="1"/>
    <xf numFmtId="164" fontId="29" fillId="0" borderId="0" xfId="0" applyNumberFormat="1" applyFont="1" applyAlignment="1"/>
    <xf numFmtId="1" fontId="8" fillId="7" borderId="31" xfId="2" applyBorder="1">
      <alignment horizontal="left" vertical="center"/>
    </xf>
    <xf numFmtId="164" fontId="10" fillId="0" borderId="0" xfId="7"/>
    <xf numFmtId="1" fontId="8" fillId="7" borderId="32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30" fillId="0" borderId="0" xfId="0" applyFont="1"/>
    <xf numFmtId="0" fontId="0" fillId="0" borderId="0" xfId="0"/>
    <xf numFmtId="1" fontId="16" fillId="7" borderId="14" xfId="2" applyFont="1" applyBorder="1" applyAlignment="1">
      <alignment horizontal="center" vertical="center"/>
    </xf>
    <xf numFmtId="1" fontId="16" fillId="7" borderId="6" xfId="2" applyFont="1" applyBorder="1" applyAlignment="1">
      <alignment horizontal="center" vertical="center"/>
    </xf>
    <xf numFmtId="0" fontId="0" fillId="0" borderId="0" xfId="0"/>
    <xf numFmtId="0" fontId="22" fillId="2" borderId="0" xfId="0" applyFont="1" applyFill="1" applyAlignment="1">
      <alignment horizontal="center" vertical="center" wrapText="1"/>
    </xf>
    <xf numFmtId="0" fontId="22" fillId="6" borderId="0" xfId="0" applyFont="1" applyFill="1" applyAlignment="1">
      <alignment horizontal="center" vertical="center" wrapText="1"/>
    </xf>
    <xf numFmtId="0" fontId="23" fillId="0" borderId="0" xfId="9" applyNumberFormat="1" applyFont="1" applyFill="1" applyBorder="1" applyAlignment="1" applyProtection="1">
      <alignment vertical="top"/>
    </xf>
    <xf numFmtId="0" fontId="31" fillId="0" borderId="33" xfId="9" applyNumberFormat="1" applyFont="1" applyFill="1" applyBorder="1" applyAlignment="1" applyProtection="1">
      <alignment horizontal="left"/>
    </xf>
    <xf numFmtId="0" fontId="31" fillId="0" borderId="33" xfId="9" applyNumberFormat="1" applyFont="1" applyFill="1" applyBorder="1" applyAlignment="1" applyProtection="1">
      <alignment horizontal="center"/>
    </xf>
    <xf numFmtId="0" fontId="31" fillId="0" borderId="33" xfId="9" applyNumberFormat="1" applyFont="1" applyFill="1" applyBorder="1" applyAlignment="1" applyProtection="1">
      <alignment horizontal="right"/>
    </xf>
    <xf numFmtId="0" fontId="31" fillId="0" borderId="24" xfId="9" applyNumberFormat="1" applyFont="1" applyFill="1" applyBorder="1" applyAlignment="1" applyProtection="1">
      <alignment horizontal="left"/>
    </xf>
    <xf numFmtId="0" fontId="31" fillId="0" borderId="33" xfId="9" applyNumberFormat="1" applyFont="1" applyFill="1" applyBorder="1" applyAlignment="1" applyProtection="1">
      <alignment horizontal="left" vertical="top"/>
    </xf>
    <xf numFmtId="0" fontId="31" fillId="0" borderId="10" xfId="9" applyNumberFormat="1" applyFont="1" applyFill="1" applyBorder="1" applyAlignment="1" applyProtection="1">
      <alignment horizontal="left" vertical="top"/>
    </xf>
    <xf numFmtId="0" fontId="31" fillId="0" borderId="33" xfId="9" applyNumberFormat="1" applyFont="1" applyFill="1" applyBorder="1" applyAlignment="1" applyProtection="1">
      <alignment horizontal="left" indent="4"/>
    </xf>
    <xf numFmtId="11" fontId="31" fillId="0" borderId="24" xfId="9" applyNumberFormat="1" applyFont="1" applyFill="1" applyBorder="1" applyAlignment="1" applyProtection="1">
      <alignment horizontal="center"/>
    </xf>
    <xf numFmtId="11" fontId="31" fillId="0" borderId="24" xfId="9" applyNumberFormat="1" applyFont="1" applyFill="1" applyBorder="1" applyAlignment="1" applyProtection="1">
      <alignment horizontal="justify"/>
    </xf>
    <xf numFmtId="11" fontId="31" fillId="0" borderId="33" xfId="9" applyNumberFormat="1" applyFont="1" applyFill="1" applyBorder="1" applyAlignment="1" applyProtection="1">
      <alignment horizontal="center"/>
    </xf>
    <xf numFmtId="11" fontId="31" fillId="0" borderId="33" xfId="9" applyNumberFormat="1" applyFont="1" applyFill="1" applyBorder="1" applyAlignment="1" applyProtection="1">
      <alignment horizontal="justify"/>
    </xf>
    <xf numFmtId="11" fontId="31" fillId="0" borderId="33" xfId="9" applyNumberFormat="1" applyFont="1" applyFill="1" applyBorder="1" applyAlignment="1" applyProtection="1">
      <alignment horizontal="center" vertical="top"/>
    </xf>
    <xf numFmtId="11" fontId="31" fillId="0" borderId="33" xfId="9" applyNumberFormat="1" applyFont="1" applyFill="1" applyBorder="1" applyAlignment="1" applyProtection="1">
      <alignment horizontal="justify" vertical="top"/>
    </xf>
    <xf numFmtId="11" fontId="31" fillId="0" borderId="10" xfId="9" applyNumberFormat="1" applyFont="1" applyFill="1" applyBorder="1" applyAlignment="1" applyProtection="1">
      <alignment horizontal="center" vertical="top"/>
    </xf>
    <xf numFmtId="11" fontId="31" fillId="0" borderId="10" xfId="9" applyNumberFormat="1" applyFont="1" applyFill="1" applyBorder="1" applyAlignment="1" applyProtection="1">
      <alignment horizontal="justify" vertical="top"/>
    </xf>
  </cellXfs>
  <cellStyles count="10">
    <cellStyle name="Ввод" xfId="6" xr:uid="{A9A7DDE3-643E-4013-945F-2DCD94967680}"/>
    <cellStyle name="Ввод_Данные" xfId="8" xr:uid="{960221D4-7DEA-4526-97E1-BCE2A0247B24}"/>
    <cellStyle name="Выделение" xfId="5" xr:uid="{37775524-F980-4450-AF6C-9C309192D59A}"/>
    <cellStyle name="Данные" xfId="7" xr:uid="{EEF62ACF-781B-41BC-8B45-3A8C42DFFB61}"/>
    <cellStyle name="Заглавие" xfId="1" xr:uid="{4208A270-18DD-410E-8837-B08A76518C4A}"/>
    <cellStyle name="Заголовок" xfId="2" xr:uid="{9303C5E4-F101-4E3B-B5E9-8F618981352D}"/>
    <cellStyle name="Заголовок2" xfId="3" xr:uid="{DC978976-E92D-4926-BFE4-AB0167FB91D0}"/>
    <cellStyle name="Обычный" xfId="0" builtinId="0"/>
    <cellStyle name="Обычный_dfluid1" xfId="9" xr:uid="{E5915AED-4AEA-44AE-B63F-B6A6E2403F8B}"/>
    <cellStyle name="Форм" xfId="4" xr:uid="{810E17FE-2F7B-4E62-B173-29B9F2A26C86}"/>
  </cellStyles>
  <dxfs count="2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8997"/>
          <c:h val="0.8012453667849937"/>
        </c:manualLayout>
      </c:layout>
      <c:scatterChart>
        <c:scatterStyle val="lineMarker"/>
        <c:varyColors val="0"/>
        <c:ser>
          <c:idx val="2"/>
          <c:order val="2"/>
          <c:tx>
            <c:strRef>
              <c:f>ALL!$E$6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3"/>
          <c:tx>
            <c:strRef>
              <c:f>ALL!$E$7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4"/>
          <c:tx>
            <c:strRef>
              <c:f>ALL!$E$8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Р1+Р3+газ без Ar</c:v>
                  </c:pt>
                  <c:pt idx="2">
                    <c:v>Р1+Р3+газ без Ar</c:v>
                  </c:pt>
                  <c:pt idx="3">
                    <c:v>Р1+Р3+газ без Ar</c:v>
                  </c:pt>
                  <c:pt idx="4">
                    <c:v>Р1+Р3+газ без Ar</c:v>
                  </c:pt>
                  <c:pt idx="5">
                    <c:v>Р1+Р3+газ без Ar</c:v>
                  </c:pt>
                  <c:pt idx="6">
                    <c:v>Р1+Р3+газ без Ar</c:v>
                  </c:pt>
                  <c:pt idx="7">
                    <c:v>Р1+Р3+газ без Ar</c:v>
                  </c:pt>
                  <c:pt idx="8">
                    <c:v>Р1+Р3+газ без Ar</c:v>
                  </c:pt>
                  <c:pt idx="9">
                    <c:v>Р1+Р3+газ без Ar</c:v>
                  </c:pt>
                  <c:pt idx="10">
                    <c:v>Р1+Р3+газ без Ar</c:v>
                  </c:pt>
                  <c:pt idx="11">
                    <c:v>Р1+Р3+газ без Ar</c:v>
                  </c:pt>
                  <c:pt idx="12">
                    <c:v>Р1+Р3+газ без Ar</c:v>
                  </c:pt>
                  <c:pt idx="13">
                    <c:v>Р1+Р3+газ без Ar</c:v>
                  </c:pt>
                  <c:pt idx="14">
                    <c:v>Р1+Р3+газ без Ar</c:v>
                  </c:pt>
                  <c:pt idx="15">
                    <c:v>Р1+Р3+газ без Ar</c:v>
                  </c:pt>
                  <c:pt idx="16">
                    <c:v>Р1+Р3+газ без Ar</c:v>
                  </c:pt>
                  <c:pt idx="17">
                    <c:v>Р1+Р3+газ без Ar</c:v>
                  </c:pt>
                  <c:pt idx="18">
                    <c:v>Р1+Р3+газ без Ar</c:v>
                  </c:pt>
                  <c:pt idx="19">
                    <c:v>Р1+Р3+газ без Ar</c:v>
                  </c:pt>
                  <c:pt idx="20">
                    <c:v>Р1+Р3+газ без Ar</c:v>
                  </c:pt>
                  <c:pt idx="21">
                    <c:v>Р1+Р3+газ без Ar</c:v>
                  </c:pt>
                  <c:pt idx="22">
                    <c:v>Р1+Р3+газ без Ar</c:v>
                  </c:pt>
                  <c:pt idx="23">
                    <c:v>Р1+Р3+газ без Ar</c:v>
                  </c:pt>
                  <c:pt idx="24">
                    <c:v>Р1+Р3+газ без Ar</c:v>
                  </c:pt>
                  <c:pt idx="25">
                    <c:v>Р1+Р3+газ без Ar</c:v>
                  </c:pt>
                  <c:pt idx="26">
                    <c:v>Р1+Р3+газ без Ar</c:v>
                  </c:pt>
                  <c:pt idx="27">
                    <c:v>Р1+Р3+газ без Ar</c:v>
                  </c:pt>
                  <c:pt idx="28">
                    <c:v>Р1+Р3+газ без Ar</c:v>
                  </c:pt>
                  <c:pt idx="29">
                    <c:v>Р1+Р3+газ без Ar</c:v>
                  </c:pt>
                  <c:pt idx="30">
                    <c:v>Р1+Р3+газ без Ar</c:v>
                  </c:pt>
                  <c:pt idx="31">
                    <c:v>Р1+Р3+газ без Ar</c:v>
                  </c:pt>
                  <c:pt idx="32">
                    <c:v>Р1+Р3+газ без Ar</c:v>
                  </c:pt>
                  <c:pt idx="33">
                    <c:v>Р1+Р3+газ без Ar</c:v>
                  </c:pt>
                </c:lvl>
                <c:lvl>
                  <c:pt idx="0">
                    <c:v>Раствор 3 + газовая без Ar: </c:v>
                  </c:pt>
                  <c:pt idx="1">
                    <c:v>Раствор 3 + газовая без Ar: </c:v>
                  </c:pt>
                  <c:pt idx="2">
                    <c:v>Раствор 3 + газовая без Ar: </c:v>
                  </c:pt>
                  <c:pt idx="3">
                    <c:v>Раствор 3 + газовая без Ar: </c:v>
                  </c:pt>
                  <c:pt idx="4">
                    <c:v>Раствор 3 + газовая без Ar: </c:v>
                  </c:pt>
                  <c:pt idx="5">
                    <c:v>Раствор 3 + газовая без Ar: </c:v>
                  </c:pt>
                  <c:pt idx="6">
                    <c:v>Раствор 3 + газовая без Ar: </c:v>
                  </c:pt>
                  <c:pt idx="7">
                    <c:v>Раствор 3 + газовая без Ar: </c:v>
                  </c:pt>
                  <c:pt idx="8">
                    <c:v>Раствор 3 + газовая без Ar: </c:v>
                  </c:pt>
                  <c:pt idx="9">
                    <c:v>Раствор 3 + газовая без Ar: </c:v>
                  </c:pt>
                  <c:pt idx="10">
                    <c:v>Раствор 3 + газовая без Ar: </c:v>
                  </c:pt>
                  <c:pt idx="11">
                    <c:v>Раствор 3 + газовая без Ar: </c:v>
                  </c:pt>
                  <c:pt idx="12">
                    <c:v>Раствор 3 + газовая без Ar: </c:v>
                  </c:pt>
                  <c:pt idx="13">
                    <c:v>Раствор 3 + газовая без Ar: </c:v>
                  </c:pt>
                  <c:pt idx="14">
                    <c:v>Раствор 3 + газовая без Ar: </c:v>
                  </c:pt>
                  <c:pt idx="15">
                    <c:v>Раствор 3 + газовая без Ar: </c:v>
                  </c:pt>
                  <c:pt idx="16">
                    <c:v>Раствор 3 + газовая без Ar: </c:v>
                  </c:pt>
                  <c:pt idx="17">
                    <c:v>Раствор 3 + газовая без Ar: </c:v>
                  </c:pt>
                  <c:pt idx="18">
                    <c:v>Раствор 3 + газовая без Ar: </c:v>
                  </c:pt>
                  <c:pt idx="19">
                    <c:v>Раствор 3 + газовая без Ar: </c:v>
                  </c:pt>
                  <c:pt idx="20">
                    <c:v>Раствор 3 + газовая без Ar: </c:v>
                  </c:pt>
                  <c:pt idx="21">
                    <c:v>Раствор 3 + газовая без Ar: </c:v>
                  </c:pt>
                  <c:pt idx="22">
                    <c:v>Раствор 3 + газовая без Ar: </c:v>
                  </c:pt>
                  <c:pt idx="23">
                    <c:v>Раствор 3 + газовая без Ar: </c:v>
                  </c:pt>
                  <c:pt idx="24">
                    <c:v>Раствор 3 + газовая без Ar: </c:v>
                  </c:pt>
                  <c:pt idx="25">
                    <c:v>Раствор 3 + газовая без Ar: </c:v>
                  </c:pt>
                  <c:pt idx="26">
                    <c:v>Раствор 3 + газовая без Ar: </c:v>
                  </c:pt>
                  <c:pt idx="27">
                    <c:v>Раствор 3 + газовая без Ar: </c:v>
                  </c:pt>
                  <c:pt idx="28">
                    <c:v>Раствор 3 + газовая без Ar: </c:v>
                  </c:pt>
                  <c:pt idx="29">
                    <c:v>Раствор 3 + газовая без Ar: </c:v>
                  </c:pt>
                  <c:pt idx="30">
                    <c:v>Раствор 3 + газовая без Ar: </c:v>
                  </c:pt>
                  <c:pt idx="31">
                    <c:v>Раствор 3 + газовая без Ar: </c:v>
                  </c:pt>
                  <c:pt idx="32">
                    <c:v>Раствор 3 + газовая без Ar: </c:v>
                  </c:pt>
                  <c:pt idx="33">
                    <c:v>Раствор 3 + газовая без Ar: </c:v>
                  </c:pt>
                </c:lvl>
                <c:lvl>
                  <c:pt idx="0">
                    <c:v>Раствор 1 + газовая без Ar: </c:v>
                  </c:pt>
                  <c:pt idx="1">
                    <c:v>Раствор 1 + газовая без Ar: </c:v>
                  </c:pt>
                  <c:pt idx="2">
                    <c:v>Раствор 1 + газовая без Ar: </c:v>
                  </c:pt>
                  <c:pt idx="3">
                    <c:v>Раствор 1 + газовая без Ar: </c:v>
                  </c:pt>
                  <c:pt idx="4">
                    <c:v>Раствор 1 + газовая без Ar: </c:v>
                  </c:pt>
                  <c:pt idx="5">
                    <c:v>Раствор 1 + газовая без Ar: </c:v>
                  </c:pt>
                  <c:pt idx="6">
                    <c:v>Раствор 1 + газовая без Ar: </c:v>
                  </c:pt>
                  <c:pt idx="7">
                    <c:v>Раствор 1 + газовая без Ar: </c:v>
                  </c:pt>
                  <c:pt idx="8">
                    <c:v>Раствор 1 + газовая без Ar: </c:v>
                  </c:pt>
                  <c:pt idx="9">
                    <c:v>Раствор 1 + газовая без Ar: </c:v>
                  </c:pt>
                  <c:pt idx="10">
                    <c:v>Раствор 1 + газовая без Ar: </c:v>
                  </c:pt>
                  <c:pt idx="11">
                    <c:v>Раствор 1 + газовая без Ar: </c:v>
                  </c:pt>
                  <c:pt idx="12">
                    <c:v>Раствор 1 + газовая без Ar: </c:v>
                  </c:pt>
                  <c:pt idx="13">
                    <c:v>Раствор 1 + газовая без Ar: </c:v>
                  </c:pt>
                  <c:pt idx="14">
                    <c:v>Раствор 1 + газовая без Ar: </c:v>
                  </c:pt>
                  <c:pt idx="15">
                    <c:v>Раствор 1 + газовая без Ar: </c:v>
                  </c:pt>
                  <c:pt idx="16">
                    <c:v>Раствор 1 + газовая без Ar: </c:v>
                  </c:pt>
                  <c:pt idx="17">
                    <c:v>Раствор 1 + газовая без Ar: </c:v>
                  </c:pt>
                  <c:pt idx="18">
                    <c:v>Раствор 1 + газовая без Ar: </c:v>
                  </c:pt>
                  <c:pt idx="19">
                    <c:v>Раствор 1 + газовая без Ar: </c:v>
                  </c:pt>
                  <c:pt idx="20">
                    <c:v>Раствор 1 + газовая без Ar: </c:v>
                  </c:pt>
                  <c:pt idx="21">
                    <c:v>Раствор 1 + газовая без Ar: </c:v>
                  </c:pt>
                  <c:pt idx="22">
                    <c:v>Раствор 1 + газовая без Ar: </c:v>
                  </c:pt>
                  <c:pt idx="23">
                    <c:v>Раствор 1 + газовая без Ar: </c:v>
                  </c:pt>
                  <c:pt idx="24">
                    <c:v>Раствор 1 + газовая без Ar: </c:v>
                  </c:pt>
                  <c:pt idx="25">
                    <c:v>Раствор 1 + газовая без Ar: </c:v>
                  </c:pt>
                  <c:pt idx="26">
                    <c:v>Раствор 1 + газовая без Ar: </c:v>
                  </c:pt>
                  <c:pt idx="27">
                    <c:v>Раствор 1 + газовая без Ar: </c:v>
                  </c:pt>
                  <c:pt idx="28">
                    <c:v>Раствор 1 + газовая без Ar: </c:v>
                  </c:pt>
                  <c:pt idx="29">
                    <c:v>Раствор 1 + газовая без Ar: </c:v>
                  </c:pt>
                  <c:pt idx="30">
                    <c:v>Раствор 1 + газовая без Ar: </c:v>
                  </c:pt>
                  <c:pt idx="31">
                    <c:v>Раствор 1 + газовая без Ar: </c:v>
                  </c:pt>
                  <c:pt idx="32">
                    <c:v>Раствор 1 + газовая без Ar: </c:v>
                  </c:pt>
                  <c:pt idx="33">
                    <c:v>Раствор 1 + газовая без Ar: </c:v>
                  </c:pt>
                </c:lvl>
                <c:lvl>
                  <c:pt idx="0">
                    <c:v>Газовая без Ar: </c:v>
                  </c:pt>
                  <c:pt idx="1">
                    <c:v>Газовая без Ar: </c:v>
                  </c:pt>
                  <c:pt idx="2">
                    <c:v>Газовая без Ar: </c:v>
                  </c:pt>
                  <c:pt idx="3">
                    <c:v>Газовая без Ar: </c:v>
                  </c:pt>
                  <c:pt idx="4">
                    <c:v>Газовая без Ar: </c:v>
                  </c:pt>
                  <c:pt idx="5">
                    <c:v>Газовая без Ar: </c:v>
                  </c:pt>
                  <c:pt idx="6">
                    <c:v>Газовая без Ar: </c:v>
                  </c:pt>
                  <c:pt idx="7">
                    <c:v>Газовая без Ar: </c:v>
                  </c:pt>
                  <c:pt idx="8">
                    <c:v>Газовая без Ar: </c:v>
                  </c:pt>
                  <c:pt idx="9">
                    <c:v>Газовая без Ar: </c:v>
                  </c:pt>
                  <c:pt idx="10">
                    <c:v>Газовая без Ar: </c:v>
                  </c:pt>
                  <c:pt idx="11">
                    <c:v>Газовая без Ar: </c:v>
                  </c:pt>
                  <c:pt idx="12">
                    <c:v>Газовая без Ar: </c:v>
                  </c:pt>
                  <c:pt idx="13">
                    <c:v>Газовая без Ar: </c:v>
                  </c:pt>
                  <c:pt idx="14">
                    <c:v>Газовая без Ar: </c:v>
                  </c:pt>
                  <c:pt idx="15">
                    <c:v>Газовая без Ar: </c:v>
                  </c:pt>
                  <c:pt idx="16">
                    <c:v>Газовая без Ar: </c:v>
                  </c:pt>
                  <c:pt idx="17">
                    <c:v>Газовая без Ar: </c:v>
                  </c:pt>
                  <c:pt idx="18">
                    <c:v>Газовая без Ar: </c:v>
                  </c:pt>
                  <c:pt idx="19">
                    <c:v>Газовая без Ar: </c:v>
                  </c:pt>
                  <c:pt idx="20">
                    <c:v>Газовая без Ar: </c:v>
                  </c:pt>
                  <c:pt idx="21">
                    <c:v>Газовая без Ar: </c:v>
                  </c:pt>
                  <c:pt idx="22">
                    <c:v>Газовая без Ar: </c:v>
                  </c:pt>
                  <c:pt idx="23">
                    <c:v>Газовая без Ar: </c:v>
                  </c:pt>
                  <c:pt idx="24">
                    <c:v>Газовая без Ar: </c:v>
                  </c:pt>
                  <c:pt idx="25">
                    <c:v>Газовая без Ar: </c:v>
                  </c:pt>
                  <c:pt idx="26">
                    <c:v>Газовая без Ar: </c:v>
                  </c:pt>
                  <c:pt idx="27">
                    <c:v>Газовая без Ar: </c:v>
                  </c:pt>
                  <c:pt idx="28">
                    <c:v>Газовая без Ar: </c:v>
                  </c:pt>
                  <c:pt idx="29">
                    <c:v>Газовая без Ar: </c:v>
                  </c:pt>
                  <c:pt idx="30">
                    <c:v>Газовая без Ar: </c:v>
                  </c:pt>
                  <c:pt idx="31">
                    <c:v>Газовая без Ar: </c:v>
                  </c:pt>
                  <c:pt idx="32">
                    <c:v>Газовая без Ar: </c:v>
                  </c:pt>
                  <c:pt idx="33">
                    <c:v>Газовая без Ar: </c:v>
                  </c:pt>
                </c:lvl>
                <c:lvl>
                  <c:pt idx="0">
                    <c:v>Раствор 3 (жид): </c:v>
                  </c:pt>
                  <c:pt idx="1">
                    <c:v>Раствор 3 (жид): </c:v>
                  </c:pt>
                  <c:pt idx="2">
                    <c:v>Раствор 3 (жид): </c:v>
                  </c:pt>
                  <c:pt idx="3">
                    <c:v>Раствор 3 (жид): </c:v>
                  </c:pt>
                  <c:pt idx="4">
                    <c:v>Раствор 3 (жид): </c:v>
                  </c:pt>
                  <c:pt idx="5">
                    <c:v>Раствор 3 (жид): </c:v>
                  </c:pt>
                  <c:pt idx="6">
                    <c:v>Раствор 3 (жид): </c:v>
                  </c:pt>
                  <c:pt idx="7">
                    <c:v>Раствор 3 (жид): </c:v>
                  </c:pt>
                  <c:pt idx="8">
                    <c:v>Раствор 3 (жид): </c:v>
                  </c:pt>
                  <c:pt idx="9">
                    <c:v>Раствор 3 (жид): </c:v>
                  </c:pt>
                  <c:pt idx="10">
                    <c:v>Раствор 3 (жид): </c:v>
                  </c:pt>
                  <c:pt idx="11">
                    <c:v>Раствор 3 (жид): </c:v>
                  </c:pt>
                  <c:pt idx="12">
                    <c:v>Раствор 3 (жид): </c:v>
                  </c:pt>
                  <c:pt idx="13">
                    <c:v>Раствор 3 (жид): </c:v>
                  </c:pt>
                  <c:pt idx="14">
                    <c:v>Раствор 3 (жид): </c:v>
                  </c:pt>
                  <c:pt idx="15">
                    <c:v>Раствор 3 (жид): </c:v>
                  </c:pt>
                  <c:pt idx="16">
                    <c:v>Раствор 3 (жид): </c:v>
                  </c:pt>
                  <c:pt idx="17">
                    <c:v>Раствор 3 (жид): </c:v>
                  </c:pt>
                  <c:pt idx="18">
                    <c:v>Раствор 3 (жид): </c:v>
                  </c:pt>
                  <c:pt idx="19">
                    <c:v>Раствор 3 (жид): </c:v>
                  </c:pt>
                  <c:pt idx="20">
                    <c:v>Раствор 3 (жид): </c:v>
                  </c:pt>
                  <c:pt idx="21">
                    <c:v>Раствор 3 (жид): </c:v>
                  </c:pt>
                  <c:pt idx="22">
                    <c:v>Раствор 3 (жид): </c:v>
                  </c:pt>
                  <c:pt idx="23">
                    <c:v>Раствор 3 (жид): </c:v>
                  </c:pt>
                  <c:pt idx="24">
                    <c:v>Раствор 3 (жид): </c:v>
                  </c:pt>
                  <c:pt idx="25">
                    <c:v>Раствор 3 (жид): </c:v>
                  </c:pt>
                  <c:pt idx="26">
                    <c:v>Раствор 3 (жид): </c:v>
                  </c:pt>
                  <c:pt idx="27">
                    <c:v>Раствор 3 (жид): </c:v>
                  </c:pt>
                  <c:pt idx="28">
                    <c:v>Раствор 3 (жид): </c:v>
                  </c:pt>
                  <c:pt idx="29">
                    <c:v>Раствор 3 (жид): </c:v>
                  </c:pt>
                  <c:pt idx="30">
                    <c:v>Раствор 3 (жид): </c:v>
                  </c:pt>
                  <c:pt idx="31">
                    <c:v>Раствор 3 (жид): </c:v>
                  </c:pt>
                  <c:pt idx="32">
                    <c:v>Раствор 3 (жид): </c:v>
                  </c:pt>
                  <c:pt idx="33">
                    <c:v>Раствор 3 (жид): </c:v>
                  </c:pt>
                </c:lvl>
                <c:lvl>
                  <c:pt idx="0">
                    <c:v>Раствор 1(тв): </c:v>
                  </c:pt>
                  <c:pt idx="1">
                    <c:v>Раствор 1(тв): </c:v>
                  </c:pt>
                  <c:pt idx="2">
                    <c:v>Раствор 1(тв): </c:v>
                  </c:pt>
                  <c:pt idx="3">
                    <c:v>Раствор 1(тв): </c:v>
                  </c:pt>
                  <c:pt idx="4">
                    <c:v>Раствор 1(тв): </c:v>
                  </c:pt>
                  <c:pt idx="5">
                    <c:v>Раствор 1(тв): </c:v>
                  </c:pt>
                  <c:pt idx="6">
                    <c:v>Раствор 1(тв): </c:v>
                  </c:pt>
                  <c:pt idx="7">
                    <c:v>Раствор 1(тв): </c:v>
                  </c:pt>
                  <c:pt idx="8">
                    <c:v>Раствор 1(тв): </c:v>
                  </c:pt>
                  <c:pt idx="9">
                    <c:v>Раствор 1(тв): </c:v>
                  </c:pt>
                  <c:pt idx="10">
                    <c:v>Раствор 1(тв): </c:v>
                  </c:pt>
                  <c:pt idx="11">
                    <c:v>Раствор 1(тв): </c:v>
                  </c:pt>
                  <c:pt idx="12">
                    <c:v>Раствор 1(тв): </c:v>
                  </c:pt>
                  <c:pt idx="13">
                    <c:v>Раствор 1(тв): </c:v>
                  </c:pt>
                  <c:pt idx="14">
                    <c:v>Раствор 1(тв): </c:v>
                  </c:pt>
                  <c:pt idx="15">
                    <c:v>Раствор 1(тв): </c:v>
                  </c:pt>
                  <c:pt idx="16">
                    <c:v>Раствор 1(тв): </c:v>
                  </c:pt>
                  <c:pt idx="17">
                    <c:v>Раствор 1(тв): </c:v>
                  </c:pt>
                  <c:pt idx="18">
                    <c:v>Раствор 1(тв): </c:v>
                  </c:pt>
                  <c:pt idx="19">
                    <c:v>Раствор 1(тв): </c:v>
                  </c:pt>
                  <c:pt idx="20">
                    <c:v>Раствор 1(тв): </c:v>
                  </c:pt>
                  <c:pt idx="21">
                    <c:v>Раствор 1(тв): </c:v>
                  </c:pt>
                  <c:pt idx="22">
                    <c:v>Раствор 1(тв): </c:v>
                  </c:pt>
                  <c:pt idx="23">
                    <c:v>Раствор 1(тв): </c:v>
                  </c:pt>
                  <c:pt idx="24">
                    <c:v>Раствор 1(тв): </c:v>
                  </c:pt>
                  <c:pt idx="25">
                    <c:v>Раствор 1(тв): </c:v>
                  </c:pt>
                  <c:pt idx="26">
                    <c:v>Раствор 1(тв): </c:v>
                  </c:pt>
                  <c:pt idx="27">
                    <c:v>Раствор 1(тв): </c:v>
                  </c:pt>
                  <c:pt idx="28">
                    <c:v>Раствор 1(тв): </c:v>
                  </c:pt>
                  <c:pt idx="29">
                    <c:v>Раствор 1(тв): </c:v>
                  </c:pt>
                  <c:pt idx="30">
                    <c:v>Раствор 1(тв): </c:v>
                  </c:pt>
                  <c:pt idx="31">
                    <c:v>Раствор 1(тв): </c:v>
                  </c:pt>
                  <c:pt idx="32">
                    <c:v>Раствор 1(тв): </c:v>
                  </c:pt>
                  <c:pt idx="33">
                    <c:v>Раствор 1(тв): </c:v>
                  </c:pt>
                </c:lvl>
                <c:lvl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0</c:v>
                  </c:pt>
                  <c:pt idx="9">
                    <c:v>0</c:v>
                  </c:pt>
                  <c:pt idx="10">
                    <c:v>0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0</c:v>
                  </c:pt>
                  <c:pt idx="16">
                    <c:v>0</c:v>
                  </c:pt>
                  <c:pt idx="17">
                    <c:v>0</c:v>
                  </c:pt>
                  <c:pt idx="18">
                    <c:v>0</c:v>
                  </c:pt>
                  <c:pt idx="19">
                    <c:v>0</c:v>
                  </c:pt>
                  <c:pt idx="20">
                    <c:v>0</c:v>
                  </c:pt>
                  <c:pt idx="21">
                    <c:v>0</c:v>
                  </c:pt>
                  <c:pt idx="22">
                    <c:v>0</c:v>
                  </c:pt>
                  <c:pt idx="23">
                    <c:v>0</c:v>
                  </c:pt>
                  <c:pt idx="24">
                    <c:v>0</c:v>
                  </c:pt>
                  <c:pt idx="25">
                    <c:v>0</c:v>
                  </c:pt>
                  <c:pt idx="26">
                    <c:v>0</c:v>
                  </c:pt>
                  <c:pt idx="27">
                    <c:v>0</c:v>
                  </c:pt>
                  <c:pt idx="28">
                    <c:v>0</c:v>
                  </c:pt>
                  <c:pt idx="29">
                    <c:v>0</c:v>
                  </c:pt>
                  <c:pt idx="30">
                    <c:v>0</c:v>
                  </c:pt>
                  <c:pt idx="31">
                    <c:v>0</c:v>
                  </c:pt>
                  <c:pt idx="32">
                    <c:v>0</c:v>
                  </c:pt>
                  <c:pt idx="33">
                    <c:v>0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/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1"/>
          <c:min val="-10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977923918009719E-2"/>
          <c:y val="9.0586236023553687E-2"/>
          <c:w val="0.91743241838991729"/>
          <c:h val="0.78945009536176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ALL!$E$4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E7A-412E-BBF5-89E233391AB6}"/>
            </c:ext>
          </c:extLst>
        </c:ser>
        <c:ser>
          <c:idx val="1"/>
          <c:order val="1"/>
          <c:tx>
            <c:strRef>
              <c:f>ALL!$E$5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E7A-412E-BBF5-89E233391AB6}"/>
            </c:ext>
          </c:extLst>
        </c:ser>
        <c:ser>
          <c:idx val="5"/>
          <c:order val="5"/>
          <c:tx>
            <c:strRef>
              <c:f>ALL!$E$9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ALL!$F$9:$BR$9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6"/>
          <c:tx>
            <c:strRef>
              <c:f>ALL!$E$10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ALL!$F$10:$BR$10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7"/>
          <c:tx>
            <c:strRef>
              <c:f>ALL!$E$11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8"/>
          <c:tx>
            <c:strRef>
              <c:f>ALL!$E$12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9"/>
          <c:tx>
            <c:strRef>
              <c:f>ALL!$E$13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ALL!$F$13:$BR$13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10"/>
          <c:tx>
            <c:strRef>
              <c:f>ALL!$E$14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11"/>
          <c:tx>
            <c:strRef>
              <c:f>ALL!$E$15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12"/>
          <c:tx>
            <c:strRef>
              <c:f>ALL!$E$16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13"/>
          <c:tx>
            <c:strRef>
              <c:f>ALL!$E$17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ALL!$F$17:$BR$17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4"/>
          <c:tx>
            <c:strRef>
              <c:f>ALL!$E$18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</c:numRef>
          </c:xVal>
          <c:yVal>
            <c:numRef>
              <c:f>ALL!$F$18:$BR$18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5"/>
          <c:tx>
            <c:strRef>
              <c:f>ALL!$E$19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ALL!$F$19:$BR$19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6"/>
          <c:tx>
            <c:strRef>
              <c:f>ALL!$E$20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ALL!$F$20:$BR$20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7"/>
          <c:tx>
            <c:strRef>
              <c:f>ALL!$E$21</c:f>
              <c:strCache>
                <c:ptCount val="1"/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</c:numCache>
              <c:extLst xmlns:c15="http://schemas.microsoft.com/office/drawing/2012/chart"/>
            </c:numRef>
          </c:xVal>
          <c:yVal>
            <c:numRef>
              <c:f>ALL!$F$21:$BR$21</c:f>
              <c:numCache>
                <c:formatCode>0.0E+00</c:formatCode>
                <c:ptCount val="65"/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E7A-412E-BBF5-89E233391AB6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E7A-412E-BBF5-89E233391AB6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E7A-412E-BBF5-89E233391AB6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  <c:majorUnit val="100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3704491710618209E-2"/>
          <c:w val="0.91684723434101179"/>
          <c:h val="0.80704283188213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FLUID!$E$4</c:f>
              <c:strCache>
                <c:ptCount val="1"/>
                <c:pt idx="0">
                  <c:v>*GaSe2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FLUID!$F$4:$BR$4</c:f>
              <c:numCache>
                <c:formatCode>0.0E+00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0.11998</c:v>
                </c:pt>
                <c:pt idx="10">
                  <c:v>0.1198</c:v>
                </c:pt>
                <c:pt idx="11">
                  <c:v>0.11821</c:v>
                </c:pt>
                <c:pt idx="12">
                  <c:v>0.10592</c:v>
                </c:pt>
                <c:pt idx="13">
                  <c:v>9.7253999999999993E-2</c:v>
                </c:pt>
                <c:pt idx="14">
                  <c:v>8.3881999999999998E-2</c:v>
                </c:pt>
                <c:pt idx="15">
                  <c:v>6.2925999999999996E-2</c:v>
                </c:pt>
                <c:pt idx="16">
                  <c:v>2.8313999999999999E-2</c:v>
                </c:pt>
                <c:pt idx="17">
                  <c:v>1.0257E-7</c:v>
                </c:pt>
                <c:pt idx="18">
                  <c:v>1.3949E-9</c:v>
                </c:pt>
                <c:pt idx="19">
                  <c:v>9.0929000000000007E-15</c:v>
                </c:pt>
                <c:pt idx="20">
                  <c:v>1.0178999999999999E-20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FLUID!$F$5:$BR$5</c:f>
              <c:numCache>
                <c:formatCode>0.0E+00</c:formatCode>
                <c:ptCount val="65"/>
                <c:pt idx="0">
                  <c:v>1.7062999999999999E-25</c:v>
                </c:pt>
                <c:pt idx="1">
                  <c:v>6.4390999999999996E-20</c:v>
                </c:pt>
                <c:pt idx="2">
                  <c:v>2.7195000000000001E-16</c:v>
                </c:pt>
                <c:pt idx="3">
                  <c:v>9.0839999999999995E-14</c:v>
                </c:pt>
                <c:pt idx="4">
                  <c:v>2.9633999999999998E-13</c:v>
                </c:pt>
                <c:pt idx="5">
                  <c:v>8.872E-13</c:v>
                </c:pt>
                <c:pt idx="6">
                  <c:v>2.4587E-12</c:v>
                </c:pt>
                <c:pt idx="7">
                  <c:v>6.3545999999999996E-12</c:v>
                </c:pt>
                <c:pt idx="8">
                  <c:v>1.5921999999999999E-10</c:v>
                </c:pt>
                <c:pt idx="9">
                  <c:v>1.9685E-9</c:v>
                </c:pt>
                <c:pt idx="10">
                  <c:v>1.4981E-8</c:v>
                </c:pt>
                <c:pt idx="11">
                  <c:v>9.3776000000000005E-8</c:v>
                </c:pt>
                <c:pt idx="12">
                  <c:v>1.1023E-6</c:v>
                </c:pt>
                <c:pt idx="13">
                  <c:v>2.5386000000000001E-6</c:v>
                </c:pt>
                <c:pt idx="14">
                  <c:v>6.2793000000000002E-6</c:v>
                </c:pt>
                <c:pt idx="15">
                  <c:v>1.6388999999999998E-5</c:v>
                </c:pt>
                <c:pt idx="16">
                  <c:v>4.4832E-5</c:v>
                </c:pt>
                <c:pt idx="17">
                  <c:v>8.4475999999999996E-5</c:v>
                </c:pt>
                <c:pt idx="18">
                  <c:v>9.7503999999999993E-5</c:v>
                </c:pt>
                <c:pt idx="19">
                  <c:v>1.0922E-4</c:v>
                </c:pt>
                <c:pt idx="20">
                  <c:v>1.1868E-4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FLUID!$F$6:$BR$6</c:f>
              <c:numCache>
                <c:formatCode>0.0E+00</c:formatCode>
                <c:ptCount val="65"/>
                <c:pt idx="0">
                  <c:v>1.3665999999999999E-22</c:v>
                </c:pt>
                <c:pt idx="1">
                  <c:v>1.6874000000000001E-17</c:v>
                </c:pt>
                <c:pt idx="2">
                  <c:v>3.1826000000000002E-14</c:v>
                </c:pt>
                <c:pt idx="3">
                  <c:v>5.7530000000000002E-12</c:v>
                </c:pt>
                <c:pt idx="4">
                  <c:v>1.6452E-11</c:v>
                </c:pt>
                <c:pt idx="5">
                  <c:v>4.3490000000000003E-11</c:v>
                </c:pt>
                <c:pt idx="6">
                  <c:v>1.0712E-10</c:v>
                </c:pt>
                <c:pt idx="7">
                  <c:v>2.4757E-10</c:v>
                </c:pt>
                <c:pt idx="8">
                  <c:v>4.1769000000000003E-9</c:v>
                </c:pt>
                <c:pt idx="9">
                  <c:v>3.7166999999999998E-8</c:v>
                </c:pt>
                <c:pt idx="10">
                  <c:v>2.1525E-7</c:v>
                </c:pt>
                <c:pt idx="11">
                  <c:v>1.1147999999999999E-6</c:v>
                </c:pt>
                <c:pt idx="12">
                  <c:v>1.3984E-5</c:v>
                </c:pt>
                <c:pt idx="13">
                  <c:v>3.4897000000000001E-5</c:v>
                </c:pt>
                <c:pt idx="14">
                  <c:v>9.5345000000000003E-5</c:v>
                </c:pt>
                <c:pt idx="15">
                  <c:v>2.7830999999999998E-4</c:v>
                </c:pt>
                <c:pt idx="16">
                  <c:v>8.5696000000000004E-4</c:v>
                </c:pt>
                <c:pt idx="17">
                  <c:v>1.6666000000000001E-3</c:v>
                </c:pt>
                <c:pt idx="18">
                  <c:v>1.792E-3</c:v>
                </c:pt>
                <c:pt idx="19">
                  <c:v>1.8621E-3</c:v>
                </c:pt>
                <c:pt idx="20">
                  <c:v>1.869E-3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FLUID!$F$7:$BR$7</c:f>
              <c:numCache>
                <c:formatCode>0.0E+00</c:formatCode>
                <c:ptCount val="65"/>
                <c:pt idx="0">
                  <c:v>1.4556E-20</c:v>
                </c:pt>
                <c:pt idx="1">
                  <c:v>2.5885000000000001E-16</c:v>
                </c:pt>
                <c:pt idx="2">
                  <c:v>1.2484E-13</c:v>
                </c:pt>
                <c:pt idx="3">
                  <c:v>8.1561999999999995E-12</c:v>
                </c:pt>
                <c:pt idx="4">
                  <c:v>1.8798000000000001E-11</c:v>
                </c:pt>
                <c:pt idx="5">
                  <c:v>4.0557E-11</c:v>
                </c:pt>
                <c:pt idx="6">
                  <c:v>8.2476E-11</c:v>
                </c:pt>
                <c:pt idx="7">
                  <c:v>1.5904E-10</c:v>
                </c:pt>
                <c:pt idx="8">
                  <c:v>1.4217E-9</c:v>
                </c:pt>
                <c:pt idx="9">
                  <c:v>7.5082999999999998E-9</c:v>
                </c:pt>
                <c:pt idx="10">
                  <c:v>2.8237E-8</c:v>
                </c:pt>
                <c:pt idx="11">
                  <c:v>1.0597E-7</c:v>
                </c:pt>
                <c:pt idx="12">
                  <c:v>1.2673999999999999E-6</c:v>
                </c:pt>
                <c:pt idx="13">
                  <c:v>3.3405999999999998E-6</c:v>
                </c:pt>
                <c:pt idx="14">
                  <c:v>9.8360000000000004E-6</c:v>
                </c:pt>
                <c:pt idx="15">
                  <c:v>3.1356000000000003E-5</c:v>
                </c:pt>
                <c:pt idx="16">
                  <c:v>1.0622E-4</c:v>
                </c:pt>
                <c:pt idx="17">
                  <c:v>2.0854000000000001E-4</c:v>
                </c:pt>
                <c:pt idx="18">
                  <c:v>2.0446E-4</c:v>
                </c:pt>
                <c:pt idx="19">
                  <c:v>1.9307999999999999E-4</c:v>
                </c:pt>
                <c:pt idx="20">
                  <c:v>1.7545000000000001E-4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FLUID!$F$8:$BR$8</c:f>
              <c:numCache>
                <c:formatCode>0.0E+00</c:formatCode>
                <c:ptCount val="65"/>
                <c:pt idx="0">
                  <c:v>3.4647999999999998E-22</c:v>
                </c:pt>
                <c:pt idx="1">
                  <c:v>1.0778999999999999E-17</c:v>
                </c:pt>
                <c:pt idx="2">
                  <c:v>7.1349E-15</c:v>
                </c:pt>
                <c:pt idx="3">
                  <c:v>5.6384000000000005E-13</c:v>
                </c:pt>
                <c:pt idx="4">
                  <c:v>1.3457E-12</c:v>
                </c:pt>
                <c:pt idx="5">
                  <c:v>2.9952E-12</c:v>
                </c:pt>
                <c:pt idx="6">
                  <c:v>6.2623999999999996E-12</c:v>
                </c:pt>
                <c:pt idx="7">
                  <c:v>1.2379E-11</c:v>
                </c:pt>
                <c:pt idx="8">
                  <c:v>1.1931E-10</c:v>
                </c:pt>
                <c:pt idx="9">
                  <c:v>6.6117E-10</c:v>
                </c:pt>
                <c:pt idx="10">
                  <c:v>2.5766E-9</c:v>
                </c:pt>
                <c:pt idx="11">
                  <c:v>1.035E-8</c:v>
                </c:pt>
                <c:pt idx="12">
                  <c:v>1.6427E-7</c:v>
                </c:pt>
                <c:pt idx="13">
                  <c:v>4.9292999999999995E-7</c:v>
                </c:pt>
                <c:pt idx="14">
                  <c:v>1.6812000000000001E-6</c:v>
                </c:pt>
                <c:pt idx="15">
                  <c:v>6.2747000000000002E-6</c:v>
                </c:pt>
                <c:pt idx="16">
                  <c:v>2.5007999999999998E-5</c:v>
                </c:pt>
                <c:pt idx="17">
                  <c:v>5.2883999999999997E-5</c:v>
                </c:pt>
                <c:pt idx="18">
                  <c:v>5.0330000000000001E-5</c:v>
                </c:pt>
                <c:pt idx="19">
                  <c:v>4.5880000000000001E-5</c:v>
                </c:pt>
                <c:pt idx="20">
                  <c:v>4.002E-5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FLUID!$F$9:$BR$9</c:f>
              <c:numCache>
                <c:formatCode>0.0E+00</c:formatCode>
                <c:ptCount val="65"/>
                <c:pt idx="0">
                  <c:v>1.7277E-24</c:v>
                </c:pt>
                <c:pt idx="1">
                  <c:v>8.4076000000000004E-20</c:v>
                </c:pt>
                <c:pt idx="2">
                  <c:v>7.0900999999999996E-17</c:v>
                </c:pt>
                <c:pt idx="3">
                  <c:v>6.4263999999999997E-15</c:v>
                </c:pt>
                <c:pt idx="4">
                  <c:v>1.571E-14</c:v>
                </c:pt>
                <c:pt idx="5">
                  <c:v>3.5702999999999998E-14</c:v>
                </c:pt>
                <c:pt idx="6">
                  <c:v>7.6016000000000001E-14</c:v>
                </c:pt>
                <c:pt idx="7">
                  <c:v>1.5265000000000001E-13</c:v>
                </c:pt>
                <c:pt idx="8">
                  <c:v>1.5378999999999999E-12</c:v>
                </c:pt>
                <c:pt idx="9">
                  <c:v>8.7243000000000007E-12</c:v>
                </c:pt>
                <c:pt idx="10">
                  <c:v>3.4524999999999998E-11</c:v>
                </c:pt>
                <c:pt idx="11">
                  <c:v>1.4596000000000001E-10</c:v>
                </c:pt>
                <c:pt idx="12">
                  <c:v>3.0306999999999999E-9</c:v>
                </c:pt>
                <c:pt idx="13">
                  <c:v>1.0320000000000001E-8</c:v>
                </c:pt>
                <c:pt idx="14">
                  <c:v>4.0644000000000003E-8</c:v>
                </c:pt>
                <c:pt idx="15">
                  <c:v>1.7707000000000001E-7</c:v>
                </c:pt>
                <c:pt idx="16">
                  <c:v>8.2790000000000005E-7</c:v>
                </c:pt>
                <c:pt idx="17">
                  <c:v>1.8805E-6</c:v>
                </c:pt>
                <c:pt idx="18">
                  <c:v>1.7325999999999999E-6</c:v>
                </c:pt>
                <c:pt idx="19">
                  <c:v>1.5206999999999999E-6</c:v>
                </c:pt>
                <c:pt idx="20">
                  <c:v>1.2700999999999999E-6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FLUID!$F$10:$BR$10</c:f>
              <c:numCache>
                <c:formatCode>0.0E+00</c:formatCode>
                <c:ptCount val="65"/>
                <c:pt idx="0">
                  <c:v>5.8454000000000003E-27</c:v>
                </c:pt>
                <c:pt idx="1">
                  <c:v>8.8488999999999999E-21</c:v>
                </c:pt>
                <c:pt idx="2">
                  <c:v>1.0158E-16</c:v>
                </c:pt>
                <c:pt idx="3">
                  <c:v>7.2468E-14</c:v>
                </c:pt>
                <c:pt idx="4">
                  <c:v>2.7808000000000001E-13</c:v>
                </c:pt>
                <c:pt idx="5">
                  <c:v>9.7049000000000004E-13</c:v>
                </c:pt>
                <c:pt idx="6">
                  <c:v>3.1093000000000001E-12</c:v>
                </c:pt>
                <c:pt idx="7">
                  <c:v>9.2203999999999998E-12</c:v>
                </c:pt>
                <c:pt idx="8">
                  <c:v>3.7529999999999999E-10</c:v>
                </c:pt>
                <c:pt idx="9">
                  <c:v>6.9360999999999997E-9</c:v>
                </c:pt>
                <c:pt idx="10">
                  <c:v>7.3721000000000002E-8</c:v>
                </c:pt>
                <c:pt idx="11">
                  <c:v>5.8714999999999996E-7</c:v>
                </c:pt>
                <c:pt idx="12">
                  <c:v>6.7583000000000002E-6</c:v>
                </c:pt>
                <c:pt idx="13">
                  <c:v>1.4508000000000001E-5</c:v>
                </c:pt>
                <c:pt idx="14">
                  <c:v>3.2805999999999997E-5</c:v>
                </c:pt>
                <c:pt idx="15">
                  <c:v>7.7281999999999996E-5</c:v>
                </c:pt>
                <c:pt idx="16">
                  <c:v>1.8950999999999999E-4</c:v>
                </c:pt>
                <c:pt idx="17">
                  <c:v>3.4900000000000003E-4</c:v>
                </c:pt>
                <c:pt idx="18">
                  <c:v>4.3608999999999998E-4</c:v>
                </c:pt>
                <c:pt idx="19">
                  <c:v>5.3089999999999995E-4</c:v>
                </c:pt>
                <c:pt idx="20">
                  <c:v>6.2951999999999995E-4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FLUID!$F$11:$BR$11</c:f>
              <c:numCache>
                <c:formatCode>0.0E+00</c:formatCode>
                <c:ptCount val="65"/>
                <c:pt idx="0">
                  <c:v>2.9333999999999998E-21</c:v>
                </c:pt>
                <c:pt idx="1">
                  <c:v>3.4644000000000001E-16</c:v>
                </c:pt>
                <c:pt idx="2">
                  <c:v>7.8729999999999999E-13</c:v>
                </c:pt>
                <c:pt idx="3">
                  <c:v>1.8659E-10</c:v>
                </c:pt>
                <c:pt idx="4">
                  <c:v>5.7399999999999998E-10</c:v>
                </c:pt>
                <c:pt idx="5">
                  <c:v>1.6337000000000001E-9</c:v>
                </c:pt>
                <c:pt idx="6">
                  <c:v>4.3346999999999999E-9</c:v>
                </c:pt>
                <c:pt idx="7">
                  <c:v>1.0794000000000001E-8</c:v>
                </c:pt>
                <c:pt idx="8">
                  <c:v>2.4466000000000002E-7</c:v>
                </c:pt>
                <c:pt idx="9">
                  <c:v>2.8889E-6</c:v>
                </c:pt>
                <c:pt idx="10">
                  <c:v>2.1503000000000001E-5</c:v>
                </c:pt>
                <c:pt idx="11">
                  <c:v>1.2313E-4</c:v>
                </c:pt>
                <c:pt idx="12">
                  <c:v>8.5946999999999998E-4</c:v>
                </c:pt>
                <c:pt idx="13">
                  <c:v>1.5439E-3</c:v>
                </c:pt>
                <c:pt idx="14">
                  <c:v>2.8768000000000001E-3</c:v>
                </c:pt>
                <c:pt idx="15">
                  <c:v>5.5357999999999996E-3</c:v>
                </c:pt>
                <c:pt idx="16">
                  <c:v>1.1055000000000001E-2</c:v>
                </c:pt>
                <c:pt idx="17">
                  <c:v>1.814E-2</c:v>
                </c:pt>
                <c:pt idx="18">
                  <c:v>2.2447999999999999E-2</c:v>
                </c:pt>
                <c:pt idx="19">
                  <c:v>2.7255000000000001E-2</c:v>
                </c:pt>
                <c:pt idx="20">
                  <c:v>3.2462999999999999E-2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FLUID!$F$12:$BR$12</c:f>
              <c:numCache>
                <c:formatCode>0.0E+00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Ga2Se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FLUID!$F$13:$BR$13</c:f>
              <c:numCache>
                <c:formatCode>0.0E+00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1.3333E-31</c:v>
                </c:pt>
                <c:pt idx="3">
                  <c:v>1.5226000000000001E-21</c:v>
                </c:pt>
                <c:pt idx="4">
                  <c:v>3.3132999999999999E-20</c:v>
                </c:pt>
                <c:pt idx="5">
                  <c:v>5.9656999999999998E-19</c:v>
                </c:pt>
                <c:pt idx="6">
                  <c:v>9.0484000000000003E-18</c:v>
                </c:pt>
                <c:pt idx="7">
                  <c:v>1.1741999999999999E-16</c:v>
                </c:pt>
                <c:pt idx="8">
                  <c:v>9.0167000000000003E-13</c:v>
                </c:pt>
                <c:pt idx="9">
                  <c:v>1.3494999999999999E-9</c:v>
                </c:pt>
                <c:pt idx="10">
                  <c:v>5.9680000000000005E-7</c:v>
                </c:pt>
                <c:pt idx="11">
                  <c:v>9.2739999999999996E-5</c:v>
                </c:pt>
                <c:pt idx="12">
                  <c:v>3.6976999999999999E-3</c:v>
                </c:pt>
                <c:pt idx="13">
                  <c:v>7.1799000000000003E-3</c:v>
                </c:pt>
                <c:pt idx="14">
                  <c:v>1.2964E-2</c:v>
                </c:pt>
                <c:pt idx="15">
                  <c:v>2.2429000000000001E-2</c:v>
                </c:pt>
                <c:pt idx="16">
                  <c:v>3.8482000000000002E-2</c:v>
                </c:pt>
                <c:pt idx="17">
                  <c:v>5.2121000000000001E-2</c:v>
                </c:pt>
                <c:pt idx="18">
                  <c:v>5.2750999999999999E-2</c:v>
                </c:pt>
                <c:pt idx="19">
                  <c:v>5.3317000000000003E-2</c:v>
                </c:pt>
                <c:pt idx="20">
                  <c:v>5.3823000000000003E-2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9.1088999999999999E-22</c:v>
                      </c:pt>
                      <c:pt idx="1">
                        <c:v>4.6906E-17</c:v>
                      </c:pt>
                      <c:pt idx="2">
                        <c:v>1.2080000000000001E-14</c:v>
                      </c:pt>
                      <c:pt idx="3">
                        <c:v>2.6651999999999998E-10</c:v>
                      </c:pt>
                      <c:pt idx="4">
                        <c:v>9.0158E-10</c:v>
                      </c:pt>
                      <c:pt idx="5">
                        <c:v>2.8396E-9</c:v>
                      </c:pt>
                      <c:pt idx="6">
                        <c:v>8.3817999999999993E-9</c:v>
                      </c:pt>
                      <c:pt idx="7">
                        <c:v>2.3323E-8</c:v>
                      </c:pt>
                      <c:pt idx="8">
                        <c:v>8.5089000000000002E-7</c:v>
                      </c:pt>
                      <c:pt idx="9">
                        <c:v>1.6614999999999999E-5</c:v>
                      </c:pt>
                      <c:pt idx="10">
                        <c:v>2.0236000000000001E-4</c:v>
                      </c:pt>
                      <c:pt idx="11">
                        <c:v>1.6069000000000001E-3</c:v>
                      </c:pt>
                      <c:pt idx="12">
                        <c:v>6.6831E-3</c:v>
                      </c:pt>
                      <c:pt idx="13">
                        <c:v>8.3858000000000005E-3</c:v>
                      </c:pt>
                      <c:pt idx="14">
                        <c:v>1.0189999999999999E-2</c:v>
                      </c:pt>
                      <c:pt idx="15">
                        <c:v>1.2215E-2</c:v>
                      </c:pt>
                      <c:pt idx="16">
                        <c:v>1.4723E-2</c:v>
                      </c:pt>
                      <c:pt idx="17">
                        <c:v>1.5758000000000001E-2</c:v>
                      </c:pt>
                      <c:pt idx="18">
                        <c:v>1.4499E-2</c:v>
                      </c:pt>
                      <c:pt idx="19">
                        <c:v>1.3365999999999999E-2</c:v>
                      </c:pt>
                      <c:pt idx="20">
                        <c:v>1.2354E-2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(1)Ge[l]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5.9123000000000002E-17</c:v>
                      </c:pt>
                      <c:pt idx="1">
                        <c:v>1.2347999999999999E-13</c:v>
                      </c:pt>
                      <c:pt idx="2">
                        <c:v>2.1607999999999999E-11</c:v>
                      </c:pt>
                      <c:pt idx="3">
                        <c:v>8.9288000000000002E-10</c:v>
                      </c:pt>
                      <c:pt idx="4">
                        <c:v>1.9342999999999998E-9</c:v>
                      </c:pt>
                      <c:pt idx="5">
                        <c:v>3.9836000000000002E-9</c:v>
                      </c:pt>
                      <c:pt idx="6">
                        <c:v>7.8359999999999998E-9</c:v>
                      </c:pt>
                      <c:pt idx="7">
                        <c:v>1.4785E-8</c:v>
                      </c:pt>
                      <c:pt idx="8">
                        <c:v>1.3222E-7</c:v>
                      </c:pt>
                      <c:pt idx="9">
                        <c:v>7.6532999999999998E-7</c:v>
                      </c:pt>
                      <c:pt idx="10">
                        <c:v>3.2049999999999998E-6</c:v>
                      </c:pt>
                      <c:pt idx="11">
                        <c:v>1.0098999999999999E-5</c:v>
                      </c:pt>
                      <c:pt idx="12">
                        <c:v>2.1146999999999999E-5</c:v>
                      </c:pt>
                      <c:pt idx="13">
                        <c:v>2.3388999999999999E-5</c:v>
                      </c:pt>
                      <c:pt idx="14">
                        <c:v>2.5198000000000002E-5</c:v>
                      </c:pt>
                      <c:pt idx="15">
                        <c:v>2.6633999999999999E-5</c:v>
                      </c:pt>
                      <c:pt idx="16">
                        <c:v>2.7792000000000001E-5</c:v>
                      </c:pt>
                      <c:pt idx="17">
                        <c:v>3.1439000000000002E-5</c:v>
                      </c:pt>
                      <c:pt idx="18">
                        <c:v>3.9180000000000001E-5</c:v>
                      </c:pt>
                      <c:pt idx="19">
                        <c:v>4.8766E-5</c:v>
                      </c:pt>
                      <c:pt idx="20">
                        <c:v>6.0649000000000002E-5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0.04</c:v>
                      </c:pt>
                      <c:pt idx="1">
                        <c:v>0.04</c:v>
                      </c:pt>
                      <c:pt idx="2">
                        <c:v>0.04</c:v>
                      </c:pt>
                      <c:pt idx="3">
                        <c:v>0.04</c:v>
                      </c:pt>
                      <c:pt idx="4">
                        <c:v>0.04</c:v>
                      </c:pt>
                      <c:pt idx="5">
                        <c:v>0.04</c:v>
                      </c:pt>
                      <c:pt idx="6">
                        <c:v>0.04</c:v>
                      </c:pt>
                      <c:pt idx="7">
                        <c:v>0.04</c:v>
                      </c:pt>
                      <c:pt idx="8">
                        <c:v>4.0001000000000002E-2</c:v>
                      </c:pt>
                      <c:pt idx="9">
                        <c:v>4.0028000000000001E-2</c:v>
                      </c:pt>
                      <c:pt idx="10">
                        <c:v>4.0364999999999998E-2</c:v>
                      </c:pt>
                      <c:pt idx="11">
                        <c:v>4.3247000000000001E-2</c:v>
                      </c:pt>
                      <c:pt idx="12">
                        <c:v>6.2658000000000005E-2</c:v>
                      </c:pt>
                      <c:pt idx="13">
                        <c:v>7.4995000000000006E-2</c:v>
                      </c:pt>
                      <c:pt idx="14">
                        <c:v>9.2871999999999996E-2</c:v>
                      </c:pt>
                      <c:pt idx="15">
                        <c:v>0.11874999999999999</c:v>
                      </c:pt>
                      <c:pt idx="16">
                        <c:v>0.15695999999999999</c:v>
                      </c:pt>
                      <c:pt idx="17">
                        <c:v>0.18028</c:v>
                      </c:pt>
                      <c:pt idx="18">
                        <c:v>0.17014000000000001</c:v>
                      </c:pt>
                      <c:pt idx="19">
                        <c:v>0.15939</c:v>
                      </c:pt>
                      <c:pt idx="20">
                        <c:v>0.14826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0.19999</c:v>
                      </c:pt>
                      <c:pt idx="12">
                        <c:v>0.19997999999999999</c:v>
                      </c:pt>
                      <c:pt idx="13">
                        <c:v>0.19997999999999999</c:v>
                      </c:pt>
                      <c:pt idx="14">
                        <c:v>0.19997000000000001</c:v>
                      </c:pt>
                      <c:pt idx="15">
                        <c:v>0.19997000000000001</c:v>
                      </c:pt>
                      <c:pt idx="16">
                        <c:v>0.19997000000000001</c:v>
                      </c:pt>
                      <c:pt idx="17">
                        <c:v>0.19997000000000001</c:v>
                      </c:pt>
                      <c:pt idx="18">
                        <c:v>0.19996</c:v>
                      </c:pt>
                      <c:pt idx="19">
                        <c:v>0.19994999999999999</c:v>
                      </c:pt>
                      <c:pt idx="20">
                        <c:v>0.19994000000000001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-18.87</c:v>
                      </c:pt>
                      <c:pt idx="5">
                        <c:v>-18.899999999999999</c:v>
                      </c:pt>
                      <c:pt idx="6">
                        <c:v>-18.940000000000001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-19.510000000000002</c:v>
                      </c:pt>
                      <c:pt idx="12">
                        <c:v>-19.66</c:v>
                      </c:pt>
                      <c:pt idx="13">
                        <c:v>-19.72</c:v>
                      </c:pt>
                      <c:pt idx="14">
                        <c:v>-19.78</c:v>
                      </c:pt>
                      <c:pt idx="15">
                        <c:v>-19.87</c:v>
                      </c:pt>
                      <c:pt idx="16">
                        <c:v>-19.989999999999998</c:v>
                      </c:pt>
                      <c:pt idx="17">
                        <c:v>-20.100000000000001</c:v>
                      </c:pt>
                      <c:pt idx="18">
                        <c:v>-20.149999999999999</c:v>
                      </c:pt>
                      <c:pt idx="19">
                        <c:v>-20.2</c:v>
                      </c:pt>
                      <c:pt idx="20">
                        <c:v>-20.25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-51.69</c:v>
                      </c:pt>
                      <c:pt idx="1">
                        <c:v>-41.33</c:v>
                      </c:pt>
                      <c:pt idx="2">
                        <c:v>-36.22</c:v>
                      </c:pt>
                      <c:pt idx="3">
                        <c:v>-26.61</c:v>
                      </c:pt>
                      <c:pt idx="4">
                        <c:v>-25.49</c:v>
                      </c:pt>
                      <c:pt idx="5">
                        <c:v>-24.43</c:v>
                      </c:pt>
                      <c:pt idx="6">
                        <c:v>-23.43</c:v>
                      </c:pt>
                      <c:pt idx="7">
                        <c:v>-22.49</c:v>
                      </c:pt>
                      <c:pt idx="8">
                        <c:v>-19.22</c:v>
                      </c:pt>
                      <c:pt idx="9">
                        <c:v>-16.53</c:v>
                      </c:pt>
                      <c:pt idx="10">
                        <c:v>-14.3</c:v>
                      </c:pt>
                      <c:pt idx="11">
                        <c:v>-12.49</c:v>
                      </c:pt>
                      <c:pt idx="12">
                        <c:v>-11.39</c:v>
                      </c:pt>
                      <c:pt idx="13">
                        <c:v>-11.27</c:v>
                      </c:pt>
                      <c:pt idx="14">
                        <c:v>-11.2</c:v>
                      </c:pt>
                      <c:pt idx="15">
                        <c:v>-11.16</c:v>
                      </c:pt>
                      <c:pt idx="16">
                        <c:v>-11.14</c:v>
                      </c:pt>
                      <c:pt idx="17">
                        <c:v>-11.19</c:v>
                      </c:pt>
                      <c:pt idx="18">
                        <c:v>-11.29</c:v>
                      </c:pt>
                      <c:pt idx="19">
                        <c:v>-11.39</c:v>
                      </c:pt>
                      <c:pt idx="20">
                        <c:v>-11.48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-27.38</c:v>
                      </c:pt>
                      <c:pt idx="1">
                        <c:v>-22.79</c:v>
                      </c:pt>
                      <c:pt idx="2">
                        <c:v>-19.79</c:v>
                      </c:pt>
                      <c:pt idx="3">
                        <c:v>-17.71</c:v>
                      </c:pt>
                      <c:pt idx="4">
                        <c:v>-17.28</c:v>
                      </c:pt>
                      <c:pt idx="5">
                        <c:v>-16.89</c:v>
                      </c:pt>
                      <c:pt idx="6">
                        <c:v>-16.53</c:v>
                      </c:pt>
                      <c:pt idx="7">
                        <c:v>-16.190000000000001</c:v>
                      </c:pt>
                      <c:pt idx="8">
                        <c:v>-15.05</c:v>
                      </c:pt>
                      <c:pt idx="9">
                        <c:v>-14.18</c:v>
                      </c:pt>
                      <c:pt idx="10">
                        <c:v>-13.5</c:v>
                      </c:pt>
                      <c:pt idx="11">
                        <c:v>-13.02</c:v>
                      </c:pt>
                      <c:pt idx="12">
                        <c:v>-12.95</c:v>
                      </c:pt>
                      <c:pt idx="13">
                        <c:v>-13.04</c:v>
                      </c:pt>
                      <c:pt idx="14">
                        <c:v>-13.16</c:v>
                      </c:pt>
                      <c:pt idx="15">
                        <c:v>-13.32</c:v>
                      </c:pt>
                      <c:pt idx="16">
                        <c:v>-13.51</c:v>
                      </c:pt>
                      <c:pt idx="17">
                        <c:v>-13.57</c:v>
                      </c:pt>
                      <c:pt idx="18">
                        <c:v>-13.44</c:v>
                      </c:pt>
                      <c:pt idx="19">
                        <c:v>-13.3</c:v>
                      </c:pt>
                      <c:pt idx="20">
                        <c:v>-13.16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-5.9809999999999999</c:v>
                      </c:pt>
                      <c:pt idx="1">
                        <c:v>-6.3330000000000002</c:v>
                      </c:pt>
                      <c:pt idx="2">
                        <c:v>-6.7210000000000001</c:v>
                      </c:pt>
                      <c:pt idx="3">
                        <c:v>-7.1050000000000004</c:v>
                      </c:pt>
                      <c:pt idx="4">
                        <c:v>-7.1980000000000004</c:v>
                      </c:pt>
                      <c:pt idx="5">
                        <c:v>-7.29</c:v>
                      </c:pt>
                      <c:pt idx="6">
                        <c:v>-7.3810000000000002</c:v>
                      </c:pt>
                      <c:pt idx="7">
                        <c:v>-7.47</c:v>
                      </c:pt>
                      <c:pt idx="8">
                        <c:v>-7.8120000000000003</c:v>
                      </c:pt>
                      <c:pt idx="9">
                        <c:v>-8.1310000000000002</c:v>
                      </c:pt>
                      <c:pt idx="10">
                        <c:v>-8.4220000000000006</c:v>
                      </c:pt>
                      <c:pt idx="11">
                        <c:v>-8.65</c:v>
                      </c:pt>
                      <c:pt idx="12">
                        <c:v>-8.6359999999999992</c:v>
                      </c:pt>
                      <c:pt idx="13">
                        <c:v>-8.57</c:v>
                      </c:pt>
                      <c:pt idx="14">
                        <c:v>-8.4849999999999994</c:v>
                      </c:pt>
                      <c:pt idx="15">
                        <c:v>-8.3879999999999999</c:v>
                      </c:pt>
                      <c:pt idx="16">
                        <c:v>-8.2859999999999996</c:v>
                      </c:pt>
                      <c:pt idx="17">
                        <c:v>-8.27</c:v>
                      </c:pt>
                      <c:pt idx="18">
                        <c:v>-8.3569999999999993</c:v>
                      </c:pt>
                      <c:pt idx="19">
                        <c:v>-8.4489999999999998</c:v>
                      </c:pt>
                      <c:pt idx="20">
                        <c:v>-8.5459999999999994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1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1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237878159966847E-2"/>
          <c:y val="8.2117355881280038E-2"/>
          <c:w val="0.9170194778284293"/>
          <c:h val="0.82818830570436563"/>
        </c:manualLayout>
      </c:layout>
      <c:scatterChart>
        <c:scatterStyle val="lineMarker"/>
        <c:varyColors val="0"/>
        <c:ser>
          <c:idx val="10"/>
          <c:order val="10"/>
          <c:tx>
            <c:strRef>
              <c:f>FLUID!$E$14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FLUID!$F$14:$BR$14</c:f>
              <c:numCache>
                <c:formatCode>0.0E+00</c:formatCode>
                <c:ptCount val="65"/>
                <c:pt idx="0">
                  <c:v>9.1088999999999999E-22</c:v>
                </c:pt>
                <c:pt idx="1">
                  <c:v>4.6906E-17</c:v>
                </c:pt>
                <c:pt idx="2">
                  <c:v>1.2080000000000001E-14</c:v>
                </c:pt>
                <c:pt idx="3">
                  <c:v>2.6651999999999998E-10</c:v>
                </c:pt>
                <c:pt idx="4">
                  <c:v>9.0158E-10</c:v>
                </c:pt>
                <c:pt idx="5">
                  <c:v>2.8396E-9</c:v>
                </c:pt>
                <c:pt idx="6">
                  <c:v>8.3817999999999993E-9</c:v>
                </c:pt>
                <c:pt idx="7">
                  <c:v>2.3323E-8</c:v>
                </c:pt>
                <c:pt idx="8">
                  <c:v>8.5089000000000002E-7</c:v>
                </c:pt>
                <c:pt idx="9">
                  <c:v>1.6614999999999999E-5</c:v>
                </c:pt>
                <c:pt idx="10">
                  <c:v>2.0236000000000001E-4</c:v>
                </c:pt>
                <c:pt idx="11">
                  <c:v>1.6069000000000001E-3</c:v>
                </c:pt>
                <c:pt idx="12">
                  <c:v>6.6831E-3</c:v>
                </c:pt>
                <c:pt idx="13">
                  <c:v>8.3858000000000005E-3</c:v>
                </c:pt>
                <c:pt idx="14">
                  <c:v>1.0189999999999999E-2</c:v>
                </c:pt>
                <c:pt idx="15">
                  <c:v>1.2215E-2</c:v>
                </c:pt>
                <c:pt idx="16">
                  <c:v>1.4723E-2</c:v>
                </c:pt>
                <c:pt idx="17">
                  <c:v>1.5758000000000001E-2</c:v>
                </c:pt>
                <c:pt idx="18">
                  <c:v>1.4499E-2</c:v>
                </c:pt>
                <c:pt idx="19">
                  <c:v>1.3365999999999999E-2</c:v>
                </c:pt>
                <c:pt idx="20">
                  <c:v>1.2354E-2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63B3-4D01-BEA3-739B2EC62692}"/>
            </c:ext>
          </c:extLst>
        </c:ser>
        <c:ser>
          <c:idx val="11"/>
          <c:order val="11"/>
          <c:tx>
            <c:strRef>
              <c:f>FLUID!$E$15</c:f>
              <c:strCache>
                <c:ptCount val="1"/>
                <c:pt idx="0">
                  <c:v>(1)Ge[l]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FLUID!$F$15:$BR$15</c:f>
              <c:numCache>
                <c:formatCode>0.0E+00</c:formatCode>
                <c:ptCount val="65"/>
                <c:pt idx="0">
                  <c:v>5.9123000000000002E-17</c:v>
                </c:pt>
                <c:pt idx="1">
                  <c:v>1.2347999999999999E-13</c:v>
                </c:pt>
                <c:pt idx="2">
                  <c:v>2.1607999999999999E-11</c:v>
                </c:pt>
                <c:pt idx="3">
                  <c:v>8.9288000000000002E-10</c:v>
                </c:pt>
                <c:pt idx="4">
                  <c:v>1.9342999999999998E-9</c:v>
                </c:pt>
                <c:pt idx="5">
                  <c:v>3.9836000000000002E-9</c:v>
                </c:pt>
                <c:pt idx="6">
                  <c:v>7.8359999999999998E-9</c:v>
                </c:pt>
                <c:pt idx="7">
                  <c:v>1.4785E-8</c:v>
                </c:pt>
                <c:pt idx="8">
                  <c:v>1.3222E-7</c:v>
                </c:pt>
                <c:pt idx="9">
                  <c:v>7.6532999999999998E-7</c:v>
                </c:pt>
                <c:pt idx="10">
                  <c:v>3.2049999999999998E-6</c:v>
                </c:pt>
                <c:pt idx="11">
                  <c:v>1.0098999999999999E-5</c:v>
                </c:pt>
                <c:pt idx="12">
                  <c:v>2.1146999999999999E-5</c:v>
                </c:pt>
                <c:pt idx="13">
                  <c:v>2.3388999999999999E-5</c:v>
                </c:pt>
                <c:pt idx="14">
                  <c:v>2.5198000000000002E-5</c:v>
                </c:pt>
                <c:pt idx="15">
                  <c:v>2.6633999999999999E-5</c:v>
                </c:pt>
                <c:pt idx="16">
                  <c:v>2.7792000000000001E-5</c:v>
                </c:pt>
                <c:pt idx="17">
                  <c:v>3.1439000000000002E-5</c:v>
                </c:pt>
                <c:pt idx="18">
                  <c:v>3.9180000000000001E-5</c:v>
                </c:pt>
                <c:pt idx="19">
                  <c:v>4.8766E-5</c:v>
                </c:pt>
                <c:pt idx="20">
                  <c:v>6.0649000000000002E-5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63B3-4D01-BEA3-739B2EC62692}"/>
            </c:ext>
          </c:extLst>
        </c:ser>
        <c:ser>
          <c:idx val="12"/>
          <c:order val="12"/>
          <c:tx>
            <c:strRef>
              <c:f>FLUID!$E$16</c:f>
              <c:strCache>
                <c:ptCount val="1"/>
                <c:pt idx="0">
                  <c:v>(1)Se[l]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487.9</c:v>
                </c:pt>
                <c:pt idx="5">
                  <c:v>504.4</c:v>
                </c:pt>
                <c:pt idx="6">
                  <c:v>520.9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801.8</c:v>
                </c:pt>
                <c:pt idx="12">
                  <c:v>867.8</c:v>
                </c:pt>
                <c:pt idx="13">
                  <c:v>884.4</c:v>
                </c:pt>
                <c:pt idx="14">
                  <c:v>900.9</c:v>
                </c:pt>
                <c:pt idx="15">
                  <c:v>917.4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FLUID!$F$16:$BR$16</c:f>
              <c:numCache>
                <c:formatCode>0.0E+00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4.0001000000000002E-2</c:v>
                </c:pt>
                <c:pt idx="9">
                  <c:v>4.0028000000000001E-2</c:v>
                </c:pt>
                <c:pt idx="10">
                  <c:v>4.0364999999999998E-2</c:v>
                </c:pt>
                <c:pt idx="11">
                  <c:v>4.3247000000000001E-2</c:v>
                </c:pt>
                <c:pt idx="12">
                  <c:v>6.2658000000000005E-2</c:v>
                </c:pt>
                <c:pt idx="13">
                  <c:v>7.4995000000000006E-2</c:v>
                </c:pt>
                <c:pt idx="14">
                  <c:v>9.2871999999999996E-2</c:v>
                </c:pt>
                <c:pt idx="15">
                  <c:v>0.11874999999999999</c:v>
                </c:pt>
                <c:pt idx="16">
                  <c:v>0.15695999999999999</c:v>
                </c:pt>
                <c:pt idx="17">
                  <c:v>0.18028</c:v>
                </c:pt>
                <c:pt idx="18">
                  <c:v>0.17014000000000001</c:v>
                </c:pt>
                <c:pt idx="19">
                  <c:v>0.15939</c:v>
                </c:pt>
                <c:pt idx="20">
                  <c:v>0.14826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63B3-4D01-BEA3-739B2EC62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FLUID!$E$4</c15:sqref>
                        </c15:formulaRef>
                      </c:ext>
                    </c:extLst>
                    <c:strCache>
                      <c:ptCount val="1"/>
                      <c:pt idx="0">
                        <c:v>*GaSe2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0.12</c:v>
                      </c:pt>
                      <c:pt idx="1">
                        <c:v>0.12</c:v>
                      </c:pt>
                      <c:pt idx="2">
                        <c:v>0.12</c:v>
                      </c:pt>
                      <c:pt idx="3">
                        <c:v>0.12</c:v>
                      </c:pt>
                      <c:pt idx="4">
                        <c:v>0.12</c:v>
                      </c:pt>
                      <c:pt idx="5">
                        <c:v>0.12</c:v>
                      </c:pt>
                      <c:pt idx="6">
                        <c:v>0.12</c:v>
                      </c:pt>
                      <c:pt idx="7">
                        <c:v>0.12</c:v>
                      </c:pt>
                      <c:pt idx="8">
                        <c:v>0.12</c:v>
                      </c:pt>
                      <c:pt idx="9">
                        <c:v>0.11998</c:v>
                      </c:pt>
                      <c:pt idx="10">
                        <c:v>0.1198</c:v>
                      </c:pt>
                      <c:pt idx="11">
                        <c:v>0.11821</c:v>
                      </c:pt>
                      <c:pt idx="12">
                        <c:v>0.10592</c:v>
                      </c:pt>
                      <c:pt idx="13">
                        <c:v>9.7253999999999993E-2</c:v>
                      </c:pt>
                      <c:pt idx="14">
                        <c:v>8.3881999999999998E-2</c:v>
                      </c:pt>
                      <c:pt idx="15">
                        <c:v>6.2925999999999996E-2</c:v>
                      </c:pt>
                      <c:pt idx="16">
                        <c:v>2.8313999999999999E-2</c:v>
                      </c:pt>
                      <c:pt idx="17">
                        <c:v>1.0257E-7</c:v>
                      </c:pt>
                      <c:pt idx="18">
                        <c:v>1.3949E-9</c:v>
                      </c:pt>
                      <c:pt idx="19">
                        <c:v>9.0929000000000007E-15</c:v>
                      </c:pt>
                      <c:pt idx="20">
                        <c:v>1.0178999999999999E-20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63B3-4D01-BEA3-739B2EC62692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1.7062999999999999E-25</c:v>
                      </c:pt>
                      <c:pt idx="1">
                        <c:v>6.4390999999999996E-20</c:v>
                      </c:pt>
                      <c:pt idx="2">
                        <c:v>2.7195000000000001E-16</c:v>
                      </c:pt>
                      <c:pt idx="3">
                        <c:v>9.0839999999999995E-14</c:v>
                      </c:pt>
                      <c:pt idx="4">
                        <c:v>2.9633999999999998E-13</c:v>
                      </c:pt>
                      <c:pt idx="5">
                        <c:v>8.872E-13</c:v>
                      </c:pt>
                      <c:pt idx="6">
                        <c:v>2.4587E-12</c:v>
                      </c:pt>
                      <c:pt idx="7">
                        <c:v>6.3545999999999996E-12</c:v>
                      </c:pt>
                      <c:pt idx="8">
                        <c:v>1.5921999999999999E-10</c:v>
                      </c:pt>
                      <c:pt idx="9">
                        <c:v>1.9685E-9</c:v>
                      </c:pt>
                      <c:pt idx="10">
                        <c:v>1.4981E-8</c:v>
                      </c:pt>
                      <c:pt idx="11">
                        <c:v>9.3776000000000005E-8</c:v>
                      </c:pt>
                      <c:pt idx="12">
                        <c:v>1.1023E-6</c:v>
                      </c:pt>
                      <c:pt idx="13">
                        <c:v>2.5386000000000001E-6</c:v>
                      </c:pt>
                      <c:pt idx="14">
                        <c:v>6.2793000000000002E-6</c:v>
                      </c:pt>
                      <c:pt idx="15">
                        <c:v>1.6388999999999998E-5</c:v>
                      </c:pt>
                      <c:pt idx="16">
                        <c:v>4.4832E-5</c:v>
                      </c:pt>
                      <c:pt idx="17">
                        <c:v>8.4475999999999996E-5</c:v>
                      </c:pt>
                      <c:pt idx="18">
                        <c:v>9.7503999999999993E-5</c:v>
                      </c:pt>
                      <c:pt idx="19">
                        <c:v>1.0922E-4</c:v>
                      </c:pt>
                      <c:pt idx="20">
                        <c:v>1.1868E-4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1.3665999999999999E-22</c:v>
                      </c:pt>
                      <c:pt idx="1">
                        <c:v>1.6874000000000001E-17</c:v>
                      </c:pt>
                      <c:pt idx="2">
                        <c:v>3.1826000000000002E-14</c:v>
                      </c:pt>
                      <c:pt idx="3">
                        <c:v>5.7530000000000002E-12</c:v>
                      </c:pt>
                      <c:pt idx="4">
                        <c:v>1.6452E-11</c:v>
                      </c:pt>
                      <c:pt idx="5">
                        <c:v>4.3490000000000003E-11</c:v>
                      </c:pt>
                      <c:pt idx="6">
                        <c:v>1.0712E-10</c:v>
                      </c:pt>
                      <c:pt idx="7">
                        <c:v>2.4757E-10</c:v>
                      </c:pt>
                      <c:pt idx="8">
                        <c:v>4.1769000000000003E-9</c:v>
                      </c:pt>
                      <c:pt idx="9">
                        <c:v>3.7166999999999998E-8</c:v>
                      </c:pt>
                      <c:pt idx="10">
                        <c:v>2.1525E-7</c:v>
                      </c:pt>
                      <c:pt idx="11">
                        <c:v>1.1147999999999999E-6</c:v>
                      </c:pt>
                      <c:pt idx="12">
                        <c:v>1.3984E-5</c:v>
                      </c:pt>
                      <c:pt idx="13">
                        <c:v>3.4897000000000001E-5</c:v>
                      </c:pt>
                      <c:pt idx="14">
                        <c:v>9.5345000000000003E-5</c:v>
                      </c:pt>
                      <c:pt idx="15">
                        <c:v>2.7830999999999998E-4</c:v>
                      </c:pt>
                      <c:pt idx="16">
                        <c:v>8.5696000000000004E-4</c:v>
                      </c:pt>
                      <c:pt idx="17">
                        <c:v>1.6666000000000001E-3</c:v>
                      </c:pt>
                      <c:pt idx="18">
                        <c:v>1.792E-3</c:v>
                      </c:pt>
                      <c:pt idx="19">
                        <c:v>1.8621E-3</c:v>
                      </c:pt>
                      <c:pt idx="20">
                        <c:v>1.869E-3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See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1.4556E-20</c:v>
                      </c:pt>
                      <c:pt idx="1">
                        <c:v>2.5885000000000001E-16</c:v>
                      </c:pt>
                      <c:pt idx="2">
                        <c:v>1.2484E-13</c:v>
                      </c:pt>
                      <c:pt idx="3">
                        <c:v>8.1561999999999995E-12</c:v>
                      </c:pt>
                      <c:pt idx="4">
                        <c:v>1.8798000000000001E-11</c:v>
                      </c:pt>
                      <c:pt idx="5">
                        <c:v>4.0557E-11</c:v>
                      </c:pt>
                      <c:pt idx="6">
                        <c:v>8.2476E-11</c:v>
                      </c:pt>
                      <c:pt idx="7">
                        <c:v>1.5904E-10</c:v>
                      </c:pt>
                      <c:pt idx="8">
                        <c:v>1.4217E-9</c:v>
                      </c:pt>
                      <c:pt idx="9">
                        <c:v>7.5082999999999998E-9</c:v>
                      </c:pt>
                      <c:pt idx="10">
                        <c:v>2.8237E-8</c:v>
                      </c:pt>
                      <c:pt idx="11">
                        <c:v>1.0597E-7</c:v>
                      </c:pt>
                      <c:pt idx="12">
                        <c:v>1.2673999999999999E-6</c:v>
                      </c:pt>
                      <c:pt idx="13">
                        <c:v>3.3405999999999998E-6</c:v>
                      </c:pt>
                      <c:pt idx="14">
                        <c:v>9.8360000000000004E-6</c:v>
                      </c:pt>
                      <c:pt idx="15">
                        <c:v>3.1356000000000003E-5</c:v>
                      </c:pt>
                      <c:pt idx="16">
                        <c:v>1.0622E-4</c:v>
                      </c:pt>
                      <c:pt idx="17">
                        <c:v>2.0854000000000001E-4</c:v>
                      </c:pt>
                      <c:pt idx="18">
                        <c:v>2.0446E-4</c:v>
                      </c:pt>
                      <c:pt idx="19">
                        <c:v>1.9307999999999999E-4</c:v>
                      </c:pt>
                      <c:pt idx="20">
                        <c:v>1.7545000000000001E-4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3.4647999999999998E-22</c:v>
                      </c:pt>
                      <c:pt idx="1">
                        <c:v>1.0778999999999999E-17</c:v>
                      </c:pt>
                      <c:pt idx="2">
                        <c:v>7.1349E-15</c:v>
                      </c:pt>
                      <c:pt idx="3">
                        <c:v>5.6384000000000005E-13</c:v>
                      </c:pt>
                      <c:pt idx="4">
                        <c:v>1.3457E-12</c:v>
                      </c:pt>
                      <c:pt idx="5">
                        <c:v>2.9952E-12</c:v>
                      </c:pt>
                      <c:pt idx="6">
                        <c:v>6.2623999999999996E-12</c:v>
                      </c:pt>
                      <c:pt idx="7">
                        <c:v>1.2379E-11</c:v>
                      </c:pt>
                      <c:pt idx="8">
                        <c:v>1.1931E-10</c:v>
                      </c:pt>
                      <c:pt idx="9">
                        <c:v>6.6117E-10</c:v>
                      </c:pt>
                      <c:pt idx="10">
                        <c:v>2.5766E-9</c:v>
                      </c:pt>
                      <c:pt idx="11">
                        <c:v>1.035E-8</c:v>
                      </c:pt>
                      <c:pt idx="12">
                        <c:v>1.6427E-7</c:v>
                      </c:pt>
                      <c:pt idx="13">
                        <c:v>4.9292999999999995E-7</c:v>
                      </c:pt>
                      <c:pt idx="14">
                        <c:v>1.6812000000000001E-6</c:v>
                      </c:pt>
                      <c:pt idx="15">
                        <c:v>6.2747000000000002E-6</c:v>
                      </c:pt>
                      <c:pt idx="16">
                        <c:v>2.5007999999999998E-5</c:v>
                      </c:pt>
                      <c:pt idx="17">
                        <c:v>5.2883999999999997E-5</c:v>
                      </c:pt>
                      <c:pt idx="18">
                        <c:v>5.0330000000000001E-5</c:v>
                      </c:pt>
                      <c:pt idx="19">
                        <c:v>4.5880000000000001E-5</c:v>
                      </c:pt>
                      <c:pt idx="20">
                        <c:v>4.002E-5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Se8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1.7277E-24</c:v>
                      </c:pt>
                      <c:pt idx="1">
                        <c:v>8.4076000000000004E-20</c:v>
                      </c:pt>
                      <c:pt idx="2">
                        <c:v>7.0900999999999996E-17</c:v>
                      </c:pt>
                      <c:pt idx="3">
                        <c:v>6.4263999999999997E-15</c:v>
                      </c:pt>
                      <c:pt idx="4">
                        <c:v>1.571E-14</c:v>
                      </c:pt>
                      <c:pt idx="5">
                        <c:v>3.5702999999999998E-14</c:v>
                      </c:pt>
                      <c:pt idx="6">
                        <c:v>7.6016000000000001E-14</c:v>
                      </c:pt>
                      <c:pt idx="7">
                        <c:v>1.5265000000000001E-13</c:v>
                      </c:pt>
                      <c:pt idx="8">
                        <c:v>1.5378999999999999E-12</c:v>
                      </c:pt>
                      <c:pt idx="9">
                        <c:v>8.7243000000000007E-12</c:v>
                      </c:pt>
                      <c:pt idx="10">
                        <c:v>3.4524999999999998E-11</c:v>
                      </c:pt>
                      <c:pt idx="11">
                        <c:v>1.4596000000000001E-10</c:v>
                      </c:pt>
                      <c:pt idx="12">
                        <c:v>3.0306999999999999E-9</c:v>
                      </c:pt>
                      <c:pt idx="13">
                        <c:v>1.0320000000000001E-8</c:v>
                      </c:pt>
                      <c:pt idx="14">
                        <c:v>4.0644000000000003E-8</c:v>
                      </c:pt>
                      <c:pt idx="15">
                        <c:v>1.7707000000000001E-7</c:v>
                      </c:pt>
                      <c:pt idx="16">
                        <c:v>8.2790000000000005E-7</c:v>
                      </c:pt>
                      <c:pt idx="17">
                        <c:v>1.8805E-6</c:v>
                      </c:pt>
                      <c:pt idx="18">
                        <c:v>1.7325999999999999E-6</c:v>
                      </c:pt>
                      <c:pt idx="19">
                        <c:v>1.5206999999999999E-6</c:v>
                      </c:pt>
                      <c:pt idx="20">
                        <c:v>1.2700999999999999E-6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5.8454000000000003E-27</c:v>
                      </c:pt>
                      <c:pt idx="1">
                        <c:v>8.8488999999999999E-21</c:v>
                      </c:pt>
                      <c:pt idx="2">
                        <c:v>1.0158E-16</c:v>
                      </c:pt>
                      <c:pt idx="3">
                        <c:v>7.2468E-14</c:v>
                      </c:pt>
                      <c:pt idx="4">
                        <c:v>2.7808000000000001E-13</c:v>
                      </c:pt>
                      <c:pt idx="5">
                        <c:v>9.7049000000000004E-13</c:v>
                      </c:pt>
                      <c:pt idx="6">
                        <c:v>3.1093000000000001E-12</c:v>
                      </c:pt>
                      <c:pt idx="7">
                        <c:v>9.2203999999999998E-12</c:v>
                      </c:pt>
                      <c:pt idx="8">
                        <c:v>3.7529999999999999E-10</c:v>
                      </c:pt>
                      <c:pt idx="9">
                        <c:v>6.9360999999999997E-9</c:v>
                      </c:pt>
                      <c:pt idx="10">
                        <c:v>7.3721000000000002E-8</c:v>
                      </c:pt>
                      <c:pt idx="11">
                        <c:v>5.8714999999999996E-7</c:v>
                      </c:pt>
                      <c:pt idx="12">
                        <c:v>6.7583000000000002E-6</c:v>
                      </c:pt>
                      <c:pt idx="13">
                        <c:v>1.4508000000000001E-5</c:v>
                      </c:pt>
                      <c:pt idx="14">
                        <c:v>3.2805999999999997E-5</c:v>
                      </c:pt>
                      <c:pt idx="15">
                        <c:v>7.7281999999999996E-5</c:v>
                      </c:pt>
                      <c:pt idx="16">
                        <c:v>1.8950999999999999E-4</c:v>
                      </c:pt>
                      <c:pt idx="17">
                        <c:v>3.4900000000000003E-4</c:v>
                      </c:pt>
                      <c:pt idx="18">
                        <c:v>4.3608999999999998E-4</c:v>
                      </c:pt>
                      <c:pt idx="19">
                        <c:v>5.3089999999999995E-4</c:v>
                      </c:pt>
                      <c:pt idx="20">
                        <c:v>6.2951999999999995E-4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2.9333999999999998E-21</c:v>
                      </c:pt>
                      <c:pt idx="1">
                        <c:v>3.4644000000000001E-16</c:v>
                      </c:pt>
                      <c:pt idx="2">
                        <c:v>7.8729999999999999E-13</c:v>
                      </c:pt>
                      <c:pt idx="3">
                        <c:v>1.8659E-10</c:v>
                      </c:pt>
                      <c:pt idx="4">
                        <c:v>5.7399999999999998E-10</c:v>
                      </c:pt>
                      <c:pt idx="5">
                        <c:v>1.6337000000000001E-9</c:v>
                      </c:pt>
                      <c:pt idx="6">
                        <c:v>4.3346999999999999E-9</c:v>
                      </c:pt>
                      <c:pt idx="7">
                        <c:v>1.0794000000000001E-8</c:v>
                      </c:pt>
                      <c:pt idx="8">
                        <c:v>2.4466000000000002E-7</c:v>
                      </c:pt>
                      <c:pt idx="9">
                        <c:v>2.8889E-6</c:v>
                      </c:pt>
                      <c:pt idx="10">
                        <c:v>2.1503000000000001E-5</c:v>
                      </c:pt>
                      <c:pt idx="11">
                        <c:v>1.2313E-4</c:v>
                      </c:pt>
                      <c:pt idx="12">
                        <c:v>8.5946999999999998E-4</c:v>
                      </c:pt>
                      <c:pt idx="13">
                        <c:v>1.5439E-3</c:v>
                      </c:pt>
                      <c:pt idx="14">
                        <c:v>2.8768000000000001E-3</c:v>
                      </c:pt>
                      <c:pt idx="15">
                        <c:v>5.5357999999999996E-3</c:v>
                      </c:pt>
                      <c:pt idx="16">
                        <c:v>1.1055000000000001E-2</c:v>
                      </c:pt>
                      <c:pt idx="17">
                        <c:v>1.814E-2</c:v>
                      </c:pt>
                      <c:pt idx="18">
                        <c:v>2.2447999999999999E-2</c:v>
                      </c:pt>
                      <c:pt idx="19">
                        <c:v>2.7255000000000001E-2</c:v>
                      </c:pt>
                      <c:pt idx="20">
                        <c:v>3.2462999999999999E-2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1.3333E-31</c:v>
                      </c:pt>
                      <c:pt idx="3">
                        <c:v>1.5226000000000001E-21</c:v>
                      </c:pt>
                      <c:pt idx="4">
                        <c:v>3.3132999999999999E-20</c:v>
                      </c:pt>
                      <c:pt idx="5">
                        <c:v>5.9656999999999998E-19</c:v>
                      </c:pt>
                      <c:pt idx="6">
                        <c:v>9.0484000000000003E-18</c:v>
                      </c:pt>
                      <c:pt idx="7">
                        <c:v>1.1741999999999999E-16</c:v>
                      </c:pt>
                      <c:pt idx="8">
                        <c:v>9.0167000000000003E-13</c:v>
                      </c:pt>
                      <c:pt idx="9">
                        <c:v>1.3494999999999999E-9</c:v>
                      </c:pt>
                      <c:pt idx="10">
                        <c:v>5.9680000000000005E-7</c:v>
                      </c:pt>
                      <c:pt idx="11">
                        <c:v>9.2739999999999996E-5</c:v>
                      </c:pt>
                      <c:pt idx="12">
                        <c:v>3.6976999999999999E-3</c:v>
                      </c:pt>
                      <c:pt idx="13">
                        <c:v>7.1799000000000003E-3</c:v>
                      </c:pt>
                      <c:pt idx="14">
                        <c:v>1.2964E-2</c:v>
                      </c:pt>
                      <c:pt idx="15">
                        <c:v>2.2429000000000001E-2</c:v>
                      </c:pt>
                      <c:pt idx="16">
                        <c:v>3.8482000000000002E-2</c:v>
                      </c:pt>
                      <c:pt idx="17">
                        <c:v>5.2121000000000001E-2</c:v>
                      </c:pt>
                      <c:pt idx="18">
                        <c:v>5.2750999999999999E-2</c:v>
                      </c:pt>
                      <c:pt idx="19">
                        <c:v>5.3317000000000003E-2</c:v>
                      </c:pt>
                      <c:pt idx="20">
                        <c:v>5.3823000000000003E-2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0.19999</c:v>
                      </c:pt>
                      <c:pt idx="12">
                        <c:v>0.19997999999999999</c:v>
                      </c:pt>
                      <c:pt idx="13">
                        <c:v>0.19997999999999999</c:v>
                      </c:pt>
                      <c:pt idx="14">
                        <c:v>0.19997000000000001</c:v>
                      </c:pt>
                      <c:pt idx="15">
                        <c:v>0.19997000000000001</c:v>
                      </c:pt>
                      <c:pt idx="16">
                        <c:v>0.19997000000000001</c:v>
                      </c:pt>
                      <c:pt idx="17">
                        <c:v>0.19997000000000001</c:v>
                      </c:pt>
                      <c:pt idx="18">
                        <c:v>0.19996</c:v>
                      </c:pt>
                      <c:pt idx="19">
                        <c:v>0.19994999999999999</c:v>
                      </c:pt>
                      <c:pt idx="20">
                        <c:v>0.19994000000000001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63B3-4D01-BEA3-739B2EC62692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-18.87</c:v>
                      </c:pt>
                      <c:pt idx="5">
                        <c:v>-18.899999999999999</c:v>
                      </c:pt>
                      <c:pt idx="6">
                        <c:v>-18.940000000000001</c:v>
                      </c:pt>
                      <c:pt idx="7">
                        <c:v>-18.97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-19.510000000000002</c:v>
                      </c:pt>
                      <c:pt idx="12">
                        <c:v>-19.66</c:v>
                      </c:pt>
                      <c:pt idx="13">
                        <c:v>-19.72</c:v>
                      </c:pt>
                      <c:pt idx="14">
                        <c:v>-19.78</c:v>
                      </c:pt>
                      <c:pt idx="15">
                        <c:v>-19.87</c:v>
                      </c:pt>
                      <c:pt idx="16">
                        <c:v>-19.989999999999998</c:v>
                      </c:pt>
                      <c:pt idx="17">
                        <c:v>-20.100000000000001</c:v>
                      </c:pt>
                      <c:pt idx="18">
                        <c:v>-20.149999999999999</c:v>
                      </c:pt>
                      <c:pt idx="19">
                        <c:v>-20.2</c:v>
                      </c:pt>
                      <c:pt idx="20">
                        <c:v>-20.25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63B3-4D01-BEA3-739B2EC62692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-51.69</c:v>
                      </c:pt>
                      <c:pt idx="1">
                        <c:v>-41.33</c:v>
                      </c:pt>
                      <c:pt idx="2">
                        <c:v>-36.22</c:v>
                      </c:pt>
                      <c:pt idx="3">
                        <c:v>-26.61</c:v>
                      </c:pt>
                      <c:pt idx="4">
                        <c:v>-25.49</c:v>
                      </c:pt>
                      <c:pt idx="5">
                        <c:v>-24.43</c:v>
                      </c:pt>
                      <c:pt idx="6">
                        <c:v>-23.43</c:v>
                      </c:pt>
                      <c:pt idx="7">
                        <c:v>-22.49</c:v>
                      </c:pt>
                      <c:pt idx="8">
                        <c:v>-19.22</c:v>
                      </c:pt>
                      <c:pt idx="9">
                        <c:v>-16.53</c:v>
                      </c:pt>
                      <c:pt idx="10">
                        <c:v>-14.3</c:v>
                      </c:pt>
                      <c:pt idx="11">
                        <c:v>-12.49</c:v>
                      </c:pt>
                      <c:pt idx="12">
                        <c:v>-11.39</c:v>
                      </c:pt>
                      <c:pt idx="13">
                        <c:v>-11.27</c:v>
                      </c:pt>
                      <c:pt idx="14">
                        <c:v>-11.2</c:v>
                      </c:pt>
                      <c:pt idx="15">
                        <c:v>-11.16</c:v>
                      </c:pt>
                      <c:pt idx="16">
                        <c:v>-11.14</c:v>
                      </c:pt>
                      <c:pt idx="17">
                        <c:v>-11.19</c:v>
                      </c:pt>
                      <c:pt idx="18">
                        <c:v>-11.29</c:v>
                      </c:pt>
                      <c:pt idx="19">
                        <c:v>-11.39</c:v>
                      </c:pt>
                      <c:pt idx="20">
                        <c:v>-11.48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-27.38</c:v>
                      </c:pt>
                      <c:pt idx="1">
                        <c:v>-22.79</c:v>
                      </c:pt>
                      <c:pt idx="2">
                        <c:v>-19.79</c:v>
                      </c:pt>
                      <c:pt idx="3">
                        <c:v>-17.71</c:v>
                      </c:pt>
                      <c:pt idx="4">
                        <c:v>-17.28</c:v>
                      </c:pt>
                      <c:pt idx="5">
                        <c:v>-16.89</c:v>
                      </c:pt>
                      <c:pt idx="6">
                        <c:v>-16.53</c:v>
                      </c:pt>
                      <c:pt idx="7">
                        <c:v>-16.190000000000001</c:v>
                      </c:pt>
                      <c:pt idx="8">
                        <c:v>-15.05</c:v>
                      </c:pt>
                      <c:pt idx="9">
                        <c:v>-14.18</c:v>
                      </c:pt>
                      <c:pt idx="10">
                        <c:v>-13.5</c:v>
                      </c:pt>
                      <c:pt idx="11">
                        <c:v>-13.02</c:v>
                      </c:pt>
                      <c:pt idx="12">
                        <c:v>-12.95</c:v>
                      </c:pt>
                      <c:pt idx="13">
                        <c:v>-13.04</c:v>
                      </c:pt>
                      <c:pt idx="14">
                        <c:v>-13.16</c:v>
                      </c:pt>
                      <c:pt idx="15">
                        <c:v>-13.32</c:v>
                      </c:pt>
                      <c:pt idx="16">
                        <c:v>-13.51</c:v>
                      </c:pt>
                      <c:pt idx="17">
                        <c:v>-13.57</c:v>
                      </c:pt>
                      <c:pt idx="18">
                        <c:v>-13.44</c:v>
                      </c:pt>
                      <c:pt idx="19">
                        <c:v>-13.3</c:v>
                      </c:pt>
                      <c:pt idx="20">
                        <c:v>-13.16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-5.9809999999999999</c:v>
                      </c:pt>
                      <c:pt idx="1">
                        <c:v>-6.3330000000000002</c:v>
                      </c:pt>
                      <c:pt idx="2">
                        <c:v>-6.7210000000000001</c:v>
                      </c:pt>
                      <c:pt idx="3">
                        <c:v>-7.1050000000000004</c:v>
                      </c:pt>
                      <c:pt idx="4">
                        <c:v>-7.1980000000000004</c:v>
                      </c:pt>
                      <c:pt idx="5">
                        <c:v>-7.29</c:v>
                      </c:pt>
                      <c:pt idx="6">
                        <c:v>-7.3810000000000002</c:v>
                      </c:pt>
                      <c:pt idx="7">
                        <c:v>-7.47</c:v>
                      </c:pt>
                      <c:pt idx="8">
                        <c:v>-7.8120000000000003</c:v>
                      </c:pt>
                      <c:pt idx="9">
                        <c:v>-8.1310000000000002</c:v>
                      </c:pt>
                      <c:pt idx="10">
                        <c:v>-8.4220000000000006</c:v>
                      </c:pt>
                      <c:pt idx="11">
                        <c:v>-8.65</c:v>
                      </c:pt>
                      <c:pt idx="12">
                        <c:v>-8.6359999999999992</c:v>
                      </c:pt>
                      <c:pt idx="13">
                        <c:v>-8.57</c:v>
                      </c:pt>
                      <c:pt idx="14">
                        <c:v>-8.4849999999999994</c:v>
                      </c:pt>
                      <c:pt idx="15">
                        <c:v>-8.3879999999999999</c:v>
                      </c:pt>
                      <c:pt idx="16">
                        <c:v>-8.2859999999999996</c:v>
                      </c:pt>
                      <c:pt idx="17">
                        <c:v>-8.27</c:v>
                      </c:pt>
                      <c:pt idx="18">
                        <c:v>-8.3569999999999993</c:v>
                      </c:pt>
                      <c:pt idx="19">
                        <c:v>-8.4489999999999998</c:v>
                      </c:pt>
                      <c:pt idx="20">
                        <c:v>-8.5459999999999994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884.4</c:v>
                      </c:pt>
                      <c:pt idx="14">
                        <c:v>900.9</c:v>
                      </c:pt>
                      <c:pt idx="15">
                        <c:v>917.4</c:v>
                      </c:pt>
                      <c:pt idx="16">
                        <c:v>933.9</c:v>
                      </c:pt>
                      <c:pt idx="17">
                        <c:v>950.4</c:v>
                      </c:pt>
                      <c:pt idx="18">
                        <c:v>967</c:v>
                      </c:pt>
                      <c:pt idx="19">
                        <c:v>983.5</c:v>
                      </c:pt>
                      <c:pt idx="2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579004454016617E-2"/>
          <c:y val="9.3034716533807502E-2"/>
          <c:w val="0.92172545969724562"/>
          <c:h val="0.82261080939032938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20984"/>
        <c:axId val="391622160"/>
      </c:scatterChart>
      <c:valAx>
        <c:axId val="391620984"/>
        <c:scaling>
          <c:orientation val="minMax"/>
          <c:max val="100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2160"/>
        <c:crosses val="autoZero"/>
        <c:crossBetween val="midCat"/>
      </c:valAx>
      <c:valAx>
        <c:axId val="39162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20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8E-2"/>
          <c:y val="1.6693894533015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marker>
              <c:symbol val="none"/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SOLID!$F$10:$BR$10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SOLID!$F$11:$BR$11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SOLID!$F$12:$BR$12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/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1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3713984"/>
        <c:axId val="1103702336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1103713984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02336"/>
        <c:crosses val="autoZero"/>
        <c:crossBetween val="midCat"/>
      </c:valAx>
      <c:valAx>
        <c:axId val="11037023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0371398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73"/>
          <c:h val="0.8053418150471708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SOLID!$E$4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SOLID!$F$4:$BR$4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SOLID!$F$5:$BR$5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SOLID!$F$6:$BR$6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SOLID!$F$7:$BR$7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SOLID!$F$8:$BR$8</c:f>
              <c:numCache>
                <c:formatCode>0.0E+00</c:formatCode>
                <c:ptCount val="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SOLID!$F$9:$BR$9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0702-4A5F-94E0-C16F24C78072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SOLID!$F$13:$BR$13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0702-4A5F-94E0-C16F24C78072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SOLID!$F$14:$BR$14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SOLID!$F$15:$BR$15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0702-4A5F-94E0-C16F24C78072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SOLID!$F$16:$BR$16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0702-4A5F-94E0-C16F24C78072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SOLID!$F$17:$BR$17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E-0702-4A5F-94E0-C16F24C78072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SOLID!$F$18:$BR$18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SOLID!$F$19:$BR$19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SOLID!$F$20:$BR$20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SOLID!$F$21:$BR$21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SOLID!$F$22:$BR$22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SOLID!$F$23:$BR$23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SOLID!$F$24:$BR$24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5-0702-4A5F-94E0-C16F24C78072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SOLID!$F$25:$BR$25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6-0702-4A5F-94E0-C16F24C78072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SOLID!$F$26:$BR$26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7-0702-4A5F-94E0-C16F24C78072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SOLID!$F$27:$BR$27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8-0702-4A5F-94E0-C16F24C78072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0702-4A5F-94E0-C16F24C78072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A-0702-4A5F-94E0-C16F24C78072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B-0702-4A5F-94E0-C16F24C78072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619416"/>
        <c:axId val="393215344"/>
        <c:extLst>
          <c:ext xmlns:c15="http://schemas.microsoft.com/office/drawing/2012/chart" uri="{02D57815-91ED-43cb-92C2-25804820EDAC}">
            <c15:filteredScatter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</c:ext>
        </c:extLst>
      </c:scatterChart>
      <c:valAx>
        <c:axId val="391619416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3215344"/>
        <c:crosses val="autoZero"/>
        <c:crossBetween val="midCat"/>
      </c:valAx>
      <c:valAx>
        <c:axId val="393215344"/>
        <c:scaling>
          <c:orientation val="minMax"/>
          <c:max val="0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1619416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1"/>
          <c:order val="13"/>
          <c:tx>
            <c:strRef>
              <c:f>'Gibbs-EVAL'!$A$114</c:f>
              <c:strCache>
                <c:ptCount val="1"/>
              </c:strCache>
            </c:strRef>
          </c:tx>
          <c:spPr>
            <a:ln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1EF-44BA-AAAA-9AD66152902A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</c:strCache>
            </c:strRef>
          </c:tx>
          <c:spPr>
            <a:ln>
              <a:solidFill>
                <a:srgbClr val="0070C0"/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1EF-44BA-AAAA-9AD66152902A}"/>
            </c:ext>
          </c:extLst>
        </c:ser>
        <c:ser>
          <c:idx val="73"/>
          <c:order val="73"/>
          <c:tx>
            <c:strRef>
              <c:f>'Gibbs-EVAL'!$A$174</c:f>
              <c:strCache>
                <c:ptCount val="1"/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'Gibbs-EVAL'!$B$174:$BT$174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F9-4D60-ABA9-0CA59E248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1EF-44BA-AAAA-9AD66152902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1EF-44BA-AAAA-9AD66152902A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7-11EF-44BA-AAAA-9AD66152902A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1EF-44BA-AAAA-9AD66152902A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1EF-44BA-AAAA-9AD66152902A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1EF-44BA-AAAA-9AD66152902A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1EF-44BA-AAAA-9AD66152902A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1EF-44BA-AAAA-9AD66152902A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1EF-44BA-AAAA-9AD66152902A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1EF-44BA-AAAA-9AD66152902A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1EF-44BA-AAAA-9AD66152902A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1EF-44BA-AAAA-9AD66152902A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1EF-44BA-AAAA-9AD66152902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1EF-44BA-AAAA-9AD66152902A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1EF-44BA-AAAA-9AD66152902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1EF-44BA-AAAA-9AD66152902A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1EF-44BA-AAAA-9AD66152902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1EF-44BA-AAAA-9AD66152902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1EF-44BA-AAAA-9AD66152902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1EF-44BA-AAAA-9AD66152902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1EF-44BA-AAAA-9AD66152902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1EF-44BA-AAAA-9AD66152902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1EF-44BA-AAAA-9AD66152902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1EF-44BA-AAAA-9AD66152902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1EF-44BA-AAAA-9AD66152902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1EF-44BA-AAAA-9AD66152902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1EF-44BA-AAAA-9AD66152902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1EF-44BA-AAAA-9AD66152902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1EF-44BA-AAAA-9AD66152902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1EF-44BA-AAAA-9AD66152902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1EF-44BA-AAAA-9AD66152902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11EF-44BA-AAAA-9AD66152902A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1EF-44BA-AAAA-9AD66152902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1EF-44BA-AAAA-9AD66152902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1EF-44BA-AAAA-9AD66152902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1EF-44BA-AAAA-9AD66152902A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1EF-44BA-AAAA-9AD66152902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1EF-44BA-AAAA-9AD66152902A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accent1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1EF-44BA-AAAA-9AD66152902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1EF-44BA-AAAA-9AD66152902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1EF-44BA-AAAA-9AD66152902A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1EF-44BA-AAAA-9AD66152902A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1EF-44BA-AAAA-9AD66152902A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1EF-44BA-AAAA-9AD66152902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1EF-44BA-AAAA-9AD66152902A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accent1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1EF-44BA-AAAA-9AD66152902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1EF-44BA-AAAA-9AD66152902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1EF-44BA-AAAA-9AD66152902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1EF-44BA-AAAA-9AD66152902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1EF-44BA-AAAA-9AD66152902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1EF-44BA-AAAA-9AD66152902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1EF-44BA-AAAA-9AD66152902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1EF-44BA-AAAA-9AD66152902A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1EF-44BA-AAAA-9AD66152902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9EC-4FB3-B49F-FC7DFD03B3C7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9EC-4FB3-B49F-FC7DFD03B3C7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9EC-4FB3-B49F-FC7DFD03B3C7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9EC-4FB3-B49F-FC7DFD03B3C7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9EC-4FB3-B49F-FC7DFD03B3C7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9EC-4FB3-B49F-FC7DFD03B3C7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1FF9-4D60-ABA9-0CA59E248E5B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FF9-4D60-ABA9-0CA59E248E5B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FF9-4D60-ABA9-0CA59E248E5B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FF9-4D60-ABA9-0CA59E248E5B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FF9-4D60-ABA9-0CA59E248E5B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FF9-4D60-ABA9-0CA59E248E5B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FF9-4D60-ABA9-0CA59E248E5B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FF9-4D60-ABA9-0CA59E248E5B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FF9-4D60-ABA9-0CA59E248E5B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FF9-4D60-ABA9-0CA59E248E5B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FF9-4D60-ABA9-0CA59E248E5B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1FF9-4D60-ABA9-0CA59E248E5B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FF9-4D60-ABA9-0CA59E248E5B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FF9-4D60-ABA9-0CA59E248E5B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FF9-4D60-ABA9-0CA59E248E5B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FF9-4D60-ABA9-0CA59E248E5B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FF9-4D60-ABA9-0CA59E248E5B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FF9-4D60-ABA9-0CA59E248E5B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FF9-4D60-ABA9-0CA59E248E5B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FF9-4D60-ABA9-0CA59E248E5B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FF9-4D60-ABA9-0CA59E248E5B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FF9-4D60-ABA9-0CA59E248E5B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FF9-4D60-ABA9-0CA59E248E5B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FF9-4D60-ABA9-0CA59E248E5B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FF9-4D60-ABA9-0CA59E248E5B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FF9-4D60-ABA9-0CA59E248E5B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FF9-4D60-ABA9-0CA59E248E5B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FF9-4D60-ABA9-0CA59E248E5B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FF9-4D60-ABA9-0CA59E248E5B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FF9-4D60-ABA9-0CA59E248E5B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FF9-4D60-ABA9-0CA59E248E5B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FF9-4D60-ABA9-0CA59E248E5B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3"/>
          <c:order val="15"/>
          <c:tx>
            <c:strRef>
              <c:f>'Gibbs-EVAL'!$A$116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D16-4E7F-975B-C1DF40B91386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D16-4E7F-975B-C1DF40B91386}"/>
            </c:ext>
          </c:extLst>
        </c:ser>
        <c:ser>
          <c:idx val="70"/>
          <c:order val="70"/>
          <c:tx>
            <c:strRef>
              <c:f>'Gibbs-EVAL'!$A$171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4134-4E3F-A6E3-224A30F6D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16-4E7F-975B-C1DF40B9138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CD16-4E7F-975B-C1DF40B9138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C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0-CD16-4E7F-975B-C1DF40B9138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CD16-4E7F-975B-C1DF40B9138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D16-4E7F-975B-C1DF40B9138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D16-4E7F-975B-C1DF40B9138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D16-4E7F-975B-C1DF40B9138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D16-4E7F-975B-C1DF40B9138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D16-4E7F-975B-C1DF40B9138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D16-4E7F-975B-C1DF40B9138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D16-4E7F-975B-C1DF40B9138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D16-4E7F-975B-C1DF40B9138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D16-4E7F-975B-C1DF40B9138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D16-4E7F-975B-C1DF40B9138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16-4E7F-975B-C1DF40B9138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16-4E7F-975B-C1DF40B9138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D16-4E7F-975B-C1DF40B9138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D16-4E7F-975B-C1DF40B9138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D16-4E7F-975B-C1DF40B9138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D16-4E7F-975B-C1DF40B9138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D16-4E7F-975B-C1DF40B9138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D16-4E7F-975B-C1DF40B9138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D16-4E7F-975B-C1DF40B9138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D16-4E7F-975B-C1DF40B9138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D16-4E7F-975B-C1DF40B9138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D16-4E7F-975B-C1DF40B9138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D16-4E7F-975B-C1DF40B9138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D16-4E7F-975B-C1DF40B9138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D16-4E7F-975B-C1DF40B9138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D16-4E7F-975B-C1DF40B9138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D16-4E7F-975B-C1DF40B9138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D16-4E7F-975B-C1DF40B9138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D16-4E7F-975B-C1DF40B9138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D16-4E7F-975B-C1DF40B9138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D16-4E7F-975B-C1DF40B9138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D16-4E7F-975B-C1DF40B9138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D16-4E7F-975B-C1DF40B91386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16-4E7F-975B-C1DF40B9138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D16-4E7F-975B-C1DF40B9138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D16-4E7F-975B-C1DF40B9138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D16-4E7F-975B-C1DF40B9138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D16-4E7F-975B-C1DF40B9138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D16-4E7F-975B-C1DF40B9138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accent2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D16-4E7F-975B-C1DF40B9138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D16-4E7F-975B-C1DF40B9138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D16-4E7F-975B-C1DF40B9138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D16-4E7F-975B-C1DF40B9138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D16-4E7F-975B-C1DF40B9138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D16-4E7F-975B-C1DF40B9138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D16-4E7F-975B-C1DF40B9138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D16-4E7F-975B-C1DF40B9138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D16-4E7F-975B-C1DF40B9138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D16-4E7F-975B-C1DF40B9138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16-4E7F-975B-C1DF40B9138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D16-4E7F-975B-C1DF40B9138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D16-4E7F-975B-C1DF40B9138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D16-4E7F-975B-C1DF40B9138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D16-4E7F-975B-C1DF40B9138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D16-4E7F-975B-C1DF40B9138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D16-4E7F-975B-C1DF40B9138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134-4E3F-A6E3-224A30F6D45E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134-4E3F-A6E3-224A30F6D45E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4134-4E3F-A6E3-224A30F6D45E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4134-4E3F-A6E3-224A30F6D45E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4134-4E3F-A6E3-224A30F6D45E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134-4E3F-A6E3-224A30F6D45E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4134-4E3F-A6E3-224A30F6D45E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4134-4E3F-A6E3-224A30F6D45E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4134-4E3F-A6E3-224A30F6D45E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4134-4E3F-A6E3-224A30F6D45E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134-4E3F-A6E3-224A30F6D45E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4134-4E3F-A6E3-224A30F6D45E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4134-4E3F-A6E3-224A30F6D45E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134-4E3F-A6E3-224A30F6D45E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134-4E3F-A6E3-224A30F6D45E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4134-4E3F-A6E3-224A30F6D45E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4134-4E3F-A6E3-224A30F6D45E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4134-4E3F-A6E3-224A30F6D45E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4134-4E3F-A6E3-224A30F6D45E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4134-4E3F-A6E3-224A30F6D45E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4134-4E3F-A6E3-224A30F6D45E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4134-4E3F-A6E3-224A30F6D45E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4134-4E3F-A6E3-224A30F6D45E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4134-4E3F-A6E3-224A30F6D45E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4134-4E3F-A6E3-224A30F6D45E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4134-4E3F-A6E3-224A30F6D45E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4134-4E3F-A6E3-224A30F6D45E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4134-4E3F-A6E3-224A30F6D45E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4134-4E3F-A6E3-224A30F6D45E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4134-4E3F-A6E3-224A30F6D45E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4134-4E3F-A6E3-224A30F6D45E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4134-4E3F-A6E3-224A30F6D45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2"/>
          <c:order val="4"/>
          <c:tx>
            <c:strRef>
              <c:f>'Gibbs-EVAL'!$A$105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3F45-444A-B599-5B97018058CE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3F45-444A-B599-5B9701805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3F45-444A-B599-5B97018058CE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F45-444A-B599-5B97018058CE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3F45-444A-B599-5B97018058C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F45-444A-B599-5B97018058CE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F45-444A-B599-5B97018058CE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F45-444A-B599-5B97018058CE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F45-444A-B599-5B97018058CE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F45-444A-B599-5B97018058CE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F45-444A-B599-5B97018058CE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3F45-444A-B599-5B97018058CE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45-444A-B599-5B97018058CE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45-444A-B599-5B97018058CE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F45-444A-B599-5B97018058CE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F45-444A-B599-5B97018058CE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F45-444A-B599-5B97018058CE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3F45-444A-B599-5B97018058CE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3F45-444A-B599-5B97018058CE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3F45-444A-B599-5B97018058CE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F45-444A-B599-5B97018058CE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3F45-444A-B599-5B97018058CE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3F45-444A-B599-5B97018058CE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3F45-444A-B599-5B97018058CE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F45-444A-B599-5B97018058CE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F45-444A-B599-5B97018058CE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F45-444A-B599-5B97018058CE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F45-444A-B599-5B97018058CE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F45-444A-B599-5B97018058CE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3F45-444A-B599-5B97018058CE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F45-444A-B599-5B97018058CE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3F45-444A-B599-5B97018058CE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F45-444A-B599-5B97018058CE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F45-444A-B599-5B97018058CE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F45-444A-B599-5B97018058CE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F45-444A-B599-5B97018058CE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3F45-444A-B599-5B97018058CE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chemeClr val="accent4">
                        <a:lumMod val="50000"/>
                      </a:schemeClr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3F45-444A-B599-5B97018058CE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F45-444A-B599-5B97018058CE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F45-444A-B599-5B97018058CE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F45-444A-B599-5B97018058CE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F45-444A-B599-5B97018058CE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3F45-444A-B599-5B97018058CE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3F45-444A-B599-5B97018058CE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F45-444A-B599-5B97018058CE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F45-444A-B599-5B97018058CE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3F45-444A-B599-5B97018058CE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3F45-444A-B599-5B97018058CE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3F45-444A-B599-5B97018058CE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3F45-444A-B599-5B97018058CE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F45-444A-B599-5B97018058CE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3F45-444A-B599-5B97018058CE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3F45-444A-B599-5B97018058CE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3F45-444A-B599-5B97018058CE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3F45-444A-B599-5B97018058CE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3F45-444A-B599-5B97018058CE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3F45-444A-B599-5B97018058CE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3F45-444A-B599-5B97018058CE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3F45-444A-B599-5B97018058CE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3F45-444A-B599-5B97018058CE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3F45-444A-B599-5B97018058CE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F45-444A-B599-5B97018058CE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5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E28-4420-B8DD-7D9C02A58C4F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E28-4420-B8DD-7D9C02A58C4F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E28-4420-B8DD-7D9C02A58C4F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E28-4420-B8DD-7D9C02A58C4F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E28-4420-B8DD-7D9C02A58C4F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E28-4420-B8DD-7D9C02A58C4F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E28-4420-B8DD-7D9C02A58C4F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E28-4420-B8DD-7D9C02A58C4F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E28-4420-B8DD-7D9C02A58C4F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E28-4420-B8DD-7D9C02A58C4F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E28-4420-B8DD-7D9C02A58C4F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E28-4420-B8DD-7D9C02A58C4F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E28-4420-B8DD-7D9C02A58C4F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E28-4420-B8DD-7D9C02A58C4F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E28-4420-B8DD-7D9C02A58C4F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E28-4420-B8DD-7D9C02A58C4F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E28-4420-B8DD-7D9C02A58C4F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E28-4420-B8DD-7D9C02A58C4F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E28-4420-B8DD-7D9C02A58C4F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E28-4420-B8DD-7D9C02A58C4F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E28-4420-B8DD-7D9C02A58C4F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E28-4420-B8DD-7D9C02A58C4F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E28-4420-B8DD-7D9C02A58C4F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E28-4420-B8DD-7D9C02A58C4F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E28-4420-B8DD-7D9C02A58C4F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E28-4420-B8DD-7D9C02A58C4F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E28-4420-B8DD-7D9C02A58C4F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E28-4420-B8DD-7D9C02A58C4F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E28-4420-B8DD-7D9C02A58C4F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E28-4420-B8DD-7D9C02A58C4F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E28-4420-B8DD-7D9C02A58C4F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E28-4420-B8DD-7D9C02A58C4F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E28-4420-B8DD-7D9C02A58C4F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E28-4420-B8DD-7D9C02A58C4F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E28-4420-B8DD-7D9C02A58C4F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E28-4420-B8DD-7D9C02A58C4F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E28-4420-B8DD-7D9C02A58C4F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E28-4420-B8DD-7D9C02A58C4F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E28-4420-B8DD-7D9C02A58C4F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E28-4420-B8DD-7D9C02A58C4F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E28-4420-B8DD-7D9C02A58C4F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E28-4420-B8DD-7D9C02A58C4F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E28-4420-B8DD-7D9C02A58C4F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E28-4420-B8DD-7D9C02A58C4F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E28-4420-B8DD-7D9C02A58C4F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E28-4420-B8DD-7D9C02A58C4F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E28-4420-B8DD-7D9C02A58C4F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E28-4420-B8DD-7D9C02A58C4F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E28-4420-B8DD-7D9C02A58C4F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E28-4420-B8DD-7D9C02A58C4F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E28-4420-B8DD-7D9C02A58C4F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E28-4420-B8DD-7D9C02A58C4F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E28-4420-B8DD-7D9C02A58C4F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E28-4420-B8DD-7D9C02A58C4F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E28-4420-B8DD-7D9C02A58C4F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E28-4420-B8DD-7D9C02A58C4F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E28-4420-B8DD-7D9C02A58C4F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E28-4420-B8DD-7D9C02A58C4F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E28-4420-B8DD-7D9C02A58C4F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E28-4420-B8DD-7D9C02A58C4F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E28-4420-B8DD-7D9C02A58C4F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E28-4420-B8DD-7D9C02A58C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'Gibbs-EVAL'!$A$101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4A52-48C1-879E-D295987745E2}"/>
            </c:ext>
          </c:extLst>
        </c:ser>
        <c:ser>
          <c:idx val="39"/>
          <c:order val="1"/>
          <c:tx>
            <c:strRef>
              <c:f>'Gibbs-EVAL'!$A$102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4A52-48C1-879E-D295987745E2}"/>
            </c:ext>
          </c:extLst>
        </c:ser>
        <c:ser>
          <c:idx val="54"/>
          <c:order val="2"/>
          <c:tx>
            <c:strRef>
              <c:f>'Gibbs-EVAL'!$A$103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4A52-48C1-879E-D295987745E2}"/>
              </c:ext>
            </c:extLst>
          </c:dPt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4A52-48C1-879E-D295987745E2}"/>
            </c:ext>
          </c:extLst>
        </c:ser>
        <c:ser>
          <c:idx val="1"/>
          <c:order val="3"/>
          <c:tx>
            <c:strRef>
              <c:f>'Gibbs-EVAL'!$A$104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4A52-48C1-879E-D295987745E2}"/>
            </c:ext>
          </c:extLst>
        </c:ser>
        <c:ser>
          <c:idx val="2"/>
          <c:order val="4"/>
          <c:tx>
            <c:strRef>
              <c:f>'Gibbs-EVAL'!$A$105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4A52-48C1-879E-D295987745E2}"/>
            </c:ext>
          </c:extLst>
        </c:ser>
        <c:ser>
          <c:idx val="3"/>
          <c:order val="5"/>
          <c:tx>
            <c:strRef>
              <c:f>'Gibbs-EVAL'!$A$106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4A52-48C1-879E-D295987745E2}"/>
            </c:ext>
          </c:extLst>
        </c:ser>
        <c:ser>
          <c:idx val="4"/>
          <c:order val="6"/>
          <c:tx>
            <c:strRef>
              <c:f>'Gibbs-EVAL'!$A$107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4A52-48C1-879E-D295987745E2}"/>
            </c:ext>
          </c:extLst>
        </c:ser>
        <c:ser>
          <c:idx val="5"/>
          <c:order val="7"/>
          <c:tx>
            <c:strRef>
              <c:f>'Gibbs-EVAL'!$A$108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'Gibbs-EVAL'!$B$108:$BT$108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4A52-48C1-879E-D295987745E2}"/>
            </c:ext>
          </c:extLst>
        </c:ser>
        <c:ser>
          <c:idx val="6"/>
          <c:order val="8"/>
          <c:tx>
            <c:strRef>
              <c:f>'Gibbs-EVAL'!$A$109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4A52-48C1-879E-D295987745E2}"/>
            </c:ext>
          </c:extLst>
        </c:ser>
        <c:ser>
          <c:idx val="7"/>
          <c:order val="9"/>
          <c:tx>
            <c:strRef>
              <c:f>'Gibbs-EVAL'!$A$110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4A52-48C1-879E-D295987745E2}"/>
            </c:ext>
          </c:extLst>
        </c:ser>
        <c:ser>
          <c:idx val="8"/>
          <c:order val="10"/>
          <c:tx>
            <c:strRef>
              <c:f>'Gibbs-EVAL'!$A$111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4A52-48C1-879E-D295987745E2}"/>
            </c:ext>
          </c:extLst>
        </c:ser>
        <c:ser>
          <c:idx val="9"/>
          <c:order val="11"/>
          <c:tx>
            <c:strRef>
              <c:f>'Gibbs-EVAL'!$A$112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4A52-48C1-879E-D295987745E2}"/>
            </c:ext>
          </c:extLst>
        </c:ser>
        <c:ser>
          <c:idx val="10"/>
          <c:order val="12"/>
          <c:tx>
            <c:strRef>
              <c:f>'Gibbs-EVAL'!$A$113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4A52-48C1-879E-D295987745E2}"/>
            </c:ext>
          </c:extLst>
        </c:ser>
        <c:ser>
          <c:idx val="11"/>
          <c:order val="13"/>
          <c:tx>
            <c:strRef>
              <c:f>'Gibbs-EVAL'!$A$114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4A52-48C1-879E-D295987745E2}"/>
            </c:ext>
          </c:extLst>
        </c:ser>
        <c:ser>
          <c:idx val="12"/>
          <c:order val="14"/>
          <c:tx>
            <c:strRef>
              <c:f>'Gibbs-EVAL'!$A$115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4A52-48C1-879E-D295987745E2}"/>
            </c:ext>
          </c:extLst>
        </c:ser>
        <c:ser>
          <c:idx val="13"/>
          <c:order val="15"/>
          <c:tx>
            <c:strRef>
              <c:f>'Gibbs-EVAL'!$A$116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4A52-48C1-879E-D295987745E2}"/>
            </c:ext>
          </c:extLst>
        </c:ser>
        <c:ser>
          <c:idx val="14"/>
          <c:order val="16"/>
          <c:tx>
            <c:strRef>
              <c:f>'Gibbs-EVAL'!$A$117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4A52-48C1-879E-D295987745E2}"/>
            </c:ext>
          </c:extLst>
        </c:ser>
        <c:ser>
          <c:idx val="15"/>
          <c:order val="17"/>
          <c:tx>
            <c:strRef>
              <c:f>'Gibbs-EVAL'!$A$118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4A52-48C1-879E-D295987745E2}"/>
            </c:ext>
          </c:extLst>
        </c:ser>
        <c:ser>
          <c:idx val="16"/>
          <c:order val="18"/>
          <c:tx>
            <c:strRef>
              <c:f>'Gibbs-EVAL'!$A$119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4A52-48C1-879E-D295987745E2}"/>
            </c:ext>
          </c:extLst>
        </c:ser>
        <c:ser>
          <c:idx val="17"/>
          <c:order val="19"/>
          <c:tx>
            <c:strRef>
              <c:f>'Gibbs-EVAL'!$A$120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4A52-48C1-879E-D295987745E2}"/>
            </c:ext>
          </c:extLst>
        </c:ser>
        <c:ser>
          <c:idx val="18"/>
          <c:order val="20"/>
          <c:tx>
            <c:strRef>
              <c:f>'Gibbs-EVAL'!$A$121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4A52-48C1-879E-D295987745E2}"/>
            </c:ext>
          </c:extLst>
        </c:ser>
        <c:ser>
          <c:idx val="19"/>
          <c:order val="21"/>
          <c:tx>
            <c:strRef>
              <c:f>'Gibbs-EVAL'!$A$122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4A52-48C1-879E-D295987745E2}"/>
            </c:ext>
          </c:extLst>
        </c:ser>
        <c:ser>
          <c:idx val="20"/>
          <c:order val="22"/>
          <c:tx>
            <c:strRef>
              <c:f>'Gibbs-EVAL'!$A$123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4A52-48C1-879E-D295987745E2}"/>
            </c:ext>
          </c:extLst>
        </c:ser>
        <c:ser>
          <c:idx val="21"/>
          <c:order val="23"/>
          <c:tx>
            <c:strRef>
              <c:f>'Gibbs-EVAL'!$A$124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4A52-48C1-879E-D295987745E2}"/>
            </c:ext>
          </c:extLst>
        </c:ser>
        <c:ser>
          <c:idx val="22"/>
          <c:order val="24"/>
          <c:tx>
            <c:strRef>
              <c:f>'Gibbs-EVAL'!$A$125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4A52-48C1-879E-D295987745E2}"/>
            </c:ext>
          </c:extLst>
        </c:ser>
        <c:ser>
          <c:idx val="23"/>
          <c:order val="25"/>
          <c:tx>
            <c:strRef>
              <c:f>'Gibbs-EVAL'!$A$126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4A52-48C1-879E-D295987745E2}"/>
            </c:ext>
          </c:extLst>
        </c:ser>
        <c:ser>
          <c:idx val="24"/>
          <c:order val="26"/>
          <c:tx>
            <c:strRef>
              <c:f>'Gibbs-EVAL'!$A$127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4A52-48C1-879E-D295987745E2}"/>
            </c:ext>
          </c:extLst>
        </c:ser>
        <c:ser>
          <c:idx val="25"/>
          <c:order val="27"/>
          <c:tx>
            <c:strRef>
              <c:f>'Gibbs-EVAL'!$A$128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4A52-48C1-879E-D295987745E2}"/>
            </c:ext>
          </c:extLst>
        </c:ser>
        <c:ser>
          <c:idx val="26"/>
          <c:order val="28"/>
          <c:tx>
            <c:strRef>
              <c:f>'Gibbs-EVAL'!$A$129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4A52-48C1-879E-D295987745E2}"/>
            </c:ext>
          </c:extLst>
        </c:ser>
        <c:ser>
          <c:idx val="27"/>
          <c:order val="29"/>
          <c:tx>
            <c:strRef>
              <c:f>'Gibbs-EVAL'!$A$130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4A52-48C1-879E-D295987745E2}"/>
            </c:ext>
          </c:extLst>
        </c:ser>
        <c:ser>
          <c:idx val="28"/>
          <c:order val="30"/>
          <c:tx>
            <c:strRef>
              <c:f>'Gibbs-EVAL'!$A$131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4A52-48C1-879E-D295987745E2}"/>
            </c:ext>
          </c:extLst>
        </c:ser>
        <c:ser>
          <c:idx val="29"/>
          <c:order val="31"/>
          <c:tx>
            <c:strRef>
              <c:f>'Gibbs-EVAL'!$A$132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4A52-48C1-879E-D295987745E2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4A52-48C1-879E-D295987745E2}"/>
            </c:ext>
          </c:extLst>
        </c:ser>
        <c:ser>
          <c:idx val="31"/>
          <c:order val="33"/>
          <c:tx>
            <c:strRef>
              <c:f>'Gibbs-EVAL'!$A$134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4A52-48C1-879E-D295987745E2}"/>
            </c:ext>
          </c:extLst>
        </c:ser>
        <c:ser>
          <c:idx val="32"/>
          <c:order val="34"/>
          <c:tx>
            <c:strRef>
              <c:f>'Gibbs-EVAL'!$A$135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4A52-48C1-879E-D295987745E2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4A52-48C1-879E-D295987745E2}"/>
            </c:ext>
          </c:extLst>
        </c:ser>
        <c:ser>
          <c:idx val="34"/>
          <c:order val="36"/>
          <c:tx>
            <c:strRef>
              <c:f>'Gibbs-EVAL'!$A$137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4A52-48C1-879E-D295987745E2}"/>
            </c:ext>
          </c:extLst>
        </c:ser>
        <c:ser>
          <c:idx val="35"/>
          <c:order val="37"/>
          <c:tx>
            <c:strRef>
              <c:f>'Gibbs-EVAL'!$A$138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4A52-48C1-879E-D295987745E2}"/>
            </c:ext>
          </c:extLst>
        </c:ser>
        <c:ser>
          <c:idx val="36"/>
          <c:order val="38"/>
          <c:tx>
            <c:strRef>
              <c:f>'Gibbs-EVAL'!$A$139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4A52-48C1-879E-D295987745E2}"/>
            </c:ext>
          </c:extLst>
        </c:ser>
        <c:ser>
          <c:idx val="37"/>
          <c:order val="39"/>
          <c:tx>
            <c:strRef>
              <c:f>'Gibbs-EVAL'!$A$140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4A52-48C1-879E-D295987745E2}"/>
            </c:ext>
          </c:extLst>
        </c:ser>
        <c:ser>
          <c:idx val="38"/>
          <c:order val="40"/>
          <c:tx>
            <c:strRef>
              <c:f>'Gibbs-EVAL'!$A$141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4A52-48C1-879E-D295987745E2}"/>
            </c:ext>
          </c:extLst>
        </c:ser>
        <c:ser>
          <c:idx val="40"/>
          <c:order val="41"/>
          <c:tx>
            <c:strRef>
              <c:f>'Gibbs-EVAL'!$A$142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4A52-48C1-879E-D295987745E2}"/>
            </c:ext>
          </c:extLst>
        </c:ser>
        <c:ser>
          <c:idx val="41"/>
          <c:order val="42"/>
          <c:tx>
            <c:strRef>
              <c:f>'Gibbs-EVAL'!$A$143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4A52-48C1-879E-D295987745E2}"/>
            </c:ext>
          </c:extLst>
        </c:ser>
        <c:ser>
          <c:idx val="42"/>
          <c:order val="43"/>
          <c:tx>
            <c:strRef>
              <c:f>'Gibbs-EVAL'!$A$144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4A52-48C1-879E-D295987745E2}"/>
            </c:ext>
          </c:extLst>
        </c:ser>
        <c:ser>
          <c:idx val="43"/>
          <c:order val="44"/>
          <c:tx>
            <c:strRef>
              <c:f>'Gibbs-EVAL'!$A$145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4A52-48C1-879E-D295987745E2}"/>
            </c:ext>
          </c:extLst>
        </c:ser>
        <c:ser>
          <c:idx val="44"/>
          <c:order val="45"/>
          <c:tx>
            <c:strRef>
              <c:f>'Gibbs-EVAL'!$A$146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4A52-48C1-879E-D295987745E2}"/>
            </c:ext>
          </c:extLst>
        </c:ser>
        <c:ser>
          <c:idx val="45"/>
          <c:order val="46"/>
          <c:tx>
            <c:strRef>
              <c:f>'Gibbs-EVAL'!$A$147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4A52-48C1-879E-D295987745E2}"/>
            </c:ext>
          </c:extLst>
        </c:ser>
        <c:ser>
          <c:idx val="46"/>
          <c:order val="47"/>
          <c:tx>
            <c:strRef>
              <c:f>'Gibbs-EVAL'!$A$148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4A52-48C1-879E-D295987745E2}"/>
            </c:ext>
          </c:extLst>
        </c:ser>
        <c:ser>
          <c:idx val="47"/>
          <c:order val="48"/>
          <c:tx>
            <c:strRef>
              <c:f>'Gibbs-EVAL'!$A$149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4A52-48C1-879E-D295987745E2}"/>
            </c:ext>
          </c:extLst>
        </c:ser>
        <c:ser>
          <c:idx val="48"/>
          <c:order val="49"/>
          <c:tx>
            <c:strRef>
              <c:f>'Gibbs-EVAL'!$A$150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4A52-48C1-879E-D295987745E2}"/>
            </c:ext>
          </c:extLst>
        </c:ser>
        <c:ser>
          <c:idx val="49"/>
          <c:order val="50"/>
          <c:tx>
            <c:strRef>
              <c:f>'Gibbs-EVAL'!$A$151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4A52-48C1-879E-D295987745E2}"/>
            </c:ext>
          </c:extLst>
        </c:ser>
        <c:ser>
          <c:idx val="50"/>
          <c:order val="51"/>
          <c:tx>
            <c:strRef>
              <c:f>'Gibbs-EVAL'!$A$152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4A52-48C1-879E-D295987745E2}"/>
            </c:ext>
          </c:extLst>
        </c:ser>
        <c:ser>
          <c:idx val="51"/>
          <c:order val="52"/>
          <c:tx>
            <c:strRef>
              <c:f>'Gibbs-EVAL'!$A$153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4A52-48C1-879E-D295987745E2}"/>
            </c:ext>
          </c:extLst>
        </c:ser>
        <c:ser>
          <c:idx val="52"/>
          <c:order val="53"/>
          <c:tx>
            <c:strRef>
              <c:f>'Gibbs-EVAL'!$A$154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4A52-48C1-879E-D295987745E2}"/>
            </c:ext>
          </c:extLst>
        </c:ser>
        <c:ser>
          <c:idx val="53"/>
          <c:order val="54"/>
          <c:tx>
            <c:strRef>
              <c:f>'Gibbs-EVAL'!$A$155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4A52-48C1-879E-D295987745E2}"/>
            </c:ext>
          </c:extLst>
        </c:ser>
        <c:ser>
          <c:idx val="55"/>
          <c:order val="55"/>
          <c:tx>
            <c:strRef>
              <c:f>'Gibbs-EVAL'!$A$156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4A52-48C1-879E-D295987745E2}"/>
            </c:ext>
          </c:extLst>
        </c:ser>
        <c:ser>
          <c:idx val="56"/>
          <c:order val="56"/>
          <c:tx>
            <c:strRef>
              <c:f>'Gibbs-EVAL'!$A$157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4A52-48C1-879E-D295987745E2}"/>
            </c:ext>
          </c:extLst>
        </c:ser>
        <c:ser>
          <c:idx val="57"/>
          <c:order val="57"/>
          <c:tx>
            <c:strRef>
              <c:f>'Gibbs-EVAL'!$A$158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4A52-48C1-879E-D295987745E2}"/>
            </c:ext>
          </c:extLst>
        </c:ser>
        <c:ser>
          <c:idx val="58"/>
          <c:order val="58"/>
          <c:tx>
            <c:strRef>
              <c:f>'Gibbs-EVAL'!$A$159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4A52-48C1-879E-D295987745E2}"/>
            </c:ext>
          </c:extLst>
        </c:ser>
        <c:ser>
          <c:idx val="59"/>
          <c:order val="59"/>
          <c:tx>
            <c:strRef>
              <c:f>'Gibbs-EVAL'!$A$160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4A52-48C1-879E-D295987745E2}"/>
            </c:ext>
          </c:extLst>
        </c:ser>
        <c:ser>
          <c:idx val="60"/>
          <c:order val="60"/>
          <c:tx>
            <c:strRef>
              <c:f>'Gibbs-EVAL'!$A$161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4A52-48C1-879E-D29598774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2"/>
          <c:order val="14"/>
          <c:tx>
            <c:strRef>
              <c:f>'Gibbs-EVAL'!$A$115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81D5-4615-BB5D-002590B5E87A}"/>
            </c:ext>
          </c:extLst>
        </c:ser>
        <c:ser>
          <c:idx val="30"/>
          <c:order val="32"/>
          <c:tx>
            <c:strRef>
              <c:f>'Gibbs-EVAL'!$A$133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81D5-4615-BB5D-002590B5E87A}"/>
            </c:ext>
          </c:extLst>
        </c:ser>
        <c:ser>
          <c:idx val="79"/>
          <c:order val="79"/>
          <c:tx>
            <c:strRef>
              <c:f>'Gibbs-EVAL'!$A$180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'Gibbs-EVAL'!$B$180:$BT$180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81D5-4615-BB5D-002590B5E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81D5-4615-BB5D-002590B5E87A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1D5-4615-BB5D-002590B5E87A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81D5-4615-BB5D-002590B5E87A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1D5-4615-BB5D-002590B5E87A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1D5-4615-BB5D-002590B5E87A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1D5-4615-BB5D-002590B5E87A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1D5-4615-BB5D-002590B5E87A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1D5-4615-BB5D-002590B5E87A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81D5-4615-BB5D-002590B5E87A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1D5-4615-BB5D-002590B5E87A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1D5-4615-BB5D-002590B5E87A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1D5-4615-BB5D-002590B5E87A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1D5-4615-BB5D-002590B5E87A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1D5-4615-BB5D-002590B5E87A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1D5-4615-BB5D-002590B5E87A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1D5-4615-BB5D-002590B5E87A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1D5-4615-BB5D-002590B5E87A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1D5-4615-BB5D-002590B5E87A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1D5-4615-BB5D-002590B5E87A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1D5-4615-BB5D-002590B5E87A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1D5-4615-BB5D-002590B5E87A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1D5-4615-BB5D-002590B5E87A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1D5-4615-BB5D-002590B5E87A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1D5-4615-BB5D-002590B5E87A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1D5-4615-BB5D-002590B5E87A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1D5-4615-BB5D-002590B5E87A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1D5-4615-BB5D-002590B5E87A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1D5-4615-BB5D-002590B5E87A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1D5-4615-BB5D-002590B5E87A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1D5-4615-BB5D-002590B5E87A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1D5-4615-BB5D-002590B5E87A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1D5-4615-BB5D-002590B5E87A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81D5-4615-BB5D-002590B5E87A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81D5-4615-BB5D-002590B5E87A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81D5-4615-BB5D-002590B5E87A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1D5-4615-BB5D-002590B5E87A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1D5-4615-BB5D-002590B5E87A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1D5-4615-BB5D-002590B5E87A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1D5-4615-BB5D-002590B5E87A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1D5-4615-BB5D-002590B5E87A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1D5-4615-BB5D-002590B5E87A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1D5-4615-BB5D-002590B5E87A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1D5-4615-BB5D-002590B5E87A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81D5-4615-BB5D-002590B5E87A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1D5-4615-BB5D-002590B5E87A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1D5-4615-BB5D-002590B5E87A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1D5-4615-BB5D-002590B5E87A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1D5-4615-BB5D-002590B5E87A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1D5-4615-BB5D-002590B5E87A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1D5-4615-BB5D-002590B5E87A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1D5-4615-BB5D-002590B5E87A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1D5-4615-BB5D-002590B5E87A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1D5-4615-BB5D-002590B5E87A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1D5-4615-BB5D-002590B5E87A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1D5-4615-BB5D-002590B5E87A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1D5-4615-BB5D-002590B5E87A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1D5-4615-BB5D-002590B5E87A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1D5-4615-BB5D-002590B5E87A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1D5-4615-BB5D-002590B5E87A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1D5-4615-BB5D-002590B5E87A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1D5-4615-BB5D-002590B5E87A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1D5-4615-BB5D-002590B5E87A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1D5-4615-BB5D-002590B5E87A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1D5-4615-BB5D-002590B5E87A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1D5-4615-BB5D-002590B5E87A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1D5-4615-BB5D-002590B5E87A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1D5-4615-BB5D-002590B5E87A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81D5-4615-BB5D-002590B5E87A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1D5-4615-BB5D-002590B5E87A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1D5-4615-BB5D-002590B5E87A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1D5-4615-BB5D-002590B5E87A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1D5-4615-BB5D-002590B5E87A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1D5-4615-BB5D-002590B5E87A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1D5-4615-BB5D-002590B5E87A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1D5-4615-BB5D-002590B5E87A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1D5-4615-BB5D-002590B5E87A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1D5-4615-BB5D-002590B5E87A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81D5-4615-BB5D-002590B5E87A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1D5-4615-BB5D-002590B5E87A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1D5-4615-BB5D-002590B5E87A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1D5-4615-BB5D-002590B5E87A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1D5-4615-BB5D-002590B5E87A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1D5-4615-BB5D-002590B5E87A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1D5-4615-BB5D-002590B5E87A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1D5-4615-BB5D-002590B5E87A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1D5-4615-BB5D-002590B5E87A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1D5-4615-BB5D-002590B5E87A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1D5-4615-BB5D-002590B5E87A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1D5-4615-BB5D-002590B5E87A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1D5-4615-BB5D-002590B5E87A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1D5-4615-BB5D-002590B5E87A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1D5-4615-BB5D-002590B5E87A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10"/>
          <c:order val="12"/>
          <c:tx>
            <c:strRef>
              <c:f>'Gibbs-EVAL'!$A$113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CC8-467B-B6AF-AC5131E56D30}"/>
            </c:ext>
          </c:extLst>
        </c:ser>
        <c:ser>
          <c:idx val="33"/>
          <c:order val="35"/>
          <c:tx>
            <c:strRef>
              <c:f>'Gibbs-EVAL'!$A$136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ot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CC8-467B-B6AF-AC5131E56D30}"/>
            </c:ext>
          </c:extLst>
        </c:ser>
        <c:ser>
          <c:idx val="74"/>
          <c:order val="74"/>
          <c:tx>
            <c:strRef>
              <c:f>'Gibbs-EVAL'!$A$175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</c:numCache>
            </c:numRef>
          </c:xVal>
          <c:yVal>
            <c:numRef>
              <c:f>'Gibbs-EVAL'!$B$175:$BT$175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1CC8-467B-B6AF-AC5131E56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1CC8-467B-B6AF-AC5131E56D30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1CC8-467B-B6AF-AC5131E56D30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1CC8-467B-B6AF-AC5131E56D30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1CC8-467B-B6AF-AC5131E56D30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CC8-467B-B6AF-AC5131E56D30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1CC8-467B-B6AF-AC5131E56D30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0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CC8-467B-B6AF-AC5131E56D30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CC8-467B-B6AF-AC5131E56D30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CC8-467B-B6AF-AC5131E56D30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00B05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1CC8-467B-B6AF-AC5131E56D30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CC8-467B-B6AF-AC5131E56D30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1CC8-467B-B6AF-AC5131E56D30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CC8-467B-B6AF-AC5131E56D30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1CC8-467B-B6AF-AC5131E56D30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CC8-467B-B6AF-AC5131E56D30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CC8-467B-B6AF-AC5131E56D30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1CC8-467B-B6AF-AC5131E56D30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1CC8-467B-B6AF-AC5131E56D30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1CC8-467B-B6AF-AC5131E56D30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1CC8-467B-B6AF-AC5131E56D30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1CC8-467B-B6AF-AC5131E56D30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1CC8-467B-B6AF-AC5131E56D30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1CC8-467B-B6AF-AC5131E56D30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1CC8-467B-B6AF-AC5131E56D30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1CC8-467B-B6AF-AC5131E56D30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1CC8-467B-B6AF-AC5131E56D30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1CC8-467B-B6AF-AC5131E56D30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1CC8-467B-B6AF-AC5131E56D30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1CC8-467B-B6AF-AC5131E56D30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1CC8-467B-B6AF-AC5131E56D30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1CC8-467B-B6AF-AC5131E56D30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1CC8-467B-B6AF-AC5131E56D30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1CC8-467B-B6AF-AC5131E56D30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1CC8-467B-B6AF-AC5131E56D30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1CC8-467B-B6AF-AC5131E56D30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1CC8-467B-B6AF-AC5131E56D30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1CC8-467B-B6AF-AC5131E56D30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1CC8-467B-B6AF-AC5131E56D30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1CC8-467B-B6AF-AC5131E56D30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1CC8-467B-B6AF-AC5131E56D30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FF0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1CC8-467B-B6AF-AC5131E56D30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1CC8-467B-B6AF-AC5131E56D30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1CC8-467B-B6AF-AC5131E56D30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1CC8-467B-B6AF-AC5131E56D30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1CC8-467B-B6AF-AC5131E56D30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1CC8-467B-B6AF-AC5131E56D30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1CC8-467B-B6AF-AC5131E56D30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>
                    <a:solidFill>
                      <a:srgbClr val="00B050"/>
                    </a:solidFill>
                    <a:prstDash val="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1CC8-467B-B6AF-AC5131E56D30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1CC8-467B-B6AF-AC5131E56D30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1CC8-467B-B6AF-AC5131E56D30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1CC8-467B-B6AF-AC5131E56D30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1CC8-467B-B6AF-AC5131E56D30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1CC8-467B-B6AF-AC5131E56D30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1CC8-467B-B6AF-AC5131E56D30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1CC8-467B-B6AF-AC5131E56D30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1CC8-467B-B6AF-AC5131E56D30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1CC8-467B-B6AF-AC5131E56D30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1CC8-467B-B6AF-AC5131E56D30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1CC8-467B-B6AF-AC5131E56D30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1CC8-467B-B6AF-AC5131E56D30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1CC8-467B-B6AF-AC5131E56D30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1CC8-467B-B6AF-AC5131E56D30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1CC8-467B-B6AF-AC5131E56D30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1CC8-467B-B6AF-AC5131E56D30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1CC8-467B-B6AF-AC5131E56D30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1CC8-467B-B6AF-AC5131E56D30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1CC8-467B-B6AF-AC5131E56D30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1CC8-467B-B6AF-AC5131E56D30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1CC8-467B-B6AF-AC5131E56D30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1CC8-467B-B6AF-AC5131E56D30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1CC8-467B-B6AF-AC5131E56D30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1CC8-467B-B6AF-AC5131E56D30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1CC8-467B-B6AF-AC5131E56D30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1CC8-467B-B6AF-AC5131E56D30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1CC8-467B-B6AF-AC5131E56D30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1CC8-467B-B6AF-AC5131E56D30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1CC8-467B-B6AF-AC5131E56D30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1CC8-467B-B6AF-AC5131E56D30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1CC8-467B-B6AF-AC5131E56D30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1CC8-467B-B6AF-AC5131E56D30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1CC8-467B-B6AF-AC5131E56D30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1CC8-467B-B6AF-AC5131E56D30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1CC8-467B-B6AF-AC5131E56D30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1CC8-467B-B6AF-AC5131E56D30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1CC8-467B-B6AF-AC5131E56D30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1CC8-467B-B6AF-AC5131E56D30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1CC8-467B-B6AF-AC5131E56D30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1CC8-467B-B6AF-AC5131E56D30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1CC8-467B-B6AF-AC5131E56D30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1CC8-467B-B6AF-AC5131E56D30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1CC8-467B-B6AF-AC5131E56D30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  <c:pt idx="0">
                        <c:v>end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1CC8-467B-B6AF-AC5131E56D30}"/>
                  </c:ext>
                </c:extLst>
              </c15:ser>
            </c15:filteredScatterSeries>
          </c:ext>
        </c:extLst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332237031845046"/>
          <c:y val="1.4038590094448208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6749-4437-9EBA-FACF01A95B36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6749-4437-9EBA-FACF01A95B36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6749-4437-9EBA-FACF01A95B36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6749-4437-9EBA-FACF01A95B36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6749-4437-9EBA-FACF01A95B36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6749-4437-9EBA-FACF01A95B36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6749-4437-9EBA-FACF01A95B36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6749-4437-9EBA-FACF01A95B36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6749-4437-9EBA-FACF01A95B36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6749-4437-9EBA-FACF01A95B36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6749-4437-9EBA-FACF01A95B36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6749-4437-9EBA-FACF01A95B36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6749-4437-9EBA-FACF01A95B36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6749-4437-9EBA-FACF01A95B36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6749-4437-9EBA-FACF01A95B36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6749-4437-9EBA-FACF01A95B36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6749-4437-9EBA-FACF01A95B36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6749-4437-9EBA-FACF01A95B36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6749-4437-9EBA-FACF01A95B36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6749-4437-9EBA-FACF01A95B36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6749-4437-9EBA-FACF01A95B36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6749-4437-9EBA-FACF01A95B36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6749-4437-9EBA-FACF01A95B36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6749-4437-9EBA-FACF01A95B36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6749-4437-9EBA-FACF01A95B36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6749-4437-9EBA-FACF01A95B36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6749-4437-9EBA-FACF01A95B36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6749-4437-9EBA-FACF01A95B36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6749-4437-9EBA-FACF01A95B36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6749-4437-9EBA-FACF01A95B36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6749-4437-9EBA-FACF01A95B36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6749-4437-9EBA-FACF01A95B36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6749-4437-9EBA-FACF01A95B36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6749-4437-9EBA-FACF01A95B36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6749-4437-9EBA-FACF01A95B36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6749-4437-9EBA-FACF01A95B36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6749-4437-9EBA-FACF01A95B36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6749-4437-9EBA-FACF01A95B36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6749-4437-9EBA-FACF01A95B36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6749-4437-9EBA-FACF01A95B36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chemeClr val="accent1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6749-4437-9EBA-FACF01A95B36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6749-4437-9EBA-FACF01A95B36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6749-4437-9EBA-FACF01A95B36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6749-4437-9EBA-FACF01A95B36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6749-4437-9EBA-FACF01A95B36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6749-4437-9EBA-FACF01A95B36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6749-4437-9EBA-FACF01A95B36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chemeClr val="accent1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6749-4437-9EBA-FACF01A95B36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6749-4437-9EBA-FACF01A95B36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6749-4437-9EBA-FACF01A95B36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6749-4437-9EBA-FACF01A95B36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6749-4437-9EBA-FACF01A95B36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6749-4437-9EBA-FACF01A95B36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6749-4437-9EBA-FACF01A95B36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6749-4437-9EBA-FACF01A95B36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6749-4437-9EBA-FACF01A95B36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6749-4437-9EBA-FACF01A95B36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6749-4437-9EBA-FACF01A95B36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6749-4437-9EBA-FACF01A95B36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6749-4437-9EBA-FACF01A95B36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6749-4437-9EBA-FACF01A95B36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6749-4437-9EBA-FACF01A95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364295062896362"/>
          <c:y val="1.405444437220484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1E4F-48F0-98BD-B294EEA8CE8B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1E4F-48F0-98BD-B294EEA8CE8B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1E4F-48F0-98BD-B294EEA8CE8B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1E4F-48F0-98BD-B294EEA8CE8B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F-48F0-98BD-B294EEA8CE8B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1E4F-48F0-98BD-B294EEA8CE8B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1E4F-48F0-98BD-B294EEA8CE8B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1E4F-48F0-98BD-B294EEA8CE8B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1E4F-48F0-98BD-B294EEA8CE8B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1E4F-48F0-98BD-B294EEA8CE8B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1E4F-48F0-98BD-B294EEA8CE8B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1E4F-48F0-98BD-B294EEA8CE8B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1E4F-48F0-98BD-B294EEA8CE8B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1E4F-48F0-98BD-B294EEA8CE8B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1E4F-48F0-98BD-B294EEA8CE8B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1E4F-48F0-98BD-B294EEA8CE8B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1E4F-48F0-98BD-B294EEA8CE8B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1E4F-48F0-98BD-B294EEA8CE8B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1E4F-48F0-98BD-B294EEA8CE8B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1E4F-48F0-98BD-B294EEA8CE8B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1E4F-48F0-98BD-B294EEA8CE8B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1E4F-48F0-98BD-B294EEA8CE8B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1E4F-48F0-98BD-B294EEA8CE8B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1E4F-48F0-98BD-B294EEA8CE8B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1E4F-48F0-98BD-B294EEA8CE8B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1E4F-48F0-98BD-B294EEA8CE8B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1E4F-48F0-98BD-B294EEA8CE8B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1E4F-48F0-98BD-B294EEA8CE8B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1E4F-48F0-98BD-B294EEA8CE8B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1E4F-48F0-98BD-B294EEA8CE8B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1E4F-48F0-98BD-B294EEA8CE8B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1E4F-48F0-98BD-B294EEA8CE8B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1E4F-48F0-98BD-B294EEA8CE8B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1E4F-48F0-98BD-B294EEA8CE8B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1E4F-48F0-98BD-B294EEA8CE8B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1E4F-48F0-98BD-B294EEA8CE8B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1E4F-48F0-98BD-B294EEA8CE8B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1E4F-48F0-98BD-B294EEA8CE8B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1E4F-48F0-98BD-B294EEA8CE8B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1E4F-48F0-98BD-B294EEA8CE8B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1E4F-48F0-98BD-B294EEA8CE8B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1E4F-48F0-98BD-B294EEA8CE8B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1E4F-48F0-98BD-B294EEA8CE8B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1E4F-48F0-98BD-B294EEA8CE8B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1E4F-48F0-98BD-B294EEA8CE8B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1E4F-48F0-98BD-B294EEA8CE8B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1E4F-48F0-98BD-B294EEA8CE8B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1E4F-48F0-98BD-B294EEA8CE8B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1E4F-48F0-98BD-B294EEA8CE8B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1E4F-48F0-98BD-B294EEA8CE8B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1E4F-48F0-98BD-B294EEA8CE8B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1E4F-48F0-98BD-B294EEA8CE8B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1E4F-48F0-98BD-B294EEA8CE8B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1E4F-48F0-98BD-B294EEA8CE8B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1E4F-48F0-98BD-B294EEA8CE8B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1E4F-48F0-98BD-B294EEA8CE8B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1E4F-48F0-98BD-B294EEA8CE8B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1E4F-48F0-98BD-B294EEA8CE8B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1E4F-48F0-98BD-B294EEA8CE8B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1E4F-48F0-98BD-B294EEA8CE8B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1E4F-48F0-98BD-B294EEA8CE8B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1E4F-48F0-98BD-B294EEA8CE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23926127373632"/>
          <c:y val="1.3663818423991513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681-49BA-8609-3902CD5A10D8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681-49BA-8609-3902CD5A10D8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681-49BA-8609-3902CD5A10D8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681-49BA-8609-3902CD5A10D8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681-49BA-8609-3902CD5A10D8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681-49BA-8609-3902CD5A10D8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681-49BA-8609-3902CD5A10D8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C681-49BA-8609-3902CD5A10D8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681-49BA-8609-3902CD5A10D8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681-49BA-8609-3902CD5A10D8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681-49BA-8609-3902CD5A10D8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681-49BA-8609-3902CD5A10D8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681-49BA-8609-3902CD5A10D8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681-49BA-8609-3902CD5A10D8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681-49BA-8609-3902CD5A10D8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681-49BA-8609-3902CD5A10D8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681-49BA-8609-3902CD5A10D8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681-49BA-8609-3902CD5A10D8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681-49BA-8609-3902CD5A10D8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681-49BA-8609-3902CD5A10D8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681-49BA-8609-3902CD5A10D8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681-49BA-8609-3902CD5A10D8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681-49BA-8609-3902CD5A10D8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681-49BA-8609-3902CD5A10D8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681-49BA-8609-3902CD5A10D8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681-49BA-8609-3902CD5A10D8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681-49BA-8609-3902CD5A10D8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681-49BA-8609-3902CD5A10D8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681-49BA-8609-3902CD5A10D8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681-49BA-8609-3902CD5A10D8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681-49BA-8609-3902CD5A10D8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681-49BA-8609-3902CD5A10D8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681-49BA-8609-3902CD5A10D8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681-49BA-8609-3902CD5A10D8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681-49BA-8609-3902CD5A10D8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681-49BA-8609-3902CD5A10D8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681-49BA-8609-3902CD5A10D8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C681-49BA-8609-3902CD5A10D8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681-49BA-8609-3902CD5A10D8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681-49BA-8609-3902CD5A10D8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681-49BA-8609-3902CD5A10D8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681-49BA-8609-3902CD5A10D8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C681-49BA-8609-3902CD5A10D8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681-49BA-8609-3902CD5A10D8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681-49BA-8609-3902CD5A10D8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681-49BA-8609-3902CD5A10D8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681-49BA-8609-3902CD5A10D8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681-49BA-8609-3902CD5A10D8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681-49BA-8609-3902CD5A10D8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681-49BA-8609-3902CD5A10D8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681-49BA-8609-3902CD5A10D8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681-49BA-8609-3902CD5A10D8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681-49BA-8609-3902CD5A10D8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681-49BA-8609-3902CD5A10D8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681-49BA-8609-3902CD5A10D8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681-49BA-8609-3902CD5A10D8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681-49BA-8609-3902CD5A10D8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681-49BA-8609-3902CD5A10D8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681-49BA-8609-3902CD5A10D8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681-49BA-8609-3902CD5A10D8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681-49BA-8609-3902CD5A10D8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681-49BA-8609-3902CD5A1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41247080956879"/>
          <c:y val="1.3661756950351616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8AF5-4EFF-A8A5-8EF44D2D1F2E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8AF5-4EFF-A8A5-8EF44D2D1F2E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2-8AF5-4EFF-A8A5-8EF44D2D1F2E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AF5-4EFF-A8A5-8EF44D2D1F2E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8AF5-4EFF-A8A5-8EF44D2D1F2E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8AF5-4EFF-A8A5-8EF44D2D1F2E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8AF5-4EFF-A8A5-8EF44D2D1F2E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8AF5-4EFF-A8A5-8EF44D2D1F2E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8AF5-4EFF-A8A5-8EF44D2D1F2E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8AF5-4EFF-A8A5-8EF44D2D1F2E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8AF5-4EFF-A8A5-8EF44D2D1F2E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8AF5-4EFF-A8A5-8EF44D2D1F2E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8AF5-4EFF-A8A5-8EF44D2D1F2E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8AF5-4EFF-A8A5-8EF44D2D1F2E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8AF5-4EFF-A8A5-8EF44D2D1F2E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8AF5-4EFF-A8A5-8EF44D2D1F2E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8AF5-4EFF-A8A5-8EF44D2D1F2E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8AF5-4EFF-A8A5-8EF44D2D1F2E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8AF5-4EFF-A8A5-8EF44D2D1F2E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8AF5-4EFF-A8A5-8EF44D2D1F2E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8AF5-4EFF-A8A5-8EF44D2D1F2E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8AF5-4EFF-A8A5-8EF44D2D1F2E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8AF5-4EFF-A8A5-8EF44D2D1F2E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8AF5-4EFF-A8A5-8EF44D2D1F2E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8AF5-4EFF-A8A5-8EF44D2D1F2E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8AF5-4EFF-A8A5-8EF44D2D1F2E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8AF5-4EFF-A8A5-8EF44D2D1F2E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8AF5-4EFF-A8A5-8EF44D2D1F2E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8AF5-4EFF-A8A5-8EF44D2D1F2E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8AF5-4EFF-A8A5-8EF44D2D1F2E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8AF5-4EFF-A8A5-8EF44D2D1F2E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8AF5-4EFF-A8A5-8EF44D2D1F2E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8AF5-4EFF-A8A5-8EF44D2D1F2E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8AF5-4EFF-A8A5-8EF44D2D1F2E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8AF5-4EFF-A8A5-8EF44D2D1F2E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8AF5-4EFF-A8A5-8EF44D2D1F2E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8AF5-4EFF-A8A5-8EF44D2D1F2E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8AF5-4EFF-A8A5-8EF44D2D1F2E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8AF5-4EFF-A8A5-8EF44D2D1F2E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8AF5-4EFF-A8A5-8EF44D2D1F2E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8AF5-4EFF-A8A5-8EF44D2D1F2E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8AF5-4EFF-A8A5-8EF44D2D1F2E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8AF5-4EFF-A8A5-8EF44D2D1F2E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8AF5-4EFF-A8A5-8EF44D2D1F2E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8AF5-4EFF-A8A5-8EF44D2D1F2E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spPr>
            <a:ln>
              <a:solidFill>
                <a:schemeClr val="accent2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8AF5-4EFF-A8A5-8EF44D2D1F2E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8AF5-4EFF-A8A5-8EF44D2D1F2E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8AF5-4EFF-A8A5-8EF44D2D1F2E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8AF5-4EFF-A8A5-8EF44D2D1F2E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8AF5-4EFF-A8A5-8EF44D2D1F2E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8AF5-4EFF-A8A5-8EF44D2D1F2E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8AF5-4EFF-A8A5-8EF44D2D1F2E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8AF5-4EFF-A8A5-8EF44D2D1F2E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8AF5-4EFF-A8A5-8EF44D2D1F2E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8AF5-4EFF-A8A5-8EF44D2D1F2E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8AF5-4EFF-A8A5-8EF44D2D1F2E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8AF5-4EFF-A8A5-8EF44D2D1F2E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8AF5-4EFF-A8A5-8EF44D2D1F2E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8AF5-4EFF-A8A5-8EF44D2D1F2E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8AF5-4EFF-A8A5-8EF44D2D1F2E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8AF5-4EFF-A8A5-8EF44D2D1F2E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8AF5-4EFF-A8A5-8EF44D2D1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23929986372433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C7E1-45B2-856A-6D7DDF9AB301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C7E1-45B2-856A-6D7DDF9AB301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C7E1-45B2-856A-6D7DDF9AB301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C7E1-45B2-856A-6D7DDF9AB301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C7E1-45B2-856A-6D7DDF9AB301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C7E1-45B2-856A-6D7DDF9AB301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C7E1-45B2-856A-6D7DDF9AB301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7E1-45B2-856A-6D7DDF9AB301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C7E1-45B2-856A-6D7DDF9AB301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C7E1-45B2-856A-6D7DDF9AB301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C7E1-45B2-856A-6D7DDF9AB301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C7E1-45B2-856A-6D7DDF9AB301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C7E1-45B2-856A-6D7DDF9AB301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C7E1-45B2-856A-6D7DDF9AB301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C7E1-45B2-856A-6D7DDF9AB301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C7E1-45B2-856A-6D7DDF9AB301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C7E1-45B2-856A-6D7DDF9AB301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C7E1-45B2-856A-6D7DDF9AB301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C7E1-45B2-856A-6D7DDF9AB301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C7E1-45B2-856A-6D7DDF9AB301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C7E1-45B2-856A-6D7DDF9AB301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C7E1-45B2-856A-6D7DDF9AB301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C7E1-45B2-856A-6D7DDF9AB301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C7E1-45B2-856A-6D7DDF9AB301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C7E1-45B2-856A-6D7DDF9AB301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C7E1-45B2-856A-6D7DDF9AB301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C7E1-45B2-856A-6D7DDF9AB301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C7E1-45B2-856A-6D7DDF9AB301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C7E1-45B2-856A-6D7DDF9AB301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C7E1-45B2-856A-6D7DDF9AB301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C7E1-45B2-856A-6D7DDF9AB301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C7E1-45B2-856A-6D7DDF9AB301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C7E1-45B2-856A-6D7DDF9AB301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C7E1-45B2-856A-6D7DDF9AB301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C7E1-45B2-856A-6D7DDF9AB301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C7E1-45B2-856A-6D7DDF9AB301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C7E1-45B2-856A-6D7DDF9AB301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spPr>
            <a:ln>
              <a:solidFill>
                <a:schemeClr val="accent4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C7E1-45B2-856A-6D7DDF9AB301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C7E1-45B2-856A-6D7DDF9AB301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C7E1-45B2-856A-6D7DDF9AB301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C7E1-45B2-856A-6D7DDF9AB301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C7E1-45B2-856A-6D7DDF9AB301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C7E1-45B2-856A-6D7DDF9AB301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C7E1-45B2-856A-6D7DDF9AB301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C7E1-45B2-856A-6D7DDF9AB301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C7E1-45B2-856A-6D7DDF9AB301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C7E1-45B2-856A-6D7DDF9AB301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C7E1-45B2-856A-6D7DDF9AB301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C7E1-45B2-856A-6D7DDF9AB301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C7E1-45B2-856A-6D7DDF9AB301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C7E1-45B2-856A-6D7DDF9AB301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C7E1-45B2-856A-6D7DDF9AB301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C7E1-45B2-856A-6D7DDF9AB301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C7E1-45B2-856A-6D7DDF9AB301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C7E1-45B2-856A-6D7DDF9AB301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C7E1-45B2-856A-6D7DDF9AB301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C7E1-45B2-856A-6D7DDF9AB301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C7E1-45B2-856A-6D7DDF9AB301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C7E1-45B2-856A-6D7DDF9AB301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C7E1-45B2-856A-6D7DDF9AB301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C7E1-45B2-856A-6D7DDF9AB301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C7E1-45B2-856A-6D7DDF9AB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4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Ga2Se</a:t>
            </a:r>
          </a:p>
        </c:rich>
      </c:tx>
      <c:layout>
        <c:manualLayout>
          <c:xMode val="edge"/>
          <c:yMode val="edge"/>
          <c:x val="0.14241247080956879"/>
          <c:y val="1.366793588338990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ACB-4A56-A05D-23B78DB4E2E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2ACB-4A56-A05D-23B78DB4E2E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2ACB-4A56-A05D-23B78DB4E2E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2ACB-4A56-A05D-23B78DB4E2E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2ACB-4A56-A05D-23B78DB4E2E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2ACB-4A56-A05D-23B78DB4E2E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2ACB-4A56-A05D-23B78DB4E2E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2ACB-4A56-A05D-23B78DB4E2E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9-2ACB-4A56-A05D-23B78DB4E2E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2ACB-4A56-A05D-23B78DB4E2E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2ACB-4A56-A05D-23B78DB4E2E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2ACB-4A56-A05D-23B78DB4E2E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2ACB-4A56-A05D-23B78DB4E2E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2ACB-4A56-A05D-23B78DB4E2E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2ACB-4A56-A05D-23B78DB4E2E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2ACB-4A56-A05D-23B78DB4E2E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2ACB-4A56-A05D-23B78DB4E2E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2ACB-4A56-A05D-23B78DB4E2E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2ACB-4A56-A05D-23B78DB4E2E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2ACB-4A56-A05D-23B78DB4E2E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2ACB-4A56-A05D-23B78DB4E2E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2ACB-4A56-A05D-23B78DB4E2E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2ACB-4A56-A05D-23B78DB4E2E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2ACB-4A56-A05D-23B78DB4E2E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2ACB-4A56-A05D-23B78DB4E2E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2ACB-4A56-A05D-23B78DB4E2E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2ACB-4A56-A05D-23B78DB4E2E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2ACB-4A56-A05D-23B78DB4E2E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2ACB-4A56-A05D-23B78DB4E2E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2ACB-4A56-A05D-23B78DB4E2E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2ACB-4A56-A05D-23B78DB4E2E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2ACB-4A56-A05D-23B78DB4E2E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2ACB-4A56-A05D-23B78DB4E2E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2ACB-4A56-A05D-23B78DB4E2E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2ACB-4A56-A05D-23B78DB4E2E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2ACB-4A56-A05D-23B78DB4E2E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2ACB-4A56-A05D-23B78DB4E2E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2ACB-4A56-A05D-23B78DB4E2E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2ACB-4A56-A05D-23B78DB4E2E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8-2ACB-4A56-A05D-23B78DB4E2E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2ACB-4A56-A05D-23B78DB4E2E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2ACB-4A56-A05D-23B78DB4E2E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2ACB-4A56-A05D-23B78DB4E2E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2ACB-4A56-A05D-23B78DB4E2E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2ACB-4A56-A05D-23B78DB4E2E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2ACB-4A56-A05D-23B78DB4E2E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2ACB-4A56-A05D-23B78DB4E2E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2ACB-4A56-A05D-23B78DB4E2E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2ACB-4A56-A05D-23B78DB4E2E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2ACB-4A56-A05D-23B78DB4E2E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2ACB-4A56-A05D-23B78DB4E2E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2ACB-4A56-A05D-23B78DB4E2E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2ACB-4A56-A05D-23B78DB4E2E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2ACB-4A56-A05D-23B78DB4E2E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2ACB-4A56-A05D-23B78DB4E2E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2ACB-4A56-A05D-23B78DB4E2E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2ACB-4A56-A05D-23B78DB4E2E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2ACB-4A56-A05D-23B78DB4E2E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2ACB-4A56-A05D-23B78DB4E2E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2ACB-4A56-A05D-23B78DB4E2E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2ACB-4A56-A05D-23B78DB4E2E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2ACB-4A56-A05D-23B78DB4E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4124321255599"/>
          <c:y val="1.3676181933063705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3565836995543892"/>
          <c:y val="0.10656915812117258"/>
          <c:w val="0.79872285919300678"/>
          <c:h val="0.7934942073500815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'Mass-EVAL'!$A$101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'Mass-EVAL'!$B$101:$BT$101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D609-4FE0-96FF-D1AEBD39E5D9}"/>
            </c:ext>
          </c:extLst>
        </c:ser>
        <c:ser>
          <c:idx val="39"/>
          <c:order val="1"/>
          <c:tx>
            <c:strRef>
              <c:f>'Mass-EVAL'!$A$102</c:f>
              <c:strCache>
                <c:ptCount val="1"/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'Mass-EVAL'!$B$102:$BT$102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609-4FE0-96FF-D1AEBD39E5D9}"/>
            </c:ext>
          </c:extLst>
        </c:ser>
        <c:ser>
          <c:idx val="54"/>
          <c:order val="2"/>
          <c:tx>
            <c:strRef>
              <c:f>'Mass-EVAL'!$A$103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1"/>
            <c:bubble3D val="0"/>
            <c:spPr>
              <a:ln w="19050" cap="rnd">
                <a:solidFill>
                  <a:schemeClr val="tx1"/>
                </a:solidFill>
                <a:round/>
              </a:ln>
              <a:effectLst/>
            </c:spPr>
            <c:extLst xmlns:c15="http://schemas.microsoft.com/office/drawing/2012/chart">
              <c:ext xmlns:c16="http://schemas.microsoft.com/office/drawing/2014/chart" uri="{C3380CC4-5D6E-409C-BE32-E72D297353CC}">
                <c16:uniqueId val="{00000003-D609-4FE0-96FF-D1AEBD39E5D9}"/>
              </c:ext>
            </c:extLst>
          </c:dPt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'Mass-EVAL'!$B$103:$BT$103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4-D609-4FE0-96FF-D1AEBD39E5D9}"/>
            </c:ext>
          </c:extLst>
        </c:ser>
        <c:ser>
          <c:idx val="1"/>
          <c:order val="3"/>
          <c:tx>
            <c:strRef>
              <c:f>'Mass-EVAL'!$A$104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'Mass-EVAL'!$B$104:$BT$104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5-D609-4FE0-96FF-D1AEBD39E5D9}"/>
            </c:ext>
          </c:extLst>
        </c:ser>
        <c:ser>
          <c:idx val="2"/>
          <c:order val="4"/>
          <c:tx>
            <c:strRef>
              <c:f>'Mass-EVAL'!$A$105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'Mass-EVAL'!$B$105:$BT$105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6-D609-4FE0-96FF-D1AEBD39E5D9}"/>
            </c:ext>
          </c:extLst>
        </c:ser>
        <c:ser>
          <c:idx val="3"/>
          <c:order val="5"/>
          <c:tx>
            <c:strRef>
              <c:f>'Mass-EVAL'!$A$106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'Mass-EVAL'!$B$106:$BT$106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7-D609-4FE0-96FF-D1AEBD39E5D9}"/>
            </c:ext>
          </c:extLst>
        </c:ser>
        <c:ser>
          <c:idx val="4"/>
          <c:order val="6"/>
          <c:tx>
            <c:strRef>
              <c:f>'Mass-EVAL'!$A$107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'Mass-EVAL'!$B$107:$BT$107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8-D609-4FE0-96FF-D1AEBD39E5D9}"/>
            </c:ext>
          </c:extLst>
        </c:ser>
        <c:ser>
          <c:idx val="5"/>
          <c:order val="7"/>
          <c:tx>
            <c:strRef>
              <c:f>'Mass-EVAL'!$A$108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'Mass-EVAL'!$B$108:$BT$108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609-4FE0-96FF-D1AEBD39E5D9}"/>
            </c:ext>
          </c:extLst>
        </c:ser>
        <c:ser>
          <c:idx val="6"/>
          <c:order val="8"/>
          <c:tx>
            <c:strRef>
              <c:f>'Mass-EVAL'!$A$109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'Mass-EVAL'!$B$109:$BT$109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A-D609-4FE0-96FF-D1AEBD39E5D9}"/>
            </c:ext>
          </c:extLst>
        </c:ser>
        <c:ser>
          <c:idx val="7"/>
          <c:order val="9"/>
          <c:tx>
            <c:strRef>
              <c:f>'Mass-EVAL'!$A$110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'Mass-EVAL'!$B$110:$BT$110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B-D609-4FE0-96FF-D1AEBD39E5D9}"/>
            </c:ext>
          </c:extLst>
        </c:ser>
        <c:ser>
          <c:idx val="8"/>
          <c:order val="10"/>
          <c:tx>
            <c:strRef>
              <c:f>'Mass-EVAL'!$A$111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'Mass-EVAL'!$B$111:$BT$111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C-D609-4FE0-96FF-D1AEBD39E5D9}"/>
            </c:ext>
          </c:extLst>
        </c:ser>
        <c:ser>
          <c:idx val="9"/>
          <c:order val="11"/>
          <c:tx>
            <c:strRef>
              <c:f>'Mass-EVAL'!$A$112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'Mass-EVAL'!$B$112:$BT$112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D-D609-4FE0-96FF-D1AEBD39E5D9}"/>
            </c:ext>
          </c:extLst>
        </c:ser>
        <c:ser>
          <c:idx val="10"/>
          <c:order val="12"/>
          <c:tx>
            <c:strRef>
              <c:f>'Mass-EVAL'!$A$113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'Mass-EVAL'!$B$113:$BT$113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E-D609-4FE0-96FF-D1AEBD39E5D9}"/>
            </c:ext>
          </c:extLst>
        </c:ser>
        <c:ser>
          <c:idx val="11"/>
          <c:order val="13"/>
          <c:tx>
            <c:strRef>
              <c:f>'Mass-EVAL'!$A$114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'Mass-EVAL'!$B$114:$BT$114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F-D609-4FE0-96FF-D1AEBD39E5D9}"/>
            </c:ext>
          </c:extLst>
        </c:ser>
        <c:ser>
          <c:idx val="12"/>
          <c:order val="14"/>
          <c:tx>
            <c:strRef>
              <c:f>'Mass-EVAL'!$A$115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'Mass-EVAL'!$B$115:$BT$115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0-D609-4FE0-96FF-D1AEBD39E5D9}"/>
            </c:ext>
          </c:extLst>
        </c:ser>
        <c:ser>
          <c:idx val="13"/>
          <c:order val="15"/>
          <c:tx>
            <c:strRef>
              <c:f>'Mass-EVAL'!$A$116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'Mass-EVAL'!$B$116:$BT$116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1-D609-4FE0-96FF-D1AEBD39E5D9}"/>
            </c:ext>
          </c:extLst>
        </c:ser>
        <c:ser>
          <c:idx val="14"/>
          <c:order val="16"/>
          <c:tx>
            <c:strRef>
              <c:f>'Mass-EVAL'!$A$117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'Mass-EVAL'!$B$117:$BT$117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D609-4FE0-96FF-D1AEBD39E5D9}"/>
            </c:ext>
          </c:extLst>
        </c:ser>
        <c:ser>
          <c:idx val="15"/>
          <c:order val="17"/>
          <c:tx>
            <c:strRef>
              <c:f>'Mass-EVAL'!$A$118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'Mass-EVAL'!$B$118:$BT$118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D609-4FE0-96FF-D1AEBD39E5D9}"/>
            </c:ext>
          </c:extLst>
        </c:ser>
        <c:ser>
          <c:idx val="16"/>
          <c:order val="18"/>
          <c:tx>
            <c:strRef>
              <c:f>'Mass-EVAL'!$A$119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'Mass-EVAL'!$B$119:$BT$119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D609-4FE0-96FF-D1AEBD39E5D9}"/>
            </c:ext>
          </c:extLst>
        </c:ser>
        <c:ser>
          <c:idx val="17"/>
          <c:order val="19"/>
          <c:tx>
            <c:strRef>
              <c:f>'Mass-EVAL'!$A$120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'Mass-EVAL'!$B$120:$BT$120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D609-4FE0-96FF-D1AEBD39E5D9}"/>
            </c:ext>
          </c:extLst>
        </c:ser>
        <c:ser>
          <c:idx val="18"/>
          <c:order val="20"/>
          <c:tx>
            <c:strRef>
              <c:f>'Mass-EVAL'!$A$121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'Mass-EVAL'!$B$121:$BT$121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D609-4FE0-96FF-D1AEBD39E5D9}"/>
            </c:ext>
          </c:extLst>
        </c:ser>
        <c:ser>
          <c:idx val="19"/>
          <c:order val="21"/>
          <c:tx>
            <c:strRef>
              <c:f>'Mass-EVAL'!$A$122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'Mass-EVAL'!$B$122:$BT$122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7-D609-4FE0-96FF-D1AEBD39E5D9}"/>
            </c:ext>
          </c:extLst>
        </c:ser>
        <c:ser>
          <c:idx val="20"/>
          <c:order val="22"/>
          <c:tx>
            <c:strRef>
              <c:f>'Mass-EVAL'!$A$123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'Mass-EVAL'!$B$123:$BT$123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8-D609-4FE0-96FF-D1AEBD39E5D9}"/>
            </c:ext>
          </c:extLst>
        </c:ser>
        <c:ser>
          <c:idx val="21"/>
          <c:order val="23"/>
          <c:tx>
            <c:strRef>
              <c:f>'Mass-EVAL'!$A$124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'Mass-EVAL'!$B$124:$BT$124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9-D609-4FE0-96FF-D1AEBD39E5D9}"/>
            </c:ext>
          </c:extLst>
        </c:ser>
        <c:ser>
          <c:idx val="22"/>
          <c:order val="24"/>
          <c:tx>
            <c:strRef>
              <c:f>'Mass-EVAL'!$A$125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'Mass-EVAL'!$B$125:$BT$125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A-D609-4FE0-96FF-D1AEBD39E5D9}"/>
            </c:ext>
          </c:extLst>
        </c:ser>
        <c:ser>
          <c:idx val="23"/>
          <c:order val="25"/>
          <c:tx>
            <c:strRef>
              <c:f>'Mass-EVAL'!$A$126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'Mass-EVAL'!$B$126:$BT$126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B-D609-4FE0-96FF-D1AEBD39E5D9}"/>
            </c:ext>
          </c:extLst>
        </c:ser>
        <c:ser>
          <c:idx val="24"/>
          <c:order val="26"/>
          <c:tx>
            <c:strRef>
              <c:f>'Mass-EVAL'!$A$127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'Mass-EVAL'!$B$127:$BT$127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C-D609-4FE0-96FF-D1AEBD39E5D9}"/>
            </c:ext>
          </c:extLst>
        </c:ser>
        <c:ser>
          <c:idx val="25"/>
          <c:order val="27"/>
          <c:tx>
            <c:strRef>
              <c:f>'Mass-EVAL'!$A$128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'Mass-EVAL'!$B$128:$BT$128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D-D609-4FE0-96FF-D1AEBD39E5D9}"/>
            </c:ext>
          </c:extLst>
        </c:ser>
        <c:ser>
          <c:idx val="26"/>
          <c:order val="28"/>
          <c:tx>
            <c:strRef>
              <c:f>'Mass-EVAL'!$A$129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'Mass-EVAL'!$B$129:$BT$129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E-D609-4FE0-96FF-D1AEBD39E5D9}"/>
            </c:ext>
          </c:extLst>
        </c:ser>
        <c:ser>
          <c:idx val="27"/>
          <c:order val="29"/>
          <c:tx>
            <c:strRef>
              <c:f>'Mass-EVAL'!$A$130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'Mass-EVAL'!$B$130:$BT$130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F-D609-4FE0-96FF-D1AEBD39E5D9}"/>
            </c:ext>
          </c:extLst>
        </c:ser>
        <c:ser>
          <c:idx val="28"/>
          <c:order val="30"/>
          <c:tx>
            <c:strRef>
              <c:f>'Mass-EVAL'!$A$131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'Mass-EVAL'!$B$131:$BT$131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0-D609-4FE0-96FF-D1AEBD39E5D9}"/>
            </c:ext>
          </c:extLst>
        </c:ser>
        <c:ser>
          <c:idx val="29"/>
          <c:order val="31"/>
          <c:tx>
            <c:strRef>
              <c:f>'Mass-EVAL'!$A$132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'Mass-EVAL'!$B$132:$BT$132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1-D609-4FE0-96FF-D1AEBD39E5D9}"/>
            </c:ext>
          </c:extLst>
        </c:ser>
        <c:ser>
          <c:idx val="30"/>
          <c:order val="32"/>
          <c:tx>
            <c:strRef>
              <c:f>'Mass-EVAL'!$A$133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'Mass-EVAL'!$B$133:$BT$133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2-D609-4FE0-96FF-D1AEBD39E5D9}"/>
            </c:ext>
          </c:extLst>
        </c:ser>
        <c:ser>
          <c:idx val="31"/>
          <c:order val="33"/>
          <c:tx>
            <c:strRef>
              <c:f>'Mass-EVAL'!$A$134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'Mass-EVAL'!$B$134:$BT$134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3-D609-4FE0-96FF-D1AEBD39E5D9}"/>
            </c:ext>
          </c:extLst>
        </c:ser>
        <c:ser>
          <c:idx val="32"/>
          <c:order val="34"/>
          <c:tx>
            <c:strRef>
              <c:f>'Mass-EVAL'!$A$135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'Mass-EVAL'!$B$135:$BT$135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4-D609-4FE0-96FF-D1AEBD39E5D9}"/>
            </c:ext>
          </c:extLst>
        </c:ser>
        <c:ser>
          <c:idx val="33"/>
          <c:order val="35"/>
          <c:tx>
            <c:strRef>
              <c:f>'Mass-EVAL'!$A$136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'Mass-EVAL'!$B$136:$BT$136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5-D609-4FE0-96FF-D1AEBD39E5D9}"/>
            </c:ext>
          </c:extLst>
        </c:ser>
        <c:ser>
          <c:idx val="34"/>
          <c:order val="36"/>
          <c:tx>
            <c:strRef>
              <c:f>'Mass-EVAL'!$A$137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'Mass-EVAL'!$B$137:$BT$137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6-D609-4FE0-96FF-D1AEBD39E5D9}"/>
            </c:ext>
          </c:extLst>
        </c:ser>
        <c:ser>
          <c:idx val="35"/>
          <c:order val="37"/>
          <c:tx>
            <c:strRef>
              <c:f>'Mass-EVAL'!$A$138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'Mass-EVAL'!$B$138:$BT$138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7-D609-4FE0-96FF-D1AEBD39E5D9}"/>
            </c:ext>
          </c:extLst>
        </c:ser>
        <c:ser>
          <c:idx val="36"/>
          <c:order val="38"/>
          <c:tx>
            <c:strRef>
              <c:f>'Mass-EVAL'!$A$139</c:f>
              <c:strCache>
                <c:ptCount val="1"/>
              </c:strCache>
            </c:strRef>
          </c:tx>
          <c:spPr>
            <a:ln>
              <a:solidFill>
                <a:srgbClr val="7030A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'Mass-EVAL'!$B$139:$BT$139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D609-4FE0-96FF-D1AEBD39E5D9}"/>
            </c:ext>
          </c:extLst>
        </c:ser>
        <c:ser>
          <c:idx val="37"/>
          <c:order val="39"/>
          <c:tx>
            <c:strRef>
              <c:f>'Mass-EVAL'!$A$140</c:f>
              <c:strCache>
                <c:ptCount val="1"/>
              </c:strCache>
            </c:strRef>
          </c:tx>
          <c:spPr>
            <a:ln>
              <a:solidFill>
                <a:srgbClr val="FFC000"/>
              </a:solidFill>
              <a:prstDash val="sysDash"/>
            </a:ln>
          </c:spPr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'Mass-EVAL'!$B$140:$BT$140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9-D609-4FE0-96FF-D1AEBD39E5D9}"/>
            </c:ext>
          </c:extLst>
        </c:ser>
        <c:ser>
          <c:idx val="38"/>
          <c:order val="40"/>
          <c:tx>
            <c:strRef>
              <c:f>'Mass-EVAL'!$A$141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'Mass-EVAL'!$B$141:$BT$141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A-D609-4FE0-96FF-D1AEBD39E5D9}"/>
            </c:ext>
          </c:extLst>
        </c:ser>
        <c:ser>
          <c:idx val="40"/>
          <c:order val="41"/>
          <c:tx>
            <c:strRef>
              <c:f>'Mass-EVAL'!$A$142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'Mass-EVAL'!$B$142:$BT$142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B-D609-4FE0-96FF-D1AEBD39E5D9}"/>
            </c:ext>
          </c:extLst>
        </c:ser>
        <c:ser>
          <c:idx val="41"/>
          <c:order val="42"/>
          <c:tx>
            <c:strRef>
              <c:f>'Mass-EVAL'!$A$143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'Mass-EVAL'!$B$143:$BT$143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C-D609-4FE0-96FF-D1AEBD39E5D9}"/>
            </c:ext>
          </c:extLst>
        </c:ser>
        <c:ser>
          <c:idx val="42"/>
          <c:order val="43"/>
          <c:tx>
            <c:strRef>
              <c:f>'Mass-EVAL'!$A$144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'Mass-EVAL'!$B$144:$BT$144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D-D609-4FE0-96FF-D1AEBD39E5D9}"/>
            </c:ext>
          </c:extLst>
        </c:ser>
        <c:ser>
          <c:idx val="43"/>
          <c:order val="44"/>
          <c:tx>
            <c:strRef>
              <c:f>'Mass-EVAL'!$A$145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'Mass-EVAL'!$B$145:$BT$145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E-D609-4FE0-96FF-D1AEBD39E5D9}"/>
            </c:ext>
          </c:extLst>
        </c:ser>
        <c:ser>
          <c:idx val="44"/>
          <c:order val="45"/>
          <c:tx>
            <c:strRef>
              <c:f>'Mass-EVAL'!$A$146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'Mass-EVAL'!$B$146:$BT$146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2F-D609-4FE0-96FF-D1AEBD39E5D9}"/>
            </c:ext>
          </c:extLst>
        </c:ser>
        <c:ser>
          <c:idx val="45"/>
          <c:order val="46"/>
          <c:tx>
            <c:strRef>
              <c:f>'Mass-EVAL'!$A$147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'Mass-EVAL'!$B$147:$BT$147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0-D609-4FE0-96FF-D1AEBD39E5D9}"/>
            </c:ext>
          </c:extLst>
        </c:ser>
        <c:ser>
          <c:idx val="46"/>
          <c:order val="47"/>
          <c:tx>
            <c:strRef>
              <c:f>'Mass-EVAL'!$A$148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'Mass-EVAL'!$B$148:$BT$148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1-D609-4FE0-96FF-D1AEBD39E5D9}"/>
            </c:ext>
          </c:extLst>
        </c:ser>
        <c:ser>
          <c:idx val="47"/>
          <c:order val="48"/>
          <c:tx>
            <c:strRef>
              <c:f>'Mass-EVAL'!$A$149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'Mass-EVAL'!$B$149:$BT$149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2-D609-4FE0-96FF-D1AEBD39E5D9}"/>
            </c:ext>
          </c:extLst>
        </c:ser>
        <c:ser>
          <c:idx val="48"/>
          <c:order val="49"/>
          <c:tx>
            <c:strRef>
              <c:f>'Mass-EVAL'!$A$150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'Mass-EVAL'!$B$150:$BT$150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3-D609-4FE0-96FF-D1AEBD39E5D9}"/>
            </c:ext>
          </c:extLst>
        </c:ser>
        <c:ser>
          <c:idx val="49"/>
          <c:order val="50"/>
          <c:tx>
            <c:strRef>
              <c:f>'Mass-EVAL'!$A$151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'Mass-EVAL'!$B$151:$BT$151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4-D609-4FE0-96FF-D1AEBD39E5D9}"/>
            </c:ext>
          </c:extLst>
        </c:ser>
        <c:ser>
          <c:idx val="50"/>
          <c:order val="51"/>
          <c:tx>
            <c:strRef>
              <c:f>'Mass-EVAL'!$A$152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'Mass-EVAL'!$B$152:$BT$152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5-D609-4FE0-96FF-D1AEBD39E5D9}"/>
            </c:ext>
          </c:extLst>
        </c:ser>
        <c:ser>
          <c:idx val="51"/>
          <c:order val="52"/>
          <c:tx>
            <c:strRef>
              <c:f>'Mass-EVAL'!$A$153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'Mass-EVAL'!$B$153:$BT$153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6-D609-4FE0-96FF-D1AEBD39E5D9}"/>
            </c:ext>
          </c:extLst>
        </c:ser>
        <c:ser>
          <c:idx val="52"/>
          <c:order val="53"/>
          <c:tx>
            <c:strRef>
              <c:f>'Mass-EVAL'!$A$154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'Mass-EVAL'!$B$154:$BT$154</c:f>
              <c:numCache>
                <c:formatCode>0</c:formatCode>
                <c:ptCount val="71"/>
              </c:numCache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37-D609-4FE0-96FF-D1AEBD39E5D9}"/>
            </c:ext>
          </c:extLst>
        </c:ser>
        <c:ser>
          <c:idx val="53"/>
          <c:order val="54"/>
          <c:tx>
            <c:strRef>
              <c:f>'Mass-EVAL'!$A$155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'Mass-EVAL'!$B$155:$BT$155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D609-4FE0-96FF-D1AEBD39E5D9}"/>
            </c:ext>
          </c:extLst>
        </c:ser>
        <c:ser>
          <c:idx val="55"/>
          <c:order val="55"/>
          <c:tx>
            <c:strRef>
              <c:f>'Mass-EVAL'!$A$156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'Mass-EVAL'!$B$156:$BT$156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D609-4FE0-96FF-D1AEBD39E5D9}"/>
            </c:ext>
          </c:extLst>
        </c:ser>
        <c:ser>
          <c:idx val="56"/>
          <c:order val="56"/>
          <c:tx>
            <c:strRef>
              <c:f>'Mass-EVAL'!$A$157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'Mass-EVAL'!$B$157:$BT$157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D609-4FE0-96FF-D1AEBD39E5D9}"/>
            </c:ext>
          </c:extLst>
        </c:ser>
        <c:ser>
          <c:idx val="57"/>
          <c:order val="57"/>
          <c:tx>
            <c:strRef>
              <c:f>'Mass-EVAL'!$A$158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'Mass-EVAL'!$B$158:$BT$158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D609-4FE0-96FF-D1AEBD39E5D9}"/>
            </c:ext>
          </c:extLst>
        </c:ser>
        <c:ser>
          <c:idx val="58"/>
          <c:order val="58"/>
          <c:tx>
            <c:strRef>
              <c:f>'Mass-EVAL'!$A$159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'Mass-EVAL'!$B$159:$BT$159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D609-4FE0-96FF-D1AEBD39E5D9}"/>
            </c:ext>
          </c:extLst>
        </c:ser>
        <c:ser>
          <c:idx val="59"/>
          <c:order val="59"/>
          <c:tx>
            <c:strRef>
              <c:f>'Mass-EVAL'!$A$160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'Mass-EVAL'!$B$160:$BT$160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D609-4FE0-96FF-D1AEBD39E5D9}"/>
            </c:ext>
          </c:extLst>
        </c:ser>
        <c:ser>
          <c:idx val="60"/>
          <c:order val="60"/>
          <c:tx>
            <c:strRef>
              <c:f>'Mass-EVAL'!$A$161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'Mass-EVAL'!$B$100:$BT$100</c:f>
              <c:numCache>
                <c:formatCode>0</c:formatCode>
                <c:ptCount val="71"/>
              </c:numCache>
            </c:numRef>
          </c:xVal>
          <c:yVal>
            <c:numRef>
              <c:f>'Mass-EVAL'!$B$161:$BT$161</c:f>
              <c:numCache>
                <c:formatCode>0</c:formatCode>
                <c:ptCount val="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D609-4FE0-96FF-D1AEBD39E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8785983"/>
        <c:axId val="938775583"/>
        <c:extLst/>
      </c:scatterChart>
      <c:valAx>
        <c:axId val="938785983"/>
        <c:scaling>
          <c:orientation val="minMax"/>
          <c:max val="1000"/>
          <c:min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75583"/>
        <c:crosses val="autoZero"/>
        <c:crossBetween val="midCat"/>
        <c:majorUnit val="100"/>
      </c:valAx>
      <c:valAx>
        <c:axId val="938775583"/>
        <c:scaling>
          <c:orientation val="minMax"/>
          <c:max val="-1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8785983"/>
        <c:crosses val="autoZero"/>
        <c:crossBetween val="midCat"/>
      </c:valAx>
    </c:plotArea>
    <c:plotVisOnly val="0"/>
    <c:dispBlanksAs val="gap"/>
    <c:showDLblsOverMax val="0"/>
    <c:extLst/>
  </c:chart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104775</xdr:colOff>
          <xdr:row>0</xdr:row>
          <xdr:rowOff>47625</xdr:rowOff>
        </xdr:from>
        <xdr:to>
          <xdr:col>73</xdr:col>
          <xdr:colOff>800100</xdr:colOff>
          <xdr:row>0</xdr:row>
          <xdr:rowOff>390525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72</xdr:col>
      <xdr:colOff>0</xdr:colOff>
      <xdr:row>99</xdr:row>
      <xdr:rowOff>0</xdr:rowOff>
    </xdr:from>
    <xdr:to>
      <xdr:col>76</xdr:col>
      <xdr:colOff>5899</xdr:colOff>
      <xdr:row>112</xdr:row>
      <xdr:rowOff>53525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168089</xdr:colOff>
      <xdr:row>112</xdr:row>
      <xdr:rowOff>257736</xdr:rowOff>
    </xdr:from>
    <xdr:to>
      <xdr:col>80</xdr:col>
      <xdr:colOff>173988</xdr:colOff>
      <xdr:row>126</xdr:row>
      <xdr:rowOff>130488</xdr:rowOff>
    </xdr:to>
    <xdr:graphicFrame macro="">
      <xdr:nvGraphicFramePr>
        <xdr:cNvPr id="24" name="Диаграмма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72</xdr:col>
      <xdr:colOff>437029</xdr:colOff>
      <xdr:row>128</xdr:row>
      <xdr:rowOff>0</xdr:rowOff>
    </xdr:from>
    <xdr:to>
      <xdr:col>76</xdr:col>
      <xdr:colOff>446393</xdr:colOff>
      <xdr:row>141</xdr:row>
      <xdr:rowOff>107210</xdr:rowOff>
    </xdr:to>
    <xdr:graphicFrame macro="">
      <xdr:nvGraphicFramePr>
        <xdr:cNvPr id="25" name="Диаграмма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141</xdr:row>
      <xdr:rowOff>0</xdr:rowOff>
    </xdr:from>
    <xdr:to>
      <xdr:col>76</xdr:col>
      <xdr:colOff>5900</xdr:colOff>
      <xdr:row>155</xdr:row>
      <xdr:rowOff>31011</xdr:rowOff>
    </xdr:to>
    <xdr:graphicFrame macro="">
      <xdr:nvGraphicFramePr>
        <xdr:cNvPr id="26" name="Диаграмма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141</xdr:row>
      <xdr:rowOff>0</xdr:rowOff>
    </xdr:from>
    <xdr:to>
      <xdr:col>80</xdr:col>
      <xdr:colOff>5899</xdr:colOff>
      <xdr:row>155</xdr:row>
      <xdr:rowOff>37938</xdr:rowOff>
    </xdr:to>
    <xdr:graphicFrame macro="">
      <xdr:nvGraphicFramePr>
        <xdr:cNvPr id="27" name="Диаграмма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72</xdr:col>
      <xdr:colOff>0</xdr:colOff>
      <xdr:row>113</xdr:row>
      <xdr:rowOff>0</xdr:rowOff>
    </xdr:from>
    <xdr:to>
      <xdr:col>76</xdr:col>
      <xdr:colOff>9364</xdr:colOff>
      <xdr:row>126</xdr:row>
      <xdr:rowOff>88162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76</xdr:col>
      <xdr:colOff>0</xdr:colOff>
      <xdr:row>99</xdr:row>
      <xdr:rowOff>0</xdr:rowOff>
    </xdr:from>
    <xdr:to>
      <xdr:col>80</xdr:col>
      <xdr:colOff>9363</xdr:colOff>
      <xdr:row>112</xdr:row>
      <xdr:rowOff>65751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447675</xdr:colOff>
          <xdr:row>0</xdr:row>
          <xdr:rowOff>47625</xdr:rowOff>
        </xdr:from>
        <xdr:to>
          <xdr:col>73</xdr:col>
          <xdr:colOff>819150</xdr:colOff>
          <xdr:row>0</xdr:row>
          <xdr:rowOff>371475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Привести</a:t>
              </a:r>
            </a:p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ghbdtcnb</a:t>
              </a:r>
            </a:p>
            <a:p>
              <a:pPr algn="ctr" rtl="0">
                <a:defRPr sz="1000"/>
              </a:pPr>
              <a:endParaRPr lang="ru-RU" sz="16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44824</xdr:colOff>
      <xdr:row>98</xdr:row>
      <xdr:rowOff>268941</xdr:rowOff>
    </xdr:from>
    <xdr:to>
      <xdr:col>77</xdr:col>
      <xdr:colOff>50723</xdr:colOff>
      <xdr:row>112</xdr:row>
      <xdr:rowOff>42319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76</xdr:col>
      <xdr:colOff>914399</xdr:colOff>
      <xdr:row>98</xdr:row>
      <xdr:rowOff>276224</xdr:rowOff>
    </xdr:from>
    <xdr:to>
      <xdr:col>81</xdr:col>
      <xdr:colOff>5899</xdr:colOff>
      <xdr:row>112</xdr:row>
      <xdr:rowOff>53524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73</xdr:col>
      <xdr:colOff>0</xdr:colOff>
      <xdr:row>113</xdr:row>
      <xdr:rowOff>0</xdr:rowOff>
    </xdr:from>
    <xdr:to>
      <xdr:col>77</xdr:col>
      <xdr:colOff>9364</xdr:colOff>
      <xdr:row>126</xdr:row>
      <xdr:rowOff>88162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73</xdr:col>
      <xdr:colOff>0</xdr:colOff>
      <xdr:row>127</xdr:row>
      <xdr:rowOff>0</xdr:rowOff>
    </xdr:from>
    <xdr:to>
      <xdr:col>77</xdr:col>
      <xdr:colOff>5900</xdr:colOff>
      <xdr:row>140</xdr:row>
      <xdr:rowOff>108076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77</xdr:col>
      <xdr:colOff>0</xdr:colOff>
      <xdr:row>127</xdr:row>
      <xdr:rowOff>0</xdr:rowOff>
    </xdr:from>
    <xdr:to>
      <xdr:col>81</xdr:col>
      <xdr:colOff>9363</xdr:colOff>
      <xdr:row>140</xdr:row>
      <xdr:rowOff>107210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73</xdr:col>
      <xdr:colOff>33617</xdr:colOff>
      <xdr:row>141</xdr:row>
      <xdr:rowOff>0</xdr:rowOff>
    </xdr:from>
    <xdr:to>
      <xdr:col>77</xdr:col>
      <xdr:colOff>39517</xdr:colOff>
      <xdr:row>155</xdr:row>
      <xdr:rowOff>31011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77</xdr:col>
      <xdr:colOff>0</xdr:colOff>
      <xdr:row>141</xdr:row>
      <xdr:rowOff>0</xdr:rowOff>
    </xdr:from>
    <xdr:to>
      <xdr:col>81</xdr:col>
      <xdr:colOff>5899</xdr:colOff>
      <xdr:row>155</xdr:row>
      <xdr:rowOff>37938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47625</xdr:rowOff>
        </xdr:from>
        <xdr:to>
          <xdr:col>0</xdr:col>
          <xdr:colOff>419100</xdr:colOff>
          <xdr:row>9</xdr:row>
          <xdr:rowOff>66675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A0BBA-9B15-410E-AA48-90254DD9ED69}">
  <sheetPr codeName="Лист1">
    <tabColor theme="0"/>
  </sheetPr>
  <dimension ref="A1:G6"/>
  <sheetViews>
    <sheetView tabSelected="1" zoomScale="115" zoomScaleNormal="115" workbookViewId="0">
      <selection activeCell="G10" sqref="G10"/>
    </sheetView>
  </sheetViews>
  <sheetFormatPr defaultRowHeight="21" x14ac:dyDescent="0.35"/>
  <cols>
    <col min="1" max="1" width="17.54296875" customWidth="1"/>
  </cols>
  <sheetData>
    <row r="1" spans="1:7" ht="30" thickTop="1" thickBot="1" x14ac:dyDescent="0.4">
      <c r="A1" s="19" t="s">
        <v>25</v>
      </c>
      <c r="B1" s="37">
        <v>700</v>
      </c>
      <c r="D1" s="108" t="s">
        <v>37</v>
      </c>
      <c r="E1" s="109"/>
      <c r="F1" s="109"/>
      <c r="G1" s="109"/>
    </row>
    <row r="2" spans="1:7" ht="21.75" thickTop="1" x14ac:dyDescent="0.35">
      <c r="A2" s="47"/>
      <c r="B2" s="47"/>
      <c r="D2" s="7" t="s">
        <v>1</v>
      </c>
      <c r="E2" s="63" t="s">
        <v>3</v>
      </c>
      <c r="F2" s="7" t="s">
        <v>4</v>
      </c>
      <c r="G2" s="7" t="s">
        <v>2</v>
      </c>
    </row>
    <row r="3" spans="1:7" ht="27.75" customHeight="1" x14ac:dyDescent="0.35">
      <c r="A3" t="s">
        <v>41</v>
      </c>
      <c r="B3" t="s">
        <v>43</v>
      </c>
      <c r="D3" s="37">
        <v>25</v>
      </c>
      <c r="E3" s="37"/>
      <c r="F3" s="37"/>
      <c r="G3" s="37"/>
    </row>
    <row r="4" spans="1:7" x14ac:dyDescent="0.35">
      <c r="A4" s="47" t="s">
        <v>41</v>
      </c>
      <c r="B4" t="s">
        <v>44</v>
      </c>
    </row>
    <row r="5" spans="1:7" x14ac:dyDescent="0.35">
      <c r="A5" s="86" t="s">
        <v>42</v>
      </c>
      <c r="B5" t="s">
        <v>45</v>
      </c>
    </row>
    <row r="6" spans="1:7" x14ac:dyDescent="0.35">
      <c r="A6" s="86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8CB25-3131-467D-93BB-0DFC06C5A37F}">
  <sheetPr codeName="Лист2">
    <tabColor rgb="FFFF0000"/>
  </sheetPr>
  <dimension ref="A1:CI137"/>
  <sheetViews>
    <sheetView zoomScale="85" zoomScaleNormal="85" zoomScaleSheetLayoutView="25" workbookViewId="0">
      <selection activeCell="F28" sqref="F28"/>
    </sheetView>
  </sheetViews>
  <sheetFormatPr defaultRowHeight="21" customHeight="1" outlineLevelRow="1" x14ac:dyDescent="0.35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 x14ac:dyDescent="0.4">
      <c r="A1" s="97" t="s">
        <v>23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51"/>
      <c r="U3" s="54"/>
      <c r="V3" s="3"/>
      <c r="W3" s="1"/>
      <c r="X3" s="52"/>
      <c r="Y3" s="3"/>
      <c r="Z3" s="3"/>
      <c r="AA3" s="3"/>
      <c r="AB3" s="4"/>
      <c r="AC3" s="4"/>
      <c r="AD3" s="4"/>
      <c r="AE3" s="4"/>
      <c r="AF3" s="4"/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0</v>
      </c>
      <c r="E4" s="4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0</v>
      </c>
      <c r="E5" s="4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4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4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4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4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0</v>
      </c>
      <c r="E11" s="4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4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47"/>
      <c r="BS32" s="98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 x14ac:dyDescent="0.4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4">
        <v>1</v>
      </c>
      <c r="F33" s="106">
        <f>IF(G3&gt;F3,1,0)</f>
        <v>0</v>
      </c>
      <c r="G33" s="106">
        <f t="shared" ref="G33:BR33" si="4">IF(H3&gt;G3,1,0)</f>
        <v>0</v>
      </c>
      <c r="H33" s="106">
        <f t="shared" si="4"/>
        <v>0</v>
      </c>
      <c r="I33" s="106">
        <f t="shared" si="4"/>
        <v>0</v>
      </c>
      <c r="J33" s="106">
        <f t="shared" si="4"/>
        <v>0</v>
      </c>
      <c r="K33" s="106">
        <f t="shared" si="4"/>
        <v>0</v>
      </c>
      <c r="L33" s="106">
        <f t="shared" si="4"/>
        <v>0</v>
      </c>
      <c r="M33" s="106">
        <f t="shared" si="4"/>
        <v>0</v>
      </c>
      <c r="N33" s="106">
        <f t="shared" si="4"/>
        <v>0</v>
      </c>
      <c r="O33" s="106">
        <f t="shared" si="4"/>
        <v>0</v>
      </c>
      <c r="P33" s="106">
        <f t="shared" si="4"/>
        <v>0</v>
      </c>
      <c r="Q33" s="106">
        <f t="shared" si="4"/>
        <v>0</v>
      </c>
      <c r="R33" s="106">
        <f t="shared" si="4"/>
        <v>0</v>
      </c>
      <c r="S33" s="106">
        <f t="shared" si="4"/>
        <v>0</v>
      </c>
      <c r="T33" s="106">
        <f t="shared" si="4"/>
        <v>0</v>
      </c>
      <c r="U33" s="106">
        <f t="shared" si="4"/>
        <v>0</v>
      </c>
      <c r="V33" s="106">
        <f t="shared" si="4"/>
        <v>0</v>
      </c>
      <c r="W33" s="106">
        <f t="shared" si="4"/>
        <v>0</v>
      </c>
      <c r="X33" s="106">
        <f t="shared" si="4"/>
        <v>0</v>
      </c>
      <c r="Y33" s="106">
        <f t="shared" si="4"/>
        <v>0</v>
      </c>
      <c r="Z33" s="106">
        <f t="shared" si="4"/>
        <v>0</v>
      </c>
      <c r="AA33" s="106">
        <f t="shared" si="4"/>
        <v>0</v>
      </c>
      <c r="AB33" s="106">
        <f t="shared" si="4"/>
        <v>0</v>
      </c>
      <c r="AC33" s="106">
        <f t="shared" si="4"/>
        <v>0</v>
      </c>
      <c r="AD33" s="106">
        <f t="shared" si="4"/>
        <v>0</v>
      </c>
      <c r="AE33" s="106">
        <f t="shared" si="4"/>
        <v>0</v>
      </c>
      <c r="AF33" s="106">
        <f t="shared" si="4"/>
        <v>0</v>
      </c>
      <c r="AG33" s="106">
        <f t="shared" si="4"/>
        <v>0</v>
      </c>
      <c r="AH33" s="106">
        <f t="shared" si="4"/>
        <v>0</v>
      </c>
      <c r="AI33" s="106">
        <f t="shared" si="4"/>
        <v>0</v>
      </c>
      <c r="AJ33" s="106">
        <f t="shared" si="4"/>
        <v>0</v>
      </c>
      <c r="AK33" s="106">
        <f t="shared" si="4"/>
        <v>0</v>
      </c>
      <c r="AL33" s="106">
        <f t="shared" si="4"/>
        <v>0</v>
      </c>
      <c r="AM33" s="106">
        <f t="shared" si="4"/>
        <v>0</v>
      </c>
      <c r="AN33" s="106">
        <f t="shared" si="4"/>
        <v>0</v>
      </c>
      <c r="AO33" s="106">
        <f t="shared" si="4"/>
        <v>0</v>
      </c>
      <c r="AP33" s="106">
        <f t="shared" si="4"/>
        <v>0</v>
      </c>
      <c r="AQ33" s="106">
        <f t="shared" si="4"/>
        <v>0</v>
      </c>
      <c r="AR33" s="106">
        <f t="shared" si="4"/>
        <v>0</v>
      </c>
      <c r="AS33" s="106">
        <f t="shared" si="4"/>
        <v>0</v>
      </c>
      <c r="AT33" s="106">
        <f t="shared" si="4"/>
        <v>0</v>
      </c>
      <c r="AU33" s="106">
        <f t="shared" si="4"/>
        <v>0</v>
      </c>
      <c r="AV33" s="106">
        <f t="shared" si="4"/>
        <v>0</v>
      </c>
      <c r="AW33" s="106">
        <f t="shared" si="4"/>
        <v>0</v>
      </c>
      <c r="AX33" s="106">
        <f t="shared" si="4"/>
        <v>0</v>
      </c>
      <c r="AY33" s="106">
        <f t="shared" si="4"/>
        <v>0</v>
      </c>
      <c r="AZ33" s="106">
        <f t="shared" si="4"/>
        <v>0</v>
      </c>
      <c r="BA33" s="106">
        <f t="shared" si="4"/>
        <v>0</v>
      </c>
      <c r="BB33" s="106">
        <f t="shared" si="4"/>
        <v>0</v>
      </c>
      <c r="BC33" s="106">
        <f t="shared" si="4"/>
        <v>0</v>
      </c>
      <c r="BD33" s="106">
        <f t="shared" si="4"/>
        <v>0</v>
      </c>
      <c r="BE33" s="106">
        <f t="shared" si="4"/>
        <v>0</v>
      </c>
      <c r="BF33" s="106">
        <f t="shared" si="4"/>
        <v>0</v>
      </c>
      <c r="BG33" s="106">
        <f t="shared" si="4"/>
        <v>0</v>
      </c>
      <c r="BH33" s="106">
        <f t="shared" si="4"/>
        <v>0</v>
      </c>
      <c r="BI33" s="106">
        <f t="shared" si="4"/>
        <v>0</v>
      </c>
      <c r="BJ33" s="106">
        <f t="shared" si="4"/>
        <v>0</v>
      </c>
      <c r="BK33" s="106">
        <f t="shared" si="4"/>
        <v>0</v>
      </c>
      <c r="BL33" s="106">
        <f t="shared" si="4"/>
        <v>0</v>
      </c>
      <c r="BM33" s="106">
        <f t="shared" si="4"/>
        <v>0</v>
      </c>
      <c r="BN33" s="106">
        <f t="shared" si="4"/>
        <v>0</v>
      </c>
      <c r="BO33" s="106">
        <f t="shared" si="4"/>
        <v>0</v>
      </c>
      <c r="BP33" s="106">
        <f t="shared" si="4"/>
        <v>0</v>
      </c>
      <c r="BQ33" s="106">
        <f t="shared" si="4"/>
        <v>0</v>
      </c>
      <c r="BR33" s="106">
        <f t="shared" si="4"/>
        <v>0</v>
      </c>
      <c r="BS33" s="98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4" t="e">
        <f ca="1">IF(E34=C34,1,0)</f>
        <v>#N/A</v>
      </c>
      <c r="C34" s="11" t="s">
        <v>26</v>
      </c>
      <c r="D34" s="44" t="e">
        <f>MATCH(C34,$E$4:$E$33)</f>
        <v>#N/A</v>
      </c>
      <c r="E34" s="11" t="e">
        <f ca="1">OFFSET($E$3:$AL$3,$D34,0)</f>
        <v>#N/A</v>
      </c>
      <c r="F34" s="14" t="e">
        <f ca="1">OFFSET($E$3:$BR$3,$D34,0)</f>
        <v>#N/A</v>
      </c>
      <c r="G34" s="14" t="e">
        <f t="shared" ref="G34:BR37" ca="1" si="5">OFFSET($E$3:$BR$3,$D34,0)</f>
        <v>#N/A</v>
      </c>
      <c r="H34" s="14" t="e">
        <f t="shared" ca="1" si="5"/>
        <v>#N/A</v>
      </c>
      <c r="I34" s="14" t="e">
        <f t="shared" ca="1" si="5"/>
        <v>#N/A</v>
      </c>
      <c r="J34" s="14" t="e">
        <f t="shared" ca="1" si="5"/>
        <v>#N/A</v>
      </c>
      <c r="K34" s="14" t="e">
        <f t="shared" ca="1" si="5"/>
        <v>#N/A</v>
      </c>
      <c r="L34" s="14" t="e">
        <f t="shared" ca="1" si="5"/>
        <v>#N/A</v>
      </c>
      <c r="M34" s="14" t="e">
        <f t="shared" ca="1" si="5"/>
        <v>#N/A</v>
      </c>
      <c r="N34" s="14" t="e">
        <f t="shared" ca="1" si="5"/>
        <v>#N/A</v>
      </c>
      <c r="O34" s="14" t="e">
        <f t="shared" ca="1" si="5"/>
        <v>#N/A</v>
      </c>
      <c r="P34" s="14" t="e">
        <f t="shared" ca="1" si="5"/>
        <v>#N/A</v>
      </c>
      <c r="Q34" s="14" t="e">
        <f t="shared" ca="1" si="5"/>
        <v>#N/A</v>
      </c>
      <c r="R34" s="14" t="e">
        <f t="shared" ca="1" si="5"/>
        <v>#N/A</v>
      </c>
      <c r="S34" s="14" t="e">
        <f t="shared" ca="1" si="5"/>
        <v>#N/A</v>
      </c>
      <c r="T34" s="14" t="e">
        <f t="shared" ca="1" si="5"/>
        <v>#N/A</v>
      </c>
      <c r="U34" s="14" t="e">
        <f t="shared" ca="1" si="5"/>
        <v>#N/A</v>
      </c>
      <c r="V34" s="14" t="e">
        <f t="shared" ca="1" si="5"/>
        <v>#N/A</v>
      </c>
      <c r="W34" s="14" t="e">
        <f t="shared" ca="1" si="5"/>
        <v>#N/A</v>
      </c>
      <c r="X34" s="14" t="e">
        <f t="shared" ca="1" si="5"/>
        <v>#N/A</v>
      </c>
      <c r="Y34" s="14" t="e">
        <f t="shared" ca="1" si="5"/>
        <v>#N/A</v>
      </c>
      <c r="Z34" s="14" t="e">
        <f t="shared" ca="1" si="5"/>
        <v>#N/A</v>
      </c>
      <c r="AA34" s="14" t="e">
        <f t="shared" ca="1" si="5"/>
        <v>#N/A</v>
      </c>
      <c r="AB34" s="14" t="e">
        <f t="shared" ca="1" si="5"/>
        <v>#N/A</v>
      </c>
      <c r="AC34" s="14" t="e">
        <f t="shared" ca="1" si="5"/>
        <v>#N/A</v>
      </c>
      <c r="AD34" s="14" t="e">
        <f t="shared" ca="1" si="5"/>
        <v>#N/A</v>
      </c>
      <c r="AE34" s="14" t="e">
        <f t="shared" ca="1" si="5"/>
        <v>#N/A</v>
      </c>
      <c r="AF34" s="14" t="e">
        <f t="shared" ca="1" si="5"/>
        <v>#N/A</v>
      </c>
      <c r="AG34" s="14" t="e">
        <f t="shared" ca="1" si="5"/>
        <v>#N/A</v>
      </c>
      <c r="AH34" s="14" t="e">
        <f t="shared" ca="1" si="5"/>
        <v>#N/A</v>
      </c>
      <c r="AI34" s="14" t="e">
        <f t="shared" ca="1" si="5"/>
        <v>#N/A</v>
      </c>
      <c r="AJ34" s="14" t="e">
        <f t="shared" ca="1" si="5"/>
        <v>#N/A</v>
      </c>
      <c r="AK34" s="14" t="e">
        <f t="shared" ca="1" si="5"/>
        <v>#N/A</v>
      </c>
      <c r="AL34" s="14" t="e">
        <f t="shared" ca="1" si="5"/>
        <v>#N/A</v>
      </c>
      <c r="AM34" s="14" t="e">
        <f t="shared" ca="1" si="5"/>
        <v>#N/A</v>
      </c>
      <c r="AN34" s="14" t="e">
        <f t="shared" ca="1" si="5"/>
        <v>#N/A</v>
      </c>
      <c r="AO34" s="14" t="e">
        <f t="shared" ca="1" si="5"/>
        <v>#N/A</v>
      </c>
      <c r="AP34" s="14" t="e">
        <f t="shared" ca="1" si="5"/>
        <v>#N/A</v>
      </c>
      <c r="AQ34" s="14" t="e">
        <f t="shared" ca="1" si="5"/>
        <v>#N/A</v>
      </c>
      <c r="AR34" s="14" t="e">
        <f t="shared" ca="1" si="5"/>
        <v>#N/A</v>
      </c>
      <c r="AS34" s="14" t="e">
        <f t="shared" ca="1" si="5"/>
        <v>#N/A</v>
      </c>
      <c r="AT34" s="14" t="e">
        <f t="shared" ca="1" si="5"/>
        <v>#N/A</v>
      </c>
      <c r="AU34" s="14" t="e">
        <f t="shared" ca="1" si="5"/>
        <v>#N/A</v>
      </c>
      <c r="AV34" s="14" t="e">
        <f t="shared" ca="1" si="5"/>
        <v>#N/A</v>
      </c>
      <c r="AW34" s="14" t="e">
        <f t="shared" ca="1" si="5"/>
        <v>#N/A</v>
      </c>
      <c r="AX34" s="14" t="e">
        <f t="shared" ca="1" si="5"/>
        <v>#N/A</v>
      </c>
      <c r="AY34" s="14" t="e">
        <f t="shared" ca="1" si="5"/>
        <v>#N/A</v>
      </c>
      <c r="AZ34" s="14" t="e">
        <f t="shared" ca="1" si="5"/>
        <v>#N/A</v>
      </c>
      <c r="BA34" s="14" t="e">
        <f t="shared" ca="1" si="5"/>
        <v>#N/A</v>
      </c>
      <c r="BB34" s="14" t="e">
        <f t="shared" ca="1" si="5"/>
        <v>#N/A</v>
      </c>
      <c r="BC34" s="14" t="e">
        <f t="shared" ca="1" si="5"/>
        <v>#N/A</v>
      </c>
      <c r="BD34" s="14" t="e">
        <f t="shared" ca="1" si="5"/>
        <v>#N/A</v>
      </c>
      <c r="BE34" s="14" t="e">
        <f t="shared" ca="1" si="5"/>
        <v>#N/A</v>
      </c>
      <c r="BF34" s="14" t="e">
        <f t="shared" ca="1" si="5"/>
        <v>#N/A</v>
      </c>
      <c r="BG34" s="14" t="e">
        <f t="shared" ca="1" si="5"/>
        <v>#N/A</v>
      </c>
      <c r="BH34" s="14" t="e">
        <f t="shared" ca="1" si="5"/>
        <v>#N/A</v>
      </c>
      <c r="BI34" s="14" t="e">
        <f t="shared" ca="1" si="5"/>
        <v>#N/A</v>
      </c>
      <c r="BJ34" s="14" t="e">
        <f t="shared" ca="1" si="5"/>
        <v>#N/A</v>
      </c>
      <c r="BK34" s="14" t="e">
        <f t="shared" ca="1" si="5"/>
        <v>#N/A</v>
      </c>
      <c r="BL34" s="14" t="e">
        <f t="shared" ca="1" si="5"/>
        <v>#N/A</v>
      </c>
      <c r="BM34" s="14" t="e">
        <f t="shared" ca="1" si="5"/>
        <v>#N/A</v>
      </c>
      <c r="BN34" s="14" t="e">
        <f t="shared" ca="1" si="5"/>
        <v>#N/A</v>
      </c>
      <c r="BO34" s="14" t="e">
        <f t="shared" ca="1" si="5"/>
        <v>#N/A</v>
      </c>
      <c r="BP34" s="14" t="e">
        <f t="shared" ca="1" si="5"/>
        <v>#N/A</v>
      </c>
      <c r="BQ34" s="14" t="e">
        <f t="shared" ca="1" si="5"/>
        <v>#N/A</v>
      </c>
      <c r="BR34" s="14" t="e">
        <f t="shared" ca="1" si="5"/>
        <v>#N/A</v>
      </c>
      <c r="BS34" s="98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 x14ac:dyDescent="0.35">
      <c r="B35" s="44" t="e">
        <f t="shared" ref="B35:B37" ca="1" si="6">IF(E35=C35,1,0)</f>
        <v>#N/A</v>
      </c>
      <c r="C35" s="11" t="s">
        <v>5</v>
      </c>
      <c r="D35" s="44" t="e">
        <f t="shared" ref="D35:D37" si="7">MATCH(C35,$E$4:$E$33)</f>
        <v>#N/A</v>
      </c>
      <c r="E35" s="11" t="e">
        <f t="shared" ref="E35:E37" ca="1" si="8">OFFSET($E$3:$AL$3,$D35,0)</f>
        <v>#N/A</v>
      </c>
      <c r="F35" s="14" t="e">
        <f t="shared" ref="F35:U37" ca="1" si="9">OFFSET($E$3:$BR$3,$D35,0)</f>
        <v>#N/A</v>
      </c>
      <c r="G35" s="14" t="e">
        <f t="shared" ca="1" si="9"/>
        <v>#N/A</v>
      </c>
      <c r="H35" s="14" t="e">
        <f t="shared" ca="1" si="9"/>
        <v>#N/A</v>
      </c>
      <c r="I35" s="14" t="e">
        <f t="shared" ca="1" si="9"/>
        <v>#N/A</v>
      </c>
      <c r="J35" s="14" t="e">
        <f t="shared" ca="1" si="9"/>
        <v>#N/A</v>
      </c>
      <c r="K35" s="14" t="e">
        <f t="shared" ca="1" si="9"/>
        <v>#N/A</v>
      </c>
      <c r="L35" s="14" t="e">
        <f t="shared" ca="1" si="9"/>
        <v>#N/A</v>
      </c>
      <c r="M35" s="14" t="e">
        <f t="shared" ca="1" si="9"/>
        <v>#N/A</v>
      </c>
      <c r="N35" s="14" t="e">
        <f t="shared" ca="1" si="9"/>
        <v>#N/A</v>
      </c>
      <c r="O35" s="14" t="e">
        <f t="shared" ca="1" si="9"/>
        <v>#N/A</v>
      </c>
      <c r="P35" s="14" t="e">
        <f t="shared" ca="1" si="9"/>
        <v>#N/A</v>
      </c>
      <c r="Q35" s="14" t="e">
        <f t="shared" ca="1" si="9"/>
        <v>#N/A</v>
      </c>
      <c r="R35" s="14" t="e">
        <f t="shared" ca="1" si="9"/>
        <v>#N/A</v>
      </c>
      <c r="S35" s="14" t="e">
        <f t="shared" ca="1" si="9"/>
        <v>#N/A</v>
      </c>
      <c r="T35" s="14" t="e">
        <f t="shared" ca="1" si="9"/>
        <v>#N/A</v>
      </c>
      <c r="U35" s="14" t="e">
        <f t="shared" ca="1" si="9"/>
        <v>#N/A</v>
      </c>
      <c r="V35" s="14" t="e">
        <f t="shared" ca="1" si="5"/>
        <v>#N/A</v>
      </c>
      <c r="W35" s="14" t="e">
        <f t="shared" ca="1" si="5"/>
        <v>#N/A</v>
      </c>
      <c r="X35" s="14" t="e">
        <f t="shared" ca="1" si="5"/>
        <v>#N/A</v>
      </c>
      <c r="Y35" s="14" t="e">
        <f t="shared" ca="1" si="5"/>
        <v>#N/A</v>
      </c>
      <c r="Z35" s="14" t="e">
        <f t="shared" ca="1" si="5"/>
        <v>#N/A</v>
      </c>
      <c r="AA35" s="14" t="e">
        <f t="shared" ca="1" si="5"/>
        <v>#N/A</v>
      </c>
      <c r="AB35" s="14" t="e">
        <f t="shared" ca="1" si="5"/>
        <v>#N/A</v>
      </c>
      <c r="AC35" s="14" t="e">
        <f t="shared" ca="1" si="5"/>
        <v>#N/A</v>
      </c>
      <c r="AD35" s="14" t="e">
        <f t="shared" ca="1" si="5"/>
        <v>#N/A</v>
      </c>
      <c r="AE35" s="14" t="e">
        <f t="shared" ca="1" si="5"/>
        <v>#N/A</v>
      </c>
      <c r="AF35" s="14" t="e">
        <f t="shared" ca="1" si="5"/>
        <v>#N/A</v>
      </c>
      <c r="AG35" s="14" t="e">
        <f t="shared" ca="1" si="5"/>
        <v>#N/A</v>
      </c>
      <c r="AH35" s="14" t="e">
        <f t="shared" ca="1" si="5"/>
        <v>#N/A</v>
      </c>
      <c r="AI35" s="14" t="e">
        <f t="shared" ca="1" si="5"/>
        <v>#N/A</v>
      </c>
      <c r="AJ35" s="14" t="e">
        <f t="shared" ca="1" si="5"/>
        <v>#N/A</v>
      </c>
      <c r="AK35" s="14" t="e">
        <f t="shared" ca="1" si="5"/>
        <v>#N/A</v>
      </c>
      <c r="AL35" s="14" t="e">
        <f t="shared" ca="1" si="5"/>
        <v>#N/A</v>
      </c>
      <c r="AM35" s="14" t="e">
        <f t="shared" ca="1" si="5"/>
        <v>#N/A</v>
      </c>
      <c r="AN35" s="14" t="e">
        <f t="shared" ca="1" si="5"/>
        <v>#N/A</v>
      </c>
      <c r="AO35" s="14" t="e">
        <f t="shared" ca="1" si="5"/>
        <v>#N/A</v>
      </c>
      <c r="AP35" s="14" t="e">
        <f t="shared" ca="1" si="5"/>
        <v>#N/A</v>
      </c>
      <c r="AQ35" s="14" t="e">
        <f t="shared" ca="1" si="5"/>
        <v>#N/A</v>
      </c>
      <c r="AR35" s="14" t="e">
        <f t="shared" ca="1" si="5"/>
        <v>#N/A</v>
      </c>
      <c r="AS35" s="14" t="e">
        <f t="shared" ca="1" si="5"/>
        <v>#N/A</v>
      </c>
      <c r="AT35" s="14" t="e">
        <f t="shared" ca="1" si="5"/>
        <v>#N/A</v>
      </c>
      <c r="AU35" s="14" t="e">
        <f t="shared" ca="1" si="5"/>
        <v>#N/A</v>
      </c>
      <c r="AV35" s="14" t="e">
        <f t="shared" ca="1" si="5"/>
        <v>#N/A</v>
      </c>
      <c r="AW35" s="14" t="e">
        <f t="shared" ca="1" si="5"/>
        <v>#N/A</v>
      </c>
      <c r="AX35" s="14" t="e">
        <f t="shared" ca="1" si="5"/>
        <v>#N/A</v>
      </c>
      <c r="AY35" s="14" t="e">
        <f t="shared" ca="1" si="5"/>
        <v>#N/A</v>
      </c>
      <c r="AZ35" s="14" t="e">
        <f t="shared" ca="1" si="5"/>
        <v>#N/A</v>
      </c>
      <c r="BA35" s="14" t="e">
        <f t="shared" ca="1" si="5"/>
        <v>#N/A</v>
      </c>
      <c r="BB35" s="14" t="e">
        <f t="shared" ca="1" si="5"/>
        <v>#N/A</v>
      </c>
      <c r="BC35" s="14" t="e">
        <f t="shared" ca="1" si="5"/>
        <v>#N/A</v>
      </c>
      <c r="BD35" s="14" t="e">
        <f t="shared" ca="1" si="5"/>
        <v>#N/A</v>
      </c>
      <c r="BE35" s="14" t="e">
        <f t="shared" ca="1" si="5"/>
        <v>#N/A</v>
      </c>
      <c r="BF35" s="14" t="e">
        <f t="shared" ca="1" si="5"/>
        <v>#N/A</v>
      </c>
      <c r="BG35" s="14" t="e">
        <f t="shared" ca="1" si="5"/>
        <v>#N/A</v>
      </c>
      <c r="BH35" s="14" t="e">
        <f t="shared" ca="1" si="5"/>
        <v>#N/A</v>
      </c>
      <c r="BI35" s="14" t="e">
        <f t="shared" ca="1" si="5"/>
        <v>#N/A</v>
      </c>
      <c r="BJ35" s="14" t="e">
        <f t="shared" ca="1" si="5"/>
        <v>#N/A</v>
      </c>
      <c r="BK35" s="14" t="e">
        <f t="shared" ca="1" si="5"/>
        <v>#N/A</v>
      </c>
      <c r="BL35" s="14" t="e">
        <f t="shared" ca="1" si="5"/>
        <v>#N/A</v>
      </c>
      <c r="BM35" s="14" t="e">
        <f t="shared" ca="1" si="5"/>
        <v>#N/A</v>
      </c>
      <c r="BN35" s="14" t="e">
        <f t="shared" ca="1" si="5"/>
        <v>#N/A</v>
      </c>
      <c r="BO35" s="14" t="e">
        <f t="shared" ca="1" si="5"/>
        <v>#N/A</v>
      </c>
      <c r="BP35" s="14" t="e">
        <f t="shared" ca="1" si="5"/>
        <v>#N/A</v>
      </c>
      <c r="BQ35" s="14" t="e">
        <f t="shared" ca="1" si="5"/>
        <v>#N/A</v>
      </c>
      <c r="BR35" s="14" t="e">
        <f t="shared" ca="1" si="5"/>
        <v>#N/A</v>
      </c>
      <c r="BS35" s="98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 x14ac:dyDescent="0.35">
      <c r="B36" s="44" t="e">
        <f t="shared" ca="1" si="6"/>
        <v>#N/A</v>
      </c>
      <c r="C36" s="11" t="s">
        <v>6</v>
      </c>
      <c r="D36" s="44" t="e">
        <f t="shared" si="7"/>
        <v>#N/A</v>
      </c>
      <c r="E36" s="11" t="e">
        <f t="shared" ca="1" si="8"/>
        <v>#N/A</v>
      </c>
      <c r="F36" s="14" t="e">
        <f t="shared" ca="1" si="9"/>
        <v>#N/A</v>
      </c>
      <c r="G36" s="14" t="e">
        <f t="shared" ca="1" si="5"/>
        <v>#N/A</v>
      </c>
      <c r="H36" s="14" t="e">
        <f t="shared" ca="1" si="5"/>
        <v>#N/A</v>
      </c>
      <c r="I36" s="14" t="e">
        <f t="shared" ca="1" si="5"/>
        <v>#N/A</v>
      </c>
      <c r="J36" s="14" t="e">
        <f t="shared" ca="1" si="5"/>
        <v>#N/A</v>
      </c>
      <c r="K36" s="14" t="e">
        <f t="shared" ca="1" si="5"/>
        <v>#N/A</v>
      </c>
      <c r="L36" s="14" t="e">
        <f t="shared" ca="1" si="5"/>
        <v>#N/A</v>
      </c>
      <c r="M36" s="14" t="e">
        <f t="shared" ca="1" si="5"/>
        <v>#N/A</v>
      </c>
      <c r="N36" s="14" t="e">
        <f t="shared" ca="1" si="5"/>
        <v>#N/A</v>
      </c>
      <c r="O36" s="14" t="e">
        <f t="shared" ca="1" si="5"/>
        <v>#N/A</v>
      </c>
      <c r="P36" s="14" t="e">
        <f t="shared" ca="1" si="5"/>
        <v>#N/A</v>
      </c>
      <c r="Q36" s="14" t="e">
        <f t="shared" ca="1" si="5"/>
        <v>#N/A</v>
      </c>
      <c r="R36" s="14" t="e">
        <f t="shared" ca="1" si="5"/>
        <v>#N/A</v>
      </c>
      <c r="S36" s="14" t="e">
        <f t="shared" ca="1" si="5"/>
        <v>#N/A</v>
      </c>
      <c r="T36" s="14" t="e">
        <f t="shared" ca="1" si="5"/>
        <v>#N/A</v>
      </c>
      <c r="U36" s="14" t="e">
        <f t="shared" ca="1" si="5"/>
        <v>#N/A</v>
      </c>
      <c r="V36" s="14" t="e">
        <f t="shared" ca="1" si="5"/>
        <v>#N/A</v>
      </c>
      <c r="W36" s="14" t="e">
        <f t="shared" ca="1" si="5"/>
        <v>#N/A</v>
      </c>
      <c r="X36" s="14" t="e">
        <f t="shared" ca="1" si="5"/>
        <v>#N/A</v>
      </c>
      <c r="Y36" s="14" t="e">
        <f t="shared" ca="1" si="5"/>
        <v>#N/A</v>
      </c>
      <c r="Z36" s="14" t="e">
        <f t="shared" ca="1" si="5"/>
        <v>#N/A</v>
      </c>
      <c r="AA36" s="14" t="e">
        <f t="shared" ca="1" si="5"/>
        <v>#N/A</v>
      </c>
      <c r="AB36" s="14" t="e">
        <f t="shared" ca="1" si="5"/>
        <v>#N/A</v>
      </c>
      <c r="AC36" s="14" t="e">
        <f t="shared" ca="1" si="5"/>
        <v>#N/A</v>
      </c>
      <c r="AD36" s="14" t="e">
        <f t="shared" ca="1" si="5"/>
        <v>#N/A</v>
      </c>
      <c r="AE36" s="14" t="e">
        <f t="shared" ca="1" si="5"/>
        <v>#N/A</v>
      </c>
      <c r="AF36" s="14" t="e">
        <f t="shared" ca="1" si="5"/>
        <v>#N/A</v>
      </c>
      <c r="AG36" s="14" t="e">
        <f t="shared" ca="1" si="5"/>
        <v>#N/A</v>
      </c>
      <c r="AH36" s="14" t="e">
        <f t="shared" ca="1" si="5"/>
        <v>#N/A</v>
      </c>
      <c r="AI36" s="14" t="e">
        <f t="shared" ca="1" si="5"/>
        <v>#N/A</v>
      </c>
      <c r="AJ36" s="14" t="e">
        <f t="shared" ca="1" si="5"/>
        <v>#N/A</v>
      </c>
      <c r="AK36" s="14" t="e">
        <f t="shared" ca="1" si="5"/>
        <v>#N/A</v>
      </c>
      <c r="AL36" s="14" t="e">
        <f t="shared" ca="1" si="5"/>
        <v>#N/A</v>
      </c>
      <c r="AM36" s="14" t="e">
        <f t="shared" ca="1" si="5"/>
        <v>#N/A</v>
      </c>
      <c r="AN36" s="14" t="e">
        <f t="shared" ca="1" si="5"/>
        <v>#N/A</v>
      </c>
      <c r="AO36" s="14" t="e">
        <f t="shared" ca="1" si="5"/>
        <v>#N/A</v>
      </c>
      <c r="AP36" s="14" t="e">
        <f t="shared" ca="1" si="5"/>
        <v>#N/A</v>
      </c>
      <c r="AQ36" s="14" t="e">
        <f t="shared" ca="1" si="5"/>
        <v>#N/A</v>
      </c>
      <c r="AR36" s="14" t="e">
        <f t="shared" ca="1" si="5"/>
        <v>#N/A</v>
      </c>
      <c r="AS36" s="14" t="e">
        <f t="shared" ca="1" si="5"/>
        <v>#N/A</v>
      </c>
      <c r="AT36" s="14" t="e">
        <f t="shared" ca="1" si="5"/>
        <v>#N/A</v>
      </c>
      <c r="AU36" s="14" t="e">
        <f t="shared" ca="1" si="5"/>
        <v>#N/A</v>
      </c>
      <c r="AV36" s="14" t="e">
        <f t="shared" ca="1" si="5"/>
        <v>#N/A</v>
      </c>
      <c r="AW36" s="14" t="e">
        <f t="shared" ca="1" si="5"/>
        <v>#N/A</v>
      </c>
      <c r="AX36" s="14" t="e">
        <f t="shared" ca="1" si="5"/>
        <v>#N/A</v>
      </c>
      <c r="AY36" s="14" t="e">
        <f t="shared" ca="1" si="5"/>
        <v>#N/A</v>
      </c>
      <c r="AZ36" s="14" t="e">
        <f t="shared" ca="1" si="5"/>
        <v>#N/A</v>
      </c>
      <c r="BA36" s="14" t="e">
        <f t="shared" ca="1" si="5"/>
        <v>#N/A</v>
      </c>
      <c r="BB36" s="14" t="e">
        <f t="shared" ca="1" si="5"/>
        <v>#N/A</v>
      </c>
      <c r="BC36" s="14" t="e">
        <f t="shared" ca="1" si="5"/>
        <v>#N/A</v>
      </c>
      <c r="BD36" s="14" t="e">
        <f t="shared" ca="1" si="5"/>
        <v>#N/A</v>
      </c>
      <c r="BE36" s="14" t="e">
        <f t="shared" ca="1" si="5"/>
        <v>#N/A</v>
      </c>
      <c r="BF36" s="14" t="e">
        <f t="shared" ca="1" si="5"/>
        <v>#N/A</v>
      </c>
      <c r="BG36" s="14" t="e">
        <f t="shared" ca="1" si="5"/>
        <v>#N/A</v>
      </c>
      <c r="BH36" s="14" t="e">
        <f t="shared" ca="1" si="5"/>
        <v>#N/A</v>
      </c>
      <c r="BI36" s="14" t="e">
        <f t="shared" ca="1" si="5"/>
        <v>#N/A</v>
      </c>
      <c r="BJ36" s="14" t="e">
        <f t="shared" ca="1" si="5"/>
        <v>#N/A</v>
      </c>
      <c r="BK36" s="14" t="e">
        <f t="shared" ca="1" si="5"/>
        <v>#N/A</v>
      </c>
      <c r="BL36" s="14" t="e">
        <f t="shared" ca="1" si="5"/>
        <v>#N/A</v>
      </c>
      <c r="BM36" s="14" t="e">
        <f t="shared" ca="1" si="5"/>
        <v>#N/A</v>
      </c>
      <c r="BN36" s="14" t="e">
        <f t="shared" ca="1" si="5"/>
        <v>#N/A</v>
      </c>
      <c r="BO36" s="14" t="e">
        <f t="shared" ca="1" si="5"/>
        <v>#N/A</v>
      </c>
      <c r="BP36" s="14" t="e">
        <f t="shared" ca="1" si="5"/>
        <v>#N/A</v>
      </c>
      <c r="BQ36" s="14" t="e">
        <f t="shared" ca="1" si="5"/>
        <v>#N/A</v>
      </c>
      <c r="BR36" s="14" t="e">
        <f t="shared" ca="1" si="5"/>
        <v>#N/A</v>
      </c>
      <c r="BS36" s="98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4" t="e">
        <f t="shared" ca="1" si="6"/>
        <v>#N/A</v>
      </c>
      <c r="C37" s="11" t="s">
        <v>7</v>
      </c>
      <c r="D37" s="44" t="e">
        <f t="shared" si="7"/>
        <v>#N/A</v>
      </c>
      <c r="E37" s="11" t="e">
        <f t="shared" ca="1" si="8"/>
        <v>#N/A</v>
      </c>
      <c r="F37" s="14" t="e">
        <f t="shared" ca="1" si="9"/>
        <v>#N/A</v>
      </c>
      <c r="G37" s="14" t="e">
        <f t="shared" ca="1" si="5"/>
        <v>#N/A</v>
      </c>
      <c r="H37" s="14" t="e">
        <f t="shared" ca="1" si="5"/>
        <v>#N/A</v>
      </c>
      <c r="I37" s="14" t="e">
        <f t="shared" ca="1" si="5"/>
        <v>#N/A</v>
      </c>
      <c r="J37" s="14" t="e">
        <f t="shared" ca="1" si="5"/>
        <v>#N/A</v>
      </c>
      <c r="K37" s="14" t="e">
        <f t="shared" ca="1" si="5"/>
        <v>#N/A</v>
      </c>
      <c r="L37" s="14" t="e">
        <f t="shared" ca="1" si="5"/>
        <v>#N/A</v>
      </c>
      <c r="M37" s="14" t="e">
        <f t="shared" ca="1" si="5"/>
        <v>#N/A</v>
      </c>
      <c r="N37" s="14" t="e">
        <f t="shared" ca="1" si="5"/>
        <v>#N/A</v>
      </c>
      <c r="O37" s="14" t="e">
        <f t="shared" ca="1" si="5"/>
        <v>#N/A</v>
      </c>
      <c r="P37" s="14" t="e">
        <f t="shared" ca="1" si="5"/>
        <v>#N/A</v>
      </c>
      <c r="Q37" s="14" t="e">
        <f t="shared" ca="1" si="5"/>
        <v>#N/A</v>
      </c>
      <c r="R37" s="14" t="e">
        <f t="shared" ca="1" si="5"/>
        <v>#N/A</v>
      </c>
      <c r="S37" s="14" t="e">
        <f t="shared" ca="1" si="5"/>
        <v>#N/A</v>
      </c>
      <c r="T37" s="14" t="e">
        <f t="shared" ca="1" si="5"/>
        <v>#N/A</v>
      </c>
      <c r="U37" s="14" t="e">
        <f t="shared" ca="1" si="5"/>
        <v>#N/A</v>
      </c>
      <c r="V37" s="14" t="e">
        <f t="shared" ca="1" si="5"/>
        <v>#N/A</v>
      </c>
      <c r="W37" s="14" t="e">
        <f t="shared" ca="1" si="5"/>
        <v>#N/A</v>
      </c>
      <c r="X37" s="14" t="e">
        <f t="shared" ca="1" si="5"/>
        <v>#N/A</v>
      </c>
      <c r="Y37" s="14" t="e">
        <f t="shared" ca="1" si="5"/>
        <v>#N/A</v>
      </c>
      <c r="Z37" s="14" t="e">
        <f t="shared" ca="1" si="5"/>
        <v>#N/A</v>
      </c>
      <c r="AA37" s="14" t="e">
        <f t="shared" ca="1" si="5"/>
        <v>#N/A</v>
      </c>
      <c r="AB37" s="14" t="e">
        <f t="shared" ca="1" si="5"/>
        <v>#N/A</v>
      </c>
      <c r="AC37" s="14" t="e">
        <f t="shared" ca="1" si="5"/>
        <v>#N/A</v>
      </c>
      <c r="AD37" s="14" t="e">
        <f t="shared" ca="1" si="5"/>
        <v>#N/A</v>
      </c>
      <c r="AE37" s="14" t="e">
        <f t="shared" ca="1" si="5"/>
        <v>#N/A</v>
      </c>
      <c r="AF37" s="14" t="e">
        <f t="shared" ca="1" si="5"/>
        <v>#N/A</v>
      </c>
      <c r="AG37" s="14" t="e">
        <f t="shared" ca="1" si="5"/>
        <v>#N/A</v>
      </c>
      <c r="AH37" s="14" t="e">
        <f t="shared" ca="1" si="5"/>
        <v>#N/A</v>
      </c>
      <c r="AI37" s="14" t="e">
        <f t="shared" ca="1" si="5"/>
        <v>#N/A</v>
      </c>
      <c r="AJ37" s="14" t="e">
        <f t="shared" ca="1" si="5"/>
        <v>#N/A</v>
      </c>
      <c r="AK37" s="14" t="e">
        <f t="shared" ca="1" si="5"/>
        <v>#N/A</v>
      </c>
      <c r="AL37" s="14" t="e">
        <f t="shared" ca="1" si="5"/>
        <v>#N/A</v>
      </c>
      <c r="AM37" s="14" t="e">
        <f t="shared" ca="1" si="5"/>
        <v>#N/A</v>
      </c>
      <c r="AN37" s="14" t="e">
        <f t="shared" ca="1" si="5"/>
        <v>#N/A</v>
      </c>
      <c r="AO37" s="14" t="e">
        <f t="shared" ca="1" si="5"/>
        <v>#N/A</v>
      </c>
      <c r="AP37" s="14" t="e">
        <f t="shared" ca="1" si="5"/>
        <v>#N/A</v>
      </c>
      <c r="AQ37" s="14" t="e">
        <f t="shared" ca="1" si="5"/>
        <v>#N/A</v>
      </c>
      <c r="AR37" s="14" t="e">
        <f t="shared" ca="1" si="5"/>
        <v>#N/A</v>
      </c>
      <c r="AS37" s="14" t="e">
        <f t="shared" ca="1" si="5"/>
        <v>#N/A</v>
      </c>
      <c r="AT37" s="14" t="e">
        <f t="shared" ca="1" si="5"/>
        <v>#N/A</v>
      </c>
      <c r="AU37" s="14" t="e">
        <f t="shared" ca="1" si="5"/>
        <v>#N/A</v>
      </c>
      <c r="AV37" s="14" t="e">
        <f t="shared" ca="1" si="5"/>
        <v>#N/A</v>
      </c>
      <c r="AW37" s="14" t="e">
        <f t="shared" ca="1" si="5"/>
        <v>#N/A</v>
      </c>
      <c r="AX37" s="14" t="e">
        <f t="shared" ca="1" si="5"/>
        <v>#N/A</v>
      </c>
      <c r="AY37" s="14" t="e">
        <f t="shared" ca="1" si="5"/>
        <v>#N/A</v>
      </c>
      <c r="AZ37" s="14" t="e">
        <f t="shared" ca="1" si="5"/>
        <v>#N/A</v>
      </c>
      <c r="BA37" s="14" t="e">
        <f t="shared" ca="1" si="5"/>
        <v>#N/A</v>
      </c>
      <c r="BB37" s="14" t="e">
        <f t="shared" ca="1" si="5"/>
        <v>#N/A</v>
      </c>
      <c r="BC37" s="14" t="e">
        <f t="shared" ca="1" si="5"/>
        <v>#N/A</v>
      </c>
      <c r="BD37" s="14" t="e">
        <f t="shared" ca="1" si="5"/>
        <v>#N/A</v>
      </c>
      <c r="BE37" s="14" t="e">
        <f t="shared" ca="1" si="5"/>
        <v>#N/A</v>
      </c>
      <c r="BF37" s="14" t="e">
        <f t="shared" ca="1" si="5"/>
        <v>#N/A</v>
      </c>
      <c r="BG37" s="14" t="e">
        <f t="shared" ca="1" si="5"/>
        <v>#N/A</v>
      </c>
      <c r="BH37" s="14" t="e">
        <f t="shared" ca="1" si="5"/>
        <v>#N/A</v>
      </c>
      <c r="BI37" s="14" t="e">
        <f t="shared" ca="1" si="5"/>
        <v>#N/A</v>
      </c>
      <c r="BJ37" s="14" t="e">
        <f t="shared" ca="1" si="5"/>
        <v>#N/A</v>
      </c>
      <c r="BK37" s="14" t="e">
        <f t="shared" ca="1" si="5"/>
        <v>#N/A</v>
      </c>
      <c r="BL37" s="14" t="e">
        <f t="shared" ca="1" si="5"/>
        <v>#N/A</v>
      </c>
      <c r="BM37" s="14" t="e">
        <f t="shared" ca="1" si="5"/>
        <v>#N/A</v>
      </c>
      <c r="BN37" s="14" t="e">
        <f t="shared" ca="1" si="5"/>
        <v>#N/A</v>
      </c>
      <c r="BO37" s="14" t="e">
        <f t="shared" ca="1" si="5"/>
        <v>#N/A</v>
      </c>
      <c r="BP37" s="14" t="e">
        <f t="shared" ca="1" si="5"/>
        <v>#N/A</v>
      </c>
      <c r="BQ37" s="14" t="e">
        <f t="shared" ca="1" si="5"/>
        <v>#N/A</v>
      </c>
      <c r="BR37" s="14" t="e">
        <f t="shared" ca="1" si="5"/>
        <v>#N/A</v>
      </c>
      <c r="BS37" s="98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 x14ac:dyDescent="0.4"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BR40" si="10">G3</f>
        <v>0</v>
      </c>
      <c r="H40" s="8">
        <f t="shared" si="10"/>
        <v>0</v>
      </c>
      <c r="I40" s="8">
        <f t="shared" si="10"/>
        <v>0</v>
      </c>
      <c r="J40" s="8">
        <f t="shared" si="10"/>
        <v>0</v>
      </c>
      <c r="K40" s="8">
        <f t="shared" si="10"/>
        <v>0</v>
      </c>
      <c r="L40" s="8">
        <f t="shared" si="10"/>
        <v>0</v>
      </c>
      <c r="M40" s="8">
        <f t="shared" si="10"/>
        <v>0</v>
      </c>
      <c r="N40" s="8">
        <f t="shared" si="10"/>
        <v>0</v>
      </c>
      <c r="O40" s="8">
        <f t="shared" si="10"/>
        <v>0</v>
      </c>
      <c r="P40" s="8">
        <f t="shared" si="10"/>
        <v>0</v>
      </c>
      <c r="Q40" s="8">
        <f t="shared" si="10"/>
        <v>0</v>
      </c>
      <c r="R40" s="8">
        <f t="shared" si="10"/>
        <v>0</v>
      </c>
      <c r="S40" s="8">
        <f t="shared" si="10"/>
        <v>0</v>
      </c>
      <c r="T40" s="8">
        <f t="shared" si="10"/>
        <v>0</v>
      </c>
      <c r="U40" s="8">
        <f t="shared" si="10"/>
        <v>0</v>
      </c>
      <c r="V40" s="8">
        <f t="shared" si="10"/>
        <v>0</v>
      </c>
      <c r="W40" s="8">
        <f t="shared" si="10"/>
        <v>0</v>
      </c>
      <c r="X40" s="8">
        <f t="shared" si="10"/>
        <v>0</v>
      </c>
      <c r="Y40" s="8">
        <f t="shared" si="10"/>
        <v>0</v>
      </c>
      <c r="Z40" s="8">
        <f t="shared" si="10"/>
        <v>0</v>
      </c>
      <c r="AA40" s="8">
        <f t="shared" si="10"/>
        <v>0</v>
      </c>
      <c r="AB40" s="8">
        <f t="shared" si="10"/>
        <v>0</v>
      </c>
      <c r="AC40" s="8">
        <f t="shared" si="10"/>
        <v>0</v>
      </c>
      <c r="AD40" s="8">
        <f t="shared" si="10"/>
        <v>0</v>
      </c>
      <c r="AE40" s="8">
        <f t="shared" si="10"/>
        <v>0</v>
      </c>
      <c r="AF40" s="8">
        <f t="shared" si="10"/>
        <v>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9"/>
    </row>
    <row r="41" spans="1:87" ht="2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BQ41" ca="1" si="11">($B$41*H.Ge+$C$41*H.Ga+$D$41*H.Se)*F$40*$B$2/1000</f>
        <v>#DIV/0!</v>
      </c>
      <c r="G41" s="10" t="e">
        <f t="shared" ca="1" si="11"/>
        <v>#DIV/0!</v>
      </c>
      <c r="H41" s="10" t="e">
        <f t="shared" ca="1" si="11"/>
        <v>#DIV/0!</v>
      </c>
      <c r="I41" s="10" t="e">
        <f t="shared" ca="1" si="11"/>
        <v>#DIV/0!</v>
      </c>
      <c r="J41" s="10" t="e">
        <f t="shared" ca="1" si="11"/>
        <v>#DIV/0!</v>
      </c>
      <c r="K41" s="10" t="e">
        <f t="shared" ca="1" si="11"/>
        <v>#DIV/0!</v>
      </c>
      <c r="L41" s="10" t="e">
        <f t="shared" ca="1" si="11"/>
        <v>#DIV/0!</v>
      </c>
      <c r="M41" s="10" t="e">
        <f t="shared" ca="1" si="11"/>
        <v>#DIV/0!</v>
      </c>
      <c r="N41" s="10" t="e">
        <f t="shared" ca="1" si="11"/>
        <v>#DIV/0!</v>
      </c>
      <c r="O41" s="10" t="e">
        <f t="shared" ca="1" si="11"/>
        <v>#DIV/0!</v>
      </c>
      <c r="P41" s="10" t="e">
        <f t="shared" ca="1" si="11"/>
        <v>#DIV/0!</v>
      </c>
      <c r="Q41" s="10" t="e">
        <f t="shared" ca="1" si="11"/>
        <v>#DIV/0!</v>
      </c>
      <c r="R41" s="10" t="e">
        <f t="shared" ca="1" si="11"/>
        <v>#DIV/0!</v>
      </c>
      <c r="S41" s="10" t="e">
        <f t="shared" ca="1" si="11"/>
        <v>#DIV/0!</v>
      </c>
      <c r="T41" s="10" t="e">
        <f t="shared" ca="1" si="11"/>
        <v>#DIV/0!</v>
      </c>
      <c r="U41" s="10" t="e">
        <f t="shared" ca="1" si="11"/>
        <v>#DIV/0!</v>
      </c>
      <c r="V41" s="10" t="e">
        <f t="shared" ca="1" si="11"/>
        <v>#DIV/0!</v>
      </c>
      <c r="W41" s="10" t="e">
        <f t="shared" ca="1" si="11"/>
        <v>#DIV/0!</v>
      </c>
      <c r="X41" s="10" t="e">
        <f t="shared" ca="1" si="11"/>
        <v>#DIV/0!</v>
      </c>
      <c r="Y41" s="10" t="e">
        <f t="shared" ca="1" si="11"/>
        <v>#DIV/0!</v>
      </c>
      <c r="Z41" s="10" t="e">
        <f t="shared" ca="1" si="11"/>
        <v>#DIV/0!</v>
      </c>
      <c r="AA41" s="10" t="e">
        <f t="shared" ca="1" si="11"/>
        <v>#DIV/0!</v>
      </c>
      <c r="AB41" s="10" t="e">
        <f t="shared" ca="1" si="11"/>
        <v>#DIV/0!</v>
      </c>
      <c r="AC41" s="10" t="e">
        <f t="shared" ca="1" si="11"/>
        <v>#DIV/0!</v>
      </c>
      <c r="AD41" s="10" t="e">
        <f t="shared" ca="1" si="11"/>
        <v>#DIV/0!</v>
      </c>
      <c r="AE41" s="10" t="e">
        <f t="shared" ca="1" si="11"/>
        <v>#DIV/0!</v>
      </c>
      <c r="AF41" s="10" t="e">
        <f t="shared" ca="1" si="11"/>
        <v>#DIV/0!</v>
      </c>
      <c r="AG41" s="10" t="e">
        <f t="shared" ca="1" si="11"/>
        <v>#DIV/0!</v>
      </c>
      <c r="AH41" s="10" t="e">
        <f t="shared" ca="1" si="11"/>
        <v>#DIV/0!</v>
      </c>
      <c r="AI41" s="10" t="e">
        <f t="shared" ca="1" si="11"/>
        <v>#DIV/0!</v>
      </c>
      <c r="AJ41" s="10" t="e">
        <f t="shared" ca="1" si="11"/>
        <v>#DIV/0!</v>
      </c>
      <c r="AK41" s="10" t="e">
        <f t="shared" ca="1" si="11"/>
        <v>#DIV/0!</v>
      </c>
      <c r="AL41" s="10" t="e">
        <f t="shared" ca="1" si="11"/>
        <v>#DIV/0!</v>
      </c>
      <c r="AM41" s="10" t="e">
        <f t="shared" ca="1" si="11"/>
        <v>#DIV/0!</v>
      </c>
      <c r="AN41" s="10" t="e">
        <f t="shared" ca="1" si="11"/>
        <v>#DIV/0!</v>
      </c>
      <c r="AO41" s="10" t="e">
        <f t="shared" ca="1" si="11"/>
        <v>#DIV/0!</v>
      </c>
      <c r="AP41" s="10" t="e">
        <f t="shared" ca="1" si="11"/>
        <v>#DIV/0!</v>
      </c>
      <c r="AQ41" s="10" t="e">
        <f t="shared" ca="1" si="11"/>
        <v>#DIV/0!</v>
      </c>
      <c r="AR41" s="10" t="e">
        <f t="shared" ca="1" si="11"/>
        <v>#DIV/0!</v>
      </c>
      <c r="AS41" s="10" t="e">
        <f t="shared" ca="1" si="11"/>
        <v>#DIV/0!</v>
      </c>
      <c r="AT41" s="10" t="e">
        <f t="shared" ca="1" si="11"/>
        <v>#DIV/0!</v>
      </c>
      <c r="AU41" s="10" t="e">
        <f t="shared" ca="1" si="11"/>
        <v>#DIV/0!</v>
      </c>
      <c r="AV41" s="10" t="e">
        <f t="shared" ca="1" si="11"/>
        <v>#DIV/0!</v>
      </c>
      <c r="AW41" s="10" t="e">
        <f t="shared" ca="1" si="11"/>
        <v>#DIV/0!</v>
      </c>
      <c r="AX41" s="10" t="e">
        <f t="shared" ca="1" si="11"/>
        <v>#DIV/0!</v>
      </c>
      <c r="AY41" s="10" t="e">
        <f t="shared" ca="1" si="11"/>
        <v>#DIV/0!</v>
      </c>
      <c r="AZ41" s="10" t="e">
        <f t="shared" ca="1" si="11"/>
        <v>#DIV/0!</v>
      </c>
      <c r="BA41" s="10" t="e">
        <f t="shared" ca="1" si="11"/>
        <v>#DIV/0!</v>
      </c>
      <c r="BB41" s="10" t="e">
        <f t="shared" ca="1" si="11"/>
        <v>#DIV/0!</v>
      </c>
      <c r="BC41" s="10" t="e">
        <f t="shared" ca="1" si="11"/>
        <v>#DIV/0!</v>
      </c>
      <c r="BD41" s="10" t="e">
        <f t="shared" ca="1" si="11"/>
        <v>#DIV/0!</v>
      </c>
      <c r="BE41" s="10" t="e">
        <f t="shared" ca="1" si="11"/>
        <v>#DIV/0!</v>
      </c>
      <c r="BF41" s="10" t="e">
        <f t="shared" ca="1" si="11"/>
        <v>#DIV/0!</v>
      </c>
      <c r="BG41" s="10" t="e">
        <f t="shared" ca="1" si="11"/>
        <v>#DIV/0!</v>
      </c>
      <c r="BH41" s="10" t="e">
        <f t="shared" ca="1" si="11"/>
        <v>#DIV/0!</v>
      </c>
      <c r="BI41" s="10" t="e">
        <f t="shared" ca="1" si="11"/>
        <v>#DIV/0!</v>
      </c>
      <c r="BJ41" s="10" t="e">
        <f t="shared" ca="1" si="11"/>
        <v>#DIV/0!</v>
      </c>
      <c r="BK41" s="10" t="e">
        <f t="shared" ca="1" si="11"/>
        <v>#DIV/0!</v>
      </c>
      <c r="BL41" s="10" t="e">
        <f t="shared" ca="1" si="11"/>
        <v>#DIV/0!</v>
      </c>
      <c r="BM41" s="10" t="e">
        <f t="shared" ca="1" si="11"/>
        <v>#DIV/0!</v>
      </c>
      <c r="BN41" s="10" t="e">
        <f t="shared" ca="1" si="11"/>
        <v>#DIV/0!</v>
      </c>
      <c r="BO41" s="10" t="e">
        <f t="shared" ca="1" si="11"/>
        <v>#DIV/0!</v>
      </c>
      <c r="BP41" s="10" t="e">
        <f t="shared" ca="1" si="11"/>
        <v>#DIV/0!</v>
      </c>
      <c r="BQ41" s="10" t="e">
        <f t="shared" ca="1" si="11"/>
        <v>#DIV/0!</v>
      </c>
      <c r="BR41" s="10" t="e">
        <f t="shared" ref="BR41" ca="1" si="12">($B$41*H.Ge+$C$41*H.Ga+$D$41*H.Se)*BR$40*$B$2/1000</f>
        <v>#DIV/0!</v>
      </c>
      <c r="BS41" s="99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3">E3</f>
        <v>0</v>
      </c>
      <c r="F45" s="3">
        <f t="shared" si="13"/>
        <v>0</v>
      </c>
      <c r="G45" s="3">
        <f t="shared" ref="G45:BR45" si="14">G3</f>
        <v>0</v>
      </c>
      <c r="H45" s="3">
        <f t="shared" si="14"/>
        <v>0</v>
      </c>
      <c r="I45" s="3">
        <f t="shared" si="14"/>
        <v>0</v>
      </c>
      <c r="J45" s="3">
        <f t="shared" si="14"/>
        <v>0</v>
      </c>
      <c r="K45" s="3">
        <f t="shared" si="14"/>
        <v>0</v>
      </c>
      <c r="L45" s="3">
        <f t="shared" si="14"/>
        <v>0</v>
      </c>
      <c r="M45" s="3">
        <f t="shared" si="14"/>
        <v>0</v>
      </c>
      <c r="N45" s="3">
        <f t="shared" si="14"/>
        <v>0</v>
      </c>
      <c r="O45" s="3">
        <f t="shared" si="14"/>
        <v>0</v>
      </c>
      <c r="P45" s="3">
        <f t="shared" si="14"/>
        <v>0</v>
      </c>
      <c r="Q45" s="3">
        <f t="shared" si="14"/>
        <v>0</v>
      </c>
      <c r="R45" s="3">
        <f t="shared" si="14"/>
        <v>0</v>
      </c>
      <c r="S45" s="3">
        <f t="shared" si="14"/>
        <v>0</v>
      </c>
      <c r="T45" s="3">
        <f t="shared" si="14"/>
        <v>0</v>
      </c>
      <c r="U45" s="3">
        <f t="shared" si="14"/>
        <v>0</v>
      </c>
      <c r="V45" s="3">
        <f t="shared" si="14"/>
        <v>0</v>
      </c>
      <c r="W45" s="3">
        <f t="shared" si="14"/>
        <v>0</v>
      </c>
      <c r="X45" s="3">
        <f t="shared" si="14"/>
        <v>0</v>
      </c>
      <c r="Y45" s="3">
        <f t="shared" si="14"/>
        <v>0</v>
      </c>
      <c r="Z45" s="3">
        <f t="shared" si="14"/>
        <v>0</v>
      </c>
      <c r="AA45" s="3">
        <f t="shared" si="14"/>
        <v>0</v>
      </c>
      <c r="AB45" s="3">
        <f t="shared" si="14"/>
        <v>0</v>
      </c>
      <c r="AC45" s="3">
        <f t="shared" si="14"/>
        <v>0</v>
      </c>
      <c r="AD45" s="3">
        <f t="shared" si="14"/>
        <v>0</v>
      </c>
      <c r="AE45" s="3">
        <f t="shared" si="14"/>
        <v>0</v>
      </c>
      <c r="AF45" s="3">
        <f t="shared" si="14"/>
        <v>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8"/>
    </row>
    <row r="46" spans="1:87" ht="21" customHeight="1" outlineLevel="1" thickTop="1" thickBot="1" x14ac:dyDescent="0.4">
      <c r="A46" s="5">
        <f t="shared" ref="A46:E55" si="15">A4</f>
        <v>0</v>
      </c>
      <c r="B46" s="5">
        <f t="shared" si="15"/>
        <v>0</v>
      </c>
      <c r="C46" s="5">
        <f t="shared" si="15"/>
        <v>0</v>
      </c>
      <c r="D46" s="5">
        <f t="shared" si="15"/>
        <v>0</v>
      </c>
      <c r="E46" s="6">
        <f t="shared" si="15"/>
        <v>0</v>
      </c>
      <c r="F46" s="14" t="e">
        <f t="shared" ref="F46:U55" ca="1" si="16">$A46*H.Ar + $B46*H.Se + $C46*H.Ge + $D46*H.Ga</f>
        <v>#N/A</v>
      </c>
      <c r="G46" s="14" t="e">
        <f t="shared" ca="1" si="16"/>
        <v>#N/A</v>
      </c>
      <c r="H46" s="14" t="e">
        <f t="shared" ca="1" si="16"/>
        <v>#N/A</v>
      </c>
      <c r="I46" s="14" t="e">
        <f t="shared" ca="1" si="16"/>
        <v>#N/A</v>
      </c>
      <c r="J46" s="14" t="e">
        <f t="shared" ca="1" si="16"/>
        <v>#N/A</v>
      </c>
      <c r="K46" s="14" t="e">
        <f t="shared" ca="1" si="16"/>
        <v>#N/A</v>
      </c>
      <c r="L46" s="14" t="e">
        <f t="shared" ca="1" si="16"/>
        <v>#N/A</v>
      </c>
      <c r="M46" s="14" t="e">
        <f t="shared" ca="1" si="16"/>
        <v>#N/A</v>
      </c>
      <c r="N46" s="14" t="e">
        <f t="shared" ca="1" si="16"/>
        <v>#N/A</v>
      </c>
      <c r="O46" s="14" t="e">
        <f t="shared" ca="1" si="16"/>
        <v>#N/A</v>
      </c>
      <c r="P46" s="14" t="e">
        <f t="shared" ca="1" si="16"/>
        <v>#N/A</v>
      </c>
      <c r="Q46" s="14" t="e">
        <f t="shared" ca="1" si="16"/>
        <v>#N/A</v>
      </c>
      <c r="R46" s="14" t="e">
        <f t="shared" ca="1" si="16"/>
        <v>#N/A</v>
      </c>
      <c r="S46" s="14" t="e">
        <f t="shared" ca="1" si="16"/>
        <v>#N/A</v>
      </c>
      <c r="T46" s="14" t="e">
        <f t="shared" ca="1" si="16"/>
        <v>#N/A</v>
      </c>
      <c r="U46" s="14" t="e">
        <f t="shared" ca="1" si="16"/>
        <v>#N/A</v>
      </c>
      <c r="V46" s="14" t="e">
        <f t="shared" ref="G46:BR50" ca="1" si="17">$A46*H.Ar + $B46*H.Se + $C46*H.Ge + $D46*H.Ga</f>
        <v>#N/A</v>
      </c>
      <c r="W46" s="14" t="e">
        <f t="shared" ca="1" si="17"/>
        <v>#N/A</v>
      </c>
      <c r="X46" s="14" t="e">
        <f t="shared" ca="1" si="17"/>
        <v>#N/A</v>
      </c>
      <c r="Y46" s="14" t="e">
        <f t="shared" ca="1" si="17"/>
        <v>#N/A</v>
      </c>
      <c r="Z46" s="14" t="e">
        <f t="shared" ca="1" si="17"/>
        <v>#N/A</v>
      </c>
      <c r="AA46" s="14" t="e">
        <f t="shared" ca="1" si="17"/>
        <v>#N/A</v>
      </c>
      <c r="AB46" s="14" t="e">
        <f t="shared" ca="1" si="17"/>
        <v>#N/A</v>
      </c>
      <c r="AC46" s="14" t="e">
        <f t="shared" ca="1" si="17"/>
        <v>#N/A</v>
      </c>
      <c r="AD46" s="14" t="e">
        <f t="shared" ca="1" si="17"/>
        <v>#N/A</v>
      </c>
      <c r="AE46" s="14" t="e">
        <f t="shared" ca="1" si="17"/>
        <v>#N/A</v>
      </c>
      <c r="AF46" s="14" t="e">
        <f t="shared" ca="1" si="17"/>
        <v>#N/A</v>
      </c>
      <c r="AG46" s="14" t="e">
        <f t="shared" ca="1" si="17"/>
        <v>#N/A</v>
      </c>
      <c r="AH46" s="14" t="e">
        <f t="shared" ca="1" si="17"/>
        <v>#N/A</v>
      </c>
      <c r="AI46" s="14" t="e">
        <f t="shared" ca="1" si="17"/>
        <v>#N/A</v>
      </c>
      <c r="AJ46" s="14" t="e">
        <f t="shared" ca="1" si="17"/>
        <v>#N/A</v>
      </c>
      <c r="AK46" s="14" t="e">
        <f t="shared" ca="1" si="17"/>
        <v>#N/A</v>
      </c>
      <c r="AL46" s="14" t="e">
        <f t="shared" ca="1" si="17"/>
        <v>#N/A</v>
      </c>
      <c r="AM46" s="14" t="e">
        <f t="shared" ca="1" si="17"/>
        <v>#N/A</v>
      </c>
      <c r="AN46" s="14" t="e">
        <f t="shared" ca="1" si="17"/>
        <v>#N/A</v>
      </c>
      <c r="AO46" s="14" t="e">
        <f t="shared" ca="1" si="17"/>
        <v>#N/A</v>
      </c>
      <c r="AP46" s="14" t="e">
        <f t="shared" ca="1" si="17"/>
        <v>#N/A</v>
      </c>
      <c r="AQ46" s="14" t="e">
        <f t="shared" ca="1" si="17"/>
        <v>#N/A</v>
      </c>
      <c r="AR46" s="14" t="e">
        <f t="shared" ca="1" si="17"/>
        <v>#N/A</v>
      </c>
      <c r="AS46" s="14" t="e">
        <f t="shared" ca="1" si="17"/>
        <v>#N/A</v>
      </c>
      <c r="AT46" s="14" t="e">
        <f t="shared" ca="1" si="17"/>
        <v>#N/A</v>
      </c>
      <c r="AU46" s="14" t="e">
        <f t="shared" ca="1" si="17"/>
        <v>#N/A</v>
      </c>
      <c r="AV46" s="14" t="e">
        <f t="shared" ca="1" si="17"/>
        <v>#N/A</v>
      </c>
      <c r="AW46" s="14" t="e">
        <f t="shared" ca="1" si="17"/>
        <v>#N/A</v>
      </c>
      <c r="AX46" s="14" t="e">
        <f t="shared" ca="1" si="17"/>
        <v>#N/A</v>
      </c>
      <c r="AY46" s="14" t="e">
        <f t="shared" ca="1" si="17"/>
        <v>#N/A</v>
      </c>
      <c r="AZ46" s="14" t="e">
        <f t="shared" ca="1" si="17"/>
        <v>#N/A</v>
      </c>
      <c r="BA46" s="14" t="e">
        <f t="shared" ca="1" si="17"/>
        <v>#N/A</v>
      </c>
      <c r="BB46" s="14" t="e">
        <f t="shared" ca="1" si="17"/>
        <v>#N/A</v>
      </c>
      <c r="BC46" s="14" t="e">
        <f t="shared" ca="1" si="17"/>
        <v>#N/A</v>
      </c>
      <c r="BD46" s="14" t="e">
        <f t="shared" ca="1" si="17"/>
        <v>#N/A</v>
      </c>
      <c r="BE46" s="14" t="e">
        <f t="shared" ca="1" si="17"/>
        <v>#N/A</v>
      </c>
      <c r="BF46" s="14" t="e">
        <f t="shared" ca="1" si="17"/>
        <v>#N/A</v>
      </c>
      <c r="BG46" s="14" t="e">
        <f t="shared" ca="1" si="17"/>
        <v>#N/A</v>
      </c>
      <c r="BH46" s="14" t="e">
        <f t="shared" ca="1" si="17"/>
        <v>#N/A</v>
      </c>
      <c r="BI46" s="14" t="e">
        <f t="shared" ca="1" si="17"/>
        <v>#N/A</v>
      </c>
      <c r="BJ46" s="14" t="e">
        <f t="shared" ca="1" si="17"/>
        <v>#N/A</v>
      </c>
      <c r="BK46" s="14" t="e">
        <f t="shared" ca="1" si="17"/>
        <v>#N/A</v>
      </c>
      <c r="BL46" s="14" t="e">
        <f t="shared" ca="1" si="17"/>
        <v>#N/A</v>
      </c>
      <c r="BM46" s="14" t="e">
        <f t="shared" ca="1" si="17"/>
        <v>#N/A</v>
      </c>
      <c r="BN46" s="14" t="e">
        <f t="shared" ca="1" si="17"/>
        <v>#N/A</v>
      </c>
      <c r="BO46" s="14" t="e">
        <f t="shared" ca="1" si="17"/>
        <v>#N/A</v>
      </c>
      <c r="BP46" s="14" t="e">
        <f t="shared" ca="1" si="17"/>
        <v>#N/A</v>
      </c>
      <c r="BQ46" s="14" t="e">
        <f t="shared" ca="1" si="17"/>
        <v>#N/A</v>
      </c>
      <c r="BR46" s="14" t="e">
        <f t="shared" ca="1" si="17"/>
        <v>#N/A</v>
      </c>
      <c r="BS46" s="98"/>
    </row>
    <row r="47" spans="1:87" ht="21" customHeight="1" outlineLevel="1" thickBot="1" x14ac:dyDescent="0.4">
      <c r="A47" s="5">
        <f t="shared" si="15"/>
        <v>0</v>
      </c>
      <c r="B47" s="5">
        <f t="shared" si="15"/>
        <v>0</v>
      </c>
      <c r="C47" s="5">
        <f t="shared" si="15"/>
        <v>0</v>
      </c>
      <c r="D47" s="5">
        <f t="shared" si="15"/>
        <v>0</v>
      </c>
      <c r="E47" s="6">
        <f t="shared" si="15"/>
        <v>0</v>
      </c>
      <c r="F47" s="14" t="e">
        <f t="shared" ca="1" si="16"/>
        <v>#N/A</v>
      </c>
      <c r="G47" s="14" t="e">
        <f t="shared" ca="1" si="17"/>
        <v>#N/A</v>
      </c>
      <c r="H47" s="14" t="e">
        <f t="shared" ca="1" si="17"/>
        <v>#N/A</v>
      </c>
      <c r="I47" s="14" t="e">
        <f t="shared" ca="1" si="17"/>
        <v>#N/A</v>
      </c>
      <c r="J47" s="14" t="e">
        <f t="shared" ca="1" si="17"/>
        <v>#N/A</v>
      </c>
      <c r="K47" s="14" t="e">
        <f t="shared" ca="1" si="17"/>
        <v>#N/A</v>
      </c>
      <c r="L47" s="14" t="e">
        <f t="shared" ca="1" si="17"/>
        <v>#N/A</v>
      </c>
      <c r="M47" s="14" t="e">
        <f t="shared" ca="1" si="17"/>
        <v>#N/A</v>
      </c>
      <c r="N47" s="14" t="e">
        <f t="shared" ca="1" si="17"/>
        <v>#N/A</v>
      </c>
      <c r="O47" s="14" t="e">
        <f t="shared" ca="1" si="17"/>
        <v>#N/A</v>
      </c>
      <c r="P47" s="14" t="e">
        <f t="shared" ca="1" si="17"/>
        <v>#N/A</v>
      </c>
      <c r="Q47" s="14" t="e">
        <f t="shared" ca="1" si="17"/>
        <v>#N/A</v>
      </c>
      <c r="R47" s="14" t="e">
        <f t="shared" ca="1" si="17"/>
        <v>#N/A</v>
      </c>
      <c r="S47" s="14" t="e">
        <f t="shared" ca="1" si="17"/>
        <v>#N/A</v>
      </c>
      <c r="T47" s="14" t="e">
        <f t="shared" ca="1" si="17"/>
        <v>#N/A</v>
      </c>
      <c r="U47" s="14" t="e">
        <f t="shared" ca="1" si="17"/>
        <v>#N/A</v>
      </c>
      <c r="V47" s="14" t="e">
        <f t="shared" ca="1" si="17"/>
        <v>#N/A</v>
      </c>
      <c r="W47" s="14" t="e">
        <f t="shared" ca="1" si="17"/>
        <v>#N/A</v>
      </c>
      <c r="X47" s="14" t="e">
        <f t="shared" ca="1" si="17"/>
        <v>#N/A</v>
      </c>
      <c r="Y47" s="14" t="e">
        <f t="shared" ca="1" si="17"/>
        <v>#N/A</v>
      </c>
      <c r="Z47" s="14" t="e">
        <f t="shared" ca="1" si="17"/>
        <v>#N/A</v>
      </c>
      <c r="AA47" s="14" t="e">
        <f t="shared" ca="1" si="17"/>
        <v>#N/A</v>
      </c>
      <c r="AB47" s="14" t="e">
        <f t="shared" ca="1" si="17"/>
        <v>#N/A</v>
      </c>
      <c r="AC47" s="14" t="e">
        <f t="shared" ca="1" si="17"/>
        <v>#N/A</v>
      </c>
      <c r="AD47" s="14" t="e">
        <f t="shared" ca="1" si="17"/>
        <v>#N/A</v>
      </c>
      <c r="AE47" s="14" t="e">
        <f t="shared" ca="1" si="17"/>
        <v>#N/A</v>
      </c>
      <c r="AF47" s="14" t="e">
        <f t="shared" ca="1" si="17"/>
        <v>#N/A</v>
      </c>
      <c r="AG47" s="14" t="e">
        <f t="shared" ca="1" si="17"/>
        <v>#N/A</v>
      </c>
      <c r="AH47" s="14" t="e">
        <f t="shared" ca="1" si="17"/>
        <v>#N/A</v>
      </c>
      <c r="AI47" s="14" t="e">
        <f t="shared" ca="1" si="17"/>
        <v>#N/A</v>
      </c>
      <c r="AJ47" s="14" t="e">
        <f t="shared" ca="1" si="17"/>
        <v>#N/A</v>
      </c>
      <c r="AK47" s="14" t="e">
        <f t="shared" ca="1" si="17"/>
        <v>#N/A</v>
      </c>
      <c r="AL47" s="14" t="e">
        <f t="shared" ca="1" si="17"/>
        <v>#N/A</v>
      </c>
      <c r="AM47" s="14" t="e">
        <f t="shared" ca="1" si="17"/>
        <v>#N/A</v>
      </c>
      <c r="AN47" s="14" t="e">
        <f t="shared" ca="1" si="17"/>
        <v>#N/A</v>
      </c>
      <c r="AO47" s="14" t="e">
        <f t="shared" ca="1" si="17"/>
        <v>#N/A</v>
      </c>
      <c r="AP47" s="14" t="e">
        <f t="shared" ca="1" si="17"/>
        <v>#N/A</v>
      </c>
      <c r="AQ47" s="14" t="e">
        <f t="shared" ca="1" si="17"/>
        <v>#N/A</v>
      </c>
      <c r="AR47" s="14" t="e">
        <f t="shared" ca="1" si="17"/>
        <v>#N/A</v>
      </c>
      <c r="AS47" s="14" t="e">
        <f t="shared" ca="1" si="17"/>
        <v>#N/A</v>
      </c>
      <c r="AT47" s="14" t="e">
        <f t="shared" ca="1" si="17"/>
        <v>#N/A</v>
      </c>
      <c r="AU47" s="14" t="e">
        <f t="shared" ca="1" si="17"/>
        <v>#N/A</v>
      </c>
      <c r="AV47" s="14" t="e">
        <f t="shared" ca="1" si="17"/>
        <v>#N/A</v>
      </c>
      <c r="AW47" s="14" t="e">
        <f t="shared" ca="1" si="17"/>
        <v>#N/A</v>
      </c>
      <c r="AX47" s="14" t="e">
        <f t="shared" ca="1" si="17"/>
        <v>#N/A</v>
      </c>
      <c r="AY47" s="14" t="e">
        <f t="shared" ca="1" si="17"/>
        <v>#N/A</v>
      </c>
      <c r="AZ47" s="14" t="e">
        <f t="shared" ca="1" si="17"/>
        <v>#N/A</v>
      </c>
      <c r="BA47" s="14" t="e">
        <f t="shared" ca="1" si="17"/>
        <v>#N/A</v>
      </c>
      <c r="BB47" s="14" t="e">
        <f t="shared" ca="1" si="17"/>
        <v>#N/A</v>
      </c>
      <c r="BC47" s="14" t="e">
        <f t="shared" ca="1" si="17"/>
        <v>#N/A</v>
      </c>
      <c r="BD47" s="14" t="e">
        <f t="shared" ca="1" si="17"/>
        <v>#N/A</v>
      </c>
      <c r="BE47" s="14" t="e">
        <f t="shared" ca="1" si="17"/>
        <v>#N/A</v>
      </c>
      <c r="BF47" s="14" t="e">
        <f t="shared" ca="1" si="17"/>
        <v>#N/A</v>
      </c>
      <c r="BG47" s="14" t="e">
        <f t="shared" ca="1" si="17"/>
        <v>#N/A</v>
      </c>
      <c r="BH47" s="14" t="e">
        <f t="shared" ca="1" si="17"/>
        <v>#N/A</v>
      </c>
      <c r="BI47" s="14" t="e">
        <f t="shared" ca="1" si="17"/>
        <v>#N/A</v>
      </c>
      <c r="BJ47" s="14" t="e">
        <f t="shared" ca="1" si="17"/>
        <v>#N/A</v>
      </c>
      <c r="BK47" s="14" t="e">
        <f t="shared" ca="1" si="17"/>
        <v>#N/A</v>
      </c>
      <c r="BL47" s="14" t="e">
        <f t="shared" ca="1" si="17"/>
        <v>#N/A</v>
      </c>
      <c r="BM47" s="14" t="e">
        <f t="shared" ca="1" si="17"/>
        <v>#N/A</v>
      </c>
      <c r="BN47" s="14" t="e">
        <f t="shared" ca="1" si="17"/>
        <v>#N/A</v>
      </c>
      <c r="BO47" s="14" t="e">
        <f t="shared" ca="1" si="17"/>
        <v>#N/A</v>
      </c>
      <c r="BP47" s="14" t="e">
        <f t="shared" ca="1" si="17"/>
        <v>#N/A</v>
      </c>
      <c r="BQ47" s="14" t="e">
        <f t="shared" ca="1" si="17"/>
        <v>#N/A</v>
      </c>
      <c r="BR47" s="14" t="e">
        <f t="shared" ca="1" si="17"/>
        <v>#N/A</v>
      </c>
      <c r="BS47" s="98"/>
    </row>
    <row r="48" spans="1:87" ht="21" customHeight="1" outlineLevel="1" thickBot="1" x14ac:dyDescent="0.4">
      <c r="A48" s="5">
        <f t="shared" si="15"/>
        <v>0</v>
      </c>
      <c r="B48" s="5">
        <f t="shared" si="15"/>
        <v>0</v>
      </c>
      <c r="C48" s="5">
        <f t="shared" si="15"/>
        <v>0</v>
      </c>
      <c r="D48" s="5">
        <f t="shared" si="15"/>
        <v>0</v>
      </c>
      <c r="E48" s="6">
        <f t="shared" si="15"/>
        <v>0</v>
      </c>
      <c r="F48" s="14" t="e">
        <f t="shared" ca="1" si="16"/>
        <v>#N/A</v>
      </c>
      <c r="G48" s="14" t="e">
        <f t="shared" ca="1" si="17"/>
        <v>#N/A</v>
      </c>
      <c r="H48" s="14" t="e">
        <f t="shared" ca="1" si="17"/>
        <v>#N/A</v>
      </c>
      <c r="I48" s="14" t="e">
        <f t="shared" ca="1" si="17"/>
        <v>#N/A</v>
      </c>
      <c r="J48" s="14" t="e">
        <f t="shared" ca="1" si="17"/>
        <v>#N/A</v>
      </c>
      <c r="K48" s="14" t="e">
        <f t="shared" ca="1" si="17"/>
        <v>#N/A</v>
      </c>
      <c r="L48" s="14" t="e">
        <f t="shared" ca="1" si="17"/>
        <v>#N/A</v>
      </c>
      <c r="M48" s="14" t="e">
        <f t="shared" ca="1" si="17"/>
        <v>#N/A</v>
      </c>
      <c r="N48" s="14" t="e">
        <f t="shared" ca="1" si="17"/>
        <v>#N/A</v>
      </c>
      <c r="O48" s="14" t="e">
        <f t="shared" ca="1" si="17"/>
        <v>#N/A</v>
      </c>
      <c r="P48" s="14" t="e">
        <f t="shared" ca="1" si="17"/>
        <v>#N/A</v>
      </c>
      <c r="Q48" s="14" t="e">
        <f t="shared" ca="1" si="17"/>
        <v>#N/A</v>
      </c>
      <c r="R48" s="14" t="e">
        <f t="shared" ca="1" si="17"/>
        <v>#N/A</v>
      </c>
      <c r="S48" s="14" t="e">
        <f t="shared" ca="1" si="17"/>
        <v>#N/A</v>
      </c>
      <c r="T48" s="14" t="e">
        <f t="shared" ca="1" si="17"/>
        <v>#N/A</v>
      </c>
      <c r="U48" s="14" t="e">
        <f t="shared" ca="1" si="17"/>
        <v>#N/A</v>
      </c>
      <c r="V48" s="14" t="e">
        <f t="shared" ca="1" si="17"/>
        <v>#N/A</v>
      </c>
      <c r="W48" s="14" t="e">
        <f t="shared" ca="1" si="17"/>
        <v>#N/A</v>
      </c>
      <c r="X48" s="14" t="e">
        <f t="shared" ca="1" si="17"/>
        <v>#N/A</v>
      </c>
      <c r="Y48" s="14" t="e">
        <f t="shared" ca="1" si="17"/>
        <v>#N/A</v>
      </c>
      <c r="Z48" s="14" t="e">
        <f t="shared" ca="1" si="17"/>
        <v>#N/A</v>
      </c>
      <c r="AA48" s="14" t="e">
        <f t="shared" ca="1" si="17"/>
        <v>#N/A</v>
      </c>
      <c r="AB48" s="14" t="e">
        <f t="shared" ca="1" si="17"/>
        <v>#N/A</v>
      </c>
      <c r="AC48" s="14" t="e">
        <f t="shared" ca="1" si="17"/>
        <v>#N/A</v>
      </c>
      <c r="AD48" s="14" t="e">
        <f t="shared" ca="1" si="17"/>
        <v>#N/A</v>
      </c>
      <c r="AE48" s="14" t="e">
        <f t="shared" ca="1" si="17"/>
        <v>#N/A</v>
      </c>
      <c r="AF48" s="14" t="e">
        <f t="shared" ca="1" si="17"/>
        <v>#N/A</v>
      </c>
      <c r="AG48" s="14" t="e">
        <f t="shared" ca="1" si="17"/>
        <v>#N/A</v>
      </c>
      <c r="AH48" s="14" t="e">
        <f t="shared" ca="1" si="17"/>
        <v>#N/A</v>
      </c>
      <c r="AI48" s="14" t="e">
        <f t="shared" ca="1" si="17"/>
        <v>#N/A</v>
      </c>
      <c r="AJ48" s="14" t="e">
        <f t="shared" ca="1" si="17"/>
        <v>#N/A</v>
      </c>
      <c r="AK48" s="14" t="e">
        <f t="shared" ca="1" si="17"/>
        <v>#N/A</v>
      </c>
      <c r="AL48" s="14" t="e">
        <f t="shared" ca="1" si="17"/>
        <v>#N/A</v>
      </c>
      <c r="AM48" s="14" t="e">
        <f t="shared" ca="1" si="17"/>
        <v>#N/A</v>
      </c>
      <c r="AN48" s="14" t="e">
        <f t="shared" ca="1" si="17"/>
        <v>#N/A</v>
      </c>
      <c r="AO48" s="14" t="e">
        <f t="shared" ca="1" si="17"/>
        <v>#N/A</v>
      </c>
      <c r="AP48" s="14" t="e">
        <f t="shared" ca="1" si="17"/>
        <v>#N/A</v>
      </c>
      <c r="AQ48" s="14" t="e">
        <f t="shared" ca="1" si="17"/>
        <v>#N/A</v>
      </c>
      <c r="AR48" s="14" t="e">
        <f t="shared" ca="1" si="17"/>
        <v>#N/A</v>
      </c>
      <c r="AS48" s="14" t="e">
        <f t="shared" ca="1" si="17"/>
        <v>#N/A</v>
      </c>
      <c r="AT48" s="14" t="e">
        <f t="shared" ca="1" si="17"/>
        <v>#N/A</v>
      </c>
      <c r="AU48" s="14" t="e">
        <f t="shared" ca="1" si="17"/>
        <v>#N/A</v>
      </c>
      <c r="AV48" s="14" t="e">
        <f t="shared" ca="1" si="17"/>
        <v>#N/A</v>
      </c>
      <c r="AW48" s="14" t="e">
        <f t="shared" ca="1" si="17"/>
        <v>#N/A</v>
      </c>
      <c r="AX48" s="14" t="e">
        <f t="shared" ca="1" si="17"/>
        <v>#N/A</v>
      </c>
      <c r="AY48" s="14" t="e">
        <f t="shared" ca="1" si="17"/>
        <v>#N/A</v>
      </c>
      <c r="AZ48" s="14" t="e">
        <f t="shared" ca="1" si="17"/>
        <v>#N/A</v>
      </c>
      <c r="BA48" s="14" t="e">
        <f t="shared" ca="1" si="17"/>
        <v>#N/A</v>
      </c>
      <c r="BB48" s="14" t="e">
        <f t="shared" ca="1" si="17"/>
        <v>#N/A</v>
      </c>
      <c r="BC48" s="14" t="e">
        <f t="shared" ca="1" si="17"/>
        <v>#N/A</v>
      </c>
      <c r="BD48" s="14" t="e">
        <f t="shared" ca="1" si="17"/>
        <v>#N/A</v>
      </c>
      <c r="BE48" s="14" t="e">
        <f t="shared" ca="1" si="17"/>
        <v>#N/A</v>
      </c>
      <c r="BF48" s="14" t="e">
        <f t="shared" ca="1" si="17"/>
        <v>#N/A</v>
      </c>
      <c r="BG48" s="14" t="e">
        <f t="shared" ca="1" si="17"/>
        <v>#N/A</v>
      </c>
      <c r="BH48" s="14" t="e">
        <f t="shared" ca="1" si="17"/>
        <v>#N/A</v>
      </c>
      <c r="BI48" s="14" t="e">
        <f t="shared" ca="1" si="17"/>
        <v>#N/A</v>
      </c>
      <c r="BJ48" s="14" t="e">
        <f t="shared" ca="1" si="17"/>
        <v>#N/A</v>
      </c>
      <c r="BK48" s="14" t="e">
        <f t="shared" ca="1" si="17"/>
        <v>#N/A</v>
      </c>
      <c r="BL48" s="14" t="e">
        <f t="shared" ca="1" si="17"/>
        <v>#N/A</v>
      </c>
      <c r="BM48" s="14" t="e">
        <f t="shared" ca="1" si="17"/>
        <v>#N/A</v>
      </c>
      <c r="BN48" s="14" t="e">
        <f t="shared" ca="1" si="17"/>
        <v>#N/A</v>
      </c>
      <c r="BO48" s="14" t="e">
        <f t="shared" ca="1" si="17"/>
        <v>#N/A</v>
      </c>
      <c r="BP48" s="14" t="e">
        <f t="shared" ca="1" si="17"/>
        <v>#N/A</v>
      </c>
      <c r="BQ48" s="14" t="e">
        <f t="shared" ca="1" si="17"/>
        <v>#N/A</v>
      </c>
      <c r="BR48" s="14" t="e">
        <f t="shared" ca="1" si="17"/>
        <v>#N/A</v>
      </c>
      <c r="BS48" s="98"/>
    </row>
    <row r="49" spans="1:71" ht="21" customHeight="1" outlineLevel="1" thickBot="1" x14ac:dyDescent="0.4">
      <c r="A49" s="5">
        <f t="shared" si="15"/>
        <v>0</v>
      </c>
      <c r="B49" s="5">
        <f t="shared" si="15"/>
        <v>0</v>
      </c>
      <c r="C49" s="5">
        <f t="shared" si="15"/>
        <v>0</v>
      </c>
      <c r="D49" s="5">
        <f t="shared" si="15"/>
        <v>0</v>
      </c>
      <c r="E49" s="6">
        <f t="shared" si="15"/>
        <v>0</v>
      </c>
      <c r="F49" s="14" t="e">
        <f t="shared" ca="1" si="16"/>
        <v>#N/A</v>
      </c>
      <c r="G49" s="14" t="e">
        <f t="shared" ca="1" si="17"/>
        <v>#N/A</v>
      </c>
      <c r="H49" s="14" t="e">
        <f t="shared" ca="1" si="17"/>
        <v>#N/A</v>
      </c>
      <c r="I49" s="14" t="e">
        <f t="shared" ca="1" si="17"/>
        <v>#N/A</v>
      </c>
      <c r="J49" s="14" t="e">
        <f t="shared" ca="1" si="17"/>
        <v>#N/A</v>
      </c>
      <c r="K49" s="14" t="e">
        <f t="shared" ca="1" si="17"/>
        <v>#N/A</v>
      </c>
      <c r="L49" s="14" t="e">
        <f t="shared" ca="1" si="17"/>
        <v>#N/A</v>
      </c>
      <c r="M49" s="14" t="e">
        <f t="shared" ca="1" si="17"/>
        <v>#N/A</v>
      </c>
      <c r="N49" s="14" t="e">
        <f t="shared" ca="1" si="17"/>
        <v>#N/A</v>
      </c>
      <c r="O49" s="14" t="e">
        <f t="shared" ca="1" si="17"/>
        <v>#N/A</v>
      </c>
      <c r="P49" s="14" t="e">
        <f t="shared" ca="1" si="17"/>
        <v>#N/A</v>
      </c>
      <c r="Q49" s="14" t="e">
        <f t="shared" ca="1" si="17"/>
        <v>#N/A</v>
      </c>
      <c r="R49" s="14" t="e">
        <f t="shared" ca="1" si="17"/>
        <v>#N/A</v>
      </c>
      <c r="S49" s="14" t="e">
        <f t="shared" ca="1" si="17"/>
        <v>#N/A</v>
      </c>
      <c r="T49" s="14" t="e">
        <f t="shared" ca="1" si="17"/>
        <v>#N/A</v>
      </c>
      <c r="U49" s="14" t="e">
        <f t="shared" ca="1" si="17"/>
        <v>#N/A</v>
      </c>
      <c r="V49" s="14" t="e">
        <f t="shared" ca="1" si="17"/>
        <v>#N/A</v>
      </c>
      <c r="W49" s="14" t="e">
        <f t="shared" ca="1" si="17"/>
        <v>#N/A</v>
      </c>
      <c r="X49" s="14" t="e">
        <f t="shared" ca="1" si="17"/>
        <v>#N/A</v>
      </c>
      <c r="Y49" s="14" t="e">
        <f t="shared" ca="1" si="17"/>
        <v>#N/A</v>
      </c>
      <c r="Z49" s="14" t="e">
        <f t="shared" ca="1" si="17"/>
        <v>#N/A</v>
      </c>
      <c r="AA49" s="14" t="e">
        <f t="shared" ca="1" si="17"/>
        <v>#N/A</v>
      </c>
      <c r="AB49" s="14" t="e">
        <f t="shared" ca="1" si="17"/>
        <v>#N/A</v>
      </c>
      <c r="AC49" s="14" t="e">
        <f t="shared" ca="1" si="17"/>
        <v>#N/A</v>
      </c>
      <c r="AD49" s="14" t="e">
        <f t="shared" ca="1" si="17"/>
        <v>#N/A</v>
      </c>
      <c r="AE49" s="14" t="e">
        <f t="shared" ca="1" si="17"/>
        <v>#N/A</v>
      </c>
      <c r="AF49" s="14" t="e">
        <f t="shared" ca="1" si="17"/>
        <v>#N/A</v>
      </c>
      <c r="AG49" s="14" t="e">
        <f t="shared" ca="1" si="17"/>
        <v>#N/A</v>
      </c>
      <c r="AH49" s="14" t="e">
        <f t="shared" ca="1" si="17"/>
        <v>#N/A</v>
      </c>
      <c r="AI49" s="14" t="e">
        <f t="shared" ca="1" si="17"/>
        <v>#N/A</v>
      </c>
      <c r="AJ49" s="14" t="e">
        <f t="shared" ca="1" si="17"/>
        <v>#N/A</v>
      </c>
      <c r="AK49" s="14" t="e">
        <f t="shared" ca="1" si="17"/>
        <v>#N/A</v>
      </c>
      <c r="AL49" s="14" t="e">
        <f t="shared" ca="1" si="17"/>
        <v>#N/A</v>
      </c>
      <c r="AM49" s="14" t="e">
        <f t="shared" ca="1" si="17"/>
        <v>#N/A</v>
      </c>
      <c r="AN49" s="14" t="e">
        <f t="shared" ca="1" si="17"/>
        <v>#N/A</v>
      </c>
      <c r="AO49" s="14" t="e">
        <f t="shared" ca="1" si="17"/>
        <v>#N/A</v>
      </c>
      <c r="AP49" s="14" t="e">
        <f t="shared" ca="1" si="17"/>
        <v>#N/A</v>
      </c>
      <c r="AQ49" s="14" t="e">
        <f t="shared" ca="1" si="17"/>
        <v>#N/A</v>
      </c>
      <c r="AR49" s="14" t="e">
        <f t="shared" ca="1" si="17"/>
        <v>#N/A</v>
      </c>
      <c r="AS49" s="14" t="e">
        <f t="shared" ca="1" si="17"/>
        <v>#N/A</v>
      </c>
      <c r="AT49" s="14" t="e">
        <f t="shared" ca="1" si="17"/>
        <v>#N/A</v>
      </c>
      <c r="AU49" s="14" t="e">
        <f t="shared" ca="1" si="17"/>
        <v>#N/A</v>
      </c>
      <c r="AV49" s="14" t="e">
        <f t="shared" ca="1" si="17"/>
        <v>#N/A</v>
      </c>
      <c r="AW49" s="14" t="e">
        <f t="shared" ca="1" si="17"/>
        <v>#N/A</v>
      </c>
      <c r="AX49" s="14" t="e">
        <f t="shared" ca="1" si="17"/>
        <v>#N/A</v>
      </c>
      <c r="AY49" s="14" t="e">
        <f t="shared" ca="1" si="17"/>
        <v>#N/A</v>
      </c>
      <c r="AZ49" s="14" t="e">
        <f t="shared" ca="1" si="17"/>
        <v>#N/A</v>
      </c>
      <c r="BA49" s="14" t="e">
        <f t="shared" ca="1" si="17"/>
        <v>#N/A</v>
      </c>
      <c r="BB49" s="14" t="e">
        <f t="shared" ca="1" si="17"/>
        <v>#N/A</v>
      </c>
      <c r="BC49" s="14" t="e">
        <f t="shared" ca="1" si="17"/>
        <v>#N/A</v>
      </c>
      <c r="BD49" s="14" t="e">
        <f t="shared" ca="1" si="17"/>
        <v>#N/A</v>
      </c>
      <c r="BE49" s="14" t="e">
        <f t="shared" ca="1" si="17"/>
        <v>#N/A</v>
      </c>
      <c r="BF49" s="14" t="e">
        <f t="shared" ca="1" si="17"/>
        <v>#N/A</v>
      </c>
      <c r="BG49" s="14" t="e">
        <f t="shared" ca="1" si="17"/>
        <v>#N/A</v>
      </c>
      <c r="BH49" s="14" t="e">
        <f t="shared" ca="1" si="17"/>
        <v>#N/A</v>
      </c>
      <c r="BI49" s="14" t="e">
        <f t="shared" ca="1" si="17"/>
        <v>#N/A</v>
      </c>
      <c r="BJ49" s="14" t="e">
        <f t="shared" ca="1" si="17"/>
        <v>#N/A</v>
      </c>
      <c r="BK49" s="14" t="e">
        <f t="shared" ca="1" si="17"/>
        <v>#N/A</v>
      </c>
      <c r="BL49" s="14" t="e">
        <f t="shared" ca="1" si="17"/>
        <v>#N/A</v>
      </c>
      <c r="BM49" s="14" t="e">
        <f t="shared" ca="1" si="17"/>
        <v>#N/A</v>
      </c>
      <c r="BN49" s="14" t="e">
        <f t="shared" ca="1" si="17"/>
        <v>#N/A</v>
      </c>
      <c r="BO49" s="14" t="e">
        <f t="shared" ca="1" si="17"/>
        <v>#N/A</v>
      </c>
      <c r="BP49" s="14" t="e">
        <f t="shared" ca="1" si="17"/>
        <v>#N/A</v>
      </c>
      <c r="BQ49" s="14" t="e">
        <f t="shared" ca="1" si="17"/>
        <v>#N/A</v>
      </c>
      <c r="BR49" s="14" t="e">
        <f t="shared" ca="1" si="17"/>
        <v>#N/A</v>
      </c>
      <c r="BS49" s="98"/>
    </row>
    <row r="50" spans="1:71" ht="21" customHeight="1" outlineLevel="1" thickBot="1" x14ac:dyDescent="0.4">
      <c r="A50" s="5">
        <f t="shared" si="15"/>
        <v>0</v>
      </c>
      <c r="B50" s="5">
        <f t="shared" si="15"/>
        <v>0</v>
      </c>
      <c r="C50" s="5">
        <f t="shared" si="15"/>
        <v>0</v>
      </c>
      <c r="D50" s="5">
        <f t="shared" si="15"/>
        <v>0</v>
      </c>
      <c r="E50" s="6">
        <f t="shared" si="15"/>
        <v>0</v>
      </c>
      <c r="F50" s="14" t="e">
        <f t="shared" ca="1" si="16"/>
        <v>#N/A</v>
      </c>
      <c r="G50" s="14" t="e">
        <f t="shared" ca="1" si="17"/>
        <v>#N/A</v>
      </c>
      <c r="H50" s="14" t="e">
        <f t="shared" ca="1" si="17"/>
        <v>#N/A</v>
      </c>
      <c r="I50" s="14" t="e">
        <f t="shared" ca="1" si="17"/>
        <v>#N/A</v>
      </c>
      <c r="J50" s="14" t="e">
        <f t="shared" ca="1" si="17"/>
        <v>#N/A</v>
      </c>
      <c r="K50" s="14" t="e">
        <f t="shared" ca="1" si="17"/>
        <v>#N/A</v>
      </c>
      <c r="L50" s="14" t="e">
        <f t="shared" ca="1" si="17"/>
        <v>#N/A</v>
      </c>
      <c r="M50" s="14" t="e">
        <f t="shared" ca="1" si="17"/>
        <v>#N/A</v>
      </c>
      <c r="N50" s="14" t="e">
        <f t="shared" ca="1" si="17"/>
        <v>#N/A</v>
      </c>
      <c r="O50" s="14" t="e">
        <f t="shared" ca="1" si="17"/>
        <v>#N/A</v>
      </c>
      <c r="P50" s="14" t="e">
        <f t="shared" ca="1" si="17"/>
        <v>#N/A</v>
      </c>
      <c r="Q50" s="14" t="e">
        <f t="shared" ca="1" si="17"/>
        <v>#N/A</v>
      </c>
      <c r="R50" s="14" t="e">
        <f t="shared" ca="1" si="17"/>
        <v>#N/A</v>
      </c>
      <c r="S50" s="14" t="e">
        <f t="shared" ca="1" si="17"/>
        <v>#N/A</v>
      </c>
      <c r="T50" s="14" t="e">
        <f t="shared" ca="1" si="17"/>
        <v>#N/A</v>
      </c>
      <c r="U50" s="14" t="e">
        <f t="shared" ref="G50:BR54" ca="1" si="18">$A50*H.Ar + $B50*H.Se + $C50*H.Ge + $D50*H.Ga</f>
        <v>#N/A</v>
      </c>
      <c r="V50" s="14" t="e">
        <f t="shared" ca="1" si="18"/>
        <v>#N/A</v>
      </c>
      <c r="W50" s="14" t="e">
        <f t="shared" ca="1" si="18"/>
        <v>#N/A</v>
      </c>
      <c r="X50" s="14" t="e">
        <f t="shared" ca="1" si="18"/>
        <v>#N/A</v>
      </c>
      <c r="Y50" s="14" t="e">
        <f t="shared" ca="1" si="18"/>
        <v>#N/A</v>
      </c>
      <c r="Z50" s="14" t="e">
        <f t="shared" ca="1" si="18"/>
        <v>#N/A</v>
      </c>
      <c r="AA50" s="14" t="e">
        <f t="shared" ca="1" si="18"/>
        <v>#N/A</v>
      </c>
      <c r="AB50" s="14" t="e">
        <f t="shared" ca="1" si="18"/>
        <v>#N/A</v>
      </c>
      <c r="AC50" s="14" t="e">
        <f t="shared" ca="1" si="18"/>
        <v>#N/A</v>
      </c>
      <c r="AD50" s="14" t="e">
        <f t="shared" ca="1" si="18"/>
        <v>#N/A</v>
      </c>
      <c r="AE50" s="14" t="e">
        <f t="shared" ca="1" si="18"/>
        <v>#N/A</v>
      </c>
      <c r="AF50" s="14" t="e">
        <f t="shared" ca="1" si="18"/>
        <v>#N/A</v>
      </c>
      <c r="AG50" s="14" t="e">
        <f t="shared" ca="1" si="18"/>
        <v>#N/A</v>
      </c>
      <c r="AH50" s="14" t="e">
        <f t="shared" ca="1" si="18"/>
        <v>#N/A</v>
      </c>
      <c r="AI50" s="14" t="e">
        <f t="shared" ca="1" si="18"/>
        <v>#N/A</v>
      </c>
      <c r="AJ50" s="14" t="e">
        <f t="shared" ca="1" si="18"/>
        <v>#N/A</v>
      </c>
      <c r="AK50" s="14" t="e">
        <f t="shared" ca="1" si="18"/>
        <v>#N/A</v>
      </c>
      <c r="AL50" s="14" t="e">
        <f t="shared" ca="1" si="18"/>
        <v>#N/A</v>
      </c>
      <c r="AM50" s="14" t="e">
        <f t="shared" ca="1" si="18"/>
        <v>#N/A</v>
      </c>
      <c r="AN50" s="14" t="e">
        <f t="shared" ca="1" si="18"/>
        <v>#N/A</v>
      </c>
      <c r="AO50" s="14" t="e">
        <f t="shared" ca="1" si="18"/>
        <v>#N/A</v>
      </c>
      <c r="AP50" s="14" t="e">
        <f t="shared" ca="1" si="18"/>
        <v>#N/A</v>
      </c>
      <c r="AQ50" s="14" t="e">
        <f t="shared" ca="1" si="18"/>
        <v>#N/A</v>
      </c>
      <c r="AR50" s="14" t="e">
        <f t="shared" ca="1" si="18"/>
        <v>#N/A</v>
      </c>
      <c r="AS50" s="14" t="e">
        <f t="shared" ca="1" si="18"/>
        <v>#N/A</v>
      </c>
      <c r="AT50" s="14" t="e">
        <f t="shared" ca="1" si="18"/>
        <v>#N/A</v>
      </c>
      <c r="AU50" s="14" t="e">
        <f t="shared" ca="1" si="18"/>
        <v>#N/A</v>
      </c>
      <c r="AV50" s="14" t="e">
        <f t="shared" ca="1" si="18"/>
        <v>#N/A</v>
      </c>
      <c r="AW50" s="14" t="e">
        <f t="shared" ca="1" si="18"/>
        <v>#N/A</v>
      </c>
      <c r="AX50" s="14" t="e">
        <f t="shared" ca="1" si="18"/>
        <v>#N/A</v>
      </c>
      <c r="AY50" s="14" t="e">
        <f t="shared" ca="1" si="18"/>
        <v>#N/A</v>
      </c>
      <c r="AZ50" s="14" t="e">
        <f t="shared" ca="1" si="18"/>
        <v>#N/A</v>
      </c>
      <c r="BA50" s="14" t="e">
        <f t="shared" ca="1" si="18"/>
        <v>#N/A</v>
      </c>
      <c r="BB50" s="14" t="e">
        <f t="shared" ca="1" si="18"/>
        <v>#N/A</v>
      </c>
      <c r="BC50" s="14" t="e">
        <f t="shared" ca="1" si="18"/>
        <v>#N/A</v>
      </c>
      <c r="BD50" s="14" t="e">
        <f t="shared" ca="1" si="18"/>
        <v>#N/A</v>
      </c>
      <c r="BE50" s="14" t="e">
        <f t="shared" ca="1" si="18"/>
        <v>#N/A</v>
      </c>
      <c r="BF50" s="14" t="e">
        <f t="shared" ca="1" si="18"/>
        <v>#N/A</v>
      </c>
      <c r="BG50" s="14" t="e">
        <f t="shared" ca="1" si="18"/>
        <v>#N/A</v>
      </c>
      <c r="BH50" s="14" t="e">
        <f t="shared" ca="1" si="18"/>
        <v>#N/A</v>
      </c>
      <c r="BI50" s="14" t="e">
        <f t="shared" ca="1" si="18"/>
        <v>#N/A</v>
      </c>
      <c r="BJ50" s="14" t="e">
        <f t="shared" ca="1" si="18"/>
        <v>#N/A</v>
      </c>
      <c r="BK50" s="14" t="e">
        <f t="shared" ca="1" si="18"/>
        <v>#N/A</v>
      </c>
      <c r="BL50" s="14" t="e">
        <f t="shared" ca="1" si="18"/>
        <v>#N/A</v>
      </c>
      <c r="BM50" s="14" t="e">
        <f t="shared" ca="1" si="18"/>
        <v>#N/A</v>
      </c>
      <c r="BN50" s="14" t="e">
        <f t="shared" ca="1" si="18"/>
        <v>#N/A</v>
      </c>
      <c r="BO50" s="14" t="e">
        <f t="shared" ca="1" si="18"/>
        <v>#N/A</v>
      </c>
      <c r="BP50" s="14" t="e">
        <f t="shared" ca="1" si="18"/>
        <v>#N/A</v>
      </c>
      <c r="BQ50" s="14" t="e">
        <f t="shared" ca="1" si="18"/>
        <v>#N/A</v>
      </c>
      <c r="BR50" s="14" t="e">
        <f t="shared" ca="1" si="18"/>
        <v>#N/A</v>
      </c>
      <c r="BS50" s="98"/>
    </row>
    <row r="51" spans="1:71" ht="21" customHeight="1" outlineLevel="1" thickBot="1" x14ac:dyDescent="0.4">
      <c r="A51" s="5">
        <f t="shared" si="15"/>
        <v>0</v>
      </c>
      <c r="B51" s="5">
        <f t="shared" si="15"/>
        <v>0</v>
      </c>
      <c r="C51" s="5">
        <f t="shared" si="15"/>
        <v>0</v>
      </c>
      <c r="D51" s="5">
        <f t="shared" si="15"/>
        <v>0</v>
      </c>
      <c r="E51" s="6">
        <f t="shared" si="15"/>
        <v>0</v>
      </c>
      <c r="F51" s="14" t="e">
        <f t="shared" ca="1" si="16"/>
        <v>#N/A</v>
      </c>
      <c r="G51" s="14" t="e">
        <f t="shared" ca="1" si="18"/>
        <v>#N/A</v>
      </c>
      <c r="H51" s="14" t="e">
        <f t="shared" ca="1" si="18"/>
        <v>#N/A</v>
      </c>
      <c r="I51" s="14" t="e">
        <f t="shared" ca="1" si="18"/>
        <v>#N/A</v>
      </c>
      <c r="J51" s="14" t="e">
        <f t="shared" ca="1" si="18"/>
        <v>#N/A</v>
      </c>
      <c r="K51" s="14" t="e">
        <f t="shared" ca="1" si="18"/>
        <v>#N/A</v>
      </c>
      <c r="L51" s="14" t="e">
        <f t="shared" ca="1" si="18"/>
        <v>#N/A</v>
      </c>
      <c r="M51" s="14" t="e">
        <f t="shared" ca="1" si="18"/>
        <v>#N/A</v>
      </c>
      <c r="N51" s="14" t="e">
        <f t="shared" ca="1" si="18"/>
        <v>#N/A</v>
      </c>
      <c r="O51" s="14" t="e">
        <f t="shared" ca="1" si="18"/>
        <v>#N/A</v>
      </c>
      <c r="P51" s="14" t="e">
        <f t="shared" ca="1" si="18"/>
        <v>#N/A</v>
      </c>
      <c r="Q51" s="14" t="e">
        <f t="shared" ca="1" si="18"/>
        <v>#N/A</v>
      </c>
      <c r="R51" s="14" t="e">
        <f t="shared" ca="1" si="18"/>
        <v>#N/A</v>
      </c>
      <c r="S51" s="14" t="e">
        <f t="shared" ca="1" si="18"/>
        <v>#N/A</v>
      </c>
      <c r="T51" s="14" t="e">
        <f t="shared" ca="1" si="18"/>
        <v>#N/A</v>
      </c>
      <c r="U51" s="14" t="e">
        <f t="shared" ca="1" si="18"/>
        <v>#N/A</v>
      </c>
      <c r="V51" s="14" t="e">
        <f t="shared" ca="1" si="18"/>
        <v>#N/A</v>
      </c>
      <c r="W51" s="14" t="e">
        <f t="shared" ca="1" si="18"/>
        <v>#N/A</v>
      </c>
      <c r="X51" s="14" t="e">
        <f t="shared" ca="1" si="18"/>
        <v>#N/A</v>
      </c>
      <c r="Y51" s="14" t="e">
        <f t="shared" ca="1" si="18"/>
        <v>#N/A</v>
      </c>
      <c r="Z51" s="14" t="e">
        <f t="shared" ca="1" si="18"/>
        <v>#N/A</v>
      </c>
      <c r="AA51" s="14" t="e">
        <f t="shared" ca="1" si="18"/>
        <v>#N/A</v>
      </c>
      <c r="AB51" s="14" t="e">
        <f t="shared" ca="1" si="18"/>
        <v>#N/A</v>
      </c>
      <c r="AC51" s="14" t="e">
        <f t="shared" ca="1" si="18"/>
        <v>#N/A</v>
      </c>
      <c r="AD51" s="14" t="e">
        <f t="shared" ca="1" si="18"/>
        <v>#N/A</v>
      </c>
      <c r="AE51" s="14" t="e">
        <f t="shared" ca="1" si="18"/>
        <v>#N/A</v>
      </c>
      <c r="AF51" s="14" t="e">
        <f t="shared" ca="1" si="18"/>
        <v>#N/A</v>
      </c>
      <c r="AG51" s="14" t="e">
        <f t="shared" ca="1" si="18"/>
        <v>#N/A</v>
      </c>
      <c r="AH51" s="14" t="e">
        <f t="shared" ca="1" si="18"/>
        <v>#N/A</v>
      </c>
      <c r="AI51" s="14" t="e">
        <f t="shared" ca="1" si="18"/>
        <v>#N/A</v>
      </c>
      <c r="AJ51" s="14" t="e">
        <f t="shared" ca="1" si="18"/>
        <v>#N/A</v>
      </c>
      <c r="AK51" s="14" t="e">
        <f t="shared" ca="1" si="18"/>
        <v>#N/A</v>
      </c>
      <c r="AL51" s="14" t="e">
        <f t="shared" ca="1" si="18"/>
        <v>#N/A</v>
      </c>
      <c r="AM51" s="14" t="e">
        <f t="shared" ca="1" si="18"/>
        <v>#N/A</v>
      </c>
      <c r="AN51" s="14" t="e">
        <f t="shared" ca="1" si="18"/>
        <v>#N/A</v>
      </c>
      <c r="AO51" s="14" t="e">
        <f t="shared" ca="1" si="18"/>
        <v>#N/A</v>
      </c>
      <c r="AP51" s="14" t="e">
        <f t="shared" ca="1" si="18"/>
        <v>#N/A</v>
      </c>
      <c r="AQ51" s="14" t="e">
        <f t="shared" ca="1" si="18"/>
        <v>#N/A</v>
      </c>
      <c r="AR51" s="14" t="e">
        <f t="shared" ca="1" si="18"/>
        <v>#N/A</v>
      </c>
      <c r="AS51" s="14" t="e">
        <f t="shared" ca="1" si="18"/>
        <v>#N/A</v>
      </c>
      <c r="AT51" s="14" t="e">
        <f t="shared" ca="1" si="18"/>
        <v>#N/A</v>
      </c>
      <c r="AU51" s="14" t="e">
        <f t="shared" ca="1" si="18"/>
        <v>#N/A</v>
      </c>
      <c r="AV51" s="14" t="e">
        <f t="shared" ca="1" si="18"/>
        <v>#N/A</v>
      </c>
      <c r="AW51" s="14" t="e">
        <f t="shared" ca="1" si="18"/>
        <v>#N/A</v>
      </c>
      <c r="AX51" s="14" t="e">
        <f t="shared" ca="1" si="18"/>
        <v>#N/A</v>
      </c>
      <c r="AY51" s="14" t="e">
        <f t="shared" ca="1" si="18"/>
        <v>#N/A</v>
      </c>
      <c r="AZ51" s="14" t="e">
        <f t="shared" ca="1" si="18"/>
        <v>#N/A</v>
      </c>
      <c r="BA51" s="14" t="e">
        <f t="shared" ca="1" si="18"/>
        <v>#N/A</v>
      </c>
      <c r="BB51" s="14" t="e">
        <f t="shared" ca="1" si="18"/>
        <v>#N/A</v>
      </c>
      <c r="BC51" s="14" t="e">
        <f t="shared" ca="1" si="18"/>
        <v>#N/A</v>
      </c>
      <c r="BD51" s="14" t="e">
        <f t="shared" ca="1" si="18"/>
        <v>#N/A</v>
      </c>
      <c r="BE51" s="14" t="e">
        <f t="shared" ca="1" si="18"/>
        <v>#N/A</v>
      </c>
      <c r="BF51" s="14" t="e">
        <f t="shared" ca="1" si="18"/>
        <v>#N/A</v>
      </c>
      <c r="BG51" s="14" t="e">
        <f t="shared" ca="1" si="18"/>
        <v>#N/A</v>
      </c>
      <c r="BH51" s="14" t="e">
        <f t="shared" ca="1" si="18"/>
        <v>#N/A</v>
      </c>
      <c r="BI51" s="14" t="e">
        <f t="shared" ca="1" si="18"/>
        <v>#N/A</v>
      </c>
      <c r="BJ51" s="14" t="e">
        <f t="shared" ca="1" si="18"/>
        <v>#N/A</v>
      </c>
      <c r="BK51" s="14" t="e">
        <f t="shared" ca="1" si="18"/>
        <v>#N/A</v>
      </c>
      <c r="BL51" s="14" t="e">
        <f t="shared" ca="1" si="18"/>
        <v>#N/A</v>
      </c>
      <c r="BM51" s="14" t="e">
        <f t="shared" ca="1" si="18"/>
        <v>#N/A</v>
      </c>
      <c r="BN51" s="14" t="e">
        <f t="shared" ca="1" si="18"/>
        <v>#N/A</v>
      </c>
      <c r="BO51" s="14" t="e">
        <f t="shared" ca="1" si="18"/>
        <v>#N/A</v>
      </c>
      <c r="BP51" s="14" t="e">
        <f t="shared" ca="1" si="18"/>
        <v>#N/A</v>
      </c>
      <c r="BQ51" s="14" t="e">
        <f t="shared" ca="1" si="18"/>
        <v>#N/A</v>
      </c>
      <c r="BR51" s="14" t="e">
        <f t="shared" ca="1" si="18"/>
        <v>#N/A</v>
      </c>
      <c r="BS51" s="98"/>
    </row>
    <row r="52" spans="1:71" ht="21" customHeight="1" outlineLevel="1" thickBot="1" x14ac:dyDescent="0.4">
      <c r="A52" s="5">
        <f t="shared" si="15"/>
        <v>0</v>
      </c>
      <c r="B52" s="5">
        <f t="shared" si="15"/>
        <v>0</v>
      </c>
      <c r="C52" s="5">
        <f t="shared" si="15"/>
        <v>0</v>
      </c>
      <c r="D52" s="5">
        <f t="shared" si="15"/>
        <v>0</v>
      </c>
      <c r="E52" s="6">
        <f t="shared" si="15"/>
        <v>0</v>
      </c>
      <c r="F52" s="14" t="e">
        <f t="shared" ca="1" si="16"/>
        <v>#N/A</v>
      </c>
      <c r="G52" s="14" t="e">
        <f t="shared" ca="1" si="18"/>
        <v>#N/A</v>
      </c>
      <c r="H52" s="14" t="e">
        <f t="shared" ca="1" si="18"/>
        <v>#N/A</v>
      </c>
      <c r="I52" s="14" t="e">
        <f t="shared" ca="1" si="18"/>
        <v>#N/A</v>
      </c>
      <c r="J52" s="14" t="e">
        <f t="shared" ca="1" si="18"/>
        <v>#N/A</v>
      </c>
      <c r="K52" s="14" t="e">
        <f t="shared" ca="1" si="18"/>
        <v>#N/A</v>
      </c>
      <c r="L52" s="14" t="e">
        <f t="shared" ca="1" si="18"/>
        <v>#N/A</v>
      </c>
      <c r="M52" s="14" t="e">
        <f t="shared" ca="1" si="18"/>
        <v>#N/A</v>
      </c>
      <c r="N52" s="14" t="e">
        <f t="shared" ca="1" si="18"/>
        <v>#N/A</v>
      </c>
      <c r="O52" s="14" t="e">
        <f t="shared" ca="1" si="18"/>
        <v>#N/A</v>
      </c>
      <c r="P52" s="14" t="e">
        <f t="shared" ca="1" si="18"/>
        <v>#N/A</v>
      </c>
      <c r="Q52" s="14" t="e">
        <f t="shared" ca="1" si="18"/>
        <v>#N/A</v>
      </c>
      <c r="R52" s="14" t="e">
        <f t="shared" ca="1" si="18"/>
        <v>#N/A</v>
      </c>
      <c r="S52" s="14" t="e">
        <f t="shared" ca="1" si="18"/>
        <v>#N/A</v>
      </c>
      <c r="T52" s="14" t="e">
        <f t="shared" ca="1" si="18"/>
        <v>#N/A</v>
      </c>
      <c r="U52" s="14" t="e">
        <f t="shared" ca="1" si="18"/>
        <v>#N/A</v>
      </c>
      <c r="V52" s="14" t="e">
        <f t="shared" ca="1" si="18"/>
        <v>#N/A</v>
      </c>
      <c r="W52" s="14" t="e">
        <f t="shared" ca="1" si="18"/>
        <v>#N/A</v>
      </c>
      <c r="X52" s="14" t="e">
        <f t="shared" ca="1" si="18"/>
        <v>#N/A</v>
      </c>
      <c r="Y52" s="14" t="e">
        <f t="shared" ca="1" si="18"/>
        <v>#N/A</v>
      </c>
      <c r="Z52" s="14" t="e">
        <f t="shared" ca="1" si="18"/>
        <v>#N/A</v>
      </c>
      <c r="AA52" s="14" t="e">
        <f t="shared" ca="1" si="18"/>
        <v>#N/A</v>
      </c>
      <c r="AB52" s="14" t="e">
        <f t="shared" ca="1" si="18"/>
        <v>#N/A</v>
      </c>
      <c r="AC52" s="14" t="e">
        <f t="shared" ca="1" si="18"/>
        <v>#N/A</v>
      </c>
      <c r="AD52" s="14" t="e">
        <f t="shared" ca="1" si="18"/>
        <v>#N/A</v>
      </c>
      <c r="AE52" s="14" t="e">
        <f t="shared" ca="1" si="18"/>
        <v>#N/A</v>
      </c>
      <c r="AF52" s="14" t="e">
        <f t="shared" ca="1" si="18"/>
        <v>#N/A</v>
      </c>
      <c r="AG52" s="14" t="e">
        <f t="shared" ca="1" si="18"/>
        <v>#N/A</v>
      </c>
      <c r="AH52" s="14" t="e">
        <f t="shared" ca="1" si="18"/>
        <v>#N/A</v>
      </c>
      <c r="AI52" s="14" t="e">
        <f t="shared" ca="1" si="18"/>
        <v>#N/A</v>
      </c>
      <c r="AJ52" s="14" t="e">
        <f t="shared" ca="1" si="18"/>
        <v>#N/A</v>
      </c>
      <c r="AK52" s="14" t="e">
        <f t="shared" ca="1" si="18"/>
        <v>#N/A</v>
      </c>
      <c r="AL52" s="14" t="e">
        <f t="shared" ca="1" si="18"/>
        <v>#N/A</v>
      </c>
      <c r="AM52" s="14" t="e">
        <f t="shared" ca="1" si="18"/>
        <v>#N/A</v>
      </c>
      <c r="AN52" s="14" t="e">
        <f t="shared" ca="1" si="18"/>
        <v>#N/A</v>
      </c>
      <c r="AO52" s="14" t="e">
        <f t="shared" ca="1" si="18"/>
        <v>#N/A</v>
      </c>
      <c r="AP52" s="14" t="e">
        <f t="shared" ca="1" si="18"/>
        <v>#N/A</v>
      </c>
      <c r="AQ52" s="14" t="e">
        <f t="shared" ca="1" si="18"/>
        <v>#N/A</v>
      </c>
      <c r="AR52" s="14" t="e">
        <f t="shared" ca="1" si="18"/>
        <v>#N/A</v>
      </c>
      <c r="AS52" s="14" t="e">
        <f t="shared" ca="1" si="18"/>
        <v>#N/A</v>
      </c>
      <c r="AT52" s="14" t="e">
        <f t="shared" ca="1" si="18"/>
        <v>#N/A</v>
      </c>
      <c r="AU52" s="14" t="e">
        <f t="shared" ca="1" si="18"/>
        <v>#N/A</v>
      </c>
      <c r="AV52" s="14" t="e">
        <f t="shared" ca="1" si="18"/>
        <v>#N/A</v>
      </c>
      <c r="AW52" s="14" t="e">
        <f t="shared" ca="1" si="18"/>
        <v>#N/A</v>
      </c>
      <c r="AX52" s="14" t="e">
        <f t="shared" ca="1" si="18"/>
        <v>#N/A</v>
      </c>
      <c r="AY52" s="14" t="e">
        <f t="shared" ca="1" si="18"/>
        <v>#N/A</v>
      </c>
      <c r="AZ52" s="14" t="e">
        <f t="shared" ca="1" si="18"/>
        <v>#N/A</v>
      </c>
      <c r="BA52" s="14" t="e">
        <f t="shared" ca="1" si="18"/>
        <v>#N/A</v>
      </c>
      <c r="BB52" s="14" t="e">
        <f t="shared" ca="1" si="18"/>
        <v>#N/A</v>
      </c>
      <c r="BC52" s="14" t="e">
        <f t="shared" ca="1" si="18"/>
        <v>#N/A</v>
      </c>
      <c r="BD52" s="14" t="e">
        <f t="shared" ca="1" si="18"/>
        <v>#N/A</v>
      </c>
      <c r="BE52" s="14" t="e">
        <f t="shared" ca="1" si="18"/>
        <v>#N/A</v>
      </c>
      <c r="BF52" s="14" t="e">
        <f t="shared" ca="1" si="18"/>
        <v>#N/A</v>
      </c>
      <c r="BG52" s="14" t="e">
        <f t="shared" ca="1" si="18"/>
        <v>#N/A</v>
      </c>
      <c r="BH52" s="14" t="e">
        <f t="shared" ca="1" si="18"/>
        <v>#N/A</v>
      </c>
      <c r="BI52" s="14" t="e">
        <f t="shared" ca="1" si="18"/>
        <v>#N/A</v>
      </c>
      <c r="BJ52" s="14" t="e">
        <f t="shared" ca="1" si="18"/>
        <v>#N/A</v>
      </c>
      <c r="BK52" s="14" t="e">
        <f t="shared" ca="1" si="18"/>
        <v>#N/A</v>
      </c>
      <c r="BL52" s="14" t="e">
        <f t="shared" ca="1" si="18"/>
        <v>#N/A</v>
      </c>
      <c r="BM52" s="14" t="e">
        <f t="shared" ca="1" si="18"/>
        <v>#N/A</v>
      </c>
      <c r="BN52" s="14" t="e">
        <f t="shared" ca="1" si="18"/>
        <v>#N/A</v>
      </c>
      <c r="BO52" s="14" t="e">
        <f t="shared" ca="1" si="18"/>
        <v>#N/A</v>
      </c>
      <c r="BP52" s="14" t="e">
        <f t="shared" ca="1" si="18"/>
        <v>#N/A</v>
      </c>
      <c r="BQ52" s="14" t="e">
        <f t="shared" ca="1" si="18"/>
        <v>#N/A</v>
      </c>
      <c r="BR52" s="14" t="e">
        <f t="shared" ca="1" si="18"/>
        <v>#N/A</v>
      </c>
      <c r="BS52" s="98"/>
    </row>
    <row r="53" spans="1:71" ht="21" customHeight="1" outlineLevel="1" thickBot="1" x14ac:dyDescent="0.4">
      <c r="A53" s="5">
        <f t="shared" si="15"/>
        <v>0</v>
      </c>
      <c r="B53" s="5">
        <f t="shared" si="15"/>
        <v>0</v>
      </c>
      <c r="C53" s="5">
        <f t="shared" si="15"/>
        <v>0</v>
      </c>
      <c r="D53" s="5">
        <f t="shared" si="15"/>
        <v>0</v>
      </c>
      <c r="E53" s="6">
        <f t="shared" si="15"/>
        <v>0</v>
      </c>
      <c r="F53" s="14" t="e">
        <f t="shared" ca="1" si="16"/>
        <v>#N/A</v>
      </c>
      <c r="G53" s="14" t="e">
        <f t="shared" ca="1" si="18"/>
        <v>#N/A</v>
      </c>
      <c r="H53" s="14" t="e">
        <f t="shared" ca="1" si="18"/>
        <v>#N/A</v>
      </c>
      <c r="I53" s="14" t="e">
        <f t="shared" ca="1" si="18"/>
        <v>#N/A</v>
      </c>
      <c r="J53" s="14" t="e">
        <f t="shared" ca="1" si="18"/>
        <v>#N/A</v>
      </c>
      <c r="K53" s="14" t="e">
        <f t="shared" ca="1" si="18"/>
        <v>#N/A</v>
      </c>
      <c r="L53" s="14" t="e">
        <f t="shared" ca="1" si="18"/>
        <v>#N/A</v>
      </c>
      <c r="M53" s="14" t="e">
        <f t="shared" ca="1" si="18"/>
        <v>#N/A</v>
      </c>
      <c r="N53" s="14" t="e">
        <f t="shared" ca="1" si="18"/>
        <v>#N/A</v>
      </c>
      <c r="O53" s="14" t="e">
        <f t="shared" ca="1" si="18"/>
        <v>#N/A</v>
      </c>
      <c r="P53" s="14" t="e">
        <f t="shared" ca="1" si="18"/>
        <v>#N/A</v>
      </c>
      <c r="Q53" s="14" t="e">
        <f t="shared" ca="1" si="18"/>
        <v>#N/A</v>
      </c>
      <c r="R53" s="14" t="e">
        <f t="shared" ca="1" si="18"/>
        <v>#N/A</v>
      </c>
      <c r="S53" s="14" t="e">
        <f t="shared" ca="1" si="18"/>
        <v>#N/A</v>
      </c>
      <c r="T53" s="14" t="e">
        <f t="shared" ca="1" si="18"/>
        <v>#N/A</v>
      </c>
      <c r="U53" s="14" t="e">
        <f t="shared" ca="1" si="18"/>
        <v>#N/A</v>
      </c>
      <c r="V53" s="14" t="e">
        <f t="shared" ca="1" si="18"/>
        <v>#N/A</v>
      </c>
      <c r="W53" s="14" t="e">
        <f t="shared" ca="1" si="18"/>
        <v>#N/A</v>
      </c>
      <c r="X53" s="14" t="e">
        <f t="shared" ca="1" si="18"/>
        <v>#N/A</v>
      </c>
      <c r="Y53" s="14" t="e">
        <f t="shared" ca="1" si="18"/>
        <v>#N/A</v>
      </c>
      <c r="Z53" s="14" t="e">
        <f t="shared" ca="1" si="18"/>
        <v>#N/A</v>
      </c>
      <c r="AA53" s="14" t="e">
        <f t="shared" ca="1" si="18"/>
        <v>#N/A</v>
      </c>
      <c r="AB53" s="14" t="e">
        <f t="shared" ca="1" si="18"/>
        <v>#N/A</v>
      </c>
      <c r="AC53" s="14" t="e">
        <f t="shared" ca="1" si="18"/>
        <v>#N/A</v>
      </c>
      <c r="AD53" s="14" t="e">
        <f t="shared" ca="1" si="18"/>
        <v>#N/A</v>
      </c>
      <c r="AE53" s="14" t="e">
        <f t="shared" ca="1" si="18"/>
        <v>#N/A</v>
      </c>
      <c r="AF53" s="14" t="e">
        <f t="shared" ca="1" si="18"/>
        <v>#N/A</v>
      </c>
      <c r="AG53" s="14" t="e">
        <f t="shared" ca="1" si="18"/>
        <v>#N/A</v>
      </c>
      <c r="AH53" s="14" t="e">
        <f t="shared" ca="1" si="18"/>
        <v>#N/A</v>
      </c>
      <c r="AI53" s="14" t="e">
        <f t="shared" ca="1" si="18"/>
        <v>#N/A</v>
      </c>
      <c r="AJ53" s="14" t="e">
        <f t="shared" ca="1" si="18"/>
        <v>#N/A</v>
      </c>
      <c r="AK53" s="14" t="e">
        <f t="shared" ca="1" si="18"/>
        <v>#N/A</v>
      </c>
      <c r="AL53" s="14" t="e">
        <f t="shared" ca="1" si="18"/>
        <v>#N/A</v>
      </c>
      <c r="AM53" s="14" t="e">
        <f t="shared" ca="1" si="18"/>
        <v>#N/A</v>
      </c>
      <c r="AN53" s="14" t="e">
        <f t="shared" ca="1" si="18"/>
        <v>#N/A</v>
      </c>
      <c r="AO53" s="14" t="e">
        <f t="shared" ca="1" si="18"/>
        <v>#N/A</v>
      </c>
      <c r="AP53" s="14" t="e">
        <f t="shared" ca="1" si="18"/>
        <v>#N/A</v>
      </c>
      <c r="AQ53" s="14" t="e">
        <f t="shared" ca="1" si="18"/>
        <v>#N/A</v>
      </c>
      <c r="AR53" s="14" t="e">
        <f t="shared" ca="1" si="18"/>
        <v>#N/A</v>
      </c>
      <c r="AS53" s="14" t="e">
        <f t="shared" ca="1" si="18"/>
        <v>#N/A</v>
      </c>
      <c r="AT53" s="14" t="e">
        <f t="shared" ca="1" si="18"/>
        <v>#N/A</v>
      </c>
      <c r="AU53" s="14" t="e">
        <f t="shared" ca="1" si="18"/>
        <v>#N/A</v>
      </c>
      <c r="AV53" s="14" t="e">
        <f t="shared" ca="1" si="18"/>
        <v>#N/A</v>
      </c>
      <c r="AW53" s="14" t="e">
        <f t="shared" ca="1" si="18"/>
        <v>#N/A</v>
      </c>
      <c r="AX53" s="14" t="e">
        <f t="shared" ca="1" si="18"/>
        <v>#N/A</v>
      </c>
      <c r="AY53" s="14" t="e">
        <f t="shared" ca="1" si="18"/>
        <v>#N/A</v>
      </c>
      <c r="AZ53" s="14" t="e">
        <f t="shared" ca="1" si="18"/>
        <v>#N/A</v>
      </c>
      <c r="BA53" s="14" t="e">
        <f t="shared" ca="1" si="18"/>
        <v>#N/A</v>
      </c>
      <c r="BB53" s="14" t="e">
        <f t="shared" ca="1" si="18"/>
        <v>#N/A</v>
      </c>
      <c r="BC53" s="14" t="e">
        <f t="shared" ca="1" si="18"/>
        <v>#N/A</v>
      </c>
      <c r="BD53" s="14" t="e">
        <f t="shared" ca="1" si="18"/>
        <v>#N/A</v>
      </c>
      <c r="BE53" s="14" t="e">
        <f t="shared" ca="1" si="18"/>
        <v>#N/A</v>
      </c>
      <c r="BF53" s="14" t="e">
        <f t="shared" ca="1" si="18"/>
        <v>#N/A</v>
      </c>
      <c r="BG53" s="14" t="e">
        <f t="shared" ca="1" si="18"/>
        <v>#N/A</v>
      </c>
      <c r="BH53" s="14" t="e">
        <f t="shared" ca="1" si="18"/>
        <v>#N/A</v>
      </c>
      <c r="BI53" s="14" t="e">
        <f t="shared" ca="1" si="18"/>
        <v>#N/A</v>
      </c>
      <c r="BJ53" s="14" t="e">
        <f t="shared" ca="1" si="18"/>
        <v>#N/A</v>
      </c>
      <c r="BK53" s="14" t="e">
        <f t="shared" ca="1" si="18"/>
        <v>#N/A</v>
      </c>
      <c r="BL53" s="14" t="e">
        <f t="shared" ca="1" si="18"/>
        <v>#N/A</v>
      </c>
      <c r="BM53" s="14" t="e">
        <f t="shared" ca="1" si="18"/>
        <v>#N/A</v>
      </c>
      <c r="BN53" s="14" t="e">
        <f t="shared" ca="1" si="18"/>
        <v>#N/A</v>
      </c>
      <c r="BO53" s="14" t="e">
        <f t="shared" ca="1" si="18"/>
        <v>#N/A</v>
      </c>
      <c r="BP53" s="14" t="e">
        <f t="shared" ca="1" si="18"/>
        <v>#N/A</v>
      </c>
      <c r="BQ53" s="14" t="e">
        <f t="shared" ca="1" si="18"/>
        <v>#N/A</v>
      </c>
      <c r="BR53" s="14" t="e">
        <f t="shared" ca="1" si="18"/>
        <v>#N/A</v>
      </c>
      <c r="BS53" s="98"/>
    </row>
    <row r="54" spans="1:71" ht="21" customHeight="1" outlineLevel="1" thickBot="1" x14ac:dyDescent="0.4">
      <c r="A54" s="5">
        <f t="shared" si="15"/>
        <v>0</v>
      </c>
      <c r="B54" s="5">
        <f t="shared" si="15"/>
        <v>0</v>
      </c>
      <c r="C54" s="5">
        <f t="shared" si="15"/>
        <v>0</v>
      </c>
      <c r="D54" s="5">
        <f t="shared" si="15"/>
        <v>0</v>
      </c>
      <c r="E54" s="6">
        <f t="shared" si="15"/>
        <v>0</v>
      </c>
      <c r="F54" s="14" t="e">
        <f t="shared" ca="1" si="16"/>
        <v>#N/A</v>
      </c>
      <c r="G54" s="14" t="e">
        <f t="shared" ca="1" si="18"/>
        <v>#N/A</v>
      </c>
      <c r="H54" s="14" t="e">
        <f t="shared" ca="1" si="18"/>
        <v>#N/A</v>
      </c>
      <c r="I54" s="14" t="e">
        <f t="shared" ca="1" si="18"/>
        <v>#N/A</v>
      </c>
      <c r="J54" s="14" t="e">
        <f t="shared" ca="1" si="18"/>
        <v>#N/A</v>
      </c>
      <c r="K54" s="14" t="e">
        <f t="shared" ca="1" si="18"/>
        <v>#N/A</v>
      </c>
      <c r="L54" s="14" t="e">
        <f t="shared" ca="1" si="18"/>
        <v>#N/A</v>
      </c>
      <c r="M54" s="14" t="e">
        <f t="shared" ca="1" si="18"/>
        <v>#N/A</v>
      </c>
      <c r="N54" s="14" t="e">
        <f t="shared" ca="1" si="18"/>
        <v>#N/A</v>
      </c>
      <c r="O54" s="14" t="e">
        <f t="shared" ca="1" si="18"/>
        <v>#N/A</v>
      </c>
      <c r="P54" s="14" t="e">
        <f t="shared" ca="1" si="18"/>
        <v>#N/A</v>
      </c>
      <c r="Q54" s="14" t="e">
        <f t="shared" ca="1" si="18"/>
        <v>#N/A</v>
      </c>
      <c r="R54" s="14" t="e">
        <f t="shared" ca="1" si="18"/>
        <v>#N/A</v>
      </c>
      <c r="S54" s="14" t="e">
        <f t="shared" ca="1" si="18"/>
        <v>#N/A</v>
      </c>
      <c r="T54" s="14" t="e">
        <f t="shared" ref="G54:BR58" ca="1" si="19">$A54*H.Ar + $B54*H.Se + $C54*H.Ge + $D54*H.Ga</f>
        <v>#N/A</v>
      </c>
      <c r="U54" s="14" t="e">
        <f t="shared" ca="1" si="19"/>
        <v>#N/A</v>
      </c>
      <c r="V54" s="14" t="e">
        <f t="shared" ca="1" si="19"/>
        <v>#N/A</v>
      </c>
      <c r="W54" s="14" t="e">
        <f t="shared" ca="1" si="19"/>
        <v>#N/A</v>
      </c>
      <c r="X54" s="14" t="e">
        <f t="shared" ca="1" si="19"/>
        <v>#N/A</v>
      </c>
      <c r="Y54" s="14" t="e">
        <f t="shared" ca="1" si="19"/>
        <v>#N/A</v>
      </c>
      <c r="Z54" s="14" t="e">
        <f t="shared" ca="1" si="19"/>
        <v>#N/A</v>
      </c>
      <c r="AA54" s="14" t="e">
        <f t="shared" ca="1" si="19"/>
        <v>#N/A</v>
      </c>
      <c r="AB54" s="14" t="e">
        <f t="shared" ca="1" si="19"/>
        <v>#N/A</v>
      </c>
      <c r="AC54" s="14" t="e">
        <f t="shared" ca="1" si="19"/>
        <v>#N/A</v>
      </c>
      <c r="AD54" s="14" t="e">
        <f t="shared" ca="1" si="19"/>
        <v>#N/A</v>
      </c>
      <c r="AE54" s="14" t="e">
        <f t="shared" ca="1" si="19"/>
        <v>#N/A</v>
      </c>
      <c r="AF54" s="14" t="e">
        <f t="shared" ca="1" si="19"/>
        <v>#N/A</v>
      </c>
      <c r="AG54" s="14" t="e">
        <f t="shared" ca="1" si="19"/>
        <v>#N/A</v>
      </c>
      <c r="AH54" s="14" t="e">
        <f t="shared" ca="1" si="19"/>
        <v>#N/A</v>
      </c>
      <c r="AI54" s="14" t="e">
        <f t="shared" ca="1" si="19"/>
        <v>#N/A</v>
      </c>
      <c r="AJ54" s="14" t="e">
        <f t="shared" ca="1" si="19"/>
        <v>#N/A</v>
      </c>
      <c r="AK54" s="14" t="e">
        <f t="shared" ca="1" si="19"/>
        <v>#N/A</v>
      </c>
      <c r="AL54" s="14" t="e">
        <f t="shared" ca="1" si="19"/>
        <v>#N/A</v>
      </c>
      <c r="AM54" s="14" t="e">
        <f t="shared" ca="1" si="19"/>
        <v>#N/A</v>
      </c>
      <c r="AN54" s="14" t="e">
        <f t="shared" ca="1" si="19"/>
        <v>#N/A</v>
      </c>
      <c r="AO54" s="14" t="e">
        <f t="shared" ca="1" si="19"/>
        <v>#N/A</v>
      </c>
      <c r="AP54" s="14" t="e">
        <f t="shared" ca="1" si="19"/>
        <v>#N/A</v>
      </c>
      <c r="AQ54" s="14" t="e">
        <f t="shared" ca="1" si="19"/>
        <v>#N/A</v>
      </c>
      <c r="AR54" s="14" t="e">
        <f t="shared" ca="1" si="19"/>
        <v>#N/A</v>
      </c>
      <c r="AS54" s="14" t="e">
        <f t="shared" ca="1" si="19"/>
        <v>#N/A</v>
      </c>
      <c r="AT54" s="14" t="e">
        <f t="shared" ca="1" si="19"/>
        <v>#N/A</v>
      </c>
      <c r="AU54" s="14" t="e">
        <f t="shared" ca="1" si="19"/>
        <v>#N/A</v>
      </c>
      <c r="AV54" s="14" t="e">
        <f t="shared" ca="1" si="19"/>
        <v>#N/A</v>
      </c>
      <c r="AW54" s="14" t="e">
        <f t="shared" ca="1" si="19"/>
        <v>#N/A</v>
      </c>
      <c r="AX54" s="14" t="e">
        <f t="shared" ca="1" si="19"/>
        <v>#N/A</v>
      </c>
      <c r="AY54" s="14" t="e">
        <f t="shared" ca="1" si="19"/>
        <v>#N/A</v>
      </c>
      <c r="AZ54" s="14" t="e">
        <f t="shared" ca="1" si="19"/>
        <v>#N/A</v>
      </c>
      <c r="BA54" s="14" t="e">
        <f t="shared" ca="1" si="19"/>
        <v>#N/A</v>
      </c>
      <c r="BB54" s="14" t="e">
        <f t="shared" ca="1" si="19"/>
        <v>#N/A</v>
      </c>
      <c r="BC54" s="14" t="e">
        <f t="shared" ca="1" si="19"/>
        <v>#N/A</v>
      </c>
      <c r="BD54" s="14" t="e">
        <f t="shared" ca="1" si="19"/>
        <v>#N/A</v>
      </c>
      <c r="BE54" s="14" t="e">
        <f t="shared" ca="1" si="19"/>
        <v>#N/A</v>
      </c>
      <c r="BF54" s="14" t="e">
        <f t="shared" ca="1" si="19"/>
        <v>#N/A</v>
      </c>
      <c r="BG54" s="14" t="e">
        <f t="shared" ca="1" si="19"/>
        <v>#N/A</v>
      </c>
      <c r="BH54" s="14" t="e">
        <f t="shared" ca="1" si="19"/>
        <v>#N/A</v>
      </c>
      <c r="BI54" s="14" t="e">
        <f t="shared" ca="1" si="19"/>
        <v>#N/A</v>
      </c>
      <c r="BJ54" s="14" t="e">
        <f t="shared" ca="1" si="19"/>
        <v>#N/A</v>
      </c>
      <c r="BK54" s="14" t="e">
        <f t="shared" ca="1" si="19"/>
        <v>#N/A</v>
      </c>
      <c r="BL54" s="14" t="e">
        <f t="shared" ca="1" si="19"/>
        <v>#N/A</v>
      </c>
      <c r="BM54" s="14" t="e">
        <f t="shared" ca="1" si="19"/>
        <v>#N/A</v>
      </c>
      <c r="BN54" s="14" t="e">
        <f t="shared" ca="1" si="19"/>
        <v>#N/A</v>
      </c>
      <c r="BO54" s="14" t="e">
        <f t="shared" ca="1" si="19"/>
        <v>#N/A</v>
      </c>
      <c r="BP54" s="14" t="e">
        <f t="shared" ca="1" si="19"/>
        <v>#N/A</v>
      </c>
      <c r="BQ54" s="14" t="e">
        <f t="shared" ca="1" si="19"/>
        <v>#N/A</v>
      </c>
      <c r="BR54" s="14" t="e">
        <f t="shared" ca="1" si="19"/>
        <v>#N/A</v>
      </c>
      <c r="BS54" s="98"/>
    </row>
    <row r="55" spans="1:71" ht="21" customHeight="1" outlineLevel="1" thickBot="1" x14ac:dyDescent="0.4">
      <c r="A55" s="5">
        <f t="shared" si="15"/>
        <v>0</v>
      </c>
      <c r="B55" s="5">
        <f t="shared" si="15"/>
        <v>0</v>
      </c>
      <c r="C55" s="5">
        <f t="shared" si="15"/>
        <v>0</v>
      </c>
      <c r="D55" s="5">
        <f t="shared" si="15"/>
        <v>0</v>
      </c>
      <c r="E55" s="6">
        <f t="shared" si="15"/>
        <v>0</v>
      </c>
      <c r="F55" s="14" t="e">
        <f t="shared" ca="1" si="16"/>
        <v>#N/A</v>
      </c>
      <c r="G55" s="14" t="e">
        <f t="shared" ca="1" si="19"/>
        <v>#N/A</v>
      </c>
      <c r="H55" s="14" t="e">
        <f t="shared" ca="1" si="19"/>
        <v>#N/A</v>
      </c>
      <c r="I55" s="14" t="e">
        <f t="shared" ca="1" si="19"/>
        <v>#N/A</v>
      </c>
      <c r="J55" s="14" t="e">
        <f t="shared" ca="1" si="19"/>
        <v>#N/A</v>
      </c>
      <c r="K55" s="14" t="e">
        <f t="shared" ca="1" si="19"/>
        <v>#N/A</v>
      </c>
      <c r="L55" s="14" t="e">
        <f t="shared" ca="1" si="19"/>
        <v>#N/A</v>
      </c>
      <c r="M55" s="14" t="e">
        <f t="shared" ca="1" si="19"/>
        <v>#N/A</v>
      </c>
      <c r="N55" s="14" t="e">
        <f t="shared" ca="1" si="19"/>
        <v>#N/A</v>
      </c>
      <c r="O55" s="14" t="e">
        <f t="shared" ca="1" si="19"/>
        <v>#N/A</v>
      </c>
      <c r="P55" s="14" t="e">
        <f t="shared" ca="1" si="19"/>
        <v>#N/A</v>
      </c>
      <c r="Q55" s="14" t="e">
        <f t="shared" ca="1" si="19"/>
        <v>#N/A</v>
      </c>
      <c r="R55" s="14" t="e">
        <f t="shared" ca="1" si="19"/>
        <v>#N/A</v>
      </c>
      <c r="S55" s="14" t="e">
        <f t="shared" ca="1" si="19"/>
        <v>#N/A</v>
      </c>
      <c r="T55" s="14" t="e">
        <f t="shared" ca="1" si="19"/>
        <v>#N/A</v>
      </c>
      <c r="U55" s="14" t="e">
        <f t="shared" ca="1" si="19"/>
        <v>#N/A</v>
      </c>
      <c r="V55" s="14" t="e">
        <f t="shared" ca="1" si="19"/>
        <v>#N/A</v>
      </c>
      <c r="W55" s="14" t="e">
        <f t="shared" ca="1" si="19"/>
        <v>#N/A</v>
      </c>
      <c r="X55" s="14" t="e">
        <f t="shared" ca="1" si="19"/>
        <v>#N/A</v>
      </c>
      <c r="Y55" s="14" t="e">
        <f t="shared" ca="1" si="19"/>
        <v>#N/A</v>
      </c>
      <c r="Z55" s="14" t="e">
        <f t="shared" ca="1" si="19"/>
        <v>#N/A</v>
      </c>
      <c r="AA55" s="14" t="e">
        <f t="shared" ca="1" si="19"/>
        <v>#N/A</v>
      </c>
      <c r="AB55" s="14" t="e">
        <f t="shared" ca="1" si="19"/>
        <v>#N/A</v>
      </c>
      <c r="AC55" s="14" t="e">
        <f t="shared" ca="1" si="19"/>
        <v>#N/A</v>
      </c>
      <c r="AD55" s="14" t="e">
        <f t="shared" ca="1" si="19"/>
        <v>#N/A</v>
      </c>
      <c r="AE55" s="14" t="e">
        <f t="shared" ca="1" si="19"/>
        <v>#N/A</v>
      </c>
      <c r="AF55" s="14" t="e">
        <f t="shared" ca="1" si="19"/>
        <v>#N/A</v>
      </c>
      <c r="AG55" s="14" t="e">
        <f t="shared" ca="1" si="19"/>
        <v>#N/A</v>
      </c>
      <c r="AH55" s="14" t="e">
        <f t="shared" ca="1" si="19"/>
        <v>#N/A</v>
      </c>
      <c r="AI55" s="14" t="e">
        <f t="shared" ca="1" si="19"/>
        <v>#N/A</v>
      </c>
      <c r="AJ55" s="14" t="e">
        <f t="shared" ca="1" si="19"/>
        <v>#N/A</v>
      </c>
      <c r="AK55" s="14" t="e">
        <f t="shared" ca="1" si="19"/>
        <v>#N/A</v>
      </c>
      <c r="AL55" s="14" t="e">
        <f t="shared" ca="1" si="19"/>
        <v>#N/A</v>
      </c>
      <c r="AM55" s="14" t="e">
        <f t="shared" ca="1" si="19"/>
        <v>#N/A</v>
      </c>
      <c r="AN55" s="14" t="e">
        <f t="shared" ca="1" si="19"/>
        <v>#N/A</v>
      </c>
      <c r="AO55" s="14" t="e">
        <f t="shared" ca="1" si="19"/>
        <v>#N/A</v>
      </c>
      <c r="AP55" s="14" t="e">
        <f t="shared" ca="1" si="19"/>
        <v>#N/A</v>
      </c>
      <c r="AQ55" s="14" t="e">
        <f t="shared" ca="1" si="19"/>
        <v>#N/A</v>
      </c>
      <c r="AR55" s="14" t="e">
        <f t="shared" ca="1" si="19"/>
        <v>#N/A</v>
      </c>
      <c r="AS55" s="14" t="e">
        <f t="shared" ca="1" si="19"/>
        <v>#N/A</v>
      </c>
      <c r="AT55" s="14" t="e">
        <f t="shared" ca="1" si="19"/>
        <v>#N/A</v>
      </c>
      <c r="AU55" s="14" t="e">
        <f t="shared" ca="1" si="19"/>
        <v>#N/A</v>
      </c>
      <c r="AV55" s="14" t="e">
        <f t="shared" ca="1" si="19"/>
        <v>#N/A</v>
      </c>
      <c r="AW55" s="14" t="e">
        <f t="shared" ca="1" si="19"/>
        <v>#N/A</v>
      </c>
      <c r="AX55" s="14" t="e">
        <f t="shared" ca="1" si="19"/>
        <v>#N/A</v>
      </c>
      <c r="AY55" s="14" t="e">
        <f t="shared" ca="1" si="19"/>
        <v>#N/A</v>
      </c>
      <c r="AZ55" s="14" t="e">
        <f t="shared" ca="1" si="19"/>
        <v>#N/A</v>
      </c>
      <c r="BA55" s="14" t="e">
        <f t="shared" ca="1" si="19"/>
        <v>#N/A</v>
      </c>
      <c r="BB55" s="14" t="e">
        <f t="shared" ca="1" si="19"/>
        <v>#N/A</v>
      </c>
      <c r="BC55" s="14" t="e">
        <f t="shared" ca="1" si="19"/>
        <v>#N/A</v>
      </c>
      <c r="BD55" s="14" t="e">
        <f t="shared" ca="1" si="19"/>
        <v>#N/A</v>
      </c>
      <c r="BE55" s="14" t="e">
        <f t="shared" ca="1" si="19"/>
        <v>#N/A</v>
      </c>
      <c r="BF55" s="14" t="e">
        <f t="shared" ca="1" si="19"/>
        <v>#N/A</v>
      </c>
      <c r="BG55" s="14" t="e">
        <f t="shared" ca="1" si="19"/>
        <v>#N/A</v>
      </c>
      <c r="BH55" s="14" t="e">
        <f t="shared" ca="1" si="19"/>
        <v>#N/A</v>
      </c>
      <c r="BI55" s="14" t="e">
        <f t="shared" ca="1" si="19"/>
        <v>#N/A</v>
      </c>
      <c r="BJ55" s="14" t="e">
        <f t="shared" ca="1" si="19"/>
        <v>#N/A</v>
      </c>
      <c r="BK55" s="14" t="e">
        <f t="shared" ca="1" si="19"/>
        <v>#N/A</v>
      </c>
      <c r="BL55" s="14" t="e">
        <f t="shared" ca="1" si="19"/>
        <v>#N/A</v>
      </c>
      <c r="BM55" s="14" t="e">
        <f t="shared" ca="1" si="19"/>
        <v>#N/A</v>
      </c>
      <c r="BN55" s="14" t="e">
        <f t="shared" ca="1" si="19"/>
        <v>#N/A</v>
      </c>
      <c r="BO55" s="14" t="e">
        <f t="shared" ca="1" si="19"/>
        <v>#N/A</v>
      </c>
      <c r="BP55" s="14" t="e">
        <f t="shared" ca="1" si="19"/>
        <v>#N/A</v>
      </c>
      <c r="BQ55" s="14" t="e">
        <f t="shared" ca="1" si="19"/>
        <v>#N/A</v>
      </c>
      <c r="BR55" s="14" t="e">
        <f t="shared" ca="1" si="19"/>
        <v>#N/A</v>
      </c>
      <c r="BS55" s="98"/>
    </row>
    <row r="56" spans="1:71" ht="21" customHeight="1" outlineLevel="1" thickBot="1" x14ac:dyDescent="0.4">
      <c r="A56" s="5">
        <f t="shared" ref="A56:E65" si="20">A14</f>
        <v>0</v>
      </c>
      <c r="B56" s="5">
        <f t="shared" si="20"/>
        <v>0</v>
      </c>
      <c r="C56" s="5">
        <f t="shared" si="20"/>
        <v>0</v>
      </c>
      <c r="D56" s="5">
        <f t="shared" si="20"/>
        <v>0</v>
      </c>
      <c r="E56" s="6">
        <f t="shared" si="20"/>
        <v>0</v>
      </c>
      <c r="F56" s="14" t="e">
        <f t="shared" ref="F56:U65" ca="1" si="21">$A56*H.Ar + $B56*H.Se + $C56*H.Ge + $D56*H.Ga</f>
        <v>#N/A</v>
      </c>
      <c r="G56" s="14" t="e">
        <f t="shared" ca="1" si="21"/>
        <v>#N/A</v>
      </c>
      <c r="H56" s="14" t="e">
        <f t="shared" ca="1" si="21"/>
        <v>#N/A</v>
      </c>
      <c r="I56" s="14" t="e">
        <f t="shared" ca="1" si="21"/>
        <v>#N/A</v>
      </c>
      <c r="J56" s="14" t="e">
        <f t="shared" ca="1" si="21"/>
        <v>#N/A</v>
      </c>
      <c r="K56" s="14" t="e">
        <f t="shared" ca="1" si="21"/>
        <v>#N/A</v>
      </c>
      <c r="L56" s="14" t="e">
        <f t="shared" ca="1" si="21"/>
        <v>#N/A</v>
      </c>
      <c r="M56" s="14" t="e">
        <f t="shared" ca="1" si="21"/>
        <v>#N/A</v>
      </c>
      <c r="N56" s="14" t="e">
        <f t="shared" ca="1" si="21"/>
        <v>#N/A</v>
      </c>
      <c r="O56" s="14" t="e">
        <f t="shared" ca="1" si="21"/>
        <v>#N/A</v>
      </c>
      <c r="P56" s="14" t="e">
        <f t="shared" ca="1" si="21"/>
        <v>#N/A</v>
      </c>
      <c r="Q56" s="14" t="e">
        <f t="shared" ca="1" si="21"/>
        <v>#N/A</v>
      </c>
      <c r="R56" s="14" t="e">
        <f t="shared" ca="1" si="21"/>
        <v>#N/A</v>
      </c>
      <c r="S56" s="14" t="e">
        <f t="shared" ca="1" si="21"/>
        <v>#N/A</v>
      </c>
      <c r="T56" s="14" t="e">
        <f t="shared" ca="1" si="21"/>
        <v>#N/A</v>
      </c>
      <c r="U56" s="14" t="e">
        <f t="shared" ca="1" si="21"/>
        <v>#N/A</v>
      </c>
      <c r="V56" s="14" t="e">
        <f t="shared" ca="1" si="19"/>
        <v>#N/A</v>
      </c>
      <c r="W56" s="14" t="e">
        <f t="shared" ca="1" si="19"/>
        <v>#N/A</v>
      </c>
      <c r="X56" s="14" t="e">
        <f t="shared" ca="1" si="19"/>
        <v>#N/A</v>
      </c>
      <c r="Y56" s="14" t="e">
        <f t="shared" ca="1" si="19"/>
        <v>#N/A</v>
      </c>
      <c r="Z56" s="14" t="e">
        <f t="shared" ca="1" si="19"/>
        <v>#N/A</v>
      </c>
      <c r="AA56" s="14" t="e">
        <f t="shared" ca="1" si="19"/>
        <v>#N/A</v>
      </c>
      <c r="AB56" s="14" t="e">
        <f t="shared" ca="1" si="19"/>
        <v>#N/A</v>
      </c>
      <c r="AC56" s="14" t="e">
        <f t="shared" ca="1" si="19"/>
        <v>#N/A</v>
      </c>
      <c r="AD56" s="14" t="e">
        <f t="shared" ca="1" si="19"/>
        <v>#N/A</v>
      </c>
      <c r="AE56" s="14" t="e">
        <f t="shared" ca="1" si="19"/>
        <v>#N/A</v>
      </c>
      <c r="AF56" s="14" t="e">
        <f t="shared" ca="1" si="19"/>
        <v>#N/A</v>
      </c>
      <c r="AG56" s="14" t="e">
        <f t="shared" ca="1" si="19"/>
        <v>#N/A</v>
      </c>
      <c r="AH56" s="14" t="e">
        <f t="shared" ca="1" si="19"/>
        <v>#N/A</v>
      </c>
      <c r="AI56" s="14" t="e">
        <f t="shared" ca="1" si="19"/>
        <v>#N/A</v>
      </c>
      <c r="AJ56" s="14" t="e">
        <f t="shared" ca="1" si="19"/>
        <v>#N/A</v>
      </c>
      <c r="AK56" s="14" t="e">
        <f t="shared" ca="1" si="19"/>
        <v>#N/A</v>
      </c>
      <c r="AL56" s="14" t="e">
        <f t="shared" ca="1" si="19"/>
        <v>#N/A</v>
      </c>
      <c r="AM56" s="14" t="e">
        <f t="shared" ca="1" si="19"/>
        <v>#N/A</v>
      </c>
      <c r="AN56" s="14" t="e">
        <f t="shared" ca="1" si="19"/>
        <v>#N/A</v>
      </c>
      <c r="AO56" s="14" t="e">
        <f t="shared" ca="1" si="19"/>
        <v>#N/A</v>
      </c>
      <c r="AP56" s="14" t="e">
        <f t="shared" ca="1" si="19"/>
        <v>#N/A</v>
      </c>
      <c r="AQ56" s="14" t="e">
        <f t="shared" ca="1" si="19"/>
        <v>#N/A</v>
      </c>
      <c r="AR56" s="14" t="e">
        <f t="shared" ca="1" si="19"/>
        <v>#N/A</v>
      </c>
      <c r="AS56" s="14" t="e">
        <f t="shared" ca="1" si="19"/>
        <v>#N/A</v>
      </c>
      <c r="AT56" s="14" t="e">
        <f t="shared" ca="1" si="19"/>
        <v>#N/A</v>
      </c>
      <c r="AU56" s="14" t="e">
        <f t="shared" ca="1" si="19"/>
        <v>#N/A</v>
      </c>
      <c r="AV56" s="14" t="e">
        <f t="shared" ca="1" si="19"/>
        <v>#N/A</v>
      </c>
      <c r="AW56" s="14" t="e">
        <f t="shared" ca="1" si="19"/>
        <v>#N/A</v>
      </c>
      <c r="AX56" s="14" t="e">
        <f t="shared" ca="1" si="19"/>
        <v>#N/A</v>
      </c>
      <c r="AY56" s="14" t="e">
        <f t="shared" ca="1" si="19"/>
        <v>#N/A</v>
      </c>
      <c r="AZ56" s="14" t="e">
        <f t="shared" ca="1" si="19"/>
        <v>#N/A</v>
      </c>
      <c r="BA56" s="14" t="e">
        <f t="shared" ca="1" si="19"/>
        <v>#N/A</v>
      </c>
      <c r="BB56" s="14" t="e">
        <f t="shared" ca="1" si="19"/>
        <v>#N/A</v>
      </c>
      <c r="BC56" s="14" t="e">
        <f t="shared" ca="1" si="19"/>
        <v>#N/A</v>
      </c>
      <c r="BD56" s="14" t="e">
        <f t="shared" ca="1" si="19"/>
        <v>#N/A</v>
      </c>
      <c r="BE56" s="14" t="e">
        <f t="shared" ca="1" si="19"/>
        <v>#N/A</v>
      </c>
      <c r="BF56" s="14" t="e">
        <f t="shared" ca="1" si="19"/>
        <v>#N/A</v>
      </c>
      <c r="BG56" s="14" t="e">
        <f t="shared" ca="1" si="19"/>
        <v>#N/A</v>
      </c>
      <c r="BH56" s="14" t="e">
        <f t="shared" ca="1" si="19"/>
        <v>#N/A</v>
      </c>
      <c r="BI56" s="14" t="e">
        <f t="shared" ca="1" si="19"/>
        <v>#N/A</v>
      </c>
      <c r="BJ56" s="14" t="e">
        <f t="shared" ca="1" si="19"/>
        <v>#N/A</v>
      </c>
      <c r="BK56" s="14" t="e">
        <f t="shared" ca="1" si="19"/>
        <v>#N/A</v>
      </c>
      <c r="BL56" s="14" t="e">
        <f t="shared" ca="1" si="19"/>
        <v>#N/A</v>
      </c>
      <c r="BM56" s="14" t="e">
        <f t="shared" ca="1" si="19"/>
        <v>#N/A</v>
      </c>
      <c r="BN56" s="14" t="e">
        <f t="shared" ca="1" si="19"/>
        <v>#N/A</v>
      </c>
      <c r="BO56" s="14" t="e">
        <f t="shared" ca="1" si="19"/>
        <v>#N/A</v>
      </c>
      <c r="BP56" s="14" t="e">
        <f t="shared" ca="1" si="19"/>
        <v>#N/A</v>
      </c>
      <c r="BQ56" s="14" t="e">
        <f t="shared" ca="1" si="19"/>
        <v>#N/A</v>
      </c>
      <c r="BR56" s="14" t="e">
        <f t="shared" ca="1" si="19"/>
        <v>#N/A</v>
      </c>
      <c r="BS56" s="98"/>
    </row>
    <row r="57" spans="1:71" ht="21" customHeight="1" outlineLevel="1" thickBot="1" x14ac:dyDescent="0.4">
      <c r="A57" s="5">
        <f t="shared" si="20"/>
        <v>0</v>
      </c>
      <c r="B57" s="5">
        <f t="shared" si="20"/>
        <v>0</v>
      </c>
      <c r="C57" s="5">
        <f t="shared" si="20"/>
        <v>0</v>
      </c>
      <c r="D57" s="5">
        <f t="shared" si="20"/>
        <v>0</v>
      </c>
      <c r="E57" s="6">
        <f t="shared" si="20"/>
        <v>0</v>
      </c>
      <c r="F57" s="14" t="e">
        <f t="shared" ca="1" si="21"/>
        <v>#N/A</v>
      </c>
      <c r="G57" s="14" t="e">
        <f t="shared" ca="1" si="19"/>
        <v>#N/A</v>
      </c>
      <c r="H57" s="14" t="e">
        <f t="shared" ca="1" si="19"/>
        <v>#N/A</v>
      </c>
      <c r="I57" s="14" t="e">
        <f t="shared" ca="1" si="19"/>
        <v>#N/A</v>
      </c>
      <c r="J57" s="14" t="e">
        <f t="shared" ca="1" si="19"/>
        <v>#N/A</v>
      </c>
      <c r="K57" s="14" t="e">
        <f t="shared" ca="1" si="19"/>
        <v>#N/A</v>
      </c>
      <c r="L57" s="14" t="e">
        <f t="shared" ca="1" si="19"/>
        <v>#N/A</v>
      </c>
      <c r="M57" s="14" t="e">
        <f t="shared" ca="1" si="19"/>
        <v>#N/A</v>
      </c>
      <c r="N57" s="14" t="e">
        <f t="shared" ca="1" si="19"/>
        <v>#N/A</v>
      </c>
      <c r="O57" s="14" t="e">
        <f t="shared" ca="1" si="19"/>
        <v>#N/A</v>
      </c>
      <c r="P57" s="14" t="e">
        <f t="shared" ca="1" si="19"/>
        <v>#N/A</v>
      </c>
      <c r="Q57" s="14" t="e">
        <f t="shared" ca="1" si="19"/>
        <v>#N/A</v>
      </c>
      <c r="R57" s="14" t="e">
        <f t="shared" ca="1" si="19"/>
        <v>#N/A</v>
      </c>
      <c r="S57" s="14" t="e">
        <f t="shared" ca="1" si="19"/>
        <v>#N/A</v>
      </c>
      <c r="T57" s="14" t="e">
        <f t="shared" ca="1" si="19"/>
        <v>#N/A</v>
      </c>
      <c r="U57" s="14" t="e">
        <f t="shared" ca="1" si="19"/>
        <v>#N/A</v>
      </c>
      <c r="V57" s="14" t="e">
        <f t="shared" ca="1" si="19"/>
        <v>#N/A</v>
      </c>
      <c r="W57" s="14" t="e">
        <f t="shared" ca="1" si="19"/>
        <v>#N/A</v>
      </c>
      <c r="X57" s="14" t="e">
        <f t="shared" ca="1" si="19"/>
        <v>#N/A</v>
      </c>
      <c r="Y57" s="14" t="e">
        <f t="shared" ca="1" si="19"/>
        <v>#N/A</v>
      </c>
      <c r="Z57" s="14" t="e">
        <f t="shared" ca="1" si="19"/>
        <v>#N/A</v>
      </c>
      <c r="AA57" s="14" t="e">
        <f t="shared" ca="1" si="19"/>
        <v>#N/A</v>
      </c>
      <c r="AB57" s="14" t="e">
        <f t="shared" ca="1" si="19"/>
        <v>#N/A</v>
      </c>
      <c r="AC57" s="14" t="e">
        <f t="shared" ca="1" si="19"/>
        <v>#N/A</v>
      </c>
      <c r="AD57" s="14" t="e">
        <f t="shared" ca="1" si="19"/>
        <v>#N/A</v>
      </c>
      <c r="AE57" s="14" t="e">
        <f t="shared" ca="1" si="19"/>
        <v>#N/A</v>
      </c>
      <c r="AF57" s="14" t="e">
        <f t="shared" ca="1" si="19"/>
        <v>#N/A</v>
      </c>
      <c r="AG57" s="14" t="e">
        <f t="shared" ca="1" si="19"/>
        <v>#N/A</v>
      </c>
      <c r="AH57" s="14" t="e">
        <f t="shared" ca="1" si="19"/>
        <v>#N/A</v>
      </c>
      <c r="AI57" s="14" t="e">
        <f t="shared" ca="1" si="19"/>
        <v>#N/A</v>
      </c>
      <c r="AJ57" s="14" t="e">
        <f t="shared" ca="1" si="19"/>
        <v>#N/A</v>
      </c>
      <c r="AK57" s="14" t="e">
        <f t="shared" ca="1" si="19"/>
        <v>#N/A</v>
      </c>
      <c r="AL57" s="14" t="e">
        <f t="shared" ca="1" si="19"/>
        <v>#N/A</v>
      </c>
      <c r="AM57" s="14" t="e">
        <f t="shared" ca="1" si="19"/>
        <v>#N/A</v>
      </c>
      <c r="AN57" s="14" t="e">
        <f t="shared" ca="1" si="19"/>
        <v>#N/A</v>
      </c>
      <c r="AO57" s="14" t="e">
        <f t="shared" ca="1" si="19"/>
        <v>#N/A</v>
      </c>
      <c r="AP57" s="14" t="e">
        <f t="shared" ca="1" si="19"/>
        <v>#N/A</v>
      </c>
      <c r="AQ57" s="14" t="e">
        <f t="shared" ca="1" si="19"/>
        <v>#N/A</v>
      </c>
      <c r="AR57" s="14" t="e">
        <f t="shared" ca="1" si="19"/>
        <v>#N/A</v>
      </c>
      <c r="AS57" s="14" t="e">
        <f t="shared" ca="1" si="19"/>
        <v>#N/A</v>
      </c>
      <c r="AT57" s="14" t="e">
        <f t="shared" ca="1" si="19"/>
        <v>#N/A</v>
      </c>
      <c r="AU57" s="14" t="e">
        <f t="shared" ca="1" si="19"/>
        <v>#N/A</v>
      </c>
      <c r="AV57" s="14" t="e">
        <f t="shared" ca="1" si="19"/>
        <v>#N/A</v>
      </c>
      <c r="AW57" s="14" t="e">
        <f t="shared" ca="1" si="19"/>
        <v>#N/A</v>
      </c>
      <c r="AX57" s="14" t="e">
        <f t="shared" ca="1" si="19"/>
        <v>#N/A</v>
      </c>
      <c r="AY57" s="14" t="e">
        <f t="shared" ca="1" si="19"/>
        <v>#N/A</v>
      </c>
      <c r="AZ57" s="14" t="e">
        <f t="shared" ca="1" si="19"/>
        <v>#N/A</v>
      </c>
      <c r="BA57" s="14" t="e">
        <f t="shared" ca="1" si="19"/>
        <v>#N/A</v>
      </c>
      <c r="BB57" s="14" t="e">
        <f t="shared" ca="1" si="19"/>
        <v>#N/A</v>
      </c>
      <c r="BC57" s="14" t="e">
        <f t="shared" ca="1" si="19"/>
        <v>#N/A</v>
      </c>
      <c r="BD57" s="14" t="e">
        <f t="shared" ca="1" si="19"/>
        <v>#N/A</v>
      </c>
      <c r="BE57" s="14" t="e">
        <f t="shared" ca="1" si="19"/>
        <v>#N/A</v>
      </c>
      <c r="BF57" s="14" t="e">
        <f t="shared" ca="1" si="19"/>
        <v>#N/A</v>
      </c>
      <c r="BG57" s="14" t="e">
        <f t="shared" ca="1" si="19"/>
        <v>#N/A</v>
      </c>
      <c r="BH57" s="14" t="e">
        <f t="shared" ca="1" si="19"/>
        <v>#N/A</v>
      </c>
      <c r="BI57" s="14" t="e">
        <f t="shared" ca="1" si="19"/>
        <v>#N/A</v>
      </c>
      <c r="BJ57" s="14" t="e">
        <f t="shared" ca="1" si="19"/>
        <v>#N/A</v>
      </c>
      <c r="BK57" s="14" t="e">
        <f t="shared" ca="1" si="19"/>
        <v>#N/A</v>
      </c>
      <c r="BL57" s="14" t="e">
        <f t="shared" ca="1" si="19"/>
        <v>#N/A</v>
      </c>
      <c r="BM57" s="14" t="e">
        <f t="shared" ca="1" si="19"/>
        <v>#N/A</v>
      </c>
      <c r="BN57" s="14" t="e">
        <f t="shared" ca="1" si="19"/>
        <v>#N/A</v>
      </c>
      <c r="BO57" s="14" t="e">
        <f t="shared" ca="1" si="19"/>
        <v>#N/A</v>
      </c>
      <c r="BP57" s="14" t="e">
        <f t="shared" ca="1" si="19"/>
        <v>#N/A</v>
      </c>
      <c r="BQ57" s="14" t="e">
        <f t="shared" ca="1" si="19"/>
        <v>#N/A</v>
      </c>
      <c r="BR57" s="14" t="e">
        <f t="shared" ca="1" si="19"/>
        <v>#N/A</v>
      </c>
      <c r="BS57" s="98"/>
    </row>
    <row r="58" spans="1:71" ht="21" customHeight="1" outlineLevel="1" thickBot="1" x14ac:dyDescent="0.4">
      <c r="A58" s="5">
        <f t="shared" si="20"/>
        <v>0</v>
      </c>
      <c r="B58" s="5">
        <f t="shared" si="20"/>
        <v>0</v>
      </c>
      <c r="C58" s="5">
        <f t="shared" si="20"/>
        <v>0</v>
      </c>
      <c r="D58" s="5">
        <f t="shared" si="20"/>
        <v>0</v>
      </c>
      <c r="E58" s="6">
        <f t="shared" si="20"/>
        <v>0</v>
      </c>
      <c r="F58" s="14" t="e">
        <f t="shared" ca="1" si="21"/>
        <v>#N/A</v>
      </c>
      <c r="G58" s="14" t="e">
        <f t="shared" ca="1" si="19"/>
        <v>#N/A</v>
      </c>
      <c r="H58" s="14" t="e">
        <f t="shared" ca="1" si="19"/>
        <v>#N/A</v>
      </c>
      <c r="I58" s="14" t="e">
        <f t="shared" ca="1" si="19"/>
        <v>#N/A</v>
      </c>
      <c r="J58" s="14" t="e">
        <f t="shared" ca="1" si="19"/>
        <v>#N/A</v>
      </c>
      <c r="K58" s="14" t="e">
        <f t="shared" ca="1" si="19"/>
        <v>#N/A</v>
      </c>
      <c r="L58" s="14" t="e">
        <f t="shared" ca="1" si="19"/>
        <v>#N/A</v>
      </c>
      <c r="M58" s="14" t="e">
        <f t="shared" ca="1" si="19"/>
        <v>#N/A</v>
      </c>
      <c r="N58" s="14" t="e">
        <f t="shared" ca="1" si="19"/>
        <v>#N/A</v>
      </c>
      <c r="O58" s="14" t="e">
        <f t="shared" ca="1" si="19"/>
        <v>#N/A</v>
      </c>
      <c r="P58" s="14" t="e">
        <f t="shared" ca="1" si="19"/>
        <v>#N/A</v>
      </c>
      <c r="Q58" s="14" t="e">
        <f t="shared" ca="1" si="19"/>
        <v>#N/A</v>
      </c>
      <c r="R58" s="14" t="e">
        <f t="shared" ca="1" si="19"/>
        <v>#N/A</v>
      </c>
      <c r="S58" s="14" t="e">
        <f t="shared" ca="1" si="19"/>
        <v>#N/A</v>
      </c>
      <c r="T58" s="14" t="e">
        <f t="shared" ca="1" si="19"/>
        <v>#N/A</v>
      </c>
      <c r="U58" s="14" t="e">
        <f t="shared" ca="1" si="19"/>
        <v>#N/A</v>
      </c>
      <c r="V58" s="14" t="e">
        <f t="shared" ca="1" si="19"/>
        <v>#N/A</v>
      </c>
      <c r="W58" s="14" t="e">
        <f t="shared" ca="1" si="19"/>
        <v>#N/A</v>
      </c>
      <c r="X58" s="14" t="e">
        <f t="shared" ca="1" si="19"/>
        <v>#N/A</v>
      </c>
      <c r="Y58" s="14" t="e">
        <f t="shared" ca="1" si="19"/>
        <v>#N/A</v>
      </c>
      <c r="Z58" s="14" t="e">
        <f t="shared" ca="1" si="19"/>
        <v>#N/A</v>
      </c>
      <c r="AA58" s="14" t="e">
        <f t="shared" ca="1" si="19"/>
        <v>#N/A</v>
      </c>
      <c r="AB58" s="14" t="e">
        <f t="shared" ca="1" si="19"/>
        <v>#N/A</v>
      </c>
      <c r="AC58" s="14" t="e">
        <f t="shared" ca="1" si="19"/>
        <v>#N/A</v>
      </c>
      <c r="AD58" s="14" t="e">
        <f t="shared" ca="1" si="19"/>
        <v>#N/A</v>
      </c>
      <c r="AE58" s="14" t="e">
        <f t="shared" ca="1" si="19"/>
        <v>#N/A</v>
      </c>
      <c r="AF58" s="14" t="e">
        <f t="shared" ca="1" si="19"/>
        <v>#N/A</v>
      </c>
      <c r="AG58" s="14" t="e">
        <f t="shared" ca="1" si="19"/>
        <v>#N/A</v>
      </c>
      <c r="AH58" s="14" t="e">
        <f t="shared" ref="G58:BR62" ca="1" si="22">$A58*H.Ar + $B58*H.Se + $C58*H.Ge + $D58*H.Ga</f>
        <v>#N/A</v>
      </c>
      <c r="AI58" s="14" t="e">
        <f t="shared" ca="1" si="22"/>
        <v>#N/A</v>
      </c>
      <c r="AJ58" s="14" t="e">
        <f t="shared" ca="1" si="22"/>
        <v>#N/A</v>
      </c>
      <c r="AK58" s="14" t="e">
        <f t="shared" ca="1" si="22"/>
        <v>#N/A</v>
      </c>
      <c r="AL58" s="14" t="e">
        <f t="shared" ca="1" si="22"/>
        <v>#N/A</v>
      </c>
      <c r="AM58" s="14" t="e">
        <f t="shared" ca="1" si="22"/>
        <v>#N/A</v>
      </c>
      <c r="AN58" s="14" t="e">
        <f t="shared" ca="1" si="22"/>
        <v>#N/A</v>
      </c>
      <c r="AO58" s="14" t="e">
        <f t="shared" ca="1" si="22"/>
        <v>#N/A</v>
      </c>
      <c r="AP58" s="14" t="e">
        <f t="shared" ca="1" si="22"/>
        <v>#N/A</v>
      </c>
      <c r="AQ58" s="14" t="e">
        <f t="shared" ca="1" si="22"/>
        <v>#N/A</v>
      </c>
      <c r="AR58" s="14" t="e">
        <f t="shared" ca="1" si="22"/>
        <v>#N/A</v>
      </c>
      <c r="AS58" s="14" t="e">
        <f t="shared" ca="1" si="22"/>
        <v>#N/A</v>
      </c>
      <c r="AT58" s="14" t="e">
        <f t="shared" ca="1" si="22"/>
        <v>#N/A</v>
      </c>
      <c r="AU58" s="14" t="e">
        <f t="shared" ca="1" si="22"/>
        <v>#N/A</v>
      </c>
      <c r="AV58" s="14" t="e">
        <f t="shared" ca="1" si="22"/>
        <v>#N/A</v>
      </c>
      <c r="AW58" s="14" t="e">
        <f t="shared" ca="1" si="22"/>
        <v>#N/A</v>
      </c>
      <c r="AX58" s="14" t="e">
        <f t="shared" ca="1" si="22"/>
        <v>#N/A</v>
      </c>
      <c r="AY58" s="14" t="e">
        <f t="shared" ca="1" si="22"/>
        <v>#N/A</v>
      </c>
      <c r="AZ58" s="14" t="e">
        <f t="shared" ca="1" si="22"/>
        <v>#N/A</v>
      </c>
      <c r="BA58" s="14" t="e">
        <f t="shared" ca="1" si="22"/>
        <v>#N/A</v>
      </c>
      <c r="BB58" s="14" t="e">
        <f t="shared" ca="1" si="22"/>
        <v>#N/A</v>
      </c>
      <c r="BC58" s="14" t="e">
        <f t="shared" ca="1" si="22"/>
        <v>#N/A</v>
      </c>
      <c r="BD58" s="14" t="e">
        <f t="shared" ca="1" si="22"/>
        <v>#N/A</v>
      </c>
      <c r="BE58" s="14" t="e">
        <f t="shared" ca="1" si="22"/>
        <v>#N/A</v>
      </c>
      <c r="BF58" s="14" t="e">
        <f t="shared" ca="1" si="22"/>
        <v>#N/A</v>
      </c>
      <c r="BG58" s="14" t="e">
        <f t="shared" ca="1" si="22"/>
        <v>#N/A</v>
      </c>
      <c r="BH58" s="14" t="e">
        <f t="shared" ca="1" si="22"/>
        <v>#N/A</v>
      </c>
      <c r="BI58" s="14" t="e">
        <f t="shared" ca="1" si="22"/>
        <v>#N/A</v>
      </c>
      <c r="BJ58" s="14" t="e">
        <f t="shared" ca="1" si="22"/>
        <v>#N/A</v>
      </c>
      <c r="BK58" s="14" t="e">
        <f t="shared" ca="1" si="22"/>
        <v>#N/A</v>
      </c>
      <c r="BL58" s="14" t="e">
        <f t="shared" ca="1" si="22"/>
        <v>#N/A</v>
      </c>
      <c r="BM58" s="14" t="e">
        <f t="shared" ca="1" si="22"/>
        <v>#N/A</v>
      </c>
      <c r="BN58" s="14" t="e">
        <f t="shared" ca="1" si="22"/>
        <v>#N/A</v>
      </c>
      <c r="BO58" s="14" t="e">
        <f t="shared" ca="1" si="22"/>
        <v>#N/A</v>
      </c>
      <c r="BP58" s="14" t="e">
        <f t="shared" ca="1" si="22"/>
        <v>#N/A</v>
      </c>
      <c r="BQ58" s="14" t="e">
        <f t="shared" ca="1" si="22"/>
        <v>#N/A</v>
      </c>
      <c r="BR58" s="14" t="e">
        <f t="shared" ca="1" si="22"/>
        <v>#N/A</v>
      </c>
      <c r="BS58" s="98"/>
    </row>
    <row r="59" spans="1:71" ht="21" customHeight="1" outlineLevel="1" thickBot="1" x14ac:dyDescent="0.4">
      <c r="A59" s="5">
        <f t="shared" si="20"/>
        <v>0</v>
      </c>
      <c r="B59" s="5">
        <f t="shared" si="20"/>
        <v>0</v>
      </c>
      <c r="C59" s="5">
        <f t="shared" si="20"/>
        <v>0</v>
      </c>
      <c r="D59" s="5">
        <f t="shared" si="20"/>
        <v>0</v>
      </c>
      <c r="E59" s="6">
        <f t="shared" si="20"/>
        <v>0</v>
      </c>
      <c r="F59" s="14" t="e">
        <f t="shared" ca="1" si="21"/>
        <v>#N/A</v>
      </c>
      <c r="G59" s="14" t="e">
        <f t="shared" ca="1" si="22"/>
        <v>#N/A</v>
      </c>
      <c r="H59" s="14" t="e">
        <f t="shared" ca="1" si="22"/>
        <v>#N/A</v>
      </c>
      <c r="I59" s="14" t="e">
        <f t="shared" ca="1" si="22"/>
        <v>#N/A</v>
      </c>
      <c r="J59" s="14" t="e">
        <f t="shared" ca="1" si="22"/>
        <v>#N/A</v>
      </c>
      <c r="K59" s="14" t="e">
        <f t="shared" ca="1" si="22"/>
        <v>#N/A</v>
      </c>
      <c r="L59" s="14" t="e">
        <f t="shared" ca="1" si="22"/>
        <v>#N/A</v>
      </c>
      <c r="M59" s="14" t="e">
        <f t="shared" ca="1" si="22"/>
        <v>#N/A</v>
      </c>
      <c r="N59" s="14" t="e">
        <f t="shared" ca="1" si="22"/>
        <v>#N/A</v>
      </c>
      <c r="O59" s="14" t="e">
        <f t="shared" ca="1" si="22"/>
        <v>#N/A</v>
      </c>
      <c r="P59" s="14" t="e">
        <f t="shared" ca="1" si="22"/>
        <v>#N/A</v>
      </c>
      <c r="Q59" s="14" t="e">
        <f t="shared" ca="1" si="22"/>
        <v>#N/A</v>
      </c>
      <c r="R59" s="14" t="e">
        <f t="shared" ca="1" si="22"/>
        <v>#N/A</v>
      </c>
      <c r="S59" s="14" t="e">
        <f t="shared" ca="1" si="22"/>
        <v>#N/A</v>
      </c>
      <c r="T59" s="14" t="e">
        <f t="shared" ca="1" si="22"/>
        <v>#N/A</v>
      </c>
      <c r="U59" s="14" t="e">
        <f t="shared" ca="1" si="22"/>
        <v>#N/A</v>
      </c>
      <c r="V59" s="14" t="e">
        <f t="shared" ca="1" si="22"/>
        <v>#N/A</v>
      </c>
      <c r="W59" s="14" t="e">
        <f t="shared" ca="1" si="22"/>
        <v>#N/A</v>
      </c>
      <c r="X59" s="14" t="e">
        <f t="shared" ca="1" si="22"/>
        <v>#N/A</v>
      </c>
      <c r="Y59" s="14" t="e">
        <f t="shared" ca="1" si="22"/>
        <v>#N/A</v>
      </c>
      <c r="Z59" s="14" t="e">
        <f t="shared" ca="1" si="22"/>
        <v>#N/A</v>
      </c>
      <c r="AA59" s="14" t="e">
        <f t="shared" ca="1" si="22"/>
        <v>#N/A</v>
      </c>
      <c r="AB59" s="14" t="e">
        <f t="shared" ca="1" si="22"/>
        <v>#N/A</v>
      </c>
      <c r="AC59" s="14" t="e">
        <f t="shared" ca="1" si="22"/>
        <v>#N/A</v>
      </c>
      <c r="AD59" s="14" t="e">
        <f t="shared" ca="1" si="22"/>
        <v>#N/A</v>
      </c>
      <c r="AE59" s="14" t="e">
        <f t="shared" ca="1" si="22"/>
        <v>#N/A</v>
      </c>
      <c r="AF59" s="14" t="e">
        <f t="shared" ca="1" si="22"/>
        <v>#N/A</v>
      </c>
      <c r="AG59" s="14" t="e">
        <f t="shared" ca="1" si="22"/>
        <v>#N/A</v>
      </c>
      <c r="AH59" s="14" t="e">
        <f t="shared" ca="1" si="22"/>
        <v>#N/A</v>
      </c>
      <c r="AI59" s="14" t="e">
        <f t="shared" ca="1" si="22"/>
        <v>#N/A</v>
      </c>
      <c r="AJ59" s="14" t="e">
        <f t="shared" ca="1" si="22"/>
        <v>#N/A</v>
      </c>
      <c r="AK59" s="14" t="e">
        <f t="shared" ca="1" si="22"/>
        <v>#N/A</v>
      </c>
      <c r="AL59" s="14" t="e">
        <f t="shared" ca="1" si="22"/>
        <v>#N/A</v>
      </c>
      <c r="AM59" s="14" t="e">
        <f t="shared" ca="1" si="22"/>
        <v>#N/A</v>
      </c>
      <c r="AN59" s="14" t="e">
        <f t="shared" ca="1" si="22"/>
        <v>#N/A</v>
      </c>
      <c r="AO59" s="14" t="e">
        <f t="shared" ca="1" si="22"/>
        <v>#N/A</v>
      </c>
      <c r="AP59" s="14" t="e">
        <f t="shared" ca="1" si="22"/>
        <v>#N/A</v>
      </c>
      <c r="AQ59" s="14" t="e">
        <f t="shared" ca="1" si="22"/>
        <v>#N/A</v>
      </c>
      <c r="AR59" s="14" t="e">
        <f t="shared" ca="1" si="22"/>
        <v>#N/A</v>
      </c>
      <c r="AS59" s="14" t="e">
        <f t="shared" ca="1" si="22"/>
        <v>#N/A</v>
      </c>
      <c r="AT59" s="14" t="e">
        <f t="shared" ca="1" si="22"/>
        <v>#N/A</v>
      </c>
      <c r="AU59" s="14" t="e">
        <f t="shared" ca="1" si="22"/>
        <v>#N/A</v>
      </c>
      <c r="AV59" s="14" t="e">
        <f t="shared" ca="1" si="22"/>
        <v>#N/A</v>
      </c>
      <c r="AW59" s="14" t="e">
        <f t="shared" ca="1" si="22"/>
        <v>#N/A</v>
      </c>
      <c r="AX59" s="14" t="e">
        <f t="shared" ca="1" si="22"/>
        <v>#N/A</v>
      </c>
      <c r="AY59" s="14" t="e">
        <f t="shared" ca="1" si="22"/>
        <v>#N/A</v>
      </c>
      <c r="AZ59" s="14" t="e">
        <f t="shared" ca="1" si="22"/>
        <v>#N/A</v>
      </c>
      <c r="BA59" s="14" t="e">
        <f t="shared" ca="1" si="22"/>
        <v>#N/A</v>
      </c>
      <c r="BB59" s="14" t="e">
        <f t="shared" ca="1" si="22"/>
        <v>#N/A</v>
      </c>
      <c r="BC59" s="14" t="e">
        <f t="shared" ca="1" si="22"/>
        <v>#N/A</v>
      </c>
      <c r="BD59" s="14" t="e">
        <f t="shared" ca="1" si="22"/>
        <v>#N/A</v>
      </c>
      <c r="BE59" s="14" t="e">
        <f t="shared" ca="1" si="22"/>
        <v>#N/A</v>
      </c>
      <c r="BF59" s="14" t="e">
        <f t="shared" ca="1" si="22"/>
        <v>#N/A</v>
      </c>
      <c r="BG59" s="14" t="e">
        <f t="shared" ca="1" si="22"/>
        <v>#N/A</v>
      </c>
      <c r="BH59" s="14" t="e">
        <f t="shared" ca="1" si="22"/>
        <v>#N/A</v>
      </c>
      <c r="BI59" s="14" t="e">
        <f t="shared" ca="1" si="22"/>
        <v>#N/A</v>
      </c>
      <c r="BJ59" s="14" t="e">
        <f t="shared" ca="1" si="22"/>
        <v>#N/A</v>
      </c>
      <c r="BK59" s="14" t="e">
        <f t="shared" ca="1" si="22"/>
        <v>#N/A</v>
      </c>
      <c r="BL59" s="14" t="e">
        <f t="shared" ca="1" si="22"/>
        <v>#N/A</v>
      </c>
      <c r="BM59" s="14" t="e">
        <f t="shared" ca="1" si="22"/>
        <v>#N/A</v>
      </c>
      <c r="BN59" s="14" t="e">
        <f t="shared" ca="1" si="22"/>
        <v>#N/A</v>
      </c>
      <c r="BO59" s="14" t="e">
        <f t="shared" ca="1" si="22"/>
        <v>#N/A</v>
      </c>
      <c r="BP59" s="14" t="e">
        <f t="shared" ca="1" si="22"/>
        <v>#N/A</v>
      </c>
      <c r="BQ59" s="14" t="e">
        <f t="shared" ca="1" si="22"/>
        <v>#N/A</v>
      </c>
      <c r="BR59" s="14" t="e">
        <f t="shared" ca="1" si="22"/>
        <v>#N/A</v>
      </c>
      <c r="BS59" s="98"/>
    </row>
    <row r="60" spans="1:71" ht="21" customHeight="1" outlineLevel="1" thickBot="1" x14ac:dyDescent="0.4">
      <c r="A60" s="5">
        <f t="shared" si="20"/>
        <v>0</v>
      </c>
      <c r="B60" s="5">
        <f t="shared" si="20"/>
        <v>0</v>
      </c>
      <c r="C60" s="5">
        <f t="shared" si="20"/>
        <v>0</v>
      </c>
      <c r="D60" s="5">
        <f t="shared" si="20"/>
        <v>0</v>
      </c>
      <c r="E60" s="6">
        <f t="shared" si="20"/>
        <v>0</v>
      </c>
      <c r="F60" s="14" t="e">
        <f t="shared" ca="1" si="21"/>
        <v>#N/A</v>
      </c>
      <c r="G60" s="14" t="e">
        <f t="shared" ca="1" si="22"/>
        <v>#N/A</v>
      </c>
      <c r="H60" s="14" t="e">
        <f t="shared" ca="1" si="22"/>
        <v>#N/A</v>
      </c>
      <c r="I60" s="14" t="e">
        <f t="shared" ca="1" si="22"/>
        <v>#N/A</v>
      </c>
      <c r="J60" s="14" t="e">
        <f t="shared" ca="1" si="22"/>
        <v>#N/A</v>
      </c>
      <c r="K60" s="14" t="e">
        <f t="shared" ca="1" si="22"/>
        <v>#N/A</v>
      </c>
      <c r="L60" s="14" t="e">
        <f t="shared" ca="1" si="22"/>
        <v>#N/A</v>
      </c>
      <c r="M60" s="14" t="e">
        <f t="shared" ca="1" si="22"/>
        <v>#N/A</v>
      </c>
      <c r="N60" s="14" t="e">
        <f t="shared" ca="1" si="22"/>
        <v>#N/A</v>
      </c>
      <c r="O60" s="14" t="e">
        <f t="shared" ca="1" si="22"/>
        <v>#N/A</v>
      </c>
      <c r="P60" s="14" t="e">
        <f t="shared" ca="1" si="22"/>
        <v>#N/A</v>
      </c>
      <c r="Q60" s="14" t="e">
        <f t="shared" ca="1" si="22"/>
        <v>#N/A</v>
      </c>
      <c r="R60" s="14" t="e">
        <f t="shared" ca="1" si="22"/>
        <v>#N/A</v>
      </c>
      <c r="S60" s="14" t="e">
        <f t="shared" ca="1" si="22"/>
        <v>#N/A</v>
      </c>
      <c r="T60" s="14" t="e">
        <f t="shared" ca="1" si="22"/>
        <v>#N/A</v>
      </c>
      <c r="U60" s="14" t="e">
        <f t="shared" ca="1" si="22"/>
        <v>#N/A</v>
      </c>
      <c r="V60" s="14" t="e">
        <f t="shared" ca="1" si="22"/>
        <v>#N/A</v>
      </c>
      <c r="W60" s="14" t="e">
        <f t="shared" ca="1" si="22"/>
        <v>#N/A</v>
      </c>
      <c r="X60" s="14" t="e">
        <f t="shared" ca="1" si="22"/>
        <v>#N/A</v>
      </c>
      <c r="Y60" s="14" t="e">
        <f t="shared" ca="1" si="22"/>
        <v>#N/A</v>
      </c>
      <c r="Z60" s="14" t="e">
        <f t="shared" ca="1" si="22"/>
        <v>#N/A</v>
      </c>
      <c r="AA60" s="14" t="e">
        <f t="shared" ca="1" si="22"/>
        <v>#N/A</v>
      </c>
      <c r="AB60" s="14" t="e">
        <f t="shared" ca="1" si="22"/>
        <v>#N/A</v>
      </c>
      <c r="AC60" s="14" t="e">
        <f t="shared" ca="1" si="22"/>
        <v>#N/A</v>
      </c>
      <c r="AD60" s="14" t="e">
        <f t="shared" ca="1" si="22"/>
        <v>#N/A</v>
      </c>
      <c r="AE60" s="14" t="e">
        <f t="shared" ca="1" si="22"/>
        <v>#N/A</v>
      </c>
      <c r="AF60" s="14" t="e">
        <f t="shared" ca="1" si="22"/>
        <v>#N/A</v>
      </c>
      <c r="AG60" s="14" t="e">
        <f t="shared" ca="1" si="22"/>
        <v>#N/A</v>
      </c>
      <c r="AH60" s="14" t="e">
        <f t="shared" ca="1" si="22"/>
        <v>#N/A</v>
      </c>
      <c r="AI60" s="14" t="e">
        <f t="shared" ca="1" si="22"/>
        <v>#N/A</v>
      </c>
      <c r="AJ60" s="14" t="e">
        <f t="shared" ca="1" si="22"/>
        <v>#N/A</v>
      </c>
      <c r="AK60" s="14" t="e">
        <f t="shared" ca="1" si="22"/>
        <v>#N/A</v>
      </c>
      <c r="AL60" s="14" t="e">
        <f t="shared" ca="1" si="22"/>
        <v>#N/A</v>
      </c>
      <c r="AM60" s="14" t="e">
        <f t="shared" ca="1" si="22"/>
        <v>#N/A</v>
      </c>
      <c r="AN60" s="14" t="e">
        <f t="shared" ca="1" si="22"/>
        <v>#N/A</v>
      </c>
      <c r="AO60" s="14" t="e">
        <f t="shared" ca="1" si="22"/>
        <v>#N/A</v>
      </c>
      <c r="AP60" s="14" t="e">
        <f t="shared" ca="1" si="22"/>
        <v>#N/A</v>
      </c>
      <c r="AQ60" s="14" t="e">
        <f t="shared" ca="1" si="22"/>
        <v>#N/A</v>
      </c>
      <c r="AR60" s="14" t="e">
        <f t="shared" ca="1" si="22"/>
        <v>#N/A</v>
      </c>
      <c r="AS60" s="14" t="e">
        <f t="shared" ca="1" si="22"/>
        <v>#N/A</v>
      </c>
      <c r="AT60" s="14" t="e">
        <f t="shared" ca="1" si="22"/>
        <v>#N/A</v>
      </c>
      <c r="AU60" s="14" t="e">
        <f t="shared" ca="1" si="22"/>
        <v>#N/A</v>
      </c>
      <c r="AV60" s="14" t="e">
        <f t="shared" ca="1" si="22"/>
        <v>#N/A</v>
      </c>
      <c r="AW60" s="14" t="e">
        <f t="shared" ca="1" si="22"/>
        <v>#N/A</v>
      </c>
      <c r="AX60" s="14" t="e">
        <f t="shared" ca="1" si="22"/>
        <v>#N/A</v>
      </c>
      <c r="AY60" s="14" t="e">
        <f t="shared" ca="1" si="22"/>
        <v>#N/A</v>
      </c>
      <c r="AZ60" s="14" t="e">
        <f t="shared" ca="1" si="22"/>
        <v>#N/A</v>
      </c>
      <c r="BA60" s="14" t="e">
        <f t="shared" ca="1" si="22"/>
        <v>#N/A</v>
      </c>
      <c r="BB60" s="14" t="e">
        <f t="shared" ca="1" si="22"/>
        <v>#N/A</v>
      </c>
      <c r="BC60" s="14" t="e">
        <f t="shared" ca="1" si="22"/>
        <v>#N/A</v>
      </c>
      <c r="BD60" s="14" t="e">
        <f t="shared" ca="1" si="22"/>
        <v>#N/A</v>
      </c>
      <c r="BE60" s="14" t="e">
        <f t="shared" ca="1" si="22"/>
        <v>#N/A</v>
      </c>
      <c r="BF60" s="14" t="e">
        <f t="shared" ca="1" si="22"/>
        <v>#N/A</v>
      </c>
      <c r="BG60" s="14" t="e">
        <f t="shared" ca="1" si="22"/>
        <v>#N/A</v>
      </c>
      <c r="BH60" s="14" t="e">
        <f t="shared" ca="1" si="22"/>
        <v>#N/A</v>
      </c>
      <c r="BI60" s="14" t="e">
        <f t="shared" ca="1" si="22"/>
        <v>#N/A</v>
      </c>
      <c r="BJ60" s="14" t="e">
        <f t="shared" ca="1" si="22"/>
        <v>#N/A</v>
      </c>
      <c r="BK60" s="14" t="e">
        <f t="shared" ca="1" si="22"/>
        <v>#N/A</v>
      </c>
      <c r="BL60" s="14" t="e">
        <f t="shared" ca="1" si="22"/>
        <v>#N/A</v>
      </c>
      <c r="BM60" s="14" t="e">
        <f t="shared" ca="1" si="22"/>
        <v>#N/A</v>
      </c>
      <c r="BN60" s="14" t="e">
        <f t="shared" ca="1" si="22"/>
        <v>#N/A</v>
      </c>
      <c r="BO60" s="14" t="e">
        <f t="shared" ca="1" si="22"/>
        <v>#N/A</v>
      </c>
      <c r="BP60" s="14" t="e">
        <f t="shared" ca="1" si="22"/>
        <v>#N/A</v>
      </c>
      <c r="BQ60" s="14" t="e">
        <f t="shared" ca="1" si="22"/>
        <v>#N/A</v>
      </c>
      <c r="BR60" s="14" t="e">
        <f t="shared" ca="1" si="22"/>
        <v>#N/A</v>
      </c>
      <c r="BS60" s="98"/>
    </row>
    <row r="61" spans="1:71" ht="21" customHeight="1" outlineLevel="1" thickBot="1" x14ac:dyDescent="0.4">
      <c r="A61" s="5">
        <f t="shared" si="20"/>
        <v>0</v>
      </c>
      <c r="B61" s="5">
        <f t="shared" si="20"/>
        <v>0</v>
      </c>
      <c r="C61" s="5">
        <f t="shared" si="20"/>
        <v>0</v>
      </c>
      <c r="D61" s="5">
        <f t="shared" si="20"/>
        <v>0</v>
      </c>
      <c r="E61" s="6">
        <f t="shared" si="20"/>
        <v>0</v>
      </c>
      <c r="F61" s="14" t="e">
        <f t="shared" ca="1" si="21"/>
        <v>#N/A</v>
      </c>
      <c r="G61" s="14" t="e">
        <f t="shared" ca="1" si="22"/>
        <v>#N/A</v>
      </c>
      <c r="H61" s="14" t="e">
        <f t="shared" ca="1" si="22"/>
        <v>#N/A</v>
      </c>
      <c r="I61" s="14" t="e">
        <f t="shared" ca="1" si="22"/>
        <v>#N/A</v>
      </c>
      <c r="J61" s="14" t="e">
        <f t="shared" ca="1" si="22"/>
        <v>#N/A</v>
      </c>
      <c r="K61" s="14" t="e">
        <f t="shared" ca="1" si="22"/>
        <v>#N/A</v>
      </c>
      <c r="L61" s="14" t="e">
        <f t="shared" ca="1" si="22"/>
        <v>#N/A</v>
      </c>
      <c r="M61" s="14" t="e">
        <f t="shared" ca="1" si="22"/>
        <v>#N/A</v>
      </c>
      <c r="N61" s="14" t="e">
        <f t="shared" ca="1" si="22"/>
        <v>#N/A</v>
      </c>
      <c r="O61" s="14" t="e">
        <f t="shared" ca="1" si="22"/>
        <v>#N/A</v>
      </c>
      <c r="P61" s="14" t="e">
        <f t="shared" ca="1" si="22"/>
        <v>#N/A</v>
      </c>
      <c r="Q61" s="14" t="e">
        <f t="shared" ca="1" si="22"/>
        <v>#N/A</v>
      </c>
      <c r="R61" s="14" t="e">
        <f t="shared" ca="1" si="22"/>
        <v>#N/A</v>
      </c>
      <c r="S61" s="14" t="e">
        <f t="shared" ca="1" si="22"/>
        <v>#N/A</v>
      </c>
      <c r="T61" s="14" t="e">
        <f t="shared" ca="1" si="22"/>
        <v>#N/A</v>
      </c>
      <c r="U61" s="14" t="e">
        <f t="shared" ca="1" si="22"/>
        <v>#N/A</v>
      </c>
      <c r="V61" s="14" t="e">
        <f t="shared" ca="1" si="22"/>
        <v>#N/A</v>
      </c>
      <c r="W61" s="14" t="e">
        <f t="shared" ca="1" si="22"/>
        <v>#N/A</v>
      </c>
      <c r="X61" s="14" t="e">
        <f t="shared" ca="1" si="22"/>
        <v>#N/A</v>
      </c>
      <c r="Y61" s="14" t="e">
        <f t="shared" ca="1" si="22"/>
        <v>#N/A</v>
      </c>
      <c r="Z61" s="14" t="e">
        <f t="shared" ca="1" si="22"/>
        <v>#N/A</v>
      </c>
      <c r="AA61" s="14" t="e">
        <f t="shared" ca="1" si="22"/>
        <v>#N/A</v>
      </c>
      <c r="AB61" s="14" t="e">
        <f t="shared" ca="1" si="22"/>
        <v>#N/A</v>
      </c>
      <c r="AC61" s="14" t="e">
        <f t="shared" ca="1" si="22"/>
        <v>#N/A</v>
      </c>
      <c r="AD61" s="14" t="e">
        <f t="shared" ca="1" si="22"/>
        <v>#N/A</v>
      </c>
      <c r="AE61" s="14" t="e">
        <f t="shared" ca="1" si="22"/>
        <v>#N/A</v>
      </c>
      <c r="AF61" s="14" t="e">
        <f t="shared" ca="1" si="22"/>
        <v>#N/A</v>
      </c>
      <c r="AG61" s="14" t="e">
        <f t="shared" ca="1" si="22"/>
        <v>#N/A</v>
      </c>
      <c r="AH61" s="14" t="e">
        <f t="shared" ca="1" si="22"/>
        <v>#N/A</v>
      </c>
      <c r="AI61" s="14" t="e">
        <f t="shared" ca="1" si="22"/>
        <v>#N/A</v>
      </c>
      <c r="AJ61" s="14" t="e">
        <f t="shared" ca="1" si="22"/>
        <v>#N/A</v>
      </c>
      <c r="AK61" s="14" t="e">
        <f t="shared" ca="1" si="22"/>
        <v>#N/A</v>
      </c>
      <c r="AL61" s="14" t="e">
        <f t="shared" ca="1" si="22"/>
        <v>#N/A</v>
      </c>
      <c r="AM61" s="14" t="e">
        <f t="shared" ca="1" si="22"/>
        <v>#N/A</v>
      </c>
      <c r="AN61" s="14" t="e">
        <f t="shared" ca="1" si="22"/>
        <v>#N/A</v>
      </c>
      <c r="AO61" s="14" t="e">
        <f t="shared" ca="1" si="22"/>
        <v>#N/A</v>
      </c>
      <c r="AP61" s="14" t="e">
        <f t="shared" ca="1" si="22"/>
        <v>#N/A</v>
      </c>
      <c r="AQ61" s="14" t="e">
        <f t="shared" ca="1" si="22"/>
        <v>#N/A</v>
      </c>
      <c r="AR61" s="14" t="e">
        <f t="shared" ca="1" si="22"/>
        <v>#N/A</v>
      </c>
      <c r="AS61" s="14" t="e">
        <f t="shared" ca="1" si="22"/>
        <v>#N/A</v>
      </c>
      <c r="AT61" s="14" t="e">
        <f t="shared" ca="1" si="22"/>
        <v>#N/A</v>
      </c>
      <c r="AU61" s="14" t="e">
        <f t="shared" ca="1" si="22"/>
        <v>#N/A</v>
      </c>
      <c r="AV61" s="14" t="e">
        <f t="shared" ca="1" si="22"/>
        <v>#N/A</v>
      </c>
      <c r="AW61" s="14" t="e">
        <f t="shared" ca="1" si="22"/>
        <v>#N/A</v>
      </c>
      <c r="AX61" s="14" t="e">
        <f t="shared" ca="1" si="22"/>
        <v>#N/A</v>
      </c>
      <c r="AY61" s="14" t="e">
        <f t="shared" ca="1" si="22"/>
        <v>#N/A</v>
      </c>
      <c r="AZ61" s="14" t="e">
        <f t="shared" ca="1" si="22"/>
        <v>#N/A</v>
      </c>
      <c r="BA61" s="14" t="e">
        <f t="shared" ca="1" si="22"/>
        <v>#N/A</v>
      </c>
      <c r="BB61" s="14" t="e">
        <f t="shared" ca="1" si="22"/>
        <v>#N/A</v>
      </c>
      <c r="BC61" s="14" t="e">
        <f t="shared" ca="1" si="22"/>
        <v>#N/A</v>
      </c>
      <c r="BD61" s="14" t="e">
        <f t="shared" ca="1" si="22"/>
        <v>#N/A</v>
      </c>
      <c r="BE61" s="14" t="e">
        <f t="shared" ca="1" si="22"/>
        <v>#N/A</v>
      </c>
      <c r="BF61" s="14" t="e">
        <f t="shared" ca="1" si="22"/>
        <v>#N/A</v>
      </c>
      <c r="BG61" s="14" t="e">
        <f t="shared" ca="1" si="22"/>
        <v>#N/A</v>
      </c>
      <c r="BH61" s="14" t="e">
        <f t="shared" ca="1" si="22"/>
        <v>#N/A</v>
      </c>
      <c r="BI61" s="14" t="e">
        <f t="shared" ca="1" si="22"/>
        <v>#N/A</v>
      </c>
      <c r="BJ61" s="14" t="e">
        <f t="shared" ca="1" si="22"/>
        <v>#N/A</v>
      </c>
      <c r="BK61" s="14" t="e">
        <f t="shared" ca="1" si="22"/>
        <v>#N/A</v>
      </c>
      <c r="BL61" s="14" t="e">
        <f t="shared" ca="1" si="22"/>
        <v>#N/A</v>
      </c>
      <c r="BM61" s="14" t="e">
        <f t="shared" ca="1" si="22"/>
        <v>#N/A</v>
      </c>
      <c r="BN61" s="14" t="e">
        <f t="shared" ca="1" si="22"/>
        <v>#N/A</v>
      </c>
      <c r="BO61" s="14" t="e">
        <f t="shared" ca="1" si="22"/>
        <v>#N/A</v>
      </c>
      <c r="BP61" s="14" t="e">
        <f t="shared" ca="1" si="22"/>
        <v>#N/A</v>
      </c>
      <c r="BQ61" s="14" t="e">
        <f t="shared" ca="1" si="22"/>
        <v>#N/A</v>
      </c>
      <c r="BR61" s="14" t="e">
        <f t="shared" ca="1" si="22"/>
        <v>#N/A</v>
      </c>
      <c r="BS61" s="98"/>
    </row>
    <row r="62" spans="1:71" ht="21" customHeight="1" outlineLevel="1" thickBot="1" x14ac:dyDescent="0.4">
      <c r="A62" s="5">
        <f t="shared" si="20"/>
        <v>0</v>
      </c>
      <c r="B62" s="5">
        <f t="shared" si="20"/>
        <v>0</v>
      </c>
      <c r="C62" s="5">
        <f t="shared" si="20"/>
        <v>0</v>
      </c>
      <c r="D62" s="5">
        <f t="shared" si="20"/>
        <v>0</v>
      </c>
      <c r="E62" s="6">
        <f t="shared" si="20"/>
        <v>0</v>
      </c>
      <c r="F62" s="14" t="e">
        <f t="shared" ca="1" si="21"/>
        <v>#N/A</v>
      </c>
      <c r="G62" s="14" t="e">
        <f t="shared" ca="1" si="22"/>
        <v>#N/A</v>
      </c>
      <c r="H62" s="14" t="e">
        <f t="shared" ca="1" si="22"/>
        <v>#N/A</v>
      </c>
      <c r="I62" s="14" t="e">
        <f t="shared" ca="1" si="22"/>
        <v>#N/A</v>
      </c>
      <c r="J62" s="14" t="e">
        <f t="shared" ca="1" si="22"/>
        <v>#N/A</v>
      </c>
      <c r="K62" s="14" t="e">
        <f t="shared" ca="1" si="22"/>
        <v>#N/A</v>
      </c>
      <c r="L62" s="14" t="e">
        <f t="shared" ca="1" si="22"/>
        <v>#N/A</v>
      </c>
      <c r="M62" s="14" t="e">
        <f t="shared" ca="1" si="22"/>
        <v>#N/A</v>
      </c>
      <c r="N62" s="14" t="e">
        <f t="shared" ca="1" si="22"/>
        <v>#N/A</v>
      </c>
      <c r="O62" s="14" t="e">
        <f t="shared" ca="1" si="22"/>
        <v>#N/A</v>
      </c>
      <c r="P62" s="14" t="e">
        <f t="shared" ca="1" si="22"/>
        <v>#N/A</v>
      </c>
      <c r="Q62" s="14" t="e">
        <f t="shared" ca="1" si="22"/>
        <v>#N/A</v>
      </c>
      <c r="R62" s="14" t="e">
        <f t="shared" ca="1" si="22"/>
        <v>#N/A</v>
      </c>
      <c r="S62" s="14" t="e">
        <f t="shared" ca="1" si="22"/>
        <v>#N/A</v>
      </c>
      <c r="T62" s="14" t="e">
        <f t="shared" ca="1" si="22"/>
        <v>#N/A</v>
      </c>
      <c r="U62" s="14" t="e">
        <f t="shared" ca="1" si="22"/>
        <v>#N/A</v>
      </c>
      <c r="V62" s="14" t="e">
        <f t="shared" ca="1" si="22"/>
        <v>#N/A</v>
      </c>
      <c r="W62" s="14" t="e">
        <f t="shared" ca="1" si="22"/>
        <v>#N/A</v>
      </c>
      <c r="X62" s="14" t="e">
        <f t="shared" ca="1" si="22"/>
        <v>#N/A</v>
      </c>
      <c r="Y62" s="14" t="e">
        <f t="shared" ca="1" si="22"/>
        <v>#N/A</v>
      </c>
      <c r="Z62" s="14" t="e">
        <f t="shared" ca="1" si="22"/>
        <v>#N/A</v>
      </c>
      <c r="AA62" s="14" t="e">
        <f t="shared" ca="1" si="22"/>
        <v>#N/A</v>
      </c>
      <c r="AB62" s="14" t="e">
        <f t="shared" ca="1" si="22"/>
        <v>#N/A</v>
      </c>
      <c r="AC62" s="14" t="e">
        <f t="shared" ca="1" si="22"/>
        <v>#N/A</v>
      </c>
      <c r="AD62" s="14" t="e">
        <f t="shared" ca="1" si="22"/>
        <v>#N/A</v>
      </c>
      <c r="AE62" s="14" t="e">
        <f t="shared" ca="1" si="22"/>
        <v>#N/A</v>
      </c>
      <c r="AF62" s="14" t="e">
        <f t="shared" ca="1" si="22"/>
        <v>#N/A</v>
      </c>
      <c r="AG62" s="14" t="e">
        <f t="shared" ref="G62:BR66" ca="1" si="23">$A62*H.Ar + $B62*H.Se + $C62*H.Ge + $D62*H.Ga</f>
        <v>#N/A</v>
      </c>
      <c r="AH62" s="14" t="e">
        <f t="shared" ca="1" si="23"/>
        <v>#N/A</v>
      </c>
      <c r="AI62" s="14" t="e">
        <f t="shared" ca="1" si="23"/>
        <v>#N/A</v>
      </c>
      <c r="AJ62" s="14" t="e">
        <f t="shared" ca="1" si="23"/>
        <v>#N/A</v>
      </c>
      <c r="AK62" s="14" t="e">
        <f t="shared" ca="1" si="23"/>
        <v>#N/A</v>
      </c>
      <c r="AL62" s="14" t="e">
        <f t="shared" ca="1" si="23"/>
        <v>#N/A</v>
      </c>
      <c r="AM62" s="14" t="e">
        <f t="shared" ca="1" si="23"/>
        <v>#N/A</v>
      </c>
      <c r="AN62" s="14" t="e">
        <f t="shared" ca="1" si="23"/>
        <v>#N/A</v>
      </c>
      <c r="AO62" s="14" t="e">
        <f t="shared" ca="1" si="23"/>
        <v>#N/A</v>
      </c>
      <c r="AP62" s="14" t="e">
        <f t="shared" ca="1" si="23"/>
        <v>#N/A</v>
      </c>
      <c r="AQ62" s="14" t="e">
        <f t="shared" ca="1" si="23"/>
        <v>#N/A</v>
      </c>
      <c r="AR62" s="14" t="e">
        <f t="shared" ca="1" si="23"/>
        <v>#N/A</v>
      </c>
      <c r="AS62" s="14" t="e">
        <f t="shared" ca="1" si="23"/>
        <v>#N/A</v>
      </c>
      <c r="AT62" s="14" t="e">
        <f t="shared" ca="1" si="23"/>
        <v>#N/A</v>
      </c>
      <c r="AU62" s="14" t="e">
        <f t="shared" ca="1" si="23"/>
        <v>#N/A</v>
      </c>
      <c r="AV62" s="14" t="e">
        <f t="shared" ca="1" si="23"/>
        <v>#N/A</v>
      </c>
      <c r="AW62" s="14" t="e">
        <f t="shared" ca="1" si="23"/>
        <v>#N/A</v>
      </c>
      <c r="AX62" s="14" t="e">
        <f t="shared" ca="1" si="23"/>
        <v>#N/A</v>
      </c>
      <c r="AY62" s="14" t="e">
        <f t="shared" ca="1" si="23"/>
        <v>#N/A</v>
      </c>
      <c r="AZ62" s="14" t="e">
        <f t="shared" ca="1" si="23"/>
        <v>#N/A</v>
      </c>
      <c r="BA62" s="14" t="e">
        <f t="shared" ca="1" si="23"/>
        <v>#N/A</v>
      </c>
      <c r="BB62" s="14" t="e">
        <f t="shared" ca="1" si="23"/>
        <v>#N/A</v>
      </c>
      <c r="BC62" s="14" t="e">
        <f t="shared" ca="1" si="23"/>
        <v>#N/A</v>
      </c>
      <c r="BD62" s="14" t="e">
        <f t="shared" ca="1" si="23"/>
        <v>#N/A</v>
      </c>
      <c r="BE62" s="14" t="e">
        <f t="shared" ca="1" si="23"/>
        <v>#N/A</v>
      </c>
      <c r="BF62" s="14" t="e">
        <f t="shared" ca="1" si="23"/>
        <v>#N/A</v>
      </c>
      <c r="BG62" s="14" t="e">
        <f t="shared" ca="1" si="23"/>
        <v>#N/A</v>
      </c>
      <c r="BH62" s="14" t="e">
        <f t="shared" ca="1" si="23"/>
        <v>#N/A</v>
      </c>
      <c r="BI62" s="14" t="e">
        <f t="shared" ca="1" si="23"/>
        <v>#N/A</v>
      </c>
      <c r="BJ62" s="14" t="e">
        <f t="shared" ca="1" si="23"/>
        <v>#N/A</v>
      </c>
      <c r="BK62" s="14" t="e">
        <f t="shared" ca="1" si="23"/>
        <v>#N/A</v>
      </c>
      <c r="BL62" s="14" t="e">
        <f t="shared" ca="1" si="23"/>
        <v>#N/A</v>
      </c>
      <c r="BM62" s="14" t="e">
        <f t="shared" ca="1" si="23"/>
        <v>#N/A</v>
      </c>
      <c r="BN62" s="14" t="e">
        <f t="shared" ca="1" si="23"/>
        <v>#N/A</v>
      </c>
      <c r="BO62" s="14" t="e">
        <f t="shared" ca="1" si="23"/>
        <v>#N/A</v>
      </c>
      <c r="BP62" s="14" t="e">
        <f t="shared" ca="1" si="23"/>
        <v>#N/A</v>
      </c>
      <c r="BQ62" s="14" t="e">
        <f t="shared" ca="1" si="23"/>
        <v>#N/A</v>
      </c>
      <c r="BR62" s="14" t="e">
        <f t="shared" ca="1" si="23"/>
        <v>#N/A</v>
      </c>
      <c r="BS62" s="98"/>
    </row>
    <row r="63" spans="1:71" ht="21" customHeight="1" outlineLevel="1" thickBot="1" x14ac:dyDescent="0.4">
      <c r="A63" s="5">
        <f t="shared" si="20"/>
        <v>0</v>
      </c>
      <c r="B63" s="5">
        <f t="shared" si="20"/>
        <v>0</v>
      </c>
      <c r="C63" s="5">
        <f t="shared" si="20"/>
        <v>0</v>
      </c>
      <c r="D63" s="5">
        <f t="shared" si="20"/>
        <v>0</v>
      </c>
      <c r="E63" s="6">
        <f t="shared" si="20"/>
        <v>0</v>
      </c>
      <c r="F63" s="14" t="e">
        <f t="shared" ca="1" si="21"/>
        <v>#N/A</v>
      </c>
      <c r="G63" s="14" t="e">
        <f t="shared" ca="1" si="23"/>
        <v>#N/A</v>
      </c>
      <c r="H63" s="14" t="e">
        <f t="shared" ca="1" si="23"/>
        <v>#N/A</v>
      </c>
      <c r="I63" s="14" t="e">
        <f t="shared" ca="1" si="23"/>
        <v>#N/A</v>
      </c>
      <c r="J63" s="14" t="e">
        <f t="shared" ca="1" si="23"/>
        <v>#N/A</v>
      </c>
      <c r="K63" s="14" t="e">
        <f t="shared" ca="1" si="23"/>
        <v>#N/A</v>
      </c>
      <c r="L63" s="14" t="e">
        <f t="shared" ca="1" si="23"/>
        <v>#N/A</v>
      </c>
      <c r="M63" s="14" t="e">
        <f t="shared" ca="1" si="23"/>
        <v>#N/A</v>
      </c>
      <c r="N63" s="14" t="e">
        <f t="shared" ca="1" si="23"/>
        <v>#N/A</v>
      </c>
      <c r="O63" s="14" t="e">
        <f t="shared" ca="1" si="23"/>
        <v>#N/A</v>
      </c>
      <c r="P63" s="14" t="e">
        <f t="shared" ca="1" si="23"/>
        <v>#N/A</v>
      </c>
      <c r="Q63" s="14" t="e">
        <f t="shared" ca="1" si="23"/>
        <v>#N/A</v>
      </c>
      <c r="R63" s="14" t="e">
        <f t="shared" ca="1" si="23"/>
        <v>#N/A</v>
      </c>
      <c r="S63" s="14" t="e">
        <f t="shared" ca="1" si="23"/>
        <v>#N/A</v>
      </c>
      <c r="T63" s="14" t="e">
        <f t="shared" ca="1" si="23"/>
        <v>#N/A</v>
      </c>
      <c r="U63" s="14" t="e">
        <f t="shared" ca="1" si="23"/>
        <v>#N/A</v>
      </c>
      <c r="V63" s="14" t="e">
        <f t="shared" ca="1" si="23"/>
        <v>#N/A</v>
      </c>
      <c r="W63" s="14" t="e">
        <f t="shared" ca="1" si="23"/>
        <v>#N/A</v>
      </c>
      <c r="X63" s="14" t="e">
        <f t="shared" ca="1" si="23"/>
        <v>#N/A</v>
      </c>
      <c r="Y63" s="14" t="e">
        <f t="shared" ca="1" si="23"/>
        <v>#N/A</v>
      </c>
      <c r="Z63" s="14" t="e">
        <f t="shared" ca="1" si="23"/>
        <v>#N/A</v>
      </c>
      <c r="AA63" s="14" t="e">
        <f t="shared" ca="1" si="23"/>
        <v>#N/A</v>
      </c>
      <c r="AB63" s="14" t="e">
        <f t="shared" ca="1" si="23"/>
        <v>#N/A</v>
      </c>
      <c r="AC63" s="14" t="e">
        <f t="shared" ca="1" si="23"/>
        <v>#N/A</v>
      </c>
      <c r="AD63" s="14" t="e">
        <f t="shared" ca="1" si="23"/>
        <v>#N/A</v>
      </c>
      <c r="AE63" s="14" t="e">
        <f t="shared" ca="1" si="23"/>
        <v>#N/A</v>
      </c>
      <c r="AF63" s="14" t="e">
        <f t="shared" ca="1" si="23"/>
        <v>#N/A</v>
      </c>
      <c r="AG63" s="14" t="e">
        <f t="shared" ca="1" si="23"/>
        <v>#N/A</v>
      </c>
      <c r="AH63" s="14" t="e">
        <f t="shared" ca="1" si="23"/>
        <v>#N/A</v>
      </c>
      <c r="AI63" s="14" t="e">
        <f t="shared" ca="1" si="23"/>
        <v>#N/A</v>
      </c>
      <c r="AJ63" s="14" t="e">
        <f t="shared" ca="1" si="23"/>
        <v>#N/A</v>
      </c>
      <c r="AK63" s="14" t="e">
        <f t="shared" ca="1" si="23"/>
        <v>#N/A</v>
      </c>
      <c r="AL63" s="14" t="e">
        <f t="shared" ca="1" si="23"/>
        <v>#N/A</v>
      </c>
      <c r="AM63" s="14" t="e">
        <f t="shared" ca="1" si="23"/>
        <v>#N/A</v>
      </c>
      <c r="AN63" s="14" t="e">
        <f t="shared" ca="1" si="23"/>
        <v>#N/A</v>
      </c>
      <c r="AO63" s="14" t="e">
        <f t="shared" ca="1" si="23"/>
        <v>#N/A</v>
      </c>
      <c r="AP63" s="14" t="e">
        <f t="shared" ca="1" si="23"/>
        <v>#N/A</v>
      </c>
      <c r="AQ63" s="14" t="e">
        <f t="shared" ca="1" si="23"/>
        <v>#N/A</v>
      </c>
      <c r="AR63" s="14" t="e">
        <f t="shared" ca="1" si="23"/>
        <v>#N/A</v>
      </c>
      <c r="AS63" s="14" t="e">
        <f t="shared" ca="1" si="23"/>
        <v>#N/A</v>
      </c>
      <c r="AT63" s="14" t="e">
        <f t="shared" ca="1" si="23"/>
        <v>#N/A</v>
      </c>
      <c r="AU63" s="14" t="e">
        <f t="shared" ca="1" si="23"/>
        <v>#N/A</v>
      </c>
      <c r="AV63" s="14" t="e">
        <f t="shared" ca="1" si="23"/>
        <v>#N/A</v>
      </c>
      <c r="AW63" s="14" t="e">
        <f t="shared" ca="1" si="23"/>
        <v>#N/A</v>
      </c>
      <c r="AX63" s="14" t="e">
        <f t="shared" ca="1" si="23"/>
        <v>#N/A</v>
      </c>
      <c r="AY63" s="14" t="e">
        <f t="shared" ca="1" si="23"/>
        <v>#N/A</v>
      </c>
      <c r="AZ63" s="14" t="e">
        <f t="shared" ca="1" si="23"/>
        <v>#N/A</v>
      </c>
      <c r="BA63" s="14" t="e">
        <f t="shared" ca="1" si="23"/>
        <v>#N/A</v>
      </c>
      <c r="BB63" s="14" t="e">
        <f t="shared" ca="1" si="23"/>
        <v>#N/A</v>
      </c>
      <c r="BC63" s="14" t="e">
        <f t="shared" ca="1" si="23"/>
        <v>#N/A</v>
      </c>
      <c r="BD63" s="14" t="e">
        <f t="shared" ca="1" si="23"/>
        <v>#N/A</v>
      </c>
      <c r="BE63" s="14" t="e">
        <f t="shared" ca="1" si="23"/>
        <v>#N/A</v>
      </c>
      <c r="BF63" s="14" t="e">
        <f t="shared" ca="1" si="23"/>
        <v>#N/A</v>
      </c>
      <c r="BG63" s="14" t="e">
        <f t="shared" ca="1" si="23"/>
        <v>#N/A</v>
      </c>
      <c r="BH63" s="14" t="e">
        <f t="shared" ca="1" si="23"/>
        <v>#N/A</v>
      </c>
      <c r="BI63" s="14" t="e">
        <f t="shared" ca="1" si="23"/>
        <v>#N/A</v>
      </c>
      <c r="BJ63" s="14" t="e">
        <f t="shared" ca="1" si="23"/>
        <v>#N/A</v>
      </c>
      <c r="BK63" s="14" t="e">
        <f t="shared" ca="1" si="23"/>
        <v>#N/A</v>
      </c>
      <c r="BL63" s="14" t="e">
        <f t="shared" ca="1" si="23"/>
        <v>#N/A</v>
      </c>
      <c r="BM63" s="14" t="e">
        <f t="shared" ca="1" si="23"/>
        <v>#N/A</v>
      </c>
      <c r="BN63" s="14" t="e">
        <f t="shared" ca="1" si="23"/>
        <v>#N/A</v>
      </c>
      <c r="BO63" s="14" t="e">
        <f t="shared" ca="1" si="23"/>
        <v>#N/A</v>
      </c>
      <c r="BP63" s="14" t="e">
        <f t="shared" ca="1" si="23"/>
        <v>#N/A</v>
      </c>
      <c r="BQ63" s="14" t="e">
        <f t="shared" ca="1" si="23"/>
        <v>#N/A</v>
      </c>
      <c r="BR63" s="14" t="e">
        <f t="shared" ca="1" si="23"/>
        <v>#N/A</v>
      </c>
      <c r="BS63" s="98"/>
    </row>
    <row r="64" spans="1:71" ht="21" customHeight="1" outlineLevel="1" thickBot="1" x14ac:dyDescent="0.4">
      <c r="A64" s="5">
        <f t="shared" si="20"/>
        <v>0</v>
      </c>
      <c r="B64" s="5">
        <f t="shared" si="20"/>
        <v>0</v>
      </c>
      <c r="C64" s="5">
        <f t="shared" si="20"/>
        <v>0</v>
      </c>
      <c r="D64" s="5">
        <f t="shared" si="20"/>
        <v>0</v>
      </c>
      <c r="E64" s="6">
        <f t="shared" si="20"/>
        <v>0</v>
      </c>
      <c r="F64" s="14" t="e">
        <f t="shared" ca="1" si="21"/>
        <v>#N/A</v>
      </c>
      <c r="G64" s="14" t="e">
        <f t="shared" ca="1" si="23"/>
        <v>#N/A</v>
      </c>
      <c r="H64" s="14" t="e">
        <f t="shared" ca="1" si="23"/>
        <v>#N/A</v>
      </c>
      <c r="I64" s="14" t="e">
        <f t="shared" ca="1" si="23"/>
        <v>#N/A</v>
      </c>
      <c r="J64" s="14" t="e">
        <f t="shared" ca="1" si="23"/>
        <v>#N/A</v>
      </c>
      <c r="K64" s="14" t="e">
        <f t="shared" ca="1" si="23"/>
        <v>#N/A</v>
      </c>
      <c r="L64" s="14" t="e">
        <f t="shared" ca="1" si="23"/>
        <v>#N/A</v>
      </c>
      <c r="M64" s="14" t="e">
        <f t="shared" ca="1" si="23"/>
        <v>#N/A</v>
      </c>
      <c r="N64" s="14" t="e">
        <f t="shared" ca="1" si="23"/>
        <v>#N/A</v>
      </c>
      <c r="O64" s="14" t="e">
        <f t="shared" ca="1" si="23"/>
        <v>#N/A</v>
      </c>
      <c r="P64" s="14" t="e">
        <f t="shared" ca="1" si="23"/>
        <v>#N/A</v>
      </c>
      <c r="Q64" s="14" t="e">
        <f t="shared" ca="1" si="23"/>
        <v>#N/A</v>
      </c>
      <c r="R64" s="14" t="e">
        <f t="shared" ca="1" si="23"/>
        <v>#N/A</v>
      </c>
      <c r="S64" s="14" t="e">
        <f t="shared" ca="1" si="23"/>
        <v>#N/A</v>
      </c>
      <c r="T64" s="14" t="e">
        <f t="shared" ca="1" si="23"/>
        <v>#N/A</v>
      </c>
      <c r="U64" s="14" t="e">
        <f t="shared" ca="1" si="23"/>
        <v>#N/A</v>
      </c>
      <c r="V64" s="14" t="e">
        <f t="shared" ca="1" si="23"/>
        <v>#N/A</v>
      </c>
      <c r="W64" s="14" t="e">
        <f t="shared" ca="1" si="23"/>
        <v>#N/A</v>
      </c>
      <c r="X64" s="14" t="e">
        <f t="shared" ca="1" si="23"/>
        <v>#N/A</v>
      </c>
      <c r="Y64" s="14" t="e">
        <f t="shared" ca="1" si="23"/>
        <v>#N/A</v>
      </c>
      <c r="Z64" s="14" t="e">
        <f t="shared" ca="1" si="23"/>
        <v>#N/A</v>
      </c>
      <c r="AA64" s="14" t="e">
        <f t="shared" ca="1" si="23"/>
        <v>#N/A</v>
      </c>
      <c r="AB64" s="14" t="e">
        <f t="shared" ca="1" si="23"/>
        <v>#N/A</v>
      </c>
      <c r="AC64" s="14" t="e">
        <f t="shared" ca="1" si="23"/>
        <v>#N/A</v>
      </c>
      <c r="AD64" s="14" t="e">
        <f t="shared" ca="1" si="23"/>
        <v>#N/A</v>
      </c>
      <c r="AE64" s="14" t="e">
        <f t="shared" ca="1" si="23"/>
        <v>#N/A</v>
      </c>
      <c r="AF64" s="14" t="e">
        <f t="shared" ca="1" si="23"/>
        <v>#N/A</v>
      </c>
      <c r="AG64" s="14" t="e">
        <f t="shared" ca="1" si="23"/>
        <v>#N/A</v>
      </c>
      <c r="AH64" s="14" t="e">
        <f t="shared" ca="1" si="23"/>
        <v>#N/A</v>
      </c>
      <c r="AI64" s="14" t="e">
        <f t="shared" ca="1" si="23"/>
        <v>#N/A</v>
      </c>
      <c r="AJ64" s="14" t="e">
        <f t="shared" ca="1" si="23"/>
        <v>#N/A</v>
      </c>
      <c r="AK64" s="14" t="e">
        <f t="shared" ca="1" si="23"/>
        <v>#N/A</v>
      </c>
      <c r="AL64" s="14" t="e">
        <f t="shared" ca="1" si="23"/>
        <v>#N/A</v>
      </c>
      <c r="AM64" s="14" t="e">
        <f t="shared" ca="1" si="23"/>
        <v>#N/A</v>
      </c>
      <c r="AN64" s="14" t="e">
        <f t="shared" ca="1" si="23"/>
        <v>#N/A</v>
      </c>
      <c r="AO64" s="14" t="e">
        <f t="shared" ca="1" si="23"/>
        <v>#N/A</v>
      </c>
      <c r="AP64" s="14" t="e">
        <f t="shared" ca="1" si="23"/>
        <v>#N/A</v>
      </c>
      <c r="AQ64" s="14" t="e">
        <f t="shared" ca="1" si="23"/>
        <v>#N/A</v>
      </c>
      <c r="AR64" s="14" t="e">
        <f t="shared" ca="1" si="23"/>
        <v>#N/A</v>
      </c>
      <c r="AS64" s="14" t="e">
        <f t="shared" ca="1" si="23"/>
        <v>#N/A</v>
      </c>
      <c r="AT64" s="14" t="e">
        <f t="shared" ca="1" si="23"/>
        <v>#N/A</v>
      </c>
      <c r="AU64" s="14" t="e">
        <f t="shared" ca="1" si="23"/>
        <v>#N/A</v>
      </c>
      <c r="AV64" s="14" t="e">
        <f t="shared" ca="1" si="23"/>
        <v>#N/A</v>
      </c>
      <c r="AW64" s="14" t="e">
        <f t="shared" ca="1" si="23"/>
        <v>#N/A</v>
      </c>
      <c r="AX64" s="14" t="e">
        <f t="shared" ca="1" si="23"/>
        <v>#N/A</v>
      </c>
      <c r="AY64" s="14" t="e">
        <f t="shared" ca="1" si="23"/>
        <v>#N/A</v>
      </c>
      <c r="AZ64" s="14" t="e">
        <f t="shared" ca="1" si="23"/>
        <v>#N/A</v>
      </c>
      <c r="BA64" s="14" t="e">
        <f t="shared" ca="1" si="23"/>
        <v>#N/A</v>
      </c>
      <c r="BB64" s="14" t="e">
        <f t="shared" ca="1" si="23"/>
        <v>#N/A</v>
      </c>
      <c r="BC64" s="14" t="e">
        <f t="shared" ca="1" si="23"/>
        <v>#N/A</v>
      </c>
      <c r="BD64" s="14" t="e">
        <f t="shared" ca="1" si="23"/>
        <v>#N/A</v>
      </c>
      <c r="BE64" s="14" t="e">
        <f t="shared" ca="1" si="23"/>
        <v>#N/A</v>
      </c>
      <c r="BF64" s="14" t="e">
        <f t="shared" ca="1" si="23"/>
        <v>#N/A</v>
      </c>
      <c r="BG64" s="14" t="e">
        <f t="shared" ca="1" si="23"/>
        <v>#N/A</v>
      </c>
      <c r="BH64" s="14" t="e">
        <f t="shared" ca="1" si="23"/>
        <v>#N/A</v>
      </c>
      <c r="BI64" s="14" t="e">
        <f t="shared" ca="1" si="23"/>
        <v>#N/A</v>
      </c>
      <c r="BJ64" s="14" t="e">
        <f t="shared" ca="1" si="23"/>
        <v>#N/A</v>
      </c>
      <c r="BK64" s="14" t="e">
        <f t="shared" ca="1" si="23"/>
        <v>#N/A</v>
      </c>
      <c r="BL64" s="14" t="e">
        <f t="shared" ca="1" si="23"/>
        <v>#N/A</v>
      </c>
      <c r="BM64" s="14" t="e">
        <f t="shared" ca="1" si="23"/>
        <v>#N/A</v>
      </c>
      <c r="BN64" s="14" t="e">
        <f t="shared" ca="1" si="23"/>
        <v>#N/A</v>
      </c>
      <c r="BO64" s="14" t="e">
        <f t="shared" ca="1" si="23"/>
        <v>#N/A</v>
      </c>
      <c r="BP64" s="14" t="e">
        <f t="shared" ca="1" si="23"/>
        <v>#N/A</v>
      </c>
      <c r="BQ64" s="14" t="e">
        <f t="shared" ca="1" si="23"/>
        <v>#N/A</v>
      </c>
      <c r="BR64" s="14" t="e">
        <f t="shared" ca="1" si="23"/>
        <v>#N/A</v>
      </c>
      <c r="BS64" s="98"/>
    </row>
    <row r="65" spans="1:87" ht="21" customHeight="1" outlineLevel="1" thickBot="1" x14ac:dyDescent="0.4">
      <c r="A65" s="5">
        <f t="shared" si="20"/>
        <v>0</v>
      </c>
      <c r="B65" s="5">
        <f t="shared" si="20"/>
        <v>0</v>
      </c>
      <c r="C65" s="5">
        <f t="shared" si="20"/>
        <v>0</v>
      </c>
      <c r="D65" s="5">
        <f t="shared" si="20"/>
        <v>0</v>
      </c>
      <c r="E65" s="6">
        <f t="shared" si="20"/>
        <v>0</v>
      </c>
      <c r="F65" s="14" t="e">
        <f t="shared" ca="1" si="21"/>
        <v>#N/A</v>
      </c>
      <c r="G65" s="14" t="e">
        <f t="shared" ca="1" si="23"/>
        <v>#N/A</v>
      </c>
      <c r="H65" s="14" t="e">
        <f t="shared" ca="1" si="23"/>
        <v>#N/A</v>
      </c>
      <c r="I65" s="14" t="e">
        <f t="shared" ca="1" si="23"/>
        <v>#N/A</v>
      </c>
      <c r="J65" s="14" t="e">
        <f t="shared" ca="1" si="23"/>
        <v>#N/A</v>
      </c>
      <c r="K65" s="14" t="e">
        <f t="shared" ca="1" si="23"/>
        <v>#N/A</v>
      </c>
      <c r="L65" s="14" t="e">
        <f t="shared" ca="1" si="23"/>
        <v>#N/A</v>
      </c>
      <c r="M65" s="14" t="e">
        <f t="shared" ca="1" si="23"/>
        <v>#N/A</v>
      </c>
      <c r="N65" s="14" t="e">
        <f t="shared" ca="1" si="23"/>
        <v>#N/A</v>
      </c>
      <c r="O65" s="14" t="e">
        <f t="shared" ca="1" si="23"/>
        <v>#N/A</v>
      </c>
      <c r="P65" s="14" t="e">
        <f t="shared" ca="1" si="23"/>
        <v>#N/A</v>
      </c>
      <c r="Q65" s="14" t="e">
        <f t="shared" ca="1" si="23"/>
        <v>#N/A</v>
      </c>
      <c r="R65" s="14" t="e">
        <f t="shared" ca="1" si="23"/>
        <v>#N/A</v>
      </c>
      <c r="S65" s="14" t="e">
        <f t="shared" ca="1" si="23"/>
        <v>#N/A</v>
      </c>
      <c r="T65" s="14" t="e">
        <f t="shared" ca="1" si="23"/>
        <v>#N/A</v>
      </c>
      <c r="U65" s="14" t="e">
        <f t="shared" ca="1" si="23"/>
        <v>#N/A</v>
      </c>
      <c r="V65" s="14" t="e">
        <f t="shared" ca="1" si="23"/>
        <v>#N/A</v>
      </c>
      <c r="W65" s="14" t="e">
        <f t="shared" ca="1" si="23"/>
        <v>#N/A</v>
      </c>
      <c r="X65" s="14" t="e">
        <f t="shared" ca="1" si="23"/>
        <v>#N/A</v>
      </c>
      <c r="Y65" s="14" t="e">
        <f t="shared" ca="1" si="23"/>
        <v>#N/A</v>
      </c>
      <c r="Z65" s="14" t="e">
        <f t="shared" ca="1" si="23"/>
        <v>#N/A</v>
      </c>
      <c r="AA65" s="14" t="e">
        <f t="shared" ca="1" si="23"/>
        <v>#N/A</v>
      </c>
      <c r="AB65" s="14" t="e">
        <f t="shared" ca="1" si="23"/>
        <v>#N/A</v>
      </c>
      <c r="AC65" s="14" t="e">
        <f t="shared" ca="1" si="23"/>
        <v>#N/A</v>
      </c>
      <c r="AD65" s="14" t="e">
        <f t="shared" ca="1" si="23"/>
        <v>#N/A</v>
      </c>
      <c r="AE65" s="14" t="e">
        <f t="shared" ca="1" si="23"/>
        <v>#N/A</v>
      </c>
      <c r="AF65" s="14" t="e">
        <f t="shared" ca="1" si="23"/>
        <v>#N/A</v>
      </c>
      <c r="AG65" s="14" t="e">
        <f t="shared" ca="1" si="23"/>
        <v>#N/A</v>
      </c>
      <c r="AH65" s="14" t="e">
        <f t="shared" ca="1" si="23"/>
        <v>#N/A</v>
      </c>
      <c r="AI65" s="14" t="e">
        <f t="shared" ca="1" si="23"/>
        <v>#N/A</v>
      </c>
      <c r="AJ65" s="14" t="e">
        <f t="shared" ca="1" si="23"/>
        <v>#N/A</v>
      </c>
      <c r="AK65" s="14" t="e">
        <f t="shared" ca="1" si="23"/>
        <v>#N/A</v>
      </c>
      <c r="AL65" s="14" t="e">
        <f t="shared" ca="1" si="23"/>
        <v>#N/A</v>
      </c>
      <c r="AM65" s="14" t="e">
        <f t="shared" ca="1" si="23"/>
        <v>#N/A</v>
      </c>
      <c r="AN65" s="14" t="e">
        <f t="shared" ca="1" si="23"/>
        <v>#N/A</v>
      </c>
      <c r="AO65" s="14" t="e">
        <f t="shared" ca="1" si="23"/>
        <v>#N/A</v>
      </c>
      <c r="AP65" s="14" t="e">
        <f t="shared" ca="1" si="23"/>
        <v>#N/A</v>
      </c>
      <c r="AQ65" s="14" t="e">
        <f t="shared" ca="1" si="23"/>
        <v>#N/A</v>
      </c>
      <c r="AR65" s="14" t="e">
        <f t="shared" ca="1" si="23"/>
        <v>#N/A</v>
      </c>
      <c r="AS65" s="14" t="e">
        <f t="shared" ca="1" si="23"/>
        <v>#N/A</v>
      </c>
      <c r="AT65" s="14" t="e">
        <f t="shared" ca="1" si="23"/>
        <v>#N/A</v>
      </c>
      <c r="AU65" s="14" t="e">
        <f t="shared" ca="1" si="23"/>
        <v>#N/A</v>
      </c>
      <c r="AV65" s="14" t="e">
        <f t="shared" ca="1" si="23"/>
        <v>#N/A</v>
      </c>
      <c r="AW65" s="14" t="e">
        <f t="shared" ca="1" si="23"/>
        <v>#N/A</v>
      </c>
      <c r="AX65" s="14" t="e">
        <f t="shared" ca="1" si="23"/>
        <v>#N/A</v>
      </c>
      <c r="AY65" s="14" t="e">
        <f t="shared" ca="1" si="23"/>
        <v>#N/A</v>
      </c>
      <c r="AZ65" s="14" t="e">
        <f t="shared" ca="1" si="23"/>
        <v>#N/A</v>
      </c>
      <c r="BA65" s="14" t="e">
        <f t="shared" ca="1" si="23"/>
        <v>#N/A</v>
      </c>
      <c r="BB65" s="14" t="e">
        <f t="shared" ca="1" si="23"/>
        <v>#N/A</v>
      </c>
      <c r="BC65" s="14" t="e">
        <f t="shared" ca="1" si="23"/>
        <v>#N/A</v>
      </c>
      <c r="BD65" s="14" t="e">
        <f t="shared" ca="1" si="23"/>
        <v>#N/A</v>
      </c>
      <c r="BE65" s="14" t="e">
        <f t="shared" ca="1" si="23"/>
        <v>#N/A</v>
      </c>
      <c r="BF65" s="14" t="e">
        <f t="shared" ca="1" si="23"/>
        <v>#N/A</v>
      </c>
      <c r="BG65" s="14" t="e">
        <f t="shared" ca="1" si="23"/>
        <v>#N/A</v>
      </c>
      <c r="BH65" s="14" t="e">
        <f t="shared" ca="1" si="23"/>
        <v>#N/A</v>
      </c>
      <c r="BI65" s="14" t="e">
        <f t="shared" ca="1" si="23"/>
        <v>#N/A</v>
      </c>
      <c r="BJ65" s="14" t="e">
        <f t="shared" ca="1" si="23"/>
        <v>#N/A</v>
      </c>
      <c r="BK65" s="14" t="e">
        <f t="shared" ca="1" si="23"/>
        <v>#N/A</v>
      </c>
      <c r="BL65" s="14" t="e">
        <f t="shared" ca="1" si="23"/>
        <v>#N/A</v>
      </c>
      <c r="BM65" s="14" t="e">
        <f t="shared" ca="1" si="23"/>
        <v>#N/A</v>
      </c>
      <c r="BN65" s="14" t="e">
        <f t="shared" ca="1" si="23"/>
        <v>#N/A</v>
      </c>
      <c r="BO65" s="14" t="e">
        <f t="shared" ca="1" si="23"/>
        <v>#N/A</v>
      </c>
      <c r="BP65" s="14" t="e">
        <f t="shared" ca="1" si="23"/>
        <v>#N/A</v>
      </c>
      <c r="BQ65" s="14" t="e">
        <f t="shared" ca="1" si="23"/>
        <v>#N/A</v>
      </c>
      <c r="BR65" s="14" t="e">
        <f t="shared" ca="1" si="23"/>
        <v>#N/A</v>
      </c>
      <c r="BS65" s="98"/>
    </row>
    <row r="66" spans="1:87" ht="21" customHeight="1" outlineLevel="1" thickBot="1" x14ac:dyDescent="0.4">
      <c r="A66" s="5">
        <f t="shared" ref="A66:E75" si="24">A24</f>
        <v>0</v>
      </c>
      <c r="B66" s="5">
        <f t="shared" si="24"/>
        <v>0</v>
      </c>
      <c r="C66" s="5">
        <f t="shared" si="24"/>
        <v>0</v>
      </c>
      <c r="D66" s="5">
        <f t="shared" si="24"/>
        <v>0</v>
      </c>
      <c r="E66" s="6">
        <f t="shared" si="24"/>
        <v>0</v>
      </c>
      <c r="F66" s="14" t="e">
        <f t="shared" ref="F66:U74" ca="1" si="25">$A66*H.Ar + $B66*H.Se + $C66*H.Ge + $D66*H.Ga</f>
        <v>#N/A</v>
      </c>
      <c r="G66" s="14" t="e">
        <f t="shared" ca="1" si="25"/>
        <v>#N/A</v>
      </c>
      <c r="H66" s="14" t="e">
        <f t="shared" ca="1" si="25"/>
        <v>#N/A</v>
      </c>
      <c r="I66" s="14" t="e">
        <f t="shared" ca="1" si="25"/>
        <v>#N/A</v>
      </c>
      <c r="J66" s="14" t="e">
        <f t="shared" ca="1" si="25"/>
        <v>#N/A</v>
      </c>
      <c r="K66" s="14" t="e">
        <f t="shared" ca="1" si="25"/>
        <v>#N/A</v>
      </c>
      <c r="L66" s="14" t="e">
        <f t="shared" ca="1" si="25"/>
        <v>#N/A</v>
      </c>
      <c r="M66" s="14" t="e">
        <f t="shared" ca="1" si="25"/>
        <v>#N/A</v>
      </c>
      <c r="N66" s="14" t="e">
        <f t="shared" ca="1" si="25"/>
        <v>#N/A</v>
      </c>
      <c r="O66" s="14" t="e">
        <f t="shared" ca="1" si="25"/>
        <v>#N/A</v>
      </c>
      <c r="P66" s="14" t="e">
        <f t="shared" ca="1" si="25"/>
        <v>#N/A</v>
      </c>
      <c r="Q66" s="14" t="e">
        <f t="shared" ca="1" si="25"/>
        <v>#N/A</v>
      </c>
      <c r="R66" s="14" t="e">
        <f t="shared" ca="1" si="25"/>
        <v>#N/A</v>
      </c>
      <c r="S66" s="14" t="e">
        <f t="shared" ca="1" si="25"/>
        <v>#N/A</v>
      </c>
      <c r="T66" s="14" t="e">
        <f t="shared" ca="1" si="25"/>
        <v>#N/A</v>
      </c>
      <c r="U66" s="14" t="e">
        <f t="shared" ca="1" si="25"/>
        <v>#N/A</v>
      </c>
      <c r="V66" s="14" t="e">
        <f t="shared" ca="1" si="23"/>
        <v>#N/A</v>
      </c>
      <c r="W66" s="14" t="e">
        <f t="shared" ca="1" si="23"/>
        <v>#N/A</v>
      </c>
      <c r="X66" s="14" t="e">
        <f t="shared" ca="1" si="23"/>
        <v>#N/A</v>
      </c>
      <c r="Y66" s="14" t="e">
        <f t="shared" ca="1" si="23"/>
        <v>#N/A</v>
      </c>
      <c r="Z66" s="14" t="e">
        <f t="shared" ca="1" si="23"/>
        <v>#N/A</v>
      </c>
      <c r="AA66" s="14" t="e">
        <f t="shared" ca="1" si="23"/>
        <v>#N/A</v>
      </c>
      <c r="AB66" s="14" t="e">
        <f t="shared" ca="1" si="23"/>
        <v>#N/A</v>
      </c>
      <c r="AC66" s="14" t="e">
        <f t="shared" ca="1" si="23"/>
        <v>#N/A</v>
      </c>
      <c r="AD66" s="14" t="e">
        <f t="shared" ca="1" si="23"/>
        <v>#N/A</v>
      </c>
      <c r="AE66" s="14" t="e">
        <f t="shared" ca="1" si="23"/>
        <v>#N/A</v>
      </c>
      <c r="AF66" s="14" t="e">
        <f t="shared" ca="1" si="23"/>
        <v>#N/A</v>
      </c>
      <c r="AG66" s="14" t="e">
        <f t="shared" ca="1" si="23"/>
        <v>#N/A</v>
      </c>
      <c r="AH66" s="14" t="e">
        <f t="shared" ca="1" si="23"/>
        <v>#N/A</v>
      </c>
      <c r="AI66" s="14" t="e">
        <f t="shared" ca="1" si="23"/>
        <v>#N/A</v>
      </c>
      <c r="AJ66" s="14" t="e">
        <f t="shared" ca="1" si="23"/>
        <v>#N/A</v>
      </c>
      <c r="AK66" s="14" t="e">
        <f t="shared" ca="1" si="23"/>
        <v>#N/A</v>
      </c>
      <c r="AL66" s="14" t="e">
        <f t="shared" ca="1" si="23"/>
        <v>#N/A</v>
      </c>
      <c r="AM66" s="14" t="e">
        <f t="shared" ca="1" si="23"/>
        <v>#N/A</v>
      </c>
      <c r="AN66" s="14" t="e">
        <f t="shared" ca="1" si="23"/>
        <v>#N/A</v>
      </c>
      <c r="AO66" s="14" t="e">
        <f t="shared" ca="1" si="23"/>
        <v>#N/A</v>
      </c>
      <c r="AP66" s="14" t="e">
        <f t="shared" ca="1" si="23"/>
        <v>#N/A</v>
      </c>
      <c r="AQ66" s="14" t="e">
        <f t="shared" ca="1" si="23"/>
        <v>#N/A</v>
      </c>
      <c r="AR66" s="14" t="e">
        <f t="shared" ca="1" si="23"/>
        <v>#N/A</v>
      </c>
      <c r="AS66" s="14" t="e">
        <f t="shared" ca="1" si="23"/>
        <v>#N/A</v>
      </c>
      <c r="AT66" s="14" t="e">
        <f t="shared" ca="1" si="23"/>
        <v>#N/A</v>
      </c>
      <c r="AU66" s="14" t="e">
        <f t="shared" ref="G66:BR70" ca="1" si="26">$A66*H.Ar + $B66*H.Se + $C66*H.Ge + $D66*H.Ga</f>
        <v>#N/A</v>
      </c>
      <c r="AV66" s="14" t="e">
        <f t="shared" ca="1" si="26"/>
        <v>#N/A</v>
      </c>
      <c r="AW66" s="14" t="e">
        <f t="shared" ca="1" si="26"/>
        <v>#N/A</v>
      </c>
      <c r="AX66" s="14" t="e">
        <f t="shared" ca="1" si="26"/>
        <v>#N/A</v>
      </c>
      <c r="AY66" s="14" t="e">
        <f t="shared" ca="1" si="26"/>
        <v>#N/A</v>
      </c>
      <c r="AZ66" s="14" t="e">
        <f t="shared" ca="1" si="26"/>
        <v>#N/A</v>
      </c>
      <c r="BA66" s="14" t="e">
        <f t="shared" ca="1" si="26"/>
        <v>#N/A</v>
      </c>
      <c r="BB66" s="14" t="e">
        <f t="shared" ca="1" si="26"/>
        <v>#N/A</v>
      </c>
      <c r="BC66" s="14" t="e">
        <f t="shared" ca="1" si="26"/>
        <v>#N/A</v>
      </c>
      <c r="BD66" s="14" t="e">
        <f t="shared" ca="1" si="26"/>
        <v>#N/A</v>
      </c>
      <c r="BE66" s="14" t="e">
        <f t="shared" ca="1" si="26"/>
        <v>#N/A</v>
      </c>
      <c r="BF66" s="14" t="e">
        <f t="shared" ca="1" si="26"/>
        <v>#N/A</v>
      </c>
      <c r="BG66" s="14" t="e">
        <f t="shared" ca="1" si="26"/>
        <v>#N/A</v>
      </c>
      <c r="BH66" s="14" t="e">
        <f t="shared" ca="1" si="26"/>
        <v>#N/A</v>
      </c>
      <c r="BI66" s="14" t="e">
        <f t="shared" ca="1" si="26"/>
        <v>#N/A</v>
      </c>
      <c r="BJ66" s="14" t="e">
        <f t="shared" ca="1" si="26"/>
        <v>#N/A</v>
      </c>
      <c r="BK66" s="14" t="e">
        <f t="shared" ca="1" si="26"/>
        <v>#N/A</v>
      </c>
      <c r="BL66" s="14" t="e">
        <f t="shared" ca="1" si="26"/>
        <v>#N/A</v>
      </c>
      <c r="BM66" s="14" t="e">
        <f t="shared" ca="1" si="26"/>
        <v>#N/A</v>
      </c>
      <c r="BN66" s="14" t="e">
        <f t="shared" ca="1" si="26"/>
        <v>#N/A</v>
      </c>
      <c r="BO66" s="14" t="e">
        <f t="shared" ca="1" si="26"/>
        <v>#N/A</v>
      </c>
      <c r="BP66" s="14" t="e">
        <f t="shared" ca="1" si="26"/>
        <v>#N/A</v>
      </c>
      <c r="BQ66" s="14" t="e">
        <f t="shared" ca="1" si="26"/>
        <v>#N/A</v>
      </c>
      <c r="BR66" s="14" t="e">
        <f t="shared" ca="1" si="26"/>
        <v>#N/A</v>
      </c>
      <c r="BS66" s="98"/>
    </row>
    <row r="67" spans="1:87" ht="21" customHeight="1" outlineLevel="1" thickBot="1" x14ac:dyDescent="0.4">
      <c r="A67" s="5">
        <f t="shared" si="24"/>
        <v>0</v>
      </c>
      <c r="B67" s="5">
        <f t="shared" si="24"/>
        <v>0</v>
      </c>
      <c r="C67" s="5">
        <f t="shared" si="24"/>
        <v>0</v>
      </c>
      <c r="D67" s="5">
        <f t="shared" si="24"/>
        <v>0</v>
      </c>
      <c r="E67" s="6">
        <f t="shared" si="24"/>
        <v>0</v>
      </c>
      <c r="F67" s="14" t="e">
        <f t="shared" ca="1" si="25"/>
        <v>#N/A</v>
      </c>
      <c r="G67" s="14" t="e">
        <f t="shared" ca="1" si="26"/>
        <v>#N/A</v>
      </c>
      <c r="H67" s="14" t="e">
        <f t="shared" ca="1" si="26"/>
        <v>#N/A</v>
      </c>
      <c r="I67" s="14" t="e">
        <f t="shared" ca="1" si="26"/>
        <v>#N/A</v>
      </c>
      <c r="J67" s="14" t="e">
        <f t="shared" ca="1" si="26"/>
        <v>#N/A</v>
      </c>
      <c r="K67" s="14" t="e">
        <f t="shared" ca="1" si="26"/>
        <v>#N/A</v>
      </c>
      <c r="L67" s="14" t="e">
        <f t="shared" ca="1" si="26"/>
        <v>#N/A</v>
      </c>
      <c r="M67" s="14" t="e">
        <f t="shared" ca="1" si="26"/>
        <v>#N/A</v>
      </c>
      <c r="N67" s="14" t="e">
        <f t="shared" ca="1" si="26"/>
        <v>#N/A</v>
      </c>
      <c r="O67" s="14" t="e">
        <f t="shared" ca="1" si="26"/>
        <v>#N/A</v>
      </c>
      <c r="P67" s="14" t="e">
        <f t="shared" ca="1" si="26"/>
        <v>#N/A</v>
      </c>
      <c r="Q67" s="14" t="e">
        <f t="shared" ca="1" si="26"/>
        <v>#N/A</v>
      </c>
      <c r="R67" s="14" t="e">
        <f t="shared" ca="1" si="26"/>
        <v>#N/A</v>
      </c>
      <c r="S67" s="14" t="e">
        <f t="shared" ca="1" si="26"/>
        <v>#N/A</v>
      </c>
      <c r="T67" s="14" t="e">
        <f t="shared" ca="1" si="26"/>
        <v>#N/A</v>
      </c>
      <c r="U67" s="14" t="e">
        <f t="shared" ca="1" si="26"/>
        <v>#N/A</v>
      </c>
      <c r="V67" s="14" t="e">
        <f t="shared" ca="1" si="26"/>
        <v>#N/A</v>
      </c>
      <c r="W67" s="14" t="e">
        <f t="shared" ca="1" si="26"/>
        <v>#N/A</v>
      </c>
      <c r="X67" s="14" t="e">
        <f t="shared" ca="1" si="26"/>
        <v>#N/A</v>
      </c>
      <c r="Y67" s="14" t="e">
        <f t="shared" ca="1" si="26"/>
        <v>#N/A</v>
      </c>
      <c r="Z67" s="14" t="e">
        <f t="shared" ca="1" si="26"/>
        <v>#N/A</v>
      </c>
      <c r="AA67" s="14" t="e">
        <f t="shared" ca="1" si="26"/>
        <v>#N/A</v>
      </c>
      <c r="AB67" s="14" t="e">
        <f t="shared" ca="1" si="26"/>
        <v>#N/A</v>
      </c>
      <c r="AC67" s="14" t="e">
        <f t="shared" ca="1" si="26"/>
        <v>#N/A</v>
      </c>
      <c r="AD67" s="14" t="e">
        <f t="shared" ca="1" si="26"/>
        <v>#N/A</v>
      </c>
      <c r="AE67" s="14" t="e">
        <f t="shared" ca="1" si="26"/>
        <v>#N/A</v>
      </c>
      <c r="AF67" s="14" t="e">
        <f t="shared" ca="1" si="26"/>
        <v>#N/A</v>
      </c>
      <c r="AG67" s="14" t="e">
        <f t="shared" ca="1" si="26"/>
        <v>#N/A</v>
      </c>
      <c r="AH67" s="14" t="e">
        <f t="shared" ca="1" si="26"/>
        <v>#N/A</v>
      </c>
      <c r="AI67" s="14" t="e">
        <f t="shared" ca="1" si="26"/>
        <v>#N/A</v>
      </c>
      <c r="AJ67" s="14" t="e">
        <f t="shared" ca="1" si="26"/>
        <v>#N/A</v>
      </c>
      <c r="AK67" s="14" t="e">
        <f t="shared" ca="1" si="26"/>
        <v>#N/A</v>
      </c>
      <c r="AL67" s="14" t="e">
        <f t="shared" ca="1" si="26"/>
        <v>#N/A</v>
      </c>
      <c r="AM67" s="14" t="e">
        <f t="shared" ca="1" si="26"/>
        <v>#N/A</v>
      </c>
      <c r="AN67" s="14" t="e">
        <f t="shared" ca="1" si="26"/>
        <v>#N/A</v>
      </c>
      <c r="AO67" s="14" t="e">
        <f t="shared" ca="1" si="26"/>
        <v>#N/A</v>
      </c>
      <c r="AP67" s="14" t="e">
        <f t="shared" ca="1" si="26"/>
        <v>#N/A</v>
      </c>
      <c r="AQ67" s="14" t="e">
        <f t="shared" ca="1" si="26"/>
        <v>#N/A</v>
      </c>
      <c r="AR67" s="14" t="e">
        <f t="shared" ca="1" si="26"/>
        <v>#N/A</v>
      </c>
      <c r="AS67" s="14" t="e">
        <f t="shared" ca="1" si="26"/>
        <v>#N/A</v>
      </c>
      <c r="AT67" s="14" t="e">
        <f t="shared" ca="1" si="26"/>
        <v>#N/A</v>
      </c>
      <c r="AU67" s="14" t="e">
        <f t="shared" ca="1" si="26"/>
        <v>#N/A</v>
      </c>
      <c r="AV67" s="14" t="e">
        <f t="shared" ca="1" si="26"/>
        <v>#N/A</v>
      </c>
      <c r="AW67" s="14" t="e">
        <f t="shared" ca="1" si="26"/>
        <v>#N/A</v>
      </c>
      <c r="AX67" s="14" t="e">
        <f t="shared" ca="1" si="26"/>
        <v>#N/A</v>
      </c>
      <c r="AY67" s="14" t="e">
        <f t="shared" ca="1" si="26"/>
        <v>#N/A</v>
      </c>
      <c r="AZ67" s="14" t="e">
        <f t="shared" ca="1" si="26"/>
        <v>#N/A</v>
      </c>
      <c r="BA67" s="14" t="e">
        <f t="shared" ca="1" si="26"/>
        <v>#N/A</v>
      </c>
      <c r="BB67" s="14" t="e">
        <f t="shared" ca="1" si="26"/>
        <v>#N/A</v>
      </c>
      <c r="BC67" s="14" t="e">
        <f t="shared" ca="1" si="26"/>
        <v>#N/A</v>
      </c>
      <c r="BD67" s="14" t="e">
        <f t="shared" ca="1" si="26"/>
        <v>#N/A</v>
      </c>
      <c r="BE67" s="14" t="e">
        <f t="shared" ca="1" si="26"/>
        <v>#N/A</v>
      </c>
      <c r="BF67" s="14" t="e">
        <f t="shared" ca="1" si="26"/>
        <v>#N/A</v>
      </c>
      <c r="BG67" s="14" t="e">
        <f t="shared" ca="1" si="26"/>
        <v>#N/A</v>
      </c>
      <c r="BH67" s="14" t="e">
        <f t="shared" ca="1" si="26"/>
        <v>#N/A</v>
      </c>
      <c r="BI67" s="14" t="e">
        <f t="shared" ca="1" si="26"/>
        <v>#N/A</v>
      </c>
      <c r="BJ67" s="14" t="e">
        <f t="shared" ca="1" si="26"/>
        <v>#N/A</v>
      </c>
      <c r="BK67" s="14" t="e">
        <f t="shared" ca="1" si="26"/>
        <v>#N/A</v>
      </c>
      <c r="BL67" s="14" t="e">
        <f t="shared" ca="1" si="26"/>
        <v>#N/A</v>
      </c>
      <c r="BM67" s="14" t="e">
        <f t="shared" ca="1" si="26"/>
        <v>#N/A</v>
      </c>
      <c r="BN67" s="14" t="e">
        <f t="shared" ca="1" si="26"/>
        <v>#N/A</v>
      </c>
      <c r="BO67" s="14" t="e">
        <f t="shared" ca="1" si="26"/>
        <v>#N/A</v>
      </c>
      <c r="BP67" s="14" t="e">
        <f t="shared" ca="1" si="26"/>
        <v>#N/A</v>
      </c>
      <c r="BQ67" s="14" t="e">
        <f t="shared" ca="1" si="26"/>
        <v>#N/A</v>
      </c>
      <c r="BR67" s="14" t="e">
        <f t="shared" ca="1" si="26"/>
        <v>#N/A</v>
      </c>
      <c r="BS67" s="98"/>
    </row>
    <row r="68" spans="1:87" ht="21" customHeight="1" outlineLevel="1" thickBot="1" x14ac:dyDescent="0.4">
      <c r="A68" s="5">
        <f t="shared" si="24"/>
        <v>0</v>
      </c>
      <c r="B68" s="5">
        <f t="shared" si="24"/>
        <v>0</v>
      </c>
      <c r="C68" s="5">
        <f t="shared" si="24"/>
        <v>0</v>
      </c>
      <c r="D68" s="5">
        <f t="shared" si="24"/>
        <v>0</v>
      </c>
      <c r="E68" s="6">
        <f t="shared" si="24"/>
        <v>0</v>
      </c>
      <c r="F68" s="14" t="e">
        <f t="shared" ca="1" si="25"/>
        <v>#N/A</v>
      </c>
      <c r="G68" s="14" t="e">
        <f t="shared" ca="1" si="26"/>
        <v>#N/A</v>
      </c>
      <c r="H68" s="14" t="e">
        <f t="shared" ca="1" si="26"/>
        <v>#N/A</v>
      </c>
      <c r="I68" s="14" t="e">
        <f t="shared" ca="1" si="26"/>
        <v>#N/A</v>
      </c>
      <c r="J68" s="14" t="e">
        <f t="shared" ca="1" si="26"/>
        <v>#N/A</v>
      </c>
      <c r="K68" s="14" t="e">
        <f t="shared" ca="1" si="26"/>
        <v>#N/A</v>
      </c>
      <c r="L68" s="14" t="e">
        <f t="shared" ca="1" si="26"/>
        <v>#N/A</v>
      </c>
      <c r="M68" s="14" t="e">
        <f t="shared" ca="1" si="26"/>
        <v>#N/A</v>
      </c>
      <c r="N68" s="14" t="e">
        <f t="shared" ca="1" si="26"/>
        <v>#N/A</v>
      </c>
      <c r="O68" s="14" t="e">
        <f t="shared" ca="1" si="26"/>
        <v>#N/A</v>
      </c>
      <c r="P68" s="14" t="e">
        <f t="shared" ca="1" si="26"/>
        <v>#N/A</v>
      </c>
      <c r="Q68" s="14" t="e">
        <f t="shared" ca="1" si="26"/>
        <v>#N/A</v>
      </c>
      <c r="R68" s="14" t="e">
        <f t="shared" ca="1" si="26"/>
        <v>#N/A</v>
      </c>
      <c r="S68" s="14" t="e">
        <f t="shared" ca="1" si="26"/>
        <v>#N/A</v>
      </c>
      <c r="T68" s="14" t="e">
        <f t="shared" ca="1" si="26"/>
        <v>#N/A</v>
      </c>
      <c r="U68" s="14" t="e">
        <f t="shared" ca="1" si="26"/>
        <v>#N/A</v>
      </c>
      <c r="V68" s="14" t="e">
        <f t="shared" ca="1" si="26"/>
        <v>#N/A</v>
      </c>
      <c r="W68" s="14" t="e">
        <f t="shared" ca="1" si="26"/>
        <v>#N/A</v>
      </c>
      <c r="X68" s="14" t="e">
        <f t="shared" ca="1" si="26"/>
        <v>#N/A</v>
      </c>
      <c r="Y68" s="14" t="e">
        <f t="shared" ca="1" si="26"/>
        <v>#N/A</v>
      </c>
      <c r="Z68" s="14" t="e">
        <f t="shared" ca="1" si="26"/>
        <v>#N/A</v>
      </c>
      <c r="AA68" s="14" t="e">
        <f t="shared" ca="1" si="26"/>
        <v>#N/A</v>
      </c>
      <c r="AB68" s="14" t="e">
        <f t="shared" ca="1" si="26"/>
        <v>#N/A</v>
      </c>
      <c r="AC68" s="14" t="e">
        <f t="shared" ca="1" si="26"/>
        <v>#N/A</v>
      </c>
      <c r="AD68" s="14" t="e">
        <f t="shared" ca="1" si="26"/>
        <v>#N/A</v>
      </c>
      <c r="AE68" s="14" t="e">
        <f t="shared" ca="1" si="26"/>
        <v>#N/A</v>
      </c>
      <c r="AF68" s="14" t="e">
        <f t="shared" ca="1" si="26"/>
        <v>#N/A</v>
      </c>
      <c r="AG68" s="14" t="e">
        <f t="shared" ca="1" si="26"/>
        <v>#N/A</v>
      </c>
      <c r="AH68" s="14" t="e">
        <f t="shared" ca="1" si="26"/>
        <v>#N/A</v>
      </c>
      <c r="AI68" s="14" t="e">
        <f t="shared" ca="1" si="26"/>
        <v>#N/A</v>
      </c>
      <c r="AJ68" s="14" t="e">
        <f t="shared" ca="1" si="26"/>
        <v>#N/A</v>
      </c>
      <c r="AK68" s="14" t="e">
        <f t="shared" ca="1" si="26"/>
        <v>#N/A</v>
      </c>
      <c r="AL68" s="14" t="e">
        <f t="shared" ca="1" si="26"/>
        <v>#N/A</v>
      </c>
      <c r="AM68" s="14" t="e">
        <f t="shared" ca="1" si="26"/>
        <v>#N/A</v>
      </c>
      <c r="AN68" s="14" t="e">
        <f t="shared" ca="1" si="26"/>
        <v>#N/A</v>
      </c>
      <c r="AO68" s="14" t="e">
        <f t="shared" ca="1" si="26"/>
        <v>#N/A</v>
      </c>
      <c r="AP68" s="14" t="e">
        <f t="shared" ca="1" si="26"/>
        <v>#N/A</v>
      </c>
      <c r="AQ68" s="14" t="e">
        <f t="shared" ca="1" si="26"/>
        <v>#N/A</v>
      </c>
      <c r="AR68" s="14" t="e">
        <f t="shared" ca="1" si="26"/>
        <v>#N/A</v>
      </c>
      <c r="AS68" s="14" t="e">
        <f t="shared" ca="1" si="26"/>
        <v>#N/A</v>
      </c>
      <c r="AT68" s="14" t="e">
        <f t="shared" ca="1" si="26"/>
        <v>#N/A</v>
      </c>
      <c r="AU68" s="14" t="e">
        <f t="shared" ca="1" si="26"/>
        <v>#N/A</v>
      </c>
      <c r="AV68" s="14" t="e">
        <f t="shared" ca="1" si="26"/>
        <v>#N/A</v>
      </c>
      <c r="AW68" s="14" t="e">
        <f t="shared" ca="1" si="26"/>
        <v>#N/A</v>
      </c>
      <c r="AX68" s="14" t="e">
        <f t="shared" ca="1" si="26"/>
        <v>#N/A</v>
      </c>
      <c r="AY68" s="14" t="e">
        <f t="shared" ca="1" si="26"/>
        <v>#N/A</v>
      </c>
      <c r="AZ68" s="14" t="e">
        <f t="shared" ca="1" si="26"/>
        <v>#N/A</v>
      </c>
      <c r="BA68" s="14" t="e">
        <f t="shared" ca="1" si="26"/>
        <v>#N/A</v>
      </c>
      <c r="BB68" s="14" t="e">
        <f t="shared" ca="1" si="26"/>
        <v>#N/A</v>
      </c>
      <c r="BC68" s="14" t="e">
        <f t="shared" ca="1" si="26"/>
        <v>#N/A</v>
      </c>
      <c r="BD68" s="14" t="e">
        <f t="shared" ca="1" si="26"/>
        <v>#N/A</v>
      </c>
      <c r="BE68" s="14" t="e">
        <f t="shared" ca="1" si="26"/>
        <v>#N/A</v>
      </c>
      <c r="BF68" s="14" t="e">
        <f t="shared" ca="1" si="26"/>
        <v>#N/A</v>
      </c>
      <c r="BG68" s="14" t="e">
        <f t="shared" ca="1" si="26"/>
        <v>#N/A</v>
      </c>
      <c r="BH68" s="14" t="e">
        <f t="shared" ca="1" si="26"/>
        <v>#N/A</v>
      </c>
      <c r="BI68" s="14" t="e">
        <f t="shared" ca="1" si="26"/>
        <v>#N/A</v>
      </c>
      <c r="BJ68" s="14" t="e">
        <f t="shared" ca="1" si="26"/>
        <v>#N/A</v>
      </c>
      <c r="BK68" s="14" t="e">
        <f t="shared" ca="1" si="26"/>
        <v>#N/A</v>
      </c>
      <c r="BL68" s="14" t="e">
        <f t="shared" ca="1" si="26"/>
        <v>#N/A</v>
      </c>
      <c r="BM68" s="14" t="e">
        <f t="shared" ca="1" si="26"/>
        <v>#N/A</v>
      </c>
      <c r="BN68" s="14" t="e">
        <f t="shared" ca="1" si="26"/>
        <v>#N/A</v>
      </c>
      <c r="BO68" s="14" t="e">
        <f t="shared" ca="1" si="26"/>
        <v>#N/A</v>
      </c>
      <c r="BP68" s="14" t="e">
        <f t="shared" ca="1" si="26"/>
        <v>#N/A</v>
      </c>
      <c r="BQ68" s="14" t="e">
        <f t="shared" ca="1" si="26"/>
        <v>#N/A</v>
      </c>
      <c r="BR68" s="14" t="e">
        <f t="shared" ca="1" si="26"/>
        <v>#N/A</v>
      </c>
      <c r="BS68" s="98"/>
    </row>
    <row r="69" spans="1:87" ht="21" customHeight="1" outlineLevel="1" thickBot="1" x14ac:dyDescent="0.4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 t="e">
        <f t="shared" ca="1" si="25"/>
        <v>#N/A</v>
      </c>
      <c r="G69" s="14" t="e">
        <f t="shared" ca="1" si="26"/>
        <v>#N/A</v>
      </c>
      <c r="H69" s="14" t="e">
        <f t="shared" ca="1" si="26"/>
        <v>#N/A</v>
      </c>
      <c r="I69" s="14" t="e">
        <f t="shared" ca="1" si="26"/>
        <v>#N/A</v>
      </c>
      <c r="J69" s="14" t="e">
        <f t="shared" ca="1" si="26"/>
        <v>#N/A</v>
      </c>
      <c r="K69" s="14" t="e">
        <f t="shared" ca="1" si="26"/>
        <v>#N/A</v>
      </c>
      <c r="L69" s="14" t="e">
        <f t="shared" ca="1" si="26"/>
        <v>#N/A</v>
      </c>
      <c r="M69" s="14" t="e">
        <f t="shared" ca="1" si="26"/>
        <v>#N/A</v>
      </c>
      <c r="N69" s="14" t="e">
        <f t="shared" ca="1" si="26"/>
        <v>#N/A</v>
      </c>
      <c r="O69" s="14" t="e">
        <f t="shared" ca="1" si="26"/>
        <v>#N/A</v>
      </c>
      <c r="P69" s="14" t="e">
        <f t="shared" ca="1" si="26"/>
        <v>#N/A</v>
      </c>
      <c r="Q69" s="14" t="e">
        <f t="shared" ca="1" si="26"/>
        <v>#N/A</v>
      </c>
      <c r="R69" s="14" t="e">
        <f t="shared" ca="1" si="26"/>
        <v>#N/A</v>
      </c>
      <c r="S69" s="14" t="e">
        <f t="shared" ca="1" si="26"/>
        <v>#N/A</v>
      </c>
      <c r="T69" s="14" t="e">
        <f t="shared" ca="1" si="26"/>
        <v>#N/A</v>
      </c>
      <c r="U69" s="14" t="e">
        <f t="shared" ca="1" si="26"/>
        <v>#N/A</v>
      </c>
      <c r="V69" s="14" t="e">
        <f t="shared" ca="1" si="26"/>
        <v>#N/A</v>
      </c>
      <c r="W69" s="14" t="e">
        <f t="shared" ca="1" si="26"/>
        <v>#N/A</v>
      </c>
      <c r="X69" s="14" t="e">
        <f t="shared" ca="1" si="26"/>
        <v>#N/A</v>
      </c>
      <c r="Y69" s="14" t="e">
        <f t="shared" ca="1" si="26"/>
        <v>#N/A</v>
      </c>
      <c r="Z69" s="14" t="e">
        <f t="shared" ca="1" si="26"/>
        <v>#N/A</v>
      </c>
      <c r="AA69" s="14" t="e">
        <f t="shared" ca="1" si="26"/>
        <v>#N/A</v>
      </c>
      <c r="AB69" s="14" t="e">
        <f t="shared" ca="1" si="26"/>
        <v>#N/A</v>
      </c>
      <c r="AC69" s="14" t="e">
        <f t="shared" ca="1" si="26"/>
        <v>#N/A</v>
      </c>
      <c r="AD69" s="14" t="e">
        <f t="shared" ca="1" si="26"/>
        <v>#N/A</v>
      </c>
      <c r="AE69" s="14" t="e">
        <f t="shared" ca="1" si="26"/>
        <v>#N/A</v>
      </c>
      <c r="AF69" s="14" t="e">
        <f t="shared" ca="1" si="26"/>
        <v>#N/A</v>
      </c>
      <c r="AG69" s="14" t="e">
        <f t="shared" ca="1" si="26"/>
        <v>#N/A</v>
      </c>
      <c r="AH69" s="14" t="e">
        <f t="shared" ca="1" si="26"/>
        <v>#N/A</v>
      </c>
      <c r="AI69" s="14" t="e">
        <f t="shared" ca="1" si="26"/>
        <v>#N/A</v>
      </c>
      <c r="AJ69" s="14" t="e">
        <f t="shared" ca="1" si="26"/>
        <v>#N/A</v>
      </c>
      <c r="AK69" s="14" t="e">
        <f t="shared" ca="1" si="26"/>
        <v>#N/A</v>
      </c>
      <c r="AL69" s="14" t="e">
        <f t="shared" ca="1" si="26"/>
        <v>#N/A</v>
      </c>
      <c r="AM69" s="14" t="e">
        <f t="shared" ca="1" si="26"/>
        <v>#N/A</v>
      </c>
      <c r="AN69" s="14" t="e">
        <f t="shared" ca="1" si="26"/>
        <v>#N/A</v>
      </c>
      <c r="AO69" s="14" t="e">
        <f t="shared" ca="1" si="26"/>
        <v>#N/A</v>
      </c>
      <c r="AP69" s="14" t="e">
        <f t="shared" ca="1" si="26"/>
        <v>#N/A</v>
      </c>
      <c r="AQ69" s="14" t="e">
        <f t="shared" ca="1" si="26"/>
        <v>#N/A</v>
      </c>
      <c r="AR69" s="14" t="e">
        <f t="shared" ca="1" si="26"/>
        <v>#N/A</v>
      </c>
      <c r="AS69" s="14" t="e">
        <f t="shared" ca="1" si="26"/>
        <v>#N/A</v>
      </c>
      <c r="AT69" s="14" t="e">
        <f t="shared" ca="1" si="26"/>
        <v>#N/A</v>
      </c>
      <c r="AU69" s="14" t="e">
        <f t="shared" ca="1" si="26"/>
        <v>#N/A</v>
      </c>
      <c r="AV69" s="14" t="e">
        <f t="shared" ca="1" si="26"/>
        <v>#N/A</v>
      </c>
      <c r="AW69" s="14" t="e">
        <f t="shared" ca="1" si="26"/>
        <v>#N/A</v>
      </c>
      <c r="AX69" s="14" t="e">
        <f t="shared" ca="1" si="26"/>
        <v>#N/A</v>
      </c>
      <c r="AY69" s="14" t="e">
        <f t="shared" ca="1" si="26"/>
        <v>#N/A</v>
      </c>
      <c r="AZ69" s="14" t="e">
        <f t="shared" ca="1" si="26"/>
        <v>#N/A</v>
      </c>
      <c r="BA69" s="14" t="e">
        <f t="shared" ca="1" si="26"/>
        <v>#N/A</v>
      </c>
      <c r="BB69" s="14" t="e">
        <f t="shared" ca="1" si="26"/>
        <v>#N/A</v>
      </c>
      <c r="BC69" s="14" t="e">
        <f t="shared" ca="1" si="26"/>
        <v>#N/A</v>
      </c>
      <c r="BD69" s="14" t="e">
        <f t="shared" ca="1" si="26"/>
        <v>#N/A</v>
      </c>
      <c r="BE69" s="14" t="e">
        <f t="shared" ca="1" si="26"/>
        <v>#N/A</v>
      </c>
      <c r="BF69" s="14" t="e">
        <f t="shared" ca="1" si="26"/>
        <v>#N/A</v>
      </c>
      <c r="BG69" s="14" t="e">
        <f t="shared" ca="1" si="26"/>
        <v>#N/A</v>
      </c>
      <c r="BH69" s="14" t="e">
        <f t="shared" ca="1" si="26"/>
        <v>#N/A</v>
      </c>
      <c r="BI69" s="14" t="e">
        <f t="shared" ca="1" si="26"/>
        <v>#N/A</v>
      </c>
      <c r="BJ69" s="14" t="e">
        <f t="shared" ca="1" si="26"/>
        <v>#N/A</v>
      </c>
      <c r="BK69" s="14" t="e">
        <f t="shared" ca="1" si="26"/>
        <v>#N/A</v>
      </c>
      <c r="BL69" s="14" t="e">
        <f t="shared" ca="1" si="26"/>
        <v>#N/A</v>
      </c>
      <c r="BM69" s="14" t="e">
        <f t="shared" ca="1" si="26"/>
        <v>#N/A</v>
      </c>
      <c r="BN69" s="14" t="e">
        <f t="shared" ca="1" si="26"/>
        <v>#N/A</v>
      </c>
      <c r="BO69" s="14" t="e">
        <f t="shared" ca="1" si="26"/>
        <v>#N/A</v>
      </c>
      <c r="BP69" s="14" t="e">
        <f t="shared" ca="1" si="26"/>
        <v>#N/A</v>
      </c>
      <c r="BQ69" s="14" t="e">
        <f t="shared" ca="1" si="26"/>
        <v>#N/A</v>
      </c>
      <c r="BR69" s="14" t="e">
        <f t="shared" ca="1" si="26"/>
        <v>#N/A</v>
      </c>
      <c r="BS69" s="98"/>
    </row>
    <row r="70" spans="1:87" ht="21" customHeight="1" outlineLevel="1" thickBot="1" x14ac:dyDescent="0.4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 t="e">
        <f t="shared" ca="1" si="25"/>
        <v>#N/A</v>
      </c>
      <c r="G70" s="14" t="e">
        <f t="shared" ca="1" si="26"/>
        <v>#N/A</v>
      </c>
      <c r="H70" s="14" t="e">
        <f t="shared" ca="1" si="26"/>
        <v>#N/A</v>
      </c>
      <c r="I70" s="14" t="e">
        <f t="shared" ca="1" si="26"/>
        <v>#N/A</v>
      </c>
      <c r="J70" s="14" t="e">
        <f t="shared" ca="1" si="26"/>
        <v>#N/A</v>
      </c>
      <c r="K70" s="14" t="e">
        <f t="shared" ca="1" si="26"/>
        <v>#N/A</v>
      </c>
      <c r="L70" s="14" t="e">
        <f t="shared" ca="1" si="26"/>
        <v>#N/A</v>
      </c>
      <c r="M70" s="14" t="e">
        <f t="shared" ca="1" si="26"/>
        <v>#N/A</v>
      </c>
      <c r="N70" s="14" t="e">
        <f t="shared" ca="1" si="26"/>
        <v>#N/A</v>
      </c>
      <c r="O70" s="14" t="e">
        <f t="shared" ca="1" si="26"/>
        <v>#N/A</v>
      </c>
      <c r="P70" s="14" t="e">
        <f t="shared" ca="1" si="26"/>
        <v>#N/A</v>
      </c>
      <c r="Q70" s="14" t="e">
        <f t="shared" ca="1" si="26"/>
        <v>#N/A</v>
      </c>
      <c r="R70" s="14" t="e">
        <f t="shared" ca="1" si="26"/>
        <v>#N/A</v>
      </c>
      <c r="S70" s="14" t="e">
        <f t="shared" ca="1" si="26"/>
        <v>#N/A</v>
      </c>
      <c r="T70" s="14" t="e">
        <f t="shared" ca="1" si="26"/>
        <v>#N/A</v>
      </c>
      <c r="U70" s="14" t="e">
        <f t="shared" ca="1" si="26"/>
        <v>#N/A</v>
      </c>
      <c r="V70" s="14" t="e">
        <f t="shared" ca="1" si="26"/>
        <v>#N/A</v>
      </c>
      <c r="W70" s="14" t="e">
        <f t="shared" ca="1" si="26"/>
        <v>#N/A</v>
      </c>
      <c r="X70" s="14" t="e">
        <f t="shared" ca="1" si="26"/>
        <v>#N/A</v>
      </c>
      <c r="Y70" s="14" t="e">
        <f t="shared" ca="1" si="26"/>
        <v>#N/A</v>
      </c>
      <c r="Z70" s="14" t="e">
        <f t="shared" ca="1" si="26"/>
        <v>#N/A</v>
      </c>
      <c r="AA70" s="14" t="e">
        <f t="shared" ca="1" si="26"/>
        <v>#N/A</v>
      </c>
      <c r="AB70" s="14" t="e">
        <f t="shared" ca="1" si="26"/>
        <v>#N/A</v>
      </c>
      <c r="AC70" s="14" t="e">
        <f t="shared" ca="1" si="26"/>
        <v>#N/A</v>
      </c>
      <c r="AD70" s="14" t="e">
        <f t="shared" ca="1" si="26"/>
        <v>#N/A</v>
      </c>
      <c r="AE70" s="14" t="e">
        <f t="shared" ca="1" si="26"/>
        <v>#N/A</v>
      </c>
      <c r="AF70" s="14" t="e">
        <f t="shared" ca="1" si="26"/>
        <v>#N/A</v>
      </c>
      <c r="AG70" s="14" t="e">
        <f t="shared" ca="1" si="26"/>
        <v>#N/A</v>
      </c>
      <c r="AH70" s="14" t="e">
        <f t="shared" ca="1" si="26"/>
        <v>#N/A</v>
      </c>
      <c r="AI70" s="14" t="e">
        <f t="shared" ca="1" si="26"/>
        <v>#N/A</v>
      </c>
      <c r="AJ70" s="14" t="e">
        <f t="shared" ca="1" si="26"/>
        <v>#N/A</v>
      </c>
      <c r="AK70" s="14" t="e">
        <f t="shared" ca="1" si="26"/>
        <v>#N/A</v>
      </c>
      <c r="AL70" s="14" t="e">
        <f t="shared" ca="1" si="26"/>
        <v>#N/A</v>
      </c>
      <c r="AM70" s="14" t="e">
        <f t="shared" ca="1" si="26"/>
        <v>#N/A</v>
      </c>
      <c r="AN70" s="14" t="e">
        <f t="shared" ca="1" si="26"/>
        <v>#N/A</v>
      </c>
      <c r="AO70" s="14" t="e">
        <f t="shared" ca="1" si="26"/>
        <v>#N/A</v>
      </c>
      <c r="AP70" s="14" t="e">
        <f t="shared" ca="1" si="26"/>
        <v>#N/A</v>
      </c>
      <c r="AQ70" s="14" t="e">
        <f t="shared" ca="1" si="26"/>
        <v>#N/A</v>
      </c>
      <c r="AR70" s="14" t="e">
        <f t="shared" ca="1" si="26"/>
        <v>#N/A</v>
      </c>
      <c r="AS70" s="14" t="e">
        <f t="shared" ca="1" si="26"/>
        <v>#N/A</v>
      </c>
      <c r="AT70" s="14" t="e">
        <f t="shared" ref="G70:BR74" ca="1" si="27">$A70*H.Ar + $B70*H.Se + $C70*H.Ge + $D70*H.Ga</f>
        <v>#N/A</v>
      </c>
      <c r="AU70" s="14" t="e">
        <f t="shared" ca="1" si="27"/>
        <v>#N/A</v>
      </c>
      <c r="AV70" s="14" t="e">
        <f t="shared" ca="1" si="27"/>
        <v>#N/A</v>
      </c>
      <c r="AW70" s="14" t="e">
        <f t="shared" ca="1" si="27"/>
        <v>#N/A</v>
      </c>
      <c r="AX70" s="14" t="e">
        <f t="shared" ca="1" si="27"/>
        <v>#N/A</v>
      </c>
      <c r="AY70" s="14" t="e">
        <f t="shared" ca="1" si="27"/>
        <v>#N/A</v>
      </c>
      <c r="AZ70" s="14" t="e">
        <f t="shared" ca="1" si="27"/>
        <v>#N/A</v>
      </c>
      <c r="BA70" s="14" t="e">
        <f t="shared" ca="1" si="27"/>
        <v>#N/A</v>
      </c>
      <c r="BB70" s="14" t="e">
        <f t="shared" ca="1" si="27"/>
        <v>#N/A</v>
      </c>
      <c r="BC70" s="14" t="e">
        <f t="shared" ca="1" si="27"/>
        <v>#N/A</v>
      </c>
      <c r="BD70" s="14" t="e">
        <f t="shared" ca="1" si="27"/>
        <v>#N/A</v>
      </c>
      <c r="BE70" s="14" t="e">
        <f t="shared" ca="1" si="27"/>
        <v>#N/A</v>
      </c>
      <c r="BF70" s="14" t="e">
        <f t="shared" ca="1" si="27"/>
        <v>#N/A</v>
      </c>
      <c r="BG70" s="14" t="e">
        <f t="shared" ca="1" si="27"/>
        <v>#N/A</v>
      </c>
      <c r="BH70" s="14" t="e">
        <f t="shared" ca="1" si="27"/>
        <v>#N/A</v>
      </c>
      <c r="BI70" s="14" t="e">
        <f t="shared" ca="1" si="27"/>
        <v>#N/A</v>
      </c>
      <c r="BJ70" s="14" t="e">
        <f t="shared" ca="1" si="27"/>
        <v>#N/A</v>
      </c>
      <c r="BK70" s="14" t="e">
        <f t="shared" ca="1" si="27"/>
        <v>#N/A</v>
      </c>
      <c r="BL70" s="14" t="e">
        <f t="shared" ca="1" si="27"/>
        <v>#N/A</v>
      </c>
      <c r="BM70" s="14" t="e">
        <f t="shared" ca="1" si="27"/>
        <v>#N/A</v>
      </c>
      <c r="BN70" s="14" t="e">
        <f t="shared" ca="1" si="27"/>
        <v>#N/A</v>
      </c>
      <c r="BO70" s="14" t="e">
        <f t="shared" ca="1" si="27"/>
        <v>#N/A</v>
      </c>
      <c r="BP70" s="14" t="e">
        <f t="shared" ca="1" si="27"/>
        <v>#N/A</v>
      </c>
      <c r="BQ70" s="14" t="e">
        <f t="shared" ca="1" si="27"/>
        <v>#N/A</v>
      </c>
      <c r="BR70" s="14" t="e">
        <f t="shared" ca="1" si="27"/>
        <v>#N/A</v>
      </c>
      <c r="BS70" s="98"/>
    </row>
    <row r="71" spans="1:87" ht="21" customHeight="1" outlineLevel="1" thickBot="1" x14ac:dyDescent="0.4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 t="e">
        <f t="shared" ca="1" si="25"/>
        <v>#N/A</v>
      </c>
      <c r="G71" s="14" t="e">
        <f t="shared" ca="1" si="27"/>
        <v>#N/A</v>
      </c>
      <c r="H71" s="14" t="e">
        <f t="shared" ca="1" si="27"/>
        <v>#N/A</v>
      </c>
      <c r="I71" s="14" t="e">
        <f t="shared" ca="1" si="27"/>
        <v>#N/A</v>
      </c>
      <c r="J71" s="14" t="e">
        <f t="shared" ca="1" si="27"/>
        <v>#N/A</v>
      </c>
      <c r="K71" s="14" t="e">
        <f t="shared" ca="1" si="27"/>
        <v>#N/A</v>
      </c>
      <c r="L71" s="14" t="e">
        <f t="shared" ca="1" si="27"/>
        <v>#N/A</v>
      </c>
      <c r="M71" s="14" t="e">
        <f t="shared" ca="1" si="27"/>
        <v>#N/A</v>
      </c>
      <c r="N71" s="14" t="e">
        <f t="shared" ca="1" si="27"/>
        <v>#N/A</v>
      </c>
      <c r="O71" s="14" t="e">
        <f t="shared" ca="1" si="27"/>
        <v>#N/A</v>
      </c>
      <c r="P71" s="14" t="e">
        <f t="shared" ca="1" si="27"/>
        <v>#N/A</v>
      </c>
      <c r="Q71" s="14" t="e">
        <f t="shared" ca="1" si="27"/>
        <v>#N/A</v>
      </c>
      <c r="R71" s="14" t="e">
        <f t="shared" ca="1" si="27"/>
        <v>#N/A</v>
      </c>
      <c r="S71" s="14" t="e">
        <f t="shared" ca="1" si="27"/>
        <v>#N/A</v>
      </c>
      <c r="T71" s="14" t="e">
        <f t="shared" ca="1" si="27"/>
        <v>#N/A</v>
      </c>
      <c r="U71" s="14" t="e">
        <f t="shared" ca="1" si="27"/>
        <v>#N/A</v>
      </c>
      <c r="V71" s="14" t="e">
        <f t="shared" ca="1" si="27"/>
        <v>#N/A</v>
      </c>
      <c r="W71" s="14" t="e">
        <f t="shared" ca="1" si="27"/>
        <v>#N/A</v>
      </c>
      <c r="X71" s="14" t="e">
        <f t="shared" ca="1" si="27"/>
        <v>#N/A</v>
      </c>
      <c r="Y71" s="14" t="e">
        <f t="shared" ca="1" si="27"/>
        <v>#N/A</v>
      </c>
      <c r="Z71" s="14" t="e">
        <f t="shared" ca="1" si="27"/>
        <v>#N/A</v>
      </c>
      <c r="AA71" s="14" t="e">
        <f t="shared" ca="1" si="27"/>
        <v>#N/A</v>
      </c>
      <c r="AB71" s="14" t="e">
        <f t="shared" ca="1" si="27"/>
        <v>#N/A</v>
      </c>
      <c r="AC71" s="14" t="e">
        <f t="shared" ca="1" si="27"/>
        <v>#N/A</v>
      </c>
      <c r="AD71" s="14" t="e">
        <f t="shared" ca="1" si="27"/>
        <v>#N/A</v>
      </c>
      <c r="AE71" s="14" t="e">
        <f t="shared" ca="1" si="27"/>
        <v>#N/A</v>
      </c>
      <c r="AF71" s="14" t="e">
        <f t="shared" ca="1" si="27"/>
        <v>#N/A</v>
      </c>
      <c r="AG71" s="14" t="e">
        <f t="shared" ca="1" si="27"/>
        <v>#N/A</v>
      </c>
      <c r="AH71" s="14" t="e">
        <f t="shared" ca="1" si="27"/>
        <v>#N/A</v>
      </c>
      <c r="AI71" s="14" t="e">
        <f t="shared" ca="1" si="27"/>
        <v>#N/A</v>
      </c>
      <c r="AJ71" s="14" t="e">
        <f t="shared" ca="1" si="27"/>
        <v>#N/A</v>
      </c>
      <c r="AK71" s="14" t="e">
        <f t="shared" ca="1" si="27"/>
        <v>#N/A</v>
      </c>
      <c r="AL71" s="14" t="e">
        <f t="shared" ca="1" si="27"/>
        <v>#N/A</v>
      </c>
      <c r="AM71" s="14" t="e">
        <f t="shared" ca="1" si="27"/>
        <v>#N/A</v>
      </c>
      <c r="AN71" s="14" t="e">
        <f t="shared" ca="1" si="27"/>
        <v>#N/A</v>
      </c>
      <c r="AO71" s="14" t="e">
        <f t="shared" ca="1" si="27"/>
        <v>#N/A</v>
      </c>
      <c r="AP71" s="14" t="e">
        <f t="shared" ca="1" si="27"/>
        <v>#N/A</v>
      </c>
      <c r="AQ71" s="14" t="e">
        <f t="shared" ca="1" si="27"/>
        <v>#N/A</v>
      </c>
      <c r="AR71" s="14" t="e">
        <f t="shared" ca="1" si="27"/>
        <v>#N/A</v>
      </c>
      <c r="AS71" s="14" t="e">
        <f t="shared" ca="1" si="27"/>
        <v>#N/A</v>
      </c>
      <c r="AT71" s="14" t="e">
        <f t="shared" ca="1" si="27"/>
        <v>#N/A</v>
      </c>
      <c r="AU71" s="14" t="e">
        <f t="shared" ca="1" si="27"/>
        <v>#N/A</v>
      </c>
      <c r="AV71" s="14" t="e">
        <f t="shared" ca="1" si="27"/>
        <v>#N/A</v>
      </c>
      <c r="AW71" s="14" t="e">
        <f t="shared" ca="1" si="27"/>
        <v>#N/A</v>
      </c>
      <c r="AX71" s="14" t="e">
        <f t="shared" ca="1" si="27"/>
        <v>#N/A</v>
      </c>
      <c r="AY71" s="14" t="e">
        <f t="shared" ca="1" si="27"/>
        <v>#N/A</v>
      </c>
      <c r="AZ71" s="14" t="e">
        <f t="shared" ca="1" si="27"/>
        <v>#N/A</v>
      </c>
      <c r="BA71" s="14" t="e">
        <f t="shared" ca="1" si="27"/>
        <v>#N/A</v>
      </c>
      <c r="BB71" s="14" t="e">
        <f t="shared" ca="1" si="27"/>
        <v>#N/A</v>
      </c>
      <c r="BC71" s="14" t="e">
        <f t="shared" ca="1" si="27"/>
        <v>#N/A</v>
      </c>
      <c r="BD71" s="14" t="e">
        <f t="shared" ca="1" si="27"/>
        <v>#N/A</v>
      </c>
      <c r="BE71" s="14" t="e">
        <f t="shared" ca="1" si="27"/>
        <v>#N/A</v>
      </c>
      <c r="BF71" s="14" t="e">
        <f t="shared" ca="1" si="27"/>
        <v>#N/A</v>
      </c>
      <c r="BG71" s="14" t="e">
        <f t="shared" ca="1" si="27"/>
        <v>#N/A</v>
      </c>
      <c r="BH71" s="14" t="e">
        <f t="shared" ca="1" si="27"/>
        <v>#N/A</v>
      </c>
      <c r="BI71" s="14" t="e">
        <f t="shared" ca="1" si="27"/>
        <v>#N/A</v>
      </c>
      <c r="BJ71" s="14" t="e">
        <f t="shared" ca="1" si="27"/>
        <v>#N/A</v>
      </c>
      <c r="BK71" s="14" t="e">
        <f t="shared" ca="1" si="27"/>
        <v>#N/A</v>
      </c>
      <c r="BL71" s="14" t="e">
        <f t="shared" ca="1" si="27"/>
        <v>#N/A</v>
      </c>
      <c r="BM71" s="14" t="e">
        <f t="shared" ca="1" si="27"/>
        <v>#N/A</v>
      </c>
      <c r="BN71" s="14" t="e">
        <f t="shared" ca="1" si="27"/>
        <v>#N/A</v>
      </c>
      <c r="BO71" s="14" t="e">
        <f t="shared" ca="1" si="27"/>
        <v>#N/A</v>
      </c>
      <c r="BP71" s="14" t="e">
        <f t="shared" ca="1" si="27"/>
        <v>#N/A</v>
      </c>
      <c r="BQ71" s="14" t="e">
        <f t="shared" ca="1" si="27"/>
        <v>#N/A</v>
      </c>
      <c r="BR71" s="14" t="e">
        <f t="shared" ca="1" si="27"/>
        <v>#N/A</v>
      </c>
      <c r="BS71" s="98"/>
    </row>
    <row r="72" spans="1:87" ht="21" customHeight="1" outlineLevel="1" thickBot="1" x14ac:dyDescent="0.4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 t="e">
        <f t="shared" ca="1" si="25"/>
        <v>#N/A</v>
      </c>
      <c r="G72" s="14" t="e">
        <f t="shared" ca="1" si="27"/>
        <v>#N/A</v>
      </c>
      <c r="H72" s="14" t="e">
        <f t="shared" ca="1" si="27"/>
        <v>#N/A</v>
      </c>
      <c r="I72" s="14" t="e">
        <f t="shared" ca="1" si="27"/>
        <v>#N/A</v>
      </c>
      <c r="J72" s="14" t="e">
        <f t="shared" ca="1" si="27"/>
        <v>#N/A</v>
      </c>
      <c r="K72" s="14" t="e">
        <f t="shared" ca="1" si="27"/>
        <v>#N/A</v>
      </c>
      <c r="L72" s="14" t="e">
        <f t="shared" ca="1" si="27"/>
        <v>#N/A</v>
      </c>
      <c r="M72" s="14" t="e">
        <f t="shared" ca="1" si="27"/>
        <v>#N/A</v>
      </c>
      <c r="N72" s="14" t="e">
        <f t="shared" ca="1" si="27"/>
        <v>#N/A</v>
      </c>
      <c r="O72" s="14" t="e">
        <f t="shared" ca="1" si="27"/>
        <v>#N/A</v>
      </c>
      <c r="P72" s="14" t="e">
        <f t="shared" ca="1" si="27"/>
        <v>#N/A</v>
      </c>
      <c r="Q72" s="14" t="e">
        <f t="shared" ca="1" si="27"/>
        <v>#N/A</v>
      </c>
      <c r="R72" s="14" t="e">
        <f t="shared" ca="1" si="27"/>
        <v>#N/A</v>
      </c>
      <c r="S72" s="14" t="e">
        <f t="shared" ca="1" si="27"/>
        <v>#N/A</v>
      </c>
      <c r="T72" s="14" t="e">
        <f t="shared" ca="1" si="27"/>
        <v>#N/A</v>
      </c>
      <c r="U72" s="14" t="e">
        <f t="shared" ca="1" si="27"/>
        <v>#N/A</v>
      </c>
      <c r="V72" s="14" t="e">
        <f t="shared" ca="1" si="27"/>
        <v>#N/A</v>
      </c>
      <c r="W72" s="14" t="e">
        <f t="shared" ca="1" si="27"/>
        <v>#N/A</v>
      </c>
      <c r="X72" s="14" t="e">
        <f t="shared" ca="1" si="27"/>
        <v>#N/A</v>
      </c>
      <c r="Y72" s="14" t="e">
        <f t="shared" ca="1" si="27"/>
        <v>#N/A</v>
      </c>
      <c r="Z72" s="14" t="e">
        <f t="shared" ca="1" si="27"/>
        <v>#N/A</v>
      </c>
      <c r="AA72" s="14" t="e">
        <f t="shared" ca="1" si="27"/>
        <v>#N/A</v>
      </c>
      <c r="AB72" s="14" t="e">
        <f t="shared" ca="1" si="27"/>
        <v>#N/A</v>
      </c>
      <c r="AC72" s="14" t="e">
        <f t="shared" ca="1" si="27"/>
        <v>#N/A</v>
      </c>
      <c r="AD72" s="14" t="e">
        <f t="shared" ca="1" si="27"/>
        <v>#N/A</v>
      </c>
      <c r="AE72" s="14" t="e">
        <f t="shared" ca="1" si="27"/>
        <v>#N/A</v>
      </c>
      <c r="AF72" s="14" t="e">
        <f t="shared" ca="1" si="27"/>
        <v>#N/A</v>
      </c>
      <c r="AG72" s="14" t="e">
        <f t="shared" ca="1" si="27"/>
        <v>#N/A</v>
      </c>
      <c r="AH72" s="14" t="e">
        <f t="shared" ca="1" si="27"/>
        <v>#N/A</v>
      </c>
      <c r="AI72" s="14" t="e">
        <f t="shared" ca="1" si="27"/>
        <v>#N/A</v>
      </c>
      <c r="AJ72" s="14" t="e">
        <f t="shared" ca="1" si="27"/>
        <v>#N/A</v>
      </c>
      <c r="AK72" s="14" t="e">
        <f t="shared" ca="1" si="27"/>
        <v>#N/A</v>
      </c>
      <c r="AL72" s="14" t="e">
        <f t="shared" ca="1" si="27"/>
        <v>#N/A</v>
      </c>
      <c r="AM72" s="14" t="e">
        <f t="shared" ca="1" si="27"/>
        <v>#N/A</v>
      </c>
      <c r="AN72" s="14" t="e">
        <f t="shared" ca="1" si="27"/>
        <v>#N/A</v>
      </c>
      <c r="AO72" s="14" t="e">
        <f t="shared" ca="1" si="27"/>
        <v>#N/A</v>
      </c>
      <c r="AP72" s="14" t="e">
        <f t="shared" ca="1" si="27"/>
        <v>#N/A</v>
      </c>
      <c r="AQ72" s="14" t="e">
        <f t="shared" ca="1" si="27"/>
        <v>#N/A</v>
      </c>
      <c r="AR72" s="14" t="e">
        <f t="shared" ca="1" si="27"/>
        <v>#N/A</v>
      </c>
      <c r="AS72" s="14" t="e">
        <f t="shared" ca="1" si="27"/>
        <v>#N/A</v>
      </c>
      <c r="AT72" s="14" t="e">
        <f t="shared" ca="1" si="27"/>
        <v>#N/A</v>
      </c>
      <c r="AU72" s="14" t="e">
        <f t="shared" ca="1" si="27"/>
        <v>#N/A</v>
      </c>
      <c r="AV72" s="14" t="e">
        <f t="shared" ca="1" si="27"/>
        <v>#N/A</v>
      </c>
      <c r="AW72" s="14" t="e">
        <f t="shared" ca="1" si="27"/>
        <v>#N/A</v>
      </c>
      <c r="AX72" s="14" t="e">
        <f t="shared" ca="1" si="27"/>
        <v>#N/A</v>
      </c>
      <c r="AY72" s="14" t="e">
        <f t="shared" ca="1" si="27"/>
        <v>#N/A</v>
      </c>
      <c r="AZ72" s="14" t="e">
        <f t="shared" ca="1" si="27"/>
        <v>#N/A</v>
      </c>
      <c r="BA72" s="14" t="e">
        <f t="shared" ca="1" si="27"/>
        <v>#N/A</v>
      </c>
      <c r="BB72" s="14" t="e">
        <f t="shared" ca="1" si="27"/>
        <v>#N/A</v>
      </c>
      <c r="BC72" s="14" t="e">
        <f t="shared" ca="1" si="27"/>
        <v>#N/A</v>
      </c>
      <c r="BD72" s="14" t="e">
        <f t="shared" ca="1" si="27"/>
        <v>#N/A</v>
      </c>
      <c r="BE72" s="14" t="e">
        <f t="shared" ca="1" si="27"/>
        <v>#N/A</v>
      </c>
      <c r="BF72" s="14" t="e">
        <f t="shared" ca="1" si="27"/>
        <v>#N/A</v>
      </c>
      <c r="BG72" s="14" t="e">
        <f t="shared" ca="1" si="27"/>
        <v>#N/A</v>
      </c>
      <c r="BH72" s="14" t="e">
        <f t="shared" ca="1" si="27"/>
        <v>#N/A</v>
      </c>
      <c r="BI72" s="14" t="e">
        <f t="shared" ca="1" si="27"/>
        <v>#N/A</v>
      </c>
      <c r="BJ72" s="14" t="e">
        <f t="shared" ca="1" si="27"/>
        <v>#N/A</v>
      </c>
      <c r="BK72" s="14" t="e">
        <f t="shared" ca="1" si="27"/>
        <v>#N/A</v>
      </c>
      <c r="BL72" s="14" t="e">
        <f t="shared" ca="1" si="27"/>
        <v>#N/A</v>
      </c>
      <c r="BM72" s="14" t="e">
        <f t="shared" ca="1" si="27"/>
        <v>#N/A</v>
      </c>
      <c r="BN72" s="14" t="e">
        <f t="shared" ca="1" si="27"/>
        <v>#N/A</v>
      </c>
      <c r="BO72" s="14" t="e">
        <f t="shared" ca="1" si="27"/>
        <v>#N/A</v>
      </c>
      <c r="BP72" s="14" t="e">
        <f t="shared" ca="1" si="27"/>
        <v>#N/A</v>
      </c>
      <c r="BQ72" s="14" t="e">
        <f t="shared" ca="1" si="27"/>
        <v>#N/A</v>
      </c>
      <c r="BR72" s="14" t="e">
        <f t="shared" ca="1" si="27"/>
        <v>#N/A</v>
      </c>
      <c r="BS72" s="98"/>
    </row>
    <row r="73" spans="1:87" ht="21" customHeight="1" outlineLevel="1" thickBot="1" x14ac:dyDescent="0.4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 t="e">
        <f t="shared" ca="1" si="25"/>
        <v>#N/A</v>
      </c>
      <c r="G73" s="14" t="e">
        <f t="shared" ca="1" si="27"/>
        <v>#N/A</v>
      </c>
      <c r="H73" s="14" t="e">
        <f t="shared" ca="1" si="27"/>
        <v>#N/A</v>
      </c>
      <c r="I73" s="14" t="e">
        <f t="shared" ca="1" si="27"/>
        <v>#N/A</v>
      </c>
      <c r="J73" s="14" t="e">
        <f t="shared" ca="1" si="27"/>
        <v>#N/A</v>
      </c>
      <c r="K73" s="14" t="e">
        <f t="shared" ca="1" si="27"/>
        <v>#N/A</v>
      </c>
      <c r="L73" s="14" t="e">
        <f t="shared" ca="1" si="27"/>
        <v>#N/A</v>
      </c>
      <c r="M73" s="14" t="e">
        <f t="shared" ca="1" si="27"/>
        <v>#N/A</v>
      </c>
      <c r="N73" s="14" t="e">
        <f t="shared" ca="1" si="27"/>
        <v>#N/A</v>
      </c>
      <c r="O73" s="14" t="e">
        <f t="shared" ca="1" si="27"/>
        <v>#N/A</v>
      </c>
      <c r="P73" s="14" t="e">
        <f t="shared" ca="1" si="27"/>
        <v>#N/A</v>
      </c>
      <c r="Q73" s="14" t="e">
        <f t="shared" ca="1" si="27"/>
        <v>#N/A</v>
      </c>
      <c r="R73" s="14" t="e">
        <f t="shared" ca="1" si="27"/>
        <v>#N/A</v>
      </c>
      <c r="S73" s="14" t="e">
        <f t="shared" ca="1" si="27"/>
        <v>#N/A</v>
      </c>
      <c r="T73" s="14" t="e">
        <f t="shared" ca="1" si="27"/>
        <v>#N/A</v>
      </c>
      <c r="U73" s="14" t="e">
        <f t="shared" ca="1" si="27"/>
        <v>#N/A</v>
      </c>
      <c r="V73" s="14" t="e">
        <f t="shared" ca="1" si="27"/>
        <v>#N/A</v>
      </c>
      <c r="W73" s="14" t="e">
        <f t="shared" ca="1" si="27"/>
        <v>#N/A</v>
      </c>
      <c r="X73" s="14" t="e">
        <f t="shared" ca="1" si="27"/>
        <v>#N/A</v>
      </c>
      <c r="Y73" s="14" t="e">
        <f t="shared" ca="1" si="27"/>
        <v>#N/A</v>
      </c>
      <c r="Z73" s="14" t="e">
        <f t="shared" ca="1" si="27"/>
        <v>#N/A</v>
      </c>
      <c r="AA73" s="14" t="e">
        <f t="shared" ca="1" si="27"/>
        <v>#N/A</v>
      </c>
      <c r="AB73" s="14" t="e">
        <f t="shared" ca="1" si="27"/>
        <v>#N/A</v>
      </c>
      <c r="AC73" s="14" t="e">
        <f t="shared" ca="1" si="27"/>
        <v>#N/A</v>
      </c>
      <c r="AD73" s="14" t="e">
        <f t="shared" ca="1" si="27"/>
        <v>#N/A</v>
      </c>
      <c r="AE73" s="14" t="e">
        <f t="shared" ca="1" si="27"/>
        <v>#N/A</v>
      </c>
      <c r="AF73" s="14" t="e">
        <f t="shared" ca="1" si="27"/>
        <v>#N/A</v>
      </c>
      <c r="AG73" s="14" t="e">
        <f t="shared" ca="1" si="27"/>
        <v>#N/A</v>
      </c>
      <c r="AH73" s="14" t="e">
        <f t="shared" ca="1" si="27"/>
        <v>#N/A</v>
      </c>
      <c r="AI73" s="14" t="e">
        <f t="shared" ca="1" si="27"/>
        <v>#N/A</v>
      </c>
      <c r="AJ73" s="14" t="e">
        <f t="shared" ca="1" si="27"/>
        <v>#N/A</v>
      </c>
      <c r="AK73" s="14" t="e">
        <f t="shared" ca="1" si="27"/>
        <v>#N/A</v>
      </c>
      <c r="AL73" s="14" t="e">
        <f t="shared" ca="1" si="27"/>
        <v>#N/A</v>
      </c>
      <c r="AM73" s="14" t="e">
        <f t="shared" ca="1" si="27"/>
        <v>#N/A</v>
      </c>
      <c r="AN73" s="14" t="e">
        <f t="shared" ca="1" si="27"/>
        <v>#N/A</v>
      </c>
      <c r="AO73" s="14" t="e">
        <f t="shared" ca="1" si="27"/>
        <v>#N/A</v>
      </c>
      <c r="AP73" s="14" t="e">
        <f t="shared" ca="1" si="27"/>
        <v>#N/A</v>
      </c>
      <c r="AQ73" s="14" t="e">
        <f t="shared" ca="1" si="27"/>
        <v>#N/A</v>
      </c>
      <c r="AR73" s="14" t="e">
        <f t="shared" ca="1" si="27"/>
        <v>#N/A</v>
      </c>
      <c r="AS73" s="14" t="e">
        <f t="shared" ca="1" si="27"/>
        <v>#N/A</v>
      </c>
      <c r="AT73" s="14" t="e">
        <f t="shared" ca="1" si="27"/>
        <v>#N/A</v>
      </c>
      <c r="AU73" s="14" t="e">
        <f t="shared" ca="1" si="27"/>
        <v>#N/A</v>
      </c>
      <c r="AV73" s="14" t="e">
        <f t="shared" ca="1" si="27"/>
        <v>#N/A</v>
      </c>
      <c r="AW73" s="14" t="e">
        <f t="shared" ca="1" si="27"/>
        <v>#N/A</v>
      </c>
      <c r="AX73" s="14" t="e">
        <f t="shared" ca="1" si="27"/>
        <v>#N/A</v>
      </c>
      <c r="AY73" s="14" t="e">
        <f t="shared" ca="1" si="27"/>
        <v>#N/A</v>
      </c>
      <c r="AZ73" s="14" t="e">
        <f t="shared" ca="1" si="27"/>
        <v>#N/A</v>
      </c>
      <c r="BA73" s="14" t="e">
        <f t="shared" ca="1" si="27"/>
        <v>#N/A</v>
      </c>
      <c r="BB73" s="14" t="e">
        <f t="shared" ca="1" si="27"/>
        <v>#N/A</v>
      </c>
      <c r="BC73" s="14" t="e">
        <f t="shared" ca="1" si="27"/>
        <v>#N/A</v>
      </c>
      <c r="BD73" s="14" t="e">
        <f t="shared" ca="1" si="27"/>
        <v>#N/A</v>
      </c>
      <c r="BE73" s="14" t="e">
        <f t="shared" ca="1" si="27"/>
        <v>#N/A</v>
      </c>
      <c r="BF73" s="14" t="e">
        <f t="shared" ca="1" si="27"/>
        <v>#N/A</v>
      </c>
      <c r="BG73" s="14" t="e">
        <f t="shared" ca="1" si="27"/>
        <v>#N/A</v>
      </c>
      <c r="BH73" s="14" t="e">
        <f t="shared" ca="1" si="27"/>
        <v>#N/A</v>
      </c>
      <c r="BI73" s="14" t="e">
        <f t="shared" ca="1" si="27"/>
        <v>#N/A</v>
      </c>
      <c r="BJ73" s="14" t="e">
        <f t="shared" ca="1" si="27"/>
        <v>#N/A</v>
      </c>
      <c r="BK73" s="14" t="e">
        <f t="shared" ca="1" si="27"/>
        <v>#N/A</v>
      </c>
      <c r="BL73" s="14" t="e">
        <f t="shared" ca="1" si="27"/>
        <v>#N/A</v>
      </c>
      <c r="BM73" s="14" t="e">
        <f t="shared" ca="1" si="27"/>
        <v>#N/A</v>
      </c>
      <c r="BN73" s="14" t="e">
        <f t="shared" ca="1" si="27"/>
        <v>#N/A</v>
      </c>
      <c r="BO73" s="14" t="e">
        <f t="shared" ca="1" si="27"/>
        <v>#N/A</v>
      </c>
      <c r="BP73" s="14" t="e">
        <f t="shared" ca="1" si="27"/>
        <v>#N/A</v>
      </c>
      <c r="BQ73" s="14" t="e">
        <f t="shared" ca="1" si="27"/>
        <v>#N/A</v>
      </c>
      <c r="BR73" s="14" t="e">
        <f t="shared" ca="1" si="27"/>
        <v>#N/A</v>
      </c>
      <c r="BS73" s="98"/>
    </row>
    <row r="74" spans="1:87" ht="21" customHeight="1" outlineLevel="1" thickBot="1" x14ac:dyDescent="0.4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 t="e">
        <f t="shared" ca="1" si="25"/>
        <v>#N/A</v>
      </c>
      <c r="G74" s="14" t="e">
        <f t="shared" ca="1" si="27"/>
        <v>#N/A</v>
      </c>
      <c r="H74" s="14" t="e">
        <f t="shared" ca="1" si="27"/>
        <v>#N/A</v>
      </c>
      <c r="I74" s="14" t="e">
        <f t="shared" ca="1" si="27"/>
        <v>#N/A</v>
      </c>
      <c r="J74" s="14" t="e">
        <f t="shared" ca="1" si="27"/>
        <v>#N/A</v>
      </c>
      <c r="K74" s="14" t="e">
        <f t="shared" ca="1" si="27"/>
        <v>#N/A</v>
      </c>
      <c r="L74" s="14" t="e">
        <f t="shared" ca="1" si="27"/>
        <v>#N/A</v>
      </c>
      <c r="M74" s="14" t="e">
        <f t="shared" ca="1" si="27"/>
        <v>#N/A</v>
      </c>
      <c r="N74" s="14" t="e">
        <f t="shared" ca="1" si="27"/>
        <v>#N/A</v>
      </c>
      <c r="O74" s="14" t="e">
        <f t="shared" ca="1" si="27"/>
        <v>#N/A</v>
      </c>
      <c r="P74" s="14" t="e">
        <f t="shared" ca="1" si="27"/>
        <v>#N/A</v>
      </c>
      <c r="Q74" s="14" t="e">
        <f t="shared" ca="1" si="27"/>
        <v>#N/A</v>
      </c>
      <c r="R74" s="14" t="e">
        <f t="shared" ca="1" si="27"/>
        <v>#N/A</v>
      </c>
      <c r="S74" s="14" t="e">
        <f t="shared" ca="1" si="27"/>
        <v>#N/A</v>
      </c>
      <c r="T74" s="14" t="e">
        <f t="shared" ca="1" si="27"/>
        <v>#N/A</v>
      </c>
      <c r="U74" s="14" t="e">
        <f t="shared" ca="1" si="27"/>
        <v>#N/A</v>
      </c>
      <c r="V74" s="14" t="e">
        <f t="shared" ca="1" si="27"/>
        <v>#N/A</v>
      </c>
      <c r="W74" s="14" t="e">
        <f t="shared" ca="1" si="27"/>
        <v>#N/A</v>
      </c>
      <c r="X74" s="14" t="e">
        <f t="shared" ca="1" si="27"/>
        <v>#N/A</v>
      </c>
      <c r="Y74" s="14" t="e">
        <f t="shared" ca="1" si="27"/>
        <v>#N/A</v>
      </c>
      <c r="Z74" s="14" t="e">
        <f t="shared" ca="1" si="27"/>
        <v>#N/A</v>
      </c>
      <c r="AA74" s="14" t="e">
        <f t="shared" ca="1" si="27"/>
        <v>#N/A</v>
      </c>
      <c r="AB74" s="14" t="e">
        <f t="shared" ca="1" si="27"/>
        <v>#N/A</v>
      </c>
      <c r="AC74" s="14" t="e">
        <f t="shared" ca="1" si="27"/>
        <v>#N/A</v>
      </c>
      <c r="AD74" s="14" t="e">
        <f t="shared" ca="1" si="27"/>
        <v>#N/A</v>
      </c>
      <c r="AE74" s="14" t="e">
        <f t="shared" ca="1" si="27"/>
        <v>#N/A</v>
      </c>
      <c r="AF74" s="14" t="e">
        <f t="shared" ca="1" si="27"/>
        <v>#N/A</v>
      </c>
      <c r="AG74" s="14" t="e">
        <f t="shared" ca="1" si="27"/>
        <v>#N/A</v>
      </c>
      <c r="AH74" s="14" t="e">
        <f t="shared" ca="1" si="27"/>
        <v>#N/A</v>
      </c>
      <c r="AI74" s="14" t="e">
        <f t="shared" ca="1" si="27"/>
        <v>#N/A</v>
      </c>
      <c r="AJ74" s="14" t="e">
        <f t="shared" ca="1" si="27"/>
        <v>#N/A</v>
      </c>
      <c r="AK74" s="14" t="e">
        <f t="shared" ca="1" si="27"/>
        <v>#N/A</v>
      </c>
      <c r="AL74" s="14" t="e">
        <f t="shared" ca="1" si="27"/>
        <v>#N/A</v>
      </c>
      <c r="AM74" s="14" t="e">
        <f t="shared" ca="1" si="27"/>
        <v>#N/A</v>
      </c>
      <c r="AN74" s="14" t="e">
        <f t="shared" ca="1" si="27"/>
        <v>#N/A</v>
      </c>
      <c r="AO74" s="14" t="e">
        <f t="shared" ca="1" si="27"/>
        <v>#N/A</v>
      </c>
      <c r="AP74" s="14" t="e">
        <f t="shared" ca="1" si="27"/>
        <v>#N/A</v>
      </c>
      <c r="AQ74" s="14" t="e">
        <f t="shared" ca="1" si="27"/>
        <v>#N/A</v>
      </c>
      <c r="AR74" s="14" t="e">
        <f t="shared" ca="1" si="27"/>
        <v>#N/A</v>
      </c>
      <c r="AS74" s="14" t="e">
        <f t="shared" ref="AS74:BR74" ca="1" si="28">$A74*H.Ar + $B74*H.Se + $C74*H.Ge + $D74*H.Ga</f>
        <v>#N/A</v>
      </c>
      <c r="AT74" s="14" t="e">
        <f t="shared" ca="1" si="28"/>
        <v>#N/A</v>
      </c>
      <c r="AU74" s="14" t="e">
        <f t="shared" ca="1" si="28"/>
        <v>#N/A</v>
      </c>
      <c r="AV74" s="14" t="e">
        <f t="shared" ca="1" si="28"/>
        <v>#N/A</v>
      </c>
      <c r="AW74" s="14" t="e">
        <f t="shared" ca="1" si="28"/>
        <v>#N/A</v>
      </c>
      <c r="AX74" s="14" t="e">
        <f t="shared" ca="1" si="28"/>
        <v>#N/A</v>
      </c>
      <c r="AY74" s="14" t="e">
        <f t="shared" ca="1" si="28"/>
        <v>#N/A</v>
      </c>
      <c r="AZ74" s="14" t="e">
        <f t="shared" ca="1" si="28"/>
        <v>#N/A</v>
      </c>
      <c r="BA74" s="14" t="e">
        <f t="shared" ca="1" si="28"/>
        <v>#N/A</v>
      </c>
      <c r="BB74" s="14" t="e">
        <f t="shared" ca="1" si="28"/>
        <v>#N/A</v>
      </c>
      <c r="BC74" s="14" t="e">
        <f t="shared" ca="1" si="28"/>
        <v>#N/A</v>
      </c>
      <c r="BD74" s="14" t="e">
        <f t="shared" ca="1" si="28"/>
        <v>#N/A</v>
      </c>
      <c r="BE74" s="14" t="e">
        <f t="shared" ca="1" si="28"/>
        <v>#N/A</v>
      </c>
      <c r="BF74" s="14" t="e">
        <f t="shared" ca="1" si="28"/>
        <v>#N/A</v>
      </c>
      <c r="BG74" s="14" t="e">
        <f t="shared" ca="1" si="28"/>
        <v>#N/A</v>
      </c>
      <c r="BH74" s="14" t="e">
        <f t="shared" ca="1" si="28"/>
        <v>#N/A</v>
      </c>
      <c r="BI74" s="14" t="e">
        <f t="shared" ca="1" si="28"/>
        <v>#N/A</v>
      </c>
      <c r="BJ74" s="14" t="e">
        <f t="shared" ca="1" si="28"/>
        <v>#N/A</v>
      </c>
      <c r="BK74" s="14" t="e">
        <f t="shared" ca="1" si="28"/>
        <v>#N/A</v>
      </c>
      <c r="BL74" s="14" t="e">
        <f t="shared" ca="1" si="28"/>
        <v>#N/A</v>
      </c>
      <c r="BM74" s="14" t="e">
        <f t="shared" ca="1" si="28"/>
        <v>#N/A</v>
      </c>
      <c r="BN74" s="14" t="e">
        <f t="shared" ca="1" si="28"/>
        <v>#N/A</v>
      </c>
      <c r="BO74" s="14" t="e">
        <f t="shared" ca="1" si="28"/>
        <v>#N/A</v>
      </c>
      <c r="BP74" s="14" t="e">
        <f t="shared" ca="1" si="28"/>
        <v>#N/A</v>
      </c>
      <c r="BQ74" s="14" t="e">
        <f t="shared" ca="1" si="28"/>
        <v>#N/A</v>
      </c>
      <c r="BR74" s="14" t="e">
        <f t="shared" ca="1" si="28"/>
        <v>#N/A</v>
      </c>
      <c r="BS74" s="98"/>
    </row>
    <row r="75" spans="1:87" ht="21" customHeight="1" outlineLevel="1" thickTop="1" thickBot="1" x14ac:dyDescent="0.4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8"/>
    </row>
    <row r="76" spans="1:87" ht="21" customHeight="1" outlineLevel="1" thickTop="1" x14ac:dyDescent="0.35">
      <c r="A76" s="47"/>
      <c r="B76" s="47"/>
      <c r="C76" s="47"/>
      <c r="D76" s="47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 t="e">
        <f>E41</f>
        <v>#DIV/0!</v>
      </c>
      <c r="D78" s="65"/>
      <c r="E78" s="64" t="s">
        <v>40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9">E45</f>
        <v>0</v>
      </c>
      <c r="F79" s="3">
        <f t="shared" ref="F79" si="30">F3</f>
        <v>0</v>
      </c>
      <c r="G79" s="3">
        <f t="shared" ref="G79:BR79" si="31">G3</f>
        <v>0</v>
      </c>
      <c r="H79" s="3">
        <f t="shared" si="31"/>
        <v>0</v>
      </c>
      <c r="I79" s="3">
        <f t="shared" si="31"/>
        <v>0</v>
      </c>
      <c r="J79" s="3">
        <f t="shared" si="31"/>
        <v>0</v>
      </c>
      <c r="K79" s="3">
        <f t="shared" si="31"/>
        <v>0</v>
      </c>
      <c r="L79" s="3">
        <f t="shared" si="31"/>
        <v>0</v>
      </c>
      <c r="M79" s="3">
        <f t="shared" si="31"/>
        <v>0</v>
      </c>
      <c r="N79" s="3">
        <f t="shared" si="31"/>
        <v>0</v>
      </c>
      <c r="O79" s="3">
        <f t="shared" si="31"/>
        <v>0</v>
      </c>
      <c r="P79" s="3">
        <f t="shared" si="31"/>
        <v>0</v>
      </c>
      <c r="Q79" s="3">
        <f t="shared" si="31"/>
        <v>0</v>
      </c>
      <c r="R79" s="3">
        <f t="shared" si="31"/>
        <v>0</v>
      </c>
      <c r="S79" s="3">
        <f t="shared" si="31"/>
        <v>0</v>
      </c>
      <c r="T79" s="3">
        <f t="shared" si="31"/>
        <v>0</v>
      </c>
      <c r="U79" s="3">
        <f t="shared" si="31"/>
        <v>0</v>
      </c>
      <c r="V79" s="3">
        <f t="shared" si="31"/>
        <v>0</v>
      </c>
      <c r="W79" s="3">
        <f t="shared" si="31"/>
        <v>0</v>
      </c>
      <c r="X79" s="3">
        <f t="shared" si="31"/>
        <v>0</v>
      </c>
      <c r="Y79" s="3">
        <f t="shared" si="31"/>
        <v>0</v>
      </c>
      <c r="Z79" s="3">
        <f t="shared" si="31"/>
        <v>0</v>
      </c>
      <c r="AA79" s="3">
        <f t="shared" si="31"/>
        <v>0</v>
      </c>
      <c r="AB79" s="3">
        <f t="shared" si="31"/>
        <v>0</v>
      </c>
      <c r="AC79" s="3">
        <f t="shared" si="31"/>
        <v>0</v>
      </c>
      <c r="AD79" s="3">
        <f t="shared" si="31"/>
        <v>0</v>
      </c>
      <c r="AE79" s="3">
        <f t="shared" si="31"/>
        <v>0</v>
      </c>
      <c r="AF79" s="3">
        <f t="shared" si="31"/>
        <v>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2">B46</f>
        <v>0</v>
      </c>
      <c r="C80" s="5">
        <f t="shared" si="32"/>
        <v>0</v>
      </c>
      <c r="D80" s="5">
        <f t="shared" si="32"/>
        <v>0</v>
      </c>
      <c r="E80" s="6">
        <f t="shared" si="29"/>
        <v>0</v>
      </c>
      <c r="F80" s="14" t="e">
        <f t="shared" ref="F80" si="33">F4*$C$78</f>
        <v>#DIV/0!</v>
      </c>
      <c r="G80" s="14" t="e">
        <f t="shared" ref="G80:BR80" si="34">G4*$C$78</f>
        <v>#DIV/0!</v>
      </c>
      <c r="H80" s="14" t="e">
        <f t="shared" si="34"/>
        <v>#DIV/0!</v>
      </c>
      <c r="I80" s="14" t="e">
        <f t="shared" si="34"/>
        <v>#DIV/0!</v>
      </c>
      <c r="J80" s="14" t="e">
        <f t="shared" si="34"/>
        <v>#DIV/0!</v>
      </c>
      <c r="K80" s="14" t="e">
        <f t="shared" si="34"/>
        <v>#DIV/0!</v>
      </c>
      <c r="L80" s="14" t="e">
        <f t="shared" si="34"/>
        <v>#DIV/0!</v>
      </c>
      <c r="M80" s="14" t="e">
        <f t="shared" si="34"/>
        <v>#DIV/0!</v>
      </c>
      <c r="N80" s="14" t="e">
        <f t="shared" si="34"/>
        <v>#DIV/0!</v>
      </c>
      <c r="O80" s="14" t="e">
        <f t="shared" si="34"/>
        <v>#DIV/0!</v>
      </c>
      <c r="P80" s="14" t="e">
        <f t="shared" si="34"/>
        <v>#DIV/0!</v>
      </c>
      <c r="Q80" s="14" t="e">
        <f t="shared" si="34"/>
        <v>#DIV/0!</v>
      </c>
      <c r="R80" s="14" t="e">
        <f t="shared" si="34"/>
        <v>#DIV/0!</v>
      </c>
      <c r="S80" s="14" t="e">
        <f t="shared" si="34"/>
        <v>#DIV/0!</v>
      </c>
      <c r="T80" s="14" t="e">
        <f t="shared" si="34"/>
        <v>#DIV/0!</v>
      </c>
      <c r="U80" s="14" t="e">
        <f t="shared" si="34"/>
        <v>#DIV/0!</v>
      </c>
      <c r="V80" s="14" t="e">
        <f t="shared" si="34"/>
        <v>#DIV/0!</v>
      </c>
      <c r="W80" s="14" t="e">
        <f t="shared" si="34"/>
        <v>#DIV/0!</v>
      </c>
      <c r="X80" s="14" t="e">
        <f t="shared" si="34"/>
        <v>#DIV/0!</v>
      </c>
      <c r="Y80" s="14" t="e">
        <f t="shared" si="34"/>
        <v>#DIV/0!</v>
      </c>
      <c r="Z80" s="14" t="e">
        <f t="shared" si="34"/>
        <v>#DIV/0!</v>
      </c>
      <c r="AA80" s="14" t="e">
        <f t="shared" si="34"/>
        <v>#DIV/0!</v>
      </c>
      <c r="AB80" s="14" t="e">
        <f t="shared" si="34"/>
        <v>#DIV/0!</v>
      </c>
      <c r="AC80" s="14" t="e">
        <f t="shared" si="34"/>
        <v>#DIV/0!</v>
      </c>
      <c r="AD80" s="14" t="e">
        <f t="shared" si="34"/>
        <v>#DIV/0!</v>
      </c>
      <c r="AE80" s="14" t="e">
        <f t="shared" si="34"/>
        <v>#DIV/0!</v>
      </c>
      <c r="AF80" s="14" t="e">
        <f t="shared" si="34"/>
        <v>#DIV/0!</v>
      </c>
      <c r="AG80" s="14" t="e">
        <f t="shared" si="34"/>
        <v>#DIV/0!</v>
      </c>
      <c r="AH80" s="14" t="e">
        <f t="shared" si="34"/>
        <v>#DIV/0!</v>
      </c>
      <c r="AI80" s="14" t="e">
        <f t="shared" si="34"/>
        <v>#DIV/0!</v>
      </c>
      <c r="AJ80" s="14" t="e">
        <f t="shared" si="34"/>
        <v>#DIV/0!</v>
      </c>
      <c r="AK80" s="14" t="e">
        <f t="shared" si="34"/>
        <v>#DIV/0!</v>
      </c>
      <c r="AL80" s="14" t="e">
        <f t="shared" si="34"/>
        <v>#DIV/0!</v>
      </c>
      <c r="AM80" s="14" t="e">
        <f t="shared" si="34"/>
        <v>#DIV/0!</v>
      </c>
      <c r="AN80" s="14" t="e">
        <f t="shared" si="34"/>
        <v>#DIV/0!</v>
      </c>
      <c r="AO80" s="14" t="e">
        <f t="shared" si="34"/>
        <v>#DIV/0!</v>
      </c>
      <c r="AP80" s="14" t="e">
        <f t="shared" si="34"/>
        <v>#DIV/0!</v>
      </c>
      <c r="AQ80" s="14" t="e">
        <f t="shared" si="34"/>
        <v>#DIV/0!</v>
      </c>
      <c r="AR80" s="14" t="e">
        <f t="shared" si="34"/>
        <v>#DIV/0!</v>
      </c>
      <c r="AS80" s="14" t="e">
        <f t="shared" si="34"/>
        <v>#DIV/0!</v>
      </c>
      <c r="AT80" s="14" t="e">
        <f t="shared" si="34"/>
        <v>#DIV/0!</v>
      </c>
      <c r="AU80" s="14" t="e">
        <f t="shared" si="34"/>
        <v>#DIV/0!</v>
      </c>
      <c r="AV80" s="14" t="e">
        <f t="shared" si="34"/>
        <v>#DIV/0!</v>
      </c>
      <c r="AW80" s="14" t="e">
        <f t="shared" si="34"/>
        <v>#DIV/0!</v>
      </c>
      <c r="AX80" s="14" t="e">
        <f t="shared" si="34"/>
        <v>#DIV/0!</v>
      </c>
      <c r="AY80" s="14" t="e">
        <f t="shared" si="34"/>
        <v>#DIV/0!</v>
      </c>
      <c r="AZ80" s="14" t="e">
        <f t="shared" si="34"/>
        <v>#DIV/0!</v>
      </c>
      <c r="BA80" s="14" t="e">
        <f t="shared" si="34"/>
        <v>#DIV/0!</v>
      </c>
      <c r="BB80" s="14" t="e">
        <f t="shared" si="34"/>
        <v>#DIV/0!</v>
      </c>
      <c r="BC80" s="14" t="e">
        <f t="shared" si="34"/>
        <v>#DIV/0!</v>
      </c>
      <c r="BD80" s="14" t="e">
        <f t="shared" si="34"/>
        <v>#DIV/0!</v>
      </c>
      <c r="BE80" s="14" t="e">
        <f t="shared" si="34"/>
        <v>#DIV/0!</v>
      </c>
      <c r="BF80" s="14" t="e">
        <f t="shared" si="34"/>
        <v>#DIV/0!</v>
      </c>
      <c r="BG80" s="14" t="e">
        <f t="shared" si="34"/>
        <v>#DIV/0!</v>
      </c>
      <c r="BH80" s="14" t="e">
        <f t="shared" si="34"/>
        <v>#DIV/0!</v>
      </c>
      <c r="BI80" s="14" t="e">
        <f t="shared" si="34"/>
        <v>#DIV/0!</v>
      </c>
      <c r="BJ80" s="14" t="e">
        <f t="shared" si="34"/>
        <v>#DIV/0!</v>
      </c>
      <c r="BK80" s="14" t="e">
        <f t="shared" si="34"/>
        <v>#DIV/0!</v>
      </c>
      <c r="BL80" s="14" t="e">
        <f t="shared" si="34"/>
        <v>#DIV/0!</v>
      </c>
      <c r="BM80" s="14" t="e">
        <f t="shared" si="34"/>
        <v>#DIV/0!</v>
      </c>
      <c r="BN80" s="14" t="e">
        <f t="shared" si="34"/>
        <v>#DIV/0!</v>
      </c>
      <c r="BO80" s="14" t="e">
        <f t="shared" si="34"/>
        <v>#DIV/0!</v>
      </c>
      <c r="BP80" s="14" t="e">
        <f t="shared" si="34"/>
        <v>#DIV/0!</v>
      </c>
      <c r="BQ80" s="14" t="e">
        <f t="shared" si="34"/>
        <v>#DIV/0!</v>
      </c>
      <c r="BR80" s="14" t="e">
        <f t="shared" si="34"/>
        <v>#DIV/0!</v>
      </c>
      <c r="BS80" s="98"/>
    </row>
    <row r="81" spans="1:71" ht="21" hidden="1" customHeight="1" outlineLevel="1" thickBot="1" x14ac:dyDescent="0.4">
      <c r="A81" s="5">
        <f t="shared" ref="A81:D96" si="35">A47</f>
        <v>0</v>
      </c>
      <c r="B81" s="5">
        <f t="shared" si="35"/>
        <v>0</v>
      </c>
      <c r="C81" s="5">
        <f t="shared" si="35"/>
        <v>0</v>
      </c>
      <c r="D81" s="5">
        <f t="shared" si="35"/>
        <v>0</v>
      </c>
      <c r="E81" s="6">
        <f t="shared" si="29"/>
        <v>0</v>
      </c>
      <c r="F81" s="14" t="e">
        <f t="shared" ref="F81" si="36">F5*$C$78</f>
        <v>#DIV/0!</v>
      </c>
      <c r="G81" s="14" t="e">
        <f t="shared" ref="G81:BR81" si="37">G5*$C$78</f>
        <v>#DIV/0!</v>
      </c>
      <c r="H81" s="14" t="e">
        <f t="shared" si="37"/>
        <v>#DIV/0!</v>
      </c>
      <c r="I81" s="14" t="e">
        <f t="shared" si="37"/>
        <v>#DIV/0!</v>
      </c>
      <c r="J81" s="14" t="e">
        <f t="shared" si="37"/>
        <v>#DIV/0!</v>
      </c>
      <c r="K81" s="14" t="e">
        <f t="shared" si="37"/>
        <v>#DIV/0!</v>
      </c>
      <c r="L81" s="14" t="e">
        <f t="shared" si="37"/>
        <v>#DIV/0!</v>
      </c>
      <c r="M81" s="14" t="e">
        <f t="shared" si="37"/>
        <v>#DIV/0!</v>
      </c>
      <c r="N81" s="14" t="e">
        <f t="shared" si="37"/>
        <v>#DIV/0!</v>
      </c>
      <c r="O81" s="14" t="e">
        <f t="shared" si="37"/>
        <v>#DIV/0!</v>
      </c>
      <c r="P81" s="14" t="e">
        <f t="shared" si="37"/>
        <v>#DIV/0!</v>
      </c>
      <c r="Q81" s="14" t="e">
        <f t="shared" si="37"/>
        <v>#DIV/0!</v>
      </c>
      <c r="R81" s="14" t="e">
        <f t="shared" si="37"/>
        <v>#DIV/0!</v>
      </c>
      <c r="S81" s="14" t="e">
        <f t="shared" si="37"/>
        <v>#DIV/0!</v>
      </c>
      <c r="T81" s="14" t="e">
        <f t="shared" si="37"/>
        <v>#DIV/0!</v>
      </c>
      <c r="U81" s="14" t="e">
        <f t="shared" si="37"/>
        <v>#DIV/0!</v>
      </c>
      <c r="V81" s="14" t="e">
        <f t="shared" si="37"/>
        <v>#DIV/0!</v>
      </c>
      <c r="W81" s="14" t="e">
        <f t="shared" si="37"/>
        <v>#DIV/0!</v>
      </c>
      <c r="X81" s="14" t="e">
        <f t="shared" si="37"/>
        <v>#DIV/0!</v>
      </c>
      <c r="Y81" s="14" t="e">
        <f t="shared" si="37"/>
        <v>#DIV/0!</v>
      </c>
      <c r="Z81" s="14" t="e">
        <f t="shared" si="37"/>
        <v>#DIV/0!</v>
      </c>
      <c r="AA81" s="14" t="e">
        <f t="shared" si="37"/>
        <v>#DIV/0!</v>
      </c>
      <c r="AB81" s="14" t="e">
        <f t="shared" si="37"/>
        <v>#DIV/0!</v>
      </c>
      <c r="AC81" s="14" t="e">
        <f t="shared" si="37"/>
        <v>#DIV/0!</v>
      </c>
      <c r="AD81" s="14" t="e">
        <f t="shared" si="37"/>
        <v>#DIV/0!</v>
      </c>
      <c r="AE81" s="14" t="e">
        <f t="shared" si="37"/>
        <v>#DIV/0!</v>
      </c>
      <c r="AF81" s="14" t="e">
        <f t="shared" si="37"/>
        <v>#DIV/0!</v>
      </c>
      <c r="AG81" s="14" t="e">
        <f t="shared" si="37"/>
        <v>#DIV/0!</v>
      </c>
      <c r="AH81" s="14" t="e">
        <f t="shared" si="37"/>
        <v>#DIV/0!</v>
      </c>
      <c r="AI81" s="14" t="e">
        <f t="shared" si="37"/>
        <v>#DIV/0!</v>
      </c>
      <c r="AJ81" s="14" t="e">
        <f t="shared" si="37"/>
        <v>#DIV/0!</v>
      </c>
      <c r="AK81" s="14" t="e">
        <f t="shared" si="37"/>
        <v>#DIV/0!</v>
      </c>
      <c r="AL81" s="14" t="e">
        <f t="shared" si="37"/>
        <v>#DIV/0!</v>
      </c>
      <c r="AM81" s="14" t="e">
        <f t="shared" si="37"/>
        <v>#DIV/0!</v>
      </c>
      <c r="AN81" s="14" t="e">
        <f t="shared" si="37"/>
        <v>#DIV/0!</v>
      </c>
      <c r="AO81" s="14" t="e">
        <f t="shared" si="37"/>
        <v>#DIV/0!</v>
      </c>
      <c r="AP81" s="14" t="e">
        <f t="shared" si="37"/>
        <v>#DIV/0!</v>
      </c>
      <c r="AQ81" s="14" t="e">
        <f t="shared" si="37"/>
        <v>#DIV/0!</v>
      </c>
      <c r="AR81" s="14" t="e">
        <f t="shared" si="37"/>
        <v>#DIV/0!</v>
      </c>
      <c r="AS81" s="14" t="e">
        <f t="shared" si="37"/>
        <v>#DIV/0!</v>
      </c>
      <c r="AT81" s="14" t="e">
        <f t="shared" si="37"/>
        <v>#DIV/0!</v>
      </c>
      <c r="AU81" s="14" t="e">
        <f t="shared" si="37"/>
        <v>#DIV/0!</v>
      </c>
      <c r="AV81" s="14" t="e">
        <f t="shared" si="37"/>
        <v>#DIV/0!</v>
      </c>
      <c r="AW81" s="14" t="e">
        <f t="shared" si="37"/>
        <v>#DIV/0!</v>
      </c>
      <c r="AX81" s="14" t="e">
        <f t="shared" si="37"/>
        <v>#DIV/0!</v>
      </c>
      <c r="AY81" s="14" t="e">
        <f t="shared" si="37"/>
        <v>#DIV/0!</v>
      </c>
      <c r="AZ81" s="14" t="e">
        <f t="shared" si="37"/>
        <v>#DIV/0!</v>
      </c>
      <c r="BA81" s="14" t="e">
        <f t="shared" si="37"/>
        <v>#DIV/0!</v>
      </c>
      <c r="BB81" s="14" t="e">
        <f t="shared" si="37"/>
        <v>#DIV/0!</v>
      </c>
      <c r="BC81" s="14" t="e">
        <f t="shared" si="37"/>
        <v>#DIV/0!</v>
      </c>
      <c r="BD81" s="14" t="e">
        <f t="shared" si="37"/>
        <v>#DIV/0!</v>
      </c>
      <c r="BE81" s="14" t="e">
        <f t="shared" si="37"/>
        <v>#DIV/0!</v>
      </c>
      <c r="BF81" s="14" t="e">
        <f t="shared" si="37"/>
        <v>#DIV/0!</v>
      </c>
      <c r="BG81" s="14" t="e">
        <f t="shared" si="37"/>
        <v>#DIV/0!</v>
      </c>
      <c r="BH81" s="14" t="e">
        <f t="shared" si="37"/>
        <v>#DIV/0!</v>
      </c>
      <c r="BI81" s="14" t="e">
        <f t="shared" si="37"/>
        <v>#DIV/0!</v>
      </c>
      <c r="BJ81" s="14" t="e">
        <f t="shared" si="37"/>
        <v>#DIV/0!</v>
      </c>
      <c r="BK81" s="14" t="e">
        <f t="shared" si="37"/>
        <v>#DIV/0!</v>
      </c>
      <c r="BL81" s="14" t="e">
        <f t="shared" si="37"/>
        <v>#DIV/0!</v>
      </c>
      <c r="BM81" s="14" t="e">
        <f t="shared" si="37"/>
        <v>#DIV/0!</v>
      </c>
      <c r="BN81" s="14" t="e">
        <f t="shared" si="37"/>
        <v>#DIV/0!</v>
      </c>
      <c r="BO81" s="14" t="e">
        <f t="shared" si="37"/>
        <v>#DIV/0!</v>
      </c>
      <c r="BP81" s="14" t="e">
        <f t="shared" si="37"/>
        <v>#DIV/0!</v>
      </c>
      <c r="BQ81" s="14" t="e">
        <f t="shared" si="37"/>
        <v>#DIV/0!</v>
      </c>
      <c r="BR81" s="14" t="e">
        <f t="shared" si="37"/>
        <v>#DIV/0!</v>
      </c>
      <c r="BS81" s="98"/>
    </row>
    <row r="82" spans="1:71" ht="21" hidden="1" customHeight="1" outlineLevel="1" thickBot="1" x14ac:dyDescent="0.4">
      <c r="A82" s="5">
        <f t="shared" si="35"/>
        <v>0</v>
      </c>
      <c r="B82" s="5">
        <f t="shared" si="35"/>
        <v>0</v>
      </c>
      <c r="C82" s="5">
        <f t="shared" si="35"/>
        <v>0</v>
      </c>
      <c r="D82" s="5">
        <f t="shared" si="35"/>
        <v>0</v>
      </c>
      <c r="E82" s="6">
        <f t="shared" si="29"/>
        <v>0</v>
      </c>
      <c r="F82" s="14" t="e">
        <f t="shared" ref="F82" si="38">F6*$C$78</f>
        <v>#DIV/0!</v>
      </c>
      <c r="G82" s="14" t="e">
        <f t="shared" ref="G82:BR82" si="39">G6*$C$78</f>
        <v>#DIV/0!</v>
      </c>
      <c r="H82" s="14" t="e">
        <f t="shared" si="39"/>
        <v>#DIV/0!</v>
      </c>
      <c r="I82" s="14" t="e">
        <f t="shared" si="39"/>
        <v>#DIV/0!</v>
      </c>
      <c r="J82" s="14" t="e">
        <f t="shared" si="39"/>
        <v>#DIV/0!</v>
      </c>
      <c r="K82" s="14" t="e">
        <f t="shared" si="39"/>
        <v>#DIV/0!</v>
      </c>
      <c r="L82" s="14" t="e">
        <f t="shared" si="39"/>
        <v>#DIV/0!</v>
      </c>
      <c r="M82" s="14" t="e">
        <f t="shared" si="39"/>
        <v>#DIV/0!</v>
      </c>
      <c r="N82" s="14" t="e">
        <f t="shared" si="39"/>
        <v>#DIV/0!</v>
      </c>
      <c r="O82" s="14" t="e">
        <f t="shared" si="39"/>
        <v>#DIV/0!</v>
      </c>
      <c r="P82" s="14" t="e">
        <f t="shared" si="39"/>
        <v>#DIV/0!</v>
      </c>
      <c r="Q82" s="14" t="e">
        <f t="shared" si="39"/>
        <v>#DIV/0!</v>
      </c>
      <c r="R82" s="14" t="e">
        <f t="shared" si="39"/>
        <v>#DIV/0!</v>
      </c>
      <c r="S82" s="14" t="e">
        <f t="shared" si="39"/>
        <v>#DIV/0!</v>
      </c>
      <c r="T82" s="14" t="e">
        <f t="shared" si="39"/>
        <v>#DIV/0!</v>
      </c>
      <c r="U82" s="14" t="e">
        <f t="shared" si="39"/>
        <v>#DIV/0!</v>
      </c>
      <c r="V82" s="14" t="e">
        <f t="shared" si="39"/>
        <v>#DIV/0!</v>
      </c>
      <c r="W82" s="14" t="e">
        <f t="shared" si="39"/>
        <v>#DIV/0!</v>
      </c>
      <c r="X82" s="14" t="e">
        <f t="shared" si="39"/>
        <v>#DIV/0!</v>
      </c>
      <c r="Y82" s="14" t="e">
        <f t="shared" si="39"/>
        <v>#DIV/0!</v>
      </c>
      <c r="Z82" s="14" t="e">
        <f t="shared" si="39"/>
        <v>#DIV/0!</v>
      </c>
      <c r="AA82" s="14" t="e">
        <f t="shared" si="39"/>
        <v>#DIV/0!</v>
      </c>
      <c r="AB82" s="14" t="e">
        <f t="shared" si="39"/>
        <v>#DIV/0!</v>
      </c>
      <c r="AC82" s="14" t="e">
        <f t="shared" si="39"/>
        <v>#DIV/0!</v>
      </c>
      <c r="AD82" s="14" t="e">
        <f t="shared" si="39"/>
        <v>#DIV/0!</v>
      </c>
      <c r="AE82" s="14" t="e">
        <f t="shared" si="39"/>
        <v>#DIV/0!</v>
      </c>
      <c r="AF82" s="14" t="e">
        <f t="shared" si="39"/>
        <v>#DIV/0!</v>
      </c>
      <c r="AG82" s="14" t="e">
        <f t="shared" si="39"/>
        <v>#DIV/0!</v>
      </c>
      <c r="AH82" s="14" t="e">
        <f t="shared" si="39"/>
        <v>#DIV/0!</v>
      </c>
      <c r="AI82" s="14" t="e">
        <f t="shared" si="39"/>
        <v>#DIV/0!</v>
      </c>
      <c r="AJ82" s="14" t="e">
        <f t="shared" si="39"/>
        <v>#DIV/0!</v>
      </c>
      <c r="AK82" s="14" t="e">
        <f t="shared" si="39"/>
        <v>#DIV/0!</v>
      </c>
      <c r="AL82" s="14" t="e">
        <f t="shared" si="39"/>
        <v>#DIV/0!</v>
      </c>
      <c r="AM82" s="14" t="e">
        <f t="shared" si="39"/>
        <v>#DIV/0!</v>
      </c>
      <c r="AN82" s="14" t="e">
        <f t="shared" si="39"/>
        <v>#DIV/0!</v>
      </c>
      <c r="AO82" s="14" t="e">
        <f t="shared" si="39"/>
        <v>#DIV/0!</v>
      </c>
      <c r="AP82" s="14" t="e">
        <f t="shared" si="39"/>
        <v>#DIV/0!</v>
      </c>
      <c r="AQ82" s="14" t="e">
        <f t="shared" si="39"/>
        <v>#DIV/0!</v>
      </c>
      <c r="AR82" s="14" t="e">
        <f t="shared" si="39"/>
        <v>#DIV/0!</v>
      </c>
      <c r="AS82" s="14" t="e">
        <f t="shared" si="39"/>
        <v>#DIV/0!</v>
      </c>
      <c r="AT82" s="14" t="e">
        <f t="shared" si="39"/>
        <v>#DIV/0!</v>
      </c>
      <c r="AU82" s="14" t="e">
        <f t="shared" si="39"/>
        <v>#DIV/0!</v>
      </c>
      <c r="AV82" s="14" t="e">
        <f t="shared" si="39"/>
        <v>#DIV/0!</v>
      </c>
      <c r="AW82" s="14" t="e">
        <f t="shared" si="39"/>
        <v>#DIV/0!</v>
      </c>
      <c r="AX82" s="14" t="e">
        <f t="shared" si="39"/>
        <v>#DIV/0!</v>
      </c>
      <c r="AY82" s="14" t="e">
        <f t="shared" si="39"/>
        <v>#DIV/0!</v>
      </c>
      <c r="AZ82" s="14" t="e">
        <f t="shared" si="39"/>
        <v>#DIV/0!</v>
      </c>
      <c r="BA82" s="14" t="e">
        <f t="shared" si="39"/>
        <v>#DIV/0!</v>
      </c>
      <c r="BB82" s="14" t="e">
        <f t="shared" si="39"/>
        <v>#DIV/0!</v>
      </c>
      <c r="BC82" s="14" t="e">
        <f t="shared" si="39"/>
        <v>#DIV/0!</v>
      </c>
      <c r="BD82" s="14" t="e">
        <f t="shared" si="39"/>
        <v>#DIV/0!</v>
      </c>
      <c r="BE82" s="14" t="e">
        <f t="shared" si="39"/>
        <v>#DIV/0!</v>
      </c>
      <c r="BF82" s="14" t="e">
        <f t="shared" si="39"/>
        <v>#DIV/0!</v>
      </c>
      <c r="BG82" s="14" t="e">
        <f t="shared" si="39"/>
        <v>#DIV/0!</v>
      </c>
      <c r="BH82" s="14" t="e">
        <f t="shared" si="39"/>
        <v>#DIV/0!</v>
      </c>
      <c r="BI82" s="14" t="e">
        <f t="shared" si="39"/>
        <v>#DIV/0!</v>
      </c>
      <c r="BJ82" s="14" t="e">
        <f t="shared" si="39"/>
        <v>#DIV/0!</v>
      </c>
      <c r="BK82" s="14" t="e">
        <f t="shared" si="39"/>
        <v>#DIV/0!</v>
      </c>
      <c r="BL82" s="14" t="e">
        <f t="shared" si="39"/>
        <v>#DIV/0!</v>
      </c>
      <c r="BM82" s="14" t="e">
        <f t="shared" si="39"/>
        <v>#DIV/0!</v>
      </c>
      <c r="BN82" s="14" t="e">
        <f t="shared" si="39"/>
        <v>#DIV/0!</v>
      </c>
      <c r="BO82" s="14" t="e">
        <f t="shared" si="39"/>
        <v>#DIV/0!</v>
      </c>
      <c r="BP82" s="14" t="e">
        <f t="shared" si="39"/>
        <v>#DIV/0!</v>
      </c>
      <c r="BQ82" s="14" t="e">
        <f t="shared" si="39"/>
        <v>#DIV/0!</v>
      </c>
      <c r="BR82" s="14" t="e">
        <f t="shared" si="39"/>
        <v>#DIV/0!</v>
      </c>
      <c r="BS82" s="98"/>
    </row>
    <row r="83" spans="1:71" ht="21" hidden="1" customHeight="1" outlineLevel="1" thickBot="1" x14ac:dyDescent="0.4">
      <c r="A83" s="5">
        <f t="shared" si="35"/>
        <v>0</v>
      </c>
      <c r="B83" s="5">
        <f t="shared" si="35"/>
        <v>0</v>
      </c>
      <c r="C83" s="5">
        <f t="shared" si="35"/>
        <v>0</v>
      </c>
      <c r="D83" s="5">
        <f t="shared" si="35"/>
        <v>0</v>
      </c>
      <c r="E83" s="6">
        <f t="shared" si="29"/>
        <v>0</v>
      </c>
      <c r="F83" s="14" t="e">
        <f t="shared" ref="F83" si="40">F7*$C$78</f>
        <v>#DIV/0!</v>
      </c>
      <c r="G83" s="14" t="e">
        <f t="shared" ref="G83:BR83" si="41">G7*$C$78</f>
        <v>#DIV/0!</v>
      </c>
      <c r="H83" s="14" t="e">
        <f t="shared" si="41"/>
        <v>#DIV/0!</v>
      </c>
      <c r="I83" s="14" t="e">
        <f t="shared" si="41"/>
        <v>#DIV/0!</v>
      </c>
      <c r="J83" s="14" t="e">
        <f t="shared" si="41"/>
        <v>#DIV/0!</v>
      </c>
      <c r="K83" s="14" t="e">
        <f t="shared" si="41"/>
        <v>#DIV/0!</v>
      </c>
      <c r="L83" s="14" t="e">
        <f t="shared" si="41"/>
        <v>#DIV/0!</v>
      </c>
      <c r="M83" s="14" t="e">
        <f t="shared" si="41"/>
        <v>#DIV/0!</v>
      </c>
      <c r="N83" s="14" t="e">
        <f t="shared" si="41"/>
        <v>#DIV/0!</v>
      </c>
      <c r="O83" s="14" t="e">
        <f t="shared" si="41"/>
        <v>#DIV/0!</v>
      </c>
      <c r="P83" s="14" t="e">
        <f t="shared" si="41"/>
        <v>#DIV/0!</v>
      </c>
      <c r="Q83" s="14" t="e">
        <f t="shared" si="41"/>
        <v>#DIV/0!</v>
      </c>
      <c r="R83" s="14" t="e">
        <f t="shared" si="41"/>
        <v>#DIV/0!</v>
      </c>
      <c r="S83" s="14" t="e">
        <f t="shared" si="41"/>
        <v>#DIV/0!</v>
      </c>
      <c r="T83" s="14" t="e">
        <f t="shared" si="41"/>
        <v>#DIV/0!</v>
      </c>
      <c r="U83" s="14" t="e">
        <f t="shared" si="41"/>
        <v>#DIV/0!</v>
      </c>
      <c r="V83" s="14" t="e">
        <f t="shared" si="41"/>
        <v>#DIV/0!</v>
      </c>
      <c r="W83" s="14" t="e">
        <f t="shared" si="41"/>
        <v>#DIV/0!</v>
      </c>
      <c r="X83" s="14" t="e">
        <f t="shared" si="41"/>
        <v>#DIV/0!</v>
      </c>
      <c r="Y83" s="14" t="e">
        <f t="shared" si="41"/>
        <v>#DIV/0!</v>
      </c>
      <c r="Z83" s="14" t="e">
        <f t="shared" si="41"/>
        <v>#DIV/0!</v>
      </c>
      <c r="AA83" s="14" t="e">
        <f t="shared" si="41"/>
        <v>#DIV/0!</v>
      </c>
      <c r="AB83" s="14" t="e">
        <f t="shared" si="41"/>
        <v>#DIV/0!</v>
      </c>
      <c r="AC83" s="14" t="e">
        <f t="shared" si="41"/>
        <v>#DIV/0!</v>
      </c>
      <c r="AD83" s="14" t="e">
        <f t="shared" si="41"/>
        <v>#DIV/0!</v>
      </c>
      <c r="AE83" s="14" t="e">
        <f t="shared" si="41"/>
        <v>#DIV/0!</v>
      </c>
      <c r="AF83" s="14" t="e">
        <f t="shared" si="41"/>
        <v>#DIV/0!</v>
      </c>
      <c r="AG83" s="14" t="e">
        <f t="shared" si="41"/>
        <v>#DIV/0!</v>
      </c>
      <c r="AH83" s="14" t="e">
        <f t="shared" si="41"/>
        <v>#DIV/0!</v>
      </c>
      <c r="AI83" s="14" t="e">
        <f t="shared" si="41"/>
        <v>#DIV/0!</v>
      </c>
      <c r="AJ83" s="14" t="e">
        <f t="shared" si="41"/>
        <v>#DIV/0!</v>
      </c>
      <c r="AK83" s="14" t="e">
        <f t="shared" si="41"/>
        <v>#DIV/0!</v>
      </c>
      <c r="AL83" s="14" t="e">
        <f t="shared" si="41"/>
        <v>#DIV/0!</v>
      </c>
      <c r="AM83" s="14" t="e">
        <f t="shared" si="41"/>
        <v>#DIV/0!</v>
      </c>
      <c r="AN83" s="14" t="e">
        <f t="shared" si="41"/>
        <v>#DIV/0!</v>
      </c>
      <c r="AO83" s="14" t="e">
        <f t="shared" si="41"/>
        <v>#DIV/0!</v>
      </c>
      <c r="AP83" s="14" t="e">
        <f t="shared" si="41"/>
        <v>#DIV/0!</v>
      </c>
      <c r="AQ83" s="14" t="e">
        <f t="shared" si="41"/>
        <v>#DIV/0!</v>
      </c>
      <c r="AR83" s="14" t="e">
        <f t="shared" si="41"/>
        <v>#DIV/0!</v>
      </c>
      <c r="AS83" s="14" t="e">
        <f t="shared" si="41"/>
        <v>#DIV/0!</v>
      </c>
      <c r="AT83" s="14" t="e">
        <f t="shared" si="41"/>
        <v>#DIV/0!</v>
      </c>
      <c r="AU83" s="14" t="e">
        <f t="shared" si="41"/>
        <v>#DIV/0!</v>
      </c>
      <c r="AV83" s="14" t="e">
        <f t="shared" si="41"/>
        <v>#DIV/0!</v>
      </c>
      <c r="AW83" s="14" t="e">
        <f t="shared" si="41"/>
        <v>#DIV/0!</v>
      </c>
      <c r="AX83" s="14" t="e">
        <f t="shared" si="41"/>
        <v>#DIV/0!</v>
      </c>
      <c r="AY83" s="14" t="e">
        <f t="shared" si="41"/>
        <v>#DIV/0!</v>
      </c>
      <c r="AZ83" s="14" t="e">
        <f t="shared" si="41"/>
        <v>#DIV/0!</v>
      </c>
      <c r="BA83" s="14" t="e">
        <f t="shared" si="41"/>
        <v>#DIV/0!</v>
      </c>
      <c r="BB83" s="14" t="e">
        <f t="shared" si="41"/>
        <v>#DIV/0!</v>
      </c>
      <c r="BC83" s="14" t="e">
        <f t="shared" si="41"/>
        <v>#DIV/0!</v>
      </c>
      <c r="BD83" s="14" t="e">
        <f t="shared" si="41"/>
        <v>#DIV/0!</v>
      </c>
      <c r="BE83" s="14" t="e">
        <f t="shared" si="41"/>
        <v>#DIV/0!</v>
      </c>
      <c r="BF83" s="14" t="e">
        <f t="shared" si="41"/>
        <v>#DIV/0!</v>
      </c>
      <c r="BG83" s="14" t="e">
        <f t="shared" si="41"/>
        <v>#DIV/0!</v>
      </c>
      <c r="BH83" s="14" t="e">
        <f t="shared" si="41"/>
        <v>#DIV/0!</v>
      </c>
      <c r="BI83" s="14" t="e">
        <f t="shared" si="41"/>
        <v>#DIV/0!</v>
      </c>
      <c r="BJ83" s="14" t="e">
        <f t="shared" si="41"/>
        <v>#DIV/0!</v>
      </c>
      <c r="BK83" s="14" t="e">
        <f t="shared" si="41"/>
        <v>#DIV/0!</v>
      </c>
      <c r="BL83" s="14" t="e">
        <f t="shared" si="41"/>
        <v>#DIV/0!</v>
      </c>
      <c r="BM83" s="14" t="e">
        <f t="shared" si="41"/>
        <v>#DIV/0!</v>
      </c>
      <c r="BN83" s="14" t="e">
        <f t="shared" si="41"/>
        <v>#DIV/0!</v>
      </c>
      <c r="BO83" s="14" t="e">
        <f t="shared" si="41"/>
        <v>#DIV/0!</v>
      </c>
      <c r="BP83" s="14" t="e">
        <f t="shared" si="41"/>
        <v>#DIV/0!</v>
      </c>
      <c r="BQ83" s="14" t="e">
        <f t="shared" si="41"/>
        <v>#DIV/0!</v>
      </c>
      <c r="BR83" s="14" t="e">
        <f t="shared" si="41"/>
        <v>#DIV/0!</v>
      </c>
      <c r="BS83" s="98"/>
    </row>
    <row r="84" spans="1:71" ht="21" hidden="1" customHeight="1" outlineLevel="1" thickBot="1" x14ac:dyDescent="0.4">
      <c r="A84" s="5">
        <f t="shared" si="35"/>
        <v>0</v>
      </c>
      <c r="B84" s="5">
        <f t="shared" si="35"/>
        <v>0</v>
      </c>
      <c r="C84" s="5">
        <f t="shared" si="35"/>
        <v>0</v>
      </c>
      <c r="D84" s="5">
        <f t="shared" si="35"/>
        <v>0</v>
      </c>
      <c r="E84" s="6">
        <f t="shared" si="29"/>
        <v>0</v>
      </c>
      <c r="F84" s="14" t="e">
        <f t="shared" ref="F84" si="42">F8*$C$78</f>
        <v>#DIV/0!</v>
      </c>
      <c r="G84" s="14" t="e">
        <f t="shared" ref="G84:BR84" si="43">G8*$C$78</f>
        <v>#DIV/0!</v>
      </c>
      <c r="H84" s="14" t="e">
        <f t="shared" si="43"/>
        <v>#DIV/0!</v>
      </c>
      <c r="I84" s="14" t="e">
        <f t="shared" si="43"/>
        <v>#DIV/0!</v>
      </c>
      <c r="J84" s="14" t="e">
        <f t="shared" si="43"/>
        <v>#DIV/0!</v>
      </c>
      <c r="K84" s="14" t="e">
        <f t="shared" si="43"/>
        <v>#DIV/0!</v>
      </c>
      <c r="L84" s="14" t="e">
        <f t="shared" si="43"/>
        <v>#DIV/0!</v>
      </c>
      <c r="M84" s="14" t="e">
        <f t="shared" si="43"/>
        <v>#DIV/0!</v>
      </c>
      <c r="N84" s="14" t="e">
        <f t="shared" si="43"/>
        <v>#DIV/0!</v>
      </c>
      <c r="O84" s="14" t="e">
        <f t="shared" si="43"/>
        <v>#DIV/0!</v>
      </c>
      <c r="P84" s="14" t="e">
        <f t="shared" si="43"/>
        <v>#DIV/0!</v>
      </c>
      <c r="Q84" s="14" t="e">
        <f t="shared" si="43"/>
        <v>#DIV/0!</v>
      </c>
      <c r="R84" s="14" t="e">
        <f t="shared" si="43"/>
        <v>#DIV/0!</v>
      </c>
      <c r="S84" s="14" t="e">
        <f t="shared" si="43"/>
        <v>#DIV/0!</v>
      </c>
      <c r="T84" s="14" t="e">
        <f t="shared" si="43"/>
        <v>#DIV/0!</v>
      </c>
      <c r="U84" s="14" t="e">
        <f t="shared" si="43"/>
        <v>#DIV/0!</v>
      </c>
      <c r="V84" s="14" t="e">
        <f t="shared" si="43"/>
        <v>#DIV/0!</v>
      </c>
      <c r="W84" s="14" t="e">
        <f t="shared" si="43"/>
        <v>#DIV/0!</v>
      </c>
      <c r="X84" s="14" t="e">
        <f t="shared" si="43"/>
        <v>#DIV/0!</v>
      </c>
      <c r="Y84" s="14" t="e">
        <f t="shared" si="43"/>
        <v>#DIV/0!</v>
      </c>
      <c r="Z84" s="14" t="e">
        <f t="shared" si="43"/>
        <v>#DIV/0!</v>
      </c>
      <c r="AA84" s="14" t="e">
        <f t="shared" si="43"/>
        <v>#DIV/0!</v>
      </c>
      <c r="AB84" s="14" t="e">
        <f t="shared" si="43"/>
        <v>#DIV/0!</v>
      </c>
      <c r="AC84" s="14" t="e">
        <f t="shared" si="43"/>
        <v>#DIV/0!</v>
      </c>
      <c r="AD84" s="14" t="e">
        <f t="shared" si="43"/>
        <v>#DIV/0!</v>
      </c>
      <c r="AE84" s="14" t="e">
        <f t="shared" si="43"/>
        <v>#DIV/0!</v>
      </c>
      <c r="AF84" s="14" t="e">
        <f t="shared" si="43"/>
        <v>#DIV/0!</v>
      </c>
      <c r="AG84" s="14" t="e">
        <f t="shared" si="43"/>
        <v>#DIV/0!</v>
      </c>
      <c r="AH84" s="14" t="e">
        <f t="shared" si="43"/>
        <v>#DIV/0!</v>
      </c>
      <c r="AI84" s="14" t="e">
        <f t="shared" si="43"/>
        <v>#DIV/0!</v>
      </c>
      <c r="AJ84" s="14" t="e">
        <f t="shared" si="43"/>
        <v>#DIV/0!</v>
      </c>
      <c r="AK84" s="14" t="e">
        <f t="shared" si="43"/>
        <v>#DIV/0!</v>
      </c>
      <c r="AL84" s="14" t="e">
        <f t="shared" si="43"/>
        <v>#DIV/0!</v>
      </c>
      <c r="AM84" s="14" t="e">
        <f t="shared" si="43"/>
        <v>#DIV/0!</v>
      </c>
      <c r="AN84" s="14" t="e">
        <f t="shared" si="43"/>
        <v>#DIV/0!</v>
      </c>
      <c r="AO84" s="14" t="e">
        <f t="shared" si="43"/>
        <v>#DIV/0!</v>
      </c>
      <c r="AP84" s="14" t="e">
        <f t="shared" si="43"/>
        <v>#DIV/0!</v>
      </c>
      <c r="AQ84" s="14" t="e">
        <f t="shared" si="43"/>
        <v>#DIV/0!</v>
      </c>
      <c r="AR84" s="14" t="e">
        <f t="shared" si="43"/>
        <v>#DIV/0!</v>
      </c>
      <c r="AS84" s="14" t="e">
        <f t="shared" si="43"/>
        <v>#DIV/0!</v>
      </c>
      <c r="AT84" s="14" t="e">
        <f t="shared" si="43"/>
        <v>#DIV/0!</v>
      </c>
      <c r="AU84" s="14" t="e">
        <f t="shared" si="43"/>
        <v>#DIV/0!</v>
      </c>
      <c r="AV84" s="14" t="e">
        <f t="shared" si="43"/>
        <v>#DIV/0!</v>
      </c>
      <c r="AW84" s="14" t="e">
        <f t="shared" si="43"/>
        <v>#DIV/0!</v>
      </c>
      <c r="AX84" s="14" t="e">
        <f t="shared" si="43"/>
        <v>#DIV/0!</v>
      </c>
      <c r="AY84" s="14" t="e">
        <f t="shared" si="43"/>
        <v>#DIV/0!</v>
      </c>
      <c r="AZ84" s="14" t="e">
        <f t="shared" si="43"/>
        <v>#DIV/0!</v>
      </c>
      <c r="BA84" s="14" t="e">
        <f t="shared" si="43"/>
        <v>#DIV/0!</v>
      </c>
      <c r="BB84" s="14" t="e">
        <f t="shared" si="43"/>
        <v>#DIV/0!</v>
      </c>
      <c r="BC84" s="14" t="e">
        <f t="shared" si="43"/>
        <v>#DIV/0!</v>
      </c>
      <c r="BD84" s="14" t="e">
        <f t="shared" si="43"/>
        <v>#DIV/0!</v>
      </c>
      <c r="BE84" s="14" t="e">
        <f t="shared" si="43"/>
        <v>#DIV/0!</v>
      </c>
      <c r="BF84" s="14" t="e">
        <f t="shared" si="43"/>
        <v>#DIV/0!</v>
      </c>
      <c r="BG84" s="14" t="e">
        <f t="shared" si="43"/>
        <v>#DIV/0!</v>
      </c>
      <c r="BH84" s="14" t="e">
        <f t="shared" si="43"/>
        <v>#DIV/0!</v>
      </c>
      <c r="BI84" s="14" t="e">
        <f t="shared" si="43"/>
        <v>#DIV/0!</v>
      </c>
      <c r="BJ84" s="14" t="e">
        <f t="shared" si="43"/>
        <v>#DIV/0!</v>
      </c>
      <c r="BK84" s="14" t="e">
        <f t="shared" si="43"/>
        <v>#DIV/0!</v>
      </c>
      <c r="BL84" s="14" t="e">
        <f t="shared" si="43"/>
        <v>#DIV/0!</v>
      </c>
      <c r="BM84" s="14" t="e">
        <f t="shared" si="43"/>
        <v>#DIV/0!</v>
      </c>
      <c r="BN84" s="14" t="e">
        <f t="shared" si="43"/>
        <v>#DIV/0!</v>
      </c>
      <c r="BO84" s="14" t="e">
        <f t="shared" si="43"/>
        <v>#DIV/0!</v>
      </c>
      <c r="BP84" s="14" t="e">
        <f t="shared" si="43"/>
        <v>#DIV/0!</v>
      </c>
      <c r="BQ84" s="14" t="e">
        <f t="shared" si="43"/>
        <v>#DIV/0!</v>
      </c>
      <c r="BR84" s="14" t="e">
        <f t="shared" si="43"/>
        <v>#DIV/0!</v>
      </c>
      <c r="BS84" s="98"/>
    </row>
    <row r="85" spans="1:71" ht="21" hidden="1" customHeight="1" outlineLevel="1" thickBot="1" x14ac:dyDescent="0.4">
      <c r="A85" s="5">
        <f t="shared" si="35"/>
        <v>0</v>
      </c>
      <c r="B85" s="5">
        <f t="shared" si="35"/>
        <v>0</v>
      </c>
      <c r="C85" s="5">
        <f t="shared" si="35"/>
        <v>0</v>
      </c>
      <c r="D85" s="5">
        <f t="shared" si="35"/>
        <v>0</v>
      </c>
      <c r="E85" s="6">
        <f t="shared" si="29"/>
        <v>0</v>
      </c>
      <c r="F85" s="14" t="e">
        <f t="shared" ref="F85" si="44">F9*$C$78</f>
        <v>#DIV/0!</v>
      </c>
      <c r="G85" s="14" t="e">
        <f t="shared" ref="G85:BR85" si="45">G9*$C$78</f>
        <v>#DIV/0!</v>
      </c>
      <c r="H85" s="14" t="e">
        <f t="shared" si="45"/>
        <v>#DIV/0!</v>
      </c>
      <c r="I85" s="14" t="e">
        <f t="shared" si="45"/>
        <v>#DIV/0!</v>
      </c>
      <c r="J85" s="14" t="e">
        <f t="shared" si="45"/>
        <v>#DIV/0!</v>
      </c>
      <c r="K85" s="14" t="e">
        <f t="shared" si="45"/>
        <v>#DIV/0!</v>
      </c>
      <c r="L85" s="14" t="e">
        <f t="shared" si="45"/>
        <v>#DIV/0!</v>
      </c>
      <c r="M85" s="14" t="e">
        <f t="shared" si="45"/>
        <v>#DIV/0!</v>
      </c>
      <c r="N85" s="14" t="e">
        <f t="shared" si="45"/>
        <v>#DIV/0!</v>
      </c>
      <c r="O85" s="14" t="e">
        <f t="shared" si="45"/>
        <v>#DIV/0!</v>
      </c>
      <c r="P85" s="14" t="e">
        <f t="shared" si="45"/>
        <v>#DIV/0!</v>
      </c>
      <c r="Q85" s="14" t="e">
        <f t="shared" si="45"/>
        <v>#DIV/0!</v>
      </c>
      <c r="R85" s="14" t="e">
        <f t="shared" si="45"/>
        <v>#DIV/0!</v>
      </c>
      <c r="S85" s="14" t="e">
        <f t="shared" si="45"/>
        <v>#DIV/0!</v>
      </c>
      <c r="T85" s="14" t="e">
        <f t="shared" si="45"/>
        <v>#DIV/0!</v>
      </c>
      <c r="U85" s="14" t="e">
        <f t="shared" si="45"/>
        <v>#DIV/0!</v>
      </c>
      <c r="V85" s="14" t="e">
        <f t="shared" si="45"/>
        <v>#DIV/0!</v>
      </c>
      <c r="W85" s="14" t="e">
        <f t="shared" si="45"/>
        <v>#DIV/0!</v>
      </c>
      <c r="X85" s="14" t="e">
        <f t="shared" si="45"/>
        <v>#DIV/0!</v>
      </c>
      <c r="Y85" s="14" t="e">
        <f t="shared" si="45"/>
        <v>#DIV/0!</v>
      </c>
      <c r="Z85" s="14" t="e">
        <f t="shared" si="45"/>
        <v>#DIV/0!</v>
      </c>
      <c r="AA85" s="14" t="e">
        <f t="shared" si="45"/>
        <v>#DIV/0!</v>
      </c>
      <c r="AB85" s="14" t="e">
        <f t="shared" si="45"/>
        <v>#DIV/0!</v>
      </c>
      <c r="AC85" s="14" t="e">
        <f t="shared" si="45"/>
        <v>#DIV/0!</v>
      </c>
      <c r="AD85" s="14" t="e">
        <f t="shared" si="45"/>
        <v>#DIV/0!</v>
      </c>
      <c r="AE85" s="14" t="e">
        <f t="shared" si="45"/>
        <v>#DIV/0!</v>
      </c>
      <c r="AF85" s="14" t="e">
        <f t="shared" si="45"/>
        <v>#DIV/0!</v>
      </c>
      <c r="AG85" s="14" t="e">
        <f t="shared" si="45"/>
        <v>#DIV/0!</v>
      </c>
      <c r="AH85" s="14" t="e">
        <f t="shared" si="45"/>
        <v>#DIV/0!</v>
      </c>
      <c r="AI85" s="14" t="e">
        <f t="shared" si="45"/>
        <v>#DIV/0!</v>
      </c>
      <c r="AJ85" s="14" t="e">
        <f t="shared" si="45"/>
        <v>#DIV/0!</v>
      </c>
      <c r="AK85" s="14" t="e">
        <f t="shared" si="45"/>
        <v>#DIV/0!</v>
      </c>
      <c r="AL85" s="14" t="e">
        <f t="shared" si="45"/>
        <v>#DIV/0!</v>
      </c>
      <c r="AM85" s="14" t="e">
        <f t="shared" si="45"/>
        <v>#DIV/0!</v>
      </c>
      <c r="AN85" s="14" t="e">
        <f t="shared" si="45"/>
        <v>#DIV/0!</v>
      </c>
      <c r="AO85" s="14" t="e">
        <f t="shared" si="45"/>
        <v>#DIV/0!</v>
      </c>
      <c r="AP85" s="14" t="e">
        <f t="shared" si="45"/>
        <v>#DIV/0!</v>
      </c>
      <c r="AQ85" s="14" t="e">
        <f t="shared" si="45"/>
        <v>#DIV/0!</v>
      </c>
      <c r="AR85" s="14" t="e">
        <f t="shared" si="45"/>
        <v>#DIV/0!</v>
      </c>
      <c r="AS85" s="14" t="e">
        <f t="shared" si="45"/>
        <v>#DIV/0!</v>
      </c>
      <c r="AT85" s="14" t="e">
        <f t="shared" si="45"/>
        <v>#DIV/0!</v>
      </c>
      <c r="AU85" s="14" t="e">
        <f t="shared" si="45"/>
        <v>#DIV/0!</v>
      </c>
      <c r="AV85" s="14" t="e">
        <f t="shared" si="45"/>
        <v>#DIV/0!</v>
      </c>
      <c r="AW85" s="14" t="e">
        <f t="shared" si="45"/>
        <v>#DIV/0!</v>
      </c>
      <c r="AX85" s="14" t="e">
        <f t="shared" si="45"/>
        <v>#DIV/0!</v>
      </c>
      <c r="AY85" s="14" t="e">
        <f t="shared" si="45"/>
        <v>#DIV/0!</v>
      </c>
      <c r="AZ85" s="14" t="e">
        <f t="shared" si="45"/>
        <v>#DIV/0!</v>
      </c>
      <c r="BA85" s="14" t="e">
        <f t="shared" si="45"/>
        <v>#DIV/0!</v>
      </c>
      <c r="BB85" s="14" t="e">
        <f t="shared" si="45"/>
        <v>#DIV/0!</v>
      </c>
      <c r="BC85" s="14" t="e">
        <f t="shared" si="45"/>
        <v>#DIV/0!</v>
      </c>
      <c r="BD85" s="14" t="e">
        <f t="shared" si="45"/>
        <v>#DIV/0!</v>
      </c>
      <c r="BE85" s="14" t="e">
        <f t="shared" si="45"/>
        <v>#DIV/0!</v>
      </c>
      <c r="BF85" s="14" t="e">
        <f t="shared" si="45"/>
        <v>#DIV/0!</v>
      </c>
      <c r="BG85" s="14" t="e">
        <f t="shared" si="45"/>
        <v>#DIV/0!</v>
      </c>
      <c r="BH85" s="14" t="e">
        <f t="shared" si="45"/>
        <v>#DIV/0!</v>
      </c>
      <c r="BI85" s="14" t="e">
        <f t="shared" si="45"/>
        <v>#DIV/0!</v>
      </c>
      <c r="BJ85" s="14" t="e">
        <f t="shared" si="45"/>
        <v>#DIV/0!</v>
      </c>
      <c r="BK85" s="14" t="e">
        <f t="shared" si="45"/>
        <v>#DIV/0!</v>
      </c>
      <c r="BL85" s="14" t="e">
        <f t="shared" si="45"/>
        <v>#DIV/0!</v>
      </c>
      <c r="BM85" s="14" t="e">
        <f t="shared" si="45"/>
        <v>#DIV/0!</v>
      </c>
      <c r="BN85" s="14" t="e">
        <f t="shared" si="45"/>
        <v>#DIV/0!</v>
      </c>
      <c r="BO85" s="14" t="e">
        <f t="shared" si="45"/>
        <v>#DIV/0!</v>
      </c>
      <c r="BP85" s="14" t="e">
        <f t="shared" si="45"/>
        <v>#DIV/0!</v>
      </c>
      <c r="BQ85" s="14" t="e">
        <f t="shared" si="45"/>
        <v>#DIV/0!</v>
      </c>
      <c r="BR85" s="14" t="e">
        <f t="shared" si="45"/>
        <v>#DIV/0!</v>
      </c>
      <c r="BS85" s="98"/>
    </row>
    <row r="86" spans="1:71" ht="21" hidden="1" customHeight="1" outlineLevel="1" thickBot="1" x14ac:dyDescent="0.4">
      <c r="A86" s="5">
        <f t="shared" si="35"/>
        <v>0</v>
      </c>
      <c r="B86" s="5">
        <f t="shared" si="35"/>
        <v>0</v>
      </c>
      <c r="C86" s="5">
        <f t="shared" si="35"/>
        <v>0</v>
      </c>
      <c r="D86" s="5">
        <f t="shared" si="35"/>
        <v>0</v>
      </c>
      <c r="E86" s="6">
        <f t="shared" si="29"/>
        <v>0</v>
      </c>
      <c r="F86" s="14" t="e">
        <f t="shared" ref="F86" si="46">F10*$C$78</f>
        <v>#DIV/0!</v>
      </c>
      <c r="G86" s="14" t="e">
        <f t="shared" ref="G86:BR86" si="47">G10*$C$78</f>
        <v>#DIV/0!</v>
      </c>
      <c r="H86" s="14" t="e">
        <f t="shared" si="47"/>
        <v>#DIV/0!</v>
      </c>
      <c r="I86" s="14" t="e">
        <f t="shared" si="47"/>
        <v>#DIV/0!</v>
      </c>
      <c r="J86" s="14" t="e">
        <f t="shared" si="47"/>
        <v>#DIV/0!</v>
      </c>
      <c r="K86" s="14" t="e">
        <f t="shared" si="47"/>
        <v>#DIV/0!</v>
      </c>
      <c r="L86" s="14" t="e">
        <f t="shared" si="47"/>
        <v>#DIV/0!</v>
      </c>
      <c r="M86" s="14" t="e">
        <f t="shared" si="47"/>
        <v>#DIV/0!</v>
      </c>
      <c r="N86" s="14" t="e">
        <f t="shared" si="47"/>
        <v>#DIV/0!</v>
      </c>
      <c r="O86" s="14" t="e">
        <f t="shared" si="47"/>
        <v>#DIV/0!</v>
      </c>
      <c r="P86" s="14" t="e">
        <f t="shared" si="47"/>
        <v>#DIV/0!</v>
      </c>
      <c r="Q86" s="14" t="e">
        <f t="shared" si="47"/>
        <v>#DIV/0!</v>
      </c>
      <c r="R86" s="14" t="e">
        <f t="shared" si="47"/>
        <v>#DIV/0!</v>
      </c>
      <c r="S86" s="14" t="e">
        <f t="shared" si="47"/>
        <v>#DIV/0!</v>
      </c>
      <c r="T86" s="14" t="e">
        <f t="shared" si="47"/>
        <v>#DIV/0!</v>
      </c>
      <c r="U86" s="14" t="e">
        <f t="shared" si="47"/>
        <v>#DIV/0!</v>
      </c>
      <c r="V86" s="14" t="e">
        <f t="shared" si="47"/>
        <v>#DIV/0!</v>
      </c>
      <c r="W86" s="14" t="e">
        <f t="shared" si="47"/>
        <v>#DIV/0!</v>
      </c>
      <c r="X86" s="14" t="e">
        <f t="shared" si="47"/>
        <v>#DIV/0!</v>
      </c>
      <c r="Y86" s="14" t="e">
        <f t="shared" si="47"/>
        <v>#DIV/0!</v>
      </c>
      <c r="Z86" s="14" t="e">
        <f t="shared" si="47"/>
        <v>#DIV/0!</v>
      </c>
      <c r="AA86" s="14" t="e">
        <f t="shared" si="47"/>
        <v>#DIV/0!</v>
      </c>
      <c r="AB86" s="14" t="e">
        <f t="shared" si="47"/>
        <v>#DIV/0!</v>
      </c>
      <c r="AC86" s="14" t="e">
        <f t="shared" si="47"/>
        <v>#DIV/0!</v>
      </c>
      <c r="AD86" s="14" t="e">
        <f t="shared" si="47"/>
        <v>#DIV/0!</v>
      </c>
      <c r="AE86" s="14" t="e">
        <f t="shared" si="47"/>
        <v>#DIV/0!</v>
      </c>
      <c r="AF86" s="14" t="e">
        <f t="shared" si="47"/>
        <v>#DIV/0!</v>
      </c>
      <c r="AG86" s="14" t="e">
        <f t="shared" si="47"/>
        <v>#DIV/0!</v>
      </c>
      <c r="AH86" s="14" t="e">
        <f t="shared" si="47"/>
        <v>#DIV/0!</v>
      </c>
      <c r="AI86" s="14" t="e">
        <f t="shared" si="47"/>
        <v>#DIV/0!</v>
      </c>
      <c r="AJ86" s="14" t="e">
        <f t="shared" si="47"/>
        <v>#DIV/0!</v>
      </c>
      <c r="AK86" s="14" t="e">
        <f t="shared" si="47"/>
        <v>#DIV/0!</v>
      </c>
      <c r="AL86" s="14" t="e">
        <f t="shared" si="47"/>
        <v>#DIV/0!</v>
      </c>
      <c r="AM86" s="14" t="e">
        <f t="shared" si="47"/>
        <v>#DIV/0!</v>
      </c>
      <c r="AN86" s="14" t="e">
        <f t="shared" si="47"/>
        <v>#DIV/0!</v>
      </c>
      <c r="AO86" s="14" t="e">
        <f t="shared" si="47"/>
        <v>#DIV/0!</v>
      </c>
      <c r="AP86" s="14" t="e">
        <f t="shared" si="47"/>
        <v>#DIV/0!</v>
      </c>
      <c r="AQ86" s="14" t="e">
        <f t="shared" si="47"/>
        <v>#DIV/0!</v>
      </c>
      <c r="AR86" s="14" t="e">
        <f t="shared" si="47"/>
        <v>#DIV/0!</v>
      </c>
      <c r="AS86" s="14" t="e">
        <f t="shared" si="47"/>
        <v>#DIV/0!</v>
      </c>
      <c r="AT86" s="14" t="e">
        <f t="shared" si="47"/>
        <v>#DIV/0!</v>
      </c>
      <c r="AU86" s="14" t="e">
        <f t="shared" si="47"/>
        <v>#DIV/0!</v>
      </c>
      <c r="AV86" s="14" t="e">
        <f t="shared" si="47"/>
        <v>#DIV/0!</v>
      </c>
      <c r="AW86" s="14" t="e">
        <f t="shared" si="47"/>
        <v>#DIV/0!</v>
      </c>
      <c r="AX86" s="14" t="e">
        <f t="shared" si="47"/>
        <v>#DIV/0!</v>
      </c>
      <c r="AY86" s="14" t="e">
        <f t="shared" si="47"/>
        <v>#DIV/0!</v>
      </c>
      <c r="AZ86" s="14" t="e">
        <f t="shared" si="47"/>
        <v>#DIV/0!</v>
      </c>
      <c r="BA86" s="14" t="e">
        <f t="shared" si="47"/>
        <v>#DIV/0!</v>
      </c>
      <c r="BB86" s="14" t="e">
        <f t="shared" si="47"/>
        <v>#DIV/0!</v>
      </c>
      <c r="BC86" s="14" t="e">
        <f t="shared" si="47"/>
        <v>#DIV/0!</v>
      </c>
      <c r="BD86" s="14" t="e">
        <f t="shared" si="47"/>
        <v>#DIV/0!</v>
      </c>
      <c r="BE86" s="14" t="e">
        <f t="shared" si="47"/>
        <v>#DIV/0!</v>
      </c>
      <c r="BF86" s="14" t="e">
        <f t="shared" si="47"/>
        <v>#DIV/0!</v>
      </c>
      <c r="BG86" s="14" t="e">
        <f t="shared" si="47"/>
        <v>#DIV/0!</v>
      </c>
      <c r="BH86" s="14" t="e">
        <f t="shared" si="47"/>
        <v>#DIV/0!</v>
      </c>
      <c r="BI86" s="14" t="e">
        <f t="shared" si="47"/>
        <v>#DIV/0!</v>
      </c>
      <c r="BJ86" s="14" t="e">
        <f t="shared" si="47"/>
        <v>#DIV/0!</v>
      </c>
      <c r="BK86" s="14" t="e">
        <f t="shared" si="47"/>
        <v>#DIV/0!</v>
      </c>
      <c r="BL86" s="14" t="e">
        <f t="shared" si="47"/>
        <v>#DIV/0!</v>
      </c>
      <c r="BM86" s="14" t="e">
        <f t="shared" si="47"/>
        <v>#DIV/0!</v>
      </c>
      <c r="BN86" s="14" t="e">
        <f t="shared" si="47"/>
        <v>#DIV/0!</v>
      </c>
      <c r="BO86" s="14" t="e">
        <f t="shared" si="47"/>
        <v>#DIV/0!</v>
      </c>
      <c r="BP86" s="14" t="e">
        <f t="shared" si="47"/>
        <v>#DIV/0!</v>
      </c>
      <c r="BQ86" s="14" t="e">
        <f t="shared" si="47"/>
        <v>#DIV/0!</v>
      </c>
      <c r="BR86" s="14" t="e">
        <f t="shared" si="47"/>
        <v>#DIV/0!</v>
      </c>
      <c r="BS86" s="98"/>
    </row>
    <row r="87" spans="1:71" ht="21" hidden="1" customHeight="1" outlineLevel="1" thickBot="1" x14ac:dyDescent="0.4">
      <c r="A87" s="5">
        <f t="shared" si="35"/>
        <v>0</v>
      </c>
      <c r="B87" s="5">
        <f t="shared" si="35"/>
        <v>0</v>
      </c>
      <c r="C87" s="5">
        <f t="shared" si="35"/>
        <v>0</v>
      </c>
      <c r="D87" s="5">
        <f t="shared" si="35"/>
        <v>0</v>
      </c>
      <c r="E87" s="6">
        <f t="shared" si="29"/>
        <v>0</v>
      </c>
      <c r="F87" s="14" t="e">
        <f t="shared" ref="F87" si="48">F11*$C$78</f>
        <v>#DIV/0!</v>
      </c>
      <c r="G87" s="14" t="e">
        <f t="shared" ref="G87:BR87" si="49">G11*$C$78</f>
        <v>#DIV/0!</v>
      </c>
      <c r="H87" s="14" t="e">
        <f t="shared" si="49"/>
        <v>#DIV/0!</v>
      </c>
      <c r="I87" s="14" t="e">
        <f t="shared" si="49"/>
        <v>#DIV/0!</v>
      </c>
      <c r="J87" s="14" t="e">
        <f t="shared" si="49"/>
        <v>#DIV/0!</v>
      </c>
      <c r="K87" s="14" t="e">
        <f t="shared" si="49"/>
        <v>#DIV/0!</v>
      </c>
      <c r="L87" s="14" t="e">
        <f t="shared" si="49"/>
        <v>#DIV/0!</v>
      </c>
      <c r="M87" s="14" t="e">
        <f t="shared" si="49"/>
        <v>#DIV/0!</v>
      </c>
      <c r="N87" s="14" t="e">
        <f t="shared" si="49"/>
        <v>#DIV/0!</v>
      </c>
      <c r="O87" s="14" t="e">
        <f t="shared" si="49"/>
        <v>#DIV/0!</v>
      </c>
      <c r="P87" s="14" t="e">
        <f t="shared" si="49"/>
        <v>#DIV/0!</v>
      </c>
      <c r="Q87" s="14" t="e">
        <f t="shared" si="49"/>
        <v>#DIV/0!</v>
      </c>
      <c r="R87" s="14" t="e">
        <f t="shared" si="49"/>
        <v>#DIV/0!</v>
      </c>
      <c r="S87" s="14" t="e">
        <f t="shared" si="49"/>
        <v>#DIV/0!</v>
      </c>
      <c r="T87" s="14" t="e">
        <f t="shared" si="49"/>
        <v>#DIV/0!</v>
      </c>
      <c r="U87" s="14" t="e">
        <f t="shared" si="49"/>
        <v>#DIV/0!</v>
      </c>
      <c r="V87" s="14" t="e">
        <f t="shared" si="49"/>
        <v>#DIV/0!</v>
      </c>
      <c r="W87" s="14" t="e">
        <f t="shared" si="49"/>
        <v>#DIV/0!</v>
      </c>
      <c r="X87" s="14" t="e">
        <f t="shared" si="49"/>
        <v>#DIV/0!</v>
      </c>
      <c r="Y87" s="14" t="e">
        <f t="shared" si="49"/>
        <v>#DIV/0!</v>
      </c>
      <c r="Z87" s="14" t="e">
        <f t="shared" si="49"/>
        <v>#DIV/0!</v>
      </c>
      <c r="AA87" s="14" t="e">
        <f t="shared" si="49"/>
        <v>#DIV/0!</v>
      </c>
      <c r="AB87" s="14" t="e">
        <f t="shared" si="49"/>
        <v>#DIV/0!</v>
      </c>
      <c r="AC87" s="14" t="e">
        <f t="shared" si="49"/>
        <v>#DIV/0!</v>
      </c>
      <c r="AD87" s="14" t="e">
        <f t="shared" si="49"/>
        <v>#DIV/0!</v>
      </c>
      <c r="AE87" s="14" t="e">
        <f t="shared" si="49"/>
        <v>#DIV/0!</v>
      </c>
      <c r="AF87" s="14" t="e">
        <f t="shared" si="49"/>
        <v>#DIV/0!</v>
      </c>
      <c r="AG87" s="14" t="e">
        <f t="shared" si="49"/>
        <v>#DIV/0!</v>
      </c>
      <c r="AH87" s="14" t="e">
        <f t="shared" si="49"/>
        <v>#DIV/0!</v>
      </c>
      <c r="AI87" s="14" t="e">
        <f t="shared" si="49"/>
        <v>#DIV/0!</v>
      </c>
      <c r="AJ87" s="14" t="e">
        <f t="shared" si="49"/>
        <v>#DIV/0!</v>
      </c>
      <c r="AK87" s="14" t="e">
        <f t="shared" si="49"/>
        <v>#DIV/0!</v>
      </c>
      <c r="AL87" s="14" t="e">
        <f t="shared" si="49"/>
        <v>#DIV/0!</v>
      </c>
      <c r="AM87" s="14" t="e">
        <f t="shared" si="49"/>
        <v>#DIV/0!</v>
      </c>
      <c r="AN87" s="14" t="e">
        <f t="shared" si="49"/>
        <v>#DIV/0!</v>
      </c>
      <c r="AO87" s="14" t="e">
        <f t="shared" si="49"/>
        <v>#DIV/0!</v>
      </c>
      <c r="AP87" s="14" t="e">
        <f t="shared" si="49"/>
        <v>#DIV/0!</v>
      </c>
      <c r="AQ87" s="14" t="e">
        <f t="shared" si="49"/>
        <v>#DIV/0!</v>
      </c>
      <c r="AR87" s="14" t="e">
        <f t="shared" si="49"/>
        <v>#DIV/0!</v>
      </c>
      <c r="AS87" s="14" t="e">
        <f t="shared" si="49"/>
        <v>#DIV/0!</v>
      </c>
      <c r="AT87" s="14" t="e">
        <f t="shared" si="49"/>
        <v>#DIV/0!</v>
      </c>
      <c r="AU87" s="14" t="e">
        <f t="shared" si="49"/>
        <v>#DIV/0!</v>
      </c>
      <c r="AV87" s="14" t="e">
        <f t="shared" si="49"/>
        <v>#DIV/0!</v>
      </c>
      <c r="AW87" s="14" t="e">
        <f t="shared" si="49"/>
        <v>#DIV/0!</v>
      </c>
      <c r="AX87" s="14" t="e">
        <f t="shared" si="49"/>
        <v>#DIV/0!</v>
      </c>
      <c r="AY87" s="14" t="e">
        <f t="shared" si="49"/>
        <v>#DIV/0!</v>
      </c>
      <c r="AZ87" s="14" t="e">
        <f t="shared" si="49"/>
        <v>#DIV/0!</v>
      </c>
      <c r="BA87" s="14" t="e">
        <f t="shared" si="49"/>
        <v>#DIV/0!</v>
      </c>
      <c r="BB87" s="14" t="e">
        <f t="shared" si="49"/>
        <v>#DIV/0!</v>
      </c>
      <c r="BC87" s="14" t="e">
        <f t="shared" si="49"/>
        <v>#DIV/0!</v>
      </c>
      <c r="BD87" s="14" t="e">
        <f t="shared" si="49"/>
        <v>#DIV/0!</v>
      </c>
      <c r="BE87" s="14" t="e">
        <f t="shared" si="49"/>
        <v>#DIV/0!</v>
      </c>
      <c r="BF87" s="14" t="e">
        <f t="shared" si="49"/>
        <v>#DIV/0!</v>
      </c>
      <c r="BG87" s="14" t="e">
        <f t="shared" si="49"/>
        <v>#DIV/0!</v>
      </c>
      <c r="BH87" s="14" t="e">
        <f t="shared" si="49"/>
        <v>#DIV/0!</v>
      </c>
      <c r="BI87" s="14" t="e">
        <f t="shared" si="49"/>
        <v>#DIV/0!</v>
      </c>
      <c r="BJ87" s="14" t="e">
        <f t="shared" si="49"/>
        <v>#DIV/0!</v>
      </c>
      <c r="BK87" s="14" t="e">
        <f t="shared" si="49"/>
        <v>#DIV/0!</v>
      </c>
      <c r="BL87" s="14" t="e">
        <f t="shared" si="49"/>
        <v>#DIV/0!</v>
      </c>
      <c r="BM87" s="14" t="e">
        <f t="shared" si="49"/>
        <v>#DIV/0!</v>
      </c>
      <c r="BN87" s="14" t="e">
        <f t="shared" si="49"/>
        <v>#DIV/0!</v>
      </c>
      <c r="BO87" s="14" t="e">
        <f t="shared" si="49"/>
        <v>#DIV/0!</v>
      </c>
      <c r="BP87" s="14" t="e">
        <f t="shared" si="49"/>
        <v>#DIV/0!</v>
      </c>
      <c r="BQ87" s="14" t="e">
        <f t="shared" si="49"/>
        <v>#DIV/0!</v>
      </c>
      <c r="BR87" s="14" t="e">
        <f t="shared" si="49"/>
        <v>#DIV/0!</v>
      </c>
      <c r="BS87" s="98"/>
    </row>
    <row r="88" spans="1:71" ht="21" hidden="1" customHeight="1" outlineLevel="1" thickBot="1" x14ac:dyDescent="0.4">
      <c r="A88" s="5">
        <f t="shared" si="35"/>
        <v>0</v>
      </c>
      <c r="B88" s="5">
        <f t="shared" si="35"/>
        <v>0</v>
      </c>
      <c r="C88" s="5">
        <f t="shared" si="35"/>
        <v>0</v>
      </c>
      <c r="D88" s="5">
        <f t="shared" si="35"/>
        <v>0</v>
      </c>
      <c r="E88" s="6">
        <f t="shared" si="29"/>
        <v>0</v>
      </c>
      <c r="F88" s="14" t="e">
        <f t="shared" ref="F88" si="50">F12*$C$78</f>
        <v>#DIV/0!</v>
      </c>
      <c r="G88" s="14" t="e">
        <f t="shared" ref="G88:BR88" si="51">G12*$C$78</f>
        <v>#DIV/0!</v>
      </c>
      <c r="H88" s="14" t="e">
        <f t="shared" si="51"/>
        <v>#DIV/0!</v>
      </c>
      <c r="I88" s="14" t="e">
        <f t="shared" si="51"/>
        <v>#DIV/0!</v>
      </c>
      <c r="J88" s="14" t="e">
        <f t="shared" si="51"/>
        <v>#DIV/0!</v>
      </c>
      <c r="K88" s="14" t="e">
        <f t="shared" si="51"/>
        <v>#DIV/0!</v>
      </c>
      <c r="L88" s="14" t="e">
        <f t="shared" si="51"/>
        <v>#DIV/0!</v>
      </c>
      <c r="M88" s="14" t="e">
        <f t="shared" si="51"/>
        <v>#DIV/0!</v>
      </c>
      <c r="N88" s="14" t="e">
        <f t="shared" si="51"/>
        <v>#DIV/0!</v>
      </c>
      <c r="O88" s="14" t="e">
        <f t="shared" si="51"/>
        <v>#DIV/0!</v>
      </c>
      <c r="P88" s="14" t="e">
        <f t="shared" si="51"/>
        <v>#DIV/0!</v>
      </c>
      <c r="Q88" s="14" t="e">
        <f t="shared" si="51"/>
        <v>#DIV/0!</v>
      </c>
      <c r="R88" s="14" t="e">
        <f t="shared" si="51"/>
        <v>#DIV/0!</v>
      </c>
      <c r="S88" s="14" t="e">
        <f t="shared" si="51"/>
        <v>#DIV/0!</v>
      </c>
      <c r="T88" s="14" t="e">
        <f t="shared" si="51"/>
        <v>#DIV/0!</v>
      </c>
      <c r="U88" s="14" t="e">
        <f t="shared" si="51"/>
        <v>#DIV/0!</v>
      </c>
      <c r="V88" s="14" t="e">
        <f t="shared" si="51"/>
        <v>#DIV/0!</v>
      </c>
      <c r="W88" s="14" t="e">
        <f t="shared" si="51"/>
        <v>#DIV/0!</v>
      </c>
      <c r="X88" s="14" t="e">
        <f t="shared" si="51"/>
        <v>#DIV/0!</v>
      </c>
      <c r="Y88" s="14" t="e">
        <f t="shared" si="51"/>
        <v>#DIV/0!</v>
      </c>
      <c r="Z88" s="14" t="e">
        <f t="shared" si="51"/>
        <v>#DIV/0!</v>
      </c>
      <c r="AA88" s="14" t="e">
        <f t="shared" si="51"/>
        <v>#DIV/0!</v>
      </c>
      <c r="AB88" s="14" t="e">
        <f t="shared" si="51"/>
        <v>#DIV/0!</v>
      </c>
      <c r="AC88" s="14" t="e">
        <f t="shared" si="51"/>
        <v>#DIV/0!</v>
      </c>
      <c r="AD88" s="14" t="e">
        <f t="shared" si="51"/>
        <v>#DIV/0!</v>
      </c>
      <c r="AE88" s="14" t="e">
        <f t="shared" si="51"/>
        <v>#DIV/0!</v>
      </c>
      <c r="AF88" s="14" t="e">
        <f t="shared" si="51"/>
        <v>#DIV/0!</v>
      </c>
      <c r="AG88" s="14" t="e">
        <f t="shared" si="51"/>
        <v>#DIV/0!</v>
      </c>
      <c r="AH88" s="14" t="e">
        <f t="shared" si="51"/>
        <v>#DIV/0!</v>
      </c>
      <c r="AI88" s="14" t="e">
        <f t="shared" si="51"/>
        <v>#DIV/0!</v>
      </c>
      <c r="AJ88" s="14" t="e">
        <f t="shared" si="51"/>
        <v>#DIV/0!</v>
      </c>
      <c r="AK88" s="14" t="e">
        <f t="shared" si="51"/>
        <v>#DIV/0!</v>
      </c>
      <c r="AL88" s="14" t="e">
        <f t="shared" si="51"/>
        <v>#DIV/0!</v>
      </c>
      <c r="AM88" s="14" t="e">
        <f t="shared" si="51"/>
        <v>#DIV/0!</v>
      </c>
      <c r="AN88" s="14" t="e">
        <f t="shared" si="51"/>
        <v>#DIV/0!</v>
      </c>
      <c r="AO88" s="14" t="e">
        <f t="shared" si="51"/>
        <v>#DIV/0!</v>
      </c>
      <c r="AP88" s="14" t="e">
        <f t="shared" si="51"/>
        <v>#DIV/0!</v>
      </c>
      <c r="AQ88" s="14" t="e">
        <f t="shared" si="51"/>
        <v>#DIV/0!</v>
      </c>
      <c r="AR88" s="14" t="e">
        <f t="shared" si="51"/>
        <v>#DIV/0!</v>
      </c>
      <c r="AS88" s="14" t="e">
        <f t="shared" si="51"/>
        <v>#DIV/0!</v>
      </c>
      <c r="AT88" s="14" t="e">
        <f t="shared" si="51"/>
        <v>#DIV/0!</v>
      </c>
      <c r="AU88" s="14" t="e">
        <f t="shared" si="51"/>
        <v>#DIV/0!</v>
      </c>
      <c r="AV88" s="14" t="e">
        <f t="shared" si="51"/>
        <v>#DIV/0!</v>
      </c>
      <c r="AW88" s="14" t="e">
        <f t="shared" si="51"/>
        <v>#DIV/0!</v>
      </c>
      <c r="AX88" s="14" t="e">
        <f t="shared" si="51"/>
        <v>#DIV/0!</v>
      </c>
      <c r="AY88" s="14" t="e">
        <f t="shared" si="51"/>
        <v>#DIV/0!</v>
      </c>
      <c r="AZ88" s="14" t="e">
        <f t="shared" si="51"/>
        <v>#DIV/0!</v>
      </c>
      <c r="BA88" s="14" t="e">
        <f t="shared" si="51"/>
        <v>#DIV/0!</v>
      </c>
      <c r="BB88" s="14" t="e">
        <f t="shared" si="51"/>
        <v>#DIV/0!</v>
      </c>
      <c r="BC88" s="14" t="e">
        <f t="shared" si="51"/>
        <v>#DIV/0!</v>
      </c>
      <c r="BD88" s="14" t="e">
        <f t="shared" si="51"/>
        <v>#DIV/0!</v>
      </c>
      <c r="BE88" s="14" t="e">
        <f t="shared" si="51"/>
        <v>#DIV/0!</v>
      </c>
      <c r="BF88" s="14" t="e">
        <f t="shared" si="51"/>
        <v>#DIV/0!</v>
      </c>
      <c r="BG88" s="14" t="e">
        <f t="shared" si="51"/>
        <v>#DIV/0!</v>
      </c>
      <c r="BH88" s="14" t="e">
        <f t="shared" si="51"/>
        <v>#DIV/0!</v>
      </c>
      <c r="BI88" s="14" t="e">
        <f t="shared" si="51"/>
        <v>#DIV/0!</v>
      </c>
      <c r="BJ88" s="14" t="e">
        <f t="shared" si="51"/>
        <v>#DIV/0!</v>
      </c>
      <c r="BK88" s="14" t="e">
        <f t="shared" si="51"/>
        <v>#DIV/0!</v>
      </c>
      <c r="BL88" s="14" t="e">
        <f t="shared" si="51"/>
        <v>#DIV/0!</v>
      </c>
      <c r="BM88" s="14" t="e">
        <f t="shared" si="51"/>
        <v>#DIV/0!</v>
      </c>
      <c r="BN88" s="14" t="e">
        <f t="shared" si="51"/>
        <v>#DIV/0!</v>
      </c>
      <c r="BO88" s="14" t="e">
        <f t="shared" si="51"/>
        <v>#DIV/0!</v>
      </c>
      <c r="BP88" s="14" t="e">
        <f t="shared" si="51"/>
        <v>#DIV/0!</v>
      </c>
      <c r="BQ88" s="14" t="e">
        <f t="shared" si="51"/>
        <v>#DIV/0!</v>
      </c>
      <c r="BR88" s="14" t="e">
        <f t="shared" si="51"/>
        <v>#DIV/0!</v>
      </c>
      <c r="BS88" s="98"/>
    </row>
    <row r="89" spans="1:71" ht="21" hidden="1" customHeight="1" outlineLevel="1" thickBot="1" x14ac:dyDescent="0.4">
      <c r="A89" s="5">
        <f t="shared" si="35"/>
        <v>0</v>
      </c>
      <c r="B89" s="5">
        <f t="shared" si="35"/>
        <v>0</v>
      </c>
      <c r="C89" s="5">
        <f t="shared" si="35"/>
        <v>0</v>
      </c>
      <c r="D89" s="5">
        <f t="shared" si="35"/>
        <v>0</v>
      </c>
      <c r="E89" s="6">
        <f t="shared" si="29"/>
        <v>0</v>
      </c>
      <c r="F89" s="14" t="e">
        <f t="shared" ref="F89" si="52">F13*$C$78</f>
        <v>#DIV/0!</v>
      </c>
      <c r="G89" s="14" t="e">
        <f t="shared" ref="G89:BR89" si="53">G13*$C$78</f>
        <v>#DIV/0!</v>
      </c>
      <c r="H89" s="14" t="e">
        <f t="shared" si="53"/>
        <v>#DIV/0!</v>
      </c>
      <c r="I89" s="14" t="e">
        <f t="shared" si="53"/>
        <v>#DIV/0!</v>
      </c>
      <c r="J89" s="14" t="e">
        <f t="shared" si="53"/>
        <v>#DIV/0!</v>
      </c>
      <c r="K89" s="14" t="e">
        <f t="shared" si="53"/>
        <v>#DIV/0!</v>
      </c>
      <c r="L89" s="14" t="e">
        <f t="shared" si="53"/>
        <v>#DIV/0!</v>
      </c>
      <c r="M89" s="14" t="e">
        <f t="shared" si="53"/>
        <v>#DIV/0!</v>
      </c>
      <c r="N89" s="14" t="e">
        <f t="shared" si="53"/>
        <v>#DIV/0!</v>
      </c>
      <c r="O89" s="14" t="e">
        <f t="shared" si="53"/>
        <v>#DIV/0!</v>
      </c>
      <c r="P89" s="14" t="e">
        <f t="shared" si="53"/>
        <v>#DIV/0!</v>
      </c>
      <c r="Q89" s="14" t="e">
        <f t="shared" si="53"/>
        <v>#DIV/0!</v>
      </c>
      <c r="R89" s="14" t="e">
        <f t="shared" si="53"/>
        <v>#DIV/0!</v>
      </c>
      <c r="S89" s="14" t="e">
        <f t="shared" si="53"/>
        <v>#DIV/0!</v>
      </c>
      <c r="T89" s="14" t="e">
        <f t="shared" si="53"/>
        <v>#DIV/0!</v>
      </c>
      <c r="U89" s="14" t="e">
        <f t="shared" si="53"/>
        <v>#DIV/0!</v>
      </c>
      <c r="V89" s="14" t="e">
        <f t="shared" si="53"/>
        <v>#DIV/0!</v>
      </c>
      <c r="W89" s="14" t="e">
        <f t="shared" si="53"/>
        <v>#DIV/0!</v>
      </c>
      <c r="X89" s="14" t="e">
        <f t="shared" si="53"/>
        <v>#DIV/0!</v>
      </c>
      <c r="Y89" s="14" t="e">
        <f t="shared" si="53"/>
        <v>#DIV/0!</v>
      </c>
      <c r="Z89" s="14" t="e">
        <f t="shared" si="53"/>
        <v>#DIV/0!</v>
      </c>
      <c r="AA89" s="14" t="e">
        <f t="shared" si="53"/>
        <v>#DIV/0!</v>
      </c>
      <c r="AB89" s="14" t="e">
        <f t="shared" si="53"/>
        <v>#DIV/0!</v>
      </c>
      <c r="AC89" s="14" t="e">
        <f t="shared" si="53"/>
        <v>#DIV/0!</v>
      </c>
      <c r="AD89" s="14" t="e">
        <f t="shared" si="53"/>
        <v>#DIV/0!</v>
      </c>
      <c r="AE89" s="14" t="e">
        <f t="shared" si="53"/>
        <v>#DIV/0!</v>
      </c>
      <c r="AF89" s="14" t="e">
        <f t="shared" si="53"/>
        <v>#DIV/0!</v>
      </c>
      <c r="AG89" s="14" t="e">
        <f t="shared" si="53"/>
        <v>#DIV/0!</v>
      </c>
      <c r="AH89" s="14" t="e">
        <f t="shared" si="53"/>
        <v>#DIV/0!</v>
      </c>
      <c r="AI89" s="14" t="e">
        <f t="shared" si="53"/>
        <v>#DIV/0!</v>
      </c>
      <c r="AJ89" s="14" t="e">
        <f t="shared" si="53"/>
        <v>#DIV/0!</v>
      </c>
      <c r="AK89" s="14" t="e">
        <f t="shared" si="53"/>
        <v>#DIV/0!</v>
      </c>
      <c r="AL89" s="14" t="e">
        <f t="shared" si="53"/>
        <v>#DIV/0!</v>
      </c>
      <c r="AM89" s="14" t="e">
        <f t="shared" si="53"/>
        <v>#DIV/0!</v>
      </c>
      <c r="AN89" s="14" t="e">
        <f t="shared" si="53"/>
        <v>#DIV/0!</v>
      </c>
      <c r="AO89" s="14" t="e">
        <f t="shared" si="53"/>
        <v>#DIV/0!</v>
      </c>
      <c r="AP89" s="14" t="e">
        <f t="shared" si="53"/>
        <v>#DIV/0!</v>
      </c>
      <c r="AQ89" s="14" t="e">
        <f t="shared" si="53"/>
        <v>#DIV/0!</v>
      </c>
      <c r="AR89" s="14" t="e">
        <f t="shared" si="53"/>
        <v>#DIV/0!</v>
      </c>
      <c r="AS89" s="14" t="e">
        <f t="shared" si="53"/>
        <v>#DIV/0!</v>
      </c>
      <c r="AT89" s="14" t="e">
        <f t="shared" si="53"/>
        <v>#DIV/0!</v>
      </c>
      <c r="AU89" s="14" t="e">
        <f t="shared" si="53"/>
        <v>#DIV/0!</v>
      </c>
      <c r="AV89" s="14" t="e">
        <f t="shared" si="53"/>
        <v>#DIV/0!</v>
      </c>
      <c r="AW89" s="14" t="e">
        <f t="shared" si="53"/>
        <v>#DIV/0!</v>
      </c>
      <c r="AX89" s="14" t="e">
        <f t="shared" si="53"/>
        <v>#DIV/0!</v>
      </c>
      <c r="AY89" s="14" t="e">
        <f t="shared" si="53"/>
        <v>#DIV/0!</v>
      </c>
      <c r="AZ89" s="14" t="e">
        <f t="shared" si="53"/>
        <v>#DIV/0!</v>
      </c>
      <c r="BA89" s="14" t="e">
        <f t="shared" si="53"/>
        <v>#DIV/0!</v>
      </c>
      <c r="BB89" s="14" t="e">
        <f t="shared" si="53"/>
        <v>#DIV/0!</v>
      </c>
      <c r="BC89" s="14" t="e">
        <f t="shared" si="53"/>
        <v>#DIV/0!</v>
      </c>
      <c r="BD89" s="14" t="e">
        <f t="shared" si="53"/>
        <v>#DIV/0!</v>
      </c>
      <c r="BE89" s="14" t="e">
        <f t="shared" si="53"/>
        <v>#DIV/0!</v>
      </c>
      <c r="BF89" s="14" t="e">
        <f t="shared" si="53"/>
        <v>#DIV/0!</v>
      </c>
      <c r="BG89" s="14" t="e">
        <f t="shared" si="53"/>
        <v>#DIV/0!</v>
      </c>
      <c r="BH89" s="14" t="e">
        <f t="shared" si="53"/>
        <v>#DIV/0!</v>
      </c>
      <c r="BI89" s="14" t="e">
        <f t="shared" si="53"/>
        <v>#DIV/0!</v>
      </c>
      <c r="BJ89" s="14" t="e">
        <f t="shared" si="53"/>
        <v>#DIV/0!</v>
      </c>
      <c r="BK89" s="14" t="e">
        <f t="shared" si="53"/>
        <v>#DIV/0!</v>
      </c>
      <c r="BL89" s="14" t="e">
        <f t="shared" si="53"/>
        <v>#DIV/0!</v>
      </c>
      <c r="BM89" s="14" t="e">
        <f t="shared" si="53"/>
        <v>#DIV/0!</v>
      </c>
      <c r="BN89" s="14" t="e">
        <f t="shared" si="53"/>
        <v>#DIV/0!</v>
      </c>
      <c r="BO89" s="14" t="e">
        <f t="shared" si="53"/>
        <v>#DIV/0!</v>
      </c>
      <c r="BP89" s="14" t="e">
        <f t="shared" si="53"/>
        <v>#DIV/0!</v>
      </c>
      <c r="BQ89" s="14" t="e">
        <f t="shared" si="53"/>
        <v>#DIV/0!</v>
      </c>
      <c r="BR89" s="14" t="e">
        <f t="shared" si="53"/>
        <v>#DIV/0!</v>
      </c>
      <c r="BS89" s="98"/>
    </row>
    <row r="90" spans="1:71" ht="21" hidden="1" customHeight="1" outlineLevel="1" thickBot="1" x14ac:dyDescent="0.4">
      <c r="A90" s="5">
        <f t="shared" si="35"/>
        <v>0</v>
      </c>
      <c r="B90" s="5">
        <f t="shared" si="35"/>
        <v>0</v>
      </c>
      <c r="C90" s="5">
        <f t="shared" si="35"/>
        <v>0</v>
      </c>
      <c r="D90" s="5">
        <f t="shared" si="35"/>
        <v>0</v>
      </c>
      <c r="E90" s="6">
        <f t="shared" si="29"/>
        <v>0</v>
      </c>
      <c r="F90" s="14" t="e">
        <f t="shared" ref="F90" si="54">F14*$C$78</f>
        <v>#DIV/0!</v>
      </c>
      <c r="G90" s="14" t="e">
        <f t="shared" ref="G90:BR90" si="55">G14*$C$78</f>
        <v>#DIV/0!</v>
      </c>
      <c r="H90" s="14" t="e">
        <f t="shared" si="55"/>
        <v>#DIV/0!</v>
      </c>
      <c r="I90" s="14" t="e">
        <f t="shared" si="55"/>
        <v>#DIV/0!</v>
      </c>
      <c r="J90" s="14" t="e">
        <f t="shared" si="55"/>
        <v>#DIV/0!</v>
      </c>
      <c r="K90" s="14" t="e">
        <f t="shared" si="55"/>
        <v>#DIV/0!</v>
      </c>
      <c r="L90" s="14" t="e">
        <f t="shared" si="55"/>
        <v>#DIV/0!</v>
      </c>
      <c r="M90" s="14" t="e">
        <f t="shared" si="55"/>
        <v>#DIV/0!</v>
      </c>
      <c r="N90" s="14" t="e">
        <f t="shared" si="55"/>
        <v>#DIV/0!</v>
      </c>
      <c r="O90" s="14" t="e">
        <f t="shared" si="55"/>
        <v>#DIV/0!</v>
      </c>
      <c r="P90" s="14" t="e">
        <f t="shared" si="55"/>
        <v>#DIV/0!</v>
      </c>
      <c r="Q90" s="14" t="e">
        <f t="shared" si="55"/>
        <v>#DIV/0!</v>
      </c>
      <c r="R90" s="14" t="e">
        <f t="shared" si="55"/>
        <v>#DIV/0!</v>
      </c>
      <c r="S90" s="14" t="e">
        <f t="shared" si="55"/>
        <v>#DIV/0!</v>
      </c>
      <c r="T90" s="14" t="e">
        <f t="shared" si="55"/>
        <v>#DIV/0!</v>
      </c>
      <c r="U90" s="14" t="e">
        <f t="shared" si="55"/>
        <v>#DIV/0!</v>
      </c>
      <c r="V90" s="14" t="e">
        <f t="shared" si="55"/>
        <v>#DIV/0!</v>
      </c>
      <c r="W90" s="14" t="e">
        <f t="shared" si="55"/>
        <v>#DIV/0!</v>
      </c>
      <c r="X90" s="14" t="e">
        <f t="shared" si="55"/>
        <v>#DIV/0!</v>
      </c>
      <c r="Y90" s="14" t="e">
        <f t="shared" si="55"/>
        <v>#DIV/0!</v>
      </c>
      <c r="Z90" s="14" t="e">
        <f t="shared" si="55"/>
        <v>#DIV/0!</v>
      </c>
      <c r="AA90" s="14" t="e">
        <f t="shared" si="55"/>
        <v>#DIV/0!</v>
      </c>
      <c r="AB90" s="14" t="e">
        <f t="shared" si="55"/>
        <v>#DIV/0!</v>
      </c>
      <c r="AC90" s="14" t="e">
        <f t="shared" si="55"/>
        <v>#DIV/0!</v>
      </c>
      <c r="AD90" s="14" t="e">
        <f t="shared" si="55"/>
        <v>#DIV/0!</v>
      </c>
      <c r="AE90" s="14" t="e">
        <f t="shared" si="55"/>
        <v>#DIV/0!</v>
      </c>
      <c r="AF90" s="14" t="e">
        <f t="shared" si="55"/>
        <v>#DIV/0!</v>
      </c>
      <c r="AG90" s="14" t="e">
        <f t="shared" si="55"/>
        <v>#DIV/0!</v>
      </c>
      <c r="AH90" s="14" t="e">
        <f t="shared" si="55"/>
        <v>#DIV/0!</v>
      </c>
      <c r="AI90" s="14" t="e">
        <f t="shared" si="55"/>
        <v>#DIV/0!</v>
      </c>
      <c r="AJ90" s="14" t="e">
        <f t="shared" si="55"/>
        <v>#DIV/0!</v>
      </c>
      <c r="AK90" s="14" t="e">
        <f t="shared" si="55"/>
        <v>#DIV/0!</v>
      </c>
      <c r="AL90" s="14" t="e">
        <f t="shared" si="55"/>
        <v>#DIV/0!</v>
      </c>
      <c r="AM90" s="14" t="e">
        <f t="shared" si="55"/>
        <v>#DIV/0!</v>
      </c>
      <c r="AN90" s="14" t="e">
        <f t="shared" si="55"/>
        <v>#DIV/0!</v>
      </c>
      <c r="AO90" s="14" t="e">
        <f t="shared" si="55"/>
        <v>#DIV/0!</v>
      </c>
      <c r="AP90" s="14" t="e">
        <f t="shared" si="55"/>
        <v>#DIV/0!</v>
      </c>
      <c r="AQ90" s="14" t="e">
        <f t="shared" si="55"/>
        <v>#DIV/0!</v>
      </c>
      <c r="AR90" s="14" t="e">
        <f t="shared" si="55"/>
        <v>#DIV/0!</v>
      </c>
      <c r="AS90" s="14" t="e">
        <f t="shared" si="55"/>
        <v>#DIV/0!</v>
      </c>
      <c r="AT90" s="14" t="e">
        <f t="shared" si="55"/>
        <v>#DIV/0!</v>
      </c>
      <c r="AU90" s="14" t="e">
        <f t="shared" si="55"/>
        <v>#DIV/0!</v>
      </c>
      <c r="AV90" s="14" t="e">
        <f t="shared" si="55"/>
        <v>#DIV/0!</v>
      </c>
      <c r="AW90" s="14" t="e">
        <f t="shared" si="55"/>
        <v>#DIV/0!</v>
      </c>
      <c r="AX90" s="14" t="e">
        <f t="shared" si="55"/>
        <v>#DIV/0!</v>
      </c>
      <c r="AY90" s="14" t="e">
        <f t="shared" si="55"/>
        <v>#DIV/0!</v>
      </c>
      <c r="AZ90" s="14" t="e">
        <f t="shared" si="55"/>
        <v>#DIV/0!</v>
      </c>
      <c r="BA90" s="14" t="e">
        <f t="shared" si="55"/>
        <v>#DIV/0!</v>
      </c>
      <c r="BB90" s="14" t="e">
        <f t="shared" si="55"/>
        <v>#DIV/0!</v>
      </c>
      <c r="BC90" s="14" t="e">
        <f t="shared" si="55"/>
        <v>#DIV/0!</v>
      </c>
      <c r="BD90" s="14" t="e">
        <f t="shared" si="55"/>
        <v>#DIV/0!</v>
      </c>
      <c r="BE90" s="14" t="e">
        <f t="shared" si="55"/>
        <v>#DIV/0!</v>
      </c>
      <c r="BF90" s="14" t="e">
        <f t="shared" si="55"/>
        <v>#DIV/0!</v>
      </c>
      <c r="BG90" s="14" t="e">
        <f t="shared" si="55"/>
        <v>#DIV/0!</v>
      </c>
      <c r="BH90" s="14" t="e">
        <f t="shared" si="55"/>
        <v>#DIV/0!</v>
      </c>
      <c r="BI90" s="14" t="e">
        <f t="shared" si="55"/>
        <v>#DIV/0!</v>
      </c>
      <c r="BJ90" s="14" t="e">
        <f t="shared" si="55"/>
        <v>#DIV/0!</v>
      </c>
      <c r="BK90" s="14" t="e">
        <f t="shared" si="55"/>
        <v>#DIV/0!</v>
      </c>
      <c r="BL90" s="14" t="e">
        <f t="shared" si="55"/>
        <v>#DIV/0!</v>
      </c>
      <c r="BM90" s="14" t="e">
        <f t="shared" si="55"/>
        <v>#DIV/0!</v>
      </c>
      <c r="BN90" s="14" t="e">
        <f t="shared" si="55"/>
        <v>#DIV/0!</v>
      </c>
      <c r="BO90" s="14" t="e">
        <f t="shared" si="55"/>
        <v>#DIV/0!</v>
      </c>
      <c r="BP90" s="14" t="e">
        <f t="shared" si="55"/>
        <v>#DIV/0!</v>
      </c>
      <c r="BQ90" s="14" t="e">
        <f t="shared" si="55"/>
        <v>#DIV/0!</v>
      </c>
      <c r="BR90" s="14" t="e">
        <f t="shared" si="55"/>
        <v>#DIV/0!</v>
      </c>
      <c r="BS90" s="98"/>
    </row>
    <row r="91" spans="1:71" ht="21" hidden="1" customHeight="1" outlineLevel="1" thickBot="1" x14ac:dyDescent="0.4">
      <c r="A91" s="5">
        <f t="shared" si="35"/>
        <v>0</v>
      </c>
      <c r="B91" s="5">
        <f t="shared" si="35"/>
        <v>0</v>
      </c>
      <c r="C91" s="5">
        <f t="shared" si="35"/>
        <v>0</v>
      </c>
      <c r="D91" s="5">
        <f t="shared" si="35"/>
        <v>0</v>
      </c>
      <c r="E91" s="6">
        <f t="shared" si="29"/>
        <v>0</v>
      </c>
      <c r="F91" s="14" t="e">
        <f t="shared" ref="F91" si="56">F15*$C$78</f>
        <v>#DIV/0!</v>
      </c>
      <c r="G91" s="14" t="e">
        <f t="shared" ref="G91:BR91" si="57">G15*$C$78</f>
        <v>#DIV/0!</v>
      </c>
      <c r="H91" s="14" t="e">
        <f t="shared" si="57"/>
        <v>#DIV/0!</v>
      </c>
      <c r="I91" s="14" t="e">
        <f t="shared" si="57"/>
        <v>#DIV/0!</v>
      </c>
      <c r="J91" s="14" t="e">
        <f t="shared" si="57"/>
        <v>#DIV/0!</v>
      </c>
      <c r="K91" s="14" t="e">
        <f t="shared" si="57"/>
        <v>#DIV/0!</v>
      </c>
      <c r="L91" s="14" t="e">
        <f t="shared" si="57"/>
        <v>#DIV/0!</v>
      </c>
      <c r="M91" s="14" t="e">
        <f t="shared" si="57"/>
        <v>#DIV/0!</v>
      </c>
      <c r="N91" s="14" t="e">
        <f t="shared" si="57"/>
        <v>#DIV/0!</v>
      </c>
      <c r="O91" s="14" t="e">
        <f t="shared" si="57"/>
        <v>#DIV/0!</v>
      </c>
      <c r="P91" s="14" t="e">
        <f t="shared" si="57"/>
        <v>#DIV/0!</v>
      </c>
      <c r="Q91" s="14" t="e">
        <f t="shared" si="57"/>
        <v>#DIV/0!</v>
      </c>
      <c r="R91" s="14" t="e">
        <f t="shared" si="57"/>
        <v>#DIV/0!</v>
      </c>
      <c r="S91" s="14" t="e">
        <f t="shared" si="57"/>
        <v>#DIV/0!</v>
      </c>
      <c r="T91" s="14" t="e">
        <f t="shared" si="57"/>
        <v>#DIV/0!</v>
      </c>
      <c r="U91" s="14" t="e">
        <f t="shared" si="57"/>
        <v>#DIV/0!</v>
      </c>
      <c r="V91" s="14" t="e">
        <f t="shared" si="57"/>
        <v>#DIV/0!</v>
      </c>
      <c r="W91" s="14" t="e">
        <f t="shared" si="57"/>
        <v>#DIV/0!</v>
      </c>
      <c r="X91" s="14" t="e">
        <f t="shared" si="57"/>
        <v>#DIV/0!</v>
      </c>
      <c r="Y91" s="14" t="e">
        <f t="shared" si="57"/>
        <v>#DIV/0!</v>
      </c>
      <c r="Z91" s="14" t="e">
        <f t="shared" si="57"/>
        <v>#DIV/0!</v>
      </c>
      <c r="AA91" s="14" t="e">
        <f t="shared" si="57"/>
        <v>#DIV/0!</v>
      </c>
      <c r="AB91" s="14" t="e">
        <f t="shared" si="57"/>
        <v>#DIV/0!</v>
      </c>
      <c r="AC91" s="14" t="e">
        <f t="shared" si="57"/>
        <v>#DIV/0!</v>
      </c>
      <c r="AD91" s="14" t="e">
        <f t="shared" si="57"/>
        <v>#DIV/0!</v>
      </c>
      <c r="AE91" s="14" t="e">
        <f t="shared" si="57"/>
        <v>#DIV/0!</v>
      </c>
      <c r="AF91" s="14" t="e">
        <f t="shared" si="57"/>
        <v>#DIV/0!</v>
      </c>
      <c r="AG91" s="14" t="e">
        <f t="shared" si="57"/>
        <v>#DIV/0!</v>
      </c>
      <c r="AH91" s="14" t="e">
        <f t="shared" si="57"/>
        <v>#DIV/0!</v>
      </c>
      <c r="AI91" s="14" t="e">
        <f t="shared" si="57"/>
        <v>#DIV/0!</v>
      </c>
      <c r="AJ91" s="14" t="e">
        <f t="shared" si="57"/>
        <v>#DIV/0!</v>
      </c>
      <c r="AK91" s="14" t="e">
        <f t="shared" si="57"/>
        <v>#DIV/0!</v>
      </c>
      <c r="AL91" s="14" t="e">
        <f t="shared" si="57"/>
        <v>#DIV/0!</v>
      </c>
      <c r="AM91" s="14" t="e">
        <f t="shared" si="57"/>
        <v>#DIV/0!</v>
      </c>
      <c r="AN91" s="14" t="e">
        <f t="shared" si="57"/>
        <v>#DIV/0!</v>
      </c>
      <c r="AO91" s="14" t="e">
        <f t="shared" si="57"/>
        <v>#DIV/0!</v>
      </c>
      <c r="AP91" s="14" t="e">
        <f t="shared" si="57"/>
        <v>#DIV/0!</v>
      </c>
      <c r="AQ91" s="14" t="e">
        <f t="shared" si="57"/>
        <v>#DIV/0!</v>
      </c>
      <c r="AR91" s="14" t="e">
        <f t="shared" si="57"/>
        <v>#DIV/0!</v>
      </c>
      <c r="AS91" s="14" t="e">
        <f t="shared" si="57"/>
        <v>#DIV/0!</v>
      </c>
      <c r="AT91" s="14" t="e">
        <f t="shared" si="57"/>
        <v>#DIV/0!</v>
      </c>
      <c r="AU91" s="14" t="e">
        <f t="shared" si="57"/>
        <v>#DIV/0!</v>
      </c>
      <c r="AV91" s="14" t="e">
        <f t="shared" si="57"/>
        <v>#DIV/0!</v>
      </c>
      <c r="AW91" s="14" t="e">
        <f t="shared" si="57"/>
        <v>#DIV/0!</v>
      </c>
      <c r="AX91" s="14" t="e">
        <f t="shared" si="57"/>
        <v>#DIV/0!</v>
      </c>
      <c r="AY91" s="14" t="e">
        <f t="shared" si="57"/>
        <v>#DIV/0!</v>
      </c>
      <c r="AZ91" s="14" t="e">
        <f t="shared" si="57"/>
        <v>#DIV/0!</v>
      </c>
      <c r="BA91" s="14" t="e">
        <f t="shared" si="57"/>
        <v>#DIV/0!</v>
      </c>
      <c r="BB91" s="14" t="e">
        <f t="shared" si="57"/>
        <v>#DIV/0!</v>
      </c>
      <c r="BC91" s="14" t="e">
        <f t="shared" si="57"/>
        <v>#DIV/0!</v>
      </c>
      <c r="BD91" s="14" t="e">
        <f t="shared" si="57"/>
        <v>#DIV/0!</v>
      </c>
      <c r="BE91" s="14" t="e">
        <f t="shared" si="57"/>
        <v>#DIV/0!</v>
      </c>
      <c r="BF91" s="14" t="e">
        <f t="shared" si="57"/>
        <v>#DIV/0!</v>
      </c>
      <c r="BG91" s="14" t="e">
        <f t="shared" si="57"/>
        <v>#DIV/0!</v>
      </c>
      <c r="BH91" s="14" t="e">
        <f t="shared" si="57"/>
        <v>#DIV/0!</v>
      </c>
      <c r="BI91" s="14" t="e">
        <f t="shared" si="57"/>
        <v>#DIV/0!</v>
      </c>
      <c r="BJ91" s="14" t="e">
        <f t="shared" si="57"/>
        <v>#DIV/0!</v>
      </c>
      <c r="BK91" s="14" t="e">
        <f t="shared" si="57"/>
        <v>#DIV/0!</v>
      </c>
      <c r="BL91" s="14" t="e">
        <f t="shared" si="57"/>
        <v>#DIV/0!</v>
      </c>
      <c r="BM91" s="14" t="e">
        <f t="shared" si="57"/>
        <v>#DIV/0!</v>
      </c>
      <c r="BN91" s="14" t="e">
        <f t="shared" si="57"/>
        <v>#DIV/0!</v>
      </c>
      <c r="BO91" s="14" t="e">
        <f t="shared" si="57"/>
        <v>#DIV/0!</v>
      </c>
      <c r="BP91" s="14" t="e">
        <f t="shared" si="57"/>
        <v>#DIV/0!</v>
      </c>
      <c r="BQ91" s="14" t="e">
        <f t="shared" si="57"/>
        <v>#DIV/0!</v>
      </c>
      <c r="BR91" s="14" t="e">
        <f t="shared" si="57"/>
        <v>#DIV/0!</v>
      </c>
      <c r="BS91" s="98"/>
    </row>
    <row r="92" spans="1:71" ht="21" hidden="1" customHeight="1" outlineLevel="1" thickBot="1" x14ac:dyDescent="0.4">
      <c r="A92" s="5">
        <f t="shared" si="35"/>
        <v>0</v>
      </c>
      <c r="B92" s="5">
        <f t="shared" si="35"/>
        <v>0</v>
      </c>
      <c r="C92" s="5">
        <f t="shared" si="35"/>
        <v>0</v>
      </c>
      <c r="D92" s="5">
        <f t="shared" si="35"/>
        <v>0</v>
      </c>
      <c r="E92" s="6">
        <f t="shared" si="29"/>
        <v>0</v>
      </c>
      <c r="F92" s="14" t="e">
        <f t="shared" ref="F92" si="58">F16*$C$78</f>
        <v>#DIV/0!</v>
      </c>
      <c r="G92" s="14" t="e">
        <f t="shared" ref="G92:BR92" si="59">G16*$C$78</f>
        <v>#DIV/0!</v>
      </c>
      <c r="H92" s="14" t="e">
        <f t="shared" si="59"/>
        <v>#DIV/0!</v>
      </c>
      <c r="I92" s="14" t="e">
        <f t="shared" si="59"/>
        <v>#DIV/0!</v>
      </c>
      <c r="J92" s="14" t="e">
        <f t="shared" si="59"/>
        <v>#DIV/0!</v>
      </c>
      <c r="K92" s="14" t="e">
        <f t="shared" si="59"/>
        <v>#DIV/0!</v>
      </c>
      <c r="L92" s="14" t="e">
        <f t="shared" si="59"/>
        <v>#DIV/0!</v>
      </c>
      <c r="M92" s="14" t="e">
        <f t="shared" si="59"/>
        <v>#DIV/0!</v>
      </c>
      <c r="N92" s="14" t="e">
        <f t="shared" si="59"/>
        <v>#DIV/0!</v>
      </c>
      <c r="O92" s="14" t="e">
        <f t="shared" si="59"/>
        <v>#DIV/0!</v>
      </c>
      <c r="P92" s="14" t="e">
        <f t="shared" si="59"/>
        <v>#DIV/0!</v>
      </c>
      <c r="Q92" s="14" t="e">
        <f t="shared" si="59"/>
        <v>#DIV/0!</v>
      </c>
      <c r="R92" s="14" t="e">
        <f t="shared" si="59"/>
        <v>#DIV/0!</v>
      </c>
      <c r="S92" s="14" t="e">
        <f t="shared" si="59"/>
        <v>#DIV/0!</v>
      </c>
      <c r="T92" s="14" t="e">
        <f t="shared" si="59"/>
        <v>#DIV/0!</v>
      </c>
      <c r="U92" s="14" t="e">
        <f t="shared" si="59"/>
        <v>#DIV/0!</v>
      </c>
      <c r="V92" s="14" t="e">
        <f t="shared" si="59"/>
        <v>#DIV/0!</v>
      </c>
      <c r="W92" s="14" t="e">
        <f t="shared" si="59"/>
        <v>#DIV/0!</v>
      </c>
      <c r="X92" s="14" t="e">
        <f t="shared" si="59"/>
        <v>#DIV/0!</v>
      </c>
      <c r="Y92" s="14" t="e">
        <f t="shared" si="59"/>
        <v>#DIV/0!</v>
      </c>
      <c r="Z92" s="14" t="e">
        <f t="shared" si="59"/>
        <v>#DIV/0!</v>
      </c>
      <c r="AA92" s="14" t="e">
        <f t="shared" si="59"/>
        <v>#DIV/0!</v>
      </c>
      <c r="AB92" s="14" t="e">
        <f t="shared" si="59"/>
        <v>#DIV/0!</v>
      </c>
      <c r="AC92" s="14" t="e">
        <f t="shared" si="59"/>
        <v>#DIV/0!</v>
      </c>
      <c r="AD92" s="14" t="e">
        <f t="shared" si="59"/>
        <v>#DIV/0!</v>
      </c>
      <c r="AE92" s="14" t="e">
        <f t="shared" si="59"/>
        <v>#DIV/0!</v>
      </c>
      <c r="AF92" s="14" t="e">
        <f t="shared" si="59"/>
        <v>#DIV/0!</v>
      </c>
      <c r="AG92" s="14" t="e">
        <f t="shared" si="59"/>
        <v>#DIV/0!</v>
      </c>
      <c r="AH92" s="14" t="e">
        <f t="shared" si="59"/>
        <v>#DIV/0!</v>
      </c>
      <c r="AI92" s="14" t="e">
        <f t="shared" si="59"/>
        <v>#DIV/0!</v>
      </c>
      <c r="AJ92" s="14" t="e">
        <f t="shared" si="59"/>
        <v>#DIV/0!</v>
      </c>
      <c r="AK92" s="14" t="e">
        <f t="shared" si="59"/>
        <v>#DIV/0!</v>
      </c>
      <c r="AL92" s="14" t="e">
        <f t="shared" si="59"/>
        <v>#DIV/0!</v>
      </c>
      <c r="AM92" s="14" t="e">
        <f t="shared" si="59"/>
        <v>#DIV/0!</v>
      </c>
      <c r="AN92" s="14" t="e">
        <f t="shared" si="59"/>
        <v>#DIV/0!</v>
      </c>
      <c r="AO92" s="14" t="e">
        <f t="shared" si="59"/>
        <v>#DIV/0!</v>
      </c>
      <c r="AP92" s="14" t="e">
        <f t="shared" si="59"/>
        <v>#DIV/0!</v>
      </c>
      <c r="AQ92" s="14" t="e">
        <f t="shared" si="59"/>
        <v>#DIV/0!</v>
      </c>
      <c r="AR92" s="14" t="e">
        <f t="shared" si="59"/>
        <v>#DIV/0!</v>
      </c>
      <c r="AS92" s="14" t="e">
        <f t="shared" si="59"/>
        <v>#DIV/0!</v>
      </c>
      <c r="AT92" s="14" t="e">
        <f t="shared" si="59"/>
        <v>#DIV/0!</v>
      </c>
      <c r="AU92" s="14" t="e">
        <f t="shared" si="59"/>
        <v>#DIV/0!</v>
      </c>
      <c r="AV92" s="14" t="e">
        <f t="shared" si="59"/>
        <v>#DIV/0!</v>
      </c>
      <c r="AW92" s="14" t="e">
        <f t="shared" si="59"/>
        <v>#DIV/0!</v>
      </c>
      <c r="AX92" s="14" t="e">
        <f t="shared" si="59"/>
        <v>#DIV/0!</v>
      </c>
      <c r="AY92" s="14" t="e">
        <f t="shared" si="59"/>
        <v>#DIV/0!</v>
      </c>
      <c r="AZ92" s="14" t="e">
        <f t="shared" si="59"/>
        <v>#DIV/0!</v>
      </c>
      <c r="BA92" s="14" t="e">
        <f t="shared" si="59"/>
        <v>#DIV/0!</v>
      </c>
      <c r="BB92" s="14" t="e">
        <f t="shared" si="59"/>
        <v>#DIV/0!</v>
      </c>
      <c r="BC92" s="14" t="e">
        <f t="shared" si="59"/>
        <v>#DIV/0!</v>
      </c>
      <c r="BD92" s="14" t="e">
        <f t="shared" si="59"/>
        <v>#DIV/0!</v>
      </c>
      <c r="BE92" s="14" t="e">
        <f t="shared" si="59"/>
        <v>#DIV/0!</v>
      </c>
      <c r="BF92" s="14" t="e">
        <f t="shared" si="59"/>
        <v>#DIV/0!</v>
      </c>
      <c r="BG92" s="14" t="e">
        <f t="shared" si="59"/>
        <v>#DIV/0!</v>
      </c>
      <c r="BH92" s="14" t="e">
        <f t="shared" si="59"/>
        <v>#DIV/0!</v>
      </c>
      <c r="BI92" s="14" t="e">
        <f t="shared" si="59"/>
        <v>#DIV/0!</v>
      </c>
      <c r="BJ92" s="14" t="e">
        <f t="shared" si="59"/>
        <v>#DIV/0!</v>
      </c>
      <c r="BK92" s="14" t="e">
        <f t="shared" si="59"/>
        <v>#DIV/0!</v>
      </c>
      <c r="BL92" s="14" t="e">
        <f t="shared" si="59"/>
        <v>#DIV/0!</v>
      </c>
      <c r="BM92" s="14" t="e">
        <f t="shared" si="59"/>
        <v>#DIV/0!</v>
      </c>
      <c r="BN92" s="14" t="e">
        <f t="shared" si="59"/>
        <v>#DIV/0!</v>
      </c>
      <c r="BO92" s="14" t="e">
        <f t="shared" si="59"/>
        <v>#DIV/0!</v>
      </c>
      <c r="BP92" s="14" t="e">
        <f t="shared" si="59"/>
        <v>#DIV/0!</v>
      </c>
      <c r="BQ92" s="14" t="e">
        <f t="shared" si="59"/>
        <v>#DIV/0!</v>
      </c>
      <c r="BR92" s="14" t="e">
        <f t="shared" si="59"/>
        <v>#DIV/0!</v>
      </c>
      <c r="BS92" s="98"/>
    </row>
    <row r="93" spans="1:71" ht="21" hidden="1" customHeight="1" outlineLevel="1" thickBot="1" x14ac:dyDescent="0.4">
      <c r="A93" s="5">
        <f t="shared" si="35"/>
        <v>0</v>
      </c>
      <c r="B93" s="5">
        <f t="shared" si="35"/>
        <v>0</v>
      </c>
      <c r="C93" s="5">
        <f t="shared" si="35"/>
        <v>0</v>
      </c>
      <c r="D93" s="5">
        <f t="shared" si="35"/>
        <v>0</v>
      </c>
      <c r="E93" s="6">
        <f t="shared" si="29"/>
        <v>0</v>
      </c>
      <c r="F93" s="14" t="e">
        <f t="shared" ref="F93" si="60">F17*$C$78</f>
        <v>#DIV/0!</v>
      </c>
      <c r="G93" s="14" t="e">
        <f t="shared" ref="G93:BR93" si="61">G17*$C$78</f>
        <v>#DIV/0!</v>
      </c>
      <c r="H93" s="14" t="e">
        <f t="shared" si="61"/>
        <v>#DIV/0!</v>
      </c>
      <c r="I93" s="14" t="e">
        <f t="shared" si="61"/>
        <v>#DIV/0!</v>
      </c>
      <c r="J93" s="14" t="e">
        <f t="shared" si="61"/>
        <v>#DIV/0!</v>
      </c>
      <c r="K93" s="14" t="e">
        <f t="shared" si="61"/>
        <v>#DIV/0!</v>
      </c>
      <c r="L93" s="14" t="e">
        <f t="shared" si="61"/>
        <v>#DIV/0!</v>
      </c>
      <c r="M93" s="14" t="e">
        <f t="shared" si="61"/>
        <v>#DIV/0!</v>
      </c>
      <c r="N93" s="14" t="e">
        <f t="shared" si="61"/>
        <v>#DIV/0!</v>
      </c>
      <c r="O93" s="14" t="e">
        <f t="shared" si="61"/>
        <v>#DIV/0!</v>
      </c>
      <c r="P93" s="14" t="e">
        <f t="shared" si="61"/>
        <v>#DIV/0!</v>
      </c>
      <c r="Q93" s="14" t="e">
        <f t="shared" si="61"/>
        <v>#DIV/0!</v>
      </c>
      <c r="R93" s="14" t="e">
        <f t="shared" si="61"/>
        <v>#DIV/0!</v>
      </c>
      <c r="S93" s="14" t="e">
        <f t="shared" si="61"/>
        <v>#DIV/0!</v>
      </c>
      <c r="T93" s="14" t="e">
        <f t="shared" si="61"/>
        <v>#DIV/0!</v>
      </c>
      <c r="U93" s="14" t="e">
        <f t="shared" si="61"/>
        <v>#DIV/0!</v>
      </c>
      <c r="V93" s="14" t="e">
        <f t="shared" si="61"/>
        <v>#DIV/0!</v>
      </c>
      <c r="W93" s="14" t="e">
        <f t="shared" si="61"/>
        <v>#DIV/0!</v>
      </c>
      <c r="X93" s="14" t="e">
        <f t="shared" si="61"/>
        <v>#DIV/0!</v>
      </c>
      <c r="Y93" s="14" t="e">
        <f t="shared" si="61"/>
        <v>#DIV/0!</v>
      </c>
      <c r="Z93" s="14" t="e">
        <f t="shared" si="61"/>
        <v>#DIV/0!</v>
      </c>
      <c r="AA93" s="14" t="e">
        <f t="shared" si="61"/>
        <v>#DIV/0!</v>
      </c>
      <c r="AB93" s="14" t="e">
        <f t="shared" si="61"/>
        <v>#DIV/0!</v>
      </c>
      <c r="AC93" s="14" t="e">
        <f t="shared" si="61"/>
        <v>#DIV/0!</v>
      </c>
      <c r="AD93" s="14" t="e">
        <f t="shared" si="61"/>
        <v>#DIV/0!</v>
      </c>
      <c r="AE93" s="14" t="e">
        <f t="shared" si="61"/>
        <v>#DIV/0!</v>
      </c>
      <c r="AF93" s="14" t="e">
        <f t="shared" si="61"/>
        <v>#DIV/0!</v>
      </c>
      <c r="AG93" s="14" t="e">
        <f t="shared" si="61"/>
        <v>#DIV/0!</v>
      </c>
      <c r="AH93" s="14" t="e">
        <f t="shared" si="61"/>
        <v>#DIV/0!</v>
      </c>
      <c r="AI93" s="14" t="e">
        <f t="shared" si="61"/>
        <v>#DIV/0!</v>
      </c>
      <c r="AJ93" s="14" t="e">
        <f t="shared" si="61"/>
        <v>#DIV/0!</v>
      </c>
      <c r="AK93" s="14" t="e">
        <f t="shared" si="61"/>
        <v>#DIV/0!</v>
      </c>
      <c r="AL93" s="14" t="e">
        <f t="shared" si="61"/>
        <v>#DIV/0!</v>
      </c>
      <c r="AM93" s="14" t="e">
        <f t="shared" si="61"/>
        <v>#DIV/0!</v>
      </c>
      <c r="AN93" s="14" t="e">
        <f t="shared" si="61"/>
        <v>#DIV/0!</v>
      </c>
      <c r="AO93" s="14" t="e">
        <f t="shared" si="61"/>
        <v>#DIV/0!</v>
      </c>
      <c r="AP93" s="14" t="e">
        <f t="shared" si="61"/>
        <v>#DIV/0!</v>
      </c>
      <c r="AQ93" s="14" t="e">
        <f t="shared" si="61"/>
        <v>#DIV/0!</v>
      </c>
      <c r="AR93" s="14" t="e">
        <f t="shared" si="61"/>
        <v>#DIV/0!</v>
      </c>
      <c r="AS93" s="14" t="e">
        <f t="shared" si="61"/>
        <v>#DIV/0!</v>
      </c>
      <c r="AT93" s="14" t="e">
        <f t="shared" si="61"/>
        <v>#DIV/0!</v>
      </c>
      <c r="AU93" s="14" t="e">
        <f t="shared" si="61"/>
        <v>#DIV/0!</v>
      </c>
      <c r="AV93" s="14" t="e">
        <f t="shared" si="61"/>
        <v>#DIV/0!</v>
      </c>
      <c r="AW93" s="14" t="e">
        <f t="shared" si="61"/>
        <v>#DIV/0!</v>
      </c>
      <c r="AX93" s="14" t="e">
        <f t="shared" si="61"/>
        <v>#DIV/0!</v>
      </c>
      <c r="AY93" s="14" t="e">
        <f t="shared" si="61"/>
        <v>#DIV/0!</v>
      </c>
      <c r="AZ93" s="14" t="e">
        <f t="shared" si="61"/>
        <v>#DIV/0!</v>
      </c>
      <c r="BA93" s="14" t="e">
        <f t="shared" si="61"/>
        <v>#DIV/0!</v>
      </c>
      <c r="BB93" s="14" t="e">
        <f t="shared" si="61"/>
        <v>#DIV/0!</v>
      </c>
      <c r="BC93" s="14" t="e">
        <f t="shared" si="61"/>
        <v>#DIV/0!</v>
      </c>
      <c r="BD93" s="14" t="e">
        <f t="shared" si="61"/>
        <v>#DIV/0!</v>
      </c>
      <c r="BE93" s="14" t="e">
        <f t="shared" si="61"/>
        <v>#DIV/0!</v>
      </c>
      <c r="BF93" s="14" t="e">
        <f t="shared" si="61"/>
        <v>#DIV/0!</v>
      </c>
      <c r="BG93" s="14" t="e">
        <f t="shared" si="61"/>
        <v>#DIV/0!</v>
      </c>
      <c r="BH93" s="14" t="e">
        <f t="shared" si="61"/>
        <v>#DIV/0!</v>
      </c>
      <c r="BI93" s="14" t="e">
        <f t="shared" si="61"/>
        <v>#DIV/0!</v>
      </c>
      <c r="BJ93" s="14" t="e">
        <f t="shared" si="61"/>
        <v>#DIV/0!</v>
      </c>
      <c r="BK93" s="14" t="e">
        <f t="shared" si="61"/>
        <v>#DIV/0!</v>
      </c>
      <c r="BL93" s="14" t="e">
        <f t="shared" si="61"/>
        <v>#DIV/0!</v>
      </c>
      <c r="BM93" s="14" t="e">
        <f t="shared" si="61"/>
        <v>#DIV/0!</v>
      </c>
      <c r="BN93" s="14" t="e">
        <f t="shared" si="61"/>
        <v>#DIV/0!</v>
      </c>
      <c r="BO93" s="14" t="e">
        <f t="shared" si="61"/>
        <v>#DIV/0!</v>
      </c>
      <c r="BP93" s="14" t="e">
        <f t="shared" si="61"/>
        <v>#DIV/0!</v>
      </c>
      <c r="BQ93" s="14" t="e">
        <f t="shared" si="61"/>
        <v>#DIV/0!</v>
      </c>
      <c r="BR93" s="14" t="e">
        <f t="shared" si="61"/>
        <v>#DIV/0!</v>
      </c>
      <c r="BS93" s="98"/>
    </row>
    <row r="94" spans="1:71" ht="21" hidden="1" customHeight="1" outlineLevel="1" thickBot="1" x14ac:dyDescent="0.4">
      <c r="A94" s="5">
        <f t="shared" si="35"/>
        <v>0</v>
      </c>
      <c r="B94" s="5">
        <f t="shared" si="35"/>
        <v>0</v>
      </c>
      <c r="C94" s="5">
        <f t="shared" si="35"/>
        <v>0</v>
      </c>
      <c r="D94" s="5">
        <f t="shared" si="35"/>
        <v>0</v>
      </c>
      <c r="E94" s="6">
        <f t="shared" si="29"/>
        <v>0</v>
      </c>
      <c r="F94" s="14" t="e">
        <f t="shared" ref="F94" si="62">F18*$C$78</f>
        <v>#DIV/0!</v>
      </c>
      <c r="G94" s="14" t="e">
        <f t="shared" ref="G94:BR94" si="63">G18*$C$78</f>
        <v>#DIV/0!</v>
      </c>
      <c r="H94" s="14" t="e">
        <f t="shared" si="63"/>
        <v>#DIV/0!</v>
      </c>
      <c r="I94" s="14" t="e">
        <f t="shared" si="63"/>
        <v>#DIV/0!</v>
      </c>
      <c r="J94" s="14" t="e">
        <f t="shared" si="63"/>
        <v>#DIV/0!</v>
      </c>
      <c r="K94" s="14" t="e">
        <f t="shared" si="63"/>
        <v>#DIV/0!</v>
      </c>
      <c r="L94" s="14" t="e">
        <f t="shared" si="63"/>
        <v>#DIV/0!</v>
      </c>
      <c r="M94" s="14" t="e">
        <f t="shared" si="63"/>
        <v>#DIV/0!</v>
      </c>
      <c r="N94" s="14" t="e">
        <f t="shared" si="63"/>
        <v>#DIV/0!</v>
      </c>
      <c r="O94" s="14" t="e">
        <f t="shared" si="63"/>
        <v>#DIV/0!</v>
      </c>
      <c r="P94" s="14" t="e">
        <f t="shared" si="63"/>
        <v>#DIV/0!</v>
      </c>
      <c r="Q94" s="14" t="e">
        <f t="shared" si="63"/>
        <v>#DIV/0!</v>
      </c>
      <c r="R94" s="14" t="e">
        <f t="shared" si="63"/>
        <v>#DIV/0!</v>
      </c>
      <c r="S94" s="14" t="e">
        <f t="shared" si="63"/>
        <v>#DIV/0!</v>
      </c>
      <c r="T94" s="14" t="e">
        <f t="shared" si="63"/>
        <v>#DIV/0!</v>
      </c>
      <c r="U94" s="14" t="e">
        <f t="shared" si="63"/>
        <v>#DIV/0!</v>
      </c>
      <c r="V94" s="14" t="e">
        <f t="shared" si="63"/>
        <v>#DIV/0!</v>
      </c>
      <c r="W94" s="14" t="e">
        <f t="shared" si="63"/>
        <v>#DIV/0!</v>
      </c>
      <c r="X94" s="14" t="e">
        <f t="shared" si="63"/>
        <v>#DIV/0!</v>
      </c>
      <c r="Y94" s="14" t="e">
        <f t="shared" si="63"/>
        <v>#DIV/0!</v>
      </c>
      <c r="Z94" s="14" t="e">
        <f t="shared" si="63"/>
        <v>#DIV/0!</v>
      </c>
      <c r="AA94" s="14" t="e">
        <f t="shared" si="63"/>
        <v>#DIV/0!</v>
      </c>
      <c r="AB94" s="14" t="e">
        <f t="shared" si="63"/>
        <v>#DIV/0!</v>
      </c>
      <c r="AC94" s="14" t="e">
        <f t="shared" si="63"/>
        <v>#DIV/0!</v>
      </c>
      <c r="AD94" s="14" t="e">
        <f t="shared" si="63"/>
        <v>#DIV/0!</v>
      </c>
      <c r="AE94" s="14" t="e">
        <f t="shared" si="63"/>
        <v>#DIV/0!</v>
      </c>
      <c r="AF94" s="14" t="e">
        <f t="shared" si="63"/>
        <v>#DIV/0!</v>
      </c>
      <c r="AG94" s="14" t="e">
        <f t="shared" si="63"/>
        <v>#DIV/0!</v>
      </c>
      <c r="AH94" s="14" t="e">
        <f t="shared" si="63"/>
        <v>#DIV/0!</v>
      </c>
      <c r="AI94" s="14" t="e">
        <f t="shared" si="63"/>
        <v>#DIV/0!</v>
      </c>
      <c r="AJ94" s="14" t="e">
        <f t="shared" si="63"/>
        <v>#DIV/0!</v>
      </c>
      <c r="AK94" s="14" t="e">
        <f t="shared" si="63"/>
        <v>#DIV/0!</v>
      </c>
      <c r="AL94" s="14" t="e">
        <f t="shared" si="63"/>
        <v>#DIV/0!</v>
      </c>
      <c r="AM94" s="14" t="e">
        <f t="shared" si="63"/>
        <v>#DIV/0!</v>
      </c>
      <c r="AN94" s="14" t="e">
        <f t="shared" si="63"/>
        <v>#DIV/0!</v>
      </c>
      <c r="AO94" s="14" t="e">
        <f t="shared" si="63"/>
        <v>#DIV/0!</v>
      </c>
      <c r="AP94" s="14" t="e">
        <f t="shared" si="63"/>
        <v>#DIV/0!</v>
      </c>
      <c r="AQ94" s="14" t="e">
        <f t="shared" si="63"/>
        <v>#DIV/0!</v>
      </c>
      <c r="AR94" s="14" t="e">
        <f t="shared" si="63"/>
        <v>#DIV/0!</v>
      </c>
      <c r="AS94" s="14" t="e">
        <f t="shared" si="63"/>
        <v>#DIV/0!</v>
      </c>
      <c r="AT94" s="14" t="e">
        <f t="shared" si="63"/>
        <v>#DIV/0!</v>
      </c>
      <c r="AU94" s="14" t="e">
        <f t="shared" si="63"/>
        <v>#DIV/0!</v>
      </c>
      <c r="AV94" s="14" t="e">
        <f t="shared" si="63"/>
        <v>#DIV/0!</v>
      </c>
      <c r="AW94" s="14" t="e">
        <f t="shared" si="63"/>
        <v>#DIV/0!</v>
      </c>
      <c r="AX94" s="14" t="e">
        <f t="shared" si="63"/>
        <v>#DIV/0!</v>
      </c>
      <c r="AY94" s="14" t="e">
        <f t="shared" si="63"/>
        <v>#DIV/0!</v>
      </c>
      <c r="AZ94" s="14" t="e">
        <f t="shared" si="63"/>
        <v>#DIV/0!</v>
      </c>
      <c r="BA94" s="14" t="e">
        <f t="shared" si="63"/>
        <v>#DIV/0!</v>
      </c>
      <c r="BB94" s="14" t="e">
        <f t="shared" si="63"/>
        <v>#DIV/0!</v>
      </c>
      <c r="BC94" s="14" t="e">
        <f t="shared" si="63"/>
        <v>#DIV/0!</v>
      </c>
      <c r="BD94" s="14" t="e">
        <f t="shared" si="63"/>
        <v>#DIV/0!</v>
      </c>
      <c r="BE94" s="14" t="e">
        <f t="shared" si="63"/>
        <v>#DIV/0!</v>
      </c>
      <c r="BF94" s="14" t="e">
        <f t="shared" si="63"/>
        <v>#DIV/0!</v>
      </c>
      <c r="BG94" s="14" t="e">
        <f t="shared" si="63"/>
        <v>#DIV/0!</v>
      </c>
      <c r="BH94" s="14" t="e">
        <f t="shared" si="63"/>
        <v>#DIV/0!</v>
      </c>
      <c r="BI94" s="14" t="e">
        <f t="shared" si="63"/>
        <v>#DIV/0!</v>
      </c>
      <c r="BJ94" s="14" t="e">
        <f t="shared" si="63"/>
        <v>#DIV/0!</v>
      </c>
      <c r="BK94" s="14" t="e">
        <f t="shared" si="63"/>
        <v>#DIV/0!</v>
      </c>
      <c r="BL94" s="14" t="e">
        <f t="shared" si="63"/>
        <v>#DIV/0!</v>
      </c>
      <c r="BM94" s="14" t="e">
        <f t="shared" si="63"/>
        <v>#DIV/0!</v>
      </c>
      <c r="BN94" s="14" t="e">
        <f t="shared" si="63"/>
        <v>#DIV/0!</v>
      </c>
      <c r="BO94" s="14" t="e">
        <f t="shared" si="63"/>
        <v>#DIV/0!</v>
      </c>
      <c r="BP94" s="14" t="e">
        <f t="shared" si="63"/>
        <v>#DIV/0!</v>
      </c>
      <c r="BQ94" s="14" t="e">
        <f t="shared" si="63"/>
        <v>#DIV/0!</v>
      </c>
      <c r="BR94" s="14" t="e">
        <f t="shared" si="63"/>
        <v>#DIV/0!</v>
      </c>
      <c r="BS94" s="98"/>
    </row>
    <row r="95" spans="1:71" ht="21" hidden="1" customHeight="1" outlineLevel="1" thickBot="1" x14ac:dyDescent="0.4">
      <c r="A95" s="5">
        <f t="shared" si="35"/>
        <v>0</v>
      </c>
      <c r="B95" s="5">
        <f t="shared" si="35"/>
        <v>0</v>
      </c>
      <c r="C95" s="5">
        <f t="shared" si="35"/>
        <v>0</v>
      </c>
      <c r="D95" s="5">
        <f t="shared" si="35"/>
        <v>0</v>
      </c>
      <c r="E95" s="6">
        <f t="shared" si="29"/>
        <v>0</v>
      </c>
      <c r="F95" s="14" t="e">
        <f t="shared" ref="F95" si="64">F19*$C$78</f>
        <v>#DIV/0!</v>
      </c>
      <c r="G95" s="14" t="e">
        <f t="shared" ref="G95:BR95" si="65">G19*$C$78</f>
        <v>#DIV/0!</v>
      </c>
      <c r="H95" s="14" t="e">
        <f t="shared" si="65"/>
        <v>#DIV/0!</v>
      </c>
      <c r="I95" s="14" t="e">
        <f t="shared" si="65"/>
        <v>#DIV/0!</v>
      </c>
      <c r="J95" s="14" t="e">
        <f t="shared" si="65"/>
        <v>#DIV/0!</v>
      </c>
      <c r="K95" s="14" t="e">
        <f t="shared" si="65"/>
        <v>#DIV/0!</v>
      </c>
      <c r="L95" s="14" t="e">
        <f t="shared" si="65"/>
        <v>#DIV/0!</v>
      </c>
      <c r="M95" s="14" t="e">
        <f t="shared" si="65"/>
        <v>#DIV/0!</v>
      </c>
      <c r="N95" s="14" t="e">
        <f t="shared" si="65"/>
        <v>#DIV/0!</v>
      </c>
      <c r="O95" s="14" t="e">
        <f t="shared" si="65"/>
        <v>#DIV/0!</v>
      </c>
      <c r="P95" s="14" t="e">
        <f t="shared" si="65"/>
        <v>#DIV/0!</v>
      </c>
      <c r="Q95" s="14" t="e">
        <f t="shared" si="65"/>
        <v>#DIV/0!</v>
      </c>
      <c r="R95" s="14" t="e">
        <f t="shared" si="65"/>
        <v>#DIV/0!</v>
      </c>
      <c r="S95" s="14" t="e">
        <f t="shared" si="65"/>
        <v>#DIV/0!</v>
      </c>
      <c r="T95" s="14" t="e">
        <f t="shared" si="65"/>
        <v>#DIV/0!</v>
      </c>
      <c r="U95" s="14" t="e">
        <f t="shared" si="65"/>
        <v>#DIV/0!</v>
      </c>
      <c r="V95" s="14" t="e">
        <f t="shared" si="65"/>
        <v>#DIV/0!</v>
      </c>
      <c r="W95" s="14" t="e">
        <f t="shared" si="65"/>
        <v>#DIV/0!</v>
      </c>
      <c r="X95" s="14" t="e">
        <f t="shared" si="65"/>
        <v>#DIV/0!</v>
      </c>
      <c r="Y95" s="14" t="e">
        <f t="shared" si="65"/>
        <v>#DIV/0!</v>
      </c>
      <c r="Z95" s="14" t="e">
        <f t="shared" si="65"/>
        <v>#DIV/0!</v>
      </c>
      <c r="AA95" s="14" t="e">
        <f t="shared" si="65"/>
        <v>#DIV/0!</v>
      </c>
      <c r="AB95" s="14" t="e">
        <f t="shared" si="65"/>
        <v>#DIV/0!</v>
      </c>
      <c r="AC95" s="14" t="e">
        <f t="shared" si="65"/>
        <v>#DIV/0!</v>
      </c>
      <c r="AD95" s="14" t="e">
        <f t="shared" si="65"/>
        <v>#DIV/0!</v>
      </c>
      <c r="AE95" s="14" t="e">
        <f t="shared" si="65"/>
        <v>#DIV/0!</v>
      </c>
      <c r="AF95" s="14" t="e">
        <f t="shared" si="65"/>
        <v>#DIV/0!</v>
      </c>
      <c r="AG95" s="14" t="e">
        <f t="shared" si="65"/>
        <v>#DIV/0!</v>
      </c>
      <c r="AH95" s="14" t="e">
        <f t="shared" si="65"/>
        <v>#DIV/0!</v>
      </c>
      <c r="AI95" s="14" t="e">
        <f t="shared" si="65"/>
        <v>#DIV/0!</v>
      </c>
      <c r="AJ95" s="14" t="e">
        <f t="shared" si="65"/>
        <v>#DIV/0!</v>
      </c>
      <c r="AK95" s="14" t="e">
        <f t="shared" si="65"/>
        <v>#DIV/0!</v>
      </c>
      <c r="AL95" s="14" t="e">
        <f t="shared" si="65"/>
        <v>#DIV/0!</v>
      </c>
      <c r="AM95" s="14" t="e">
        <f t="shared" si="65"/>
        <v>#DIV/0!</v>
      </c>
      <c r="AN95" s="14" t="e">
        <f t="shared" si="65"/>
        <v>#DIV/0!</v>
      </c>
      <c r="AO95" s="14" t="e">
        <f t="shared" si="65"/>
        <v>#DIV/0!</v>
      </c>
      <c r="AP95" s="14" t="e">
        <f t="shared" si="65"/>
        <v>#DIV/0!</v>
      </c>
      <c r="AQ95" s="14" t="e">
        <f t="shared" si="65"/>
        <v>#DIV/0!</v>
      </c>
      <c r="AR95" s="14" t="e">
        <f t="shared" si="65"/>
        <v>#DIV/0!</v>
      </c>
      <c r="AS95" s="14" t="e">
        <f t="shared" si="65"/>
        <v>#DIV/0!</v>
      </c>
      <c r="AT95" s="14" t="e">
        <f t="shared" si="65"/>
        <v>#DIV/0!</v>
      </c>
      <c r="AU95" s="14" t="e">
        <f t="shared" si="65"/>
        <v>#DIV/0!</v>
      </c>
      <c r="AV95" s="14" t="e">
        <f t="shared" si="65"/>
        <v>#DIV/0!</v>
      </c>
      <c r="AW95" s="14" t="e">
        <f t="shared" si="65"/>
        <v>#DIV/0!</v>
      </c>
      <c r="AX95" s="14" t="e">
        <f t="shared" si="65"/>
        <v>#DIV/0!</v>
      </c>
      <c r="AY95" s="14" t="e">
        <f t="shared" si="65"/>
        <v>#DIV/0!</v>
      </c>
      <c r="AZ95" s="14" t="e">
        <f t="shared" si="65"/>
        <v>#DIV/0!</v>
      </c>
      <c r="BA95" s="14" t="e">
        <f t="shared" si="65"/>
        <v>#DIV/0!</v>
      </c>
      <c r="BB95" s="14" t="e">
        <f t="shared" si="65"/>
        <v>#DIV/0!</v>
      </c>
      <c r="BC95" s="14" t="e">
        <f t="shared" si="65"/>
        <v>#DIV/0!</v>
      </c>
      <c r="BD95" s="14" t="e">
        <f t="shared" si="65"/>
        <v>#DIV/0!</v>
      </c>
      <c r="BE95" s="14" t="e">
        <f t="shared" si="65"/>
        <v>#DIV/0!</v>
      </c>
      <c r="BF95" s="14" t="e">
        <f t="shared" si="65"/>
        <v>#DIV/0!</v>
      </c>
      <c r="BG95" s="14" t="e">
        <f t="shared" si="65"/>
        <v>#DIV/0!</v>
      </c>
      <c r="BH95" s="14" t="e">
        <f t="shared" si="65"/>
        <v>#DIV/0!</v>
      </c>
      <c r="BI95" s="14" t="e">
        <f t="shared" si="65"/>
        <v>#DIV/0!</v>
      </c>
      <c r="BJ95" s="14" t="e">
        <f t="shared" si="65"/>
        <v>#DIV/0!</v>
      </c>
      <c r="BK95" s="14" t="e">
        <f t="shared" si="65"/>
        <v>#DIV/0!</v>
      </c>
      <c r="BL95" s="14" t="e">
        <f t="shared" si="65"/>
        <v>#DIV/0!</v>
      </c>
      <c r="BM95" s="14" t="e">
        <f t="shared" si="65"/>
        <v>#DIV/0!</v>
      </c>
      <c r="BN95" s="14" t="e">
        <f t="shared" si="65"/>
        <v>#DIV/0!</v>
      </c>
      <c r="BO95" s="14" t="e">
        <f t="shared" si="65"/>
        <v>#DIV/0!</v>
      </c>
      <c r="BP95" s="14" t="e">
        <f t="shared" si="65"/>
        <v>#DIV/0!</v>
      </c>
      <c r="BQ95" s="14" t="e">
        <f t="shared" si="65"/>
        <v>#DIV/0!</v>
      </c>
      <c r="BR95" s="14" t="e">
        <f t="shared" si="65"/>
        <v>#DIV/0!</v>
      </c>
      <c r="BS95" s="98"/>
    </row>
    <row r="96" spans="1:71" ht="21" hidden="1" customHeight="1" outlineLevel="1" thickBot="1" x14ac:dyDescent="0.4">
      <c r="A96" s="5">
        <f t="shared" si="35"/>
        <v>0</v>
      </c>
      <c r="B96" s="5">
        <f t="shared" si="35"/>
        <v>0</v>
      </c>
      <c r="C96" s="5">
        <f t="shared" si="35"/>
        <v>0</v>
      </c>
      <c r="D96" s="5">
        <f t="shared" si="35"/>
        <v>0</v>
      </c>
      <c r="E96" s="6">
        <f t="shared" si="29"/>
        <v>0</v>
      </c>
      <c r="F96" s="14" t="e">
        <f t="shared" ref="F96" si="66">F20*$C$78</f>
        <v>#DIV/0!</v>
      </c>
      <c r="G96" s="14" t="e">
        <f t="shared" ref="G96:BR96" si="67">G20*$C$78</f>
        <v>#DIV/0!</v>
      </c>
      <c r="H96" s="14" t="e">
        <f t="shared" si="67"/>
        <v>#DIV/0!</v>
      </c>
      <c r="I96" s="14" t="e">
        <f t="shared" si="67"/>
        <v>#DIV/0!</v>
      </c>
      <c r="J96" s="14" t="e">
        <f t="shared" si="67"/>
        <v>#DIV/0!</v>
      </c>
      <c r="K96" s="14" t="e">
        <f t="shared" si="67"/>
        <v>#DIV/0!</v>
      </c>
      <c r="L96" s="14" t="e">
        <f t="shared" si="67"/>
        <v>#DIV/0!</v>
      </c>
      <c r="M96" s="14" t="e">
        <f t="shared" si="67"/>
        <v>#DIV/0!</v>
      </c>
      <c r="N96" s="14" t="e">
        <f t="shared" si="67"/>
        <v>#DIV/0!</v>
      </c>
      <c r="O96" s="14" t="e">
        <f t="shared" si="67"/>
        <v>#DIV/0!</v>
      </c>
      <c r="P96" s="14" t="e">
        <f t="shared" si="67"/>
        <v>#DIV/0!</v>
      </c>
      <c r="Q96" s="14" t="e">
        <f t="shared" si="67"/>
        <v>#DIV/0!</v>
      </c>
      <c r="R96" s="14" t="e">
        <f t="shared" si="67"/>
        <v>#DIV/0!</v>
      </c>
      <c r="S96" s="14" t="e">
        <f t="shared" si="67"/>
        <v>#DIV/0!</v>
      </c>
      <c r="T96" s="14" t="e">
        <f t="shared" si="67"/>
        <v>#DIV/0!</v>
      </c>
      <c r="U96" s="14" t="e">
        <f t="shared" si="67"/>
        <v>#DIV/0!</v>
      </c>
      <c r="V96" s="14" t="e">
        <f t="shared" si="67"/>
        <v>#DIV/0!</v>
      </c>
      <c r="W96" s="14" t="e">
        <f t="shared" si="67"/>
        <v>#DIV/0!</v>
      </c>
      <c r="X96" s="14" t="e">
        <f t="shared" si="67"/>
        <v>#DIV/0!</v>
      </c>
      <c r="Y96" s="14" t="e">
        <f t="shared" si="67"/>
        <v>#DIV/0!</v>
      </c>
      <c r="Z96" s="14" t="e">
        <f t="shared" si="67"/>
        <v>#DIV/0!</v>
      </c>
      <c r="AA96" s="14" t="e">
        <f t="shared" si="67"/>
        <v>#DIV/0!</v>
      </c>
      <c r="AB96" s="14" t="e">
        <f t="shared" si="67"/>
        <v>#DIV/0!</v>
      </c>
      <c r="AC96" s="14" t="e">
        <f t="shared" si="67"/>
        <v>#DIV/0!</v>
      </c>
      <c r="AD96" s="14" t="e">
        <f t="shared" si="67"/>
        <v>#DIV/0!</v>
      </c>
      <c r="AE96" s="14" t="e">
        <f t="shared" si="67"/>
        <v>#DIV/0!</v>
      </c>
      <c r="AF96" s="14" t="e">
        <f t="shared" si="67"/>
        <v>#DIV/0!</v>
      </c>
      <c r="AG96" s="14" t="e">
        <f t="shared" si="67"/>
        <v>#DIV/0!</v>
      </c>
      <c r="AH96" s="14" t="e">
        <f t="shared" si="67"/>
        <v>#DIV/0!</v>
      </c>
      <c r="AI96" s="14" t="e">
        <f t="shared" si="67"/>
        <v>#DIV/0!</v>
      </c>
      <c r="AJ96" s="14" t="e">
        <f t="shared" si="67"/>
        <v>#DIV/0!</v>
      </c>
      <c r="AK96" s="14" t="e">
        <f t="shared" si="67"/>
        <v>#DIV/0!</v>
      </c>
      <c r="AL96" s="14" t="e">
        <f t="shared" si="67"/>
        <v>#DIV/0!</v>
      </c>
      <c r="AM96" s="14" t="e">
        <f t="shared" si="67"/>
        <v>#DIV/0!</v>
      </c>
      <c r="AN96" s="14" t="e">
        <f t="shared" si="67"/>
        <v>#DIV/0!</v>
      </c>
      <c r="AO96" s="14" t="e">
        <f t="shared" si="67"/>
        <v>#DIV/0!</v>
      </c>
      <c r="AP96" s="14" t="e">
        <f t="shared" si="67"/>
        <v>#DIV/0!</v>
      </c>
      <c r="AQ96" s="14" t="e">
        <f t="shared" si="67"/>
        <v>#DIV/0!</v>
      </c>
      <c r="AR96" s="14" t="e">
        <f t="shared" si="67"/>
        <v>#DIV/0!</v>
      </c>
      <c r="AS96" s="14" t="e">
        <f t="shared" si="67"/>
        <v>#DIV/0!</v>
      </c>
      <c r="AT96" s="14" t="e">
        <f t="shared" si="67"/>
        <v>#DIV/0!</v>
      </c>
      <c r="AU96" s="14" t="e">
        <f t="shared" si="67"/>
        <v>#DIV/0!</v>
      </c>
      <c r="AV96" s="14" t="e">
        <f t="shared" si="67"/>
        <v>#DIV/0!</v>
      </c>
      <c r="AW96" s="14" t="e">
        <f t="shared" si="67"/>
        <v>#DIV/0!</v>
      </c>
      <c r="AX96" s="14" t="e">
        <f t="shared" si="67"/>
        <v>#DIV/0!</v>
      </c>
      <c r="AY96" s="14" t="e">
        <f t="shared" si="67"/>
        <v>#DIV/0!</v>
      </c>
      <c r="AZ96" s="14" t="e">
        <f t="shared" si="67"/>
        <v>#DIV/0!</v>
      </c>
      <c r="BA96" s="14" t="e">
        <f t="shared" si="67"/>
        <v>#DIV/0!</v>
      </c>
      <c r="BB96" s="14" t="e">
        <f t="shared" si="67"/>
        <v>#DIV/0!</v>
      </c>
      <c r="BC96" s="14" t="e">
        <f t="shared" si="67"/>
        <v>#DIV/0!</v>
      </c>
      <c r="BD96" s="14" t="e">
        <f t="shared" si="67"/>
        <v>#DIV/0!</v>
      </c>
      <c r="BE96" s="14" t="e">
        <f t="shared" si="67"/>
        <v>#DIV/0!</v>
      </c>
      <c r="BF96" s="14" t="e">
        <f t="shared" si="67"/>
        <v>#DIV/0!</v>
      </c>
      <c r="BG96" s="14" t="e">
        <f t="shared" si="67"/>
        <v>#DIV/0!</v>
      </c>
      <c r="BH96" s="14" t="e">
        <f t="shared" si="67"/>
        <v>#DIV/0!</v>
      </c>
      <c r="BI96" s="14" t="e">
        <f t="shared" si="67"/>
        <v>#DIV/0!</v>
      </c>
      <c r="BJ96" s="14" t="e">
        <f t="shared" si="67"/>
        <v>#DIV/0!</v>
      </c>
      <c r="BK96" s="14" t="e">
        <f t="shared" si="67"/>
        <v>#DIV/0!</v>
      </c>
      <c r="BL96" s="14" t="e">
        <f t="shared" si="67"/>
        <v>#DIV/0!</v>
      </c>
      <c r="BM96" s="14" t="e">
        <f t="shared" si="67"/>
        <v>#DIV/0!</v>
      </c>
      <c r="BN96" s="14" t="e">
        <f t="shared" si="67"/>
        <v>#DIV/0!</v>
      </c>
      <c r="BO96" s="14" t="e">
        <f t="shared" si="67"/>
        <v>#DIV/0!</v>
      </c>
      <c r="BP96" s="14" t="e">
        <f t="shared" si="67"/>
        <v>#DIV/0!</v>
      </c>
      <c r="BQ96" s="14" t="e">
        <f t="shared" si="67"/>
        <v>#DIV/0!</v>
      </c>
      <c r="BR96" s="14" t="e">
        <f t="shared" si="67"/>
        <v>#DIV/0!</v>
      </c>
      <c r="BS96" s="98"/>
    </row>
    <row r="97" spans="1:87" ht="21" hidden="1" customHeight="1" outlineLevel="1" thickBot="1" x14ac:dyDescent="0.4">
      <c r="A97" s="5">
        <f t="shared" ref="A97:D109" si="68">A63</f>
        <v>0</v>
      </c>
      <c r="B97" s="5">
        <f t="shared" si="68"/>
        <v>0</v>
      </c>
      <c r="C97" s="5">
        <f t="shared" si="68"/>
        <v>0</v>
      </c>
      <c r="D97" s="5">
        <f t="shared" si="68"/>
        <v>0</v>
      </c>
      <c r="E97" s="6">
        <f t="shared" si="29"/>
        <v>0</v>
      </c>
      <c r="F97" s="14" t="e">
        <f t="shared" ref="F97" si="69">F21*$C$78</f>
        <v>#DIV/0!</v>
      </c>
      <c r="G97" s="14" t="e">
        <f t="shared" ref="G97:BR97" si="70">G21*$C$78</f>
        <v>#DIV/0!</v>
      </c>
      <c r="H97" s="14" t="e">
        <f t="shared" si="70"/>
        <v>#DIV/0!</v>
      </c>
      <c r="I97" s="14" t="e">
        <f t="shared" si="70"/>
        <v>#DIV/0!</v>
      </c>
      <c r="J97" s="14" t="e">
        <f t="shared" si="70"/>
        <v>#DIV/0!</v>
      </c>
      <c r="K97" s="14" t="e">
        <f t="shared" si="70"/>
        <v>#DIV/0!</v>
      </c>
      <c r="L97" s="14" t="e">
        <f t="shared" si="70"/>
        <v>#DIV/0!</v>
      </c>
      <c r="M97" s="14" t="e">
        <f t="shared" si="70"/>
        <v>#DIV/0!</v>
      </c>
      <c r="N97" s="14" t="e">
        <f t="shared" si="70"/>
        <v>#DIV/0!</v>
      </c>
      <c r="O97" s="14" t="e">
        <f t="shared" si="70"/>
        <v>#DIV/0!</v>
      </c>
      <c r="P97" s="14" t="e">
        <f t="shared" si="70"/>
        <v>#DIV/0!</v>
      </c>
      <c r="Q97" s="14" t="e">
        <f t="shared" si="70"/>
        <v>#DIV/0!</v>
      </c>
      <c r="R97" s="14" t="e">
        <f t="shared" si="70"/>
        <v>#DIV/0!</v>
      </c>
      <c r="S97" s="14" t="e">
        <f t="shared" si="70"/>
        <v>#DIV/0!</v>
      </c>
      <c r="T97" s="14" t="e">
        <f t="shared" si="70"/>
        <v>#DIV/0!</v>
      </c>
      <c r="U97" s="14" t="e">
        <f t="shared" si="70"/>
        <v>#DIV/0!</v>
      </c>
      <c r="V97" s="14" t="e">
        <f t="shared" si="70"/>
        <v>#DIV/0!</v>
      </c>
      <c r="W97" s="14" t="e">
        <f t="shared" si="70"/>
        <v>#DIV/0!</v>
      </c>
      <c r="X97" s="14" t="e">
        <f t="shared" si="70"/>
        <v>#DIV/0!</v>
      </c>
      <c r="Y97" s="14" t="e">
        <f t="shared" si="70"/>
        <v>#DIV/0!</v>
      </c>
      <c r="Z97" s="14" t="e">
        <f t="shared" si="70"/>
        <v>#DIV/0!</v>
      </c>
      <c r="AA97" s="14" t="e">
        <f t="shared" si="70"/>
        <v>#DIV/0!</v>
      </c>
      <c r="AB97" s="14" t="e">
        <f t="shared" si="70"/>
        <v>#DIV/0!</v>
      </c>
      <c r="AC97" s="14" t="e">
        <f t="shared" si="70"/>
        <v>#DIV/0!</v>
      </c>
      <c r="AD97" s="14" t="e">
        <f t="shared" si="70"/>
        <v>#DIV/0!</v>
      </c>
      <c r="AE97" s="14" t="e">
        <f t="shared" si="70"/>
        <v>#DIV/0!</v>
      </c>
      <c r="AF97" s="14" t="e">
        <f t="shared" si="70"/>
        <v>#DIV/0!</v>
      </c>
      <c r="AG97" s="14" t="e">
        <f t="shared" si="70"/>
        <v>#DIV/0!</v>
      </c>
      <c r="AH97" s="14" t="e">
        <f t="shared" si="70"/>
        <v>#DIV/0!</v>
      </c>
      <c r="AI97" s="14" t="e">
        <f t="shared" si="70"/>
        <v>#DIV/0!</v>
      </c>
      <c r="AJ97" s="14" t="e">
        <f t="shared" si="70"/>
        <v>#DIV/0!</v>
      </c>
      <c r="AK97" s="14" t="e">
        <f t="shared" si="70"/>
        <v>#DIV/0!</v>
      </c>
      <c r="AL97" s="14" t="e">
        <f t="shared" si="70"/>
        <v>#DIV/0!</v>
      </c>
      <c r="AM97" s="14" t="e">
        <f t="shared" si="70"/>
        <v>#DIV/0!</v>
      </c>
      <c r="AN97" s="14" t="e">
        <f t="shared" si="70"/>
        <v>#DIV/0!</v>
      </c>
      <c r="AO97" s="14" t="e">
        <f t="shared" si="70"/>
        <v>#DIV/0!</v>
      </c>
      <c r="AP97" s="14" t="e">
        <f t="shared" si="70"/>
        <v>#DIV/0!</v>
      </c>
      <c r="AQ97" s="14" t="e">
        <f t="shared" si="70"/>
        <v>#DIV/0!</v>
      </c>
      <c r="AR97" s="14" t="e">
        <f t="shared" si="70"/>
        <v>#DIV/0!</v>
      </c>
      <c r="AS97" s="14" t="e">
        <f t="shared" si="70"/>
        <v>#DIV/0!</v>
      </c>
      <c r="AT97" s="14" t="e">
        <f t="shared" si="70"/>
        <v>#DIV/0!</v>
      </c>
      <c r="AU97" s="14" t="e">
        <f t="shared" si="70"/>
        <v>#DIV/0!</v>
      </c>
      <c r="AV97" s="14" t="e">
        <f t="shared" si="70"/>
        <v>#DIV/0!</v>
      </c>
      <c r="AW97" s="14" t="e">
        <f t="shared" si="70"/>
        <v>#DIV/0!</v>
      </c>
      <c r="AX97" s="14" t="e">
        <f t="shared" si="70"/>
        <v>#DIV/0!</v>
      </c>
      <c r="AY97" s="14" t="e">
        <f t="shared" si="70"/>
        <v>#DIV/0!</v>
      </c>
      <c r="AZ97" s="14" t="e">
        <f t="shared" si="70"/>
        <v>#DIV/0!</v>
      </c>
      <c r="BA97" s="14" t="e">
        <f t="shared" si="70"/>
        <v>#DIV/0!</v>
      </c>
      <c r="BB97" s="14" t="e">
        <f t="shared" si="70"/>
        <v>#DIV/0!</v>
      </c>
      <c r="BC97" s="14" t="e">
        <f t="shared" si="70"/>
        <v>#DIV/0!</v>
      </c>
      <c r="BD97" s="14" t="e">
        <f t="shared" si="70"/>
        <v>#DIV/0!</v>
      </c>
      <c r="BE97" s="14" t="e">
        <f t="shared" si="70"/>
        <v>#DIV/0!</v>
      </c>
      <c r="BF97" s="14" t="e">
        <f t="shared" si="70"/>
        <v>#DIV/0!</v>
      </c>
      <c r="BG97" s="14" t="e">
        <f t="shared" si="70"/>
        <v>#DIV/0!</v>
      </c>
      <c r="BH97" s="14" t="e">
        <f t="shared" si="70"/>
        <v>#DIV/0!</v>
      </c>
      <c r="BI97" s="14" t="e">
        <f t="shared" si="70"/>
        <v>#DIV/0!</v>
      </c>
      <c r="BJ97" s="14" t="e">
        <f t="shared" si="70"/>
        <v>#DIV/0!</v>
      </c>
      <c r="BK97" s="14" t="e">
        <f t="shared" si="70"/>
        <v>#DIV/0!</v>
      </c>
      <c r="BL97" s="14" t="e">
        <f t="shared" si="70"/>
        <v>#DIV/0!</v>
      </c>
      <c r="BM97" s="14" t="e">
        <f t="shared" si="70"/>
        <v>#DIV/0!</v>
      </c>
      <c r="BN97" s="14" t="e">
        <f t="shared" si="70"/>
        <v>#DIV/0!</v>
      </c>
      <c r="BO97" s="14" t="e">
        <f t="shared" si="70"/>
        <v>#DIV/0!</v>
      </c>
      <c r="BP97" s="14" t="e">
        <f t="shared" si="70"/>
        <v>#DIV/0!</v>
      </c>
      <c r="BQ97" s="14" t="e">
        <f t="shared" si="70"/>
        <v>#DIV/0!</v>
      </c>
      <c r="BR97" s="14" t="e">
        <f t="shared" si="70"/>
        <v>#DIV/0!</v>
      </c>
      <c r="BS97" s="98"/>
    </row>
    <row r="98" spans="1:87" ht="21" hidden="1" customHeight="1" outlineLevel="1" thickBot="1" x14ac:dyDescent="0.4">
      <c r="A98" s="5">
        <f t="shared" si="68"/>
        <v>0</v>
      </c>
      <c r="B98" s="5">
        <f t="shared" si="68"/>
        <v>0</v>
      </c>
      <c r="C98" s="5">
        <f t="shared" si="68"/>
        <v>0</v>
      </c>
      <c r="D98" s="5">
        <f t="shared" si="68"/>
        <v>0</v>
      </c>
      <c r="E98" s="6">
        <f t="shared" si="29"/>
        <v>0</v>
      </c>
      <c r="F98" s="14" t="e">
        <f t="shared" ref="F98" si="71">F22*$C$78</f>
        <v>#DIV/0!</v>
      </c>
      <c r="G98" s="14" t="e">
        <f t="shared" ref="G98:BR98" si="72">G22*$C$78</f>
        <v>#DIV/0!</v>
      </c>
      <c r="H98" s="14" t="e">
        <f t="shared" si="72"/>
        <v>#DIV/0!</v>
      </c>
      <c r="I98" s="14" t="e">
        <f t="shared" si="72"/>
        <v>#DIV/0!</v>
      </c>
      <c r="J98" s="14" t="e">
        <f t="shared" si="72"/>
        <v>#DIV/0!</v>
      </c>
      <c r="K98" s="14" t="e">
        <f t="shared" si="72"/>
        <v>#DIV/0!</v>
      </c>
      <c r="L98" s="14" t="e">
        <f t="shared" si="72"/>
        <v>#DIV/0!</v>
      </c>
      <c r="M98" s="14" t="e">
        <f t="shared" si="72"/>
        <v>#DIV/0!</v>
      </c>
      <c r="N98" s="14" t="e">
        <f t="shared" si="72"/>
        <v>#DIV/0!</v>
      </c>
      <c r="O98" s="14" t="e">
        <f t="shared" si="72"/>
        <v>#DIV/0!</v>
      </c>
      <c r="P98" s="14" t="e">
        <f t="shared" si="72"/>
        <v>#DIV/0!</v>
      </c>
      <c r="Q98" s="14" t="e">
        <f t="shared" si="72"/>
        <v>#DIV/0!</v>
      </c>
      <c r="R98" s="14" t="e">
        <f t="shared" si="72"/>
        <v>#DIV/0!</v>
      </c>
      <c r="S98" s="14" t="e">
        <f t="shared" si="72"/>
        <v>#DIV/0!</v>
      </c>
      <c r="T98" s="14" t="e">
        <f t="shared" si="72"/>
        <v>#DIV/0!</v>
      </c>
      <c r="U98" s="14" t="e">
        <f t="shared" si="72"/>
        <v>#DIV/0!</v>
      </c>
      <c r="V98" s="14" t="e">
        <f t="shared" si="72"/>
        <v>#DIV/0!</v>
      </c>
      <c r="W98" s="14" t="e">
        <f t="shared" si="72"/>
        <v>#DIV/0!</v>
      </c>
      <c r="X98" s="14" t="e">
        <f t="shared" si="72"/>
        <v>#DIV/0!</v>
      </c>
      <c r="Y98" s="14" t="e">
        <f t="shared" si="72"/>
        <v>#DIV/0!</v>
      </c>
      <c r="Z98" s="14" t="e">
        <f t="shared" si="72"/>
        <v>#DIV/0!</v>
      </c>
      <c r="AA98" s="14" t="e">
        <f t="shared" si="72"/>
        <v>#DIV/0!</v>
      </c>
      <c r="AB98" s="14" t="e">
        <f t="shared" si="72"/>
        <v>#DIV/0!</v>
      </c>
      <c r="AC98" s="14" t="e">
        <f t="shared" si="72"/>
        <v>#DIV/0!</v>
      </c>
      <c r="AD98" s="14" t="e">
        <f t="shared" si="72"/>
        <v>#DIV/0!</v>
      </c>
      <c r="AE98" s="14" t="e">
        <f t="shared" si="72"/>
        <v>#DIV/0!</v>
      </c>
      <c r="AF98" s="14" t="e">
        <f t="shared" si="72"/>
        <v>#DIV/0!</v>
      </c>
      <c r="AG98" s="14" t="e">
        <f t="shared" si="72"/>
        <v>#DIV/0!</v>
      </c>
      <c r="AH98" s="14" t="e">
        <f t="shared" si="72"/>
        <v>#DIV/0!</v>
      </c>
      <c r="AI98" s="14" t="e">
        <f t="shared" si="72"/>
        <v>#DIV/0!</v>
      </c>
      <c r="AJ98" s="14" t="e">
        <f t="shared" si="72"/>
        <v>#DIV/0!</v>
      </c>
      <c r="AK98" s="14" t="e">
        <f t="shared" si="72"/>
        <v>#DIV/0!</v>
      </c>
      <c r="AL98" s="14" t="e">
        <f t="shared" si="72"/>
        <v>#DIV/0!</v>
      </c>
      <c r="AM98" s="14" t="e">
        <f t="shared" si="72"/>
        <v>#DIV/0!</v>
      </c>
      <c r="AN98" s="14" t="e">
        <f t="shared" si="72"/>
        <v>#DIV/0!</v>
      </c>
      <c r="AO98" s="14" t="e">
        <f t="shared" si="72"/>
        <v>#DIV/0!</v>
      </c>
      <c r="AP98" s="14" t="e">
        <f t="shared" si="72"/>
        <v>#DIV/0!</v>
      </c>
      <c r="AQ98" s="14" t="e">
        <f t="shared" si="72"/>
        <v>#DIV/0!</v>
      </c>
      <c r="AR98" s="14" t="e">
        <f t="shared" si="72"/>
        <v>#DIV/0!</v>
      </c>
      <c r="AS98" s="14" t="e">
        <f t="shared" si="72"/>
        <v>#DIV/0!</v>
      </c>
      <c r="AT98" s="14" t="e">
        <f t="shared" si="72"/>
        <v>#DIV/0!</v>
      </c>
      <c r="AU98" s="14" t="e">
        <f t="shared" si="72"/>
        <v>#DIV/0!</v>
      </c>
      <c r="AV98" s="14" t="e">
        <f t="shared" si="72"/>
        <v>#DIV/0!</v>
      </c>
      <c r="AW98" s="14" t="e">
        <f t="shared" si="72"/>
        <v>#DIV/0!</v>
      </c>
      <c r="AX98" s="14" t="e">
        <f t="shared" si="72"/>
        <v>#DIV/0!</v>
      </c>
      <c r="AY98" s="14" t="e">
        <f t="shared" si="72"/>
        <v>#DIV/0!</v>
      </c>
      <c r="AZ98" s="14" t="e">
        <f t="shared" si="72"/>
        <v>#DIV/0!</v>
      </c>
      <c r="BA98" s="14" t="e">
        <f t="shared" si="72"/>
        <v>#DIV/0!</v>
      </c>
      <c r="BB98" s="14" t="e">
        <f t="shared" si="72"/>
        <v>#DIV/0!</v>
      </c>
      <c r="BC98" s="14" t="e">
        <f t="shared" si="72"/>
        <v>#DIV/0!</v>
      </c>
      <c r="BD98" s="14" t="e">
        <f t="shared" si="72"/>
        <v>#DIV/0!</v>
      </c>
      <c r="BE98" s="14" t="e">
        <f t="shared" si="72"/>
        <v>#DIV/0!</v>
      </c>
      <c r="BF98" s="14" t="e">
        <f t="shared" si="72"/>
        <v>#DIV/0!</v>
      </c>
      <c r="BG98" s="14" t="e">
        <f t="shared" si="72"/>
        <v>#DIV/0!</v>
      </c>
      <c r="BH98" s="14" t="e">
        <f t="shared" si="72"/>
        <v>#DIV/0!</v>
      </c>
      <c r="BI98" s="14" t="e">
        <f t="shared" si="72"/>
        <v>#DIV/0!</v>
      </c>
      <c r="BJ98" s="14" t="e">
        <f t="shared" si="72"/>
        <v>#DIV/0!</v>
      </c>
      <c r="BK98" s="14" t="e">
        <f t="shared" si="72"/>
        <v>#DIV/0!</v>
      </c>
      <c r="BL98" s="14" t="e">
        <f t="shared" si="72"/>
        <v>#DIV/0!</v>
      </c>
      <c r="BM98" s="14" t="e">
        <f t="shared" si="72"/>
        <v>#DIV/0!</v>
      </c>
      <c r="BN98" s="14" t="e">
        <f t="shared" si="72"/>
        <v>#DIV/0!</v>
      </c>
      <c r="BO98" s="14" t="e">
        <f t="shared" si="72"/>
        <v>#DIV/0!</v>
      </c>
      <c r="BP98" s="14" t="e">
        <f t="shared" si="72"/>
        <v>#DIV/0!</v>
      </c>
      <c r="BQ98" s="14" t="e">
        <f t="shared" si="72"/>
        <v>#DIV/0!</v>
      </c>
      <c r="BR98" s="14" t="e">
        <f t="shared" si="72"/>
        <v>#DIV/0!</v>
      </c>
      <c r="BS98" s="98"/>
    </row>
    <row r="99" spans="1:87" ht="21" hidden="1" customHeight="1" outlineLevel="1" thickBot="1" x14ac:dyDescent="0.4">
      <c r="A99" s="5">
        <f t="shared" si="68"/>
        <v>0</v>
      </c>
      <c r="B99" s="5">
        <f t="shared" si="68"/>
        <v>0</v>
      </c>
      <c r="C99" s="5">
        <f t="shared" si="68"/>
        <v>0</v>
      </c>
      <c r="D99" s="5">
        <f t="shared" si="68"/>
        <v>0</v>
      </c>
      <c r="E99" s="6">
        <f t="shared" si="29"/>
        <v>0</v>
      </c>
      <c r="F99" s="14" t="e">
        <f t="shared" ref="F99" si="73">F23*$C$78</f>
        <v>#DIV/0!</v>
      </c>
      <c r="G99" s="14" t="e">
        <f t="shared" ref="G99:BR99" si="74">G23*$C$78</f>
        <v>#DIV/0!</v>
      </c>
      <c r="H99" s="14" t="e">
        <f t="shared" si="74"/>
        <v>#DIV/0!</v>
      </c>
      <c r="I99" s="14" t="e">
        <f t="shared" si="74"/>
        <v>#DIV/0!</v>
      </c>
      <c r="J99" s="14" t="e">
        <f t="shared" si="74"/>
        <v>#DIV/0!</v>
      </c>
      <c r="K99" s="14" t="e">
        <f t="shared" si="74"/>
        <v>#DIV/0!</v>
      </c>
      <c r="L99" s="14" t="e">
        <f t="shared" si="74"/>
        <v>#DIV/0!</v>
      </c>
      <c r="M99" s="14" t="e">
        <f t="shared" si="74"/>
        <v>#DIV/0!</v>
      </c>
      <c r="N99" s="14" t="e">
        <f t="shared" si="74"/>
        <v>#DIV/0!</v>
      </c>
      <c r="O99" s="14" t="e">
        <f t="shared" si="74"/>
        <v>#DIV/0!</v>
      </c>
      <c r="P99" s="14" t="e">
        <f t="shared" si="74"/>
        <v>#DIV/0!</v>
      </c>
      <c r="Q99" s="14" t="e">
        <f t="shared" si="74"/>
        <v>#DIV/0!</v>
      </c>
      <c r="R99" s="14" t="e">
        <f t="shared" si="74"/>
        <v>#DIV/0!</v>
      </c>
      <c r="S99" s="14" t="e">
        <f t="shared" si="74"/>
        <v>#DIV/0!</v>
      </c>
      <c r="T99" s="14" t="e">
        <f t="shared" si="74"/>
        <v>#DIV/0!</v>
      </c>
      <c r="U99" s="14" t="e">
        <f t="shared" si="74"/>
        <v>#DIV/0!</v>
      </c>
      <c r="V99" s="14" t="e">
        <f t="shared" si="74"/>
        <v>#DIV/0!</v>
      </c>
      <c r="W99" s="14" t="e">
        <f t="shared" si="74"/>
        <v>#DIV/0!</v>
      </c>
      <c r="X99" s="14" t="e">
        <f t="shared" si="74"/>
        <v>#DIV/0!</v>
      </c>
      <c r="Y99" s="14" t="e">
        <f t="shared" si="74"/>
        <v>#DIV/0!</v>
      </c>
      <c r="Z99" s="14" t="e">
        <f t="shared" si="74"/>
        <v>#DIV/0!</v>
      </c>
      <c r="AA99" s="14" t="e">
        <f t="shared" si="74"/>
        <v>#DIV/0!</v>
      </c>
      <c r="AB99" s="14" t="e">
        <f t="shared" si="74"/>
        <v>#DIV/0!</v>
      </c>
      <c r="AC99" s="14" t="e">
        <f t="shared" si="74"/>
        <v>#DIV/0!</v>
      </c>
      <c r="AD99" s="14" t="e">
        <f t="shared" si="74"/>
        <v>#DIV/0!</v>
      </c>
      <c r="AE99" s="14" t="e">
        <f t="shared" si="74"/>
        <v>#DIV/0!</v>
      </c>
      <c r="AF99" s="14" t="e">
        <f t="shared" si="74"/>
        <v>#DIV/0!</v>
      </c>
      <c r="AG99" s="14" t="e">
        <f t="shared" si="74"/>
        <v>#DIV/0!</v>
      </c>
      <c r="AH99" s="14" t="e">
        <f t="shared" si="74"/>
        <v>#DIV/0!</v>
      </c>
      <c r="AI99" s="14" t="e">
        <f t="shared" si="74"/>
        <v>#DIV/0!</v>
      </c>
      <c r="AJ99" s="14" t="e">
        <f t="shared" si="74"/>
        <v>#DIV/0!</v>
      </c>
      <c r="AK99" s="14" t="e">
        <f t="shared" si="74"/>
        <v>#DIV/0!</v>
      </c>
      <c r="AL99" s="14" t="e">
        <f t="shared" si="74"/>
        <v>#DIV/0!</v>
      </c>
      <c r="AM99" s="14" t="e">
        <f t="shared" si="74"/>
        <v>#DIV/0!</v>
      </c>
      <c r="AN99" s="14" t="e">
        <f t="shared" si="74"/>
        <v>#DIV/0!</v>
      </c>
      <c r="AO99" s="14" t="e">
        <f t="shared" si="74"/>
        <v>#DIV/0!</v>
      </c>
      <c r="AP99" s="14" t="e">
        <f t="shared" si="74"/>
        <v>#DIV/0!</v>
      </c>
      <c r="AQ99" s="14" t="e">
        <f t="shared" si="74"/>
        <v>#DIV/0!</v>
      </c>
      <c r="AR99" s="14" t="e">
        <f t="shared" si="74"/>
        <v>#DIV/0!</v>
      </c>
      <c r="AS99" s="14" t="e">
        <f t="shared" si="74"/>
        <v>#DIV/0!</v>
      </c>
      <c r="AT99" s="14" t="e">
        <f t="shared" si="74"/>
        <v>#DIV/0!</v>
      </c>
      <c r="AU99" s="14" t="e">
        <f t="shared" si="74"/>
        <v>#DIV/0!</v>
      </c>
      <c r="AV99" s="14" t="e">
        <f t="shared" si="74"/>
        <v>#DIV/0!</v>
      </c>
      <c r="AW99" s="14" t="e">
        <f t="shared" si="74"/>
        <v>#DIV/0!</v>
      </c>
      <c r="AX99" s="14" t="e">
        <f t="shared" si="74"/>
        <v>#DIV/0!</v>
      </c>
      <c r="AY99" s="14" t="e">
        <f t="shared" si="74"/>
        <v>#DIV/0!</v>
      </c>
      <c r="AZ99" s="14" t="e">
        <f t="shared" si="74"/>
        <v>#DIV/0!</v>
      </c>
      <c r="BA99" s="14" t="e">
        <f t="shared" si="74"/>
        <v>#DIV/0!</v>
      </c>
      <c r="BB99" s="14" t="e">
        <f t="shared" si="74"/>
        <v>#DIV/0!</v>
      </c>
      <c r="BC99" s="14" t="e">
        <f t="shared" si="74"/>
        <v>#DIV/0!</v>
      </c>
      <c r="BD99" s="14" t="e">
        <f t="shared" si="74"/>
        <v>#DIV/0!</v>
      </c>
      <c r="BE99" s="14" t="e">
        <f t="shared" si="74"/>
        <v>#DIV/0!</v>
      </c>
      <c r="BF99" s="14" t="e">
        <f t="shared" si="74"/>
        <v>#DIV/0!</v>
      </c>
      <c r="BG99" s="14" t="e">
        <f t="shared" si="74"/>
        <v>#DIV/0!</v>
      </c>
      <c r="BH99" s="14" t="e">
        <f t="shared" si="74"/>
        <v>#DIV/0!</v>
      </c>
      <c r="BI99" s="14" t="e">
        <f t="shared" si="74"/>
        <v>#DIV/0!</v>
      </c>
      <c r="BJ99" s="14" t="e">
        <f t="shared" si="74"/>
        <v>#DIV/0!</v>
      </c>
      <c r="BK99" s="14" t="e">
        <f t="shared" si="74"/>
        <v>#DIV/0!</v>
      </c>
      <c r="BL99" s="14" t="e">
        <f t="shared" si="74"/>
        <v>#DIV/0!</v>
      </c>
      <c r="BM99" s="14" t="e">
        <f t="shared" si="74"/>
        <v>#DIV/0!</v>
      </c>
      <c r="BN99" s="14" t="e">
        <f t="shared" si="74"/>
        <v>#DIV/0!</v>
      </c>
      <c r="BO99" s="14" t="e">
        <f t="shared" si="74"/>
        <v>#DIV/0!</v>
      </c>
      <c r="BP99" s="14" t="e">
        <f t="shared" si="74"/>
        <v>#DIV/0!</v>
      </c>
      <c r="BQ99" s="14" t="e">
        <f t="shared" si="74"/>
        <v>#DIV/0!</v>
      </c>
      <c r="BR99" s="14" t="e">
        <f t="shared" si="74"/>
        <v>#DIV/0!</v>
      </c>
      <c r="BS99" s="98"/>
    </row>
    <row r="100" spans="1:87" ht="21" hidden="1" customHeight="1" outlineLevel="1" thickBot="1" x14ac:dyDescent="0.4">
      <c r="A100" s="5">
        <f t="shared" si="68"/>
        <v>0</v>
      </c>
      <c r="B100" s="5">
        <f t="shared" si="68"/>
        <v>0</v>
      </c>
      <c r="C100" s="5">
        <f t="shared" si="68"/>
        <v>0</v>
      </c>
      <c r="D100" s="5">
        <f t="shared" si="68"/>
        <v>0</v>
      </c>
      <c r="E100" s="6">
        <f t="shared" si="29"/>
        <v>0</v>
      </c>
      <c r="F100" s="14" t="e">
        <f t="shared" ref="F100" si="75">F24*$C$78</f>
        <v>#DIV/0!</v>
      </c>
      <c r="G100" s="14" t="e">
        <f t="shared" ref="G100:BR100" si="76">G24*$C$78</f>
        <v>#DIV/0!</v>
      </c>
      <c r="H100" s="14" t="e">
        <f t="shared" si="76"/>
        <v>#DIV/0!</v>
      </c>
      <c r="I100" s="14" t="e">
        <f t="shared" si="76"/>
        <v>#DIV/0!</v>
      </c>
      <c r="J100" s="14" t="e">
        <f t="shared" si="76"/>
        <v>#DIV/0!</v>
      </c>
      <c r="K100" s="14" t="e">
        <f t="shared" si="76"/>
        <v>#DIV/0!</v>
      </c>
      <c r="L100" s="14" t="e">
        <f t="shared" si="76"/>
        <v>#DIV/0!</v>
      </c>
      <c r="M100" s="14" t="e">
        <f t="shared" si="76"/>
        <v>#DIV/0!</v>
      </c>
      <c r="N100" s="14" t="e">
        <f t="shared" si="76"/>
        <v>#DIV/0!</v>
      </c>
      <c r="O100" s="14" t="e">
        <f t="shared" si="76"/>
        <v>#DIV/0!</v>
      </c>
      <c r="P100" s="14" t="e">
        <f t="shared" si="76"/>
        <v>#DIV/0!</v>
      </c>
      <c r="Q100" s="14" t="e">
        <f t="shared" si="76"/>
        <v>#DIV/0!</v>
      </c>
      <c r="R100" s="14" t="e">
        <f t="shared" si="76"/>
        <v>#DIV/0!</v>
      </c>
      <c r="S100" s="14" t="e">
        <f t="shared" si="76"/>
        <v>#DIV/0!</v>
      </c>
      <c r="T100" s="14" t="e">
        <f t="shared" si="76"/>
        <v>#DIV/0!</v>
      </c>
      <c r="U100" s="14" t="e">
        <f t="shared" si="76"/>
        <v>#DIV/0!</v>
      </c>
      <c r="V100" s="14" t="e">
        <f t="shared" si="76"/>
        <v>#DIV/0!</v>
      </c>
      <c r="W100" s="14" t="e">
        <f t="shared" si="76"/>
        <v>#DIV/0!</v>
      </c>
      <c r="X100" s="14" t="e">
        <f t="shared" si="76"/>
        <v>#DIV/0!</v>
      </c>
      <c r="Y100" s="14" t="e">
        <f t="shared" si="76"/>
        <v>#DIV/0!</v>
      </c>
      <c r="Z100" s="14" t="e">
        <f t="shared" si="76"/>
        <v>#DIV/0!</v>
      </c>
      <c r="AA100" s="14" t="e">
        <f t="shared" si="76"/>
        <v>#DIV/0!</v>
      </c>
      <c r="AB100" s="14" t="e">
        <f t="shared" si="76"/>
        <v>#DIV/0!</v>
      </c>
      <c r="AC100" s="14" t="e">
        <f t="shared" si="76"/>
        <v>#DIV/0!</v>
      </c>
      <c r="AD100" s="14" t="e">
        <f t="shared" si="76"/>
        <v>#DIV/0!</v>
      </c>
      <c r="AE100" s="14" t="e">
        <f t="shared" si="76"/>
        <v>#DIV/0!</v>
      </c>
      <c r="AF100" s="14" t="e">
        <f t="shared" si="76"/>
        <v>#DIV/0!</v>
      </c>
      <c r="AG100" s="14" t="e">
        <f t="shared" si="76"/>
        <v>#DIV/0!</v>
      </c>
      <c r="AH100" s="14" t="e">
        <f t="shared" si="76"/>
        <v>#DIV/0!</v>
      </c>
      <c r="AI100" s="14" t="e">
        <f t="shared" si="76"/>
        <v>#DIV/0!</v>
      </c>
      <c r="AJ100" s="14" t="e">
        <f t="shared" si="76"/>
        <v>#DIV/0!</v>
      </c>
      <c r="AK100" s="14" t="e">
        <f t="shared" si="76"/>
        <v>#DIV/0!</v>
      </c>
      <c r="AL100" s="14" t="e">
        <f t="shared" si="76"/>
        <v>#DIV/0!</v>
      </c>
      <c r="AM100" s="14" t="e">
        <f t="shared" si="76"/>
        <v>#DIV/0!</v>
      </c>
      <c r="AN100" s="14" t="e">
        <f t="shared" si="76"/>
        <v>#DIV/0!</v>
      </c>
      <c r="AO100" s="14" t="e">
        <f t="shared" si="76"/>
        <v>#DIV/0!</v>
      </c>
      <c r="AP100" s="14" t="e">
        <f t="shared" si="76"/>
        <v>#DIV/0!</v>
      </c>
      <c r="AQ100" s="14" t="e">
        <f t="shared" si="76"/>
        <v>#DIV/0!</v>
      </c>
      <c r="AR100" s="14" t="e">
        <f t="shared" si="76"/>
        <v>#DIV/0!</v>
      </c>
      <c r="AS100" s="14" t="e">
        <f t="shared" si="76"/>
        <v>#DIV/0!</v>
      </c>
      <c r="AT100" s="14" t="e">
        <f t="shared" si="76"/>
        <v>#DIV/0!</v>
      </c>
      <c r="AU100" s="14" t="e">
        <f t="shared" si="76"/>
        <v>#DIV/0!</v>
      </c>
      <c r="AV100" s="14" t="e">
        <f t="shared" si="76"/>
        <v>#DIV/0!</v>
      </c>
      <c r="AW100" s="14" t="e">
        <f t="shared" si="76"/>
        <v>#DIV/0!</v>
      </c>
      <c r="AX100" s="14" t="e">
        <f t="shared" si="76"/>
        <v>#DIV/0!</v>
      </c>
      <c r="AY100" s="14" t="e">
        <f t="shared" si="76"/>
        <v>#DIV/0!</v>
      </c>
      <c r="AZ100" s="14" t="e">
        <f t="shared" si="76"/>
        <v>#DIV/0!</v>
      </c>
      <c r="BA100" s="14" t="e">
        <f t="shared" si="76"/>
        <v>#DIV/0!</v>
      </c>
      <c r="BB100" s="14" t="e">
        <f t="shared" si="76"/>
        <v>#DIV/0!</v>
      </c>
      <c r="BC100" s="14" t="e">
        <f t="shared" si="76"/>
        <v>#DIV/0!</v>
      </c>
      <c r="BD100" s="14" t="e">
        <f t="shared" si="76"/>
        <v>#DIV/0!</v>
      </c>
      <c r="BE100" s="14" t="e">
        <f t="shared" si="76"/>
        <v>#DIV/0!</v>
      </c>
      <c r="BF100" s="14" t="e">
        <f t="shared" si="76"/>
        <v>#DIV/0!</v>
      </c>
      <c r="BG100" s="14" t="e">
        <f t="shared" si="76"/>
        <v>#DIV/0!</v>
      </c>
      <c r="BH100" s="14" t="e">
        <f t="shared" si="76"/>
        <v>#DIV/0!</v>
      </c>
      <c r="BI100" s="14" t="e">
        <f t="shared" si="76"/>
        <v>#DIV/0!</v>
      </c>
      <c r="BJ100" s="14" t="e">
        <f t="shared" si="76"/>
        <v>#DIV/0!</v>
      </c>
      <c r="BK100" s="14" t="e">
        <f t="shared" si="76"/>
        <v>#DIV/0!</v>
      </c>
      <c r="BL100" s="14" t="e">
        <f t="shared" si="76"/>
        <v>#DIV/0!</v>
      </c>
      <c r="BM100" s="14" t="e">
        <f t="shared" si="76"/>
        <v>#DIV/0!</v>
      </c>
      <c r="BN100" s="14" t="e">
        <f t="shared" si="76"/>
        <v>#DIV/0!</v>
      </c>
      <c r="BO100" s="14" t="e">
        <f t="shared" si="76"/>
        <v>#DIV/0!</v>
      </c>
      <c r="BP100" s="14" t="e">
        <f t="shared" si="76"/>
        <v>#DIV/0!</v>
      </c>
      <c r="BQ100" s="14" t="e">
        <f t="shared" si="76"/>
        <v>#DIV/0!</v>
      </c>
      <c r="BR100" s="14" t="e">
        <f t="shared" si="76"/>
        <v>#DIV/0!</v>
      </c>
      <c r="BS100" s="98"/>
    </row>
    <row r="101" spans="1:87" ht="21" hidden="1" customHeight="1" outlineLevel="1" thickBot="1" x14ac:dyDescent="0.4">
      <c r="A101" s="5">
        <f t="shared" si="68"/>
        <v>0</v>
      </c>
      <c r="B101" s="5">
        <f t="shared" si="68"/>
        <v>0</v>
      </c>
      <c r="C101" s="5">
        <f t="shared" si="68"/>
        <v>0</v>
      </c>
      <c r="D101" s="5">
        <f t="shared" si="68"/>
        <v>0</v>
      </c>
      <c r="E101" s="6">
        <f t="shared" si="29"/>
        <v>0</v>
      </c>
      <c r="F101" s="14" t="e">
        <f t="shared" ref="F101" si="77">F25*$C$78</f>
        <v>#DIV/0!</v>
      </c>
      <c r="G101" s="14" t="e">
        <f t="shared" ref="G101:BR101" si="78">G25*$C$78</f>
        <v>#DIV/0!</v>
      </c>
      <c r="H101" s="14" t="e">
        <f t="shared" si="78"/>
        <v>#DIV/0!</v>
      </c>
      <c r="I101" s="14" t="e">
        <f t="shared" si="78"/>
        <v>#DIV/0!</v>
      </c>
      <c r="J101" s="14" t="e">
        <f t="shared" si="78"/>
        <v>#DIV/0!</v>
      </c>
      <c r="K101" s="14" t="e">
        <f t="shared" si="78"/>
        <v>#DIV/0!</v>
      </c>
      <c r="L101" s="14" t="e">
        <f t="shared" si="78"/>
        <v>#DIV/0!</v>
      </c>
      <c r="M101" s="14" t="e">
        <f t="shared" si="78"/>
        <v>#DIV/0!</v>
      </c>
      <c r="N101" s="14" t="e">
        <f t="shared" si="78"/>
        <v>#DIV/0!</v>
      </c>
      <c r="O101" s="14" t="e">
        <f t="shared" si="78"/>
        <v>#DIV/0!</v>
      </c>
      <c r="P101" s="14" t="e">
        <f t="shared" si="78"/>
        <v>#DIV/0!</v>
      </c>
      <c r="Q101" s="14" t="e">
        <f t="shared" si="78"/>
        <v>#DIV/0!</v>
      </c>
      <c r="R101" s="14" t="e">
        <f t="shared" si="78"/>
        <v>#DIV/0!</v>
      </c>
      <c r="S101" s="14" t="e">
        <f t="shared" si="78"/>
        <v>#DIV/0!</v>
      </c>
      <c r="T101" s="14" t="e">
        <f t="shared" si="78"/>
        <v>#DIV/0!</v>
      </c>
      <c r="U101" s="14" t="e">
        <f t="shared" si="78"/>
        <v>#DIV/0!</v>
      </c>
      <c r="V101" s="14" t="e">
        <f t="shared" si="78"/>
        <v>#DIV/0!</v>
      </c>
      <c r="W101" s="14" t="e">
        <f t="shared" si="78"/>
        <v>#DIV/0!</v>
      </c>
      <c r="X101" s="14" t="e">
        <f t="shared" si="78"/>
        <v>#DIV/0!</v>
      </c>
      <c r="Y101" s="14" t="e">
        <f t="shared" si="78"/>
        <v>#DIV/0!</v>
      </c>
      <c r="Z101" s="14" t="e">
        <f t="shared" si="78"/>
        <v>#DIV/0!</v>
      </c>
      <c r="AA101" s="14" t="e">
        <f t="shared" si="78"/>
        <v>#DIV/0!</v>
      </c>
      <c r="AB101" s="14" t="e">
        <f t="shared" si="78"/>
        <v>#DIV/0!</v>
      </c>
      <c r="AC101" s="14" t="e">
        <f t="shared" si="78"/>
        <v>#DIV/0!</v>
      </c>
      <c r="AD101" s="14" t="e">
        <f t="shared" si="78"/>
        <v>#DIV/0!</v>
      </c>
      <c r="AE101" s="14" t="e">
        <f t="shared" si="78"/>
        <v>#DIV/0!</v>
      </c>
      <c r="AF101" s="14" t="e">
        <f t="shared" si="78"/>
        <v>#DIV/0!</v>
      </c>
      <c r="AG101" s="14" t="e">
        <f t="shared" si="78"/>
        <v>#DIV/0!</v>
      </c>
      <c r="AH101" s="14" t="e">
        <f t="shared" si="78"/>
        <v>#DIV/0!</v>
      </c>
      <c r="AI101" s="14" t="e">
        <f t="shared" si="78"/>
        <v>#DIV/0!</v>
      </c>
      <c r="AJ101" s="14" t="e">
        <f t="shared" si="78"/>
        <v>#DIV/0!</v>
      </c>
      <c r="AK101" s="14" t="e">
        <f t="shared" si="78"/>
        <v>#DIV/0!</v>
      </c>
      <c r="AL101" s="14" t="e">
        <f t="shared" si="78"/>
        <v>#DIV/0!</v>
      </c>
      <c r="AM101" s="14" t="e">
        <f t="shared" si="78"/>
        <v>#DIV/0!</v>
      </c>
      <c r="AN101" s="14" t="e">
        <f t="shared" si="78"/>
        <v>#DIV/0!</v>
      </c>
      <c r="AO101" s="14" t="e">
        <f t="shared" si="78"/>
        <v>#DIV/0!</v>
      </c>
      <c r="AP101" s="14" t="e">
        <f t="shared" si="78"/>
        <v>#DIV/0!</v>
      </c>
      <c r="AQ101" s="14" t="e">
        <f t="shared" si="78"/>
        <v>#DIV/0!</v>
      </c>
      <c r="AR101" s="14" t="e">
        <f t="shared" si="78"/>
        <v>#DIV/0!</v>
      </c>
      <c r="AS101" s="14" t="e">
        <f t="shared" si="78"/>
        <v>#DIV/0!</v>
      </c>
      <c r="AT101" s="14" t="e">
        <f t="shared" si="78"/>
        <v>#DIV/0!</v>
      </c>
      <c r="AU101" s="14" t="e">
        <f t="shared" si="78"/>
        <v>#DIV/0!</v>
      </c>
      <c r="AV101" s="14" t="e">
        <f t="shared" si="78"/>
        <v>#DIV/0!</v>
      </c>
      <c r="AW101" s="14" t="e">
        <f t="shared" si="78"/>
        <v>#DIV/0!</v>
      </c>
      <c r="AX101" s="14" t="e">
        <f t="shared" si="78"/>
        <v>#DIV/0!</v>
      </c>
      <c r="AY101" s="14" t="e">
        <f t="shared" si="78"/>
        <v>#DIV/0!</v>
      </c>
      <c r="AZ101" s="14" t="e">
        <f t="shared" si="78"/>
        <v>#DIV/0!</v>
      </c>
      <c r="BA101" s="14" t="e">
        <f t="shared" si="78"/>
        <v>#DIV/0!</v>
      </c>
      <c r="BB101" s="14" t="e">
        <f t="shared" si="78"/>
        <v>#DIV/0!</v>
      </c>
      <c r="BC101" s="14" t="e">
        <f t="shared" si="78"/>
        <v>#DIV/0!</v>
      </c>
      <c r="BD101" s="14" t="e">
        <f t="shared" si="78"/>
        <v>#DIV/0!</v>
      </c>
      <c r="BE101" s="14" t="e">
        <f t="shared" si="78"/>
        <v>#DIV/0!</v>
      </c>
      <c r="BF101" s="14" t="e">
        <f t="shared" si="78"/>
        <v>#DIV/0!</v>
      </c>
      <c r="BG101" s="14" t="e">
        <f t="shared" si="78"/>
        <v>#DIV/0!</v>
      </c>
      <c r="BH101" s="14" t="e">
        <f t="shared" si="78"/>
        <v>#DIV/0!</v>
      </c>
      <c r="BI101" s="14" t="e">
        <f t="shared" si="78"/>
        <v>#DIV/0!</v>
      </c>
      <c r="BJ101" s="14" t="e">
        <f t="shared" si="78"/>
        <v>#DIV/0!</v>
      </c>
      <c r="BK101" s="14" t="e">
        <f t="shared" si="78"/>
        <v>#DIV/0!</v>
      </c>
      <c r="BL101" s="14" t="e">
        <f t="shared" si="78"/>
        <v>#DIV/0!</v>
      </c>
      <c r="BM101" s="14" t="e">
        <f t="shared" si="78"/>
        <v>#DIV/0!</v>
      </c>
      <c r="BN101" s="14" t="e">
        <f t="shared" si="78"/>
        <v>#DIV/0!</v>
      </c>
      <c r="BO101" s="14" t="e">
        <f t="shared" si="78"/>
        <v>#DIV/0!</v>
      </c>
      <c r="BP101" s="14" t="e">
        <f t="shared" si="78"/>
        <v>#DIV/0!</v>
      </c>
      <c r="BQ101" s="14" t="e">
        <f t="shared" si="78"/>
        <v>#DIV/0!</v>
      </c>
      <c r="BR101" s="14" t="e">
        <f t="shared" si="78"/>
        <v>#DIV/0!</v>
      </c>
      <c r="BS101" s="98"/>
    </row>
    <row r="102" spans="1:87" ht="21" hidden="1" customHeight="1" outlineLevel="1" thickBot="1" x14ac:dyDescent="0.4">
      <c r="A102" s="5">
        <f t="shared" si="68"/>
        <v>0</v>
      </c>
      <c r="B102" s="5">
        <f t="shared" si="68"/>
        <v>0</v>
      </c>
      <c r="C102" s="5">
        <f t="shared" si="68"/>
        <v>0</v>
      </c>
      <c r="D102" s="5">
        <f t="shared" si="68"/>
        <v>0</v>
      </c>
      <c r="E102" s="6">
        <f t="shared" si="29"/>
        <v>0</v>
      </c>
      <c r="F102" s="14" t="e">
        <f t="shared" ref="F102" si="79">F26*$C$78</f>
        <v>#DIV/0!</v>
      </c>
      <c r="G102" s="14" t="e">
        <f t="shared" ref="G102:BR102" si="80">G26*$C$78</f>
        <v>#DIV/0!</v>
      </c>
      <c r="H102" s="14" t="e">
        <f t="shared" si="80"/>
        <v>#DIV/0!</v>
      </c>
      <c r="I102" s="14" t="e">
        <f t="shared" si="80"/>
        <v>#DIV/0!</v>
      </c>
      <c r="J102" s="14" t="e">
        <f t="shared" si="80"/>
        <v>#DIV/0!</v>
      </c>
      <c r="K102" s="14" t="e">
        <f t="shared" si="80"/>
        <v>#DIV/0!</v>
      </c>
      <c r="L102" s="14" t="e">
        <f t="shared" si="80"/>
        <v>#DIV/0!</v>
      </c>
      <c r="M102" s="14" t="e">
        <f t="shared" si="80"/>
        <v>#DIV/0!</v>
      </c>
      <c r="N102" s="14" t="e">
        <f t="shared" si="80"/>
        <v>#DIV/0!</v>
      </c>
      <c r="O102" s="14" t="e">
        <f t="shared" si="80"/>
        <v>#DIV/0!</v>
      </c>
      <c r="P102" s="14" t="e">
        <f t="shared" si="80"/>
        <v>#DIV/0!</v>
      </c>
      <c r="Q102" s="14" t="e">
        <f t="shared" si="80"/>
        <v>#DIV/0!</v>
      </c>
      <c r="R102" s="14" t="e">
        <f t="shared" si="80"/>
        <v>#DIV/0!</v>
      </c>
      <c r="S102" s="14" t="e">
        <f t="shared" si="80"/>
        <v>#DIV/0!</v>
      </c>
      <c r="T102" s="14" t="e">
        <f t="shared" si="80"/>
        <v>#DIV/0!</v>
      </c>
      <c r="U102" s="14" t="e">
        <f t="shared" si="80"/>
        <v>#DIV/0!</v>
      </c>
      <c r="V102" s="14" t="e">
        <f t="shared" si="80"/>
        <v>#DIV/0!</v>
      </c>
      <c r="W102" s="14" t="e">
        <f t="shared" si="80"/>
        <v>#DIV/0!</v>
      </c>
      <c r="X102" s="14" t="e">
        <f t="shared" si="80"/>
        <v>#DIV/0!</v>
      </c>
      <c r="Y102" s="14" t="e">
        <f t="shared" si="80"/>
        <v>#DIV/0!</v>
      </c>
      <c r="Z102" s="14" t="e">
        <f t="shared" si="80"/>
        <v>#DIV/0!</v>
      </c>
      <c r="AA102" s="14" t="e">
        <f t="shared" si="80"/>
        <v>#DIV/0!</v>
      </c>
      <c r="AB102" s="14" t="e">
        <f t="shared" si="80"/>
        <v>#DIV/0!</v>
      </c>
      <c r="AC102" s="14" t="e">
        <f t="shared" si="80"/>
        <v>#DIV/0!</v>
      </c>
      <c r="AD102" s="14" t="e">
        <f t="shared" si="80"/>
        <v>#DIV/0!</v>
      </c>
      <c r="AE102" s="14" t="e">
        <f t="shared" si="80"/>
        <v>#DIV/0!</v>
      </c>
      <c r="AF102" s="14" t="e">
        <f t="shared" si="80"/>
        <v>#DIV/0!</v>
      </c>
      <c r="AG102" s="14" t="e">
        <f t="shared" si="80"/>
        <v>#DIV/0!</v>
      </c>
      <c r="AH102" s="14" t="e">
        <f t="shared" si="80"/>
        <v>#DIV/0!</v>
      </c>
      <c r="AI102" s="14" t="e">
        <f t="shared" si="80"/>
        <v>#DIV/0!</v>
      </c>
      <c r="AJ102" s="14" t="e">
        <f t="shared" si="80"/>
        <v>#DIV/0!</v>
      </c>
      <c r="AK102" s="14" t="e">
        <f t="shared" si="80"/>
        <v>#DIV/0!</v>
      </c>
      <c r="AL102" s="14" t="e">
        <f t="shared" si="80"/>
        <v>#DIV/0!</v>
      </c>
      <c r="AM102" s="14" t="e">
        <f t="shared" si="80"/>
        <v>#DIV/0!</v>
      </c>
      <c r="AN102" s="14" t="e">
        <f t="shared" si="80"/>
        <v>#DIV/0!</v>
      </c>
      <c r="AO102" s="14" t="e">
        <f t="shared" si="80"/>
        <v>#DIV/0!</v>
      </c>
      <c r="AP102" s="14" t="e">
        <f t="shared" si="80"/>
        <v>#DIV/0!</v>
      </c>
      <c r="AQ102" s="14" t="e">
        <f t="shared" si="80"/>
        <v>#DIV/0!</v>
      </c>
      <c r="AR102" s="14" t="e">
        <f t="shared" si="80"/>
        <v>#DIV/0!</v>
      </c>
      <c r="AS102" s="14" t="e">
        <f t="shared" si="80"/>
        <v>#DIV/0!</v>
      </c>
      <c r="AT102" s="14" t="e">
        <f t="shared" si="80"/>
        <v>#DIV/0!</v>
      </c>
      <c r="AU102" s="14" t="e">
        <f t="shared" si="80"/>
        <v>#DIV/0!</v>
      </c>
      <c r="AV102" s="14" t="e">
        <f t="shared" si="80"/>
        <v>#DIV/0!</v>
      </c>
      <c r="AW102" s="14" t="e">
        <f t="shared" si="80"/>
        <v>#DIV/0!</v>
      </c>
      <c r="AX102" s="14" t="e">
        <f t="shared" si="80"/>
        <v>#DIV/0!</v>
      </c>
      <c r="AY102" s="14" t="e">
        <f t="shared" si="80"/>
        <v>#DIV/0!</v>
      </c>
      <c r="AZ102" s="14" t="e">
        <f t="shared" si="80"/>
        <v>#DIV/0!</v>
      </c>
      <c r="BA102" s="14" t="e">
        <f t="shared" si="80"/>
        <v>#DIV/0!</v>
      </c>
      <c r="BB102" s="14" t="e">
        <f t="shared" si="80"/>
        <v>#DIV/0!</v>
      </c>
      <c r="BC102" s="14" t="e">
        <f t="shared" si="80"/>
        <v>#DIV/0!</v>
      </c>
      <c r="BD102" s="14" t="e">
        <f t="shared" si="80"/>
        <v>#DIV/0!</v>
      </c>
      <c r="BE102" s="14" t="e">
        <f t="shared" si="80"/>
        <v>#DIV/0!</v>
      </c>
      <c r="BF102" s="14" t="e">
        <f t="shared" si="80"/>
        <v>#DIV/0!</v>
      </c>
      <c r="BG102" s="14" t="e">
        <f t="shared" si="80"/>
        <v>#DIV/0!</v>
      </c>
      <c r="BH102" s="14" t="e">
        <f t="shared" si="80"/>
        <v>#DIV/0!</v>
      </c>
      <c r="BI102" s="14" t="e">
        <f t="shared" si="80"/>
        <v>#DIV/0!</v>
      </c>
      <c r="BJ102" s="14" t="e">
        <f t="shared" si="80"/>
        <v>#DIV/0!</v>
      </c>
      <c r="BK102" s="14" t="e">
        <f t="shared" si="80"/>
        <v>#DIV/0!</v>
      </c>
      <c r="BL102" s="14" t="e">
        <f t="shared" si="80"/>
        <v>#DIV/0!</v>
      </c>
      <c r="BM102" s="14" t="e">
        <f t="shared" si="80"/>
        <v>#DIV/0!</v>
      </c>
      <c r="BN102" s="14" t="e">
        <f t="shared" si="80"/>
        <v>#DIV/0!</v>
      </c>
      <c r="BO102" s="14" t="e">
        <f t="shared" si="80"/>
        <v>#DIV/0!</v>
      </c>
      <c r="BP102" s="14" t="e">
        <f t="shared" si="80"/>
        <v>#DIV/0!</v>
      </c>
      <c r="BQ102" s="14" t="e">
        <f t="shared" si="80"/>
        <v>#DIV/0!</v>
      </c>
      <c r="BR102" s="14" t="e">
        <f t="shared" si="80"/>
        <v>#DIV/0!</v>
      </c>
      <c r="BS102" s="98"/>
    </row>
    <row r="103" spans="1:87" ht="21" hidden="1" customHeight="1" outlineLevel="1" thickBot="1" x14ac:dyDescent="0.4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 t="e">
        <f t="shared" ref="F103" si="81">F27*$C$78</f>
        <v>#DIV/0!</v>
      </c>
      <c r="G103" s="14" t="e">
        <f t="shared" ref="G103:BR103" si="82">G27*$C$78</f>
        <v>#DIV/0!</v>
      </c>
      <c r="H103" s="14" t="e">
        <f t="shared" si="82"/>
        <v>#DIV/0!</v>
      </c>
      <c r="I103" s="14" t="e">
        <f t="shared" si="82"/>
        <v>#DIV/0!</v>
      </c>
      <c r="J103" s="14" t="e">
        <f t="shared" si="82"/>
        <v>#DIV/0!</v>
      </c>
      <c r="K103" s="14" t="e">
        <f t="shared" si="82"/>
        <v>#DIV/0!</v>
      </c>
      <c r="L103" s="14" t="e">
        <f t="shared" si="82"/>
        <v>#DIV/0!</v>
      </c>
      <c r="M103" s="14" t="e">
        <f t="shared" si="82"/>
        <v>#DIV/0!</v>
      </c>
      <c r="N103" s="14" t="e">
        <f t="shared" si="82"/>
        <v>#DIV/0!</v>
      </c>
      <c r="O103" s="14" t="e">
        <f t="shared" si="82"/>
        <v>#DIV/0!</v>
      </c>
      <c r="P103" s="14" t="e">
        <f t="shared" si="82"/>
        <v>#DIV/0!</v>
      </c>
      <c r="Q103" s="14" t="e">
        <f t="shared" si="82"/>
        <v>#DIV/0!</v>
      </c>
      <c r="R103" s="14" t="e">
        <f t="shared" si="82"/>
        <v>#DIV/0!</v>
      </c>
      <c r="S103" s="14" t="e">
        <f t="shared" si="82"/>
        <v>#DIV/0!</v>
      </c>
      <c r="T103" s="14" t="e">
        <f t="shared" si="82"/>
        <v>#DIV/0!</v>
      </c>
      <c r="U103" s="14" t="e">
        <f t="shared" si="82"/>
        <v>#DIV/0!</v>
      </c>
      <c r="V103" s="14" t="e">
        <f t="shared" si="82"/>
        <v>#DIV/0!</v>
      </c>
      <c r="W103" s="14" t="e">
        <f t="shared" si="82"/>
        <v>#DIV/0!</v>
      </c>
      <c r="X103" s="14" t="e">
        <f t="shared" si="82"/>
        <v>#DIV/0!</v>
      </c>
      <c r="Y103" s="14" t="e">
        <f t="shared" si="82"/>
        <v>#DIV/0!</v>
      </c>
      <c r="Z103" s="14" t="e">
        <f t="shared" si="82"/>
        <v>#DIV/0!</v>
      </c>
      <c r="AA103" s="14" t="e">
        <f t="shared" si="82"/>
        <v>#DIV/0!</v>
      </c>
      <c r="AB103" s="14" t="e">
        <f t="shared" si="82"/>
        <v>#DIV/0!</v>
      </c>
      <c r="AC103" s="14" t="e">
        <f t="shared" si="82"/>
        <v>#DIV/0!</v>
      </c>
      <c r="AD103" s="14" t="e">
        <f t="shared" si="82"/>
        <v>#DIV/0!</v>
      </c>
      <c r="AE103" s="14" t="e">
        <f t="shared" si="82"/>
        <v>#DIV/0!</v>
      </c>
      <c r="AF103" s="14" t="e">
        <f t="shared" si="82"/>
        <v>#DIV/0!</v>
      </c>
      <c r="AG103" s="14" t="e">
        <f t="shared" si="82"/>
        <v>#DIV/0!</v>
      </c>
      <c r="AH103" s="14" t="e">
        <f t="shared" si="82"/>
        <v>#DIV/0!</v>
      </c>
      <c r="AI103" s="14" t="e">
        <f t="shared" si="82"/>
        <v>#DIV/0!</v>
      </c>
      <c r="AJ103" s="14" t="e">
        <f t="shared" si="82"/>
        <v>#DIV/0!</v>
      </c>
      <c r="AK103" s="14" t="e">
        <f t="shared" si="82"/>
        <v>#DIV/0!</v>
      </c>
      <c r="AL103" s="14" t="e">
        <f t="shared" si="82"/>
        <v>#DIV/0!</v>
      </c>
      <c r="AM103" s="14" t="e">
        <f t="shared" si="82"/>
        <v>#DIV/0!</v>
      </c>
      <c r="AN103" s="14" t="e">
        <f t="shared" si="82"/>
        <v>#DIV/0!</v>
      </c>
      <c r="AO103" s="14" t="e">
        <f t="shared" si="82"/>
        <v>#DIV/0!</v>
      </c>
      <c r="AP103" s="14" t="e">
        <f t="shared" si="82"/>
        <v>#DIV/0!</v>
      </c>
      <c r="AQ103" s="14" t="e">
        <f t="shared" si="82"/>
        <v>#DIV/0!</v>
      </c>
      <c r="AR103" s="14" t="e">
        <f t="shared" si="82"/>
        <v>#DIV/0!</v>
      </c>
      <c r="AS103" s="14" t="e">
        <f t="shared" si="82"/>
        <v>#DIV/0!</v>
      </c>
      <c r="AT103" s="14" t="e">
        <f t="shared" si="82"/>
        <v>#DIV/0!</v>
      </c>
      <c r="AU103" s="14" t="e">
        <f t="shared" si="82"/>
        <v>#DIV/0!</v>
      </c>
      <c r="AV103" s="14" t="e">
        <f t="shared" si="82"/>
        <v>#DIV/0!</v>
      </c>
      <c r="AW103" s="14" t="e">
        <f t="shared" si="82"/>
        <v>#DIV/0!</v>
      </c>
      <c r="AX103" s="14" t="e">
        <f t="shared" si="82"/>
        <v>#DIV/0!</v>
      </c>
      <c r="AY103" s="14" t="e">
        <f t="shared" si="82"/>
        <v>#DIV/0!</v>
      </c>
      <c r="AZ103" s="14" t="e">
        <f t="shared" si="82"/>
        <v>#DIV/0!</v>
      </c>
      <c r="BA103" s="14" t="e">
        <f t="shared" si="82"/>
        <v>#DIV/0!</v>
      </c>
      <c r="BB103" s="14" t="e">
        <f t="shared" si="82"/>
        <v>#DIV/0!</v>
      </c>
      <c r="BC103" s="14" t="e">
        <f t="shared" si="82"/>
        <v>#DIV/0!</v>
      </c>
      <c r="BD103" s="14" t="e">
        <f t="shared" si="82"/>
        <v>#DIV/0!</v>
      </c>
      <c r="BE103" s="14" t="e">
        <f t="shared" si="82"/>
        <v>#DIV/0!</v>
      </c>
      <c r="BF103" s="14" t="e">
        <f t="shared" si="82"/>
        <v>#DIV/0!</v>
      </c>
      <c r="BG103" s="14" t="e">
        <f t="shared" si="82"/>
        <v>#DIV/0!</v>
      </c>
      <c r="BH103" s="14" t="e">
        <f t="shared" si="82"/>
        <v>#DIV/0!</v>
      </c>
      <c r="BI103" s="14" t="e">
        <f t="shared" si="82"/>
        <v>#DIV/0!</v>
      </c>
      <c r="BJ103" s="14" t="e">
        <f t="shared" si="82"/>
        <v>#DIV/0!</v>
      </c>
      <c r="BK103" s="14" t="e">
        <f t="shared" si="82"/>
        <v>#DIV/0!</v>
      </c>
      <c r="BL103" s="14" t="e">
        <f t="shared" si="82"/>
        <v>#DIV/0!</v>
      </c>
      <c r="BM103" s="14" t="e">
        <f t="shared" si="82"/>
        <v>#DIV/0!</v>
      </c>
      <c r="BN103" s="14" t="e">
        <f t="shared" si="82"/>
        <v>#DIV/0!</v>
      </c>
      <c r="BO103" s="14" t="e">
        <f t="shared" si="82"/>
        <v>#DIV/0!</v>
      </c>
      <c r="BP103" s="14" t="e">
        <f t="shared" si="82"/>
        <v>#DIV/0!</v>
      </c>
      <c r="BQ103" s="14" t="e">
        <f t="shared" si="82"/>
        <v>#DIV/0!</v>
      </c>
      <c r="BR103" s="14" t="e">
        <f t="shared" si="82"/>
        <v>#DIV/0!</v>
      </c>
      <c r="BS103" s="98"/>
    </row>
    <row r="104" spans="1:87" ht="21" hidden="1" customHeight="1" outlineLevel="1" thickBot="1" x14ac:dyDescent="0.4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 t="e">
        <f t="shared" ref="F104" si="83">F28*$C$78</f>
        <v>#DIV/0!</v>
      </c>
      <c r="G104" s="14" t="e">
        <f t="shared" ref="G104:BR104" si="84">G28*$C$78</f>
        <v>#DIV/0!</v>
      </c>
      <c r="H104" s="14" t="e">
        <f t="shared" si="84"/>
        <v>#DIV/0!</v>
      </c>
      <c r="I104" s="14" t="e">
        <f t="shared" si="84"/>
        <v>#DIV/0!</v>
      </c>
      <c r="J104" s="14" t="e">
        <f t="shared" si="84"/>
        <v>#DIV/0!</v>
      </c>
      <c r="K104" s="14" t="e">
        <f t="shared" si="84"/>
        <v>#DIV/0!</v>
      </c>
      <c r="L104" s="14" t="e">
        <f t="shared" si="84"/>
        <v>#DIV/0!</v>
      </c>
      <c r="M104" s="14" t="e">
        <f t="shared" si="84"/>
        <v>#DIV/0!</v>
      </c>
      <c r="N104" s="14" t="e">
        <f t="shared" si="84"/>
        <v>#DIV/0!</v>
      </c>
      <c r="O104" s="14" t="e">
        <f t="shared" si="84"/>
        <v>#DIV/0!</v>
      </c>
      <c r="P104" s="14" t="e">
        <f t="shared" si="84"/>
        <v>#DIV/0!</v>
      </c>
      <c r="Q104" s="14" t="e">
        <f t="shared" si="84"/>
        <v>#DIV/0!</v>
      </c>
      <c r="R104" s="14" t="e">
        <f t="shared" si="84"/>
        <v>#DIV/0!</v>
      </c>
      <c r="S104" s="14" t="e">
        <f t="shared" si="84"/>
        <v>#DIV/0!</v>
      </c>
      <c r="T104" s="14" t="e">
        <f t="shared" si="84"/>
        <v>#DIV/0!</v>
      </c>
      <c r="U104" s="14" t="e">
        <f t="shared" si="84"/>
        <v>#DIV/0!</v>
      </c>
      <c r="V104" s="14" t="e">
        <f t="shared" si="84"/>
        <v>#DIV/0!</v>
      </c>
      <c r="W104" s="14" t="e">
        <f t="shared" si="84"/>
        <v>#DIV/0!</v>
      </c>
      <c r="X104" s="14" t="e">
        <f t="shared" si="84"/>
        <v>#DIV/0!</v>
      </c>
      <c r="Y104" s="14" t="e">
        <f t="shared" si="84"/>
        <v>#DIV/0!</v>
      </c>
      <c r="Z104" s="14" t="e">
        <f t="shared" si="84"/>
        <v>#DIV/0!</v>
      </c>
      <c r="AA104" s="14" t="e">
        <f t="shared" si="84"/>
        <v>#DIV/0!</v>
      </c>
      <c r="AB104" s="14" t="e">
        <f t="shared" si="84"/>
        <v>#DIV/0!</v>
      </c>
      <c r="AC104" s="14" t="e">
        <f t="shared" si="84"/>
        <v>#DIV/0!</v>
      </c>
      <c r="AD104" s="14" t="e">
        <f t="shared" si="84"/>
        <v>#DIV/0!</v>
      </c>
      <c r="AE104" s="14" t="e">
        <f t="shared" si="84"/>
        <v>#DIV/0!</v>
      </c>
      <c r="AF104" s="14" t="e">
        <f t="shared" si="84"/>
        <v>#DIV/0!</v>
      </c>
      <c r="AG104" s="14" t="e">
        <f t="shared" si="84"/>
        <v>#DIV/0!</v>
      </c>
      <c r="AH104" s="14" t="e">
        <f t="shared" si="84"/>
        <v>#DIV/0!</v>
      </c>
      <c r="AI104" s="14" t="e">
        <f t="shared" si="84"/>
        <v>#DIV/0!</v>
      </c>
      <c r="AJ104" s="14" t="e">
        <f t="shared" si="84"/>
        <v>#DIV/0!</v>
      </c>
      <c r="AK104" s="14" t="e">
        <f t="shared" si="84"/>
        <v>#DIV/0!</v>
      </c>
      <c r="AL104" s="14" t="e">
        <f t="shared" si="84"/>
        <v>#DIV/0!</v>
      </c>
      <c r="AM104" s="14" t="e">
        <f t="shared" si="84"/>
        <v>#DIV/0!</v>
      </c>
      <c r="AN104" s="14" t="e">
        <f t="shared" si="84"/>
        <v>#DIV/0!</v>
      </c>
      <c r="AO104" s="14" t="e">
        <f t="shared" si="84"/>
        <v>#DIV/0!</v>
      </c>
      <c r="AP104" s="14" t="e">
        <f t="shared" si="84"/>
        <v>#DIV/0!</v>
      </c>
      <c r="AQ104" s="14" t="e">
        <f t="shared" si="84"/>
        <v>#DIV/0!</v>
      </c>
      <c r="AR104" s="14" t="e">
        <f t="shared" si="84"/>
        <v>#DIV/0!</v>
      </c>
      <c r="AS104" s="14" t="e">
        <f t="shared" si="84"/>
        <v>#DIV/0!</v>
      </c>
      <c r="AT104" s="14" t="e">
        <f t="shared" si="84"/>
        <v>#DIV/0!</v>
      </c>
      <c r="AU104" s="14" t="e">
        <f t="shared" si="84"/>
        <v>#DIV/0!</v>
      </c>
      <c r="AV104" s="14" t="e">
        <f t="shared" si="84"/>
        <v>#DIV/0!</v>
      </c>
      <c r="AW104" s="14" t="e">
        <f t="shared" si="84"/>
        <v>#DIV/0!</v>
      </c>
      <c r="AX104" s="14" t="e">
        <f t="shared" si="84"/>
        <v>#DIV/0!</v>
      </c>
      <c r="AY104" s="14" t="e">
        <f t="shared" si="84"/>
        <v>#DIV/0!</v>
      </c>
      <c r="AZ104" s="14" t="e">
        <f t="shared" si="84"/>
        <v>#DIV/0!</v>
      </c>
      <c r="BA104" s="14" t="e">
        <f t="shared" si="84"/>
        <v>#DIV/0!</v>
      </c>
      <c r="BB104" s="14" t="e">
        <f t="shared" si="84"/>
        <v>#DIV/0!</v>
      </c>
      <c r="BC104" s="14" t="e">
        <f t="shared" si="84"/>
        <v>#DIV/0!</v>
      </c>
      <c r="BD104" s="14" t="e">
        <f t="shared" si="84"/>
        <v>#DIV/0!</v>
      </c>
      <c r="BE104" s="14" t="e">
        <f t="shared" si="84"/>
        <v>#DIV/0!</v>
      </c>
      <c r="BF104" s="14" t="e">
        <f t="shared" si="84"/>
        <v>#DIV/0!</v>
      </c>
      <c r="BG104" s="14" t="e">
        <f t="shared" si="84"/>
        <v>#DIV/0!</v>
      </c>
      <c r="BH104" s="14" t="e">
        <f t="shared" si="84"/>
        <v>#DIV/0!</v>
      </c>
      <c r="BI104" s="14" t="e">
        <f t="shared" si="84"/>
        <v>#DIV/0!</v>
      </c>
      <c r="BJ104" s="14" t="e">
        <f t="shared" si="84"/>
        <v>#DIV/0!</v>
      </c>
      <c r="BK104" s="14" t="e">
        <f t="shared" si="84"/>
        <v>#DIV/0!</v>
      </c>
      <c r="BL104" s="14" t="e">
        <f t="shared" si="84"/>
        <v>#DIV/0!</v>
      </c>
      <c r="BM104" s="14" t="e">
        <f t="shared" si="84"/>
        <v>#DIV/0!</v>
      </c>
      <c r="BN104" s="14" t="e">
        <f t="shared" si="84"/>
        <v>#DIV/0!</v>
      </c>
      <c r="BO104" s="14" t="e">
        <f t="shared" si="84"/>
        <v>#DIV/0!</v>
      </c>
      <c r="BP104" s="14" t="e">
        <f t="shared" si="84"/>
        <v>#DIV/0!</v>
      </c>
      <c r="BQ104" s="14" t="e">
        <f t="shared" si="84"/>
        <v>#DIV/0!</v>
      </c>
      <c r="BR104" s="14" t="e">
        <f t="shared" si="84"/>
        <v>#DIV/0!</v>
      </c>
      <c r="BS104" s="98"/>
    </row>
    <row r="105" spans="1:87" ht="21" hidden="1" customHeight="1" outlineLevel="1" thickBot="1" x14ac:dyDescent="0.4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 t="e">
        <f t="shared" ref="F105" si="85">F29*$C$78</f>
        <v>#DIV/0!</v>
      </c>
      <c r="G105" s="14" t="e">
        <f t="shared" ref="G105:BR105" si="86">G29*$C$78</f>
        <v>#DIV/0!</v>
      </c>
      <c r="H105" s="14" t="e">
        <f t="shared" si="86"/>
        <v>#DIV/0!</v>
      </c>
      <c r="I105" s="14" t="e">
        <f t="shared" si="86"/>
        <v>#DIV/0!</v>
      </c>
      <c r="J105" s="14" t="e">
        <f t="shared" si="86"/>
        <v>#DIV/0!</v>
      </c>
      <c r="K105" s="14" t="e">
        <f t="shared" si="86"/>
        <v>#DIV/0!</v>
      </c>
      <c r="L105" s="14" t="e">
        <f t="shared" si="86"/>
        <v>#DIV/0!</v>
      </c>
      <c r="M105" s="14" t="e">
        <f t="shared" si="86"/>
        <v>#DIV/0!</v>
      </c>
      <c r="N105" s="14" t="e">
        <f t="shared" si="86"/>
        <v>#DIV/0!</v>
      </c>
      <c r="O105" s="14" t="e">
        <f t="shared" si="86"/>
        <v>#DIV/0!</v>
      </c>
      <c r="P105" s="14" t="e">
        <f t="shared" si="86"/>
        <v>#DIV/0!</v>
      </c>
      <c r="Q105" s="14" t="e">
        <f t="shared" si="86"/>
        <v>#DIV/0!</v>
      </c>
      <c r="R105" s="14" t="e">
        <f t="shared" si="86"/>
        <v>#DIV/0!</v>
      </c>
      <c r="S105" s="14" t="e">
        <f t="shared" si="86"/>
        <v>#DIV/0!</v>
      </c>
      <c r="T105" s="14" t="e">
        <f t="shared" si="86"/>
        <v>#DIV/0!</v>
      </c>
      <c r="U105" s="14" t="e">
        <f t="shared" si="86"/>
        <v>#DIV/0!</v>
      </c>
      <c r="V105" s="14" t="e">
        <f t="shared" si="86"/>
        <v>#DIV/0!</v>
      </c>
      <c r="W105" s="14" t="e">
        <f t="shared" si="86"/>
        <v>#DIV/0!</v>
      </c>
      <c r="X105" s="14" t="e">
        <f t="shared" si="86"/>
        <v>#DIV/0!</v>
      </c>
      <c r="Y105" s="14" t="e">
        <f t="shared" si="86"/>
        <v>#DIV/0!</v>
      </c>
      <c r="Z105" s="14" t="e">
        <f t="shared" si="86"/>
        <v>#DIV/0!</v>
      </c>
      <c r="AA105" s="14" t="e">
        <f t="shared" si="86"/>
        <v>#DIV/0!</v>
      </c>
      <c r="AB105" s="14" t="e">
        <f t="shared" si="86"/>
        <v>#DIV/0!</v>
      </c>
      <c r="AC105" s="14" t="e">
        <f t="shared" si="86"/>
        <v>#DIV/0!</v>
      </c>
      <c r="AD105" s="14" t="e">
        <f t="shared" si="86"/>
        <v>#DIV/0!</v>
      </c>
      <c r="AE105" s="14" t="e">
        <f t="shared" si="86"/>
        <v>#DIV/0!</v>
      </c>
      <c r="AF105" s="14" t="e">
        <f t="shared" si="86"/>
        <v>#DIV/0!</v>
      </c>
      <c r="AG105" s="14" t="e">
        <f t="shared" si="86"/>
        <v>#DIV/0!</v>
      </c>
      <c r="AH105" s="14" t="e">
        <f t="shared" si="86"/>
        <v>#DIV/0!</v>
      </c>
      <c r="AI105" s="14" t="e">
        <f t="shared" si="86"/>
        <v>#DIV/0!</v>
      </c>
      <c r="AJ105" s="14" t="e">
        <f t="shared" si="86"/>
        <v>#DIV/0!</v>
      </c>
      <c r="AK105" s="14" t="e">
        <f t="shared" si="86"/>
        <v>#DIV/0!</v>
      </c>
      <c r="AL105" s="14" t="e">
        <f t="shared" si="86"/>
        <v>#DIV/0!</v>
      </c>
      <c r="AM105" s="14" t="e">
        <f t="shared" si="86"/>
        <v>#DIV/0!</v>
      </c>
      <c r="AN105" s="14" t="e">
        <f t="shared" si="86"/>
        <v>#DIV/0!</v>
      </c>
      <c r="AO105" s="14" t="e">
        <f t="shared" si="86"/>
        <v>#DIV/0!</v>
      </c>
      <c r="AP105" s="14" t="e">
        <f t="shared" si="86"/>
        <v>#DIV/0!</v>
      </c>
      <c r="AQ105" s="14" t="e">
        <f t="shared" si="86"/>
        <v>#DIV/0!</v>
      </c>
      <c r="AR105" s="14" t="e">
        <f t="shared" si="86"/>
        <v>#DIV/0!</v>
      </c>
      <c r="AS105" s="14" t="e">
        <f t="shared" si="86"/>
        <v>#DIV/0!</v>
      </c>
      <c r="AT105" s="14" t="e">
        <f t="shared" si="86"/>
        <v>#DIV/0!</v>
      </c>
      <c r="AU105" s="14" t="e">
        <f t="shared" si="86"/>
        <v>#DIV/0!</v>
      </c>
      <c r="AV105" s="14" t="e">
        <f t="shared" si="86"/>
        <v>#DIV/0!</v>
      </c>
      <c r="AW105" s="14" t="e">
        <f t="shared" si="86"/>
        <v>#DIV/0!</v>
      </c>
      <c r="AX105" s="14" t="e">
        <f t="shared" si="86"/>
        <v>#DIV/0!</v>
      </c>
      <c r="AY105" s="14" t="e">
        <f t="shared" si="86"/>
        <v>#DIV/0!</v>
      </c>
      <c r="AZ105" s="14" t="e">
        <f t="shared" si="86"/>
        <v>#DIV/0!</v>
      </c>
      <c r="BA105" s="14" t="e">
        <f t="shared" si="86"/>
        <v>#DIV/0!</v>
      </c>
      <c r="BB105" s="14" t="e">
        <f t="shared" si="86"/>
        <v>#DIV/0!</v>
      </c>
      <c r="BC105" s="14" t="e">
        <f t="shared" si="86"/>
        <v>#DIV/0!</v>
      </c>
      <c r="BD105" s="14" t="e">
        <f t="shared" si="86"/>
        <v>#DIV/0!</v>
      </c>
      <c r="BE105" s="14" t="e">
        <f t="shared" si="86"/>
        <v>#DIV/0!</v>
      </c>
      <c r="BF105" s="14" t="e">
        <f t="shared" si="86"/>
        <v>#DIV/0!</v>
      </c>
      <c r="BG105" s="14" t="e">
        <f t="shared" si="86"/>
        <v>#DIV/0!</v>
      </c>
      <c r="BH105" s="14" t="e">
        <f t="shared" si="86"/>
        <v>#DIV/0!</v>
      </c>
      <c r="BI105" s="14" t="e">
        <f t="shared" si="86"/>
        <v>#DIV/0!</v>
      </c>
      <c r="BJ105" s="14" t="e">
        <f t="shared" si="86"/>
        <v>#DIV/0!</v>
      </c>
      <c r="BK105" s="14" t="e">
        <f t="shared" si="86"/>
        <v>#DIV/0!</v>
      </c>
      <c r="BL105" s="14" t="e">
        <f t="shared" si="86"/>
        <v>#DIV/0!</v>
      </c>
      <c r="BM105" s="14" t="e">
        <f t="shared" si="86"/>
        <v>#DIV/0!</v>
      </c>
      <c r="BN105" s="14" t="e">
        <f t="shared" si="86"/>
        <v>#DIV/0!</v>
      </c>
      <c r="BO105" s="14" t="e">
        <f t="shared" si="86"/>
        <v>#DIV/0!</v>
      </c>
      <c r="BP105" s="14" t="e">
        <f t="shared" si="86"/>
        <v>#DIV/0!</v>
      </c>
      <c r="BQ105" s="14" t="e">
        <f t="shared" si="86"/>
        <v>#DIV/0!</v>
      </c>
      <c r="BR105" s="14" t="e">
        <f t="shared" si="86"/>
        <v>#DIV/0!</v>
      </c>
      <c r="BS105" s="98"/>
    </row>
    <row r="106" spans="1:87" ht="21" hidden="1" customHeight="1" outlineLevel="1" thickBot="1" x14ac:dyDescent="0.4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 t="e">
        <f t="shared" ref="F106" si="87">F30*$C$78</f>
        <v>#DIV/0!</v>
      </c>
      <c r="G106" s="14" t="e">
        <f t="shared" ref="G106:BR106" si="88">G30*$C$78</f>
        <v>#DIV/0!</v>
      </c>
      <c r="H106" s="14" t="e">
        <f t="shared" si="88"/>
        <v>#DIV/0!</v>
      </c>
      <c r="I106" s="14" t="e">
        <f t="shared" si="88"/>
        <v>#DIV/0!</v>
      </c>
      <c r="J106" s="14" t="e">
        <f t="shared" si="88"/>
        <v>#DIV/0!</v>
      </c>
      <c r="K106" s="14" t="e">
        <f t="shared" si="88"/>
        <v>#DIV/0!</v>
      </c>
      <c r="L106" s="14" t="e">
        <f t="shared" si="88"/>
        <v>#DIV/0!</v>
      </c>
      <c r="M106" s="14" t="e">
        <f t="shared" si="88"/>
        <v>#DIV/0!</v>
      </c>
      <c r="N106" s="14" t="e">
        <f t="shared" si="88"/>
        <v>#DIV/0!</v>
      </c>
      <c r="O106" s="14" t="e">
        <f t="shared" si="88"/>
        <v>#DIV/0!</v>
      </c>
      <c r="P106" s="14" t="e">
        <f t="shared" si="88"/>
        <v>#DIV/0!</v>
      </c>
      <c r="Q106" s="14" t="e">
        <f t="shared" si="88"/>
        <v>#DIV/0!</v>
      </c>
      <c r="R106" s="14" t="e">
        <f t="shared" si="88"/>
        <v>#DIV/0!</v>
      </c>
      <c r="S106" s="14" t="e">
        <f t="shared" si="88"/>
        <v>#DIV/0!</v>
      </c>
      <c r="T106" s="14" t="e">
        <f t="shared" si="88"/>
        <v>#DIV/0!</v>
      </c>
      <c r="U106" s="14" t="e">
        <f t="shared" si="88"/>
        <v>#DIV/0!</v>
      </c>
      <c r="V106" s="14" t="e">
        <f t="shared" si="88"/>
        <v>#DIV/0!</v>
      </c>
      <c r="W106" s="14" t="e">
        <f t="shared" si="88"/>
        <v>#DIV/0!</v>
      </c>
      <c r="X106" s="14" t="e">
        <f t="shared" si="88"/>
        <v>#DIV/0!</v>
      </c>
      <c r="Y106" s="14" t="e">
        <f t="shared" si="88"/>
        <v>#DIV/0!</v>
      </c>
      <c r="Z106" s="14" t="e">
        <f t="shared" si="88"/>
        <v>#DIV/0!</v>
      </c>
      <c r="AA106" s="14" t="e">
        <f t="shared" si="88"/>
        <v>#DIV/0!</v>
      </c>
      <c r="AB106" s="14" t="e">
        <f t="shared" si="88"/>
        <v>#DIV/0!</v>
      </c>
      <c r="AC106" s="14" t="e">
        <f t="shared" si="88"/>
        <v>#DIV/0!</v>
      </c>
      <c r="AD106" s="14" t="e">
        <f t="shared" si="88"/>
        <v>#DIV/0!</v>
      </c>
      <c r="AE106" s="14" t="e">
        <f t="shared" si="88"/>
        <v>#DIV/0!</v>
      </c>
      <c r="AF106" s="14" t="e">
        <f t="shared" si="88"/>
        <v>#DIV/0!</v>
      </c>
      <c r="AG106" s="14" t="e">
        <f t="shared" si="88"/>
        <v>#DIV/0!</v>
      </c>
      <c r="AH106" s="14" t="e">
        <f t="shared" si="88"/>
        <v>#DIV/0!</v>
      </c>
      <c r="AI106" s="14" t="e">
        <f t="shared" si="88"/>
        <v>#DIV/0!</v>
      </c>
      <c r="AJ106" s="14" t="e">
        <f t="shared" si="88"/>
        <v>#DIV/0!</v>
      </c>
      <c r="AK106" s="14" t="e">
        <f t="shared" si="88"/>
        <v>#DIV/0!</v>
      </c>
      <c r="AL106" s="14" t="e">
        <f t="shared" si="88"/>
        <v>#DIV/0!</v>
      </c>
      <c r="AM106" s="14" t="e">
        <f t="shared" si="88"/>
        <v>#DIV/0!</v>
      </c>
      <c r="AN106" s="14" t="e">
        <f t="shared" si="88"/>
        <v>#DIV/0!</v>
      </c>
      <c r="AO106" s="14" t="e">
        <f t="shared" si="88"/>
        <v>#DIV/0!</v>
      </c>
      <c r="AP106" s="14" t="e">
        <f t="shared" si="88"/>
        <v>#DIV/0!</v>
      </c>
      <c r="AQ106" s="14" t="e">
        <f t="shared" si="88"/>
        <v>#DIV/0!</v>
      </c>
      <c r="AR106" s="14" t="e">
        <f t="shared" si="88"/>
        <v>#DIV/0!</v>
      </c>
      <c r="AS106" s="14" t="e">
        <f t="shared" si="88"/>
        <v>#DIV/0!</v>
      </c>
      <c r="AT106" s="14" t="e">
        <f t="shared" si="88"/>
        <v>#DIV/0!</v>
      </c>
      <c r="AU106" s="14" t="e">
        <f t="shared" si="88"/>
        <v>#DIV/0!</v>
      </c>
      <c r="AV106" s="14" t="e">
        <f t="shared" si="88"/>
        <v>#DIV/0!</v>
      </c>
      <c r="AW106" s="14" t="e">
        <f t="shared" si="88"/>
        <v>#DIV/0!</v>
      </c>
      <c r="AX106" s="14" t="e">
        <f t="shared" si="88"/>
        <v>#DIV/0!</v>
      </c>
      <c r="AY106" s="14" t="e">
        <f t="shared" si="88"/>
        <v>#DIV/0!</v>
      </c>
      <c r="AZ106" s="14" t="e">
        <f t="shared" si="88"/>
        <v>#DIV/0!</v>
      </c>
      <c r="BA106" s="14" t="e">
        <f t="shared" si="88"/>
        <v>#DIV/0!</v>
      </c>
      <c r="BB106" s="14" t="e">
        <f t="shared" si="88"/>
        <v>#DIV/0!</v>
      </c>
      <c r="BC106" s="14" t="e">
        <f t="shared" si="88"/>
        <v>#DIV/0!</v>
      </c>
      <c r="BD106" s="14" t="e">
        <f t="shared" si="88"/>
        <v>#DIV/0!</v>
      </c>
      <c r="BE106" s="14" t="e">
        <f t="shared" si="88"/>
        <v>#DIV/0!</v>
      </c>
      <c r="BF106" s="14" t="e">
        <f t="shared" si="88"/>
        <v>#DIV/0!</v>
      </c>
      <c r="BG106" s="14" t="e">
        <f t="shared" si="88"/>
        <v>#DIV/0!</v>
      </c>
      <c r="BH106" s="14" t="e">
        <f t="shared" si="88"/>
        <v>#DIV/0!</v>
      </c>
      <c r="BI106" s="14" t="e">
        <f t="shared" si="88"/>
        <v>#DIV/0!</v>
      </c>
      <c r="BJ106" s="14" t="e">
        <f t="shared" si="88"/>
        <v>#DIV/0!</v>
      </c>
      <c r="BK106" s="14" t="e">
        <f t="shared" si="88"/>
        <v>#DIV/0!</v>
      </c>
      <c r="BL106" s="14" t="e">
        <f t="shared" si="88"/>
        <v>#DIV/0!</v>
      </c>
      <c r="BM106" s="14" t="e">
        <f t="shared" si="88"/>
        <v>#DIV/0!</v>
      </c>
      <c r="BN106" s="14" t="e">
        <f t="shared" si="88"/>
        <v>#DIV/0!</v>
      </c>
      <c r="BO106" s="14" t="e">
        <f t="shared" si="88"/>
        <v>#DIV/0!</v>
      </c>
      <c r="BP106" s="14" t="e">
        <f t="shared" si="88"/>
        <v>#DIV/0!</v>
      </c>
      <c r="BQ106" s="14" t="e">
        <f t="shared" si="88"/>
        <v>#DIV/0!</v>
      </c>
      <c r="BR106" s="14" t="e">
        <f t="shared" si="88"/>
        <v>#DIV/0!</v>
      </c>
      <c r="BS106" s="98"/>
    </row>
    <row r="107" spans="1:87" ht="21" hidden="1" customHeight="1" outlineLevel="1" thickBot="1" x14ac:dyDescent="0.4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 t="e">
        <f t="shared" ref="F107" si="89">F31*$C$78</f>
        <v>#DIV/0!</v>
      </c>
      <c r="G107" s="14" t="e">
        <f t="shared" ref="G107:BR107" si="90">G31*$C$78</f>
        <v>#DIV/0!</v>
      </c>
      <c r="H107" s="14" t="e">
        <f t="shared" si="90"/>
        <v>#DIV/0!</v>
      </c>
      <c r="I107" s="14" t="e">
        <f t="shared" si="90"/>
        <v>#DIV/0!</v>
      </c>
      <c r="J107" s="14" t="e">
        <f t="shared" si="90"/>
        <v>#DIV/0!</v>
      </c>
      <c r="K107" s="14" t="e">
        <f t="shared" si="90"/>
        <v>#DIV/0!</v>
      </c>
      <c r="L107" s="14" t="e">
        <f t="shared" si="90"/>
        <v>#DIV/0!</v>
      </c>
      <c r="M107" s="14" t="e">
        <f t="shared" si="90"/>
        <v>#DIV/0!</v>
      </c>
      <c r="N107" s="14" t="e">
        <f t="shared" si="90"/>
        <v>#DIV/0!</v>
      </c>
      <c r="O107" s="14" t="e">
        <f t="shared" si="90"/>
        <v>#DIV/0!</v>
      </c>
      <c r="P107" s="14" t="e">
        <f t="shared" si="90"/>
        <v>#DIV/0!</v>
      </c>
      <c r="Q107" s="14" t="e">
        <f t="shared" si="90"/>
        <v>#DIV/0!</v>
      </c>
      <c r="R107" s="14" t="e">
        <f t="shared" si="90"/>
        <v>#DIV/0!</v>
      </c>
      <c r="S107" s="14" t="e">
        <f t="shared" si="90"/>
        <v>#DIV/0!</v>
      </c>
      <c r="T107" s="14" t="e">
        <f t="shared" si="90"/>
        <v>#DIV/0!</v>
      </c>
      <c r="U107" s="14" t="e">
        <f t="shared" si="90"/>
        <v>#DIV/0!</v>
      </c>
      <c r="V107" s="14" t="e">
        <f t="shared" si="90"/>
        <v>#DIV/0!</v>
      </c>
      <c r="W107" s="14" t="e">
        <f t="shared" si="90"/>
        <v>#DIV/0!</v>
      </c>
      <c r="X107" s="14" t="e">
        <f t="shared" si="90"/>
        <v>#DIV/0!</v>
      </c>
      <c r="Y107" s="14" t="e">
        <f t="shared" si="90"/>
        <v>#DIV/0!</v>
      </c>
      <c r="Z107" s="14" t="e">
        <f t="shared" si="90"/>
        <v>#DIV/0!</v>
      </c>
      <c r="AA107" s="14" t="e">
        <f t="shared" si="90"/>
        <v>#DIV/0!</v>
      </c>
      <c r="AB107" s="14" t="e">
        <f t="shared" si="90"/>
        <v>#DIV/0!</v>
      </c>
      <c r="AC107" s="14" t="e">
        <f t="shared" si="90"/>
        <v>#DIV/0!</v>
      </c>
      <c r="AD107" s="14" t="e">
        <f t="shared" si="90"/>
        <v>#DIV/0!</v>
      </c>
      <c r="AE107" s="14" t="e">
        <f t="shared" si="90"/>
        <v>#DIV/0!</v>
      </c>
      <c r="AF107" s="14" t="e">
        <f t="shared" si="90"/>
        <v>#DIV/0!</v>
      </c>
      <c r="AG107" s="14" t="e">
        <f t="shared" si="90"/>
        <v>#DIV/0!</v>
      </c>
      <c r="AH107" s="14" t="e">
        <f t="shared" si="90"/>
        <v>#DIV/0!</v>
      </c>
      <c r="AI107" s="14" t="e">
        <f t="shared" si="90"/>
        <v>#DIV/0!</v>
      </c>
      <c r="AJ107" s="14" t="e">
        <f t="shared" si="90"/>
        <v>#DIV/0!</v>
      </c>
      <c r="AK107" s="14" t="e">
        <f t="shared" si="90"/>
        <v>#DIV/0!</v>
      </c>
      <c r="AL107" s="14" t="e">
        <f t="shared" si="90"/>
        <v>#DIV/0!</v>
      </c>
      <c r="AM107" s="14" t="e">
        <f t="shared" si="90"/>
        <v>#DIV/0!</v>
      </c>
      <c r="AN107" s="14" t="e">
        <f t="shared" si="90"/>
        <v>#DIV/0!</v>
      </c>
      <c r="AO107" s="14" t="e">
        <f t="shared" si="90"/>
        <v>#DIV/0!</v>
      </c>
      <c r="AP107" s="14" t="e">
        <f t="shared" si="90"/>
        <v>#DIV/0!</v>
      </c>
      <c r="AQ107" s="14" t="e">
        <f t="shared" si="90"/>
        <v>#DIV/0!</v>
      </c>
      <c r="AR107" s="14" t="e">
        <f t="shared" si="90"/>
        <v>#DIV/0!</v>
      </c>
      <c r="AS107" s="14" t="e">
        <f t="shared" si="90"/>
        <v>#DIV/0!</v>
      </c>
      <c r="AT107" s="14" t="e">
        <f t="shared" si="90"/>
        <v>#DIV/0!</v>
      </c>
      <c r="AU107" s="14" t="e">
        <f t="shared" si="90"/>
        <v>#DIV/0!</v>
      </c>
      <c r="AV107" s="14" t="e">
        <f t="shared" si="90"/>
        <v>#DIV/0!</v>
      </c>
      <c r="AW107" s="14" t="e">
        <f t="shared" si="90"/>
        <v>#DIV/0!</v>
      </c>
      <c r="AX107" s="14" t="e">
        <f t="shared" si="90"/>
        <v>#DIV/0!</v>
      </c>
      <c r="AY107" s="14" t="e">
        <f t="shared" si="90"/>
        <v>#DIV/0!</v>
      </c>
      <c r="AZ107" s="14" t="e">
        <f t="shared" si="90"/>
        <v>#DIV/0!</v>
      </c>
      <c r="BA107" s="14" t="e">
        <f t="shared" si="90"/>
        <v>#DIV/0!</v>
      </c>
      <c r="BB107" s="14" t="e">
        <f t="shared" si="90"/>
        <v>#DIV/0!</v>
      </c>
      <c r="BC107" s="14" t="e">
        <f t="shared" si="90"/>
        <v>#DIV/0!</v>
      </c>
      <c r="BD107" s="14" t="e">
        <f t="shared" si="90"/>
        <v>#DIV/0!</v>
      </c>
      <c r="BE107" s="14" t="e">
        <f t="shared" si="90"/>
        <v>#DIV/0!</v>
      </c>
      <c r="BF107" s="14" t="e">
        <f t="shared" si="90"/>
        <v>#DIV/0!</v>
      </c>
      <c r="BG107" s="14" t="e">
        <f t="shared" si="90"/>
        <v>#DIV/0!</v>
      </c>
      <c r="BH107" s="14" t="e">
        <f t="shared" si="90"/>
        <v>#DIV/0!</v>
      </c>
      <c r="BI107" s="14" t="e">
        <f t="shared" si="90"/>
        <v>#DIV/0!</v>
      </c>
      <c r="BJ107" s="14" t="e">
        <f t="shared" si="90"/>
        <v>#DIV/0!</v>
      </c>
      <c r="BK107" s="14" t="e">
        <f t="shared" si="90"/>
        <v>#DIV/0!</v>
      </c>
      <c r="BL107" s="14" t="e">
        <f t="shared" si="90"/>
        <v>#DIV/0!</v>
      </c>
      <c r="BM107" s="14" t="e">
        <f t="shared" si="90"/>
        <v>#DIV/0!</v>
      </c>
      <c r="BN107" s="14" t="e">
        <f t="shared" si="90"/>
        <v>#DIV/0!</v>
      </c>
      <c r="BO107" s="14" t="e">
        <f t="shared" si="90"/>
        <v>#DIV/0!</v>
      </c>
      <c r="BP107" s="14" t="e">
        <f t="shared" si="90"/>
        <v>#DIV/0!</v>
      </c>
      <c r="BQ107" s="14" t="e">
        <f t="shared" si="90"/>
        <v>#DIV/0!</v>
      </c>
      <c r="BR107" s="14" t="e">
        <f t="shared" si="90"/>
        <v>#DIV/0!</v>
      </c>
      <c r="BS107" s="98"/>
    </row>
    <row r="108" spans="1:87" ht="21" hidden="1" customHeight="1" outlineLevel="1" thickBot="1" x14ac:dyDescent="0.4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 t="e">
        <f t="shared" ref="F108" si="91">F32*$C$78</f>
        <v>#DIV/0!</v>
      </c>
      <c r="G108" s="14" t="e">
        <f t="shared" ref="G108:BR108" si="92">G32*$C$78</f>
        <v>#DIV/0!</v>
      </c>
      <c r="H108" s="14" t="e">
        <f t="shared" si="92"/>
        <v>#DIV/0!</v>
      </c>
      <c r="I108" s="14" t="e">
        <f t="shared" si="92"/>
        <v>#DIV/0!</v>
      </c>
      <c r="J108" s="14" t="e">
        <f t="shared" si="92"/>
        <v>#DIV/0!</v>
      </c>
      <c r="K108" s="14" t="e">
        <f t="shared" si="92"/>
        <v>#DIV/0!</v>
      </c>
      <c r="L108" s="14" t="e">
        <f t="shared" si="92"/>
        <v>#DIV/0!</v>
      </c>
      <c r="M108" s="14" t="e">
        <f t="shared" si="92"/>
        <v>#DIV/0!</v>
      </c>
      <c r="N108" s="14" t="e">
        <f t="shared" si="92"/>
        <v>#DIV/0!</v>
      </c>
      <c r="O108" s="14" t="e">
        <f t="shared" si="92"/>
        <v>#DIV/0!</v>
      </c>
      <c r="P108" s="14" t="e">
        <f t="shared" si="92"/>
        <v>#DIV/0!</v>
      </c>
      <c r="Q108" s="14" t="e">
        <f t="shared" si="92"/>
        <v>#DIV/0!</v>
      </c>
      <c r="R108" s="14" t="e">
        <f t="shared" si="92"/>
        <v>#DIV/0!</v>
      </c>
      <c r="S108" s="14" t="e">
        <f t="shared" si="92"/>
        <v>#DIV/0!</v>
      </c>
      <c r="T108" s="14" t="e">
        <f t="shared" si="92"/>
        <v>#DIV/0!</v>
      </c>
      <c r="U108" s="14" t="e">
        <f t="shared" si="92"/>
        <v>#DIV/0!</v>
      </c>
      <c r="V108" s="14" t="e">
        <f t="shared" si="92"/>
        <v>#DIV/0!</v>
      </c>
      <c r="W108" s="14" t="e">
        <f t="shared" si="92"/>
        <v>#DIV/0!</v>
      </c>
      <c r="X108" s="14" t="e">
        <f t="shared" si="92"/>
        <v>#DIV/0!</v>
      </c>
      <c r="Y108" s="14" t="e">
        <f t="shared" si="92"/>
        <v>#DIV/0!</v>
      </c>
      <c r="Z108" s="14" t="e">
        <f t="shared" si="92"/>
        <v>#DIV/0!</v>
      </c>
      <c r="AA108" s="14" t="e">
        <f t="shared" si="92"/>
        <v>#DIV/0!</v>
      </c>
      <c r="AB108" s="14" t="e">
        <f t="shared" si="92"/>
        <v>#DIV/0!</v>
      </c>
      <c r="AC108" s="14" t="e">
        <f t="shared" si="92"/>
        <v>#DIV/0!</v>
      </c>
      <c r="AD108" s="14" t="e">
        <f t="shared" si="92"/>
        <v>#DIV/0!</v>
      </c>
      <c r="AE108" s="14" t="e">
        <f t="shared" si="92"/>
        <v>#DIV/0!</v>
      </c>
      <c r="AF108" s="14" t="e">
        <f t="shared" si="92"/>
        <v>#DIV/0!</v>
      </c>
      <c r="AG108" s="14" t="e">
        <f t="shared" si="92"/>
        <v>#DIV/0!</v>
      </c>
      <c r="AH108" s="14" t="e">
        <f t="shared" si="92"/>
        <v>#DIV/0!</v>
      </c>
      <c r="AI108" s="14" t="e">
        <f t="shared" si="92"/>
        <v>#DIV/0!</v>
      </c>
      <c r="AJ108" s="14" t="e">
        <f t="shared" si="92"/>
        <v>#DIV/0!</v>
      </c>
      <c r="AK108" s="14" t="e">
        <f t="shared" si="92"/>
        <v>#DIV/0!</v>
      </c>
      <c r="AL108" s="14" t="e">
        <f t="shared" si="92"/>
        <v>#DIV/0!</v>
      </c>
      <c r="AM108" s="14" t="e">
        <f t="shared" si="92"/>
        <v>#DIV/0!</v>
      </c>
      <c r="AN108" s="14" t="e">
        <f t="shared" si="92"/>
        <v>#DIV/0!</v>
      </c>
      <c r="AO108" s="14" t="e">
        <f t="shared" si="92"/>
        <v>#DIV/0!</v>
      </c>
      <c r="AP108" s="14" t="e">
        <f t="shared" si="92"/>
        <v>#DIV/0!</v>
      </c>
      <c r="AQ108" s="14" t="e">
        <f t="shared" si="92"/>
        <v>#DIV/0!</v>
      </c>
      <c r="AR108" s="14" t="e">
        <f t="shared" si="92"/>
        <v>#DIV/0!</v>
      </c>
      <c r="AS108" s="14" t="e">
        <f t="shared" si="92"/>
        <v>#DIV/0!</v>
      </c>
      <c r="AT108" s="14" t="e">
        <f t="shared" si="92"/>
        <v>#DIV/0!</v>
      </c>
      <c r="AU108" s="14" t="e">
        <f t="shared" si="92"/>
        <v>#DIV/0!</v>
      </c>
      <c r="AV108" s="14" t="e">
        <f t="shared" si="92"/>
        <v>#DIV/0!</v>
      </c>
      <c r="AW108" s="14" t="e">
        <f t="shared" si="92"/>
        <v>#DIV/0!</v>
      </c>
      <c r="AX108" s="14" t="e">
        <f t="shared" si="92"/>
        <v>#DIV/0!</v>
      </c>
      <c r="AY108" s="14" t="e">
        <f t="shared" si="92"/>
        <v>#DIV/0!</v>
      </c>
      <c r="AZ108" s="14" t="e">
        <f t="shared" si="92"/>
        <v>#DIV/0!</v>
      </c>
      <c r="BA108" s="14" t="e">
        <f t="shared" si="92"/>
        <v>#DIV/0!</v>
      </c>
      <c r="BB108" s="14" t="e">
        <f t="shared" si="92"/>
        <v>#DIV/0!</v>
      </c>
      <c r="BC108" s="14" t="e">
        <f t="shared" si="92"/>
        <v>#DIV/0!</v>
      </c>
      <c r="BD108" s="14" t="e">
        <f t="shared" si="92"/>
        <v>#DIV/0!</v>
      </c>
      <c r="BE108" s="14" t="e">
        <f t="shared" si="92"/>
        <v>#DIV/0!</v>
      </c>
      <c r="BF108" s="14" t="e">
        <f t="shared" si="92"/>
        <v>#DIV/0!</v>
      </c>
      <c r="BG108" s="14" t="e">
        <f t="shared" si="92"/>
        <v>#DIV/0!</v>
      </c>
      <c r="BH108" s="14" t="e">
        <f t="shared" si="92"/>
        <v>#DIV/0!</v>
      </c>
      <c r="BI108" s="14" t="e">
        <f t="shared" si="92"/>
        <v>#DIV/0!</v>
      </c>
      <c r="BJ108" s="14" t="e">
        <f t="shared" si="92"/>
        <v>#DIV/0!</v>
      </c>
      <c r="BK108" s="14" t="e">
        <f t="shared" si="92"/>
        <v>#DIV/0!</v>
      </c>
      <c r="BL108" s="14" t="e">
        <f t="shared" si="92"/>
        <v>#DIV/0!</v>
      </c>
      <c r="BM108" s="14" t="e">
        <f t="shared" si="92"/>
        <v>#DIV/0!</v>
      </c>
      <c r="BN108" s="14" t="e">
        <f t="shared" si="92"/>
        <v>#DIV/0!</v>
      </c>
      <c r="BO108" s="14" t="e">
        <f t="shared" si="92"/>
        <v>#DIV/0!</v>
      </c>
      <c r="BP108" s="14" t="e">
        <f t="shared" si="92"/>
        <v>#DIV/0!</v>
      </c>
      <c r="BQ108" s="14" t="e">
        <f t="shared" si="92"/>
        <v>#DIV/0!</v>
      </c>
      <c r="BR108" s="14" t="e">
        <f t="shared" si="92"/>
        <v>#DIV/0!</v>
      </c>
      <c r="BS108" s="98"/>
    </row>
    <row r="109" spans="1:87" ht="21" hidden="1" customHeight="1" outlineLevel="1" thickTop="1" thickBot="1" x14ac:dyDescent="0.4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8"/>
    </row>
    <row r="110" spans="1:87" ht="21" hidden="1" customHeight="1" outlineLevel="1" thickTop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39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10"/>
      <c r="B113" s="110"/>
      <c r="C113" s="21" t="s">
        <v>10</v>
      </c>
      <c r="D113" s="15" t="s">
        <v>11</v>
      </c>
      <c r="E113" s="15"/>
      <c r="F113" s="4">
        <f t="shared" ref="F113:AL113" si="93">F3</f>
        <v>0</v>
      </c>
      <c r="G113" s="4">
        <f t="shared" si="93"/>
        <v>0</v>
      </c>
      <c r="H113" s="4">
        <f t="shared" si="93"/>
        <v>0</v>
      </c>
      <c r="I113" s="4">
        <f t="shared" si="93"/>
        <v>0</v>
      </c>
      <c r="J113" s="4">
        <f t="shared" si="93"/>
        <v>0</v>
      </c>
      <c r="K113" s="4">
        <f t="shared" si="93"/>
        <v>0</v>
      </c>
      <c r="L113" s="4">
        <f t="shared" si="93"/>
        <v>0</v>
      </c>
      <c r="M113" s="4">
        <f t="shared" si="93"/>
        <v>0</v>
      </c>
      <c r="N113" s="4">
        <f t="shared" si="93"/>
        <v>0</v>
      </c>
      <c r="O113" s="4">
        <f t="shared" si="93"/>
        <v>0</v>
      </c>
      <c r="P113" s="4">
        <f t="shared" si="93"/>
        <v>0</v>
      </c>
      <c r="Q113" s="4">
        <f t="shared" si="93"/>
        <v>0</v>
      </c>
      <c r="R113" s="4">
        <f t="shared" si="93"/>
        <v>0</v>
      </c>
      <c r="S113" s="4">
        <f t="shared" si="93"/>
        <v>0</v>
      </c>
      <c r="T113" s="4">
        <f t="shared" si="93"/>
        <v>0</v>
      </c>
      <c r="U113" s="4">
        <f t="shared" si="93"/>
        <v>0</v>
      </c>
      <c r="V113" s="4">
        <f t="shared" si="93"/>
        <v>0</v>
      </c>
      <c r="W113" s="4">
        <f t="shared" si="93"/>
        <v>0</v>
      </c>
      <c r="X113" s="4">
        <f t="shared" si="93"/>
        <v>0</v>
      </c>
      <c r="Y113" s="4">
        <f t="shared" si="93"/>
        <v>0</v>
      </c>
      <c r="Z113" s="4">
        <f t="shared" si="93"/>
        <v>0</v>
      </c>
      <c r="AA113" s="4">
        <f t="shared" si="93"/>
        <v>0</v>
      </c>
      <c r="AB113" s="4">
        <f t="shared" si="93"/>
        <v>0</v>
      </c>
      <c r="AC113" s="4">
        <f t="shared" si="93"/>
        <v>0</v>
      </c>
      <c r="AD113" s="4">
        <f t="shared" si="93"/>
        <v>0</v>
      </c>
      <c r="AE113" s="4">
        <f t="shared" si="93"/>
        <v>0</v>
      </c>
      <c r="AF113" s="4">
        <f t="shared" si="93"/>
        <v>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8"/>
    </row>
    <row r="114" spans="1:71" ht="21" hidden="1" customHeight="1" outlineLevel="1" thickTop="1" thickBot="1" x14ac:dyDescent="0.4">
      <c r="A114" s="47"/>
      <c r="B114" s="47"/>
      <c r="C114" s="22">
        <f>COUNTA(E114:E121)+1</f>
        <v>7</v>
      </c>
      <c r="E114" s="17" t="s">
        <v>33</v>
      </c>
      <c r="F114" s="46" t="e">
        <f t="shared" ref="F114:BQ114" si="95">F$113*$B$2*SUMPRODUCT(F$85:F$94,F$51:F$60)/1000</f>
        <v>#DIV/0!</v>
      </c>
      <c r="G114" s="46" t="e">
        <f t="shared" si="95"/>
        <v>#DIV/0!</v>
      </c>
      <c r="H114" s="46" t="e">
        <f t="shared" si="95"/>
        <v>#DIV/0!</v>
      </c>
      <c r="I114" s="46" t="e">
        <f t="shared" si="95"/>
        <v>#DIV/0!</v>
      </c>
      <c r="J114" s="46" t="e">
        <f t="shared" si="95"/>
        <v>#DIV/0!</v>
      </c>
      <c r="K114" s="46" t="e">
        <f t="shared" si="95"/>
        <v>#DIV/0!</v>
      </c>
      <c r="L114" s="46" t="e">
        <f t="shared" si="95"/>
        <v>#DIV/0!</v>
      </c>
      <c r="M114" s="46" t="e">
        <f t="shared" si="95"/>
        <v>#DIV/0!</v>
      </c>
      <c r="N114" s="46" t="e">
        <f t="shared" si="95"/>
        <v>#DIV/0!</v>
      </c>
      <c r="O114" s="46" t="e">
        <f t="shared" si="95"/>
        <v>#DIV/0!</v>
      </c>
      <c r="P114" s="46" t="e">
        <f t="shared" si="95"/>
        <v>#DIV/0!</v>
      </c>
      <c r="Q114" s="46" t="e">
        <f t="shared" si="95"/>
        <v>#DIV/0!</v>
      </c>
      <c r="R114" s="46" t="e">
        <f t="shared" si="95"/>
        <v>#DIV/0!</v>
      </c>
      <c r="S114" s="46" t="e">
        <f t="shared" si="95"/>
        <v>#DIV/0!</v>
      </c>
      <c r="T114" s="46" t="e">
        <f t="shared" si="95"/>
        <v>#DIV/0!</v>
      </c>
      <c r="U114" s="46" t="e">
        <f t="shared" si="95"/>
        <v>#DIV/0!</v>
      </c>
      <c r="V114" s="46" t="e">
        <f t="shared" si="95"/>
        <v>#DIV/0!</v>
      </c>
      <c r="W114" s="46" t="e">
        <f t="shared" si="95"/>
        <v>#DIV/0!</v>
      </c>
      <c r="X114" s="46" t="e">
        <f t="shared" si="95"/>
        <v>#DIV/0!</v>
      </c>
      <c r="Y114" s="46" t="e">
        <f t="shared" si="95"/>
        <v>#DIV/0!</v>
      </c>
      <c r="Z114" s="46" t="e">
        <f t="shared" si="95"/>
        <v>#DIV/0!</v>
      </c>
      <c r="AA114" s="46" t="e">
        <f t="shared" si="95"/>
        <v>#DIV/0!</v>
      </c>
      <c r="AB114" s="46" t="e">
        <f t="shared" si="95"/>
        <v>#DIV/0!</v>
      </c>
      <c r="AC114" s="46" t="e">
        <f t="shared" si="95"/>
        <v>#DIV/0!</v>
      </c>
      <c r="AD114" s="46" t="e">
        <f t="shared" si="95"/>
        <v>#DIV/0!</v>
      </c>
      <c r="AE114" s="46" t="e">
        <f t="shared" si="95"/>
        <v>#DIV/0!</v>
      </c>
      <c r="AF114" s="46" t="e">
        <f t="shared" si="95"/>
        <v>#DIV/0!</v>
      </c>
      <c r="AG114" s="46" t="e">
        <f t="shared" si="95"/>
        <v>#DIV/0!</v>
      </c>
      <c r="AH114" s="46" t="e">
        <f t="shared" si="95"/>
        <v>#DIV/0!</v>
      </c>
      <c r="AI114" s="46" t="e">
        <f t="shared" si="95"/>
        <v>#DIV/0!</v>
      </c>
      <c r="AJ114" s="46" t="e">
        <f t="shared" si="95"/>
        <v>#DIV/0!</v>
      </c>
      <c r="AK114" s="46" t="e">
        <f t="shared" si="95"/>
        <v>#DIV/0!</v>
      </c>
      <c r="AL114" s="46" t="e">
        <f t="shared" si="95"/>
        <v>#DIV/0!</v>
      </c>
      <c r="AM114" s="46" t="e">
        <f t="shared" si="95"/>
        <v>#DIV/0!</v>
      </c>
      <c r="AN114" s="46" t="e">
        <f t="shared" si="95"/>
        <v>#DIV/0!</v>
      </c>
      <c r="AO114" s="46" t="e">
        <f t="shared" si="95"/>
        <v>#DIV/0!</v>
      </c>
      <c r="AP114" s="46" t="e">
        <f t="shared" si="95"/>
        <v>#DIV/0!</v>
      </c>
      <c r="AQ114" s="46" t="e">
        <f t="shared" si="95"/>
        <v>#DIV/0!</v>
      </c>
      <c r="AR114" s="46" t="e">
        <f t="shared" si="95"/>
        <v>#DIV/0!</v>
      </c>
      <c r="AS114" s="46" t="e">
        <f t="shared" si="95"/>
        <v>#DIV/0!</v>
      </c>
      <c r="AT114" s="46" t="e">
        <f t="shared" si="95"/>
        <v>#DIV/0!</v>
      </c>
      <c r="AU114" s="46" t="e">
        <f t="shared" si="95"/>
        <v>#DIV/0!</v>
      </c>
      <c r="AV114" s="46" t="e">
        <f t="shared" si="95"/>
        <v>#DIV/0!</v>
      </c>
      <c r="AW114" s="46" t="e">
        <f t="shared" si="95"/>
        <v>#DIV/0!</v>
      </c>
      <c r="AX114" s="46" t="e">
        <f t="shared" si="95"/>
        <v>#DIV/0!</v>
      </c>
      <c r="AY114" s="46" t="e">
        <f t="shared" si="95"/>
        <v>#DIV/0!</v>
      </c>
      <c r="AZ114" s="46" t="e">
        <f t="shared" si="95"/>
        <v>#DIV/0!</v>
      </c>
      <c r="BA114" s="46" t="e">
        <f t="shared" si="95"/>
        <v>#DIV/0!</v>
      </c>
      <c r="BB114" s="46" t="e">
        <f t="shared" si="95"/>
        <v>#DIV/0!</v>
      </c>
      <c r="BC114" s="46" t="e">
        <f t="shared" si="95"/>
        <v>#DIV/0!</v>
      </c>
      <c r="BD114" s="46" t="e">
        <f t="shared" si="95"/>
        <v>#DIV/0!</v>
      </c>
      <c r="BE114" s="46" t="e">
        <f t="shared" si="95"/>
        <v>#DIV/0!</v>
      </c>
      <c r="BF114" s="46" t="e">
        <f t="shared" si="95"/>
        <v>#DIV/0!</v>
      </c>
      <c r="BG114" s="46" t="e">
        <f t="shared" si="95"/>
        <v>#DIV/0!</v>
      </c>
      <c r="BH114" s="46" t="e">
        <f t="shared" si="95"/>
        <v>#DIV/0!</v>
      </c>
      <c r="BI114" s="46" t="e">
        <f t="shared" si="95"/>
        <v>#DIV/0!</v>
      </c>
      <c r="BJ114" s="46" t="e">
        <f t="shared" si="95"/>
        <v>#DIV/0!</v>
      </c>
      <c r="BK114" s="46" t="e">
        <f t="shared" si="95"/>
        <v>#DIV/0!</v>
      </c>
      <c r="BL114" s="46" t="e">
        <f t="shared" si="95"/>
        <v>#DIV/0!</v>
      </c>
      <c r="BM114" s="46" t="e">
        <f t="shared" si="95"/>
        <v>#DIV/0!</v>
      </c>
      <c r="BN114" s="46" t="e">
        <f t="shared" si="95"/>
        <v>#DIV/0!</v>
      </c>
      <c r="BO114" s="46" t="e">
        <f t="shared" si="95"/>
        <v>#DIV/0!</v>
      </c>
      <c r="BP114" s="46" t="e">
        <f t="shared" si="95"/>
        <v>#DIV/0!</v>
      </c>
      <c r="BQ114" s="46" t="e">
        <f t="shared" si="95"/>
        <v>#DIV/0!</v>
      </c>
      <c r="BR114" s="46" t="e">
        <f t="shared" ref="BR114" si="96">BR$113*$B$2*SUMPRODUCT(BR$85:BR$94,BR$51:BR$60)/1000</f>
        <v>#DIV/0!</v>
      </c>
      <c r="BS114" s="98"/>
    </row>
    <row r="115" spans="1:71" ht="21" hidden="1" customHeight="1" outlineLevel="1" thickBot="1" x14ac:dyDescent="0.4">
      <c r="A115" s="47"/>
      <c r="B115" s="47"/>
      <c r="C115" s="23">
        <f xml:space="preserve"> COUNTIF(F113:AL113,"&lt;&gt;"&amp;0)</f>
        <v>0</v>
      </c>
      <c r="E115" s="17" t="s">
        <v>35</v>
      </c>
      <c r="F115" s="14" t="e">
        <f t="shared" ref="F115:BQ115" si="97">F$113*$B$2*SUMPRODUCT(F$100:F$101,F$65:F$66)/1000</f>
        <v>#DIV/0!</v>
      </c>
      <c r="G115" s="14" t="e">
        <f t="shared" si="97"/>
        <v>#DIV/0!</v>
      </c>
      <c r="H115" s="14" t="e">
        <f t="shared" si="97"/>
        <v>#DIV/0!</v>
      </c>
      <c r="I115" s="14" t="e">
        <f t="shared" si="97"/>
        <v>#DIV/0!</v>
      </c>
      <c r="J115" s="14" t="e">
        <f t="shared" si="97"/>
        <v>#DIV/0!</v>
      </c>
      <c r="K115" s="14" t="e">
        <f t="shared" si="97"/>
        <v>#DIV/0!</v>
      </c>
      <c r="L115" s="14" t="e">
        <f t="shared" si="97"/>
        <v>#DIV/0!</v>
      </c>
      <c r="M115" s="14" t="e">
        <f t="shared" si="97"/>
        <v>#DIV/0!</v>
      </c>
      <c r="N115" s="14" t="e">
        <f t="shared" si="97"/>
        <v>#DIV/0!</v>
      </c>
      <c r="O115" s="14" t="e">
        <f t="shared" si="97"/>
        <v>#DIV/0!</v>
      </c>
      <c r="P115" s="14" t="e">
        <f t="shared" si="97"/>
        <v>#DIV/0!</v>
      </c>
      <c r="Q115" s="14" t="e">
        <f t="shared" si="97"/>
        <v>#DIV/0!</v>
      </c>
      <c r="R115" s="14" t="e">
        <f t="shared" si="97"/>
        <v>#DIV/0!</v>
      </c>
      <c r="S115" s="14" t="e">
        <f t="shared" si="97"/>
        <v>#DIV/0!</v>
      </c>
      <c r="T115" s="14" t="e">
        <f t="shared" si="97"/>
        <v>#DIV/0!</v>
      </c>
      <c r="U115" s="14" t="e">
        <f t="shared" si="97"/>
        <v>#DIV/0!</v>
      </c>
      <c r="V115" s="14" t="e">
        <f t="shared" si="97"/>
        <v>#DIV/0!</v>
      </c>
      <c r="W115" s="14" t="e">
        <f t="shared" si="97"/>
        <v>#DIV/0!</v>
      </c>
      <c r="X115" s="14" t="e">
        <f t="shared" si="97"/>
        <v>#DIV/0!</v>
      </c>
      <c r="Y115" s="14" t="e">
        <f t="shared" si="97"/>
        <v>#DIV/0!</v>
      </c>
      <c r="Z115" s="14" t="e">
        <f t="shared" si="97"/>
        <v>#DIV/0!</v>
      </c>
      <c r="AA115" s="14" t="e">
        <f t="shared" si="97"/>
        <v>#DIV/0!</v>
      </c>
      <c r="AB115" s="14" t="e">
        <f t="shared" si="97"/>
        <v>#DIV/0!</v>
      </c>
      <c r="AC115" s="14" t="e">
        <f t="shared" si="97"/>
        <v>#DIV/0!</v>
      </c>
      <c r="AD115" s="14" t="e">
        <f t="shared" si="97"/>
        <v>#DIV/0!</v>
      </c>
      <c r="AE115" s="14" t="e">
        <f t="shared" si="97"/>
        <v>#DIV/0!</v>
      </c>
      <c r="AF115" s="14" t="e">
        <f t="shared" si="97"/>
        <v>#DIV/0!</v>
      </c>
      <c r="AG115" s="14" t="e">
        <f t="shared" si="97"/>
        <v>#DIV/0!</v>
      </c>
      <c r="AH115" s="14" t="e">
        <f t="shared" si="97"/>
        <v>#DIV/0!</v>
      </c>
      <c r="AI115" s="14" t="e">
        <f t="shared" si="97"/>
        <v>#DIV/0!</v>
      </c>
      <c r="AJ115" s="14" t="e">
        <f t="shared" si="97"/>
        <v>#DIV/0!</v>
      </c>
      <c r="AK115" s="14" t="e">
        <f t="shared" si="97"/>
        <v>#DIV/0!</v>
      </c>
      <c r="AL115" s="14" t="e">
        <f t="shared" si="97"/>
        <v>#DIV/0!</v>
      </c>
      <c r="AM115" s="14" t="e">
        <f t="shared" si="97"/>
        <v>#DIV/0!</v>
      </c>
      <c r="AN115" s="14" t="e">
        <f t="shared" si="97"/>
        <v>#DIV/0!</v>
      </c>
      <c r="AO115" s="14" t="e">
        <f t="shared" si="97"/>
        <v>#DIV/0!</v>
      </c>
      <c r="AP115" s="14" t="e">
        <f t="shared" si="97"/>
        <v>#DIV/0!</v>
      </c>
      <c r="AQ115" s="14" t="e">
        <f t="shared" si="97"/>
        <v>#DIV/0!</v>
      </c>
      <c r="AR115" s="14" t="e">
        <f t="shared" si="97"/>
        <v>#DIV/0!</v>
      </c>
      <c r="AS115" s="14" t="e">
        <f t="shared" si="97"/>
        <v>#DIV/0!</v>
      </c>
      <c r="AT115" s="14" t="e">
        <f t="shared" si="97"/>
        <v>#DIV/0!</v>
      </c>
      <c r="AU115" s="14" t="e">
        <f t="shared" si="97"/>
        <v>#DIV/0!</v>
      </c>
      <c r="AV115" s="14" t="e">
        <f t="shared" si="97"/>
        <v>#DIV/0!</v>
      </c>
      <c r="AW115" s="14" t="e">
        <f t="shared" si="97"/>
        <v>#DIV/0!</v>
      </c>
      <c r="AX115" s="14" t="e">
        <f t="shared" si="97"/>
        <v>#DIV/0!</v>
      </c>
      <c r="AY115" s="14" t="e">
        <f t="shared" si="97"/>
        <v>#DIV/0!</v>
      </c>
      <c r="AZ115" s="14" t="e">
        <f t="shared" si="97"/>
        <v>#DIV/0!</v>
      </c>
      <c r="BA115" s="14" t="e">
        <f t="shared" si="97"/>
        <v>#DIV/0!</v>
      </c>
      <c r="BB115" s="14" t="e">
        <f t="shared" si="97"/>
        <v>#DIV/0!</v>
      </c>
      <c r="BC115" s="14" t="e">
        <f t="shared" si="97"/>
        <v>#DIV/0!</v>
      </c>
      <c r="BD115" s="14" t="e">
        <f t="shared" si="97"/>
        <v>#DIV/0!</v>
      </c>
      <c r="BE115" s="14" t="e">
        <f t="shared" si="97"/>
        <v>#DIV/0!</v>
      </c>
      <c r="BF115" s="14" t="e">
        <f t="shared" si="97"/>
        <v>#DIV/0!</v>
      </c>
      <c r="BG115" s="14" t="e">
        <f t="shared" si="97"/>
        <v>#DIV/0!</v>
      </c>
      <c r="BH115" s="14" t="e">
        <f t="shared" si="97"/>
        <v>#DIV/0!</v>
      </c>
      <c r="BI115" s="14" t="e">
        <f t="shared" si="97"/>
        <v>#DIV/0!</v>
      </c>
      <c r="BJ115" s="14" t="e">
        <f t="shared" si="97"/>
        <v>#DIV/0!</v>
      </c>
      <c r="BK115" s="14" t="e">
        <f t="shared" si="97"/>
        <v>#DIV/0!</v>
      </c>
      <c r="BL115" s="14" t="e">
        <f t="shared" si="97"/>
        <v>#DIV/0!</v>
      </c>
      <c r="BM115" s="14" t="e">
        <f t="shared" si="97"/>
        <v>#DIV/0!</v>
      </c>
      <c r="BN115" s="14" t="e">
        <f t="shared" si="97"/>
        <v>#DIV/0!</v>
      </c>
      <c r="BO115" s="14" t="e">
        <f t="shared" si="97"/>
        <v>#DIV/0!</v>
      </c>
      <c r="BP115" s="14" t="e">
        <f t="shared" si="97"/>
        <v>#DIV/0!</v>
      </c>
      <c r="BQ115" s="14" t="e">
        <f t="shared" si="97"/>
        <v>#DIV/0!</v>
      </c>
      <c r="BR115" s="14" t="e">
        <f t="shared" ref="BR115" si="98">BR$113*$B$2*SUMPRODUCT(BR$100:BR$101,BR$65:BR$66)/1000</f>
        <v>#DIV/0!</v>
      </c>
      <c r="BS115" s="98"/>
    </row>
    <row r="116" spans="1:71" ht="21" hidden="1" customHeight="1" outlineLevel="1" thickBot="1" x14ac:dyDescent="0.4">
      <c r="E116" s="17" t="s">
        <v>13</v>
      </c>
      <c r="F116" s="14" t="e">
        <f t="shared" ref="F116:BQ116" si="99">F$113*$B$2*SUMPRODUCT(F$82:F$83,F$48:F$49)/1000</f>
        <v>#DIV/0!</v>
      </c>
      <c r="G116" s="14" t="e">
        <f t="shared" si="99"/>
        <v>#DIV/0!</v>
      </c>
      <c r="H116" s="14" t="e">
        <f t="shared" si="99"/>
        <v>#DIV/0!</v>
      </c>
      <c r="I116" s="14" t="e">
        <f t="shared" si="99"/>
        <v>#DIV/0!</v>
      </c>
      <c r="J116" s="14" t="e">
        <f t="shared" si="99"/>
        <v>#DIV/0!</v>
      </c>
      <c r="K116" s="14" t="e">
        <f t="shared" si="99"/>
        <v>#DIV/0!</v>
      </c>
      <c r="L116" s="14" t="e">
        <f t="shared" si="99"/>
        <v>#DIV/0!</v>
      </c>
      <c r="M116" s="14" t="e">
        <f t="shared" si="99"/>
        <v>#DIV/0!</v>
      </c>
      <c r="N116" s="14" t="e">
        <f t="shared" si="99"/>
        <v>#DIV/0!</v>
      </c>
      <c r="O116" s="14" t="e">
        <f t="shared" si="99"/>
        <v>#DIV/0!</v>
      </c>
      <c r="P116" s="14" t="e">
        <f t="shared" si="99"/>
        <v>#DIV/0!</v>
      </c>
      <c r="Q116" s="14" t="e">
        <f t="shared" si="99"/>
        <v>#DIV/0!</v>
      </c>
      <c r="R116" s="14" t="e">
        <f t="shared" si="99"/>
        <v>#DIV/0!</v>
      </c>
      <c r="S116" s="14" t="e">
        <f t="shared" si="99"/>
        <v>#DIV/0!</v>
      </c>
      <c r="T116" s="14" t="e">
        <f t="shared" si="99"/>
        <v>#DIV/0!</v>
      </c>
      <c r="U116" s="14" t="e">
        <f t="shared" si="99"/>
        <v>#DIV/0!</v>
      </c>
      <c r="V116" s="14" t="e">
        <f t="shared" si="99"/>
        <v>#DIV/0!</v>
      </c>
      <c r="W116" s="14" t="e">
        <f t="shared" si="99"/>
        <v>#DIV/0!</v>
      </c>
      <c r="X116" s="14" t="e">
        <f t="shared" si="99"/>
        <v>#DIV/0!</v>
      </c>
      <c r="Y116" s="14" t="e">
        <f t="shared" si="99"/>
        <v>#DIV/0!</v>
      </c>
      <c r="Z116" s="14" t="e">
        <f t="shared" si="99"/>
        <v>#DIV/0!</v>
      </c>
      <c r="AA116" s="14" t="e">
        <f t="shared" si="99"/>
        <v>#DIV/0!</v>
      </c>
      <c r="AB116" s="14" t="e">
        <f t="shared" si="99"/>
        <v>#DIV/0!</v>
      </c>
      <c r="AC116" s="14" t="e">
        <f t="shared" si="99"/>
        <v>#DIV/0!</v>
      </c>
      <c r="AD116" s="14" t="e">
        <f t="shared" si="99"/>
        <v>#DIV/0!</v>
      </c>
      <c r="AE116" s="14" t="e">
        <f t="shared" si="99"/>
        <v>#DIV/0!</v>
      </c>
      <c r="AF116" s="14" t="e">
        <f t="shared" si="99"/>
        <v>#DIV/0!</v>
      </c>
      <c r="AG116" s="14" t="e">
        <f t="shared" si="99"/>
        <v>#DIV/0!</v>
      </c>
      <c r="AH116" s="14" t="e">
        <f t="shared" si="99"/>
        <v>#DIV/0!</v>
      </c>
      <c r="AI116" s="14" t="e">
        <f t="shared" si="99"/>
        <v>#DIV/0!</v>
      </c>
      <c r="AJ116" s="14" t="e">
        <f t="shared" si="99"/>
        <v>#DIV/0!</v>
      </c>
      <c r="AK116" s="14" t="e">
        <f t="shared" si="99"/>
        <v>#DIV/0!</v>
      </c>
      <c r="AL116" s="14" t="e">
        <f t="shared" si="99"/>
        <v>#DIV/0!</v>
      </c>
      <c r="AM116" s="14" t="e">
        <f t="shared" si="99"/>
        <v>#DIV/0!</v>
      </c>
      <c r="AN116" s="14" t="e">
        <f t="shared" si="99"/>
        <v>#DIV/0!</v>
      </c>
      <c r="AO116" s="14" t="e">
        <f t="shared" si="99"/>
        <v>#DIV/0!</v>
      </c>
      <c r="AP116" s="14" t="e">
        <f t="shared" si="99"/>
        <v>#DIV/0!</v>
      </c>
      <c r="AQ116" s="14" t="e">
        <f t="shared" si="99"/>
        <v>#DIV/0!</v>
      </c>
      <c r="AR116" s="14" t="e">
        <f t="shared" si="99"/>
        <v>#DIV/0!</v>
      </c>
      <c r="AS116" s="14" t="e">
        <f t="shared" si="99"/>
        <v>#DIV/0!</v>
      </c>
      <c r="AT116" s="14" t="e">
        <f t="shared" si="99"/>
        <v>#DIV/0!</v>
      </c>
      <c r="AU116" s="14" t="e">
        <f t="shared" si="99"/>
        <v>#DIV/0!</v>
      </c>
      <c r="AV116" s="14" t="e">
        <f t="shared" si="99"/>
        <v>#DIV/0!</v>
      </c>
      <c r="AW116" s="14" t="e">
        <f t="shared" si="99"/>
        <v>#DIV/0!</v>
      </c>
      <c r="AX116" s="14" t="e">
        <f t="shared" si="99"/>
        <v>#DIV/0!</v>
      </c>
      <c r="AY116" s="14" t="e">
        <f t="shared" si="99"/>
        <v>#DIV/0!</v>
      </c>
      <c r="AZ116" s="14" t="e">
        <f t="shared" si="99"/>
        <v>#DIV/0!</v>
      </c>
      <c r="BA116" s="14" t="e">
        <f t="shared" si="99"/>
        <v>#DIV/0!</v>
      </c>
      <c r="BB116" s="14" t="e">
        <f t="shared" si="99"/>
        <v>#DIV/0!</v>
      </c>
      <c r="BC116" s="14" t="e">
        <f t="shared" si="99"/>
        <v>#DIV/0!</v>
      </c>
      <c r="BD116" s="14" t="e">
        <f t="shared" si="99"/>
        <v>#DIV/0!</v>
      </c>
      <c r="BE116" s="14" t="e">
        <f t="shared" si="99"/>
        <v>#DIV/0!</v>
      </c>
      <c r="BF116" s="14" t="e">
        <f t="shared" si="99"/>
        <v>#DIV/0!</v>
      </c>
      <c r="BG116" s="14" t="e">
        <f t="shared" si="99"/>
        <v>#DIV/0!</v>
      </c>
      <c r="BH116" s="14" t="e">
        <f t="shared" si="99"/>
        <v>#DIV/0!</v>
      </c>
      <c r="BI116" s="14" t="e">
        <f t="shared" si="99"/>
        <v>#DIV/0!</v>
      </c>
      <c r="BJ116" s="14" t="e">
        <f t="shared" si="99"/>
        <v>#DIV/0!</v>
      </c>
      <c r="BK116" s="14" t="e">
        <f t="shared" si="99"/>
        <v>#DIV/0!</v>
      </c>
      <c r="BL116" s="14" t="e">
        <f t="shared" si="99"/>
        <v>#DIV/0!</v>
      </c>
      <c r="BM116" s="14" t="e">
        <f t="shared" si="99"/>
        <v>#DIV/0!</v>
      </c>
      <c r="BN116" s="14" t="e">
        <f t="shared" si="99"/>
        <v>#DIV/0!</v>
      </c>
      <c r="BO116" s="14" t="e">
        <f t="shared" si="99"/>
        <v>#DIV/0!</v>
      </c>
      <c r="BP116" s="14" t="e">
        <f t="shared" si="99"/>
        <v>#DIV/0!</v>
      </c>
      <c r="BQ116" s="14" t="e">
        <f t="shared" si="99"/>
        <v>#DIV/0!</v>
      </c>
      <c r="BR116" s="14" t="e">
        <f t="shared" ref="BR116" si="100">BR$113*$B$2*SUMPRODUCT(BR$82:BR$83,BR$48:BR$49)/1000</f>
        <v>#DIV/0!</v>
      </c>
      <c r="BS116" s="98"/>
    </row>
    <row r="117" spans="1:71" ht="21" hidden="1" customHeight="1" outlineLevel="1" thickBot="1" x14ac:dyDescent="0.4">
      <c r="E117" s="17" t="s">
        <v>34</v>
      </c>
      <c r="F117" s="14" t="e">
        <f>F116+F114</f>
        <v>#DIV/0!</v>
      </c>
      <c r="G117" s="14" t="e">
        <f t="shared" ref="G117:AL117" si="101">G116+G114</f>
        <v>#DIV/0!</v>
      </c>
      <c r="H117" s="14" t="e">
        <f t="shared" si="101"/>
        <v>#DIV/0!</v>
      </c>
      <c r="I117" s="14" t="e">
        <f t="shared" si="101"/>
        <v>#DIV/0!</v>
      </c>
      <c r="J117" s="14" t="e">
        <f t="shared" si="101"/>
        <v>#DIV/0!</v>
      </c>
      <c r="K117" s="14" t="e">
        <f t="shared" si="101"/>
        <v>#DIV/0!</v>
      </c>
      <c r="L117" s="14" t="e">
        <f t="shared" si="101"/>
        <v>#DIV/0!</v>
      </c>
      <c r="M117" s="14" t="e">
        <f t="shared" si="101"/>
        <v>#DIV/0!</v>
      </c>
      <c r="N117" s="14" t="e">
        <f t="shared" si="101"/>
        <v>#DIV/0!</v>
      </c>
      <c r="O117" s="14" t="e">
        <f t="shared" si="101"/>
        <v>#DIV/0!</v>
      </c>
      <c r="P117" s="14" t="e">
        <f t="shared" si="101"/>
        <v>#DIV/0!</v>
      </c>
      <c r="Q117" s="14" t="e">
        <f t="shared" si="101"/>
        <v>#DIV/0!</v>
      </c>
      <c r="R117" s="14" t="e">
        <f t="shared" si="101"/>
        <v>#DIV/0!</v>
      </c>
      <c r="S117" s="14" t="e">
        <f t="shared" si="101"/>
        <v>#DIV/0!</v>
      </c>
      <c r="T117" s="14" t="e">
        <f t="shared" si="101"/>
        <v>#DIV/0!</v>
      </c>
      <c r="U117" s="14" t="e">
        <f t="shared" si="101"/>
        <v>#DIV/0!</v>
      </c>
      <c r="V117" s="14" t="e">
        <f t="shared" si="101"/>
        <v>#DIV/0!</v>
      </c>
      <c r="W117" s="14" t="e">
        <f t="shared" si="101"/>
        <v>#DIV/0!</v>
      </c>
      <c r="X117" s="14" t="e">
        <f t="shared" si="101"/>
        <v>#DIV/0!</v>
      </c>
      <c r="Y117" s="14" t="e">
        <f t="shared" si="101"/>
        <v>#DIV/0!</v>
      </c>
      <c r="Z117" s="14" t="e">
        <f t="shared" si="101"/>
        <v>#DIV/0!</v>
      </c>
      <c r="AA117" s="14" t="e">
        <f t="shared" si="101"/>
        <v>#DIV/0!</v>
      </c>
      <c r="AB117" s="14" t="e">
        <f t="shared" si="101"/>
        <v>#DIV/0!</v>
      </c>
      <c r="AC117" s="14" t="e">
        <f t="shared" si="101"/>
        <v>#DIV/0!</v>
      </c>
      <c r="AD117" s="14" t="e">
        <f t="shared" si="101"/>
        <v>#DIV/0!</v>
      </c>
      <c r="AE117" s="14" t="e">
        <f t="shared" si="101"/>
        <v>#DIV/0!</v>
      </c>
      <c r="AF117" s="14" t="e">
        <f t="shared" si="101"/>
        <v>#DIV/0!</v>
      </c>
      <c r="AG117" s="14" t="e">
        <f t="shared" si="101"/>
        <v>#DIV/0!</v>
      </c>
      <c r="AH117" s="14" t="e">
        <f t="shared" si="101"/>
        <v>#DIV/0!</v>
      </c>
      <c r="AI117" s="14" t="e">
        <f t="shared" si="101"/>
        <v>#DIV/0!</v>
      </c>
      <c r="AJ117" s="14" t="e">
        <f t="shared" si="101"/>
        <v>#DIV/0!</v>
      </c>
      <c r="AK117" s="14" t="e">
        <f t="shared" si="101"/>
        <v>#DIV/0!</v>
      </c>
      <c r="AL117" s="14" t="e">
        <f t="shared" si="101"/>
        <v>#DIV/0!</v>
      </c>
      <c r="AM117" s="14" t="e">
        <f t="shared" ref="AM117:BR117" si="102">AM116+AM114</f>
        <v>#DIV/0!</v>
      </c>
      <c r="AN117" s="14" t="e">
        <f t="shared" si="102"/>
        <v>#DIV/0!</v>
      </c>
      <c r="AO117" s="14" t="e">
        <f t="shared" si="102"/>
        <v>#DIV/0!</v>
      </c>
      <c r="AP117" s="14" t="e">
        <f t="shared" si="102"/>
        <v>#DIV/0!</v>
      </c>
      <c r="AQ117" s="14" t="e">
        <f t="shared" si="102"/>
        <v>#DIV/0!</v>
      </c>
      <c r="AR117" s="14" t="e">
        <f t="shared" si="102"/>
        <v>#DIV/0!</v>
      </c>
      <c r="AS117" s="14" t="e">
        <f t="shared" si="102"/>
        <v>#DIV/0!</v>
      </c>
      <c r="AT117" s="14" t="e">
        <f t="shared" si="102"/>
        <v>#DIV/0!</v>
      </c>
      <c r="AU117" s="14" t="e">
        <f t="shared" si="102"/>
        <v>#DIV/0!</v>
      </c>
      <c r="AV117" s="14" t="e">
        <f t="shared" si="102"/>
        <v>#DIV/0!</v>
      </c>
      <c r="AW117" s="14" t="e">
        <f t="shared" si="102"/>
        <v>#DIV/0!</v>
      </c>
      <c r="AX117" s="14" t="e">
        <f t="shared" si="102"/>
        <v>#DIV/0!</v>
      </c>
      <c r="AY117" s="14" t="e">
        <f t="shared" si="102"/>
        <v>#DIV/0!</v>
      </c>
      <c r="AZ117" s="14" t="e">
        <f t="shared" si="102"/>
        <v>#DIV/0!</v>
      </c>
      <c r="BA117" s="14" t="e">
        <f t="shared" si="102"/>
        <v>#DIV/0!</v>
      </c>
      <c r="BB117" s="14" t="e">
        <f t="shared" si="102"/>
        <v>#DIV/0!</v>
      </c>
      <c r="BC117" s="14" t="e">
        <f t="shared" si="102"/>
        <v>#DIV/0!</v>
      </c>
      <c r="BD117" s="14" t="e">
        <f t="shared" si="102"/>
        <v>#DIV/0!</v>
      </c>
      <c r="BE117" s="14" t="e">
        <f t="shared" si="102"/>
        <v>#DIV/0!</v>
      </c>
      <c r="BF117" s="14" t="e">
        <f t="shared" si="102"/>
        <v>#DIV/0!</v>
      </c>
      <c r="BG117" s="14" t="e">
        <f t="shared" si="102"/>
        <v>#DIV/0!</v>
      </c>
      <c r="BH117" s="14" t="e">
        <f t="shared" si="102"/>
        <v>#DIV/0!</v>
      </c>
      <c r="BI117" s="14" t="e">
        <f t="shared" si="102"/>
        <v>#DIV/0!</v>
      </c>
      <c r="BJ117" s="14" t="e">
        <f t="shared" si="102"/>
        <v>#DIV/0!</v>
      </c>
      <c r="BK117" s="14" t="e">
        <f t="shared" si="102"/>
        <v>#DIV/0!</v>
      </c>
      <c r="BL117" s="14" t="e">
        <f t="shared" si="102"/>
        <v>#DIV/0!</v>
      </c>
      <c r="BM117" s="14" t="e">
        <f t="shared" si="102"/>
        <v>#DIV/0!</v>
      </c>
      <c r="BN117" s="14" t="e">
        <f t="shared" si="102"/>
        <v>#DIV/0!</v>
      </c>
      <c r="BO117" s="14" t="e">
        <f t="shared" si="102"/>
        <v>#DIV/0!</v>
      </c>
      <c r="BP117" s="14" t="e">
        <f t="shared" si="102"/>
        <v>#DIV/0!</v>
      </c>
      <c r="BQ117" s="14" t="e">
        <f t="shared" si="102"/>
        <v>#DIV/0!</v>
      </c>
      <c r="BR117" s="14" t="e">
        <f t="shared" si="102"/>
        <v>#DIV/0!</v>
      </c>
      <c r="BS117" s="98"/>
    </row>
    <row r="118" spans="1:71" ht="21" hidden="1" customHeight="1" outlineLevel="1" thickBot="1" x14ac:dyDescent="0.4">
      <c r="E118" s="17" t="s">
        <v>36</v>
      </c>
      <c r="F118" s="14" t="e">
        <f>F116+F115</f>
        <v>#DIV/0!</v>
      </c>
      <c r="G118" s="14" t="e">
        <f t="shared" ref="G118:AL118" si="103">G116+G115</f>
        <v>#DIV/0!</v>
      </c>
      <c r="H118" s="14" t="e">
        <f t="shared" si="103"/>
        <v>#DIV/0!</v>
      </c>
      <c r="I118" s="14" t="e">
        <f t="shared" si="103"/>
        <v>#DIV/0!</v>
      </c>
      <c r="J118" s="14" t="e">
        <f t="shared" si="103"/>
        <v>#DIV/0!</v>
      </c>
      <c r="K118" s="14" t="e">
        <f t="shared" si="103"/>
        <v>#DIV/0!</v>
      </c>
      <c r="L118" s="14" t="e">
        <f t="shared" si="103"/>
        <v>#DIV/0!</v>
      </c>
      <c r="M118" s="14" t="e">
        <f t="shared" si="103"/>
        <v>#DIV/0!</v>
      </c>
      <c r="N118" s="14" t="e">
        <f t="shared" si="103"/>
        <v>#DIV/0!</v>
      </c>
      <c r="O118" s="14" t="e">
        <f t="shared" si="103"/>
        <v>#DIV/0!</v>
      </c>
      <c r="P118" s="14" t="e">
        <f t="shared" si="103"/>
        <v>#DIV/0!</v>
      </c>
      <c r="Q118" s="14" t="e">
        <f t="shared" si="103"/>
        <v>#DIV/0!</v>
      </c>
      <c r="R118" s="14" t="e">
        <f t="shared" si="103"/>
        <v>#DIV/0!</v>
      </c>
      <c r="S118" s="14" t="e">
        <f t="shared" si="103"/>
        <v>#DIV/0!</v>
      </c>
      <c r="T118" s="14" t="e">
        <f t="shared" si="103"/>
        <v>#DIV/0!</v>
      </c>
      <c r="U118" s="14" t="e">
        <f t="shared" si="103"/>
        <v>#DIV/0!</v>
      </c>
      <c r="V118" s="14" t="e">
        <f t="shared" si="103"/>
        <v>#DIV/0!</v>
      </c>
      <c r="W118" s="14" t="e">
        <f t="shared" si="103"/>
        <v>#DIV/0!</v>
      </c>
      <c r="X118" s="14" t="e">
        <f t="shared" si="103"/>
        <v>#DIV/0!</v>
      </c>
      <c r="Y118" s="14" t="e">
        <f t="shared" si="103"/>
        <v>#DIV/0!</v>
      </c>
      <c r="Z118" s="14" t="e">
        <f t="shared" si="103"/>
        <v>#DIV/0!</v>
      </c>
      <c r="AA118" s="14" t="e">
        <f t="shared" si="103"/>
        <v>#DIV/0!</v>
      </c>
      <c r="AB118" s="14" t="e">
        <f t="shared" si="103"/>
        <v>#DIV/0!</v>
      </c>
      <c r="AC118" s="14" t="e">
        <f t="shared" si="103"/>
        <v>#DIV/0!</v>
      </c>
      <c r="AD118" s="14" t="e">
        <f t="shared" si="103"/>
        <v>#DIV/0!</v>
      </c>
      <c r="AE118" s="14" t="e">
        <f t="shared" si="103"/>
        <v>#DIV/0!</v>
      </c>
      <c r="AF118" s="14" t="e">
        <f t="shared" si="103"/>
        <v>#DIV/0!</v>
      </c>
      <c r="AG118" s="14" t="e">
        <f t="shared" si="103"/>
        <v>#DIV/0!</v>
      </c>
      <c r="AH118" s="14" t="e">
        <f t="shared" si="103"/>
        <v>#DIV/0!</v>
      </c>
      <c r="AI118" s="14" t="e">
        <f t="shared" si="103"/>
        <v>#DIV/0!</v>
      </c>
      <c r="AJ118" s="14" t="e">
        <f t="shared" si="103"/>
        <v>#DIV/0!</v>
      </c>
      <c r="AK118" s="14" t="e">
        <f t="shared" si="103"/>
        <v>#DIV/0!</v>
      </c>
      <c r="AL118" s="14" t="e">
        <f t="shared" si="103"/>
        <v>#DIV/0!</v>
      </c>
      <c r="AM118" s="14" t="e">
        <f t="shared" ref="AM118:BR118" si="104">AM116+AM115</f>
        <v>#DIV/0!</v>
      </c>
      <c r="AN118" s="14" t="e">
        <f t="shared" si="104"/>
        <v>#DIV/0!</v>
      </c>
      <c r="AO118" s="14" t="e">
        <f t="shared" si="104"/>
        <v>#DIV/0!</v>
      </c>
      <c r="AP118" s="14" t="e">
        <f t="shared" si="104"/>
        <v>#DIV/0!</v>
      </c>
      <c r="AQ118" s="14" t="e">
        <f t="shared" si="104"/>
        <v>#DIV/0!</v>
      </c>
      <c r="AR118" s="14" t="e">
        <f t="shared" si="104"/>
        <v>#DIV/0!</v>
      </c>
      <c r="AS118" s="14" t="e">
        <f t="shared" si="104"/>
        <v>#DIV/0!</v>
      </c>
      <c r="AT118" s="14" t="e">
        <f t="shared" si="104"/>
        <v>#DIV/0!</v>
      </c>
      <c r="AU118" s="14" t="e">
        <f t="shared" si="104"/>
        <v>#DIV/0!</v>
      </c>
      <c r="AV118" s="14" t="e">
        <f t="shared" si="104"/>
        <v>#DIV/0!</v>
      </c>
      <c r="AW118" s="14" t="e">
        <f t="shared" si="104"/>
        <v>#DIV/0!</v>
      </c>
      <c r="AX118" s="14" t="e">
        <f t="shared" si="104"/>
        <v>#DIV/0!</v>
      </c>
      <c r="AY118" s="14" t="e">
        <f t="shared" si="104"/>
        <v>#DIV/0!</v>
      </c>
      <c r="AZ118" s="14" t="e">
        <f t="shared" si="104"/>
        <v>#DIV/0!</v>
      </c>
      <c r="BA118" s="14" t="e">
        <f t="shared" si="104"/>
        <v>#DIV/0!</v>
      </c>
      <c r="BB118" s="14" t="e">
        <f t="shared" si="104"/>
        <v>#DIV/0!</v>
      </c>
      <c r="BC118" s="14" t="e">
        <f t="shared" si="104"/>
        <v>#DIV/0!</v>
      </c>
      <c r="BD118" s="14" t="e">
        <f t="shared" si="104"/>
        <v>#DIV/0!</v>
      </c>
      <c r="BE118" s="14" t="e">
        <f t="shared" si="104"/>
        <v>#DIV/0!</v>
      </c>
      <c r="BF118" s="14" t="e">
        <f t="shared" si="104"/>
        <v>#DIV/0!</v>
      </c>
      <c r="BG118" s="14" t="e">
        <f t="shared" si="104"/>
        <v>#DIV/0!</v>
      </c>
      <c r="BH118" s="14" t="e">
        <f t="shared" si="104"/>
        <v>#DIV/0!</v>
      </c>
      <c r="BI118" s="14" t="e">
        <f t="shared" si="104"/>
        <v>#DIV/0!</v>
      </c>
      <c r="BJ118" s="14" t="e">
        <f t="shared" si="104"/>
        <v>#DIV/0!</v>
      </c>
      <c r="BK118" s="14" t="e">
        <f t="shared" si="104"/>
        <v>#DIV/0!</v>
      </c>
      <c r="BL118" s="14" t="e">
        <f t="shared" si="104"/>
        <v>#DIV/0!</v>
      </c>
      <c r="BM118" s="14" t="e">
        <f t="shared" si="104"/>
        <v>#DIV/0!</v>
      </c>
      <c r="BN118" s="14" t="e">
        <f t="shared" si="104"/>
        <v>#DIV/0!</v>
      </c>
      <c r="BO118" s="14" t="e">
        <f t="shared" si="104"/>
        <v>#DIV/0!</v>
      </c>
      <c r="BP118" s="14" t="e">
        <f t="shared" si="104"/>
        <v>#DIV/0!</v>
      </c>
      <c r="BQ118" s="14" t="e">
        <f t="shared" si="104"/>
        <v>#DIV/0!</v>
      </c>
      <c r="BR118" s="14" t="e">
        <f t="shared" si="104"/>
        <v>#DIV/0!</v>
      </c>
      <c r="BS118" s="98"/>
    </row>
    <row r="119" spans="1:71" ht="21" hidden="1" customHeight="1" outlineLevel="1" x14ac:dyDescent="0.35">
      <c r="E119" s="80" t="s">
        <v>38</v>
      </c>
      <c r="F119" s="81" t="e">
        <f>SUM(F114:F116)</f>
        <v>#DIV/0!</v>
      </c>
      <c r="G119" s="81" t="e">
        <f t="shared" ref="G119:AL119" si="105">SUM(G114:G116)</f>
        <v>#DIV/0!</v>
      </c>
      <c r="H119" s="81" t="e">
        <f t="shared" si="105"/>
        <v>#DIV/0!</v>
      </c>
      <c r="I119" s="81" t="e">
        <f t="shared" si="105"/>
        <v>#DIV/0!</v>
      </c>
      <c r="J119" s="81" t="e">
        <f t="shared" si="105"/>
        <v>#DIV/0!</v>
      </c>
      <c r="K119" s="81" t="e">
        <f t="shared" si="105"/>
        <v>#DIV/0!</v>
      </c>
      <c r="L119" s="81" t="e">
        <f t="shared" si="105"/>
        <v>#DIV/0!</v>
      </c>
      <c r="M119" s="81" t="e">
        <f t="shared" si="105"/>
        <v>#DIV/0!</v>
      </c>
      <c r="N119" s="81" t="e">
        <f t="shared" si="105"/>
        <v>#DIV/0!</v>
      </c>
      <c r="O119" s="81" t="e">
        <f t="shared" si="105"/>
        <v>#DIV/0!</v>
      </c>
      <c r="P119" s="81" t="e">
        <f t="shared" si="105"/>
        <v>#DIV/0!</v>
      </c>
      <c r="Q119" s="81" t="e">
        <f t="shared" si="105"/>
        <v>#DIV/0!</v>
      </c>
      <c r="R119" s="81" t="e">
        <f t="shared" si="105"/>
        <v>#DIV/0!</v>
      </c>
      <c r="S119" s="81" t="e">
        <f t="shared" si="105"/>
        <v>#DIV/0!</v>
      </c>
      <c r="T119" s="81" t="e">
        <f t="shared" si="105"/>
        <v>#DIV/0!</v>
      </c>
      <c r="U119" s="81" t="e">
        <f t="shared" si="105"/>
        <v>#DIV/0!</v>
      </c>
      <c r="V119" s="81" t="e">
        <f t="shared" si="105"/>
        <v>#DIV/0!</v>
      </c>
      <c r="W119" s="81" t="e">
        <f t="shared" si="105"/>
        <v>#DIV/0!</v>
      </c>
      <c r="X119" s="81" t="e">
        <f t="shared" si="105"/>
        <v>#DIV/0!</v>
      </c>
      <c r="Y119" s="81" t="e">
        <f t="shared" si="105"/>
        <v>#DIV/0!</v>
      </c>
      <c r="Z119" s="81" t="e">
        <f t="shared" si="105"/>
        <v>#DIV/0!</v>
      </c>
      <c r="AA119" s="81" t="e">
        <f t="shared" si="105"/>
        <v>#DIV/0!</v>
      </c>
      <c r="AB119" s="81" t="e">
        <f t="shared" si="105"/>
        <v>#DIV/0!</v>
      </c>
      <c r="AC119" s="81" t="e">
        <f t="shared" si="105"/>
        <v>#DIV/0!</v>
      </c>
      <c r="AD119" s="81" t="e">
        <f t="shared" si="105"/>
        <v>#DIV/0!</v>
      </c>
      <c r="AE119" s="81" t="e">
        <f t="shared" si="105"/>
        <v>#DIV/0!</v>
      </c>
      <c r="AF119" s="81" t="e">
        <f t="shared" si="105"/>
        <v>#DIV/0!</v>
      </c>
      <c r="AG119" s="81" t="e">
        <f t="shared" si="105"/>
        <v>#DIV/0!</v>
      </c>
      <c r="AH119" s="81" t="e">
        <f t="shared" si="105"/>
        <v>#DIV/0!</v>
      </c>
      <c r="AI119" s="81" t="e">
        <f t="shared" si="105"/>
        <v>#DIV/0!</v>
      </c>
      <c r="AJ119" s="81" t="e">
        <f t="shared" si="105"/>
        <v>#DIV/0!</v>
      </c>
      <c r="AK119" s="81" t="e">
        <f t="shared" si="105"/>
        <v>#DIV/0!</v>
      </c>
      <c r="AL119" s="81" t="e">
        <f t="shared" si="105"/>
        <v>#DIV/0!</v>
      </c>
      <c r="AM119" s="81" t="e">
        <f t="shared" ref="AM119:BR119" si="106">SUM(AM114:AM116)</f>
        <v>#DIV/0!</v>
      </c>
      <c r="AN119" s="81" t="e">
        <f t="shared" si="106"/>
        <v>#DIV/0!</v>
      </c>
      <c r="AO119" s="81" t="e">
        <f t="shared" si="106"/>
        <v>#DIV/0!</v>
      </c>
      <c r="AP119" s="81" t="e">
        <f t="shared" si="106"/>
        <v>#DIV/0!</v>
      </c>
      <c r="AQ119" s="81" t="e">
        <f t="shared" si="106"/>
        <v>#DIV/0!</v>
      </c>
      <c r="AR119" s="81" t="e">
        <f t="shared" si="106"/>
        <v>#DIV/0!</v>
      </c>
      <c r="AS119" s="81" t="e">
        <f t="shared" si="106"/>
        <v>#DIV/0!</v>
      </c>
      <c r="AT119" s="81" t="e">
        <f t="shared" si="106"/>
        <v>#DIV/0!</v>
      </c>
      <c r="AU119" s="81" t="e">
        <f t="shared" si="106"/>
        <v>#DIV/0!</v>
      </c>
      <c r="AV119" s="81" t="e">
        <f t="shared" si="106"/>
        <v>#DIV/0!</v>
      </c>
      <c r="AW119" s="81" t="e">
        <f t="shared" si="106"/>
        <v>#DIV/0!</v>
      </c>
      <c r="AX119" s="81" t="e">
        <f t="shared" si="106"/>
        <v>#DIV/0!</v>
      </c>
      <c r="AY119" s="81" t="e">
        <f t="shared" si="106"/>
        <v>#DIV/0!</v>
      </c>
      <c r="AZ119" s="81" t="e">
        <f t="shared" si="106"/>
        <v>#DIV/0!</v>
      </c>
      <c r="BA119" s="81" t="e">
        <f t="shared" si="106"/>
        <v>#DIV/0!</v>
      </c>
      <c r="BB119" s="81" t="e">
        <f t="shared" si="106"/>
        <v>#DIV/0!</v>
      </c>
      <c r="BC119" s="81" t="e">
        <f t="shared" si="106"/>
        <v>#DIV/0!</v>
      </c>
      <c r="BD119" s="81" t="e">
        <f t="shared" si="106"/>
        <v>#DIV/0!</v>
      </c>
      <c r="BE119" s="81" t="e">
        <f t="shared" si="106"/>
        <v>#DIV/0!</v>
      </c>
      <c r="BF119" s="81" t="e">
        <f t="shared" si="106"/>
        <v>#DIV/0!</v>
      </c>
      <c r="BG119" s="81" t="e">
        <f t="shared" si="106"/>
        <v>#DIV/0!</v>
      </c>
      <c r="BH119" s="81" t="e">
        <f t="shared" si="106"/>
        <v>#DIV/0!</v>
      </c>
      <c r="BI119" s="81" t="e">
        <f t="shared" si="106"/>
        <v>#DIV/0!</v>
      </c>
      <c r="BJ119" s="81" t="e">
        <f t="shared" si="106"/>
        <v>#DIV/0!</v>
      </c>
      <c r="BK119" s="81" t="e">
        <f t="shared" si="106"/>
        <v>#DIV/0!</v>
      </c>
      <c r="BL119" s="81" t="e">
        <f t="shared" si="106"/>
        <v>#DIV/0!</v>
      </c>
      <c r="BM119" s="81" t="e">
        <f t="shared" si="106"/>
        <v>#DIV/0!</v>
      </c>
      <c r="BN119" s="81" t="e">
        <f t="shared" si="106"/>
        <v>#DIV/0!</v>
      </c>
      <c r="BO119" s="81" t="e">
        <f t="shared" si="106"/>
        <v>#DIV/0!</v>
      </c>
      <c r="BP119" s="81" t="e">
        <f t="shared" si="106"/>
        <v>#DIV/0!</v>
      </c>
      <c r="BQ119" s="81" t="e">
        <f t="shared" si="106"/>
        <v>#DIV/0!</v>
      </c>
      <c r="BR119" s="81" t="e">
        <f t="shared" si="106"/>
        <v>#DIV/0!</v>
      </c>
      <c r="BS119" s="98"/>
    </row>
    <row r="120" spans="1:71" ht="21" hidden="1" customHeight="1" outlineLevel="1" x14ac:dyDescent="0.35"/>
    <row r="121" spans="1:71" ht="21" hidden="1" customHeight="1" outlineLevel="1" thickBot="1" x14ac:dyDescent="0.4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5">
        <f ca="1"/>
        <v>0</v>
      </c>
      <c r="V122" s="56">
        <f ca="1"/>
        <v>0</v>
      </c>
      <c r="W122" s="58">
        <f ca="1"/>
        <v>0</v>
      </c>
      <c r="X122" s="53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>
        <f ca="1"/>
        <v>0</v>
      </c>
      <c r="AN122" s="4">
        <f ca="1"/>
        <v>0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W122" s="4">
        <f ca="1"/>
        <v>0</v>
      </c>
      <c r="AX122" s="4">
        <f ca="1"/>
        <v>0</v>
      </c>
      <c r="AY122" s="4">
        <f ca="1"/>
        <v>0</v>
      </c>
      <c r="AZ122" s="4">
        <f ca="1"/>
        <v>0</v>
      </c>
      <c r="BA122" s="4">
        <f ca="1"/>
        <v>0</v>
      </c>
      <c r="BB122" s="4">
        <f ca="1"/>
        <v>0</v>
      </c>
      <c r="BC122" s="4">
        <f ca="1"/>
        <v>0</v>
      </c>
      <c r="BD122" s="4">
        <f ca="1"/>
        <v>0</v>
      </c>
      <c r="BE122" s="4">
        <f ca="1"/>
        <v>0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K122" s="4">
        <f ca="1"/>
        <v>0</v>
      </c>
      <c r="BL122" s="4">
        <f ca="1"/>
        <v>0</v>
      </c>
      <c r="BM122" s="4">
        <f ca="1"/>
        <v>0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98"/>
    </row>
    <row r="123" spans="1:71" ht="21" hidden="1" customHeight="1" outlineLevel="1" thickTop="1" thickBot="1" x14ac:dyDescent="0.4">
      <c r="E123" s="17" t="str">
        <f ca="1"/>
        <v xml:space="preserve">Раствор 1(тв): </v>
      </c>
      <c r="F123" s="47" t="str">
        <f ca="1"/>
        <v xml:space="preserve">Раствор 1(тв): </v>
      </c>
      <c r="G123" s="47" t="str">
        <f ca="1"/>
        <v xml:space="preserve">Раствор 1(тв): </v>
      </c>
      <c r="H123" s="47" t="str">
        <f ca="1"/>
        <v xml:space="preserve">Раствор 1(тв): </v>
      </c>
      <c r="I123" s="47" t="str">
        <f ca="1"/>
        <v xml:space="preserve">Раствор 1(тв): </v>
      </c>
      <c r="J123" s="47" t="str">
        <f ca="1"/>
        <v xml:space="preserve">Раствор 1(тв): </v>
      </c>
      <c r="K123" s="47" t="str">
        <f ca="1"/>
        <v xml:space="preserve">Раствор 1(тв): </v>
      </c>
      <c r="L123" s="47" t="str">
        <f ca="1"/>
        <v xml:space="preserve">Раствор 1(тв): </v>
      </c>
      <c r="M123" s="47" t="str">
        <f ca="1"/>
        <v xml:space="preserve">Раствор 1(тв): </v>
      </c>
      <c r="N123" s="47" t="str">
        <f ca="1"/>
        <v xml:space="preserve">Раствор 1(тв): </v>
      </c>
      <c r="O123" s="47" t="str">
        <f ca="1"/>
        <v xml:space="preserve">Раствор 1(тв): </v>
      </c>
      <c r="P123" s="47" t="str">
        <f ca="1"/>
        <v xml:space="preserve">Раствор 1(тв): </v>
      </c>
      <c r="Q123" s="47" t="str">
        <f ca="1"/>
        <v xml:space="preserve">Раствор 1(тв): </v>
      </c>
      <c r="R123" s="47" t="str">
        <f ca="1"/>
        <v xml:space="preserve">Раствор 1(тв): </v>
      </c>
      <c r="S123" s="47" t="str">
        <f ca="1"/>
        <v xml:space="preserve">Раствор 1(тв): </v>
      </c>
      <c r="T123" s="47" t="str">
        <f ca="1"/>
        <v xml:space="preserve">Раствор 1(тв): </v>
      </c>
      <c r="U123" s="47" t="str">
        <f ca="1"/>
        <v xml:space="preserve">Раствор 1(тв): </v>
      </c>
      <c r="V123" s="47" t="str">
        <f ca="1"/>
        <v xml:space="preserve">Раствор 1(тв): </v>
      </c>
      <c r="W123" s="47" t="str">
        <f ca="1"/>
        <v xml:space="preserve">Раствор 1(тв): </v>
      </c>
      <c r="X123" s="47" t="str">
        <f ca="1"/>
        <v xml:space="preserve">Раствор 1(тв): </v>
      </c>
      <c r="Y123" s="47" t="str">
        <f ca="1"/>
        <v xml:space="preserve">Раствор 1(тв): </v>
      </c>
      <c r="Z123" s="47" t="str">
        <f ca="1"/>
        <v xml:space="preserve">Раствор 1(тв): </v>
      </c>
      <c r="AA123" s="47" t="str">
        <f ca="1"/>
        <v xml:space="preserve">Раствор 1(тв): </v>
      </c>
      <c r="AB123" s="47" t="str">
        <f ca="1"/>
        <v xml:space="preserve">Раствор 1(тв): </v>
      </c>
      <c r="AC123" s="47" t="str">
        <f ca="1"/>
        <v xml:space="preserve">Раствор 1(тв): </v>
      </c>
      <c r="AD123" s="47" t="str">
        <f ca="1"/>
        <v xml:space="preserve">Раствор 1(тв): </v>
      </c>
      <c r="AE123" s="47" t="str">
        <f ca="1"/>
        <v xml:space="preserve">Раствор 1(тв): </v>
      </c>
      <c r="AF123" s="47" t="str">
        <f ca="1"/>
        <v xml:space="preserve">Раствор 1(тв): </v>
      </c>
      <c r="AG123" s="47" t="str">
        <f ca="1"/>
        <v xml:space="preserve">Раствор 1(тв): </v>
      </c>
      <c r="AH123" s="47" t="str">
        <f ca="1"/>
        <v xml:space="preserve">Раствор 1(тв): </v>
      </c>
      <c r="AI123" s="47" t="str">
        <f ca="1"/>
        <v xml:space="preserve">Раствор 1(тв): </v>
      </c>
      <c r="AJ123" s="47" t="str">
        <f ca="1"/>
        <v xml:space="preserve">Раствор 1(тв): </v>
      </c>
      <c r="AK123" s="47" t="str">
        <f ca="1"/>
        <v xml:space="preserve">Раствор 1(тв): </v>
      </c>
      <c r="AL123" s="47" t="str">
        <f ca="1"/>
        <v xml:space="preserve">Раствор 1(тв): </v>
      </c>
      <c r="AM123" s="47" t="str">
        <f ca="1"/>
        <v xml:space="preserve">Раствор 1(тв): </v>
      </c>
      <c r="AN123" s="47" t="str">
        <f ca="1"/>
        <v xml:space="preserve">Раствор 1(тв): </v>
      </c>
      <c r="AO123" s="47" t="str">
        <f ca="1"/>
        <v xml:space="preserve">Раствор 1(тв): </v>
      </c>
      <c r="AP123" s="47" t="str">
        <f ca="1"/>
        <v xml:space="preserve">Раствор 1(тв): </v>
      </c>
      <c r="AQ123" s="47" t="str">
        <f ca="1"/>
        <v xml:space="preserve">Раствор 1(тв): </v>
      </c>
      <c r="AR123" s="47" t="str">
        <f ca="1"/>
        <v xml:space="preserve">Раствор 1(тв): </v>
      </c>
      <c r="AS123" s="47" t="str">
        <f ca="1"/>
        <v xml:space="preserve">Раствор 1(тв): </v>
      </c>
      <c r="AT123" s="47" t="str">
        <f ca="1"/>
        <v xml:space="preserve">Раствор 1(тв): </v>
      </c>
      <c r="AU123" s="47" t="str">
        <f ca="1"/>
        <v xml:space="preserve">Раствор 1(тв): </v>
      </c>
      <c r="AV123" s="47" t="str">
        <f ca="1"/>
        <v xml:space="preserve">Раствор 1(тв): </v>
      </c>
      <c r="AW123" s="47" t="str">
        <f ca="1"/>
        <v xml:space="preserve">Раствор 1(тв): </v>
      </c>
      <c r="AX123" s="47" t="str">
        <f ca="1"/>
        <v xml:space="preserve">Раствор 1(тв): </v>
      </c>
      <c r="AY123" s="47" t="str">
        <f ca="1"/>
        <v xml:space="preserve">Раствор 1(тв): </v>
      </c>
      <c r="AZ123" s="47" t="str">
        <f ca="1"/>
        <v xml:space="preserve">Раствор 1(тв): </v>
      </c>
      <c r="BA123" s="47" t="str">
        <f ca="1"/>
        <v xml:space="preserve">Раствор 1(тв): </v>
      </c>
      <c r="BB123" s="47" t="str">
        <f ca="1"/>
        <v xml:space="preserve">Раствор 1(тв): </v>
      </c>
      <c r="BC123" s="47" t="str">
        <f ca="1"/>
        <v xml:space="preserve">Раствор 1(тв): </v>
      </c>
      <c r="BD123" s="47" t="str">
        <f ca="1"/>
        <v xml:space="preserve">Раствор 1(тв): </v>
      </c>
      <c r="BE123" s="47" t="str">
        <f ca="1"/>
        <v xml:space="preserve">Раствор 1(тв): </v>
      </c>
      <c r="BF123" s="47" t="str">
        <f ca="1"/>
        <v xml:space="preserve">Раствор 1(тв): </v>
      </c>
      <c r="BG123" s="47" t="str">
        <f ca="1"/>
        <v xml:space="preserve">Раствор 1(тв): </v>
      </c>
      <c r="BH123" s="47" t="str">
        <f ca="1"/>
        <v xml:space="preserve">Раствор 1(тв): </v>
      </c>
      <c r="BI123" s="47" t="str">
        <f ca="1"/>
        <v xml:space="preserve">Раствор 1(тв): </v>
      </c>
      <c r="BJ123" s="47" t="str">
        <f ca="1"/>
        <v xml:space="preserve">Раствор 1(тв): </v>
      </c>
      <c r="BK123" s="47" t="str">
        <f ca="1"/>
        <v xml:space="preserve">Раствор 1(тв): </v>
      </c>
      <c r="BL123" s="47" t="str">
        <f ca="1"/>
        <v xml:space="preserve">Раствор 1(тв): </v>
      </c>
      <c r="BM123" s="47" t="str">
        <f ca="1"/>
        <v xml:space="preserve">Раствор 1(тв): </v>
      </c>
      <c r="BN123" s="47" t="str">
        <f ca="1"/>
        <v xml:space="preserve">Раствор 1(тв): </v>
      </c>
      <c r="BO123" s="47" t="str">
        <f ca="1"/>
        <v xml:space="preserve">Раствор 1(тв): </v>
      </c>
      <c r="BP123" s="47" t="str">
        <f ca="1"/>
        <v xml:space="preserve">Раствор 1(тв): </v>
      </c>
      <c r="BQ123" s="47" t="str">
        <f ca="1"/>
        <v xml:space="preserve">Раствор 1(тв): </v>
      </c>
      <c r="BR123" s="47" t="str">
        <f ca="1"/>
        <v xml:space="preserve">Раствор 1(тв): </v>
      </c>
    </row>
    <row r="124" spans="1:71" ht="21" hidden="1" customHeight="1" outlineLevel="1" thickBot="1" x14ac:dyDescent="0.4">
      <c r="E124" s="17" t="str">
        <f ca="1"/>
        <v xml:space="preserve">Раствор 3 (жид): </v>
      </c>
      <c r="F124" s="47" t="str">
        <f ca="1"/>
        <v xml:space="preserve">Раствор 3 (жид): </v>
      </c>
      <c r="G124" s="47" t="str">
        <f ca="1"/>
        <v xml:space="preserve">Раствор 3 (жид): </v>
      </c>
      <c r="H124" s="47" t="str">
        <f ca="1"/>
        <v xml:space="preserve">Раствор 3 (жид): </v>
      </c>
      <c r="I124" s="47" t="str">
        <f ca="1"/>
        <v xml:space="preserve">Раствор 3 (жид): </v>
      </c>
      <c r="J124" s="47" t="str">
        <f ca="1"/>
        <v xml:space="preserve">Раствор 3 (жид): </v>
      </c>
      <c r="K124" s="47" t="str">
        <f ca="1"/>
        <v xml:space="preserve">Раствор 3 (жид): </v>
      </c>
      <c r="L124" s="47" t="str">
        <f ca="1"/>
        <v xml:space="preserve">Раствор 3 (жид): </v>
      </c>
      <c r="M124" s="47" t="str">
        <f ca="1"/>
        <v xml:space="preserve">Раствор 3 (жид): </v>
      </c>
      <c r="N124" s="47" t="str">
        <f ca="1"/>
        <v xml:space="preserve">Раствор 3 (жид): </v>
      </c>
      <c r="O124" s="47" t="str">
        <f ca="1"/>
        <v xml:space="preserve">Раствор 3 (жид): </v>
      </c>
      <c r="P124" s="47" t="str">
        <f ca="1"/>
        <v xml:space="preserve">Раствор 3 (жид): </v>
      </c>
      <c r="Q124" s="47" t="str">
        <f ca="1"/>
        <v xml:space="preserve">Раствор 3 (жид): </v>
      </c>
      <c r="R124" s="47" t="str">
        <f ca="1"/>
        <v xml:space="preserve">Раствор 3 (жид): </v>
      </c>
      <c r="S124" s="47" t="str">
        <f ca="1"/>
        <v xml:space="preserve">Раствор 3 (жид): </v>
      </c>
      <c r="T124" s="47" t="str">
        <f ca="1"/>
        <v xml:space="preserve">Раствор 3 (жид): </v>
      </c>
      <c r="U124" s="47" t="str">
        <f ca="1"/>
        <v xml:space="preserve">Раствор 3 (жид): </v>
      </c>
      <c r="V124" s="47" t="str">
        <f ca="1"/>
        <v xml:space="preserve">Раствор 3 (жид): </v>
      </c>
      <c r="W124" s="47" t="str">
        <f ca="1"/>
        <v xml:space="preserve">Раствор 3 (жид): </v>
      </c>
      <c r="X124" s="47" t="str">
        <f ca="1"/>
        <v xml:space="preserve">Раствор 3 (жид): </v>
      </c>
      <c r="Y124" s="47" t="str">
        <f ca="1"/>
        <v xml:space="preserve">Раствор 3 (жид): </v>
      </c>
      <c r="Z124" s="47" t="str">
        <f ca="1"/>
        <v xml:space="preserve">Раствор 3 (жид): </v>
      </c>
      <c r="AA124" s="47" t="str">
        <f ca="1"/>
        <v xml:space="preserve">Раствор 3 (жид): </v>
      </c>
      <c r="AB124" s="47" t="str">
        <f ca="1"/>
        <v xml:space="preserve">Раствор 3 (жид): </v>
      </c>
      <c r="AC124" s="47" t="str">
        <f ca="1"/>
        <v xml:space="preserve">Раствор 3 (жид): </v>
      </c>
      <c r="AD124" s="47" t="str">
        <f ca="1"/>
        <v xml:space="preserve">Раствор 3 (жид): </v>
      </c>
      <c r="AE124" s="47" t="str">
        <f ca="1"/>
        <v xml:space="preserve">Раствор 3 (жид): </v>
      </c>
      <c r="AF124" s="47" t="str">
        <f ca="1"/>
        <v xml:space="preserve">Раствор 3 (жид): </v>
      </c>
      <c r="AG124" s="47" t="str">
        <f ca="1"/>
        <v xml:space="preserve">Раствор 3 (жид): </v>
      </c>
      <c r="AH124" s="47" t="str">
        <f ca="1"/>
        <v xml:space="preserve">Раствор 3 (жид): </v>
      </c>
      <c r="AI124" s="47" t="str">
        <f ca="1"/>
        <v xml:space="preserve">Раствор 3 (жид): </v>
      </c>
      <c r="AJ124" s="47" t="str">
        <f ca="1"/>
        <v xml:space="preserve">Раствор 3 (жид): </v>
      </c>
      <c r="AK124" s="47" t="str">
        <f ca="1"/>
        <v xml:space="preserve">Раствор 3 (жид): </v>
      </c>
      <c r="AL124" s="47" t="str">
        <f ca="1"/>
        <v xml:space="preserve">Раствор 3 (жид): </v>
      </c>
      <c r="AM124" s="47" t="str">
        <f ca="1"/>
        <v xml:space="preserve">Раствор 3 (жид): </v>
      </c>
      <c r="AN124" s="47" t="str">
        <f ca="1"/>
        <v xml:space="preserve">Раствор 3 (жид): </v>
      </c>
      <c r="AO124" s="47" t="str">
        <f ca="1"/>
        <v xml:space="preserve">Раствор 3 (жид): </v>
      </c>
      <c r="AP124" s="47" t="str">
        <f ca="1"/>
        <v xml:space="preserve">Раствор 3 (жид): </v>
      </c>
      <c r="AQ124" s="47" t="str">
        <f ca="1"/>
        <v xml:space="preserve">Раствор 3 (жид): </v>
      </c>
      <c r="AR124" s="47" t="str">
        <f ca="1"/>
        <v xml:space="preserve">Раствор 3 (жид): </v>
      </c>
      <c r="AS124" s="47" t="str">
        <f ca="1"/>
        <v xml:space="preserve">Раствор 3 (жид): </v>
      </c>
      <c r="AT124" s="47" t="str">
        <f ca="1"/>
        <v xml:space="preserve">Раствор 3 (жид): </v>
      </c>
      <c r="AU124" s="47" t="str">
        <f ca="1"/>
        <v xml:space="preserve">Раствор 3 (жид): </v>
      </c>
      <c r="AV124" s="47" t="str">
        <f ca="1"/>
        <v xml:space="preserve">Раствор 3 (жид): </v>
      </c>
      <c r="AW124" s="47" t="str">
        <f ca="1"/>
        <v xml:space="preserve">Раствор 3 (жид): </v>
      </c>
      <c r="AX124" s="47" t="str">
        <f ca="1"/>
        <v xml:space="preserve">Раствор 3 (жид): </v>
      </c>
      <c r="AY124" s="47" t="str">
        <f ca="1"/>
        <v xml:space="preserve">Раствор 3 (жид): </v>
      </c>
      <c r="AZ124" s="47" t="str">
        <f ca="1"/>
        <v xml:space="preserve">Раствор 3 (жид): </v>
      </c>
      <c r="BA124" s="47" t="str">
        <f ca="1"/>
        <v xml:space="preserve">Раствор 3 (жид): </v>
      </c>
      <c r="BB124" s="47" t="str">
        <f ca="1"/>
        <v xml:space="preserve">Раствор 3 (жид): </v>
      </c>
      <c r="BC124" s="47" t="str">
        <f ca="1"/>
        <v xml:space="preserve">Раствор 3 (жид): </v>
      </c>
      <c r="BD124" s="47" t="str">
        <f ca="1"/>
        <v xml:space="preserve">Раствор 3 (жид): </v>
      </c>
      <c r="BE124" s="47" t="str">
        <f ca="1"/>
        <v xml:space="preserve">Раствор 3 (жид): </v>
      </c>
      <c r="BF124" s="47" t="str">
        <f ca="1"/>
        <v xml:space="preserve">Раствор 3 (жид): </v>
      </c>
      <c r="BG124" s="47" t="str">
        <f ca="1"/>
        <v xml:space="preserve">Раствор 3 (жид): </v>
      </c>
      <c r="BH124" s="47" t="str">
        <f ca="1"/>
        <v xml:space="preserve">Раствор 3 (жид): </v>
      </c>
      <c r="BI124" s="47" t="str">
        <f ca="1"/>
        <v xml:space="preserve">Раствор 3 (жид): </v>
      </c>
      <c r="BJ124" s="47" t="str">
        <f ca="1"/>
        <v xml:space="preserve">Раствор 3 (жид): </v>
      </c>
      <c r="BK124" s="47" t="str">
        <f ca="1"/>
        <v xml:space="preserve">Раствор 3 (жид): </v>
      </c>
      <c r="BL124" s="47" t="str">
        <f ca="1"/>
        <v xml:space="preserve">Раствор 3 (жид): </v>
      </c>
      <c r="BM124" s="47" t="str">
        <f ca="1"/>
        <v xml:space="preserve">Раствор 3 (жид): </v>
      </c>
      <c r="BN124" s="47" t="str">
        <f ca="1"/>
        <v xml:space="preserve">Раствор 3 (жид): </v>
      </c>
      <c r="BO124" s="47" t="str">
        <f ca="1"/>
        <v xml:space="preserve">Раствор 3 (жид): </v>
      </c>
      <c r="BP124" s="47" t="str">
        <f ca="1"/>
        <v xml:space="preserve">Раствор 3 (жид): </v>
      </c>
      <c r="BQ124" s="47" t="str">
        <f ca="1"/>
        <v xml:space="preserve">Раствор 3 (жид): </v>
      </c>
      <c r="BR124" s="47" t="str">
        <f ca="1"/>
        <v xml:space="preserve">Раствор 3 (жид): </v>
      </c>
    </row>
    <row r="125" spans="1:71" ht="21" hidden="1" customHeight="1" outlineLevel="1" thickBot="1" x14ac:dyDescent="0.4">
      <c r="E125" s="17" t="str">
        <f ca="1"/>
        <v xml:space="preserve">Газовая без Ar: </v>
      </c>
      <c r="F125" s="47" t="str">
        <f ca="1"/>
        <v xml:space="preserve">Газовая без Ar: </v>
      </c>
      <c r="G125" s="47" t="str">
        <f ca="1"/>
        <v xml:space="preserve">Газовая без Ar: </v>
      </c>
      <c r="H125" s="47" t="str">
        <f ca="1"/>
        <v xml:space="preserve">Газовая без Ar: </v>
      </c>
      <c r="I125" s="47" t="str">
        <f ca="1"/>
        <v xml:space="preserve">Газовая без Ar: </v>
      </c>
      <c r="J125" s="47" t="str">
        <f ca="1"/>
        <v xml:space="preserve">Газовая без Ar: </v>
      </c>
      <c r="K125" s="47" t="str">
        <f ca="1"/>
        <v xml:space="preserve">Газовая без Ar: </v>
      </c>
      <c r="L125" s="47" t="str">
        <f ca="1"/>
        <v xml:space="preserve">Газовая без Ar: </v>
      </c>
      <c r="M125" s="47" t="str">
        <f ca="1"/>
        <v xml:space="preserve">Газовая без Ar: </v>
      </c>
      <c r="N125" s="47" t="str">
        <f ca="1"/>
        <v xml:space="preserve">Газовая без Ar: </v>
      </c>
      <c r="O125" s="47" t="str">
        <f ca="1"/>
        <v xml:space="preserve">Газовая без Ar: </v>
      </c>
      <c r="P125" s="47" t="str">
        <f ca="1"/>
        <v xml:space="preserve">Газовая без Ar: </v>
      </c>
      <c r="Q125" s="47" t="str">
        <f ca="1"/>
        <v xml:space="preserve">Газовая без Ar: </v>
      </c>
      <c r="R125" s="47" t="str">
        <f ca="1"/>
        <v xml:space="preserve">Газовая без Ar: </v>
      </c>
      <c r="S125" s="47" t="str">
        <f ca="1"/>
        <v xml:space="preserve">Газовая без Ar: </v>
      </c>
      <c r="T125" s="47" t="str">
        <f ca="1"/>
        <v xml:space="preserve">Газовая без Ar: </v>
      </c>
      <c r="U125" s="47" t="str">
        <f ca="1"/>
        <v xml:space="preserve">Газовая без Ar: </v>
      </c>
      <c r="V125" s="47" t="str">
        <f ca="1"/>
        <v xml:space="preserve">Газовая без Ar: </v>
      </c>
      <c r="W125" s="47" t="str">
        <f ca="1"/>
        <v xml:space="preserve">Газовая без Ar: </v>
      </c>
      <c r="X125" s="47" t="str">
        <f ca="1"/>
        <v xml:space="preserve">Газовая без Ar: </v>
      </c>
      <c r="Y125" s="47" t="str">
        <f ca="1"/>
        <v xml:space="preserve">Газовая без Ar: </v>
      </c>
      <c r="Z125" s="47" t="str">
        <f ca="1"/>
        <v xml:space="preserve">Газовая без Ar: </v>
      </c>
      <c r="AA125" s="47" t="str">
        <f ca="1"/>
        <v xml:space="preserve">Газовая без Ar: </v>
      </c>
      <c r="AB125" s="47" t="str">
        <f ca="1"/>
        <v xml:space="preserve">Газовая без Ar: </v>
      </c>
      <c r="AC125" s="47" t="str">
        <f ca="1"/>
        <v xml:space="preserve">Газовая без Ar: </v>
      </c>
      <c r="AD125" s="47" t="str">
        <f ca="1"/>
        <v xml:space="preserve">Газовая без Ar: </v>
      </c>
      <c r="AE125" s="47" t="str">
        <f ca="1"/>
        <v xml:space="preserve">Газовая без Ar: </v>
      </c>
      <c r="AF125" s="47" t="str">
        <f ca="1"/>
        <v xml:space="preserve">Газовая без Ar: </v>
      </c>
      <c r="AG125" s="47" t="str">
        <f ca="1"/>
        <v xml:space="preserve">Газовая без Ar: </v>
      </c>
      <c r="AH125" s="47" t="str">
        <f ca="1"/>
        <v xml:space="preserve">Газовая без Ar: </v>
      </c>
      <c r="AI125" s="47" t="str">
        <f ca="1"/>
        <v xml:space="preserve">Газовая без Ar: </v>
      </c>
      <c r="AJ125" s="47" t="str">
        <f ca="1"/>
        <v xml:space="preserve">Газовая без Ar: </v>
      </c>
      <c r="AK125" s="47" t="str">
        <f ca="1"/>
        <v xml:space="preserve">Газовая без Ar: </v>
      </c>
      <c r="AL125" s="47" t="str">
        <f ca="1"/>
        <v xml:space="preserve">Газовая без Ar: </v>
      </c>
      <c r="AM125" s="47" t="str">
        <f ca="1"/>
        <v xml:space="preserve">Газовая без Ar: </v>
      </c>
      <c r="AN125" s="47" t="str">
        <f ca="1"/>
        <v xml:space="preserve">Газовая без Ar: </v>
      </c>
      <c r="AO125" s="47" t="str">
        <f ca="1"/>
        <v xml:space="preserve">Газовая без Ar: </v>
      </c>
      <c r="AP125" s="47" t="str">
        <f ca="1"/>
        <v xml:space="preserve">Газовая без Ar: </v>
      </c>
      <c r="AQ125" s="47" t="str">
        <f ca="1"/>
        <v xml:space="preserve">Газовая без Ar: </v>
      </c>
      <c r="AR125" s="47" t="str">
        <f ca="1"/>
        <v xml:space="preserve">Газовая без Ar: </v>
      </c>
      <c r="AS125" s="47" t="str">
        <f ca="1"/>
        <v xml:space="preserve">Газовая без Ar: </v>
      </c>
      <c r="AT125" s="47" t="str">
        <f ca="1"/>
        <v xml:space="preserve">Газовая без Ar: </v>
      </c>
      <c r="AU125" s="47" t="str">
        <f ca="1"/>
        <v xml:space="preserve">Газовая без Ar: </v>
      </c>
      <c r="AV125" s="47" t="str">
        <f ca="1"/>
        <v xml:space="preserve">Газовая без Ar: </v>
      </c>
      <c r="AW125" s="47" t="str">
        <f ca="1"/>
        <v xml:space="preserve">Газовая без Ar: </v>
      </c>
      <c r="AX125" s="47" t="str">
        <f ca="1"/>
        <v xml:space="preserve">Газовая без Ar: </v>
      </c>
      <c r="AY125" s="47" t="str">
        <f ca="1"/>
        <v xml:space="preserve">Газовая без Ar: </v>
      </c>
      <c r="AZ125" s="47" t="str">
        <f ca="1"/>
        <v xml:space="preserve">Газовая без Ar: </v>
      </c>
      <c r="BA125" s="47" t="str">
        <f ca="1"/>
        <v xml:space="preserve">Газовая без Ar: </v>
      </c>
      <c r="BB125" s="47" t="str">
        <f ca="1"/>
        <v xml:space="preserve">Газовая без Ar: </v>
      </c>
      <c r="BC125" s="47" t="str">
        <f ca="1"/>
        <v xml:space="preserve">Газовая без Ar: </v>
      </c>
      <c r="BD125" s="47" t="str">
        <f ca="1"/>
        <v xml:space="preserve">Газовая без Ar: </v>
      </c>
      <c r="BE125" s="47" t="str">
        <f ca="1"/>
        <v xml:space="preserve">Газовая без Ar: </v>
      </c>
      <c r="BF125" s="47" t="str">
        <f ca="1"/>
        <v xml:space="preserve">Газовая без Ar: </v>
      </c>
      <c r="BG125" s="47" t="str">
        <f ca="1"/>
        <v xml:space="preserve">Газовая без Ar: </v>
      </c>
      <c r="BH125" s="47" t="str">
        <f ca="1"/>
        <v xml:space="preserve">Газовая без Ar: </v>
      </c>
      <c r="BI125" s="47" t="str">
        <f ca="1"/>
        <v xml:space="preserve">Газовая без Ar: </v>
      </c>
      <c r="BJ125" s="47" t="str">
        <f ca="1"/>
        <v xml:space="preserve">Газовая без Ar: </v>
      </c>
      <c r="BK125" s="47" t="str">
        <f ca="1"/>
        <v xml:space="preserve">Газовая без Ar: </v>
      </c>
      <c r="BL125" s="47" t="str">
        <f ca="1"/>
        <v xml:space="preserve">Газовая без Ar: </v>
      </c>
      <c r="BM125" s="47" t="str">
        <f ca="1"/>
        <v xml:space="preserve">Газовая без Ar: </v>
      </c>
      <c r="BN125" s="47" t="str">
        <f ca="1"/>
        <v xml:space="preserve">Газовая без Ar: </v>
      </c>
      <c r="BO125" s="47" t="str">
        <f ca="1"/>
        <v xml:space="preserve">Газовая без Ar: </v>
      </c>
      <c r="BP125" s="47" t="str">
        <f ca="1"/>
        <v xml:space="preserve">Газовая без Ar: </v>
      </c>
      <c r="BQ125" s="47" t="str">
        <f ca="1"/>
        <v xml:space="preserve">Газовая без Ar: </v>
      </c>
      <c r="BR125" s="47" t="str">
        <f ca="1"/>
        <v xml:space="preserve">Газовая без Ar: </v>
      </c>
    </row>
    <row r="126" spans="1:71" ht="21" hidden="1" customHeight="1" outlineLevel="1" thickBot="1" x14ac:dyDescent="0.4">
      <c r="E126" s="17" t="str">
        <f ca="1"/>
        <v xml:space="preserve">Раствор 1 + газовая без Ar: </v>
      </c>
      <c r="F126" s="47" t="str">
        <f ca="1"/>
        <v xml:space="preserve">Раствор 1 + газовая без Ar: </v>
      </c>
      <c r="G126" s="47" t="str">
        <f ca="1"/>
        <v xml:space="preserve">Раствор 1 + газовая без Ar: </v>
      </c>
      <c r="H126" s="47" t="str">
        <f ca="1"/>
        <v xml:space="preserve">Раствор 1 + газовая без Ar: </v>
      </c>
      <c r="I126" s="47" t="str">
        <f ca="1"/>
        <v xml:space="preserve">Раствор 1 + газовая без Ar: </v>
      </c>
      <c r="J126" s="47" t="str">
        <f ca="1"/>
        <v xml:space="preserve">Раствор 1 + газовая без Ar: </v>
      </c>
      <c r="K126" s="47" t="str">
        <f ca="1"/>
        <v xml:space="preserve">Раствор 1 + газовая без Ar: </v>
      </c>
      <c r="L126" s="47" t="str">
        <f ca="1"/>
        <v xml:space="preserve">Раствор 1 + газовая без Ar: </v>
      </c>
      <c r="M126" s="47" t="str">
        <f ca="1"/>
        <v xml:space="preserve">Раствор 1 + газовая без Ar: </v>
      </c>
      <c r="N126" s="47" t="str">
        <f ca="1"/>
        <v xml:space="preserve">Раствор 1 + газовая без Ar: </v>
      </c>
      <c r="O126" s="47" t="str">
        <f ca="1"/>
        <v xml:space="preserve">Раствор 1 + газовая без Ar: </v>
      </c>
      <c r="P126" s="47" t="str">
        <f ca="1"/>
        <v xml:space="preserve">Раствор 1 + газовая без Ar: </v>
      </c>
      <c r="Q126" s="47" t="str">
        <f ca="1"/>
        <v xml:space="preserve">Раствор 1 + газовая без Ar: </v>
      </c>
      <c r="R126" s="47" t="str">
        <f ca="1"/>
        <v xml:space="preserve">Раствор 1 + газовая без Ar: </v>
      </c>
      <c r="S126" s="47" t="str">
        <f ca="1"/>
        <v xml:space="preserve">Раствор 1 + газовая без Ar: </v>
      </c>
      <c r="T126" s="47" t="str">
        <f ca="1"/>
        <v xml:space="preserve">Раствор 1 + газовая без Ar: </v>
      </c>
      <c r="U126" s="47" t="str">
        <f ca="1"/>
        <v xml:space="preserve">Раствор 1 + газовая без Ar: </v>
      </c>
      <c r="V126" s="47" t="str">
        <f ca="1"/>
        <v xml:space="preserve">Раствор 1 + газовая без Ar: </v>
      </c>
      <c r="W126" s="47" t="str">
        <f ca="1"/>
        <v xml:space="preserve">Раствор 1 + газовая без Ar: </v>
      </c>
      <c r="X126" s="47" t="str">
        <f ca="1"/>
        <v xml:space="preserve">Раствор 1 + газовая без Ar: </v>
      </c>
      <c r="Y126" s="47" t="str">
        <f ca="1"/>
        <v xml:space="preserve">Раствор 1 + газовая без Ar: </v>
      </c>
      <c r="Z126" s="47" t="str">
        <f ca="1"/>
        <v xml:space="preserve">Раствор 1 + газовая без Ar: </v>
      </c>
      <c r="AA126" s="47" t="str">
        <f ca="1"/>
        <v xml:space="preserve">Раствор 1 + газовая без Ar: </v>
      </c>
      <c r="AB126" s="47" t="str">
        <f ca="1"/>
        <v xml:space="preserve">Раствор 1 + газовая без Ar: </v>
      </c>
      <c r="AC126" s="47" t="str">
        <f ca="1"/>
        <v xml:space="preserve">Раствор 1 + газовая без Ar: </v>
      </c>
      <c r="AD126" s="47" t="str">
        <f ca="1"/>
        <v xml:space="preserve">Раствор 1 + газовая без Ar: </v>
      </c>
      <c r="AE126" s="47" t="str">
        <f ca="1"/>
        <v xml:space="preserve">Раствор 1 + газовая без Ar: </v>
      </c>
      <c r="AF126" s="47" t="str">
        <f ca="1"/>
        <v xml:space="preserve">Раствор 1 + газовая без Ar: </v>
      </c>
      <c r="AG126" s="47" t="str">
        <f ca="1"/>
        <v xml:space="preserve">Раствор 1 + газовая без Ar: </v>
      </c>
      <c r="AH126" s="47" t="str">
        <f ca="1"/>
        <v xml:space="preserve">Раствор 1 + газовая без Ar: </v>
      </c>
      <c r="AI126" s="47" t="str">
        <f ca="1"/>
        <v xml:space="preserve">Раствор 1 + газовая без Ar: </v>
      </c>
      <c r="AJ126" s="47" t="str">
        <f ca="1"/>
        <v xml:space="preserve">Раствор 1 + газовая без Ar: </v>
      </c>
      <c r="AK126" s="47" t="str">
        <f ca="1"/>
        <v xml:space="preserve">Раствор 1 + газовая без Ar: </v>
      </c>
      <c r="AL126" s="47" t="str">
        <f ca="1"/>
        <v xml:space="preserve">Раствор 1 + газовая без Ar: </v>
      </c>
      <c r="AM126" s="47" t="str">
        <f ca="1"/>
        <v xml:space="preserve">Раствор 1 + газовая без Ar: </v>
      </c>
      <c r="AN126" s="47" t="str">
        <f ca="1"/>
        <v xml:space="preserve">Раствор 1 + газовая без Ar: </v>
      </c>
      <c r="AO126" s="47" t="str">
        <f ca="1"/>
        <v xml:space="preserve">Раствор 1 + газовая без Ar: </v>
      </c>
      <c r="AP126" s="47" t="str">
        <f ca="1"/>
        <v xml:space="preserve">Раствор 1 + газовая без Ar: </v>
      </c>
      <c r="AQ126" s="47" t="str">
        <f ca="1"/>
        <v xml:space="preserve">Раствор 1 + газовая без Ar: </v>
      </c>
      <c r="AR126" s="47" t="str">
        <f ca="1"/>
        <v xml:space="preserve">Раствор 1 + газовая без Ar: </v>
      </c>
      <c r="AS126" s="47" t="str">
        <f ca="1"/>
        <v xml:space="preserve">Раствор 1 + газовая без Ar: </v>
      </c>
      <c r="AT126" s="47" t="str">
        <f ca="1"/>
        <v xml:space="preserve">Раствор 1 + газовая без Ar: </v>
      </c>
      <c r="AU126" s="47" t="str">
        <f ca="1"/>
        <v xml:space="preserve">Раствор 1 + газовая без Ar: </v>
      </c>
      <c r="AV126" s="47" t="str">
        <f ca="1"/>
        <v xml:space="preserve">Раствор 1 + газовая без Ar: </v>
      </c>
      <c r="AW126" s="47" t="str">
        <f ca="1"/>
        <v xml:space="preserve">Раствор 1 + газовая без Ar: </v>
      </c>
      <c r="AX126" s="47" t="str">
        <f ca="1"/>
        <v xml:space="preserve">Раствор 1 + газовая без Ar: </v>
      </c>
      <c r="AY126" s="47" t="str">
        <f ca="1"/>
        <v xml:space="preserve">Раствор 1 + газовая без Ar: </v>
      </c>
      <c r="AZ126" s="47" t="str">
        <f ca="1"/>
        <v xml:space="preserve">Раствор 1 + газовая без Ar: </v>
      </c>
      <c r="BA126" s="47" t="str">
        <f ca="1"/>
        <v xml:space="preserve">Раствор 1 + газовая без Ar: </v>
      </c>
      <c r="BB126" s="47" t="str">
        <f ca="1"/>
        <v xml:space="preserve">Раствор 1 + газовая без Ar: </v>
      </c>
      <c r="BC126" s="47" t="str">
        <f ca="1"/>
        <v xml:space="preserve">Раствор 1 + газовая без Ar: </v>
      </c>
      <c r="BD126" s="47" t="str">
        <f ca="1"/>
        <v xml:space="preserve">Раствор 1 + газовая без Ar: </v>
      </c>
      <c r="BE126" s="47" t="str">
        <f ca="1"/>
        <v xml:space="preserve">Раствор 1 + газовая без Ar: </v>
      </c>
      <c r="BF126" s="47" t="str">
        <f ca="1"/>
        <v xml:space="preserve">Раствор 1 + газовая без Ar: </v>
      </c>
      <c r="BG126" s="47" t="str">
        <f ca="1"/>
        <v xml:space="preserve">Раствор 1 + газовая без Ar: </v>
      </c>
      <c r="BH126" s="47" t="str">
        <f ca="1"/>
        <v xml:space="preserve">Раствор 1 + газовая без Ar: </v>
      </c>
      <c r="BI126" s="47" t="str">
        <f ca="1"/>
        <v xml:space="preserve">Раствор 1 + газовая без Ar: </v>
      </c>
      <c r="BJ126" s="47" t="str">
        <f ca="1"/>
        <v xml:space="preserve">Раствор 1 + газовая без Ar: </v>
      </c>
      <c r="BK126" s="47" t="str">
        <f ca="1"/>
        <v xml:space="preserve">Раствор 1 + газовая без Ar: </v>
      </c>
      <c r="BL126" s="47" t="str">
        <f ca="1"/>
        <v xml:space="preserve">Раствор 1 + газовая без Ar: </v>
      </c>
      <c r="BM126" s="47" t="str">
        <f ca="1"/>
        <v xml:space="preserve">Раствор 1 + газовая без Ar: </v>
      </c>
      <c r="BN126" s="47" t="str">
        <f ca="1"/>
        <v xml:space="preserve">Раствор 1 + газовая без Ar: </v>
      </c>
      <c r="BO126" s="47" t="str">
        <f ca="1"/>
        <v xml:space="preserve">Раствор 1 + газовая без Ar: </v>
      </c>
      <c r="BP126" s="47" t="str">
        <f ca="1"/>
        <v xml:space="preserve">Раствор 1 + газовая без Ar: </v>
      </c>
      <c r="BQ126" s="47" t="str">
        <f ca="1"/>
        <v xml:space="preserve">Раствор 1 + газовая без Ar: </v>
      </c>
      <c r="BR126" s="47" t="str">
        <f ca="1"/>
        <v xml:space="preserve">Раствор 1 + газовая без Ar: </v>
      </c>
    </row>
    <row r="127" spans="1:71" ht="21" hidden="1" customHeight="1" outlineLevel="1" thickBot="1" x14ac:dyDescent="0.4">
      <c r="E127" s="17" t="str">
        <f ca="1"/>
        <v xml:space="preserve">Раствор 3 + газовая без Ar: </v>
      </c>
      <c r="F127" s="47" t="str">
        <f ca="1"/>
        <v xml:space="preserve">Раствор 3 + газовая без Ar: </v>
      </c>
      <c r="G127" s="47" t="str">
        <f ca="1"/>
        <v xml:space="preserve">Раствор 3 + газовая без Ar: </v>
      </c>
      <c r="H127" s="47" t="str">
        <f ca="1"/>
        <v xml:space="preserve">Раствор 3 + газовая без Ar: </v>
      </c>
      <c r="I127" s="47" t="str">
        <f ca="1"/>
        <v xml:space="preserve">Раствор 3 + газовая без Ar: </v>
      </c>
      <c r="J127" s="47" t="str">
        <f ca="1"/>
        <v xml:space="preserve">Раствор 3 + газовая без Ar: </v>
      </c>
      <c r="K127" s="47" t="str">
        <f ca="1"/>
        <v xml:space="preserve">Раствор 3 + газовая без Ar: </v>
      </c>
      <c r="L127" s="47" t="str">
        <f ca="1"/>
        <v xml:space="preserve">Раствор 3 + газовая без Ar: </v>
      </c>
      <c r="M127" s="47" t="str">
        <f ca="1"/>
        <v xml:space="preserve">Раствор 3 + газовая без Ar: </v>
      </c>
      <c r="N127" s="47" t="str">
        <f ca="1"/>
        <v xml:space="preserve">Раствор 3 + газовая без Ar: </v>
      </c>
      <c r="O127" s="47" t="str">
        <f ca="1"/>
        <v xml:space="preserve">Раствор 3 + газовая без Ar: </v>
      </c>
      <c r="P127" s="47" t="str">
        <f ca="1"/>
        <v xml:space="preserve">Раствор 3 + газовая без Ar: </v>
      </c>
      <c r="Q127" s="47" t="str">
        <f ca="1"/>
        <v xml:space="preserve">Раствор 3 + газовая без Ar: </v>
      </c>
      <c r="R127" s="47" t="str">
        <f ca="1"/>
        <v xml:space="preserve">Раствор 3 + газовая без Ar: </v>
      </c>
      <c r="S127" s="47" t="str">
        <f ca="1"/>
        <v xml:space="preserve">Раствор 3 + газовая без Ar: </v>
      </c>
      <c r="T127" s="47" t="str">
        <f ca="1"/>
        <v xml:space="preserve">Раствор 3 + газовая без Ar: </v>
      </c>
      <c r="U127" s="47" t="str">
        <f ca="1"/>
        <v xml:space="preserve">Раствор 3 + газовая без Ar: </v>
      </c>
      <c r="V127" s="47" t="str">
        <f ca="1"/>
        <v xml:space="preserve">Раствор 3 + газовая без Ar: </v>
      </c>
      <c r="W127" s="47" t="str">
        <f ca="1"/>
        <v xml:space="preserve">Раствор 3 + газовая без Ar: </v>
      </c>
      <c r="X127" s="47" t="str">
        <f ca="1"/>
        <v xml:space="preserve">Раствор 3 + газовая без Ar: </v>
      </c>
      <c r="Y127" s="47" t="str">
        <f ca="1"/>
        <v xml:space="preserve">Раствор 3 + газовая без Ar: </v>
      </c>
      <c r="Z127" s="47" t="str">
        <f ca="1"/>
        <v xml:space="preserve">Раствор 3 + газовая без Ar: </v>
      </c>
      <c r="AA127" s="47" t="str">
        <f ca="1"/>
        <v xml:space="preserve">Раствор 3 + газовая без Ar: </v>
      </c>
      <c r="AB127" s="47" t="str">
        <f ca="1"/>
        <v xml:space="preserve">Раствор 3 + газовая без Ar: </v>
      </c>
      <c r="AC127" s="47" t="str">
        <f ca="1"/>
        <v xml:space="preserve">Раствор 3 + газовая без Ar: </v>
      </c>
      <c r="AD127" s="47" t="str">
        <f ca="1"/>
        <v xml:space="preserve">Раствор 3 + газовая без Ar: </v>
      </c>
      <c r="AE127" s="47" t="str">
        <f ca="1"/>
        <v xml:space="preserve">Раствор 3 + газовая без Ar: </v>
      </c>
      <c r="AF127" s="47" t="str">
        <f ca="1"/>
        <v xml:space="preserve">Раствор 3 + газовая без Ar: </v>
      </c>
      <c r="AG127" s="47" t="str">
        <f ca="1"/>
        <v xml:space="preserve">Раствор 3 + газовая без Ar: </v>
      </c>
      <c r="AH127" s="47" t="str">
        <f ca="1"/>
        <v xml:space="preserve">Раствор 3 + газовая без Ar: </v>
      </c>
      <c r="AI127" s="47" t="str">
        <f ca="1"/>
        <v xml:space="preserve">Раствор 3 + газовая без Ar: </v>
      </c>
      <c r="AJ127" s="47" t="str">
        <f ca="1"/>
        <v xml:space="preserve">Раствор 3 + газовая без Ar: </v>
      </c>
      <c r="AK127" s="47" t="str">
        <f ca="1"/>
        <v xml:space="preserve">Раствор 3 + газовая без Ar: </v>
      </c>
      <c r="AL127" s="47" t="str">
        <f ca="1"/>
        <v xml:space="preserve">Раствор 3 + газовая без Ar: </v>
      </c>
      <c r="AM127" s="47" t="str">
        <f ca="1"/>
        <v xml:space="preserve">Раствор 3 + газовая без Ar: </v>
      </c>
      <c r="AN127" s="47" t="str">
        <f ca="1"/>
        <v xml:space="preserve">Раствор 3 + газовая без Ar: </v>
      </c>
      <c r="AO127" s="47" t="str">
        <f ca="1"/>
        <v xml:space="preserve">Раствор 3 + газовая без Ar: </v>
      </c>
      <c r="AP127" s="47" t="str">
        <f ca="1"/>
        <v xml:space="preserve">Раствор 3 + газовая без Ar: </v>
      </c>
      <c r="AQ127" s="47" t="str">
        <f ca="1"/>
        <v xml:space="preserve">Раствор 3 + газовая без Ar: </v>
      </c>
      <c r="AR127" s="47" t="str">
        <f ca="1"/>
        <v xml:space="preserve">Раствор 3 + газовая без Ar: </v>
      </c>
      <c r="AS127" s="47" t="str">
        <f ca="1"/>
        <v xml:space="preserve">Раствор 3 + газовая без Ar: </v>
      </c>
      <c r="AT127" s="47" t="str">
        <f ca="1"/>
        <v xml:space="preserve">Раствор 3 + газовая без Ar: </v>
      </c>
      <c r="AU127" s="47" t="str">
        <f ca="1"/>
        <v xml:space="preserve">Раствор 3 + газовая без Ar: </v>
      </c>
      <c r="AV127" s="47" t="str">
        <f ca="1"/>
        <v xml:space="preserve">Раствор 3 + газовая без Ar: </v>
      </c>
      <c r="AW127" s="47" t="str">
        <f ca="1"/>
        <v xml:space="preserve">Раствор 3 + газовая без Ar: </v>
      </c>
      <c r="AX127" s="47" t="str">
        <f ca="1"/>
        <v xml:space="preserve">Раствор 3 + газовая без Ar: </v>
      </c>
      <c r="AY127" s="47" t="str">
        <f ca="1"/>
        <v xml:space="preserve">Раствор 3 + газовая без Ar: </v>
      </c>
      <c r="AZ127" s="47" t="str">
        <f ca="1"/>
        <v xml:space="preserve">Раствор 3 + газовая без Ar: </v>
      </c>
      <c r="BA127" s="47" t="str">
        <f ca="1"/>
        <v xml:space="preserve">Раствор 3 + газовая без Ar: </v>
      </c>
      <c r="BB127" s="47" t="str">
        <f ca="1"/>
        <v xml:space="preserve">Раствор 3 + газовая без Ar: </v>
      </c>
      <c r="BC127" s="47" t="str">
        <f ca="1"/>
        <v xml:space="preserve">Раствор 3 + газовая без Ar: </v>
      </c>
      <c r="BD127" s="47" t="str">
        <f ca="1"/>
        <v xml:space="preserve">Раствор 3 + газовая без Ar: </v>
      </c>
      <c r="BE127" s="47" t="str">
        <f ca="1"/>
        <v xml:space="preserve">Раствор 3 + газовая без Ar: </v>
      </c>
      <c r="BF127" s="47" t="str">
        <f ca="1"/>
        <v xml:space="preserve">Раствор 3 + газовая без Ar: </v>
      </c>
      <c r="BG127" s="47" t="str">
        <f ca="1"/>
        <v xml:space="preserve">Раствор 3 + газовая без Ar: </v>
      </c>
      <c r="BH127" s="47" t="str">
        <f ca="1"/>
        <v xml:space="preserve">Раствор 3 + газовая без Ar: </v>
      </c>
      <c r="BI127" s="47" t="str">
        <f ca="1"/>
        <v xml:space="preserve">Раствор 3 + газовая без Ar: </v>
      </c>
      <c r="BJ127" s="47" t="str">
        <f ca="1"/>
        <v xml:space="preserve">Раствор 3 + газовая без Ar: </v>
      </c>
      <c r="BK127" s="47" t="str">
        <f ca="1"/>
        <v xml:space="preserve">Раствор 3 + газовая без Ar: </v>
      </c>
      <c r="BL127" s="47" t="str">
        <f ca="1"/>
        <v xml:space="preserve">Раствор 3 + газовая без Ar: </v>
      </c>
      <c r="BM127" s="47" t="str">
        <f ca="1"/>
        <v xml:space="preserve">Раствор 3 + газовая без Ar: </v>
      </c>
      <c r="BN127" s="47" t="str">
        <f ca="1"/>
        <v xml:space="preserve">Раствор 3 + газовая без Ar: </v>
      </c>
      <c r="BO127" s="47" t="str">
        <f ca="1"/>
        <v xml:space="preserve">Раствор 3 + газовая без Ar: </v>
      </c>
      <c r="BP127" s="47" t="str">
        <f ca="1"/>
        <v xml:space="preserve">Раствор 3 + газовая без Ar: </v>
      </c>
      <c r="BQ127" s="47" t="str">
        <f ca="1"/>
        <v xml:space="preserve">Раствор 3 + газовая без Ar: </v>
      </c>
      <c r="BR127" s="47" t="str">
        <f ca="1"/>
        <v xml:space="preserve">Раствор 3 + газовая без Ar: </v>
      </c>
    </row>
    <row r="128" spans="1:71" ht="21" hidden="1" customHeight="1" outlineLevel="1" thickBot="1" x14ac:dyDescent="0.4">
      <c r="E128" s="17" t="str">
        <f ca="1"/>
        <v>Р1+Р3+газ без Ar</v>
      </c>
      <c r="F128" s="47" t="str">
        <f ca="1"/>
        <v>Р1+Р3+газ без Ar</v>
      </c>
      <c r="G128" s="47" t="str">
        <f ca="1"/>
        <v>Р1+Р3+газ без Ar</v>
      </c>
      <c r="H128" s="47" t="str">
        <f ca="1"/>
        <v>Р1+Р3+газ без Ar</v>
      </c>
      <c r="I128" s="47" t="str">
        <f ca="1"/>
        <v>Р1+Р3+газ без Ar</v>
      </c>
      <c r="J128" s="47" t="str">
        <f ca="1"/>
        <v>Р1+Р3+газ без Ar</v>
      </c>
      <c r="K128" s="47" t="str">
        <f ca="1"/>
        <v>Р1+Р3+газ без Ar</v>
      </c>
      <c r="L128" s="47" t="str">
        <f ca="1"/>
        <v>Р1+Р3+газ без Ar</v>
      </c>
      <c r="M128" s="47" t="str">
        <f ca="1"/>
        <v>Р1+Р3+газ без Ar</v>
      </c>
      <c r="N128" s="47" t="str">
        <f ca="1"/>
        <v>Р1+Р3+газ без Ar</v>
      </c>
      <c r="O128" s="47" t="str">
        <f ca="1"/>
        <v>Р1+Р3+газ без Ar</v>
      </c>
      <c r="P128" s="47" t="str">
        <f ca="1"/>
        <v>Р1+Р3+газ без Ar</v>
      </c>
      <c r="Q128" s="47" t="str">
        <f ca="1"/>
        <v>Р1+Р3+газ без Ar</v>
      </c>
      <c r="R128" s="47" t="str">
        <f ca="1"/>
        <v>Р1+Р3+газ без Ar</v>
      </c>
      <c r="S128" s="47" t="str">
        <f ca="1"/>
        <v>Р1+Р3+газ без Ar</v>
      </c>
      <c r="T128" s="47" t="str">
        <f ca="1"/>
        <v>Р1+Р3+газ без Ar</v>
      </c>
      <c r="U128" s="47" t="str">
        <f ca="1"/>
        <v>Р1+Р3+газ без Ar</v>
      </c>
      <c r="V128" s="47" t="str">
        <f ca="1"/>
        <v>Р1+Р3+газ без Ar</v>
      </c>
      <c r="W128" s="47" t="str">
        <f ca="1"/>
        <v>Р1+Р3+газ без Ar</v>
      </c>
      <c r="X128" s="47" t="str">
        <f ca="1"/>
        <v>Р1+Р3+газ без Ar</v>
      </c>
      <c r="Y128" s="47" t="str">
        <f ca="1"/>
        <v>Р1+Р3+газ без Ar</v>
      </c>
      <c r="Z128" s="47" t="str">
        <f ca="1"/>
        <v>Р1+Р3+газ без Ar</v>
      </c>
      <c r="AA128" s="47" t="str">
        <f ca="1"/>
        <v>Р1+Р3+газ без Ar</v>
      </c>
      <c r="AB128" s="47" t="str">
        <f ca="1"/>
        <v>Р1+Р3+газ без Ar</v>
      </c>
      <c r="AC128" s="47" t="str">
        <f ca="1"/>
        <v>Р1+Р3+газ без Ar</v>
      </c>
      <c r="AD128" s="47" t="str">
        <f ca="1"/>
        <v>Р1+Р3+газ без Ar</v>
      </c>
      <c r="AE128" s="47" t="str">
        <f ca="1"/>
        <v>Р1+Р3+газ без Ar</v>
      </c>
      <c r="AF128" s="47" t="str">
        <f ca="1"/>
        <v>Р1+Р3+газ без Ar</v>
      </c>
      <c r="AG128" s="47" t="str">
        <f ca="1"/>
        <v>Р1+Р3+газ без Ar</v>
      </c>
      <c r="AH128" s="47" t="str">
        <f ca="1"/>
        <v>Р1+Р3+газ без Ar</v>
      </c>
      <c r="AI128" s="47" t="str">
        <f ca="1"/>
        <v>Р1+Р3+газ без Ar</v>
      </c>
      <c r="AJ128" s="47" t="str">
        <f ca="1"/>
        <v>Р1+Р3+газ без Ar</v>
      </c>
      <c r="AK128" s="47" t="str">
        <f ca="1"/>
        <v>Р1+Р3+газ без Ar</v>
      </c>
      <c r="AL128" s="47" t="str">
        <f ca="1"/>
        <v>Р1+Р3+газ без Ar</v>
      </c>
      <c r="AM128" s="47" t="str">
        <f ca="1"/>
        <v>Р1+Р3+газ без Ar</v>
      </c>
      <c r="AN128" s="47" t="str">
        <f ca="1"/>
        <v>Р1+Р3+газ без Ar</v>
      </c>
      <c r="AO128" s="47" t="str">
        <f ca="1"/>
        <v>Р1+Р3+газ без Ar</v>
      </c>
      <c r="AP128" s="47" t="str">
        <f ca="1"/>
        <v>Р1+Р3+газ без Ar</v>
      </c>
      <c r="AQ128" s="47" t="str">
        <f ca="1"/>
        <v>Р1+Р3+газ без Ar</v>
      </c>
      <c r="AR128" s="47" t="str">
        <f ca="1"/>
        <v>Р1+Р3+газ без Ar</v>
      </c>
      <c r="AS128" s="47" t="str">
        <f ca="1"/>
        <v>Р1+Р3+газ без Ar</v>
      </c>
      <c r="AT128" s="47" t="str">
        <f ca="1"/>
        <v>Р1+Р3+газ без Ar</v>
      </c>
      <c r="AU128" s="47" t="str">
        <f ca="1"/>
        <v>Р1+Р3+газ без Ar</v>
      </c>
      <c r="AV128" s="47" t="str">
        <f ca="1"/>
        <v>Р1+Р3+газ без Ar</v>
      </c>
      <c r="AW128" s="47" t="str">
        <f ca="1"/>
        <v>Р1+Р3+газ без Ar</v>
      </c>
      <c r="AX128" s="47" t="str">
        <f ca="1"/>
        <v>Р1+Р3+газ без Ar</v>
      </c>
      <c r="AY128" s="47" t="str">
        <f ca="1"/>
        <v>Р1+Р3+газ без Ar</v>
      </c>
      <c r="AZ128" s="47" t="str">
        <f ca="1"/>
        <v>Р1+Р3+газ без Ar</v>
      </c>
      <c r="BA128" s="47" t="str">
        <f ca="1"/>
        <v>Р1+Р3+газ без Ar</v>
      </c>
      <c r="BB128" s="47" t="str">
        <f ca="1"/>
        <v>Р1+Р3+газ без Ar</v>
      </c>
      <c r="BC128" s="47" t="str">
        <f ca="1"/>
        <v>Р1+Р3+газ без Ar</v>
      </c>
      <c r="BD128" s="47" t="str">
        <f ca="1"/>
        <v>Р1+Р3+газ без Ar</v>
      </c>
      <c r="BE128" s="47" t="str">
        <f ca="1"/>
        <v>Р1+Р3+газ без Ar</v>
      </c>
      <c r="BF128" s="47" t="str">
        <f ca="1"/>
        <v>Р1+Р3+газ без Ar</v>
      </c>
      <c r="BG128" s="47" t="str">
        <f ca="1"/>
        <v>Р1+Р3+газ без Ar</v>
      </c>
      <c r="BH128" s="47" t="str">
        <f ca="1"/>
        <v>Р1+Р3+газ без Ar</v>
      </c>
      <c r="BI128" s="47" t="str">
        <f ca="1"/>
        <v>Р1+Р3+газ без Ar</v>
      </c>
      <c r="BJ128" s="47" t="str">
        <f ca="1"/>
        <v>Р1+Р3+газ без Ar</v>
      </c>
      <c r="BK128" s="47" t="str">
        <f ca="1"/>
        <v>Р1+Р3+газ без Ar</v>
      </c>
      <c r="BL128" s="47" t="str">
        <f ca="1"/>
        <v>Р1+Р3+газ без Ar</v>
      </c>
      <c r="BM128" s="47" t="str">
        <f ca="1"/>
        <v>Р1+Р3+газ без Ar</v>
      </c>
      <c r="BN128" s="47" t="str">
        <f ca="1"/>
        <v>Р1+Р3+газ без Ar</v>
      </c>
      <c r="BO128" s="47" t="str">
        <f ca="1"/>
        <v>Р1+Р3+газ без Ar</v>
      </c>
      <c r="BP128" s="47" t="str">
        <f ca="1"/>
        <v>Р1+Р3+газ без Ar</v>
      </c>
      <c r="BQ128" s="47" t="str">
        <f ca="1"/>
        <v>Р1+Р3+газ без Ar</v>
      </c>
      <c r="BR128" s="47" t="str">
        <f ca="1"/>
        <v>Р1+Р3+газ без Ar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1">
    <mergeCell ref="A113:B113"/>
  </mergeCells>
  <conditionalFormatting sqref="A4:D33">
    <cfRule type="cellIs" dxfId="21" priority="116" operator="equal">
      <formula>0</formula>
    </cfRule>
  </conditionalFormatting>
  <conditionalFormatting sqref="A80:D109">
    <cfRule type="cellIs" dxfId="20" priority="115" operator="equal">
      <formula>0</formula>
    </cfRule>
  </conditionalFormatting>
  <conditionalFormatting sqref="A46:D75">
    <cfRule type="cellIs" dxfId="19" priority="52" operator="equal">
      <formula>0</formula>
    </cfRule>
  </conditionalFormatting>
  <conditionalFormatting sqref="F32:AK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AK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AK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G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G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G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G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G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G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G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G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G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G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G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G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G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G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G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G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G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G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B34:B37">
    <cfRule type="cellIs" dxfId="18" priority="4" operator="equal">
      <formula>1</formula>
    </cfRule>
  </conditionalFormatting>
  <conditionalFormatting sqref="F33:BR33">
    <cfRule type="cellIs" dxfId="1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DBF91-2C81-43F3-9AC4-CBDAA5C31E4D}">
  <sheetPr codeName="Лист3">
    <tabColor rgb="FF00B050"/>
  </sheetPr>
  <dimension ref="A1:CI137"/>
  <sheetViews>
    <sheetView topLeftCell="A4" zoomScale="85" zoomScaleNormal="85" zoomScaleSheetLayoutView="25" workbookViewId="0">
      <selection activeCell="CG15" sqref="CG15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11" t="s">
        <v>0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  <c r="AF1" s="111"/>
      <c r="AG1" s="111"/>
      <c r="AH1" s="111"/>
      <c r="AI1" s="111"/>
      <c r="AJ1" s="111"/>
      <c r="AK1" s="111"/>
      <c r="AL1" s="111"/>
      <c r="AM1" s="111"/>
      <c r="AN1" s="111"/>
      <c r="AO1" s="111"/>
      <c r="AP1" s="111"/>
      <c r="AQ1" s="111"/>
      <c r="AR1" s="111"/>
      <c r="AS1" s="111"/>
      <c r="AT1" s="111"/>
      <c r="AU1" s="111"/>
      <c r="AV1" s="111"/>
      <c r="AW1" s="111"/>
      <c r="AX1" s="111"/>
      <c r="AY1" s="111"/>
      <c r="AZ1" s="111"/>
      <c r="BA1" s="111"/>
      <c r="BB1" s="111"/>
      <c r="BC1" s="111"/>
      <c r="BD1" s="111"/>
      <c r="BE1" s="111"/>
      <c r="BF1" s="111"/>
      <c r="BG1" s="111"/>
      <c r="BH1" s="111"/>
      <c r="BI1" s="111"/>
      <c r="BJ1" s="111"/>
      <c r="BK1" s="111"/>
      <c r="BL1" s="111"/>
      <c r="BM1" s="111"/>
      <c r="BN1" s="111"/>
      <c r="BO1" s="111"/>
      <c r="BP1" s="111"/>
      <c r="BQ1" s="111"/>
      <c r="BR1" s="111"/>
      <c r="BS1" s="111"/>
      <c r="BT1" s="111"/>
      <c r="BU1" s="111"/>
      <c r="BV1" s="111"/>
      <c r="BW1" s="111"/>
      <c r="BX1" s="111"/>
      <c r="BY1" s="111"/>
      <c r="BZ1" s="111"/>
      <c r="CA1" s="111"/>
      <c r="CB1" s="111"/>
      <c r="CC1" s="111"/>
      <c r="CD1" s="111"/>
      <c r="CE1" s="111"/>
      <c r="CF1" s="111"/>
      <c r="CG1" s="111"/>
      <c r="CH1" s="111"/>
      <c r="CI1" s="111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 t="s">
        <v>69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487.9</v>
      </c>
      <c r="K3" s="3">
        <v>504.4</v>
      </c>
      <c r="L3" s="3">
        <v>520.9</v>
      </c>
      <c r="M3" s="3">
        <v>537.5</v>
      </c>
      <c r="N3" s="3">
        <v>603.5</v>
      </c>
      <c r="O3" s="3">
        <v>669.6</v>
      </c>
      <c r="P3" s="3">
        <v>735.7</v>
      </c>
      <c r="Q3" s="3">
        <v>801.8</v>
      </c>
      <c r="R3" s="3">
        <v>867.8</v>
      </c>
      <c r="S3" s="3">
        <v>884.4</v>
      </c>
      <c r="T3" s="3">
        <v>900.9</v>
      </c>
      <c r="U3" s="3">
        <v>917.4</v>
      </c>
      <c r="V3" s="3">
        <v>933.9</v>
      </c>
      <c r="W3" s="3">
        <v>950.4</v>
      </c>
      <c r="X3" s="3">
        <v>967</v>
      </c>
      <c r="Y3" s="3">
        <v>983.5</v>
      </c>
      <c r="Z3" s="3">
        <v>1000</v>
      </c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8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0</v>
      </c>
      <c r="D4" s="41">
        <f t="shared" si="0"/>
        <v>1</v>
      </c>
      <c r="E4" s="45" t="s">
        <v>70</v>
      </c>
      <c r="F4" s="85">
        <v>0.12</v>
      </c>
      <c r="G4" s="85">
        <v>0.12</v>
      </c>
      <c r="H4" s="85">
        <v>0.12</v>
      </c>
      <c r="I4" s="85">
        <v>0.12</v>
      </c>
      <c r="J4" s="85">
        <v>0.12</v>
      </c>
      <c r="K4" s="85">
        <v>0.12</v>
      </c>
      <c r="L4" s="85">
        <v>0.12</v>
      </c>
      <c r="M4" s="85">
        <v>0.12</v>
      </c>
      <c r="N4" s="85">
        <v>0.12</v>
      </c>
      <c r="O4" s="85">
        <v>0.11998</v>
      </c>
      <c r="P4" s="85">
        <v>0.1198</v>
      </c>
      <c r="Q4" s="85">
        <v>0.11821</v>
      </c>
      <c r="R4" s="85">
        <v>0.10592</v>
      </c>
      <c r="S4" s="85">
        <v>9.7253999999999993E-2</v>
      </c>
      <c r="T4" s="85">
        <v>8.3881999999999998E-2</v>
      </c>
      <c r="U4" s="85">
        <v>6.2925999999999996E-2</v>
      </c>
      <c r="V4" s="85">
        <v>2.8313999999999999E-2</v>
      </c>
      <c r="W4" s="85">
        <v>1.0257E-7</v>
      </c>
      <c r="X4" s="85">
        <v>1.3949E-9</v>
      </c>
      <c r="Y4" s="85">
        <v>9.0929000000000007E-15</v>
      </c>
      <c r="Z4" s="85">
        <v>1.0178999999999999E-20</v>
      </c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4</v>
      </c>
      <c r="C5" s="41">
        <f t="shared" si="0"/>
        <v>0</v>
      </c>
      <c r="D5" s="41">
        <f t="shared" si="0"/>
        <v>0</v>
      </c>
      <c r="E5" s="45" t="s">
        <v>71</v>
      </c>
      <c r="F5" s="85">
        <v>1.7062999999999999E-25</v>
      </c>
      <c r="G5" s="85">
        <v>6.4390999999999996E-20</v>
      </c>
      <c r="H5" s="85">
        <v>2.7195000000000001E-16</v>
      </c>
      <c r="I5" s="85">
        <v>9.0839999999999995E-14</v>
      </c>
      <c r="J5" s="85">
        <v>2.9633999999999998E-13</v>
      </c>
      <c r="K5" s="85">
        <v>8.872E-13</v>
      </c>
      <c r="L5" s="85">
        <v>2.4587E-12</v>
      </c>
      <c r="M5" s="85">
        <v>6.3545999999999996E-12</v>
      </c>
      <c r="N5" s="85">
        <v>1.5921999999999999E-10</v>
      </c>
      <c r="O5" s="85">
        <v>1.9685E-9</v>
      </c>
      <c r="P5" s="85">
        <v>1.4981E-8</v>
      </c>
      <c r="Q5" s="85">
        <v>9.3776000000000005E-8</v>
      </c>
      <c r="R5" s="85">
        <v>1.1023E-6</v>
      </c>
      <c r="S5" s="85">
        <v>2.5386000000000001E-6</v>
      </c>
      <c r="T5" s="85">
        <v>6.2793000000000002E-6</v>
      </c>
      <c r="U5" s="85">
        <v>1.6388999999999998E-5</v>
      </c>
      <c r="V5" s="85">
        <v>4.4832E-5</v>
      </c>
      <c r="W5" s="85">
        <v>8.4475999999999996E-5</v>
      </c>
      <c r="X5" s="85">
        <v>9.7503999999999993E-5</v>
      </c>
      <c r="Y5" s="85">
        <v>1.0922E-4</v>
      </c>
      <c r="Z5" s="85">
        <v>1.1868E-4</v>
      </c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5</v>
      </c>
      <c r="C6" s="41">
        <f t="shared" si="0"/>
        <v>0</v>
      </c>
      <c r="D6" s="41">
        <f t="shared" si="0"/>
        <v>0</v>
      </c>
      <c r="E6" s="45" t="s">
        <v>72</v>
      </c>
      <c r="F6" s="85">
        <v>1.3665999999999999E-22</v>
      </c>
      <c r="G6" s="85">
        <v>1.6874000000000001E-17</v>
      </c>
      <c r="H6" s="85">
        <v>3.1826000000000002E-14</v>
      </c>
      <c r="I6" s="85">
        <v>5.7530000000000002E-12</v>
      </c>
      <c r="J6" s="85">
        <v>1.6452E-11</v>
      </c>
      <c r="K6" s="85">
        <v>4.3490000000000003E-11</v>
      </c>
      <c r="L6" s="85">
        <v>1.0712E-10</v>
      </c>
      <c r="M6" s="85">
        <v>2.4757E-10</v>
      </c>
      <c r="N6" s="85">
        <v>4.1769000000000003E-9</v>
      </c>
      <c r="O6" s="85">
        <v>3.7166999999999998E-8</v>
      </c>
      <c r="P6" s="85">
        <v>2.1525E-7</v>
      </c>
      <c r="Q6" s="85">
        <v>1.1147999999999999E-6</v>
      </c>
      <c r="R6" s="85">
        <v>1.3984E-5</v>
      </c>
      <c r="S6" s="85">
        <v>3.4897000000000001E-5</v>
      </c>
      <c r="T6" s="85">
        <v>9.5345000000000003E-5</v>
      </c>
      <c r="U6" s="85">
        <v>2.7830999999999998E-4</v>
      </c>
      <c r="V6" s="85">
        <v>8.5696000000000004E-4</v>
      </c>
      <c r="W6" s="85">
        <v>1.6666000000000001E-3</v>
      </c>
      <c r="X6" s="85">
        <v>1.792E-3</v>
      </c>
      <c r="Y6" s="85">
        <v>1.8621E-3</v>
      </c>
      <c r="Z6" s="85">
        <v>1.869E-3</v>
      </c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1</v>
      </c>
      <c r="C7" s="41">
        <f t="shared" si="0"/>
        <v>0</v>
      </c>
      <c r="D7" s="41">
        <f t="shared" si="0"/>
        <v>0</v>
      </c>
      <c r="E7" s="45" t="s">
        <v>73</v>
      </c>
      <c r="F7" s="85">
        <v>1.4556E-20</v>
      </c>
      <c r="G7" s="85">
        <v>2.5885000000000001E-16</v>
      </c>
      <c r="H7" s="85">
        <v>1.2484E-13</v>
      </c>
      <c r="I7" s="85">
        <v>8.1561999999999995E-12</v>
      </c>
      <c r="J7" s="85">
        <v>1.8798000000000001E-11</v>
      </c>
      <c r="K7" s="85">
        <v>4.0557E-11</v>
      </c>
      <c r="L7" s="85">
        <v>8.2476E-11</v>
      </c>
      <c r="M7" s="85">
        <v>1.5904E-10</v>
      </c>
      <c r="N7" s="85">
        <v>1.4217E-9</v>
      </c>
      <c r="O7" s="85">
        <v>7.5082999999999998E-9</v>
      </c>
      <c r="P7" s="85">
        <v>2.8237E-8</v>
      </c>
      <c r="Q7" s="85">
        <v>1.0597E-7</v>
      </c>
      <c r="R7" s="85">
        <v>1.2673999999999999E-6</v>
      </c>
      <c r="S7" s="85">
        <v>3.3405999999999998E-6</v>
      </c>
      <c r="T7" s="85">
        <v>9.8360000000000004E-6</v>
      </c>
      <c r="U7" s="85">
        <v>3.1356000000000003E-5</v>
      </c>
      <c r="V7" s="85">
        <v>1.0622E-4</v>
      </c>
      <c r="W7" s="85">
        <v>2.0854000000000001E-4</v>
      </c>
      <c r="X7" s="85">
        <v>2.0446E-4</v>
      </c>
      <c r="Y7" s="85">
        <v>1.9307999999999999E-4</v>
      </c>
      <c r="Z7" s="85">
        <v>1.7545000000000001E-4</v>
      </c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1</v>
      </c>
      <c r="C8" s="41">
        <f t="shared" si="0"/>
        <v>0</v>
      </c>
      <c r="D8" s="41">
        <f t="shared" si="0"/>
        <v>0</v>
      </c>
      <c r="E8" s="45" t="s">
        <v>50</v>
      </c>
      <c r="F8" s="85">
        <v>3.4647999999999998E-22</v>
      </c>
      <c r="G8" s="85">
        <v>1.0778999999999999E-17</v>
      </c>
      <c r="H8" s="85">
        <v>7.1349E-15</v>
      </c>
      <c r="I8" s="85">
        <v>5.6384000000000005E-13</v>
      </c>
      <c r="J8" s="85">
        <v>1.3457E-12</v>
      </c>
      <c r="K8" s="85">
        <v>2.9952E-12</v>
      </c>
      <c r="L8" s="85">
        <v>6.2623999999999996E-12</v>
      </c>
      <c r="M8" s="85">
        <v>1.2379E-11</v>
      </c>
      <c r="N8" s="85">
        <v>1.1931E-10</v>
      </c>
      <c r="O8" s="85">
        <v>6.6117E-10</v>
      </c>
      <c r="P8" s="85">
        <v>2.5766E-9</v>
      </c>
      <c r="Q8" s="85">
        <v>1.035E-8</v>
      </c>
      <c r="R8" s="85">
        <v>1.6427E-7</v>
      </c>
      <c r="S8" s="85">
        <v>4.9292999999999995E-7</v>
      </c>
      <c r="T8" s="85">
        <v>1.6812000000000001E-6</v>
      </c>
      <c r="U8" s="85">
        <v>6.2747000000000002E-6</v>
      </c>
      <c r="V8" s="85">
        <v>2.5007999999999998E-5</v>
      </c>
      <c r="W8" s="85">
        <v>5.2883999999999997E-5</v>
      </c>
      <c r="X8" s="85">
        <v>5.0330000000000001E-5</v>
      </c>
      <c r="Y8" s="85">
        <v>4.5880000000000001E-5</v>
      </c>
      <c r="Z8" s="85">
        <v>4.002E-5</v>
      </c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8</v>
      </c>
      <c r="C9" s="41">
        <f t="shared" si="0"/>
        <v>0</v>
      </c>
      <c r="D9" s="41">
        <f t="shared" si="0"/>
        <v>0</v>
      </c>
      <c r="E9" s="45" t="s">
        <v>74</v>
      </c>
      <c r="F9" s="85">
        <v>1.7277E-24</v>
      </c>
      <c r="G9" s="85">
        <v>8.4076000000000004E-20</v>
      </c>
      <c r="H9" s="85">
        <v>7.0900999999999996E-17</v>
      </c>
      <c r="I9" s="85">
        <v>6.4263999999999997E-15</v>
      </c>
      <c r="J9" s="85">
        <v>1.571E-14</v>
      </c>
      <c r="K9" s="85">
        <v>3.5702999999999998E-14</v>
      </c>
      <c r="L9" s="85">
        <v>7.6016000000000001E-14</v>
      </c>
      <c r="M9" s="85">
        <v>1.5265000000000001E-13</v>
      </c>
      <c r="N9" s="85">
        <v>1.5378999999999999E-12</v>
      </c>
      <c r="O9" s="85">
        <v>8.7243000000000007E-12</v>
      </c>
      <c r="P9" s="85">
        <v>3.4524999999999998E-11</v>
      </c>
      <c r="Q9" s="85">
        <v>1.4596000000000001E-10</v>
      </c>
      <c r="R9" s="85">
        <v>3.0306999999999999E-9</v>
      </c>
      <c r="S9" s="85">
        <v>1.0320000000000001E-8</v>
      </c>
      <c r="T9" s="85">
        <v>4.0644000000000003E-8</v>
      </c>
      <c r="U9" s="85">
        <v>1.7707000000000001E-7</v>
      </c>
      <c r="V9" s="85">
        <v>8.2790000000000005E-7</v>
      </c>
      <c r="W9" s="85">
        <v>1.8805E-6</v>
      </c>
      <c r="X9" s="85">
        <v>1.7325999999999999E-6</v>
      </c>
      <c r="Y9" s="85">
        <v>1.5206999999999999E-6</v>
      </c>
      <c r="Z9" s="85">
        <v>1.2700999999999999E-6</v>
      </c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3</v>
      </c>
      <c r="C10" s="41">
        <f t="shared" si="0"/>
        <v>0</v>
      </c>
      <c r="D10" s="41">
        <f t="shared" si="0"/>
        <v>0</v>
      </c>
      <c r="E10" s="45" t="s">
        <v>75</v>
      </c>
      <c r="F10" s="85">
        <v>5.8454000000000003E-27</v>
      </c>
      <c r="G10" s="85">
        <v>8.8488999999999999E-21</v>
      </c>
      <c r="H10" s="85">
        <v>1.0158E-16</v>
      </c>
      <c r="I10" s="85">
        <v>7.2468E-14</v>
      </c>
      <c r="J10" s="85">
        <v>2.7808000000000001E-13</v>
      </c>
      <c r="K10" s="85">
        <v>9.7049000000000004E-13</v>
      </c>
      <c r="L10" s="85">
        <v>3.1093000000000001E-12</v>
      </c>
      <c r="M10" s="85">
        <v>9.2203999999999998E-12</v>
      </c>
      <c r="N10" s="85">
        <v>3.7529999999999999E-10</v>
      </c>
      <c r="O10" s="85">
        <v>6.9360999999999997E-9</v>
      </c>
      <c r="P10" s="85">
        <v>7.3721000000000002E-8</v>
      </c>
      <c r="Q10" s="85">
        <v>5.8714999999999996E-7</v>
      </c>
      <c r="R10" s="85">
        <v>6.7583000000000002E-6</v>
      </c>
      <c r="S10" s="85">
        <v>1.4508000000000001E-5</v>
      </c>
      <c r="T10" s="85">
        <v>3.2805999999999997E-5</v>
      </c>
      <c r="U10" s="85">
        <v>7.7281999999999996E-5</v>
      </c>
      <c r="V10" s="85">
        <v>1.8950999999999999E-4</v>
      </c>
      <c r="W10" s="85">
        <v>3.4900000000000003E-4</v>
      </c>
      <c r="X10" s="85">
        <v>4.3608999999999998E-4</v>
      </c>
      <c r="Y10" s="85">
        <v>5.3089999999999995E-4</v>
      </c>
      <c r="Z10" s="85">
        <v>6.2951999999999995E-4</v>
      </c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2</v>
      </c>
      <c r="C11" s="41">
        <f t="shared" si="0"/>
        <v>0</v>
      </c>
      <c r="D11" s="41">
        <f t="shared" si="0"/>
        <v>0</v>
      </c>
      <c r="E11" s="45" t="s">
        <v>76</v>
      </c>
      <c r="F11" s="85">
        <v>2.9333999999999998E-21</v>
      </c>
      <c r="G11" s="85">
        <v>3.4644000000000001E-16</v>
      </c>
      <c r="H11" s="85">
        <v>7.8729999999999999E-13</v>
      </c>
      <c r="I11" s="85">
        <v>1.8659E-10</v>
      </c>
      <c r="J11" s="85">
        <v>5.7399999999999998E-10</v>
      </c>
      <c r="K11" s="85">
        <v>1.6337000000000001E-9</v>
      </c>
      <c r="L11" s="85">
        <v>4.3346999999999999E-9</v>
      </c>
      <c r="M11" s="85">
        <v>1.0794000000000001E-8</v>
      </c>
      <c r="N11" s="85">
        <v>2.4466000000000002E-7</v>
      </c>
      <c r="O11" s="85">
        <v>2.8889E-6</v>
      </c>
      <c r="P11" s="85">
        <v>2.1503000000000001E-5</v>
      </c>
      <c r="Q11" s="85">
        <v>1.2313E-4</v>
      </c>
      <c r="R11" s="85">
        <v>8.5946999999999998E-4</v>
      </c>
      <c r="S11" s="85">
        <v>1.5439E-3</v>
      </c>
      <c r="T11" s="85">
        <v>2.8768000000000001E-3</v>
      </c>
      <c r="U11" s="85">
        <v>5.5357999999999996E-3</v>
      </c>
      <c r="V11" s="85">
        <v>1.1055000000000001E-2</v>
      </c>
      <c r="W11" s="85">
        <v>1.814E-2</v>
      </c>
      <c r="X11" s="85">
        <v>2.2447999999999999E-2</v>
      </c>
      <c r="Y11" s="85">
        <v>2.7255000000000001E-2</v>
      </c>
      <c r="Z11" s="85">
        <v>3.2462999999999999E-2</v>
      </c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1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 t="s">
        <v>1</v>
      </c>
      <c r="F12" s="85">
        <v>0.2</v>
      </c>
      <c r="G12" s="85">
        <v>0.2</v>
      </c>
      <c r="H12" s="85">
        <v>0.2</v>
      </c>
      <c r="I12" s="85">
        <v>0.2</v>
      </c>
      <c r="J12" s="85">
        <v>0.2</v>
      </c>
      <c r="K12" s="85">
        <v>0.2</v>
      </c>
      <c r="L12" s="85">
        <v>0.2</v>
      </c>
      <c r="M12" s="85">
        <v>0.2</v>
      </c>
      <c r="N12" s="85">
        <v>0.2</v>
      </c>
      <c r="O12" s="85">
        <v>0.2</v>
      </c>
      <c r="P12" s="85">
        <v>0.2</v>
      </c>
      <c r="Q12" s="85">
        <v>0.2</v>
      </c>
      <c r="R12" s="85">
        <v>0.2</v>
      </c>
      <c r="S12" s="85">
        <v>0.2</v>
      </c>
      <c r="T12" s="85">
        <v>0.2</v>
      </c>
      <c r="U12" s="85">
        <v>0.2</v>
      </c>
      <c r="V12" s="85">
        <v>0.2</v>
      </c>
      <c r="W12" s="85">
        <v>0.2</v>
      </c>
      <c r="X12" s="85">
        <v>0.2</v>
      </c>
      <c r="Y12" s="85">
        <v>0.2</v>
      </c>
      <c r="Z12" s="85">
        <v>0.2</v>
      </c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2</v>
      </c>
      <c r="E13" s="45" t="s">
        <v>77</v>
      </c>
      <c r="F13" s="85">
        <v>0</v>
      </c>
      <c r="G13" s="85">
        <v>0</v>
      </c>
      <c r="H13" s="85">
        <v>1.3333E-31</v>
      </c>
      <c r="I13" s="85">
        <v>1.5226000000000001E-21</v>
      </c>
      <c r="J13" s="85">
        <v>3.3132999999999999E-20</v>
      </c>
      <c r="K13" s="85">
        <v>5.9656999999999998E-19</v>
      </c>
      <c r="L13" s="85">
        <v>9.0484000000000003E-18</v>
      </c>
      <c r="M13" s="85">
        <v>1.1741999999999999E-16</v>
      </c>
      <c r="N13" s="85">
        <v>9.0167000000000003E-13</v>
      </c>
      <c r="O13" s="85">
        <v>1.3494999999999999E-9</v>
      </c>
      <c r="P13" s="85">
        <v>5.9680000000000005E-7</v>
      </c>
      <c r="Q13" s="85">
        <v>9.2739999999999996E-5</v>
      </c>
      <c r="R13" s="85">
        <v>3.6976999999999999E-3</v>
      </c>
      <c r="S13" s="85">
        <v>7.1799000000000003E-3</v>
      </c>
      <c r="T13" s="85">
        <v>1.2964E-2</v>
      </c>
      <c r="U13" s="85">
        <v>2.2429000000000001E-2</v>
      </c>
      <c r="V13" s="85">
        <v>3.8482000000000002E-2</v>
      </c>
      <c r="W13" s="85">
        <v>5.2121000000000001E-2</v>
      </c>
      <c r="X13" s="85">
        <v>5.2750999999999999E-2</v>
      </c>
      <c r="Y13" s="85">
        <v>5.3317000000000003E-2</v>
      </c>
      <c r="Z13" s="85">
        <v>5.3823000000000003E-2</v>
      </c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1</v>
      </c>
      <c r="E14" s="45" t="s">
        <v>78</v>
      </c>
      <c r="F14" s="85">
        <v>9.1088999999999999E-22</v>
      </c>
      <c r="G14" s="85">
        <v>4.6906E-17</v>
      </c>
      <c r="H14" s="85">
        <v>1.2080000000000001E-14</v>
      </c>
      <c r="I14" s="85">
        <v>2.6651999999999998E-10</v>
      </c>
      <c r="J14" s="85">
        <v>9.0158E-10</v>
      </c>
      <c r="K14" s="85">
        <v>2.8396E-9</v>
      </c>
      <c r="L14" s="85">
        <v>8.3817999999999993E-9</v>
      </c>
      <c r="M14" s="85">
        <v>2.3323E-8</v>
      </c>
      <c r="N14" s="85">
        <v>8.5089000000000002E-7</v>
      </c>
      <c r="O14" s="85">
        <v>1.6614999999999999E-5</v>
      </c>
      <c r="P14" s="85">
        <v>2.0236000000000001E-4</v>
      </c>
      <c r="Q14" s="85">
        <v>1.6069000000000001E-3</v>
      </c>
      <c r="R14" s="85">
        <v>6.6831E-3</v>
      </c>
      <c r="S14" s="85">
        <v>8.3858000000000005E-3</v>
      </c>
      <c r="T14" s="85">
        <v>1.0189999999999999E-2</v>
      </c>
      <c r="U14" s="85">
        <v>1.2215E-2</v>
      </c>
      <c r="V14" s="85">
        <v>1.4723E-2</v>
      </c>
      <c r="W14" s="85">
        <v>1.5758000000000001E-2</v>
      </c>
      <c r="X14" s="85">
        <v>1.4499E-2</v>
      </c>
      <c r="Y14" s="85">
        <v>1.3365999999999999E-2</v>
      </c>
      <c r="Z14" s="85">
        <v>1.2354E-2</v>
      </c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1</v>
      </c>
      <c r="D15" s="41">
        <f t="shared" si="0"/>
        <v>0</v>
      </c>
      <c r="E15" s="45" t="s">
        <v>79</v>
      </c>
      <c r="F15" s="85">
        <v>5.9123000000000002E-17</v>
      </c>
      <c r="G15" s="85">
        <v>1.2347999999999999E-13</v>
      </c>
      <c r="H15" s="85">
        <v>2.1607999999999999E-11</v>
      </c>
      <c r="I15" s="85">
        <v>8.9288000000000002E-10</v>
      </c>
      <c r="J15" s="85">
        <v>1.9342999999999998E-9</v>
      </c>
      <c r="K15" s="85">
        <v>3.9836000000000002E-9</v>
      </c>
      <c r="L15" s="85">
        <v>7.8359999999999998E-9</v>
      </c>
      <c r="M15" s="85">
        <v>1.4785E-8</v>
      </c>
      <c r="N15" s="85">
        <v>1.3222E-7</v>
      </c>
      <c r="O15" s="85">
        <v>7.6532999999999998E-7</v>
      </c>
      <c r="P15" s="85">
        <v>3.2049999999999998E-6</v>
      </c>
      <c r="Q15" s="85">
        <v>1.0098999999999999E-5</v>
      </c>
      <c r="R15" s="85">
        <v>2.1146999999999999E-5</v>
      </c>
      <c r="S15" s="85">
        <v>2.3388999999999999E-5</v>
      </c>
      <c r="T15" s="85">
        <v>2.5198000000000002E-5</v>
      </c>
      <c r="U15" s="85">
        <v>2.6633999999999999E-5</v>
      </c>
      <c r="V15" s="85">
        <v>2.7792000000000001E-5</v>
      </c>
      <c r="W15" s="85">
        <v>3.1439000000000002E-5</v>
      </c>
      <c r="X15" s="85">
        <v>3.9180000000000001E-5</v>
      </c>
      <c r="Y15" s="85">
        <v>4.8766E-5</v>
      </c>
      <c r="Z15" s="85">
        <v>6.0649000000000002E-5</v>
      </c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1</v>
      </c>
      <c r="C16" s="41">
        <f t="shared" si="0"/>
        <v>0</v>
      </c>
      <c r="D16" s="41">
        <f t="shared" si="0"/>
        <v>0</v>
      </c>
      <c r="E16" s="45" t="s">
        <v>80</v>
      </c>
      <c r="F16" s="85">
        <v>0.04</v>
      </c>
      <c r="G16" s="85">
        <v>0.04</v>
      </c>
      <c r="H16" s="85">
        <v>0.04</v>
      </c>
      <c r="I16" s="85">
        <v>0.04</v>
      </c>
      <c r="J16" s="85">
        <v>0.04</v>
      </c>
      <c r="K16" s="85">
        <v>0.04</v>
      </c>
      <c r="L16" s="85">
        <v>0.04</v>
      </c>
      <c r="M16" s="85">
        <v>0.04</v>
      </c>
      <c r="N16" s="85">
        <v>4.0001000000000002E-2</v>
      </c>
      <c r="O16" s="85">
        <v>4.0028000000000001E-2</v>
      </c>
      <c r="P16" s="85">
        <v>4.0364999999999998E-2</v>
      </c>
      <c r="Q16" s="85">
        <v>4.3247000000000001E-2</v>
      </c>
      <c r="R16" s="85">
        <v>6.2658000000000005E-2</v>
      </c>
      <c r="S16" s="85">
        <v>7.4995000000000006E-2</v>
      </c>
      <c r="T16" s="85">
        <v>9.2871999999999996E-2</v>
      </c>
      <c r="U16" s="85">
        <v>0.11874999999999999</v>
      </c>
      <c r="V16" s="85">
        <v>0.15695999999999999</v>
      </c>
      <c r="W16" s="85">
        <v>0.18028</v>
      </c>
      <c r="X16" s="85">
        <v>0.17014000000000001</v>
      </c>
      <c r="Y16" s="85">
        <v>0.15939</v>
      </c>
      <c r="Z16" s="85">
        <v>0.14826</v>
      </c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1</v>
      </c>
      <c r="C17" s="41">
        <f t="shared" si="0"/>
        <v>1</v>
      </c>
      <c r="D17" s="41">
        <f t="shared" si="0"/>
        <v>0</v>
      </c>
      <c r="E17" s="45" t="s">
        <v>81</v>
      </c>
      <c r="F17" s="85">
        <v>0.2</v>
      </c>
      <c r="G17" s="85">
        <v>0.2</v>
      </c>
      <c r="H17" s="85">
        <v>0.2</v>
      </c>
      <c r="I17" s="85">
        <v>0.2</v>
      </c>
      <c r="J17" s="85">
        <v>0.2</v>
      </c>
      <c r="K17" s="85">
        <v>0.2</v>
      </c>
      <c r="L17" s="85">
        <v>0.2</v>
      </c>
      <c r="M17" s="85">
        <v>0.2</v>
      </c>
      <c r="N17" s="85">
        <v>0.2</v>
      </c>
      <c r="O17" s="85">
        <v>0.2</v>
      </c>
      <c r="P17" s="85">
        <v>0.2</v>
      </c>
      <c r="Q17" s="85">
        <v>0.19999</v>
      </c>
      <c r="R17" s="85">
        <v>0.19997999999999999</v>
      </c>
      <c r="S17" s="85">
        <v>0.19997999999999999</v>
      </c>
      <c r="T17" s="85">
        <v>0.19997000000000001</v>
      </c>
      <c r="U17" s="85">
        <v>0.19997000000000001</v>
      </c>
      <c r="V17" s="85">
        <v>0.19997000000000001</v>
      </c>
      <c r="W17" s="85">
        <v>0.19997000000000001</v>
      </c>
      <c r="X17" s="85">
        <v>0.19996</v>
      </c>
      <c r="Y17" s="85">
        <v>0.19994999999999999</v>
      </c>
      <c r="Z17" s="85">
        <v>0.19994000000000001</v>
      </c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1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 t="s">
        <v>26</v>
      </c>
      <c r="F18" s="85">
        <v>-18.62</v>
      </c>
      <c r="G18" s="85">
        <v>-18.63</v>
      </c>
      <c r="H18" s="85">
        <v>-18.72</v>
      </c>
      <c r="I18" s="85">
        <v>-18.84</v>
      </c>
      <c r="J18" s="85">
        <v>-18.87</v>
      </c>
      <c r="K18" s="85">
        <v>-18.899999999999999</v>
      </c>
      <c r="L18" s="85">
        <v>-18.940000000000001</v>
      </c>
      <c r="M18" s="85">
        <v>-18.97</v>
      </c>
      <c r="N18" s="85">
        <v>-19.11</v>
      </c>
      <c r="O18" s="85">
        <v>-19.25</v>
      </c>
      <c r="P18" s="85">
        <v>-19.38</v>
      </c>
      <c r="Q18" s="85">
        <v>-19.510000000000002</v>
      </c>
      <c r="R18" s="85">
        <v>-19.66</v>
      </c>
      <c r="S18" s="85">
        <v>-19.72</v>
      </c>
      <c r="T18" s="85">
        <v>-19.78</v>
      </c>
      <c r="U18" s="85">
        <v>-19.87</v>
      </c>
      <c r="V18" s="85">
        <v>-19.989999999999998</v>
      </c>
      <c r="W18" s="85">
        <v>-20.100000000000001</v>
      </c>
      <c r="X18" s="85">
        <v>-20.149999999999999</v>
      </c>
      <c r="Y18" s="85">
        <v>-20.2</v>
      </c>
      <c r="Z18" s="85">
        <v>-20.25</v>
      </c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1</v>
      </c>
      <c r="E19" s="45" t="s">
        <v>5</v>
      </c>
      <c r="F19" s="85">
        <v>-51.69</v>
      </c>
      <c r="G19" s="85">
        <v>-41.33</v>
      </c>
      <c r="H19" s="85">
        <v>-36.22</v>
      </c>
      <c r="I19" s="85">
        <v>-26.61</v>
      </c>
      <c r="J19" s="85">
        <v>-25.49</v>
      </c>
      <c r="K19" s="85">
        <v>-24.43</v>
      </c>
      <c r="L19" s="85">
        <v>-23.43</v>
      </c>
      <c r="M19" s="85">
        <v>-22.49</v>
      </c>
      <c r="N19" s="85">
        <v>-19.22</v>
      </c>
      <c r="O19" s="85">
        <v>-16.53</v>
      </c>
      <c r="P19" s="85">
        <v>-14.3</v>
      </c>
      <c r="Q19" s="85">
        <v>-12.49</v>
      </c>
      <c r="R19" s="85">
        <v>-11.39</v>
      </c>
      <c r="S19" s="85">
        <v>-11.27</v>
      </c>
      <c r="T19" s="85">
        <v>-11.2</v>
      </c>
      <c r="U19" s="85">
        <v>-11.16</v>
      </c>
      <c r="V19" s="85">
        <v>-11.14</v>
      </c>
      <c r="W19" s="85">
        <v>-11.19</v>
      </c>
      <c r="X19" s="85">
        <v>-11.29</v>
      </c>
      <c r="Y19" s="85">
        <v>-11.39</v>
      </c>
      <c r="Z19" s="85">
        <v>-11.48</v>
      </c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1</v>
      </c>
      <c r="D20" s="41">
        <f t="shared" si="1"/>
        <v>0</v>
      </c>
      <c r="E20" s="45" t="s">
        <v>6</v>
      </c>
      <c r="F20" s="85">
        <v>-27.38</v>
      </c>
      <c r="G20" s="85">
        <v>-22.79</v>
      </c>
      <c r="H20" s="85">
        <v>-19.79</v>
      </c>
      <c r="I20" s="85">
        <v>-17.71</v>
      </c>
      <c r="J20" s="85">
        <v>-17.28</v>
      </c>
      <c r="K20" s="85">
        <v>-16.89</v>
      </c>
      <c r="L20" s="85">
        <v>-16.53</v>
      </c>
      <c r="M20" s="85">
        <v>-16.190000000000001</v>
      </c>
      <c r="N20" s="85">
        <v>-15.05</v>
      </c>
      <c r="O20" s="85">
        <v>-14.18</v>
      </c>
      <c r="P20" s="85">
        <v>-13.5</v>
      </c>
      <c r="Q20" s="85">
        <v>-13.02</v>
      </c>
      <c r="R20" s="85">
        <v>-12.95</v>
      </c>
      <c r="S20" s="85">
        <v>-13.04</v>
      </c>
      <c r="T20" s="85">
        <v>-13.16</v>
      </c>
      <c r="U20" s="85">
        <v>-13.32</v>
      </c>
      <c r="V20" s="85">
        <v>-13.51</v>
      </c>
      <c r="W20" s="85">
        <v>-13.57</v>
      </c>
      <c r="X20" s="85">
        <v>-13.44</v>
      </c>
      <c r="Y20" s="85">
        <v>-13.3</v>
      </c>
      <c r="Z20" s="85">
        <v>-13.16</v>
      </c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1</v>
      </c>
      <c r="C21" s="41">
        <f t="shared" si="1"/>
        <v>0</v>
      </c>
      <c r="D21" s="41">
        <f t="shared" si="1"/>
        <v>0</v>
      </c>
      <c r="E21" s="45" t="s">
        <v>7</v>
      </c>
      <c r="F21" s="85">
        <v>-5.9809999999999999</v>
      </c>
      <c r="G21" s="85">
        <v>-6.3330000000000002</v>
      </c>
      <c r="H21" s="85">
        <v>-6.7210000000000001</v>
      </c>
      <c r="I21" s="85">
        <v>-7.1050000000000004</v>
      </c>
      <c r="J21" s="85">
        <v>-7.1980000000000004</v>
      </c>
      <c r="K21" s="85">
        <v>-7.29</v>
      </c>
      <c r="L21" s="85">
        <v>-7.3810000000000002</v>
      </c>
      <c r="M21" s="85">
        <v>-7.47</v>
      </c>
      <c r="N21" s="85">
        <v>-7.8120000000000003</v>
      </c>
      <c r="O21" s="85">
        <v>-8.1310000000000002</v>
      </c>
      <c r="P21" s="85">
        <v>-8.4220000000000006</v>
      </c>
      <c r="Q21" s="85">
        <v>-8.65</v>
      </c>
      <c r="R21" s="85">
        <v>-8.6359999999999992</v>
      </c>
      <c r="S21" s="85">
        <v>-8.57</v>
      </c>
      <c r="T21" s="85">
        <v>-8.4849999999999994</v>
      </c>
      <c r="U21" s="85">
        <v>-8.3879999999999999</v>
      </c>
      <c r="V21" s="85">
        <v>-8.2859999999999996</v>
      </c>
      <c r="W21" s="85">
        <v>-8.27</v>
      </c>
      <c r="X21" s="85">
        <v>-8.3569999999999993</v>
      </c>
      <c r="Y21" s="85">
        <v>-8.4489999999999998</v>
      </c>
      <c r="Z21" s="85">
        <v>-8.5459999999999994</v>
      </c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2">
        <v>1</v>
      </c>
      <c r="F33" s="106">
        <f>IF(G3&gt;F3,1,0)</f>
        <v>1</v>
      </c>
      <c r="G33" s="106">
        <f t="shared" ref="G33:BR33" si="3">IF(H3&gt;G3,1,0)</f>
        <v>1</v>
      </c>
      <c r="H33" s="106">
        <f t="shared" si="3"/>
        <v>1</v>
      </c>
      <c r="I33" s="106">
        <f t="shared" si="3"/>
        <v>1</v>
      </c>
      <c r="J33" s="106">
        <f t="shared" si="3"/>
        <v>1</v>
      </c>
      <c r="K33" s="106">
        <f t="shared" si="3"/>
        <v>1</v>
      </c>
      <c r="L33" s="106">
        <f t="shared" si="3"/>
        <v>1</v>
      </c>
      <c r="M33" s="106">
        <f t="shared" si="3"/>
        <v>1</v>
      </c>
      <c r="N33" s="106">
        <f t="shared" si="3"/>
        <v>1</v>
      </c>
      <c r="O33" s="106">
        <f t="shared" si="3"/>
        <v>1</v>
      </c>
      <c r="P33" s="106">
        <f t="shared" si="3"/>
        <v>1</v>
      </c>
      <c r="Q33" s="106">
        <f t="shared" si="3"/>
        <v>1</v>
      </c>
      <c r="R33" s="106">
        <f t="shared" si="3"/>
        <v>1</v>
      </c>
      <c r="S33" s="106">
        <f t="shared" si="3"/>
        <v>1</v>
      </c>
      <c r="T33" s="106">
        <f t="shared" si="3"/>
        <v>1</v>
      </c>
      <c r="U33" s="106">
        <f t="shared" si="3"/>
        <v>1</v>
      </c>
      <c r="V33" s="106">
        <f t="shared" si="3"/>
        <v>1</v>
      </c>
      <c r="W33" s="106">
        <f t="shared" si="3"/>
        <v>1</v>
      </c>
      <c r="X33" s="106">
        <f t="shared" si="3"/>
        <v>1</v>
      </c>
      <c r="Y33" s="106">
        <f t="shared" si="3"/>
        <v>1</v>
      </c>
      <c r="Z33" s="106">
        <f t="shared" si="3"/>
        <v>0</v>
      </c>
      <c r="AA33" s="106">
        <f t="shared" si="3"/>
        <v>0</v>
      </c>
      <c r="AB33" s="106">
        <f t="shared" si="3"/>
        <v>0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>
        <f ca="1">IF(E34=C34,1,0)</f>
        <v>1</v>
      </c>
      <c r="C34" s="11" t="s">
        <v>26</v>
      </c>
      <c r="D34" s="44">
        <f t="shared" ref="D34:D37" si="4">MATCH(C34,$E$4:$E$33)</f>
        <v>15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-18.63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-18.87</v>
      </c>
      <c r="K34" s="14">
        <f t="shared" ca="1" si="5"/>
        <v>-18.899999999999999</v>
      </c>
      <c r="L34" s="14">
        <f t="shared" ca="1" si="5"/>
        <v>-18.940000000000001</v>
      </c>
      <c r="M34" s="14">
        <f t="shared" ca="1" si="5"/>
        <v>-18.97</v>
      </c>
      <c r="N34" s="14">
        <f t="shared" ca="1" si="5"/>
        <v>-19.11</v>
      </c>
      <c r="O34" s="14">
        <f t="shared" ca="1" si="5"/>
        <v>-19.25</v>
      </c>
      <c r="P34" s="14">
        <f t="shared" ca="1" si="5"/>
        <v>-19.38</v>
      </c>
      <c r="Q34" s="14">
        <f t="shared" ca="1" si="5"/>
        <v>-19.510000000000002</v>
      </c>
      <c r="R34" s="14">
        <f t="shared" ca="1" si="5"/>
        <v>-19.66</v>
      </c>
      <c r="S34" s="14">
        <f t="shared" ca="1" si="5"/>
        <v>-19.72</v>
      </c>
      <c r="T34" s="14">
        <f t="shared" ca="1" si="5"/>
        <v>-19.78</v>
      </c>
      <c r="U34" s="14">
        <f t="shared" ca="1" si="5"/>
        <v>-19.87</v>
      </c>
      <c r="V34" s="14">
        <f t="shared" ca="1" si="5"/>
        <v>-19.989999999999998</v>
      </c>
      <c r="W34" s="14">
        <f t="shared" ca="1" si="5"/>
        <v>-20.100000000000001</v>
      </c>
      <c r="X34" s="14">
        <f t="shared" ca="1" si="5"/>
        <v>-20.149999999999999</v>
      </c>
      <c r="Y34" s="14">
        <f t="shared" ca="1" si="5"/>
        <v>-20.2</v>
      </c>
      <c r="Z34" s="14">
        <f t="shared" ca="1" si="5"/>
        <v>-20.25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9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>
        <f t="shared" ref="B35:B37" ca="1" si="6">IF(E35=C35,1,0)</f>
        <v>1</v>
      </c>
      <c r="C35" s="11" t="s">
        <v>5</v>
      </c>
      <c r="D35" s="44">
        <f t="shared" si="4"/>
        <v>16</v>
      </c>
      <c r="E35" s="11" t="str">
        <f t="shared" ref="E35:E37" ca="1" si="7">OFFSET($E$3:$AL$3,$D35,0)</f>
        <v>H (Ga)</v>
      </c>
      <c r="F35" s="14">
        <f t="shared" ref="F35:U37" ca="1" si="8">OFFSET($E$3:$BR$3,$D35,0)</f>
        <v>-51.69</v>
      </c>
      <c r="G35" s="14">
        <f t="shared" ca="1" si="8"/>
        <v>-41.33</v>
      </c>
      <c r="H35" s="14">
        <f t="shared" ca="1" si="8"/>
        <v>-36.22</v>
      </c>
      <c r="I35" s="14">
        <f t="shared" ca="1" si="8"/>
        <v>-26.61</v>
      </c>
      <c r="J35" s="14">
        <f t="shared" ca="1" si="8"/>
        <v>-25.49</v>
      </c>
      <c r="K35" s="14">
        <f t="shared" ca="1" si="8"/>
        <v>-24.43</v>
      </c>
      <c r="L35" s="14">
        <f t="shared" ca="1" si="8"/>
        <v>-23.43</v>
      </c>
      <c r="M35" s="14">
        <f t="shared" ca="1" si="8"/>
        <v>-22.49</v>
      </c>
      <c r="N35" s="14">
        <f t="shared" ca="1" si="8"/>
        <v>-19.22</v>
      </c>
      <c r="O35" s="14">
        <f t="shared" ca="1" si="8"/>
        <v>-16.53</v>
      </c>
      <c r="P35" s="14">
        <f t="shared" ca="1" si="8"/>
        <v>-14.3</v>
      </c>
      <c r="Q35" s="14">
        <f t="shared" ca="1" si="8"/>
        <v>-12.49</v>
      </c>
      <c r="R35" s="14">
        <f t="shared" ca="1" si="8"/>
        <v>-11.39</v>
      </c>
      <c r="S35" s="14">
        <f t="shared" ca="1" si="8"/>
        <v>-11.27</v>
      </c>
      <c r="T35" s="14">
        <f t="shared" ca="1" si="8"/>
        <v>-11.2</v>
      </c>
      <c r="U35" s="14">
        <f t="shared" ca="1" si="8"/>
        <v>-11.16</v>
      </c>
      <c r="V35" s="14">
        <f t="shared" ca="1" si="5"/>
        <v>-11.14</v>
      </c>
      <c r="W35" s="14">
        <f t="shared" ca="1" si="5"/>
        <v>-11.19</v>
      </c>
      <c r="X35" s="14">
        <f t="shared" ca="1" si="5"/>
        <v>-11.29</v>
      </c>
      <c r="Y35" s="14">
        <f t="shared" ca="1" si="5"/>
        <v>-11.39</v>
      </c>
      <c r="Z35" s="14">
        <f t="shared" ca="1" si="5"/>
        <v>-11.48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9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>
        <f t="shared" ca="1" si="6"/>
        <v>1</v>
      </c>
      <c r="C36" s="11" t="s">
        <v>6</v>
      </c>
      <c r="D36" s="44">
        <f t="shared" si="4"/>
        <v>17</v>
      </c>
      <c r="E36" s="11" t="str">
        <f t="shared" ca="1" si="7"/>
        <v>H (Ge)</v>
      </c>
      <c r="F36" s="14">
        <f t="shared" ca="1" si="8"/>
        <v>-27.38</v>
      </c>
      <c r="G36" s="14">
        <f t="shared" ca="1" si="5"/>
        <v>-22.79</v>
      </c>
      <c r="H36" s="14">
        <f t="shared" ca="1" si="5"/>
        <v>-19.79</v>
      </c>
      <c r="I36" s="14">
        <f t="shared" ca="1" si="5"/>
        <v>-17.71</v>
      </c>
      <c r="J36" s="14">
        <f t="shared" ca="1" si="5"/>
        <v>-17.28</v>
      </c>
      <c r="K36" s="14">
        <f t="shared" ca="1" si="5"/>
        <v>-16.89</v>
      </c>
      <c r="L36" s="14">
        <f t="shared" ca="1" si="5"/>
        <v>-16.53</v>
      </c>
      <c r="M36" s="14">
        <f t="shared" ca="1" si="5"/>
        <v>-16.190000000000001</v>
      </c>
      <c r="N36" s="14">
        <f t="shared" ca="1" si="5"/>
        <v>-15.05</v>
      </c>
      <c r="O36" s="14">
        <f t="shared" ca="1" si="5"/>
        <v>-14.18</v>
      </c>
      <c r="P36" s="14">
        <f t="shared" ca="1" si="5"/>
        <v>-13.5</v>
      </c>
      <c r="Q36" s="14">
        <f t="shared" ca="1" si="5"/>
        <v>-13.02</v>
      </c>
      <c r="R36" s="14">
        <f t="shared" ca="1" si="5"/>
        <v>-12.95</v>
      </c>
      <c r="S36" s="14">
        <f t="shared" ca="1" si="5"/>
        <v>-13.04</v>
      </c>
      <c r="T36" s="14">
        <f t="shared" ca="1" si="5"/>
        <v>-13.16</v>
      </c>
      <c r="U36" s="14">
        <f t="shared" ca="1" si="5"/>
        <v>-13.32</v>
      </c>
      <c r="V36" s="14">
        <f t="shared" ca="1" si="5"/>
        <v>-13.51</v>
      </c>
      <c r="W36" s="14">
        <f t="shared" ca="1" si="5"/>
        <v>-13.57</v>
      </c>
      <c r="X36" s="14">
        <f t="shared" ca="1" si="5"/>
        <v>-13.44</v>
      </c>
      <c r="Y36" s="14">
        <f t="shared" ca="1" si="5"/>
        <v>-13.3</v>
      </c>
      <c r="Z36" s="14">
        <f t="shared" ca="1" si="5"/>
        <v>-13.16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9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>
        <f t="shared" ca="1" si="6"/>
        <v>1</v>
      </c>
      <c r="C37" s="11" t="s">
        <v>7</v>
      </c>
      <c r="D37" s="44">
        <f t="shared" si="4"/>
        <v>18</v>
      </c>
      <c r="E37" s="11" t="str">
        <f t="shared" ca="1" si="7"/>
        <v>H (Se)</v>
      </c>
      <c r="F37" s="14">
        <f t="shared" ca="1" si="8"/>
        <v>-5.9809999999999999</v>
      </c>
      <c r="G37" s="14">
        <f t="shared" ca="1" si="5"/>
        <v>-6.3330000000000002</v>
      </c>
      <c r="H37" s="14">
        <f t="shared" ca="1" si="5"/>
        <v>-6.7210000000000001</v>
      </c>
      <c r="I37" s="14">
        <f t="shared" ca="1" si="5"/>
        <v>-7.1050000000000004</v>
      </c>
      <c r="J37" s="14">
        <f t="shared" ca="1" si="5"/>
        <v>-7.1980000000000004</v>
      </c>
      <c r="K37" s="14">
        <f t="shared" ca="1" si="5"/>
        <v>-7.29</v>
      </c>
      <c r="L37" s="14">
        <f t="shared" ca="1" si="5"/>
        <v>-7.3810000000000002</v>
      </c>
      <c r="M37" s="14">
        <f t="shared" ca="1" si="5"/>
        <v>-7.47</v>
      </c>
      <c r="N37" s="14">
        <f t="shared" ca="1" si="5"/>
        <v>-7.8120000000000003</v>
      </c>
      <c r="O37" s="14">
        <f t="shared" ca="1" si="5"/>
        <v>-8.1310000000000002</v>
      </c>
      <c r="P37" s="14">
        <f t="shared" ca="1" si="5"/>
        <v>-8.4220000000000006</v>
      </c>
      <c r="Q37" s="14">
        <f t="shared" ca="1" si="5"/>
        <v>-8.65</v>
      </c>
      <c r="R37" s="14">
        <f t="shared" ca="1" si="5"/>
        <v>-8.6359999999999992</v>
      </c>
      <c r="S37" s="14">
        <f t="shared" ca="1" si="5"/>
        <v>-8.57</v>
      </c>
      <c r="T37" s="14">
        <f t="shared" ca="1" si="5"/>
        <v>-8.4849999999999994</v>
      </c>
      <c r="U37" s="14">
        <f t="shared" ca="1" si="5"/>
        <v>-8.3879999999999999</v>
      </c>
      <c r="V37" s="14">
        <f t="shared" ca="1" si="5"/>
        <v>-8.2859999999999996</v>
      </c>
      <c r="W37" s="14">
        <f t="shared" ca="1" si="5"/>
        <v>-8.27</v>
      </c>
      <c r="X37" s="14">
        <f t="shared" ca="1" si="5"/>
        <v>-8.3569999999999993</v>
      </c>
      <c r="Y37" s="14">
        <f t="shared" ca="1" si="5"/>
        <v>-8.4489999999999998</v>
      </c>
      <c r="Z37" s="14">
        <f t="shared" ca="1" si="5"/>
        <v>-8.5459999999999994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9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hidden="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487.9</v>
      </c>
      <c r="K40" s="8">
        <f t="shared" si="9"/>
        <v>504.4</v>
      </c>
      <c r="L40" s="8">
        <f t="shared" si="9"/>
        <v>520.9</v>
      </c>
      <c r="M40" s="8">
        <f t="shared" si="9"/>
        <v>537.5</v>
      </c>
      <c r="N40" s="8">
        <f t="shared" si="9"/>
        <v>603.5</v>
      </c>
      <c r="O40" s="8">
        <f t="shared" si="9"/>
        <v>669.6</v>
      </c>
      <c r="P40" s="8">
        <f t="shared" si="9"/>
        <v>735.7</v>
      </c>
      <c r="Q40" s="8">
        <f t="shared" si="9"/>
        <v>801.8</v>
      </c>
      <c r="R40" s="8">
        <f t="shared" si="9"/>
        <v>867.8</v>
      </c>
      <c r="S40" s="8">
        <f t="shared" si="9"/>
        <v>884.4</v>
      </c>
      <c r="T40" s="8">
        <f t="shared" si="9"/>
        <v>900.9</v>
      </c>
      <c r="U40" s="8">
        <f t="shared" si="9"/>
        <v>917.4</v>
      </c>
      <c r="V40" s="8">
        <f t="shared" si="9"/>
        <v>933.9</v>
      </c>
      <c r="W40" s="8">
        <f t="shared" si="9"/>
        <v>950.4</v>
      </c>
      <c r="X40" s="8">
        <f t="shared" si="9"/>
        <v>967</v>
      </c>
      <c r="Y40" s="8">
        <f t="shared" si="9"/>
        <v>983.5</v>
      </c>
      <c r="Z40" s="8">
        <f t="shared" si="9"/>
        <v>1000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8"/>
    </row>
    <row r="41" spans="1:87" ht="21" hidden="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BQ41" ca="1" si="10">($B$41*H.Ge+$C$41*H.Ga+$D$41*H.Se)*F$40*$B$2/1000</f>
        <v>#DIV/0!</v>
      </c>
      <c r="G41" s="10" t="e">
        <f t="shared" ca="1" si="10"/>
        <v>#DIV/0!</v>
      </c>
      <c r="H41" s="10" t="e">
        <f t="shared" ca="1" si="10"/>
        <v>#DIV/0!</v>
      </c>
      <c r="I41" s="10" t="e">
        <f t="shared" ca="1" si="10"/>
        <v>#DIV/0!</v>
      </c>
      <c r="J41" s="10" t="e">
        <f t="shared" ca="1" si="10"/>
        <v>#DIV/0!</v>
      </c>
      <c r="K41" s="10" t="e">
        <f t="shared" ca="1" si="10"/>
        <v>#DIV/0!</v>
      </c>
      <c r="L41" s="10" t="e">
        <f t="shared" ca="1" si="10"/>
        <v>#DIV/0!</v>
      </c>
      <c r="M41" s="10" t="e">
        <f t="shared" ca="1" si="10"/>
        <v>#DIV/0!</v>
      </c>
      <c r="N41" s="10" t="e">
        <f t="shared" ca="1" si="10"/>
        <v>#DIV/0!</v>
      </c>
      <c r="O41" s="10" t="e">
        <f t="shared" ca="1" si="10"/>
        <v>#DIV/0!</v>
      </c>
      <c r="P41" s="10" t="e">
        <f t="shared" ca="1" si="10"/>
        <v>#DIV/0!</v>
      </c>
      <c r="Q41" s="10" t="e">
        <f t="shared" ca="1" si="10"/>
        <v>#DIV/0!</v>
      </c>
      <c r="R41" s="10" t="e">
        <f t="shared" ca="1" si="10"/>
        <v>#DIV/0!</v>
      </c>
      <c r="S41" s="10" t="e">
        <f t="shared" ca="1" si="10"/>
        <v>#DIV/0!</v>
      </c>
      <c r="T41" s="10" t="e">
        <f t="shared" ca="1" si="10"/>
        <v>#DIV/0!</v>
      </c>
      <c r="U41" s="10" t="e">
        <f t="shared" ca="1" si="10"/>
        <v>#DIV/0!</v>
      </c>
      <c r="V41" s="10" t="e">
        <f t="shared" ca="1" si="10"/>
        <v>#DIV/0!</v>
      </c>
      <c r="W41" s="10" t="e">
        <f t="shared" ca="1" si="10"/>
        <v>#DIV/0!</v>
      </c>
      <c r="X41" s="10" t="e">
        <f t="shared" ca="1" si="10"/>
        <v>#DIV/0!</v>
      </c>
      <c r="Y41" s="10" t="e">
        <f t="shared" ca="1" si="10"/>
        <v>#DIV/0!</v>
      </c>
      <c r="Z41" s="10" t="e">
        <f t="shared" ca="1" si="10"/>
        <v>#DIV/0!</v>
      </c>
      <c r="AA41" s="10" t="e">
        <f t="shared" ca="1" si="10"/>
        <v>#DIV/0!</v>
      </c>
      <c r="AB41" s="10" t="e">
        <f t="shared" ca="1" si="10"/>
        <v>#DIV/0!</v>
      </c>
      <c r="AC41" s="10" t="e">
        <f t="shared" ca="1" si="10"/>
        <v>#DIV/0!</v>
      </c>
      <c r="AD41" s="10" t="e">
        <f t="shared" ca="1" si="10"/>
        <v>#DIV/0!</v>
      </c>
      <c r="AE41" s="10" t="e">
        <f t="shared" ca="1" si="10"/>
        <v>#DIV/0!</v>
      </c>
      <c r="AF41" s="10" t="e">
        <f t="shared" ca="1" si="10"/>
        <v>#DIV/0!</v>
      </c>
      <c r="AG41" s="10" t="e">
        <f t="shared" ca="1" si="10"/>
        <v>#DIV/0!</v>
      </c>
      <c r="AH41" s="10" t="e">
        <f t="shared" ca="1" si="10"/>
        <v>#DIV/0!</v>
      </c>
      <c r="AI41" s="10" t="e">
        <f t="shared" ca="1" si="10"/>
        <v>#DIV/0!</v>
      </c>
      <c r="AJ41" s="10" t="e">
        <f t="shared" ca="1" si="10"/>
        <v>#DIV/0!</v>
      </c>
      <c r="AK41" s="10" t="e">
        <f t="shared" ca="1" si="10"/>
        <v>#DIV/0!</v>
      </c>
      <c r="AL41" s="10" t="e">
        <f t="shared" ca="1" si="10"/>
        <v>#DIV/0!</v>
      </c>
      <c r="AM41" s="10" t="e">
        <f t="shared" ca="1" si="10"/>
        <v>#DIV/0!</v>
      </c>
      <c r="AN41" s="10" t="e">
        <f t="shared" ca="1" si="10"/>
        <v>#DIV/0!</v>
      </c>
      <c r="AO41" s="10" t="e">
        <f t="shared" ca="1" si="10"/>
        <v>#DIV/0!</v>
      </c>
      <c r="AP41" s="10" t="e">
        <f t="shared" ca="1" si="10"/>
        <v>#DIV/0!</v>
      </c>
      <c r="AQ41" s="10" t="e">
        <f t="shared" ca="1" si="10"/>
        <v>#DIV/0!</v>
      </c>
      <c r="AR41" s="10" t="e">
        <f t="shared" ca="1" si="10"/>
        <v>#DIV/0!</v>
      </c>
      <c r="AS41" s="10" t="e">
        <f t="shared" ca="1" si="10"/>
        <v>#DIV/0!</v>
      </c>
      <c r="AT41" s="10" t="e">
        <f t="shared" ca="1" si="10"/>
        <v>#DIV/0!</v>
      </c>
      <c r="AU41" s="10" t="e">
        <f t="shared" ca="1" si="10"/>
        <v>#DIV/0!</v>
      </c>
      <c r="AV41" s="10" t="e">
        <f t="shared" ca="1" si="10"/>
        <v>#DIV/0!</v>
      </c>
      <c r="AW41" s="10" t="e">
        <f t="shared" ca="1" si="10"/>
        <v>#DIV/0!</v>
      </c>
      <c r="AX41" s="10" t="e">
        <f t="shared" ca="1" si="10"/>
        <v>#DIV/0!</v>
      </c>
      <c r="AY41" s="10" t="e">
        <f t="shared" ca="1" si="10"/>
        <v>#DIV/0!</v>
      </c>
      <c r="AZ41" s="10" t="e">
        <f t="shared" ca="1" si="10"/>
        <v>#DIV/0!</v>
      </c>
      <c r="BA41" s="10" t="e">
        <f t="shared" ca="1" si="10"/>
        <v>#DIV/0!</v>
      </c>
      <c r="BB41" s="10" t="e">
        <f t="shared" ca="1" si="10"/>
        <v>#DIV/0!</v>
      </c>
      <c r="BC41" s="10" t="e">
        <f t="shared" ca="1" si="10"/>
        <v>#DIV/0!</v>
      </c>
      <c r="BD41" s="10" t="e">
        <f t="shared" ca="1" si="10"/>
        <v>#DIV/0!</v>
      </c>
      <c r="BE41" s="10" t="e">
        <f t="shared" ca="1" si="10"/>
        <v>#DIV/0!</v>
      </c>
      <c r="BF41" s="10" t="e">
        <f t="shared" ca="1" si="10"/>
        <v>#DIV/0!</v>
      </c>
      <c r="BG41" s="10" t="e">
        <f t="shared" ca="1" si="10"/>
        <v>#DIV/0!</v>
      </c>
      <c r="BH41" s="10" t="e">
        <f t="shared" ca="1" si="10"/>
        <v>#DIV/0!</v>
      </c>
      <c r="BI41" s="10" t="e">
        <f t="shared" ca="1" si="10"/>
        <v>#DIV/0!</v>
      </c>
      <c r="BJ41" s="10" t="e">
        <f t="shared" ca="1" si="10"/>
        <v>#DIV/0!</v>
      </c>
      <c r="BK41" s="10" t="e">
        <f t="shared" ca="1" si="10"/>
        <v>#DIV/0!</v>
      </c>
      <c r="BL41" s="10" t="e">
        <f t="shared" ca="1" si="10"/>
        <v>#DIV/0!</v>
      </c>
      <c r="BM41" s="10" t="e">
        <f t="shared" ca="1" si="10"/>
        <v>#DIV/0!</v>
      </c>
      <c r="BN41" s="10" t="e">
        <f t="shared" ca="1" si="10"/>
        <v>#DIV/0!</v>
      </c>
      <c r="BO41" s="10" t="e">
        <f t="shared" ca="1" si="10"/>
        <v>#DIV/0!</v>
      </c>
      <c r="BP41" s="10" t="e">
        <f t="shared" ca="1" si="10"/>
        <v>#DIV/0!</v>
      </c>
      <c r="BQ41" s="10" t="e">
        <f t="shared" ca="1" si="10"/>
        <v>#DIV/0!</v>
      </c>
      <c r="BR41" s="10" t="e">
        <f t="shared" ref="BR41" ca="1" si="11">($B$41*H.Ge+$C$41*H.Ga+$D$41*H.Se)*BR$40*$B$2/1000</f>
        <v>#DIV/0!</v>
      </c>
      <c r="BS41" s="10"/>
    </row>
    <row r="42" spans="1:87" ht="176.25" hidden="1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</row>
    <row r="43" spans="1:87" ht="21" customHeight="1" collapsed="1" thickTop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x14ac:dyDescent="0.4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hidden="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Temperature,К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487.9</v>
      </c>
      <c r="K45" s="3">
        <f t="shared" si="13"/>
        <v>504.4</v>
      </c>
      <c r="L45" s="3">
        <f t="shared" si="13"/>
        <v>520.9</v>
      </c>
      <c r="M45" s="3">
        <f t="shared" si="13"/>
        <v>537.5</v>
      </c>
      <c r="N45" s="3">
        <f t="shared" si="13"/>
        <v>603.5</v>
      </c>
      <c r="O45" s="3">
        <f t="shared" si="13"/>
        <v>669.6</v>
      </c>
      <c r="P45" s="3">
        <f t="shared" si="13"/>
        <v>735.7</v>
      </c>
      <c r="Q45" s="3">
        <f t="shared" si="13"/>
        <v>801.8</v>
      </c>
      <c r="R45" s="3">
        <f t="shared" si="13"/>
        <v>867.8</v>
      </c>
      <c r="S45" s="3">
        <f t="shared" si="13"/>
        <v>884.4</v>
      </c>
      <c r="T45" s="3">
        <f t="shared" si="13"/>
        <v>900.9</v>
      </c>
      <c r="U45" s="3">
        <f t="shared" si="13"/>
        <v>917.4</v>
      </c>
      <c r="V45" s="3">
        <f t="shared" si="13"/>
        <v>933.9</v>
      </c>
      <c r="W45" s="3">
        <f t="shared" si="13"/>
        <v>950.4</v>
      </c>
      <c r="X45" s="3">
        <f t="shared" si="13"/>
        <v>967</v>
      </c>
      <c r="Y45" s="3">
        <f t="shared" si="13"/>
        <v>983.5</v>
      </c>
      <c r="Z45" s="3">
        <f t="shared" si="13"/>
        <v>1000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hidden="1" customHeight="1" outlineLevel="1" thickTop="1" thickBot="1" x14ac:dyDescent="0.4">
      <c r="A46" s="5">
        <f t="shared" ref="A46:E55" si="14">A4</f>
        <v>0</v>
      </c>
      <c r="B46" s="5">
        <f t="shared" si="14"/>
        <v>2</v>
      </c>
      <c r="C46" s="5">
        <f t="shared" si="14"/>
        <v>0</v>
      </c>
      <c r="D46" s="5">
        <f t="shared" si="14"/>
        <v>1</v>
      </c>
      <c r="E46" s="6" t="str">
        <f t="shared" si="14"/>
        <v>*GaSe2</v>
      </c>
      <c r="F46" s="14">
        <f t="shared" ref="F46:U55" ca="1" si="15">$A46*H.Ar + $B46*H.Se + $C46*H.Ge + $D46*H.Ga</f>
        <v>-63.652000000000001</v>
      </c>
      <c r="G46" s="14">
        <f t="shared" ca="1" si="15"/>
        <v>-53.995999999999995</v>
      </c>
      <c r="H46" s="14">
        <f t="shared" ca="1" si="15"/>
        <v>-49.661999999999999</v>
      </c>
      <c r="I46" s="14">
        <f t="shared" ca="1" si="15"/>
        <v>-40.82</v>
      </c>
      <c r="J46" s="14">
        <f t="shared" ca="1" si="15"/>
        <v>-39.885999999999996</v>
      </c>
      <c r="K46" s="14">
        <f t="shared" ca="1" si="15"/>
        <v>-39.01</v>
      </c>
      <c r="L46" s="14">
        <f t="shared" ca="1" si="15"/>
        <v>-38.192</v>
      </c>
      <c r="M46" s="14">
        <f t="shared" ca="1" si="15"/>
        <v>-37.43</v>
      </c>
      <c r="N46" s="14">
        <f t="shared" ca="1" si="15"/>
        <v>-34.844000000000001</v>
      </c>
      <c r="O46" s="14">
        <f t="shared" ca="1" si="15"/>
        <v>-32.792000000000002</v>
      </c>
      <c r="P46" s="14">
        <f t="shared" ca="1" si="15"/>
        <v>-31.144000000000002</v>
      </c>
      <c r="Q46" s="14">
        <f t="shared" ca="1" si="15"/>
        <v>-29.79</v>
      </c>
      <c r="R46" s="14">
        <f t="shared" ca="1" si="15"/>
        <v>-28.661999999999999</v>
      </c>
      <c r="S46" s="14">
        <f t="shared" ca="1" si="15"/>
        <v>-28.41</v>
      </c>
      <c r="T46" s="14">
        <f t="shared" ca="1" si="15"/>
        <v>-28.169999999999998</v>
      </c>
      <c r="U46" s="14">
        <f t="shared" ca="1" si="15"/>
        <v>-27.936</v>
      </c>
      <c r="V46" s="14">
        <f t="shared" ref="G46:BR50" ca="1" si="16">$A46*H.Ar + $B46*H.Se + $C46*H.Ge + $D46*H.Ga</f>
        <v>-27.712</v>
      </c>
      <c r="W46" s="14">
        <f t="shared" ca="1" si="16"/>
        <v>-27.729999999999997</v>
      </c>
      <c r="X46" s="14">
        <f t="shared" ca="1" si="16"/>
        <v>-28.003999999999998</v>
      </c>
      <c r="Y46" s="14">
        <f t="shared" ca="1" si="16"/>
        <v>-28.288</v>
      </c>
      <c r="Z46" s="14">
        <f t="shared" ca="1" si="16"/>
        <v>-28.571999999999999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hidden="1" customHeight="1" outlineLevel="1" thickBot="1" x14ac:dyDescent="0.4">
      <c r="A47" s="5">
        <f t="shared" si="14"/>
        <v>0</v>
      </c>
      <c r="B47" s="5">
        <f t="shared" si="14"/>
        <v>4</v>
      </c>
      <c r="C47" s="5">
        <f t="shared" si="14"/>
        <v>0</v>
      </c>
      <c r="D47" s="5">
        <f t="shared" si="14"/>
        <v>0</v>
      </c>
      <c r="E47" s="6" t="str">
        <f t="shared" si="14"/>
        <v>Se4</v>
      </c>
      <c r="F47" s="14">
        <f t="shared" ca="1" si="15"/>
        <v>-23.923999999999999</v>
      </c>
      <c r="G47" s="14">
        <f t="shared" ca="1" si="16"/>
        <v>-25.332000000000001</v>
      </c>
      <c r="H47" s="14">
        <f t="shared" ca="1" si="16"/>
        <v>-26.884</v>
      </c>
      <c r="I47" s="14">
        <f t="shared" ca="1" si="16"/>
        <v>-28.42</v>
      </c>
      <c r="J47" s="14">
        <f t="shared" ca="1" si="16"/>
        <v>-28.792000000000002</v>
      </c>
      <c r="K47" s="14">
        <f t="shared" ca="1" si="16"/>
        <v>-29.16</v>
      </c>
      <c r="L47" s="14">
        <f t="shared" ca="1" si="16"/>
        <v>-29.524000000000001</v>
      </c>
      <c r="M47" s="14">
        <f t="shared" ca="1" si="16"/>
        <v>-29.88</v>
      </c>
      <c r="N47" s="14">
        <f t="shared" ca="1" si="16"/>
        <v>-31.248000000000001</v>
      </c>
      <c r="O47" s="14">
        <f t="shared" ca="1" si="16"/>
        <v>-32.524000000000001</v>
      </c>
      <c r="P47" s="14">
        <f t="shared" ca="1" si="16"/>
        <v>-33.688000000000002</v>
      </c>
      <c r="Q47" s="14">
        <f t="shared" ca="1" si="16"/>
        <v>-34.6</v>
      </c>
      <c r="R47" s="14">
        <f t="shared" ca="1" si="16"/>
        <v>-34.543999999999997</v>
      </c>
      <c r="S47" s="14">
        <f t="shared" ca="1" si="16"/>
        <v>-34.28</v>
      </c>
      <c r="T47" s="14">
        <f t="shared" ca="1" si="16"/>
        <v>-33.94</v>
      </c>
      <c r="U47" s="14">
        <f t="shared" ca="1" si="16"/>
        <v>-33.552</v>
      </c>
      <c r="V47" s="14">
        <f t="shared" ca="1" si="16"/>
        <v>-33.143999999999998</v>
      </c>
      <c r="W47" s="14">
        <f t="shared" ca="1" si="16"/>
        <v>-33.08</v>
      </c>
      <c r="X47" s="14">
        <f t="shared" ca="1" si="16"/>
        <v>-33.427999999999997</v>
      </c>
      <c r="Y47" s="14">
        <f t="shared" ca="1" si="16"/>
        <v>-33.795999999999999</v>
      </c>
      <c r="Z47" s="14">
        <f t="shared" ca="1" si="16"/>
        <v>-34.183999999999997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hidden="1" customHeight="1" outlineLevel="1" thickBot="1" x14ac:dyDescent="0.4">
      <c r="A48" s="5">
        <f t="shared" si="14"/>
        <v>0</v>
      </c>
      <c r="B48" s="5">
        <f t="shared" si="14"/>
        <v>5</v>
      </c>
      <c r="C48" s="5">
        <f t="shared" si="14"/>
        <v>0</v>
      </c>
      <c r="D48" s="5">
        <f t="shared" si="14"/>
        <v>0</v>
      </c>
      <c r="E48" s="6" t="str">
        <f t="shared" si="14"/>
        <v>Se5</v>
      </c>
      <c r="F48" s="14">
        <f t="shared" ca="1" si="15"/>
        <v>-29.905000000000001</v>
      </c>
      <c r="G48" s="14">
        <f t="shared" ca="1" si="16"/>
        <v>-31.664999999999999</v>
      </c>
      <c r="H48" s="14">
        <f t="shared" ca="1" si="16"/>
        <v>-33.605000000000004</v>
      </c>
      <c r="I48" s="14">
        <f t="shared" ca="1" si="16"/>
        <v>-35.525000000000006</v>
      </c>
      <c r="J48" s="14">
        <f t="shared" ca="1" si="16"/>
        <v>-35.99</v>
      </c>
      <c r="K48" s="14">
        <f t="shared" ca="1" si="16"/>
        <v>-36.450000000000003</v>
      </c>
      <c r="L48" s="14">
        <f t="shared" ca="1" si="16"/>
        <v>-36.905000000000001</v>
      </c>
      <c r="M48" s="14">
        <f t="shared" ca="1" si="16"/>
        <v>-37.35</v>
      </c>
      <c r="N48" s="14">
        <f t="shared" ca="1" si="16"/>
        <v>-39.06</v>
      </c>
      <c r="O48" s="14">
        <f t="shared" ca="1" si="16"/>
        <v>-40.655000000000001</v>
      </c>
      <c r="P48" s="14">
        <f t="shared" ca="1" si="16"/>
        <v>-42.11</v>
      </c>
      <c r="Q48" s="14">
        <f t="shared" ca="1" si="16"/>
        <v>-43.25</v>
      </c>
      <c r="R48" s="14">
        <f t="shared" ca="1" si="16"/>
        <v>-43.179999999999993</v>
      </c>
      <c r="S48" s="14">
        <f t="shared" ca="1" si="16"/>
        <v>-42.85</v>
      </c>
      <c r="T48" s="14">
        <f t="shared" ca="1" si="16"/>
        <v>-42.424999999999997</v>
      </c>
      <c r="U48" s="14">
        <f t="shared" ca="1" si="16"/>
        <v>-41.94</v>
      </c>
      <c r="V48" s="14">
        <f t="shared" ca="1" si="16"/>
        <v>-41.43</v>
      </c>
      <c r="W48" s="14">
        <f t="shared" ca="1" si="16"/>
        <v>-41.349999999999994</v>
      </c>
      <c r="X48" s="14">
        <f t="shared" ca="1" si="16"/>
        <v>-41.784999999999997</v>
      </c>
      <c r="Y48" s="14">
        <f t="shared" ca="1" si="16"/>
        <v>-42.244999999999997</v>
      </c>
      <c r="Z48" s="14">
        <f t="shared" ca="1" si="16"/>
        <v>-42.73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hidden="1" customHeight="1" outlineLevel="1" thickBot="1" x14ac:dyDescent="0.4">
      <c r="A49" s="5">
        <f t="shared" si="14"/>
        <v>0</v>
      </c>
      <c r="B49" s="5">
        <f t="shared" si="14"/>
        <v>1</v>
      </c>
      <c r="C49" s="5">
        <f t="shared" si="14"/>
        <v>0</v>
      </c>
      <c r="D49" s="5">
        <f t="shared" si="14"/>
        <v>0</v>
      </c>
      <c r="E49" s="6" t="str">
        <f t="shared" si="14"/>
        <v>See</v>
      </c>
      <c r="F49" s="14">
        <f t="shared" ca="1" si="15"/>
        <v>-5.9809999999999999</v>
      </c>
      <c r="G49" s="14">
        <f t="shared" ca="1" si="16"/>
        <v>-6.3330000000000002</v>
      </c>
      <c r="H49" s="14">
        <f t="shared" ca="1" si="16"/>
        <v>-6.7210000000000001</v>
      </c>
      <c r="I49" s="14">
        <f t="shared" ca="1" si="16"/>
        <v>-7.1050000000000004</v>
      </c>
      <c r="J49" s="14">
        <f t="shared" ca="1" si="16"/>
        <v>-7.1980000000000004</v>
      </c>
      <c r="K49" s="14">
        <f t="shared" ca="1" si="16"/>
        <v>-7.29</v>
      </c>
      <c r="L49" s="14">
        <f t="shared" ca="1" si="16"/>
        <v>-7.3810000000000002</v>
      </c>
      <c r="M49" s="14">
        <f t="shared" ca="1" si="16"/>
        <v>-7.47</v>
      </c>
      <c r="N49" s="14">
        <f t="shared" ca="1" si="16"/>
        <v>-7.8120000000000003</v>
      </c>
      <c r="O49" s="14">
        <f t="shared" ca="1" si="16"/>
        <v>-8.1310000000000002</v>
      </c>
      <c r="P49" s="14">
        <f t="shared" ca="1" si="16"/>
        <v>-8.4220000000000006</v>
      </c>
      <c r="Q49" s="14">
        <f t="shared" ca="1" si="16"/>
        <v>-8.65</v>
      </c>
      <c r="R49" s="14">
        <f t="shared" ca="1" si="16"/>
        <v>-8.6359999999999992</v>
      </c>
      <c r="S49" s="14">
        <f t="shared" ca="1" si="16"/>
        <v>-8.57</v>
      </c>
      <c r="T49" s="14">
        <f t="shared" ca="1" si="16"/>
        <v>-8.4849999999999994</v>
      </c>
      <c r="U49" s="14">
        <f t="shared" ca="1" si="16"/>
        <v>-8.3879999999999999</v>
      </c>
      <c r="V49" s="14">
        <f t="shared" ca="1" si="16"/>
        <v>-8.2859999999999996</v>
      </c>
      <c r="W49" s="14">
        <f t="shared" ca="1" si="16"/>
        <v>-8.27</v>
      </c>
      <c r="X49" s="14">
        <f t="shared" ca="1" si="16"/>
        <v>-8.3569999999999993</v>
      </c>
      <c r="Y49" s="14">
        <f t="shared" ca="1" si="16"/>
        <v>-8.4489999999999998</v>
      </c>
      <c r="Z49" s="14">
        <f t="shared" ca="1" si="16"/>
        <v>-8.5459999999999994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hidden="1" customHeight="1" outlineLevel="1" thickBot="1" x14ac:dyDescent="0.4">
      <c r="A50" s="5">
        <f t="shared" si="14"/>
        <v>0</v>
      </c>
      <c r="B50" s="5">
        <f t="shared" si="14"/>
        <v>1</v>
      </c>
      <c r="C50" s="5">
        <f t="shared" si="14"/>
        <v>0</v>
      </c>
      <c r="D50" s="5">
        <f t="shared" si="14"/>
        <v>0</v>
      </c>
      <c r="E50" s="6" t="str">
        <f t="shared" si="14"/>
        <v>Se?</v>
      </c>
      <c r="F50" s="14">
        <f t="shared" ca="1" si="15"/>
        <v>-5.9809999999999999</v>
      </c>
      <c r="G50" s="14">
        <f t="shared" ca="1" si="16"/>
        <v>-6.3330000000000002</v>
      </c>
      <c r="H50" s="14">
        <f t="shared" ca="1" si="16"/>
        <v>-6.7210000000000001</v>
      </c>
      <c r="I50" s="14">
        <f t="shared" ca="1" si="16"/>
        <v>-7.1050000000000004</v>
      </c>
      <c r="J50" s="14">
        <f t="shared" ca="1" si="16"/>
        <v>-7.1980000000000004</v>
      </c>
      <c r="K50" s="14">
        <f t="shared" ca="1" si="16"/>
        <v>-7.29</v>
      </c>
      <c r="L50" s="14">
        <f t="shared" ca="1" si="16"/>
        <v>-7.3810000000000002</v>
      </c>
      <c r="M50" s="14">
        <f t="shared" ca="1" si="16"/>
        <v>-7.47</v>
      </c>
      <c r="N50" s="14">
        <f t="shared" ca="1" si="16"/>
        <v>-7.8120000000000003</v>
      </c>
      <c r="O50" s="14">
        <f t="shared" ca="1" si="16"/>
        <v>-8.1310000000000002</v>
      </c>
      <c r="P50" s="14">
        <f t="shared" ca="1" si="16"/>
        <v>-8.4220000000000006</v>
      </c>
      <c r="Q50" s="14">
        <f t="shared" ca="1" si="16"/>
        <v>-8.65</v>
      </c>
      <c r="R50" s="14">
        <f t="shared" ca="1" si="16"/>
        <v>-8.6359999999999992</v>
      </c>
      <c r="S50" s="14">
        <f t="shared" ca="1" si="16"/>
        <v>-8.57</v>
      </c>
      <c r="T50" s="14">
        <f t="shared" ca="1" si="16"/>
        <v>-8.4849999999999994</v>
      </c>
      <c r="U50" s="14">
        <f t="shared" ref="G50:BR54" ca="1" si="17">$A50*H.Ar + $B50*H.Se + $C50*H.Ge + $D50*H.Ga</f>
        <v>-8.3879999999999999</v>
      </c>
      <c r="V50" s="14">
        <f t="shared" ca="1" si="17"/>
        <v>-8.2859999999999996</v>
      </c>
      <c r="W50" s="14">
        <f t="shared" ca="1" si="17"/>
        <v>-8.27</v>
      </c>
      <c r="X50" s="14">
        <f t="shared" ca="1" si="17"/>
        <v>-8.3569999999999993</v>
      </c>
      <c r="Y50" s="14">
        <f t="shared" ca="1" si="17"/>
        <v>-8.4489999999999998</v>
      </c>
      <c r="Z50" s="14">
        <f t="shared" ca="1" si="17"/>
        <v>-8.5459999999999994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hidden="1" customHeight="1" outlineLevel="1" thickBot="1" x14ac:dyDescent="0.4">
      <c r="A51" s="5">
        <f t="shared" si="14"/>
        <v>0</v>
      </c>
      <c r="B51" s="5">
        <f t="shared" si="14"/>
        <v>8</v>
      </c>
      <c r="C51" s="5">
        <f t="shared" si="14"/>
        <v>0</v>
      </c>
      <c r="D51" s="5">
        <f t="shared" si="14"/>
        <v>0</v>
      </c>
      <c r="E51" s="6" t="str">
        <f t="shared" si="14"/>
        <v>Se8</v>
      </c>
      <c r="F51" s="14">
        <f t="shared" ca="1" si="15"/>
        <v>-47.847999999999999</v>
      </c>
      <c r="G51" s="14">
        <f t="shared" ca="1" si="17"/>
        <v>-50.664000000000001</v>
      </c>
      <c r="H51" s="14">
        <f t="shared" ca="1" si="17"/>
        <v>-53.768000000000001</v>
      </c>
      <c r="I51" s="14">
        <f t="shared" ca="1" si="17"/>
        <v>-56.84</v>
      </c>
      <c r="J51" s="14">
        <f t="shared" ca="1" si="17"/>
        <v>-57.584000000000003</v>
      </c>
      <c r="K51" s="14">
        <f t="shared" ca="1" si="17"/>
        <v>-58.32</v>
      </c>
      <c r="L51" s="14">
        <f t="shared" ca="1" si="17"/>
        <v>-59.048000000000002</v>
      </c>
      <c r="M51" s="14">
        <f t="shared" ca="1" si="17"/>
        <v>-59.76</v>
      </c>
      <c r="N51" s="14">
        <f t="shared" ca="1" si="17"/>
        <v>-62.496000000000002</v>
      </c>
      <c r="O51" s="14">
        <f t="shared" ca="1" si="17"/>
        <v>-65.048000000000002</v>
      </c>
      <c r="P51" s="14">
        <f t="shared" ca="1" si="17"/>
        <v>-67.376000000000005</v>
      </c>
      <c r="Q51" s="14">
        <f t="shared" ca="1" si="17"/>
        <v>-69.2</v>
      </c>
      <c r="R51" s="14">
        <f t="shared" ca="1" si="17"/>
        <v>-69.087999999999994</v>
      </c>
      <c r="S51" s="14">
        <f t="shared" ca="1" si="17"/>
        <v>-68.56</v>
      </c>
      <c r="T51" s="14">
        <f t="shared" ca="1" si="17"/>
        <v>-67.88</v>
      </c>
      <c r="U51" s="14">
        <f t="shared" ca="1" si="17"/>
        <v>-67.103999999999999</v>
      </c>
      <c r="V51" s="14">
        <f t="shared" ca="1" si="17"/>
        <v>-66.287999999999997</v>
      </c>
      <c r="W51" s="14">
        <f t="shared" ca="1" si="17"/>
        <v>-66.16</v>
      </c>
      <c r="X51" s="14">
        <f t="shared" ca="1" si="17"/>
        <v>-66.855999999999995</v>
      </c>
      <c r="Y51" s="14">
        <f t="shared" ca="1" si="17"/>
        <v>-67.591999999999999</v>
      </c>
      <c r="Z51" s="14">
        <f t="shared" ca="1" si="17"/>
        <v>-68.367999999999995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hidden="1" customHeight="1" outlineLevel="1" thickBot="1" x14ac:dyDescent="0.4">
      <c r="A52" s="5">
        <f t="shared" si="14"/>
        <v>0</v>
      </c>
      <c r="B52" s="5">
        <f t="shared" si="14"/>
        <v>3</v>
      </c>
      <c r="C52" s="5">
        <f t="shared" si="14"/>
        <v>0</v>
      </c>
      <c r="D52" s="5">
        <f t="shared" si="14"/>
        <v>0</v>
      </c>
      <c r="E52" s="6" t="str">
        <f t="shared" si="14"/>
        <v>Se3</v>
      </c>
      <c r="F52" s="14">
        <f t="shared" ca="1" si="15"/>
        <v>-17.942999999999998</v>
      </c>
      <c r="G52" s="14">
        <f t="shared" ca="1" si="17"/>
        <v>-18.999000000000002</v>
      </c>
      <c r="H52" s="14">
        <f t="shared" ca="1" si="17"/>
        <v>-20.163</v>
      </c>
      <c r="I52" s="14">
        <f t="shared" ca="1" si="17"/>
        <v>-21.315000000000001</v>
      </c>
      <c r="J52" s="14">
        <f t="shared" ca="1" si="17"/>
        <v>-21.594000000000001</v>
      </c>
      <c r="K52" s="14">
        <f t="shared" ca="1" si="17"/>
        <v>-21.87</v>
      </c>
      <c r="L52" s="14">
        <f t="shared" ca="1" si="17"/>
        <v>-22.143000000000001</v>
      </c>
      <c r="M52" s="14">
        <f t="shared" ca="1" si="17"/>
        <v>-22.41</v>
      </c>
      <c r="N52" s="14">
        <f t="shared" ca="1" si="17"/>
        <v>-23.436</v>
      </c>
      <c r="O52" s="14">
        <f t="shared" ca="1" si="17"/>
        <v>-24.393000000000001</v>
      </c>
      <c r="P52" s="14">
        <f t="shared" ca="1" si="17"/>
        <v>-25.266000000000002</v>
      </c>
      <c r="Q52" s="14">
        <f t="shared" ca="1" si="17"/>
        <v>-25.950000000000003</v>
      </c>
      <c r="R52" s="14">
        <f t="shared" ca="1" si="17"/>
        <v>-25.907999999999998</v>
      </c>
      <c r="S52" s="14">
        <f t="shared" ca="1" si="17"/>
        <v>-25.71</v>
      </c>
      <c r="T52" s="14">
        <f t="shared" ca="1" si="17"/>
        <v>-25.454999999999998</v>
      </c>
      <c r="U52" s="14">
        <f t="shared" ca="1" si="17"/>
        <v>-25.164000000000001</v>
      </c>
      <c r="V52" s="14">
        <f t="shared" ca="1" si="17"/>
        <v>-24.857999999999997</v>
      </c>
      <c r="W52" s="14">
        <f t="shared" ca="1" si="17"/>
        <v>-24.81</v>
      </c>
      <c r="X52" s="14">
        <f t="shared" ca="1" si="17"/>
        <v>-25.070999999999998</v>
      </c>
      <c r="Y52" s="14">
        <f t="shared" ca="1" si="17"/>
        <v>-25.347000000000001</v>
      </c>
      <c r="Z52" s="14">
        <f t="shared" ca="1" si="17"/>
        <v>-25.637999999999998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hidden="1" customHeight="1" outlineLevel="1" thickBot="1" x14ac:dyDescent="0.4">
      <c r="A53" s="5">
        <f t="shared" si="14"/>
        <v>0</v>
      </c>
      <c r="B53" s="5">
        <f t="shared" si="14"/>
        <v>2</v>
      </c>
      <c r="C53" s="5">
        <f t="shared" si="14"/>
        <v>0</v>
      </c>
      <c r="D53" s="5">
        <f t="shared" si="14"/>
        <v>0</v>
      </c>
      <c r="E53" s="6" t="str">
        <f t="shared" si="14"/>
        <v>Se2</v>
      </c>
      <c r="F53" s="14">
        <f t="shared" ca="1" si="15"/>
        <v>-11.962</v>
      </c>
      <c r="G53" s="14">
        <f t="shared" ca="1" si="17"/>
        <v>-12.666</v>
      </c>
      <c r="H53" s="14">
        <f t="shared" ca="1" si="17"/>
        <v>-13.442</v>
      </c>
      <c r="I53" s="14">
        <f t="shared" ca="1" si="17"/>
        <v>-14.21</v>
      </c>
      <c r="J53" s="14">
        <f t="shared" ca="1" si="17"/>
        <v>-14.396000000000001</v>
      </c>
      <c r="K53" s="14">
        <f t="shared" ca="1" si="17"/>
        <v>-14.58</v>
      </c>
      <c r="L53" s="14">
        <f t="shared" ca="1" si="17"/>
        <v>-14.762</v>
      </c>
      <c r="M53" s="14">
        <f t="shared" ca="1" si="17"/>
        <v>-14.94</v>
      </c>
      <c r="N53" s="14">
        <f t="shared" ca="1" si="17"/>
        <v>-15.624000000000001</v>
      </c>
      <c r="O53" s="14">
        <f t="shared" ca="1" si="17"/>
        <v>-16.262</v>
      </c>
      <c r="P53" s="14">
        <f t="shared" ca="1" si="17"/>
        <v>-16.844000000000001</v>
      </c>
      <c r="Q53" s="14">
        <f t="shared" ca="1" si="17"/>
        <v>-17.3</v>
      </c>
      <c r="R53" s="14">
        <f t="shared" ca="1" si="17"/>
        <v>-17.271999999999998</v>
      </c>
      <c r="S53" s="14">
        <f t="shared" ca="1" si="17"/>
        <v>-17.14</v>
      </c>
      <c r="T53" s="14">
        <f t="shared" ca="1" si="17"/>
        <v>-16.97</v>
      </c>
      <c r="U53" s="14">
        <f t="shared" ca="1" si="17"/>
        <v>-16.776</v>
      </c>
      <c r="V53" s="14">
        <f t="shared" ca="1" si="17"/>
        <v>-16.571999999999999</v>
      </c>
      <c r="W53" s="14">
        <f t="shared" ca="1" si="17"/>
        <v>-16.54</v>
      </c>
      <c r="X53" s="14">
        <f t="shared" ca="1" si="17"/>
        <v>-16.713999999999999</v>
      </c>
      <c r="Y53" s="14">
        <f t="shared" ca="1" si="17"/>
        <v>-16.898</v>
      </c>
      <c r="Z53" s="14">
        <f t="shared" ca="1" si="17"/>
        <v>-17.091999999999999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hidden="1" customHeight="1" outlineLevel="1" thickBot="1" x14ac:dyDescent="0.4">
      <c r="A54" s="5">
        <f t="shared" si="14"/>
        <v>1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 t="str">
        <f t="shared" si="14"/>
        <v>Ar</v>
      </c>
      <c r="F54" s="14">
        <f t="shared" ca="1" si="15"/>
        <v>-18.62</v>
      </c>
      <c r="G54" s="14">
        <f t="shared" ca="1" si="17"/>
        <v>-18.63</v>
      </c>
      <c r="H54" s="14">
        <f t="shared" ca="1" si="17"/>
        <v>-18.72</v>
      </c>
      <c r="I54" s="14">
        <f t="shared" ca="1" si="17"/>
        <v>-18.84</v>
      </c>
      <c r="J54" s="14">
        <f t="shared" ca="1" si="17"/>
        <v>-18.87</v>
      </c>
      <c r="K54" s="14">
        <f t="shared" ca="1" si="17"/>
        <v>-18.899999999999999</v>
      </c>
      <c r="L54" s="14">
        <f t="shared" ca="1" si="17"/>
        <v>-18.940000000000001</v>
      </c>
      <c r="M54" s="14">
        <f t="shared" ca="1" si="17"/>
        <v>-18.97</v>
      </c>
      <c r="N54" s="14">
        <f t="shared" ca="1" si="17"/>
        <v>-19.11</v>
      </c>
      <c r="O54" s="14">
        <f t="shared" ca="1" si="17"/>
        <v>-19.25</v>
      </c>
      <c r="P54" s="14">
        <f t="shared" ca="1" si="17"/>
        <v>-19.38</v>
      </c>
      <c r="Q54" s="14">
        <f t="shared" ca="1" si="17"/>
        <v>-19.510000000000002</v>
      </c>
      <c r="R54" s="14">
        <f t="shared" ca="1" si="17"/>
        <v>-19.66</v>
      </c>
      <c r="S54" s="14">
        <f t="shared" ca="1" si="17"/>
        <v>-19.72</v>
      </c>
      <c r="T54" s="14">
        <f t="shared" ref="G54:BR58" ca="1" si="18">$A54*H.Ar + $B54*H.Se + $C54*H.Ge + $D54*H.Ga</f>
        <v>-19.78</v>
      </c>
      <c r="U54" s="14">
        <f t="shared" ca="1" si="18"/>
        <v>-19.87</v>
      </c>
      <c r="V54" s="14">
        <f t="shared" ca="1" si="18"/>
        <v>-19.989999999999998</v>
      </c>
      <c r="W54" s="14">
        <f t="shared" ca="1" si="18"/>
        <v>-20.100000000000001</v>
      </c>
      <c r="X54" s="14">
        <f t="shared" ca="1" si="18"/>
        <v>-20.149999999999999</v>
      </c>
      <c r="Y54" s="14">
        <f t="shared" ca="1" si="18"/>
        <v>-20.2</v>
      </c>
      <c r="Z54" s="14">
        <f t="shared" ca="1" si="18"/>
        <v>-20.25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hidden="1" customHeight="1" outlineLevel="1" thickBot="1" x14ac:dyDescent="0.4">
      <c r="A55" s="5">
        <f t="shared" si="14"/>
        <v>0</v>
      </c>
      <c r="B55" s="5">
        <f t="shared" si="14"/>
        <v>1</v>
      </c>
      <c r="C55" s="5">
        <f t="shared" si="14"/>
        <v>0</v>
      </c>
      <c r="D55" s="5">
        <f t="shared" si="14"/>
        <v>2</v>
      </c>
      <c r="E55" s="6" t="str">
        <f t="shared" si="14"/>
        <v>Ga2Se</v>
      </c>
      <c r="F55" s="14">
        <f t="shared" ca="1" si="15"/>
        <v>-109.36099999999999</v>
      </c>
      <c r="G55" s="14">
        <f t="shared" ca="1" si="18"/>
        <v>-88.992999999999995</v>
      </c>
      <c r="H55" s="14">
        <f t="shared" ca="1" si="18"/>
        <v>-79.161000000000001</v>
      </c>
      <c r="I55" s="14">
        <f t="shared" ca="1" si="18"/>
        <v>-60.325000000000003</v>
      </c>
      <c r="J55" s="14">
        <f t="shared" ca="1" si="18"/>
        <v>-58.177999999999997</v>
      </c>
      <c r="K55" s="14">
        <f t="shared" ca="1" si="18"/>
        <v>-56.15</v>
      </c>
      <c r="L55" s="14">
        <f t="shared" ca="1" si="18"/>
        <v>-54.241</v>
      </c>
      <c r="M55" s="14">
        <f t="shared" ca="1" si="18"/>
        <v>-52.449999999999996</v>
      </c>
      <c r="N55" s="14">
        <f t="shared" ca="1" si="18"/>
        <v>-46.251999999999995</v>
      </c>
      <c r="O55" s="14">
        <f t="shared" ca="1" si="18"/>
        <v>-41.191000000000003</v>
      </c>
      <c r="P55" s="14">
        <f t="shared" ca="1" si="18"/>
        <v>-37.022000000000006</v>
      </c>
      <c r="Q55" s="14">
        <f t="shared" ca="1" si="18"/>
        <v>-33.630000000000003</v>
      </c>
      <c r="R55" s="14">
        <f t="shared" ca="1" si="18"/>
        <v>-31.416</v>
      </c>
      <c r="S55" s="14">
        <f t="shared" ca="1" si="18"/>
        <v>-31.11</v>
      </c>
      <c r="T55" s="14">
        <f t="shared" ca="1" si="18"/>
        <v>-30.884999999999998</v>
      </c>
      <c r="U55" s="14">
        <f t="shared" ca="1" si="18"/>
        <v>-30.707999999999998</v>
      </c>
      <c r="V55" s="14">
        <f t="shared" ca="1" si="18"/>
        <v>-30.566000000000003</v>
      </c>
      <c r="W55" s="14">
        <f t="shared" ca="1" si="18"/>
        <v>-30.65</v>
      </c>
      <c r="X55" s="14">
        <f t="shared" ca="1" si="18"/>
        <v>-30.936999999999998</v>
      </c>
      <c r="Y55" s="14">
        <f t="shared" ca="1" si="18"/>
        <v>-31.228999999999999</v>
      </c>
      <c r="Z55" s="14">
        <f t="shared" ca="1" si="18"/>
        <v>-31.506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hidden="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1</v>
      </c>
      <c r="E56" s="6" t="str">
        <f t="shared" si="19"/>
        <v>(l)Ga[l]</v>
      </c>
      <c r="F56" s="14">
        <f t="shared" ref="F56:U65" ca="1" si="20">$A56*H.Ar + $B56*H.Se + $C56*H.Ge + $D56*H.Ga</f>
        <v>-51.69</v>
      </c>
      <c r="G56" s="14">
        <f t="shared" ca="1" si="20"/>
        <v>-41.33</v>
      </c>
      <c r="H56" s="14">
        <f t="shared" ca="1" si="20"/>
        <v>-36.22</v>
      </c>
      <c r="I56" s="14">
        <f t="shared" ca="1" si="20"/>
        <v>-26.61</v>
      </c>
      <c r="J56" s="14">
        <f t="shared" ca="1" si="20"/>
        <v>-25.49</v>
      </c>
      <c r="K56" s="14">
        <f t="shared" ca="1" si="20"/>
        <v>-24.43</v>
      </c>
      <c r="L56" s="14">
        <f t="shared" ca="1" si="20"/>
        <v>-23.43</v>
      </c>
      <c r="M56" s="14">
        <f t="shared" ca="1" si="20"/>
        <v>-22.49</v>
      </c>
      <c r="N56" s="14">
        <f t="shared" ca="1" si="20"/>
        <v>-19.22</v>
      </c>
      <c r="O56" s="14">
        <f t="shared" ca="1" si="20"/>
        <v>-16.53</v>
      </c>
      <c r="P56" s="14">
        <f t="shared" ca="1" si="20"/>
        <v>-14.3</v>
      </c>
      <c r="Q56" s="14">
        <f t="shared" ca="1" si="20"/>
        <v>-12.49</v>
      </c>
      <c r="R56" s="14">
        <f t="shared" ca="1" si="20"/>
        <v>-11.39</v>
      </c>
      <c r="S56" s="14">
        <f t="shared" ca="1" si="20"/>
        <v>-11.27</v>
      </c>
      <c r="T56" s="14">
        <f t="shared" ca="1" si="20"/>
        <v>-11.2</v>
      </c>
      <c r="U56" s="14">
        <f t="shared" ca="1" si="20"/>
        <v>-11.16</v>
      </c>
      <c r="V56" s="14">
        <f t="shared" ca="1" si="18"/>
        <v>-11.14</v>
      </c>
      <c r="W56" s="14">
        <f t="shared" ca="1" si="18"/>
        <v>-11.19</v>
      </c>
      <c r="X56" s="14">
        <f t="shared" ca="1" si="18"/>
        <v>-11.29</v>
      </c>
      <c r="Y56" s="14">
        <f t="shared" ca="1" si="18"/>
        <v>-11.39</v>
      </c>
      <c r="Z56" s="14">
        <f t="shared" ca="1" si="18"/>
        <v>-11.48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hidden="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1</v>
      </c>
      <c r="D57" s="5">
        <f t="shared" si="19"/>
        <v>0</v>
      </c>
      <c r="E57" s="6" t="str">
        <f t="shared" si="19"/>
        <v>(1)Ge[l]</v>
      </c>
      <c r="F57" s="14">
        <f t="shared" ca="1" si="20"/>
        <v>-27.38</v>
      </c>
      <c r="G57" s="14">
        <f t="shared" ca="1" si="18"/>
        <v>-22.79</v>
      </c>
      <c r="H57" s="14">
        <f t="shared" ca="1" si="18"/>
        <v>-19.79</v>
      </c>
      <c r="I57" s="14">
        <f t="shared" ca="1" si="18"/>
        <v>-17.71</v>
      </c>
      <c r="J57" s="14">
        <f t="shared" ca="1" si="18"/>
        <v>-17.28</v>
      </c>
      <c r="K57" s="14">
        <f t="shared" ca="1" si="18"/>
        <v>-16.89</v>
      </c>
      <c r="L57" s="14">
        <f t="shared" ca="1" si="18"/>
        <v>-16.53</v>
      </c>
      <c r="M57" s="14">
        <f t="shared" ca="1" si="18"/>
        <v>-16.190000000000001</v>
      </c>
      <c r="N57" s="14">
        <f t="shared" ca="1" si="18"/>
        <v>-15.05</v>
      </c>
      <c r="O57" s="14">
        <f t="shared" ca="1" si="18"/>
        <v>-14.18</v>
      </c>
      <c r="P57" s="14">
        <f t="shared" ca="1" si="18"/>
        <v>-13.5</v>
      </c>
      <c r="Q57" s="14">
        <f t="shared" ca="1" si="18"/>
        <v>-13.02</v>
      </c>
      <c r="R57" s="14">
        <f t="shared" ca="1" si="18"/>
        <v>-12.95</v>
      </c>
      <c r="S57" s="14">
        <f t="shared" ca="1" si="18"/>
        <v>-13.04</v>
      </c>
      <c r="T57" s="14">
        <f t="shared" ca="1" si="18"/>
        <v>-13.16</v>
      </c>
      <c r="U57" s="14">
        <f t="shared" ca="1" si="18"/>
        <v>-13.32</v>
      </c>
      <c r="V57" s="14">
        <f t="shared" ca="1" si="18"/>
        <v>-13.51</v>
      </c>
      <c r="W57" s="14">
        <f t="shared" ca="1" si="18"/>
        <v>-13.57</v>
      </c>
      <c r="X57" s="14">
        <f t="shared" ca="1" si="18"/>
        <v>-13.44</v>
      </c>
      <c r="Y57" s="14">
        <f t="shared" ca="1" si="18"/>
        <v>-13.3</v>
      </c>
      <c r="Z57" s="14">
        <f t="shared" ca="1" si="18"/>
        <v>-13.16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hidden="1" customHeight="1" outlineLevel="1" thickBot="1" x14ac:dyDescent="0.4">
      <c r="A58" s="5">
        <f t="shared" si="19"/>
        <v>0</v>
      </c>
      <c r="B58" s="5">
        <f t="shared" si="19"/>
        <v>1</v>
      </c>
      <c r="C58" s="5">
        <f t="shared" si="19"/>
        <v>0</v>
      </c>
      <c r="D58" s="5">
        <f t="shared" si="19"/>
        <v>0</v>
      </c>
      <c r="E58" s="6" t="str">
        <f t="shared" si="19"/>
        <v>(1)Se[l]</v>
      </c>
      <c r="F58" s="14">
        <f t="shared" ca="1" si="20"/>
        <v>-5.9809999999999999</v>
      </c>
      <c r="G58" s="14">
        <f t="shared" ca="1" si="18"/>
        <v>-6.3330000000000002</v>
      </c>
      <c r="H58" s="14">
        <f t="shared" ca="1" si="18"/>
        <v>-6.7210000000000001</v>
      </c>
      <c r="I58" s="14">
        <f t="shared" ca="1" si="18"/>
        <v>-7.1050000000000004</v>
      </c>
      <c r="J58" s="14">
        <f t="shared" ca="1" si="18"/>
        <v>-7.1980000000000004</v>
      </c>
      <c r="K58" s="14">
        <f t="shared" ca="1" si="18"/>
        <v>-7.29</v>
      </c>
      <c r="L58" s="14">
        <f t="shared" ca="1" si="18"/>
        <v>-7.3810000000000002</v>
      </c>
      <c r="M58" s="14">
        <f t="shared" ca="1" si="18"/>
        <v>-7.47</v>
      </c>
      <c r="N58" s="14">
        <f t="shared" ca="1" si="18"/>
        <v>-7.8120000000000003</v>
      </c>
      <c r="O58" s="14">
        <f t="shared" ca="1" si="18"/>
        <v>-8.1310000000000002</v>
      </c>
      <c r="P58" s="14">
        <f t="shared" ca="1" si="18"/>
        <v>-8.4220000000000006</v>
      </c>
      <c r="Q58" s="14">
        <f t="shared" ca="1" si="18"/>
        <v>-8.65</v>
      </c>
      <c r="R58" s="14">
        <f t="shared" ca="1" si="18"/>
        <v>-8.6359999999999992</v>
      </c>
      <c r="S58" s="14">
        <f t="shared" ca="1" si="18"/>
        <v>-8.57</v>
      </c>
      <c r="T58" s="14">
        <f t="shared" ca="1" si="18"/>
        <v>-8.4849999999999994</v>
      </c>
      <c r="U58" s="14">
        <f t="shared" ca="1" si="18"/>
        <v>-8.3879999999999999</v>
      </c>
      <c r="V58" s="14">
        <f t="shared" ca="1" si="18"/>
        <v>-8.2859999999999996</v>
      </c>
      <c r="W58" s="14">
        <f t="shared" ca="1" si="18"/>
        <v>-8.27</v>
      </c>
      <c r="X58" s="14">
        <f t="shared" ca="1" si="18"/>
        <v>-8.3569999999999993</v>
      </c>
      <c r="Y58" s="14">
        <f t="shared" ca="1" si="18"/>
        <v>-8.4489999999999998</v>
      </c>
      <c r="Z58" s="14">
        <f t="shared" ca="1" si="18"/>
        <v>-8.5459999999999994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hidden="1" customHeight="1" outlineLevel="1" thickBot="1" x14ac:dyDescent="0.4">
      <c r="A59" s="5">
        <f t="shared" si="19"/>
        <v>0</v>
      </c>
      <c r="B59" s="5">
        <f t="shared" si="19"/>
        <v>1</v>
      </c>
      <c r="C59" s="5">
        <f t="shared" si="19"/>
        <v>1</v>
      </c>
      <c r="D59" s="5">
        <f t="shared" si="19"/>
        <v>0</v>
      </c>
      <c r="E59" s="6" t="str">
        <f t="shared" si="19"/>
        <v>(1)GeSe[l]</v>
      </c>
      <c r="F59" s="14">
        <f t="shared" ca="1" si="20"/>
        <v>-33.360999999999997</v>
      </c>
      <c r="G59" s="14">
        <f t="shared" ca="1" si="21"/>
        <v>-29.122999999999998</v>
      </c>
      <c r="H59" s="14">
        <f t="shared" ca="1" si="21"/>
        <v>-26.510999999999999</v>
      </c>
      <c r="I59" s="14">
        <f t="shared" ca="1" si="21"/>
        <v>-24.815000000000001</v>
      </c>
      <c r="J59" s="14">
        <f t="shared" ca="1" si="21"/>
        <v>-24.478000000000002</v>
      </c>
      <c r="K59" s="14">
        <f t="shared" ca="1" si="21"/>
        <v>-24.18</v>
      </c>
      <c r="L59" s="14">
        <f t="shared" ca="1" si="21"/>
        <v>-23.911000000000001</v>
      </c>
      <c r="M59" s="14">
        <f t="shared" ca="1" si="21"/>
        <v>-23.66</v>
      </c>
      <c r="N59" s="14">
        <f t="shared" ca="1" si="21"/>
        <v>-22.862000000000002</v>
      </c>
      <c r="O59" s="14">
        <f t="shared" ca="1" si="21"/>
        <v>-22.311</v>
      </c>
      <c r="P59" s="14">
        <f t="shared" ca="1" si="21"/>
        <v>-21.922000000000001</v>
      </c>
      <c r="Q59" s="14">
        <f t="shared" ca="1" si="21"/>
        <v>-21.67</v>
      </c>
      <c r="R59" s="14">
        <f t="shared" ca="1" si="21"/>
        <v>-21.585999999999999</v>
      </c>
      <c r="S59" s="14">
        <f t="shared" ca="1" si="21"/>
        <v>-21.61</v>
      </c>
      <c r="T59" s="14">
        <f t="shared" ca="1" si="21"/>
        <v>-21.645</v>
      </c>
      <c r="U59" s="14">
        <f t="shared" ca="1" si="21"/>
        <v>-21.707999999999998</v>
      </c>
      <c r="V59" s="14">
        <f t="shared" ca="1" si="21"/>
        <v>-21.795999999999999</v>
      </c>
      <c r="W59" s="14">
        <f t="shared" ca="1" si="21"/>
        <v>-21.84</v>
      </c>
      <c r="X59" s="14">
        <f t="shared" ca="1" si="21"/>
        <v>-21.796999999999997</v>
      </c>
      <c r="Y59" s="14">
        <f t="shared" ca="1" si="21"/>
        <v>-21.749000000000002</v>
      </c>
      <c r="Z59" s="14">
        <f t="shared" ca="1" si="21"/>
        <v>-21.706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hidden="1" customHeight="1" outlineLevel="1" thickBot="1" x14ac:dyDescent="0.4">
      <c r="A60" s="5">
        <f t="shared" si="19"/>
        <v>1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 t="str">
        <f t="shared" si="19"/>
        <v>H (Ar)</v>
      </c>
      <c r="F60" s="14">
        <f t="shared" ca="1" si="20"/>
        <v>-18.62</v>
      </c>
      <c r="G60" s="14">
        <f t="shared" ca="1" si="21"/>
        <v>-18.63</v>
      </c>
      <c r="H60" s="14">
        <f t="shared" ca="1" si="21"/>
        <v>-18.72</v>
      </c>
      <c r="I60" s="14">
        <f t="shared" ca="1" si="21"/>
        <v>-18.84</v>
      </c>
      <c r="J60" s="14">
        <f t="shared" ca="1" si="21"/>
        <v>-18.87</v>
      </c>
      <c r="K60" s="14">
        <f t="shared" ca="1" si="21"/>
        <v>-18.899999999999999</v>
      </c>
      <c r="L60" s="14">
        <f t="shared" ca="1" si="21"/>
        <v>-18.940000000000001</v>
      </c>
      <c r="M60" s="14">
        <f t="shared" ca="1" si="21"/>
        <v>-18.97</v>
      </c>
      <c r="N60" s="14">
        <f t="shared" ca="1" si="21"/>
        <v>-19.11</v>
      </c>
      <c r="O60" s="14">
        <f t="shared" ca="1" si="21"/>
        <v>-19.25</v>
      </c>
      <c r="P60" s="14">
        <f t="shared" ca="1" si="21"/>
        <v>-19.38</v>
      </c>
      <c r="Q60" s="14">
        <f t="shared" ca="1" si="21"/>
        <v>-19.510000000000002</v>
      </c>
      <c r="R60" s="14">
        <f t="shared" ca="1" si="21"/>
        <v>-19.66</v>
      </c>
      <c r="S60" s="14">
        <f t="shared" ca="1" si="21"/>
        <v>-19.72</v>
      </c>
      <c r="T60" s="14">
        <f t="shared" ca="1" si="21"/>
        <v>-19.78</v>
      </c>
      <c r="U60" s="14">
        <f t="shared" ca="1" si="21"/>
        <v>-19.87</v>
      </c>
      <c r="V60" s="14">
        <f t="shared" ca="1" si="21"/>
        <v>-19.989999999999998</v>
      </c>
      <c r="W60" s="14">
        <f t="shared" ca="1" si="21"/>
        <v>-20.100000000000001</v>
      </c>
      <c r="X60" s="14">
        <f t="shared" ca="1" si="21"/>
        <v>-20.149999999999999</v>
      </c>
      <c r="Y60" s="14">
        <f t="shared" ca="1" si="21"/>
        <v>-20.2</v>
      </c>
      <c r="Z60" s="14">
        <f t="shared" ca="1" si="21"/>
        <v>-20.25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hidden="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1</v>
      </c>
      <c r="E61" s="6" t="str">
        <f t="shared" si="19"/>
        <v>H (Ga)</v>
      </c>
      <c r="F61" s="14">
        <f t="shared" ca="1" si="20"/>
        <v>-51.69</v>
      </c>
      <c r="G61" s="14">
        <f t="shared" ca="1" si="21"/>
        <v>-41.33</v>
      </c>
      <c r="H61" s="14">
        <f t="shared" ca="1" si="21"/>
        <v>-36.22</v>
      </c>
      <c r="I61" s="14">
        <f t="shared" ca="1" si="21"/>
        <v>-26.61</v>
      </c>
      <c r="J61" s="14">
        <f t="shared" ca="1" si="21"/>
        <v>-25.49</v>
      </c>
      <c r="K61" s="14">
        <f t="shared" ca="1" si="21"/>
        <v>-24.43</v>
      </c>
      <c r="L61" s="14">
        <f t="shared" ca="1" si="21"/>
        <v>-23.43</v>
      </c>
      <c r="M61" s="14">
        <f t="shared" ca="1" si="21"/>
        <v>-22.49</v>
      </c>
      <c r="N61" s="14">
        <f t="shared" ca="1" si="21"/>
        <v>-19.22</v>
      </c>
      <c r="O61" s="14">
        <f t="shared" ca="1" si="21"/>
        <v>-16.53</v>
      </c>
      <c r="P61" s="14">
        <f t="shared" ca="1" si="21"/>
        <v>-14.3</v>
      </c>
      <c r="Q61" s="14">
        <f t="shared" ca="1" si="21"/>
        <v>-12.49</v>
      </c>
      <c r="R61" s="14">
        <f t="shared" ca="1" si="21"/>
        <v>-11.39</v>
      </c>
      <c r="S61" s="14">
        <f t="shared" ca="1" si="21"/>
        <v>-11.27</v>
      </c>
      <c r="T61" s="14">
        <f t="shared" ca="1" si="21"/>
        <v>-11.2</v>
      </c>
      <c r="U61" s="14">
        <f t="shared" ca="1" si="21"/>
        <v>-11.16</v>
      </c>
      <c r="V61" s="14">
        <f t="shared" ca="1" si="21"/>
        <v>-11.14</v>
      </c>
      <c r="W61" s="14">
        <f t="shared" ca="1" si="21"/>
        <v>-11.19</v>
      </c>
      <c r="X61" s="14">
        <f t="shared" ca="1" si="21"/>
        <v>-11.29</v>
      </c>
      <c r="Y61" s="14">
        <f t="shared" ca="1" si="21"/>
        <v>-11.39</v>
      </c>
      <c r="Z61" s="14">
        <f t="shared" ca="1" si="21"/>
        <v>-11.48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hidden="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1</v>
      </c>
      <c r="D62" s="5">
        <f t="shared" si="19"/>
        <v>0</v>
      </c>
      <c r="E62" s="6" t="str">
        <f t="shared" si="19"/>
        <v>H (Ge)</v>
      </c>
      <c r="F62" s="14">
        <f t="shared" ca="1" si="20"/>
        <v>-27.38</v>
      </c>
      <c r="G62" s="14">
        <f t="shared" ca="1" si="21"/>
        <v>-22.79</v>
      </c>
      <c r="H62" s="14">
        <f t="shared" ca="1" si="21"/>
        <v>-19.79</v>
      </c>
      <c r="I62" s="14">
        <f t="shared" ca="1" si="21"/>
        <v>-17.71</v>
      </c>
      <c r="J62" s="14">
        <f t="shared" ca="1" si="21"/>
        <v>-17.28</v>
      </c>
      <c r="K62" s="14">
        <f t="shared" ca="1" si="21"/>
        <v>-16.89</v>
      </c>
      <c r="L62" s="14">
        <f t="shared" ca="1" si="21"/>
        <v>-16.53</v>
      </c>
      <c r="M62" s="14">
        <f t="shared" ca="1" si="21"/>
        <v>-16.190000000000001</v>
      </c>
      <c r="N62" s="14">
        <f t="shared" ca="1" si="21"/>
        <v>-15.05</v>
      </c>
      <c r="O62" s="14">
        <f t="shared" ca="1" si="21"/>
        <v>-14.18</v>
      </c>
      <c r="P62" s="14">
        <f t="shared" ca="1" si="21"/>
        <v>-13.5</v>
      </c>
      <c r="Q62" s="14">
        <f t="shared" ca="1" si="21"/>
        <v>-13.02</v>
      </c>
      <c r="R62" s="14">
        <f t="shared" ca="1" si="21"/>
        <v>-12.95</v>
      </c>
      <c r="S62" s="14">
        <f t="shared" ca="1" si="21"/>
        <v>-13.04</v>
      </c>
      <c r="T62" s="14">
        <f t="shared" ca="1" si="21"/>
        <v>-13.16</v>
      </c>
      <c r="U62" s="14">
        <f t="shared" ca="1" si="21"/>
        <v>-13.32</v>
      </c>
      <c r="V62" s="14">
        <f t="shared" ca="1" si="21"/>
        <v>-13.51</v>
      </c>
      <c r="W62" s="14">
        <f t="shared" ca="1" si="21"/>
        <v>-13.57</v>
      </c>
      <c r="X62" s="14">
        <f t="shared" ca="1" si="21"/>
        <v>-13.44</v>
      </c>
      <c r="Y62" s="14">
        <f t="shared" ca="1" si="21"/>
        <v>-13.3</v>
      </c>
      <c r="Z62" s="14">
        <f t="shared" ca="1" si="21"/>
        <v>-13.16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hidden="1" customHeight="1" outlineLevel="1" thickBot="1" x14ac:dyDescent="0.4">
      <c r="A63" s="5">
        <f t="shared" si="19"/>
        <v>0</v>
      </c>
      <c r="B63" s="5">
        <f t="shared" si="19"/>
        <v>1</v>
      </c>
      <c r="C63" s="5">
        <f t="shared" si="19"/>
        <v>0</v>
      </c>
      <c r="D63" s="5">
        <f t="shared" si="19"/>
        <v>0</v>
      </c>
      <c r="E63" s="6" t="str">
        <f t="shared" si="19"/>
        <v>H (Se)</v>
      </c>
      <c r="F63" s="14">
        <f t="shared" ca="1" si="20"/>
        <v>-5.9809999999999999</v>
      </c>
      <c r="G63" s="14">
        <f t="shared" ca="1" si="22"/>
        <v>-6.3330000000000002</v>
      </c>
      <c r="H63" s="14">
        <f t="shared" ca="1" si="22"/>
        <v>-6.7210000000000001</v>
      </c>
      <c r="I63" s="14">
        <f t="shared" ca="1" si="22"/>
        <v>-7.1050000000000004</v>
      </c>
      <c r="J63" s="14">
        <f t="shared" ca="1" si="22"/>
        <v>-7.1980000000000004</v>
      </c>
      <c r="K63" s="14">
        <f t="shared" ca="1" si="22"/>
        <v>-7.29</v>
      </c>
      <c r="L63" s="14">
        <f t="shared" ca="1" si="22"/>
        <v>-7.3810000000000002</v>
      </c>
      <c r="M63" s="14">
        <f t="shared" ca="1" si="22"/>
        <v>-7.47</v>
      </c>
      <c r="N63" s="14">
        <f t="shared" ca="1" si="22"/>
        <v>-7.8120000000000003</v>
      </c>
      <c r="O63" s="14">
        <f t="shared" ca="1" si="22"/>
        <v>-8.1310000000000002</v>
      </c>
      <c r="P63" s="14">
        <f t="shared" ca="1" si="22"/>
        <v>-8.4220000000000006</v>
      </c>
      <c r="Q63" s="14">
        <f t="shared" ca="1" si="22"/>
        <v>-8.65</v>
      </c>
      <c r="R63" s="14">
        <f t="shared" ca="1" si="22"/>
        <v>-8.6359999999999992</v>
      </c>
      <c r="S63" s="14">
        <f t="shared" ca="1" si="22"/>
        <v>-8.57</v>
      </c>
      <c r="T63" s="14">
        <f t="shared" ca="1" si="22"/>
        <v>-8.4849999999999994</v>
      </c>
      <c r="U63" s="14">
        <f t="shared" ca="1" si="22"/>
        <v>-8.3879999999999999</v>
      </c>
      <c r="V63" s="14">
        <f t="shared" ca="1" si="22"/>
        <v>-8.2859999999999996</v>
      </c>
      <c r="W63" s="14">
        <f t="shared" ca="1" si="22"/>
        <v>-8.27</v>
      </c>
      <c r="X63" s="14">
        <f t="shared" ca="1" si="22"/>
        <v>-8.3569999999999993</v>
      </c>
      <c r="Y63" s="14">
        <f t="shared" ca="1" si="22"/>
        <v>-8.4489999999999998</v>
      </c>
      <c r="Z63" s="14">
        <f t="shared" ca="1" si="22"/>
        <v>-8.5459999999999994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hidden="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hidden="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hidden="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hidden="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hidden="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hidden="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hidden="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hidden="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hidden="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hidden="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hidden="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hidden="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hidden="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collapsed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 t="e">
        <f>E41</f>
        <v>#DIV/0!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Temperature,К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487.9</v>
      </c>
      <c r="K79" s="3">
        <f t="shared" si="30"/>
        <v>504.4</v>
      </c>
      <c r="L79" s="3">
        <f t="shared" si="30"/>
        <v>520.9</v>
      </c>
      <c r="M79" s="3">
        <f t="shared" si="30"/>
        <v>537.5</v>
      </c>
      <c r="N79" s="3">
        <f t="shared" si="30"/>
        <v>603.5</v>
      </c>
      <c r="O79" s="3">
        <f t="shared" si="30"/>
        <v>669.6</v>
      </c>
      <c r="P79" s="3">
        <f t="shared" si="30"/>
        <v>735.7</v>
      </c>
      <c r="Q79" s="3">
        <f t="shared" si="30"/>
        <v>801.8</v>
      </c>
      <c r="R79" s="3">
        <f t="shared" si="30"/>
        <v>867.8</v>
      </c>
      <c r="S79" s="3">
        <f t="shared" si="30"/>
        <v>884.4</v>
      </c>
      <c r="T79" s="3">
        <f t="shared" si="30"/>
        <v>900.9</v>
      </c>
      <c r="U79" s="3">
        <f t="shared" si="30"/>
        <v>917.4</v>
      </c>
      <c r="V79" s="3">
        <f t="shared" si="30"/>
        <v>933.9</v>
      </c>
      <c r="W79" s="3">
        <f t="shared" si="30"/>
        <v>950.4</v>
      </c>
      <c r="X79" s="3">
        <f t="shared" si="30"/>
        <v>967</v>
      </c>
      <c r="Y79" s="3">
        <f t="shared" si="30"/>
        <v>983.5</v>
      </c>
      <c r="Z79" s="3">
        <f t="shared" si="30"/>
        <v>1000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2</v>
      </c>
      <c r="C80" s="5">
        <f t="shared" si="31"/>
        <v>0</v>
      </c>
      <c r="D80" s="5">
        <f t="shared" si="31"/>
        <v>1</v>
      </c>
      <c r="E80" s="6" t="str">
        <f t="shared" si="28"/>
        <v>*GaSe2</v>
      </c>
      <c r="F80" s="14" t="e">
        <f t="shared" ref="F80" si="32">F4*$C$78</f>
        <v>#DIV/0!</v>
      </c>
      <c r="G80" s="14" t="e">
        <f t="shared" ref="G80:BR80" si="33">G4*$C$78</f>
        <v>#DIV/0!</v>
      </c>
      <c r="H80" s="14" t="e">
        <f t="shared" si="33"/>
        <v>#DIV/0!</v>
      </c>
      <c r="I80" s="14" t="e">
        <f t="shared" si="33"/>
        <v>#DIV/0!</v>
      </c>
      <c r="J80" s="14" t="e">
        <f t="shared" si="33"/>
        <v>#DIV/0!</v>
      </c>
      <c r="K80" s="14" t="e">
        <f t="shared" si="33"/>
        <v>#DIV/0!</v>
      </c>
      <c r="L80" s="14" t="e">
        <f t="shared" si="33"/>
        <v>#DIV/0!</v>
      </c>
      <c r="M80" s="14" t="e">
        <f t="shared" si="33"/>
        <v>#DIV/0!</v>
      </c>
      <c r="N80" s="14" t="e">
        <f t="shared" si="33"/>
        <v>#DIV/0!</v>
      </c>
      <c r="O80" s="14" t="e">
        <f t="shared" si="33"/>
        <v>#DIV/0!</v>
      </c>
      <c r="P80" s="14" t="e">
        <f t="shared" si="33"/>
        <v>#DIV/0!</v>
      </c>
      <c r="Q80" s="14" t="e">
        <f t="shared" si="33"/>
        <v>#DIV/0!</v>
      </c>
      <c r="R80" s="14" t="e">
        <f t="shared" si="33"/>
        <v>#DIV/0!</v>
      </c>
      <c r="S80" s="14" t="e">
        <f t="shared" si="33"/>
        <v>#DIV/0!</v>
      </c>
      <c r="T80" s="14" t="e">
        <f t="shared" si="33"/>
        <v>#DIV/0!</v>
      </c>
      <c r="U80" s="14" t="e">
        <f t="shared" si="33"/>
        <v>#DIV/0!</v>
      </c>
      <c r="V80" s="14" t="e">
        <f t="shared" si="33"/>
        <v>#DIV/0!</v>
      </c>
      <c r="W80" s="14" t="e">
        <f t="shared" si="33"/>
        <v>#DIV/0!</v>
      </c>
      <c r="X80" s="14" t="e">
        <f t="shared" si="33"/>
        <v>#DIV/0!</v>
      </c>
      <c r="Y80" s="14" t="e">
        <f t="shared" si="33"/>
        <v>#DIV/0!</v>
      </c>
      <c r="Z80" s="14" t="e">
        <f t="shared" si="33"/>
        <v>#DIV/0!</v>
      </c>
      <c r="AA80" s="14" t="e">
        <f t="shared" si="33"/>
        <v>#DIV/0!</v>
      </c>
      <c r="AB80" s="14" t="e">
        <f t="shared" si="33"/>
        <v>#DIV/0!</v>
      </c>
      <c r="AC80" s="14" t="e">
        <f t="shared" si="33"/>
        <v>#DIV/0!</v>
      </c>
      <c r="AD80" s="14" t="e">
        <f t="shared" si="33"/>
        <v>#DIV/0!</v>
      </c>
      <c r="AE80" s="14" t="e">
        <f t="shared" si="33"/>
        <v>#DIV/0!</v>
      </c>
      <c r="AF80" s="14" t="e">
        <f t="shared" si="33"/>
        <v>#DIV/0!</v>
      </c>
      <c r="AG80" s="14" t="e">
        <f t="shared" si="33"/>
        <v>#DIV/0!</v>
      </c>
      <c r="AH80" s="14" t="e">
        <f t="shared" si="33"/>
        <v>#DIV/0!</v>
      </c>
      <c r="AI80" s="14" t="e">
        <f t="shared" si="33"/>
        <v>#DIV/0!</v>
      </c>
      <c r="AJ80" s="14" t="e">
        <f t="shared" si="33"/>
        <v>#DIV/0!</v>
      </c>
      <c r="AK80" s="14" t="e">
        <f t="shared" si="33"/>
        <v>#DIV/0!</v>
      </c>
      <c r="AL80" s="14" t="e">
        <f t="shared" si="33"/>
        <v>#DIV/0!</v>
      </c>
      <c r="AM80" s="14" t="e">
        <f t="shared" si="33"/>
        <v>#DIV/0!</v>
      </c>
      <c r="AN80" s="14" t="e">
        <f t="shared" si="33"/>
        <v>#DIV/0!</v>
      </c>
      <c r="AO80" s="14" t="e">
        <f t="shared" si="33"/>
        <v>#DIV/0!</v>
      </c>
      <c r="AP80" s="14" t="e">
        <f t="shared" si="33"/>
        <v>#DIV/0!</v>
      </c>
      <c r="AQ80" s="14" t="e">
        <f t="shared" si="33"/>
        <v>#DIV/0!</v>
      </c>
      <c r="AR80" s="14" t="e">
        <f t="shared" si="33"/>
        <v>#DIV/0!</v>
      </c>
      <c r="AS80" s="14" t="e">
        <f t="shared" si="33"/>
        <v>#DIV/0!</v>
      </c>
      <c r="AT80" s="14" t="e">
        <f t="shared" si="33"/>
        <v>#DIV/0!</v>
      </c>
      <c r="AU80" s="14" t="e">
        <f t="shared" si="33"/>
        <v>#DIV/0!</v>
      </c>
      <c r="AV80" s="14" t="e">
        <f t="shared" si="33"/>
        <v>#DIV/0!</v>
      </c>
      <c r="AW80" s="14" t="e">
        <f t="shared" si="33"/>
        <v>#DIV/0!</v>
      </c>
      <c r="AX80" s="14" t="e">
        <f t="shared" si="33"/>
        <v>#DIV/0!</v>
      </c>
      <c r="AY80" s="14" t="e">
        <f t="shared" si="33"/>
        <v>#DIV/0!</v>
      </c>
      <c r="AZ80" s="14" t="e">
        <f t="shared" si="33"/>
        <v>#DIV/0!</v>
      </c>
      <c r="BA80" s="14" t="e">
        <f t="shared" si="33"/>
        <v>#DIV/0!</v>
      </c>
      <c r="BB80" s="14" t="e">
        <f t="shared" si="33"/>
        <v>#DIV/0!</v>
      </c>
      <c r="BC80" s="14" t="e">
        <f t="shared" si="33"/>
        <v>#DIV/0!</v>
      </c>
      <c r="BD80" s="14" t="e">
        <f t="shared" si="33"/>
        <v>#DIV/0!</v>
      </c>
      <c r="BE80" s="14" t="e">
        <f t="shared" si="33"/>
        <v>#DIV/0!</v>
      </c>
      <c r="BF80" s="14" t="e">
        <f t="shared" si="33"/>
        <v>#DIV/0!</v>
      </c>
      <c r="BG80" s="14" t="e">
        <f t="shared" si="33"/>
        <v>#DIV/0!</v>
      </c>
      <c r="BH80" s="14" t="e">
        <f t="shared" si="33"/>
        <v>#DIV/0!</v>
      </c>
      <c r="BI80" s="14" t="e">
        <f t="shared" si="33"/>
        <v>#DIV/0!</v>
      </c>
      <c r="BJ80" s="14" t="e">
        <f t="shared" si="33"/>
        <v>#DIV/0!</v>
      </c>
      <c r="BK80" s="14" t="e">
        <f t="shared" si="33"/>
        <v>#DIV/0!</v>
      </c>
      <c r="BL80" s="14" t="e">
        <f t="shared" si="33"/>
        <v>#DIV/0!</v>
      </c>
      <c r="BM80" s="14" t="e">
        <f t="shared" si="33"/>
        <v>#DIV/0!</v>
      </c>
      <c r="BN80" s="14" t="e">
        <f t="shared" si="33"/>
        <v>#DIV/0!</v>
      </c>
      <c r="BO80" s="14" t="e">
        <f t="shared" si="33"/>
        <v>#DIV/0!</v>
      </c>
      <c r="BP80" s="14" t="e">
        <f t="shared" si="33"/>
        <v>#DIV/0!</v>
      </c>
      <c r="BQ80" s="14" t="e">
        <f t="shared" si="33"/>
        <v>#DIV/0!</v>
      </c>
      <c r="BR80" s="14" t="e">
        <f t="shared" si="33"/>
        <v>#DIV/0!</v>
      </c>
      <c r="BS80" s="14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4</v>
      </c>
      <c r="C81" s="5">
        <f t="shared" si="34"/>
        <v>0</v>
      </c>
      <c r="D81" s="5">
        <f t="shared" si="34"/>
        <v>0</v>
      </c>
      <c r="E81" s="6" t="str">
        <f t="shared" si="28"/>
        <v>Se4</v>
      </c>
      <c r="F81" s="14" t="e">
        <f t="shared" ref="F81" si="35">F5*$C$78</f>
        <v>#DIV/0!</v>
      </c>
      <c r="G81" s="14" t="e">
        <f t="shared" ref="G81:BR81" si="36">G5*$C$78</f>
        <v>#DIV/0!</v>
      </c>
      <c r="H81" s="14" t="e">
        <f t="shared" si="36"/>
        <v>#DIV/0!</v>
      </c>
      <c r="I81" s="14" t="e">
        <f t="shared" si="36"/>
        <v>#DIV/0!</v>
      </c>
      <c r="J81" s="14" t="e">
        <f t="shared" si="36"/>
        <v>#DIV/0!</v>
      </c>
      <c r="K81" s="14" t="e">
        <f t="shared" si="36"/>
        <v>#DIV/0!</v>
      </c>
      <c r="L81" s="14" t="e">
        <f t="shared" si="36"/>
        <v>#DIV/0!</v>
      </c>
      <c r="M81" s="14" t="e">
        <f t="shared" si="36"/>
        <v>#DIV/0!</v>
      </c>
      <c r="N81" s="14" t="e">
        <f t="shared" si="36"/>
        <v>#DIV/0!</v>
      </c>
      <c r="O81" s="14" t="e">
        <f t="shared" si="36"/>
        <v>#DIV/0!</v>
      </c>
      <c r="P81" s="14" t="e">
        <f t="shared" si="36"/>
        <v>#DIV/0!</v>
      </c>
      <c r="Q81" s="14" t="e">
        <f t="shared" si="36"/>
        <v>#DIV/0!</v>
      </c>
      <c r="R81" s="14" t="e">
        <f t="shared" si="36"/>
        <v>#DIV/0!</v>
      </c>
      <c r="S81" s="14" t="e">
        <f t="shared" si="36"/>
        <v>#DIV/0!</v>
      </c>
      <c r="T81" s="14" t="e">
        <f t="shared" si="36"/>
        <v>#DIV/0!</v>
      </c>
      <c r="U81" s="14" t="e">
        <f t="shared" si="36"/>
        <v>#DIV/0!</v>
      </c>
      <c r="V81" s="14" t="e">
        <f t="shared" si="36"/>
        <v>#DIV/0!</v>
      </c>
      <c r="W81" s="14" t="e">
        <f t="shared" si="36"/>
        <v>#DIV/0!</v>
      </c>
      <c r="X81" s="14" t="e">
        <f t="shared" si="36"/>
        <v>#DIV/0!</v>
      </c>
      <c r="Y81" s="14" t="e">
        <f t="shared" si="36"/>
        <v>#DIV/0!</v>
      </c>
      <c r="Z81" s="14" t="e">
        <f t="shared" si="36"/>
        <v>#DIV/0!</v>
      </c>
      <c r="AA81" s="14" t="e">
        <f t="shared" si="36"/>
        <v>#DIV/0!</v>
      </c>
      <c r="AB81" s="14" t="e">
        <f t="shared" si="36"/>
        <v>#DIV/0!</v>
      </c>
      <c r="AC81" s="14" t="e">
        <f t="shared" si="36"/>
        <v>#DIV/0!</v>
      </c>
      <c r="AD81" s="14" t="e">
        <f t="shared" si="36"/>
        <v>#DIV/0!</v>
      </c>
      <c r="AE81" s="14" t="e">
        <f t="shared" si="36"/>
        <v>#DIV/0!</v>
      </c>
      <c r="AF81" s="14" t="e">
        <f t="shared" si="36"/>
        <v>#DIV/0!</v>
      </c>
      <c r="AG81" s="14" t="e">
        <f t="shared" si="36"/>
        <v>#DIV/0!</v>
      </c>
      <c r="AH81" s="14" t="e">
        <f t="shared" si="36"/>
        <v>#DIV/0!</v>
      </c>
      <c r="AI81" s="14" t="e">
        <f t="shared" si="36"/>
        <v>#DIV/0!</v>
      </c>
      <c r="AJ81" s="14" t="e">
        <f t="shared" si="36"/>
        <v>#DIV/0!</v>
      </c>
      <c r="AK81" s="14" t="e">
        <f t="shared" si="36"/>
        <v>#DIV/0!</v>
      </c>
      <c r="AL81" s="14" t="e">
        <f t="shared" si="36"/>
        <v>#DIV/0!</v>
      </c>
      <c r="AM81" s="14" t="e">
        <f t="shared" si="36"/>
        <v>#DIV/0!</v>
      </c>
      <c r="AN81" s="14" t="e">
        <f t="shared" si="36"/>
        <v>#DIV/0!</v>
      </c>
      <c r="AO81" s="14" t="e">
        <f t="shared" si="36"/>
        <v>#DIV/0!</v>
      </c>
      <c r="AP81" s="14" t="e">
        <f t="shared" si="36"/>
        <v>#DIV/0!</v>
      </c>
      <c r="AQ81" s="14" t="e">
        <f t="shared" si="36"/>
        <v>#DIV/0!</v>
      </c>
      <c r="AR81" s="14" t="e">
        <f t="shared" si="36"/>
        <v>#DIV/0!</v>
      </c>
      <c r="AS81" s="14" t="e">
        <f t="shared" si="36"/>
        <v>#DIV/0!</v>
      </c>
      <c r="AT81" s="14" t="e">
        <f t="shared" si="36"/>
        <v>#DIV/0!</v>
      </c>
      <c r="AU81" s="14" t="e">
        <f t="shared" si="36"/>
        <v>#DIV/0!</v>
      </c>
      <c r="AV81" s="14" t="e">
        <f t="shared" si="36"/>
        <v>#DIV/0!</v>
      </c>
      <c r="AW81" s="14" t="e">
        <f t="shared" si="36"/>
        <v>#DIV/0!</v>
      </c>
      <c r="AX81" s="14" t="e">
        <f t="shared" si="36"/>
        <v>#DIV/0!</v>
      </c>
      <c r="AY81" s="14" t="e">
        <f t="shared" si="36"/>
        <v>#DIV/0!</v>
      </c>
      <c r="AZ81" s="14" t="e">
        <f t="shared" si="36"/>
        <v>#DIV/0!</v>
      </c>
      <c r="BA81" s="14" t="e">
        <f t="shared" si="36"/>
        <v>#DIV/0!</v>
      </c>
      <c r="BB81" s="14" t="e">
        <f t="shared" si="36"/>
        <v>#DIV/0!</v>
      </c>
      <c r="BC81" s="14" t="e">
        <f t="shared" si="36"/>
        <v>#DIV/0!</v>
      </c>
      <c r="BD81" s="14" t="e">
        <f t="shared" si="36"/>
        <v>#DIV/0!</v>
      </c>
      <c r="BE81" s="14" t="e">
        <f t="shared" si="36"/>
        <v>#DIV/0!</v>
      </c>
      <c r="BF81" s="14" t="e">
        <f t="shared" si="36"/>
        <v>#DIV/0!</v>
      </c>
      <c r="BG81" s="14" t="e">
        <f t="shared" si="36"/>
        <v>#DIV/0!</v>
      </c>
      <c r="BH81" s="14" t="e">
        <f t="shared" si="36"/>
        <v>#DIV/0!</v>
      </c>
      <c r="BI81" s="14" t="e">
        <f t="shared" si="36"/>
        <v>#DIV/0!</v>
      </c>
      <c r="BJ81" s="14" t="e">
        <f t="shared" si="36"/>
        <v>#DIV/0!</v>
      </c>
      <c r="BK81" s="14" t="e">
        <f t="shared" si="36"/>
        <v>#DIV/0!</v>
      </c>
      <c r="BL81" s="14" t="e">
        <f t="shared" si="36"/>
        <v>#DIV/0!</v>
      </c>
      <c r="BM81" s="14" t="e">
        <f t="shared" si="36"/>
        <v>#DIV/0!</v>
      </c>
      <c r="BN81" s="14" t="e">
        <f t="shared" si="36"/>
        <v>#DIV/0!</v>
      </c>
      <c r="BO81" s="14" t="e">
        <f t="shared" si="36"/>
        <v>#DIV/0!</v>
      </c>
      <c r="BP81" s="14" t="e">
        <f t="shared" si="36"/>
        <v>#DIV/0!</v>
      </c>
      <c r="BQ81" s="14" t="e">
        <f t="shared" si="36"/>
        <v>#DIV/0!</v>
      </c>
      <c r="BR81" s="14" t="e">
        <f t="shared" si="36"/>
        <v>#DIV/0!</v>
      </c>
      <c r="BS81" s="14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5</v>
      </c>
      <c r="C82" s="5">
        <f t="shared" si="34"/>
        <v>0</v>
      </c>
      <c r="D82" s="5">
        <f t="shared" si="34"/>
        <v>0</v>
      </c>
      <c r="E82" s="6" t="str">
        <f t="shared" si="28"/>
        <v>Se5</v>
      </c>
      <c r="F82" s="14" t="e">
        <f t="shared" ref="F82" si="37">F6*$C$78</f>
        <v>#DIV/0!</v>
      </c>
      <c r="G82" s="14" t="e">
        <f t="shared" ref="G82:BR82" si="38">G6*$C$78</f>
        <v>#DIV/0!</v>
      </c>
      <c r="H82" s="14" t="e">
        <f t="shared" si="38"/>
        <v>#DIV/0!</v>
      </c>
      <c r="I82" s="14" t="e">
        <f t="shared" si="38"/>
        <v>#DIV/0!</v>
      </c>
      <c r="J82" s="14" t="e">
        <f t="shared" si="38"/>
        <v>#DIV/0!</v>
      </c>
      <c r="K82" s="14" t="e">
        <f t="shared" si="38"/>
        <v>#DIV/0!</v>
      </c>
      <c r="L82" s="14" t="e">
        <f t="shared" si="38"/>
        <v>#DIV/0!</v>
      </c>
      <c r="M82" s="14" t="e">
        <f t="shared" si="38"/>
        <v>#DIV/0!</v>
      </c>
      <c r="N82" s="14" t="e">
        <f t="shared" si="38"/>
        <v>#DIV/0!</v>
      </c>
      <c r="O82" s="14" t="e">
        <f t="shared" si="38"/>
        <v>#DIV/0!</v>
      </c>
      <c r="P82" s="14" t="e">
        <f t="shared" si="38"/>
        <v>#DIV/0!</v>
      </c>
      <c r="Q82" s="14" t="e">
        <f t="shared" si="38"/>
        <v>#DIV/0!</v>
      </c>
      <c r="R82" s="14" t="e">
        <f t="shared" si="38"/>
        <v>#DIV/0!</v>
      </c>
      <c r="S82" s="14" t="e">
        <f t="shared" si="38"/>
        <v>#DIV/0!</v>
      </c>
      <c r="T82" s="14" t="e">
        <f t="shared" si="38"/>
        <v>#DIV/0!</v>
      </c>
      <c r="U82" s="14" t="e">
        <f t="shared" si="38"/>
        <v>#DIV/0!</v>
      </c>
      <c r="V82" s="14" t="e">
        <f t="shared" si="38"/>
        <v>#DIV/0!</v>
      </c>
      <c r="W82" s="14" t="e">
        <f t="shared" si="38"/>
        <v>#DIV/0!</v>
      </c>
      <c r="X82" s="14" t="e">
        <f t="shared" si="38"/>
        <v>#DIV/0!</v>
      </c>
      <c r="Y82" s="14" t="e">
        <f t="shared" si="38"/>
        <v>#DIV/0!</v>
      </c>
      <c r="Z82" s="14" t="e">
        <f t="shared" si="38"/>
        <v>#DIV/0!</v>
      </c>
      <c r="AA82" s="14" t="e">
        <f t="shared" si="38"/>
        <v>#DIV/0!</v>
      </c>
      <c r="AB82" s="14" t="e">
        <f t="shared" si="38"/>
        <v>#DIV/0!</v>
      </c>
      <c r="AC82" s="14" t="e">
        <f t="shared" si="38"/>
        <v>#DIV/0!</v>
      </c>
      <c r="AD82" s="14" t="e">
        <f t="shared" si="38"/>
        <v>#DIV/0!</v>
      </c>
      <c r="AE82" s="14" t="e">
        <f t="shared" si="38"/>
        <v>#DIV/0!</v>
      </c>
      <c r="AF82" s="14" t="e">
        <f t="shared" si="38"/>
        <v>#DIV/0!</v>
      </c>
      <c r="AG82" s="14" t="e">
        <f t="shared" si="38"/>
        <v>#DIV/0!</v>
      </c>
      <c r="AH82" s="14" t="e">
        <f t="shared" si="38"/>
        <v>#DIV/0!</v>
      </c>
      <c r="AI82" s="14" t="e">
        <f t="shared" si="38"/>
        <v>#DIV/0!</v>
      </c>
      <c r="AJ82" s="14" t="e">
        <f t="shared" si="38"/>
        <v>#DIV/0!</v>
      </c>
      <c r="AK82" s="14" t="e">
        <f t="shared" si="38"/>
        <v>#DIV/0!</v>
      </c>
      <c r="AL82" s="14" t="e">
        <f t="shared" si="38"/>
        <v>#DIV/0!</v>
      </c>
      <c r="AM82" s="14" t="e">
        <f t="shared" si="38"/>
        <v>#DIV/0!</v>
      </c>
      <c r="AN82" s="14" t="e">
        <f t="shared" si="38"/>
        <v>#DIV/0!</v>
      </c>
      <c r="AO82" s="14" t="e">
        <f t="shared" si="38"/>
        <v>#DIV/0!</v>
      </c>
      <c r="AP82" s="14" t="e">
        <f t="shared" si="38"/>
        <v>#DIV/0!</v>
      </c>
      <c r="AQ82" s="14" t="e">
        <f t="shared" si="38"/>
        <v>#DIV/0!</v>
      </c>
      <c r="AR82" s="14" t="e">
        <f t="shared" si="38"/>
        <v>#DIV/0!</v>
      </c>
      <c r="AS82" s="14" t="e">
        <f t="shared" si="38"/>
        <v>#DIV/0!</v>
      </c>
      <c r="AT82" s="14" t="e">
        <f t="shared" si="38"/>
        <v>#DIV/0!</v>
      </c>
      <c r="AU82" s="14" t="e">
        <f t="shared" si="38"/>
        <v>#DIV/0!</v>
      </c>
      <c r="AV82" s="14" t="e">
        <f t="shared" si="38"/>
        <v>#DIV/0!</v>
      </c>
      <c r="AW82" s="14" t="e">
        <f t="shared" si="38"/>
        <v>#DIV/0!</v>
      </c>
      <c r="AX82" s="14" t="e">
        <f t="shared" si="38"/>
        <v>#DIV/0!</v>
      </c>
      <c r="AY82" s="14" t="e">
        <f t="shared" si="38"/>
        <v>#DIV/0!</v>
      </c>
      <c r="AZ82" s="14" t="e">
        <f t="shared" si="38"/>
        <v>#DIV/0!</v>
      </c>
      <c r="BA82" s="14" t="e">
        <f t="shared" si="38"/>
        <v>#DIV/0!</v>
      </c>
      <c r="BB82" s="14" t="e">
        <f t="shared" si="38"/>
        <v>#DIV/0!</v>
      </c>
      <c r="BC82" s="14" t="e">
        <f t="shared" si="38"/>
        <v>#DIV/0!</v>
      </c>
      <c r="BD82" s="14" t="e">
        <f t="shared" si="38"/>
        <v>#DIV/0!</v>
      </c>
      <c r="BE82" s="14" t="e">
        <f t="shared" si="38"/>
        <v>#DIV/0!</v>
      </c>
      <c r="BF82" s="14" t="e">
        <f t="shared" si="38"/>
        <v>#DIV/0!</v>
      </c>
      <c r="BG82" s="14" t="e">
        <f t="shared" si="38"/>
        <v>#DIV/0!</v>
      </c>
      <c r="BH82" s="14" t="e">
        <f t="shared" si="38"/>
        <v>#DIV/0!</v>
      </c>
      <c r="BI82" s="14" t="e">
        <f t="shared" si="38"/>
        <v>#DIV/0!</v>
      </c>
      <c r="BJ82" s="14" t="e">
        <f t="shared" si="38"/>
        <v>#DIV/0!</v>
      </c>
      <c r="BK82" s="14" t="e">
        <f t="shared" si="38"/>
        <v>#DIV/0!</v>
      </c>
      <c r="BL82" s="14" t="e">
        <f t="shared" si="38"/>
        <v>#DIV/0!</v>
      </c>
      <c r="BM82" s="14" t="e">
        <f t="shared" si="38"/>
        <v>#DIV/0!</v>
      </c>
      <c r="BN82" s="14" t="e">
        <f t="shared" si="38"/>
        <v>#DIV/0!</v>
      </c>
      <c r="BO82" s="14" t="e">
        <f t="shared" si="38"/>
        <v>#DIV/0!</v>
      </c>
      <c r="BP82" s="14" t="e">
        <f t="shared" si="38"/>
        <v>#DIV/0!</v>
      </c>
      <c r="BQ82" s="14" t="e">
        <f t="shared" si="38"/>
        <v>#DIV/0!</v>
      </c>
      <c r="BR82" s="14" t="e">
        <f t="shared" si="38"/>
        <v>#DIV/0!</v>
      </c>
      <c r="BS82" s="14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1</v>
      </c>
      <c r="C83" s="5">
        <f t="shared" si="34"/>
        <v>0</v>
      </c>
      <c r="D83" s="5">
        <f t="shared" si="34"/>
        <v>0</v>
      </c>
      <c r="E83" s="6" t="str">
        <f t="shared" si="28"/>
        <v>See</v>
      </c>
      <c r="F83" s="14" t="e">
        <f t="shared" ref="F83" si="39">F7*$C$78</f>
        <v>#DIV/0!</v>
      </c>
      <c r="G83" s="14" t="e">
        <f t="shared" ref="G83:BR83" si="40">G7*$C$78</f>
        <v>#DIV/0!</v>
      </c>
      <c r="H83" s="14" t="e">
        <f t="shared" si="40"/>
        <v>#DIV/0!</v>
      </c>
      <c r="I83" s="14" t="e">
        <f t="shared" si="40"/>
        <v>#DIV/0!</v>
      </c>
      <c r="J83" s="14" t="e">
        <f t="shared" si="40"/>
        <v>#DIV/0!</v>
      </c>
      <c r="K83" s="14" t="e">
        <f t="shared" si="40"/>
        <v>#DIV/0!</v>
      </c>
      <c r="L83" s="14" t="e">
        <f t="shared" si="40"/>
        <v>#DIV/0!</v>
      </c>
      <c r="M83" s="14" t="e">
        <f t="shared" si="40"/>
        <v>#DIV/0!</v>
      </c>
      <c r="N83" s="14" t="e">
        <f t="shared" si="40"/>
        <v>#DIV/0!</v>
      </c>
      <c r="O83" s="14" t="e">
        <f t="shared" si="40"/>
        <v>#DIV/0!</v>
      </c>
      <c r="P83" s="14" t="e">
        <f t="shared" si="40"/>
        <v>#DIV/0!</v>
      </c>
      <c r="Q83" s="14" t="e">
        <f t="shared" si="40"/>
        <v>#DIV/0!</v>
      </c>
      <c r="R83" s="14" t="e">
        <f t="shared" si="40"/>
        <v>#DIV/0!</v>
      </c>
      <c r="S83" s="14" t="e">
        <f t="shared" si="40"/>
        <v>#DIV/0!</v>
      </c>
      <c r="T83" s="14" t="e">
        <f t="shared" si="40"/>
        <v>#DIV/0!</v>
      </c>
      <c r="U83" s="14" t="e">
        <f t="shared" si="40"/>
        <v>#DIV/0!</v>
      </c>
      <c r="V83" s="14" t="e">
        <f t="shared" si="40"/>
        <v>#DIV/0!</v>
      </c>
      <c r="W83" s="14" t="e">
        <f t="shared" si="40"/>
        <v>#DIV/0!</v>
      </c>
      <c r="X83" s="14" t="e">
        <f t="shared" si="40"/>
        <v>#DIV/0!</v>
      </c>
      <c r="Y83" s="14" t="e">
        <f t="shared" si="40"/>
        <v>#DIV/0!</v>
      </c>
      <c r="Z83" s="14" t="e">
        <f t="shared" si="40"/>
        <v>#DIV/0!</v>
      </c>
      <c r="AA83" s="14" t="e">
        <f t="shared" si="40"/>
        <v>#DIV/0!</v>
      </c>
      <c r="AB83" s="14" t="e">
        <f t="shared" si="40"/>
        <v>#DIV/0!</v>
      </c>
      <c r="AC83" s="14" t="e">
        <f t="shared" si="40"/>
        <v>#DIV/0!</v>
      </c>
      <c r="AD83" s="14" t="e">
        <f t="shared" si="40"/>
        <v>#DIV/0!</v>
      </c>
      <c r="AE83" s="14" t="e">
        <f t="shared" si="40"/>
        <v>#DIV/0!</v>
      </c>
      <c r="AF83" s="14" t="e">
        <f t="shared" si="40"/>
        <v>#DIV/0!</v>
      </c>
      <c r="AG83" s="14" t="e">
        <f t="shared" si="40"/>
        <v>#DIV/0!</v>
      </c>
      <c r="AH83" s="14" t="e">
        <f t="shared" si="40"/>
        <v>#DIV/0!</v>
      </c>
      <c r="AI83" s="14" t="e">
        <f t="shared" si="40"/>
        <v>#DIV/0!</v>
      </c>
      <c r="AJ83" s="14" t="e">
        <f t="shared" si="40"/>
        <v>#DIV/0!</v>
      </c>
      <c r="AK83" s="14" t="e">
        <f t="shared" si="40"/>
        <v>#DIV/0!</v>
      </c>
      <c r="AL83" s="14" t="e">
        <f t="shared" si="40"/>
        <v>#DIV/0!</v>
      </c>
      <c r="AM83" s="14" t="e">
        <f t="shared" si="40"/>
        <v>#DIV/0!</v>
      </c>
      <c r="AN83" s="14" t="e">
        <f t="shared" si="40"/>
        <v>#DIV/0!</v>
      </c>
      <c r="AO83" s="14" t="e">
        <f t="shared" si="40"/>
        <v>#DIV/0!</v>
      </c>
      <c r="AP83" s="14" t="e">
        <f t="shared" si="40"/>
        <v>#DIV/0!</v>
      </c>
      <c r="AQ83" s="14" t="e">
        <f t="shared" si="40"/>
        <v>#DIV/0!</v>
      </c>
      <c r="AR83" s="14" t="e">
        <f t="shared" si="40"/>
        <v>#DIV/0!</v>
      </c>
      <c r="AS83" s="14" t="e">
        <f t="shared" si="40"/>
        <v>#DIV/0!</v>
      </c>
      <c r="AT83" s="14" t="e">
        <f t="shared" si="40"/>
        <v>#DIV/0!</v>
      </c>
      <c r="AU83" s="14" t="e">
        <f t="shared" si="40"/>
        <v>#DIV/0!</v>
      </c>
      <c r="AV83" s="14" t="e">
        <f t="shared" si="40"/>
        <v>#DIV/0!</v>
      </c>
      <c r="AW83" s="14" t="e">
        <f t="shared" si="40"/>
        <v>#DIV/0!</v>
      </c>
      <c r="AX83" s="14" t="e">
        <f t="shared" si="40"/>
        <v>#DIV/0!</v>
      </c>
      <c r="AY83" s="14" t="e">
        <f t="shared" si="40"/>
        <v>#DIV/0!</v>
      </c>
      <c r="AZ83" s="14" t="e">
        <f t="shared" si="40"/>
        <v>#DIV/0!</v>
      </c>
      <c r="BA83" s="14" t="e">
        <f t="shared" si="40"/>
        <v>#DIV/0!</v>
      </c>
      <c r="BB83" s="14" t="e">
        <f t="shared" si="40"/>
        <v>#DIV/0!</v>
      </c>
      <c r="BC83" s="14" t="e">
        <f t="shared" si="40"/>
        <v>#DIV/0!</v>
      </c>
      <c r="BD83" s="14" t="e">
        <f t="shared" si="40"/>
        <v>#DIV/0!</v>
      </c>
      <c r="BE83" s="14" t="e">
        <f t="shared" si="40"/>
        <v>#DIV/0!</v>
      </c>
      <c r="BF83" s="14" t="e">
        <f t="shared" si="40"/>
        <v>#DIV/0!</v>
      </c>
      <c r="BG83" s="14" t="e">
        <f t="shared" si="40"/>
        <v>#DIV/0!</v>
      </c>
      <c r="BH83" s="14" t="e">
        <f t="shared" si="40"/>
        <v>#DIV/0!</v>
      </c>
      <c r="BI83" s="14" t="e">
        <f t="shared" si="40"/>
        <v>#DIV/0!</v>
      </c>
      <c r="BJ83" s="14" t="e">
        <f t="shared" si="40"/>
        <v>#DIV/0!</v>
      </c>
      <c r="BK83" s="14" t="e">
        <f t="shared" si="40"/>
        <v>#DIV/0!</v>
      </c>
      <c r="BL83" s="14" t="e">
        <f t="shared" si="40"/>
        <v>#DIV/0!</v>
      </c>
      <c r="BM83" s="14" t="e">
        <f t="shared" si="40"/>
        <v>#DIV/0!</v>
      </c>
      <c r="BN83" s="14" t="e">
        <f t="shared" si="40"/>
        <v>#DIV/0!</v>
      </c>
      <c r="BO83" s="14" t="e">
        <f t="shared" si="40"/>
        <v>#DIV/0!</v>
      </c>
      <c r="BP83" s="14" t="e">
        <f t="shared" si="40"/>
        <v>#DIV/0!</v>
      </c>
      <c r="BQ83" s="14" t="e">
        <f t="shared" si="40"/>
        <v>#DIV/0!</v>
      </c>
      <c r="BR83" s="14" t="e">
        <f t="shared" si="40"/>
        <v>#DIV/0!</v>
      </c>
      <c r="BS83" s="14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1</v>
      </c>
      <c r="C84" s="5">
        <f t="shared" si="34"/>
        <v>0</v>
      </c>
      <c r="D84" s="5">
        <f t="shared" si="34"/>
        <v>0</v>
      </c>
      <c r="E84" s="6" t="str">
        <f t="shared" si="28"/>
        <v>Se?</v>
      </c>
      <c r="F84" s="14" t="e">
        <f t="shared" ref="F84" si="41">F8*$C$78</f>
        <v>#DIV/0!</v>
      </c>
      <c r="G84" s="14" t="e">
        <f t="shared" ref="G84:BR84" si="42">G8*$C$78</f>
        <v>#DIV/0!</v>
      </c>
      <c r="H84" s="14" t="e">
        <f t="shared" si="42"/>
        <v>#DIV/0!</v>
      </c>
      <c r="I84" s="14" t="e">
        <f t="shared" si="42"/>
        <v>#DIV/0!</v>
      </c>
      <c r="J84" s="14" t="e">
        <f t="shared" si="42"/>
        <v>#DIV/0!</v>
      </c>
      <c r="K84" s="14" t="e">
        <f t="shared" si="42"/>
        <v>#DIV/0!</v>
      </c>
      <c r="L84" s="14" t="e">
        <f t="shared" si="42"/>
        <v>#DIV/0!</v>
      </c>
      <c r="M84" s="14" t="e">
        <f t="shared" si="42"/>
        <v>#DIV/0!</v>
      </c>
      <c r="N84" s="14" t="e">
        <f t="shared" si="42"/>
        <v>#DIV/0!</v>
      </c>
      <c r="O84" s="14" t="e">
        <f t="shared" si="42"/>
        <v>#DIV/0!</v>
      </c>
      <c r="P84" s="14" t="e">
        <f t="shared" si="42"/>
        <v>#DIV/0!</v>
      </c>
      <c r="Q84" s="14" t="e">
        <f t="shared" si="42"/>
        <v>#DIV/0!</v>
      </c>
      <c r="R84" s="14" t="e">
        <f t="shared" si="42"/>
        <v>#DIV/0!</v>
      </c>
      <c r="S84" s="14" t="e">
        <f t="shared" si="42"/>
        <v>#DIV/0!</v>
      </c>
      <c r="T84" s="14" t="e">
        <f t="shared" si="42"/>
        <v>#DIV/0!</v>
      </c>
      <c r="U84" s="14" t="e">
        <f t="shared" si="42"/>
        <v>#DIV/0!</v>
      </c>
      <c r="V84" s="14" t="e">
        <f t="shared" si="42"/>
        <v>#DIV/0!</v>
      </c>
      <c r="W84" s="14" t="e">
        <f t="shared" si="42"/>
        <v>#DIV/0!</v>
      </c>
      <c r="X84" s="14" t="e">
        <f t="shared" si="42"/>
        <v>#DIV/0!</v>
      </c>
      <c r="Y84" s="14" t="e">
        <f t="shared" si="42"/>
        <v>#DIV/0!</v>
      </c>
      <c r="Z84" s="14" t="e">
        <f t="shared" si="42"/>
        <v>#DIV/0!</v>
      </c>
      <c r="AA84" s="14" t="e">
        <f t="shared" si="42"/>
        <v>#DIV/0!</v>
      </c>
      <c r="AB84" s="14" t="e">
        <f t="shared" si="42"/>
        <v>#DIV/0!</v>
      </c>
      <c r="AC84" s="14" t="e">
        <f t="shared" si="42"/>
        <v>#DIV/0!</v>
      </c>
      <c r="AD84" s="14" t="e">
        <f t="shared" si="42"/>
        <v>#DIV/0!</v>
      </c>
      <c r="AE84" s="14" t="e">
        <f t="shared" si="42"/>
        <v>#DIV/0!</v>
      </c>
      <c r="AF84" s="14" t="e">
        <f t="shared" si="42"/>
        <v>#DIV/0!</v>
      </c>
      <c r="AG84" s="14" t="e">
        <f t="shared" si="42"/>
        <v>#DIV/0!</v>
      </c>
      <c r="AH84" s="14" t="e">
        <f t="shared" si="42"/>
        <v>#DIV/0!</v>
      </c>
      <c r="AI84" s="14" t="e">
        <f t="shared" si="42"/>
        <v>#DIV/0!</v>
      </c>
      <c r="AJ84" s="14" t="e">
        <f t="shared" si="42"/>
        <v>#DIV/0!</v>
      </c>
      <c r="AK84" s="14" t="e">
        <f t="shared" si="42"/>
        <v>#DIV/0!</v>
      </c>
      <c r="AL84" s="14" t="e">
        <f t="shared" si="42"/>
        <v>#DIV/0!</v>
      </c>
      <c r="AM84" s="14" t="e">
        <f t="shared" si="42"/>
        <v>#DIV/0!</v>
      </c>
      <c r="AN84" s="14" t="e">
        <f t="shared" si="42"/>
        <v>#DIV/0!</v>
      </c>
      <c r="AO84" s="14" t="e">
        <f t="shared" si="42"/>
        <v>#DIV/0!</v>
      </c>
      <c r="AP84" s="14" t="e">
        <f t="shared" si="42"/>
        <v>#DIV/0!</v>
      </c>
      <c r="AQ84" s="14" t="e">
        <f t="shared" si="42"/>
        <v>#DIV/0!</v>
      </c>
      <c r="AR84" s="14" t="e">
        <f t="shared" si="42"/>
        <v>#DIV/0!</v>
      </c>
      <c r="AS84" s="14" t="e">
        <f t="shared" si="42"/>
        <v>#DIV/0!</v>
      </c>
      <c r="AT84" s="14" t="e">
        <f t="shared" si="42"/>
        <v>#DIV/0!</v>
      </c>
      <c r="AU84" s="14" t="e">
        <f t="shared" si="42"/>
        <v>#DIV/0!</v>
      </c>
      <c r="AV84" s="14" t="e">
        <f t="shared" si="42"/>
        <v>#DIV/0!</v>
      </c>
      <c r="AW84" s="14" t="e">
        <f t="shared" si="42"/>
        <v>#DIV/0!</v>
      </c>
      <c r="AX84" s="14" t="e">
        <f t="shared" si="42"/>
        <v>#DIV/0!</v>
      </c>
      <c r="AY84" s="14" t="e">
        <f t="shared" si="42"/>
        <v>#DIV/0!</v>
      </c>
      <c r="AZ84" s="14" t="e">
        <f t="shared" si="42"/>
        <v>#DIV/0!</v>
      </c>
      <c r="BA84" s="14" t="e">
        <f t="shared" si="42"/>
        <v>#DIV/0!</v>
      </c>
      <c r="BB84" s="14" t="e">
        <f t="shared" si="42"/>
        <v>#DIV/0!</v>
      </c>
      <c r="BC84" s="14" t="e">
        <f t="shared" si="42"/>
        <v>#DIV/0!</v>
      </c>
      <c r="BD84" s="14" t="e">
        <f t="shared" si="42"/>
        <v>#DIV/0!</v>
      </c>
      <c r="BE84" s="14" t="e">
        <f t="shared" si="42"/>
        <v>#DIV/0!</v>
      </c>
      <c r="BF84" s="14" t="e">
        <f t="shared" si="42"/>
        <v>#DIV/0!</v>
      </c>
      <c r="BG84" s="14" t="e">
        <f t="shared" si="42"/>
        <v>#DIV/0!</v>
      </c>
      <c r="BH84" s="14" t="e">
        <f t="shared" si="42"/>
        <v>#DIV/0!</v>
      </c>
      <c r="BI84" s="14" t="e">
        <f t="shared" si="42"/>
        <v>#DIV/0!</v>
      </c>
      <c r="BJ84" s="14" t="e">
        <f t="shared" si="42"/>
        <v>#DIV/0!</v>
      </c>
      <c r="BK84" s="14" t="e">
        <f t="shared" si="42"/>
        <v>#DIV/0!</v>
      </c>
      <c r="BL84" s="14" t="e">
        <f t="shared" si="42"/>
        <v>#DIV/0!</v>
      </c>
      <c r="BM84" s="14" t="e">
        <f t="shared" si="42"/>
        <v>#DIV/0!</v>
      </c>
      <c r="BN84" s="14" t="e">
        <f t="shared" si="42"/>
        <v>#DIV/0!</v>
      </c>
      <c r="BO84" s="14" t="e">
        <f t="shared" si="42"/>
        <v>#DIV/0!</v>
      </c>
      <c r="BP84" s="14" t="e">
        <f t="shared" si="42"/>
        <v>#DIV/0!</v>
      </c>
      <c r="BQ84" s="14" t="e">
        <f t="shared" si="42"/>
        <v>#DIV/0!</v>
      </c>
      <c r="BR84" s="14" t="e">
        <f t="shared" si="42"/>
        <v>#DIV/0!</v>
      </c>
      <c r="BS84" s="14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8</v>
      </c>
      <c r="C85" s="5">
        <f t="shared" si="34"/>
        <v>0</v>
      </c>
      <c r="D85" s="5">
        <f t="shared" si="34"/>
        <v>0</v>
      </c>
      <c r="E85" s="6" t="str">
        <f t="shared" si="28"/>
        <v>Se8</v>
      </c>
      <c r="F85" s="14" t="e">
        <f t="shared" ref="F85" si="43">F9*$C$78</f>
        <v>#DIV/0!</v>
      </c>
      <c r="G85" s="14" t="e">
        <f t="shared" ref="G85:BR85" si="44">G9*$C$78</f>
        <v>#DIV/0!</v>
      </c>
      <c r="H85" s="14" t="e">
        <f t="shared" si="44"/>
        <v>#DIV/0!</v>
      </c>
      <c r="I85" s="14" t="e">
        <f t="shared" si="44"/>
        <v>#DIV/0!</v>
      </c>
      <c r="J85" s="14" t="e">
        <f t="shared" si="44"/>
        <v>#DIV/0!</v>
      </c>
      <c r="K85" s="14" t="e">
        <f t="shared" si="44"/>
        <v>#DIV/0!</v>
      </c>
      <c r="L85" s="14" t="e">
        <f t="shared" si="44"/>
        <v>#DIV/0!</v>
      </c>
      <c r="M85" s="14" t="e">
        <f t="shared" si="44"/>
        <v>#DIV/0!</v>
      </c>
      <c r="N85" s="14" t="e">
        <f t="shared" si="44"/>
        <v>#DIV/0!</v>
      </c>
      <c r="O85" s="14" t="e">
        <f t="shared" si="44"/>
        <v>#DIV/0!</v>
      </c>
      <c r="P85" s="14" t="e">
        <f t="shared" si="44"/>
        <v>#DIV/0!</v>
      </c>
      <c r="Q85" s="14" t="e">
        <f t="shared" si="44"/>
        <v>#DIV/0!</v>
      </c>
      <c r="R85" s="14" t="e">
        <f t="shared" si="44"/>
        <v>#DIV/0!</v>
      </c>
      <c r="S85" s="14" t="e">
        <f t="shared" si="44"/>
        <v>#DIV/0!</v>
      </c>
      <c r="T85" s="14" t="e">
        <f t="shared" si="44"/>
        <v>#DIV/0!</v>
      </c>
      <c r="U85" s="14" t="e">
        <f t="shared" si="44"/>
        <v>#DIV/0!</v>
      </c>
      <c r="V85" s="14" t="e">
        <f t="shared" si="44"/>
        <v>#DIV/0!</v>
      </c>
      <c r="W85" s="14" t="e">
        <f t="shared" si="44"/>
        <v>#DIV/0!</v>
      </c>
      <c r="X85" s="14" t="e">
        <f t="shared" si="44"/>
        <v>#DIV/0!</v>
      </c>
      <c r="Y85" s="14" t="e">
        <f t="shared" si="44"/>
        <v>#DIV/0!</v>
      </c>
      <c r="Z85" s="14" t="e">
        <f t="shared" si="44"/>
        <v>#DIV/0!</v>
      </c>
      <c r="AA85" s="14" t="e">
        <f t="shared" si="44"/>
        <v>#DIV/0!</v>
      </c>
      <c r="AB85" s="14" t="e">
        <f t="shared" si="44"/>
        <v>#DIV/0!</v>
      </c>
      <c r="AC85" s="14" t="e">
        <f t="shared" si="44"/>
        <v>#DIV/0!</v>
      </c>
      <c r="AD85" s="14" t="e">
        <f t="shared" si="44"/>
        <v>#DIV/0!</v>
      </c>
      <c r="AE85" s="14" t="e">
        <f t="shared" si="44"/>
        <v>#DIV/0!</v>
      </c>
      <c r="AF85" s="14" t="e">
        <f t="shared" si="44"/>
        <v>#DIV/0!</v>
      </c>
      <c r="AG85" s="14" t="e">
        <f t="shared" si="44"/>
        <v>#DIV/0!</v>
      </c>
      <c r="AH85" s="14" t="e">
        <f t="shared" si="44"/>
        <v>#DIV/0!</v>
      </c>
      <c r="AI85" s="14" t="e">
        <f t="shared" si="44"/>
        <v>#DIV/0!</v>
      </c>
      <c r="AJ85" s="14" t="e">
        <f t="shared" si="44"/>
        <v>#DIV/0!</v>
      </c>
      <c r="AK85" s="14" t="e">
        <f t="shared" si="44"/>
        <v>#DIV/0!</v>
      </c>
      <c r="AL85" s="14" t="e">
        <f t="shared" si="44"/>
        <v>#DIV/0!</v>
      </c>
      <c r="AM85" s="14" t="e">
        <f t="shared" si="44"/>
        <v>#DIV/0!</v>
      </c>
      <c r="AN85" s="14" t="e">
        <f t="shared" si="44"/>
        <v>#DIV/0!</v>
      </c>
      <c r="AO85" s="14" t="e">
        <f t="shared" si="44"/>
        <v>#DIV/0!</v>
      </c>
      <c r="AP85" s="14" t="e">
        <f t="shared" si="44"/>
        <v>#DIV/0!</v>
      </c>
      <c r="AQ85" s="14" t="e">
        <f t="shared" si="44"/>
        <v>#DIV/0!</v>
      </c>
      <c r="AR85" s="14" t="e">
        <f t="shared" si="44"/>
        <v>#DIV/0!</v>
      </c>
      <c r="AS85" s="14" t="e">
        <f t="shared" si="44"/>
        <v>#DIV/0!</v>
      </c>
      <c r="AT85" s="14" t="e">
        <f t="shared" si="44"/>
        <v>#DIV/0!</v>
      </c>
      <c r="AU85" s="14" t="e">
        <f t="shared" si="44"/>
        <v>#DIV/0!</v>
      </c>
      <c r="AV85" s="14" t="e">
        <f t="shared" si="44"/>
        <v>#DIV/0!</v>
      </c>
      <c r="AW85" s="14" t="e">
        <f t="shared" si="44"/>
        <v>#DIV/0!</v>
      </c>
      <c r="AX85" s="14" t="e">
        <f t="shared" si="44"/>
        <v>#DIV/0!</v>
      </c>
      <c r="AY85" s="14" t="e">
        <f t="shared" si="44"/>
        <v>#DIV/0!</v>
      </c>
      <c r="AZ85" s="14" t="e">
        <f t="shared" si="44"/>
        <v>#DIV/0!</v>
      </c>
      <c r="BA85" s="14" t="e">
        <f t="shared" si="44"/>
        <v>#DIV/0!</v>
      </c>
      <c r="BB85" s="14" t="e">
        <f t="shared" si="44"/>
        <v>#DIV/0!</v>
      </c>
      <c r="BC85" s="14" t="e">
        <f t="shared" si="44"/>
        <v>#DIV/0!</v>
      </c>
      <c r="BD85" s="14" t="e">
        <f t="shared" si="44"/>
        <v>#DIV/0!</v>
      </c>
      <c r="BE85" s="14" t="e">
        <f t="shared" si="44"/>
        <v>#DIV/0!</v>
      </c>
      <c r="BF85" s="14" t="e">
        <f t="shared" si="44"/>
        <v>#DIV/0!</v>
      </c>
      <c r="BG85" s="14" t="e">
        <f t="shared" si="44"/>
        <v>#DIV/0!</v>
      </c>
      <c r="BH85" s="14" t="e">
        <f t="shared" si="44"/>
        <v>#DIV/0!</v>
      </c>
      <c r="BI85" s="14" t="e">
        <f t="shared" si="44"/>
        <v>#DIV/0!</v>
      </c>
      <c r="BJ85" s="14" t="e">
        <f t="shared" si="44"/>
        <v>#DIV/0!</v>
      </c>
      <c r="BK85" s="14" t="e">
        <f t="shared" si="44"/>
        <v>#DIV/0!</v>
      </c>
      <c r="BL85" s="14" t="e">
        <f t="shared" si="44"/>
        <v>#DIV/0!</v>
      </c>
      <c r="BM85" s="14" t="e">
        <f t="shared" si="44"/>
        <v>#DIV/0!</v>
      </c>
      <c r="BN85" s="14" t="e">
        <f t="shared" si="44"/>
        <v>#DIV/0!</v>
      </c>
      <c r="BO85" s="14" t="e">
        <f t="shared" si="44"/>
        <v>#DIV/0!</v>
      </c>
      <c r="BP85" s="14" t="e">
        <f t="shared" si="44"/>
        <v>#DIV/0!</v>
      </c>
      <c r="BQ85" s="14" t="e">
        <f t="shared" si="44"/>
        <v>#DIV/0!</v>
      </c>
      <c r="BR85" s="14" t="e">
        <f t="shared" si="44"/>
        <v>#DIV/0!</v>
      </c>
      <c r="BS85" s="14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3</v>
      </c>
      <c r="C86" s="5">
        <f t="shared" si="34"/>
        <v>0</v>
      </c>
      <c r="D86" s="5">
        <f t="shared" si="34"/>
        <v>0</v>
      </c>
      <c r="E86" s="6" t="str">
        <f t="shared" si="28"/>
        <v>Se3</v>
      </c>
      <c r="F86" s="14" t="e">
        <f t="shared" ref="F86" si="45">F10*$C$78</f>
        <v>#DIV/0!</v>
      </c>
      <c r="G86" s="14" t="e">
        <f t="shared" ref="G86:BR86" si="46">G10*$C$78</f>
        <v>#DIV/0!</v>
      </c>
      <c r="H86" s="14" t="e">
        <f t="shared" si="46"/>
        <v>#DIV/0!</v>
      </c>
      <c r="I86" s="14" t="e">
        <f t="shared" si="46"/>
        <v>#DIV/0!</v>
      </c>
      <c r="J86" s="14" t="e">
        <f t="shared" si="46"/>
        <v>#DIV/0!</v>
      </c>
      <c r="K86" s="14" t="e">
        <f t="shared" si="46"/>
        <v>#DIV/0!</v>
      </c>
      <c r="L86" s="14" t="e">
        <f t="shared" si="46"/>
        <v>#DIV/0!</v>
      </c>
      <c r="M86" s="14" t="e">
        <f t="shared" si="46"/>
        <v>#DIV/0!</v>
      </c>
      <c r="N86" s="14" t="e">
        <f t="shared" si="46"/>
        <v>#DIV/0!</v>
      </c>
      <c r="O86" s="14" t="e">
        <f t="shared" si="46"/>
        <v>#DIV/0!</v>
      </c>
      <c r="P86" s="14" t="e">
        <f t="shared" si="46"/>
        <v>#DIV/0!</v>
      </c>
      <c r="Q86" s="14" t="e">
        <f t="shared" si="46"/>
        <v>#DIV/0!</v>
      </c>
      <c r="R86" s="14" t="e">
        <f t="shared" si="46"/>
        <v>#DIV/0!</v>
      </c>
      <c r="S86" s="14" t="e">
        <f t="shared" si="46"/>
        <v>#DIV/0!</v>
      </c>
      <c r="T86" s="14" t="e">
        <f t="shared" si="46"/>
        <v>#DIV/0!</v>
      </c>
      <c r="U86" s="14" t="e">
        <f t="shared" si="46"/>
        <v>#DIV/0!</v>
      </c>
      <c r="V86" s="14" t="e">
        <f t="shared" si="46"/>
        <v>#DIV/0!</v>
      </c>
      <c r="W86" s="14" t="e">
        <f t="shared" si="46"/>
        <v>#DIV/0!</v>
      </c>
      <c r="X86" s="14" t="e">
        <f t="shared" si="46"/>
        <v>#DIV/0!</v>
      </c>
      <c r="Y86" s="14" t="e">
        <f t="shared" si="46"/>
        <v>#DIV/0!</v>
      </c>
      <c r="Z86" s="14" t="e">
        <f t="shared" si="46"/>
        <v>#DIV/0!</v>
      </c>
      <c r="AA86" s="14" t="e">
        <f t="shared" si="46"/>
        <v>#DIV/0!</v>
      </c>
      <c r="AB86" s="14" t="e">
        <f t="shared" si="46"/>
        <v>#DIV/0!</v>
      </c>
      <c r="AC86" s="14" t="e">
        <f t="shared" si="46"/>
        <v>#DIV/0!</v>
      </c>
      <c r="AD86" s="14" t="e">
        <f t="shared" si="46"/>
        <v>#DIV/0!</v>
      </c>
      <c r="AE86" s="14" t="e">
        <f t="shared" si="46"/>
        <v>#DIV/0!</v>
      </c>
      <c r="AF86" s="14" t="e">
        <f t="shared" si="46"/>
        <v>#DIV/0!</v>
      </c>
      <c r="AG86" s="14" t="e">
        <f t="shared" si="46"/>
        <v>#DIV/0!</v>
      </c>
      <c r="AH86" s="14" t="e">
        <f t="shared" si="46"/>
        <v>#DIV/0!</v>
      </c>
      <c r="AI86" s="14" t="e">
        <f t="shared" si="46"/>
        <v>#DIV/0!</v>
      </c>
      <c r="AJ86" s="14" t="e">
        <f t="shared" si="46"/>
        <v>#DIV/0!</v>
      </c>
      <c r="AK86" s="14" t="e">
        <f t="shared" si="46"/>
        <v>#DIV/0!</v>
      </c>
      <c r="AL86" s="14" t="e">
        <f t="shared" si="46"/>
        <v>#DIV/0!</v>
      </c>
      <c r="AM86" s="14" t="e">
        <f t="shared" si="46"/>
        <v>#DIV/0!</v>
      </c>
      <c r="AN86" s="14" t="e">
        <f t="shared" si="46"/>
        <v>#DIV/0!</v>
      </c>
      <c r="AO86" s="14" t="e">
        <f t="shared" si="46"/>
        <v>#DIV/0!</v>
      </c>
      <c r="AP86" s="14" t="e">
        <f t="shared" si="46"/>
        <v>#DIV/0!</v>
      </c>
      <c r="AQ86" s="14" t="e">
        <f t="shared" si="46"/>
        <v>#DIV/0!</v>
      </c>
      <c r="AR86" s="14" t="e">
        <f t="shared" si="46"/>
        <v>#DIV/0!</v>
      </c>
      <c r="AS86" s="14" t="e">
        <f t="shared" si="46"/>
        <v>#DIV/0!</v>
      </c>
      <c r="AT86" s="14" t="e">
        <f t="shared" si="46"/>
        <v>#DIV/0!</v>
      </c>
      <c r="AU86" s="14" t="e">
        <f t="shared" si="46"/>
        <v>#DIV/0!</v>
      </c>
      <c r="AV86" s="14" t="e">
        <f t="shared" si="46"/>
        <v>#DIV/0!</v>
      </c>
      <c r="AW86" s="14" t="e">
        <f t="shared" si="46"/>
        <v>#DIV/0!</v>
      </c>
      <c r="AX86" s="14" t="e">
        <f t="shared" si="46"/>
        <v>#DIV/0!</v>
      </c>
      <c r="AY86" s="14" t="e">
        <f t="shared" si="46"/>
        <v>#DIV/0!</v>
      </c>
      <c r="AZ86" s="14" t="e">
        <f t="shared" si="46"/>
        <v>#DIV/0!</v>
      </c>
      <c r="BA86" s="14" t="e">
        <f t="shared" si="46"/>
        <v>#DIV/0!</v>
      </c>
      <c r="BB86" s="14" t="e">
        <f t="shared" si="46"/>
        <v>#DIV/0!</v>
      </c>
      <c r="BC86" s="14" t="e">
        <f t="shared" si="46"/>
        <v>#DIV/0!</v>
      </c>
      <c r="BD86" s="14" t="e">
        <f t="shared" si="46"/>
        <v>#DIV/0!</v>
      </c>
      <c r="BE86" s="14" t="e">
        <f t="shared" si="46"/>
        <v>#DIV/0!</v>
      </c>
      <c r="BF86" s="14" t="e">
        <f t="shared" si="46"/>
        <v>#DIV/0!</v>
      </c>
      <c r="BG86" s="14" t="e">
        <f t="shared" si="46"/>
        <v>#DIV/0!</v>
      </c>
      <c r="BH86" s="14" t="e">
        <f t="shared" si="46"/>
        <v>#DIV/0!</v>
      </c>
      <c r="BI86" s="14" t="e">
        <f t="shared" si="46"/>
        <v>#DIV/0!</v>
      </c>
      <c r="BJ86" s="14" t="e">
        <f t="shared" si="46"/>
        <v>#DIV/0!</v>
      </c>
      <c r="BK86" s="14" t="e">
        <f t="shared" si="46"/>
        <v>#DIV/0!</v>
      </c>
      <c r="BL86" s="14" t="e">
        <f t="shared" si="46"/>
        <v>#DIV/0!</v>
      </c>
      <c r="BM86" s="14" t="e">
        <f t="shared" si="46"/>
        <v>#DIV/0!</v>
      </c>
      <c r="BN86" s="14" t="e">
        <f t="shared" si="46"/>
        <v>#DIV/0!</v>
      </c>
      <c r="BO86" s="14" t="e">
        <f t="shared" si="46"/>
        <v>#DIV/0!</v>
      </c>
      <c r="BP86" s="14" t="e">
        <f t="shared" si="46"/>
        <v>#DIV/0!</v>
      </c>
      <c r="BQ86" s="14" t="e">
        <f t="shared" si="46"/>
        <v>#DIV/0!</v>
      </c>
      <c r="BR86" s="14" t="e">
        <f t="shared" si="46"/>
        <v>#DIV/0!</v>
      </c>
      <c r="BS86" s="14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2</v>
      </c>
      <c r="C87" s="5">
        <f t="shared" si="34"/>
        <v>0</v>
      </c>
      <c r="D87" s="5">
        <f t="shared" si="34"/>
        <v>0</v>
      </c>
      <c r="E87" s="6" t="str">
        <f t="shared" si="28"/>
        <v>Se2</v>
      </c>
      <c r="F87" s="14" t="e">
        <f t="shared" ref="F87" si="47">F11*$C$78</f>
        <v>#DIV/0!</v>
      </c>
      <c r="G87" s="14" t="e">
        <f t="shared" ref="G87:BR87" si="48">G11*$C$78</f>
        <v>#DIV/0!</v>
      </c>
      <c r="H87" s="14" t="e">
        <f t="shared" si="48"/>
        <v>#DIV/0!</v>
      </c>
      <c r="I87" s="14" t="e">
        <f t="shared" si="48"/>
        <v>#DIV/0!</v>
      </c>
      <c r="J87" s="14" t="e">
        <f t="shared" si="48"/>
        <v>#DIV/0!</v>
      </c>
      <c r="K87" s="14" t="e">
        <f t="shared" si="48"/>
        <v>#DIV/0!</v>
      </c>
      <c r="L87" s="14" t="e">
        <f t="shared" si="48"/>
        <v>#DIV/0!</v>
      </c>
      <c r="M87" s="14" t="e">
        <f t="shared" si="48"/>
        <v>#DIV/0!</v>
      </c>
      <c r="N87" s="14" t="e">
        <f t="shared" si="48"/>
        <v>#DIV/0!</v>
      </c>
      <c r="O87" s="14" t="e">
        <f t="shared" si="48"/>
        <v>#DIV/0!</v>
      </c>
      <c r="P87" s="14" t="e">
        <f t="shared" si="48"/>
        <v>#DIV/0!</v>
      </c>
      <c r="Q87" s="14" t="e">
        <f t="shared" si="48"/>
        <v>#DIV/0!</v>
      </c>
      <c r="R87" s="14" t="e">
        <f t="shared" si="48"/>
        <v>#DIV/0!</v>
      </c>
      <c r="S87" s="14" t="e">
        <f t="shared" si="48"/>
        <v>#DIV/0!</v>
      </c>
      <c r="T87" s="14" t="e">
        <f t="shared" si="48"/>
        <v>#DIV/0!</v>
      </c>
      <c r="U87" s="14" t="e">
        <f t="shared" si="48"/>
        <v>#DIV/0!</v>
      </c>
      <c r="V87" s="14" t="e">
        <f t="shared" si="48"/>
        <v>#DIV/0!</v>
      </c>
      <c r="W87" s="14" t="e">
        <f t="shared" si="48"/>
        <v>#DIV/0!</v>
      </c>
      <c r="X87" s="14" t="e">
        <f t="shared" si="48"/>
        <v>#DIV/0!</v>
      </c>
      <c r="Y87" s="14" t="e">
        <f t="shared" si="48"/>
        <v>#DIV/0!</v>
      </c>
      <c r="Z87" s="14" t="e">
        <f t="shared" si="48"/>
        <v>#DIV/0!</v>
      </c>
      <c r="AA87" s="14" t="e">
        <f t="shared" si="48"/>
        <v>#DIV/0!</v>
      </c>
      <c r="AB87" s="14" t="e">
        <f t="shared" si="48"/>
        <v>#DIV/0!</v>
      </c>
      <c r="AC87" s="14" t="e">
        <f t="shared" si="48"/>
        <v>#DIV/0!</v>
      </c>
      <c r="AD87" s="14" t="e">
        <f t="shared" si="48"/>
        <v>#DIV/0!</v>
      </c>
      <c r="AE87" s="14" t="e">
        <f t="shared" si="48"/>
        <v>#DIV/0!</v>
      </c>
      <c r="AF87" s="14" t="e">
        <f t="shared" si="48"/>
        <v>#DIV/0!</v>
      </c>
      <c r="AG87" s="14" t="e">
        <f t="shared" si="48"/>
        <v>#DIV/0!</v>
      </c>
      <c r="AH87" s="14" t="e">
        <f t="shared" si="48"/>
        <v>#DIV/0!</v>
      </c>
      <c r="AI87" s="14" t="e">
        <f t="shared" si="48"/>
        <v>#DIV/0!</v>
      </c>
      <c r="AJ87" s="14" t="e">
        <f t="shared" si="48"/>
        <v>#DIV/0!</v>
      </c>
      <c r="AK87" s="14" t="e">
        <f t="shared" si="48"/>
        <v>#DIV/0!</v>
      </c>
      <c r="AL87" s="14" t="e">
        <f t="shared" si="48"/>
        <v>#DIV/0!</v>
      </c>
      <c r="AM87" s="14" t="e">
        <f t="shared" si="48"/>
        <v>#DIV/0!</v>
      </c>
      <c r="AN87" s="14" t="e">
        <f t="shared" si="48"/>
        <v>#DIV/0!</v>
      </c>
      <c r="AO87" s="14" t="e">
        <f t="shared" si="48"/>
        <v>#DIV/0!</v>
      </c>
      <c r="AP87" s="14" t="e">
        <f t="shared" si="48"/>
        <v>#DIV/0!</v>
      </c>
      <c r="AQ87" s="14" t="e">
        <f t="shared" si="48"/>
        <v>#DIV/0!</v>
      </c>
      <c r="AR87" s="14" t="e">
        <f t="shared" si="48"/>
        <v>#DIV/0!</v>
      </c>
      <c r="AS87" s="14" t="e">
        <f t="shared" si="48"/>
        <v>#DIV/0!</v>
      </c>
      <c r="AT87" s="14" t="e">
        <f t="shared" si="48"/>
        <v>#DIV/0!</v>
      </c>
      <c r="AU87" s="14" t="e">
        <f t="shared" si="48"/>
        <v>#DIV/0!</v>
      </c>
      <c r="AV87" s="14" t="e">
        <f t="shared" si="48"/>
        <v>#DIV/0!</v>
      </c>
      <c r="AW87" s="14" t="e">
        <f t="shared" si="48"/>
        <v>#DIV/0!</v>
      </c>
      <c r="AX87" s="14" t="e">
        <f t="shared" si="48"/>
        <v>#DIV/0!</v>
      </c>
      <c r="AY87" s="14" t="e">
        <f t="shared" si="48"/>
        <v>#DIV/0!</v>
      </c>
      <c r="AZ87" s="14" t="e">
        <f t="shared" si="48"/>
        <v>#DIV/0!</v>
      </c>
      <c r="BA87" s="14" t="e">
        <f t="shared" si="48"/>
        <v>#DIV/0!</v>
      </c>
      <c r="BB87" s="14" t="e">
        <f t="shared" si="48"/>
        <v>#DIV/0!</v>
      </c>
      <c r="BC87" s="14" t="e">
        <f t="shared" si="48"/>
        <v>#DIV/0!</v>
      </c>
      <c r="BD87" s="14" t="e">
        <f t="shared" si="48"/>
        <v>#DIV/0!</v>
      </c>
      <c r="BE87" s="14" t="e">
        <f t="shared" si="48"/>
        <v>#DIV/0!</v>
      </c>
      <c r="BF87" s="14" t="e">
        <f t="shared" si="48"/>
        <v>#DIV/0!</v>
      </c>
      <c r="BG87" s="14" t="e">
        <f t="shared" si="48"/>
        <v>#DIV/0!</v>
      </c>
      <c r="BH87" s="14" t="e">
        <f t="shared" si="48"/>
        <v>#DIV/0!</v>
      </c>
      <c r="BI87" s="14" t="e">
        <f t="shared" si="48"/>
        <v>#DIV/0!</v>
      </c>
      <c r="BJ87" s="14" t="e">
        <f t="shared" si="48"/>
        <v>#DIV/0!</v>
      </c>
      <c r="BK87" s="14" t="e">
        <f t="shared" si="48"/>
        <v>#DIV/0!</v>
      </c>
      <c r="BL87" s="14" t="e">
        <f t="shared" si="48"/>
        <v>#DIV/0!</v>
      </c>
      <c r="BM87" s="14" t="e">
        <f t="shared" si="48"/>
        <v>#DIV/0!</v>
      </c>
      <c r="BN87" s="14" t="e">
        <f t="shared" si="48"/>
        <v>#DIV/0!</v>
      </c>
      <c r="BO87" s="14" t="e">
        <f t="shared" si="48"/>
        <v>#DIV/0!</v>
      </c>
      <c r="BP87" s="14" t="e">
        <f t="shared" si="48"/>
        <v>#DIV/0!</v>
      </c>
      <c r="BQ87" s="14" t="e">
        <f t="shared" si="48"/>
        <v>#DIV/0!</v>
      </c>
      <c r="BR87" s="14" t="e">
        <f t="shared" si="48"/>
        <v>#DIV/0!</v>
      </c>
      <c r="BS87" s="14"/>
    </row>
    <row r="88" spans="1:71" ht="21" hidden="1" customHeight="1" outlineLevel="1" thickBot="1" x14ac:dyDescent="0.4">
      <c r="A88" s="5">
        <f t="shared" si="34"/>
        <v>1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 t="str">
        <f t="shared" si="28"/>
        <v>Ar</v>
      </c>
      <c r="F88" s="14" t="e">
        <f t="shared" ref="F88" si="49">F12*$C$78</f>
        <v>#DIV/0!</v>
      </c>
      <c r="G88" s="14" t="e">
        <f t="shared" ref="G88:BR88" si="50">G12*$C$78</f>
        <v>#DIV/0!</v>
      </c>
      <c r="H88" s="14" t="e">
        <f t="shared" si="50"/>
        <v>#DIV/0!</v>
      </c>
      <c r="I88" s="14" t="e">
        <f t="shared" si="50"/>
        <v>#DIV/0!</v>
      </c>
      <c r="J88" s="14" t="e">
        <f t="shared" si="50"/>
        <v>#DIV/0!</v>
      </c>
      <c r="K88" s="14" t="e">
        <f t="shared" si="50"/>
        <v>#DIV/0!</v>
      </c>
      <c r="L88" s="14" t="e">
        <f t="shared" si="50"/>
        <v>#DIV/0!</v>
      </c>
      <c r="M88" s="14" t="e">
        <f t="shared" si="50"/>
        <v>#DIV/0!</v>
      </c>
      <c r="N88" s="14" t="e">
        <f t="shared" si="50"/>
        <v>#DIV/0!</v>
      </c>
      <c r="O88" s="14" t="e">
        <f t="shared" si="50"/>
        <v>#DIV/0!</v>
      </c>
      <c r="P88" s="14" t="e">
        <f t="shared" si="50"/>
        <v>#DIV/0!</v>
      </c>
      <c r="Q88" s="14" t="e">
        <f t="shared" si="50"/>
        <v>#DIV/0!</v>
      </c>
      <c r="R88" s="14" t="e">
        <f t="shared" si="50"/>
        <v>#DIV/0!</v>
      </c>
      <c r="S88" s="14" t="e">
        <f t="shared" si="50"/>
        <v>#DIV/0!</v>
      </c>
      <c r="T88" s="14" t="e">
        <f t="shared" si="50"/>
        <v>#DIV/0!</v>
      </c>
      <c r="U88" s="14" t="e">
        <f t="shared" si="50"/>
        <v>#DIV/0!</v>
      </c>
      <c r="V88" s="14" t="e">
        <f t="shared" si="50"/>
        <v>#DIV/0!</v>
      </c>
      <c r="W88" s="14" t="e">
        <f t="shared" si="50"/>
        <v>#DIV/0!</v>
      </c>
      <c r="X88" s="14" t="e">
        <f t="shared" si="50"/>
        <v>#DIV/0!</v>
      </c>
      <c r="Y88" s="14" t="e">
        <f t="shared" si="50"/>
        <v>#DIV/0!</v>
      </c>
      <c r="Z88" s="14" t="e">
        <f t="shared" si="50"/>
        <v>#DIV/0!</v>
      </c>
      <c r="AA88" s="14" t="e">
        <f t="shared" si="50"/>
        <v>#DIV/0!</v>
      </c>
      <c r="AB88" s="14" t="e">
        <f t="shared" si="50"/>
        <v>#DIV/0!</v>
      </c>
      <c r="AC88" s="14" t="e">
        <f t="shared" si="50"/>
        <v>#DIV/0!</v>
      </c>
      <c r="AD88" s="14" t="e">
        <f t="shared" si="50"/>
        <v>#DIV/0!</v>
      </c>
      <c r="AE88" s="14" t="e">
        <f t="shared" si="50"/>
        <v>#DIV/0!</v>
      </c>
      <c r="AF88" s="14" t="e">
        <f t="shared" si="50"/>
        <v>#DIV/0!</v>
      </c>
      <c r="AG88" s="14" t="e">
        <f t="shared" si="50"/>
        <v>#DIV/0!</v>
      </c>
      <c r="AH88" s="14" t="e">
        <f t="shared" si="50"/>
        <v>#DIV/0!</v>
      </c>
      <c r="AI88" s="14" t="e">
        <f t="shared" si="50"/>
        <v>#DIV/0!</v>
      </c>
      <c r="AJ88" s="14" t="e">
        <f t="shared" si="50"/>
        <v>#DIV/0!</v>
      </c>
      <c r="AK88" s="14" t="e">
        <f t="shared" si="50"/>
        <v>#DIV/0!</v>
      </c>
      <c r="AL88" s="14" t="e">
        <f t="shared" si="50"/>
        <v>#DIV/0!</v>
      </c>
      <c r="AM88" s="14" t="e">
        <f t="shared" si="50"/>
        <v>#DIV/0!</v>
      </c>
      <c r="AN88" s="14" t="e">
        <f t="shared" si="50"/>
        <v>#DIV/0!</v>
      </c>
      <c r="AO88" s="14" t="e">
        <f t="shared" si="50"/>
        <v>#DIV/0!</v>
      </c>
      <c r="AP88" s="14" t="e">
        <f t="shared" si="50"/>
        <v>#DIV/0!</v>
      </c>
      <c r="AQ88" s="14" t="e">
        <f t="shared" si="50"/>
        <v>#DIV/0!</v>
      </c>
      <c r="AR88" s="14" t="e">
        <f t="shared" si="50"/>
        <v>#DIV/0!</v>
      </c>
      <c r="AS88" s="14" t="e">
        <f t="shared" si="50"/>
        <v>#DIV/0!</v>
      </c>
      <c r="AT88" s="14" t="e">
        <f t="shared" si="50"/>
        <v>#DIV/0!</v>
      </c>
      <c r="AU88" s="14" t="e">
        <f t="shared" si="50"/>
        <v>#DIV/0!</v>
      </c>
      <c r="AV88" s="14" t="e">
        <f t="shared" si="50"/>
        <v>#DIV/0!</v>
      </c>
      <c r="AW88" s="14" t="e">
        <f t="shared" si="50"/>
        <v>#DIV/0!</v>
      </c>
      <c r="AX88" s="14" t="e">
        <f t="shared" si="50"/>
        <v>#DIV/0!</v>
      </c>
      <c r="AY88" s="14" t="e">
        <f t="shared" si="50"/>
        <v>#DIV/0!</v>
      </c>
      <c r="AZ88" s="14" t="e">
        <f t="shared" si="50"/>
        <v>#DIV/0!</v>
      </c>
      <c r="BA88" s="14" t="e">
        <f t="shared" si="50"/>
        <v>#DIV/0!</v>
      </c>
      <c r="BB88" s="14" t="e">
        <f t="shared" si="50"/>
        <v>#DIV/0!</v>
      </c>
      <c r="BC88" s="14" t="e">
        <f t="shared" si="50"/>
        <v>#DIV/0!</v>
      </c>
      <c r="BD88" s="14" t="e">
        <f t="shared" si="50"/>
        <v>#DIV/0!</v>
      </c>
      <c r="BE88" s="14" t="e">
        <f t="shared" si="50"/>
        <v>#DIV/0!</v>
      </c>
      <c r="BF88" s="14" t="e">
        <f t="shared" si="50"/>
        <v>#DIV/0!</v>
      </c>
      <c r="BG88" s="14" t="e">
        <f t="shared" si="50"/>
        <v>#DIV/0!</v>
      </c>
      <c r="BH88" s="14" t="e">
        <f t="shared" si="50"/>
        <v>#DIV/0!</v>
      </c>
      <c r="BI88" s="14" t="e">
        <f t="shared" si="50"/>
        <v>#DIV/0!</v>
      </c>
      <c r="BJ88" s="14" t="e">
        <f t="shared" si="50"/>
        <v>#DIV/0!</v>
      </c>
      <c r="BK88" s="14" t="e">
        <f t="shared" si="50"/>
        <v>#DIV/0!</v>
      </c>
      <c r="BL88" s="14" t="e">
        <f t="shared" si="50"/>
        <v>#DIV/0!</v>
      </c>
      <c r="BM88" s="14" t="e">
        <f t="shared" si="50"/>
        <v>#DIV/0!</v>
      </c>
      <c r="BN88" s="14" t="e">
        <f t="shared" si="50"/>
        <v>#DIV/0!</v>
      </c>
      <c r="BO88" s="14" t="e">
        <f t="shared" si="50"/>
        <v>#DIV/0!</v>
      </c>
      <c r="BP88" s="14" t="e">
        <f t="shared" si="50"/>
        <v>#DIV/0!</v>
      </c>
      <c r="BQ88" s="14" t="e">
        <f t="shared" si="50"/>
        <v>#DIV/0!</v>
      </c>
      <c r="BR88" s="14" t="e">
        <f t="shared" si="50"/>
        <v>#DIV/0!</v>
      </c>
      <c r="BS88" s="14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1</v>
      </c>
      <c r="C89" s="5">
        <f t="shared" si="34"/>
        <v>0</v>
      </c>
      <c r="D89" s="5">
        <f t="shared" si="34"/>
        <v>2</v>
      </c>
      <c r="E89" s="6" t="str">
        <f t="shared" si="28"/>
        <v>Ga2Se</v>
      </c>
      <c r="F89" s="14" t="e">
        <f t="shared" ref="F89" si="51">F13*$C$78</f>
        <v>#DIV/0!</v>
      </c>
      <c r="G89" s="14" t="e">
        <f t="shared" ref="G89:BR89" si="52">G13*$C$78</f>
        <v>#DIV/0!</v>
      </c>
      <c r="H89" s="14" t="e">
        <f t="shared" si="52"/>
        <v>#DIV/0!</v>
      </c>
      <c r="I89" s="14" t="e">
        <f t="shared" si="52"/>
        <v>#DIV/0!</v>
      </c>
      <c r="J89" s="14" t="e">
        <f t="shared" si="52"/>
        <v>#DIV/0!</v>
      </c>
      <c r="K89" s="14" t="e">
        <f t="shared" si="52"/>
        <v>#DIV/0!</v>
      </c>
      <c r="L89" s="14" t="e">
        <f t="shared" si="52"/>
        <v>#DIV/0!</v>
      </c>
      <c r="M89" s="14" t="e">
        <f t="shared" si="52"/>
        <v>#DIV/0!</v>
      </c>
      <c r="N89" s="14" t="e">
        <f t="shared" si="52"/>
        <v>#DIV/0!</v>
      </c>
      <c r="O89" s="14" t="e">
        <f t="shared" si="52"/>
        <v>#DIV/0!</v>
      </c>
      <c r="P89" s="14" t="e">
        <f t="shared" si="52"/>
        <v>#DIV/0!</v>
      </c>
      <c r="Q89" s="14" t="e">
        <f t="shared" si="52"/>
        <v>#DIV/0!</v>
      </c>
      <c r="R89" s="14" t="e">
        <f t="shared" si="52"/>
        <v>#DIV/0!</v>
      </c>
      <c r="S89" s="14" t="e">
        <f t="shared" si="52"/>
        <v>#DIV/0!</v>
      </c>
      <c r="T89" s="14" t="e">
        <f t="shared" si="52"/>
        <v>#DIV/0!</v>
      </c>
      <c r="U89" s="14" t="e">
        <f t="shared" si="52"/>
        <v>#DIV/0!</v>
      </c>
      <c r="V89" s="14" t="e">
        <f t="shared" si="52"/>
        <v>#DIV/0!</v>
      </c>
      <c r="W89" s="14" t="e">
        <f t="shared" si="52"/>
        <v>#DIV/0!</v>
      </c>
      <c r="X89" s="14" t="e">
        <f t="shared" si="52"/>
        <v>#DIV/0!</v>
      </c>
      <c r="Y89" s="14" t="e">
        <f t="shared" si="52"/>
        <v>#DIV/0!</v>
      </c>
      <c r="Z89" s="14" t="e">
        <f t="shared" si="52"/>
        <v>#DIV/0!</v>
      </c>
      <c r="AA89" s="14" t="e">
        <f t="shared" si="52"/>
        <v>#DIV/0!</v>
      </c>
      <c r="AB89" s="14" t="e">
        <f t="shared" si="52"/>
        <v>#DIV/0!</v>
      </c>
      <c r="AC89" s="14" t="e">
        <f t="shared" si="52"/>
        <v>#DIV/0!</v>
      </c>
      <c r="AD89" s="14" t="e">
        <f t="shared" si="52"/>
        <v>#DIV/0!</v>
      </c>
      <c r="AE89" s="14" t="e">
        <f t="shared" si="52"/>
        <v>#DIV/0!</v>
      </c>
      <c r="AF89" s="14" t="e">
        <f t="shared" si="52"/>
        <v>#DIV/0!</v>
      </c>
      <c r="AG89" s="14" t="e">
        <f t="shared" si="52"/>
        <v>#DIV/0!</v>
      </c>
      <c r="AH89" s="14" t="e">
        <f t="shared" si="52"/>
        <v>#DIV/0!</v>
      </c>
      <c r="AI89" s="14" t="e">
        <f t="shared" si="52"/>
        <v>#DIV/0!</v>
      </c>
      <c r="AJ89" s="14" t="e">
        <f t="shared" si="52"/>
        <v>#DIV/0!</v>
      </c>
      <c r="AK89" s="14" t="e">
        <f t="shared" si="52"/>
        <v>#DIV/0!</v>
      </c>
      <c r="AL89" s="14" t="e">
        <f t="shared" si="52"/>
        <v>#DIV/0!</v>
      </c>
      <c r="AM89" s="14" t="e">
        <f t="shared" si="52"/>
        <v>#DIV/0!</v>
      </c>
      <c r="AN89" s="14" t="e">
        <f t="shared" si="52"/>
        <v>#DIV/0!</v>
      </c>
      <c r="AO89" s="14" t="e">
        <f t="shared" si="52"/>
        <v>#DIV/0!</v>
      </c>
      <c r="AP89" s="14" t="e">
        <f t="shared" si="52"/>
        <v>#DIV/0!</v>
      </c>
      <c r="AQ89" s="14" t="e">
        <f t="shared" si="52"/>
        <v>#DIV/0!</v>
      </c>
      <c r="AR89" s="14" t="e">
        <f t="shared" si="52"/>
        <v>#DIV/0!</v>
      </c>
      <c r="AS89" s="14" t="e">
        <f t="shared" si="52"/>
        <v>#DIV/0!</v>
      </c>
      <c r="AT89" s="14" t="e">
        <f t="shared" si="52"/>
        <v>#DIV/0!</v>
      </c>
      <c r="AU89" s="14" t="e">
        <f t="shared" si="52"/>
        <v>#DIV/0!</v>
      </c>
      <c r="AV89" s="14" t="e">
        <f t="shared" si="52"/>
        <v>#DIV/0!</v>
      </c>
      <c r="AW89" s="14" t="e">
        <f t="shared" si="52"/>
        <v>#DIV/0!</v>
      </c>
      <c r="AX89" s="14" t="e">
        <f t="shared" si="52"/>
        <v>#DIV/0!</v>
      </c>
      <c r="AY89" s="14" t="e">
        <f t="shared" si="52"/>
        <v>#DIV/0!</v>
      </c>
      <c r="AZ89" s="14" t="e">
        <f t="shared" si="52"/>
        <v>#DIV/0!</v>
      </c>
      <c r="BA89" s="14" t="e">
        <f t="shared" si="52"/>
        <v>#DIV/0!</v>
      </c>
      <c r="BB89" s="14" t="e">
        <f t="shared" si="52"/>
        <v>#DIV/0!</v>
      </c>
      <c r="BC89" s="14" t="e">
        <f t="shared" si="52"/>
        <v>#DIV/0!</v>
      </c>
      <c r="BD89" s="14" t="e">
        <f t="shared" si="52"/>
        <v>#DIV/0!</v>
      </c>
      <c r="BE89" s="14" t="e">
        <f t="shared" si="52"/>
        <v>#DIV/0!</v>
      </c>
      <c r="BF89" s="14" t="e">
        <f t="shared" si="52"/>
        <v>#DIV/0!</v>
      </c>
      <c r="BG89" s="14" t="e">
        <f t="shared" si="52"/>
        <v>#DIV/0!</v>
      </c>
      <c r="BH89" s="14" t="e">
        <f t="shared" si="52"/>
        <v>#DIV/0!</v>
      </c>
      <c r="BI89" s="14" t="e">
        <f t="shared" si="52"/>
        <v>#DIV/0!</v>
      </c>
      <c r="BJ89" s="14" t="e">
        <f t="shared" si="52"/>
        <v>#DIV/0!</v>
      </c>
      <c r="BK89" s="14" t="e">
        <f t="shared" si="52"/>
        <v>#DIV/0!</v>
      </c>
      <c r="BL89" s="14" t="e">
        <f t="shared" si="52"/>
        <v>#DIV/0!</v>
      </c>
      <c r="BM89" s="14" t="e">
        <f t="shared" si="52"/>
        <v>#DIV/0!</v>
      </c>
      <c r="BN89" s="14" t="e">
        <f t="shared" si="52"/>
        <v>#DIV/0!</v>
      </c>
      <c r="BO89" s="14" t="e">
        <f t="shared" si="52"/>
        <v>#DIV/0!</v>
      </c>
      <c r="BP89" s="14" t="e">
        <f t="shared" si="52"/>
        <v>#DIV/0!</v>
      </c>
      <c r="BQ89" s="14" t="e">
        <f t="shared" si="52"/>
        <v>#DIV/0!</v>
      </c>
      <c r="BR89" s="14" t="e">
        <f t="shared" si="52"/>
        <v>#DIV/0!</v>
      </c>
      <c r="BS89" s="14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1</v>
      </c>
      <c r="E90" s="6" t="str">
        <f t="shared" si="28"/>
        <v>(l)Ga[l]</v>
      </c>
      <c r="F90" s="14" t="e">
        <f t="shared" ref="F90" si="53">F14*$C$78</f>
        <v>#DIV/0!</v>
      </c>
      <c r="G90" s="14" t="e">
        <f t="shared" ref="G90:BR90" si="54">G14*$C$78</f>
        <v>#DIV/0!</v>
      </c>
      <c r="H90" s="14" t="e">
        <f t="shared" si="54"/>
        <v>#DIV/0!</v>
      </c>
      <c r="I90" s="14" t="e">
        <f t="shared" si="54"/>
        <v>#DIV/0!</v>
      </c>
      <c r="J90" s="14" t="e">
        <f t="shared" si="54"/>
        <v>#DIV/0!</v>
      </c>
      <c r="K90" s="14" t="e">
        <f t="shared" si="54"/>
        <v>#DIV/0!</v>
      </c>
      <c r="L90" s="14" t="e">
        <f t="shared" si="54"/>
        <v>#DIV/0!</v>
      </c>
      <c r="M90" s="14" t="e">
        <f t="shared" si="54"/>
        <v>#DIV/0!</v>
      </c>
      <c r="N90" s="14" t="e">
        <f t="shared" si="54"/>
        <v>#DIV/0!</v>
      </c>
      <c r="O90" s="14" t="e">
        <f t="shared" si="54"/>
        <v>#DIV/0!</v>
      </c>
      <c r="P90" s="14" t="e">
        <f t="shared" si="54"/>
        <v>#DIV/0!</v>
      </c>
      <c r="Q90" s="14" t="e">
        <f t="shared" si="54"/>
        <v>#DIV/0!</v>
      </c>
      <c r="R90" s="14" t="e">
        <f t="shared" si="54"/>
        <v>#DIV/0!</v>
      </c>
      <c r="S90" s="14" t="e">
        <f t="shared" si="54"/>
        <v>#DIV/0!</v>
      </c>
      <c r="T90" s="14" t="e">
        <f t="shared" si="54"/>
        <v>#DIV/0!</v>
      </c>
      <c r="U90" s="14" t="e">
        <f t="shared" si="54"/>
        <v>#DIV/0!</v>
      </c>
      <c r="V90" s="14" t="e">
        <f t="shared" si="54"/>
        <v>#DIV/0!</v>
      </c>
      <c r="W90" s="14" t="e">
        <f t="shared" si="54"/>
        <v>#DIV/0!</v>
      </c>
      <c r="X90" s="14" t="e">
        <f t="shared" si="54"/>
        <v>#DIV/0!</v>
      </c>
      <c r="Y90" s="14" t="e">
        <f t="shared" si="54"/>
        <v>#DIV/0!</v>
      </c>
      <c r="Z90" s="14" t="e">
        <f t="shared" si="54"/>
        <v>#DIV/0!</v>
      </c>
      <c r="AA90" s="14" t="e">
        <f t="shared" si="54"/>
        <v>#DIV/0!</v>
      </c>
      <c r="AB90" s="14" t="e">
        <f t="shared" si="54"/>
        <v>#DIV/0!</v>
      </c>
      <c r="AC90" s="14" t="e">
        <f t="shared" si="54"/>
        <v>#DIV/0!</v>
      </c>
      <c r="AD90" s="14" t="e">
        <f t="shared" si="54"/>
        <v>#DIV/0!</v>
      </c>
      <c r="AE90" s="14" t="e">
        <f t="shared" si="54"/>
        <v>#DIV/0!</v>
      </c>
      <c r="AF90" s="14" t="e">
        <f t="shared" si="54"/>
        <v>#DIV/0!</v>
      </c>
      <c r="AG90" s="14" t="e">
        <f t="shared" si="54"/>
        <v>#DIV/0!</v>
      </c>
      <c r="AH90" s="14" t="e">
        <f t="shared" si="54"/>
        <v>#DIV/0!</v>
      </c>
      <c r="AI90" s="14" t="e">
        <f t="shared" si="54"/>
        <v>#DIV/0!</v>
      </c>
      <c r="AJ90" s="14" t="e">
        <f t="shared" si="54"/>
        <v>#DIV/0!</v>
      </c>
      <c r="AK90" s="14" t="e">
        <f t="shared" si="54"/>
        <v>#DIV/0!</v>
      </c>
      <c r="AL90" s="14" t="e">
        <f t="shared" si="54"/>
        <v>#DIV/0!</v>
      </c>
      <c r="AM90" s="14" t="e">
        <f t="shared" si="54"/>
        <v>#DIV/0!</v>
      </c>
      <c r="AN90" s="14" t="e">
        <f t="shared" si="54"/>
        <v>#DIV/0!</v>
      </c>
      <c r="AO90" s="14" t="e">
        <f t="shared" si="54"/>
        <v>#DIV/0!</v>
      </c>
      <c r="AP90" s="14" t="e">
        <f t="shared" si="54"/>
        <v>#DIV/0!</v>
      </c>
      <c r="AQ90" s="14" t="e">
        <f t="shared" si="54"/>
        <v>#DIV/0!</v>
      </c>
      <c r="AR90" s="14" t="e">
        <f t="shared" si="54"/>
        <v>#DIV/0!</v>
      </c>
      <c r="AS90" s="14" t="e">
        <f t="shared" si="54"/>
        <v>#DIV/0!</v>
      </c>
      <c r="AT90" s="14" t="e">
        <f t="shared" si="54"/>
        <v>#DIV/0!</v>
      </c>
      <c r="AU90" s="14" t="e">
        <f t="shared" si="54"/>
        <v>#DIV/0!</v>
      </c>
      <c r="AV90" s="14" t="e">
        <f t="shared" si="54"/>
        <v>#DIV/0!</v>
      </c>
      <c r="AW90" s="14" t="e">
        <f t="shared" si="54"/>
        <v>#DIV/0!</v>
      </c>
      <c r="AX90" s="14" t="e">
        <f t="shared" si="54"/>
        <v>#DIV/0!</v>
      </c>
      <c r="AY90" s="14" t="e">
        <f t="shared" si="54"/>
        <v>#DIV/0!</v>
      </c>
      <c r="AZ90" s="14" t="e">
        <f t="shared" si="54"/>
        <v>#DIV/0!</v>
      </c>
      <c r="BA90" s="14" t="e">
        <f t="shared" si="54"/>
        <v>#DIV/0!</v>
      </c>
      <c r="BB90" s="14" t="e">
        <f t="shared" si="54"/>
        <v>#DIV/0!</v>
      </c>
      <c r="BC90" s="14" t="e">
        <f t="shared" si="54"/>
        <v>#DIV/0!</v>
      </c>
      <c r="BD90" s="14" t="e">
        <f t="shared" si="54"/>
        <v>#DIV/0!</v>
      </c>
      <c r="BE90" s="14" t="e">
        <f t="shared" si="54"/>
        <v>#DIV/0!</v>
      </c>
      <c r="BF90" s="14" t="e">
        <f t="shared" si="54"/>
        <v>#DIV/0!</v>
      </c>
      <c r="BG90" s="14" t="e">
        <f t="shared" si="54"/>
        <v>#DIV/0!</v>
      </c>
      <c r="BH90" s="14" t="e">
        <f t="shared" si="54"/>
        <v>#DIV/0!</v>
      </c>
      <c r="BI90" s="14" t="e">
        <f t="shared" si="54"/>
        <v>#DIV/0!</v>
      </c>
      <c r="BJ90" s="14" t="e">
        <f t="shared" si="54"/>
        <v>#DIV/0!</v>
      </c>
      <c r="BK90" s="14" t="e">
        <f t="shared" si="54"/>
        <v>#DIV/0!</v>
      </c>
      <c r="BL90" s="14" t="e">
        <f t="shared" si="54"/>
        <v>#DIV/0!</v>
      </c>
      <c r="BM90" s="14" t="e">
        <f t="shared" si="54"/>
        <v>#DIV/0!</v>
      </c>
      <c r="BN90" s="14" t="e">
        <f t="shared" si="54"/>
        <v>#DIV/0!</v>
      </c>
      <c r="BO90" s="14" t="e">
        <f t="shared" si="54"/>
        <v>#DIV/0!</v>
      </c>
      <c r="BP90" s="14" t="e">
        <f t="shared" si="54"/>
        <v>#DIV/0!</v>
      </c>
      <c r="BQ90" s="14" t="e">
        <f t="shared" si="54"/>
        <v>#DIV/0!</v>
      </c>
      <c r="BR90" s="14" t="e">
        <f t="shared" si="54"/>
        <v>#DIV/0!</v>
      </c>
      <c r="BS90" s="14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1</v>
      </c>
      <c r="D91" s="5">
        <f t="shared" si="34"/>
        <v>0</v>
      </c>
      <c r="E91" s="6" t="str">
        <f t="shared" si="28"/>
        <v>(1)Ge[l]</v>
      </c>
      <c r="F91" s="14" t="e">
        <f t="shared" ref="F91" si="55">F15*$C$78</f>
        <v>#DIV/0!</v>
      </c>
      <c r="G91" s="14" t="e">
        <f t="shared" ref="G91:BR91" si="56">G15*$C$78</f>
        <v>#DIV/0!</v>
      </c>
      <c r="H91" s="14" t="e">
        <f t="shared" si="56"/>
        <v>#DIV/0!</v>
      </c>
      <c r="I91" s="14" t="e">
        <f t="shared" si="56"/>
        <v>#DIV/0!</v>
      </c>
      <c r="J91" s="14" t="e">
        <f t="shared" si="56"/>
        <v>#DIV/0!</v>
      </c>
      <c r="K91" s="14" t="e">
        <f t="shared" si="56"/>
        <v>#DIV/0!</v>
      </c>
      <c r="L91" s="14" t="e">
        <f t="shared" si="56"/>
        <v>#DIV/0!</v>
      </c>
      <c r="M91" s="14" t="e">
        <f t="shared" si="56"/>
        <v>#DIV/0!</v>
      </c>
      <c r="N91" s="14" t="e">
        <f t="shared" si="56"/>
        <v>#DIV/0!</v>
      </c>
      <c r="O91" s="14" t="e">
        <f t="shared" si="56"/>
        <v>#DIV/0!</v>
      </c>
      <c r="P91" s="14" t="e">
        <f t="shared" si="56"/>
        <v>#DIV/0!</v>
      </c>
      <c r="Q91" s="14" t="e">
        <f t="shared" si="56"/>
        <v>#DIV/0!</v>
      </c>
      <c r="R91" s="14" t="e">
        <f t="shared" si="56"/>
        <v>#DIV/0!</v>
      </c>
      <c r="S91" s="14" t="e">
        <f t="shared" si="56"/>
        <v>#DIV/0!</v>
      </c>
      <c r="T91" s="14" t="e">
        <f t="shared" si="56"/>
        <v>#DIV/0!</v>
      </c>
      <c r="U91" s="14" t="e">
        <f t="shared" si="56"/>
        <v>#DIV/0!</v>
      </c>
      <c r="V91" s="14" t="e">
        <f t="shared" si="56"/>
        <v>#DIV/0!</v>
      </c>
      <c r="W91" s="14" t="e">
        <f t="shared" si="56"/>
        <v>#DIV/0!</v>
      </c>
      <c r="X91" s="14" t="e">
        <f t="shared" si="56"/>
        <v>#DIV/0!</v>
      </c>
      <c r="Y91" s="14" t="e">
        <f t="shared" si="56"/>
        <v>#DIV/0!</v>
      </c>
      <c r="Z91" s="14" t="e">
        <f t="shared" si="56"/>
        <v>#DIV/0!</v>
      </c>
      <c r="AA91" s="14" t="e">
        <f t="shared" si="56"/>
        <v>#DIV/0!</v>
      </c>
      <c r="AB91" s="14" t="e">
        <f t="shared" si="56"/>
        <v>#DIV/0!</v>
      </c>
      <c r="AC91" s="14" t="e">
        <f t="shared" si="56"/>
        <v>#DIV/0!</v>
      </c>
      <c r="AD91" s="14" t="e">
        <f t="shared" si="56"/>
        <v>#DIV/0!</v>
      </c>
      <c r="AE91" s="14" t="e">
        <f t="shared" si="56"/>
        <v>#DIV/0!</v>
      </c>
      <c r="AF91" s="14" t="e">
        <f t="shared" si="56"/>
        <v>#DIV/0!</v>
      </c>
      <c r="AG91" s="14" t="e">
        <f t="shared" si="56"/>
        <v>#DIV/0!</v>
      </c>
      <c r="AH91" s="14" t="e">
        <f t="shared" si="56"/>
        <v>#DIV/0!</v>
      </c>
      <c r="AI91" s="14" t="e">
        <f t="shared" si="56"/>
        <v>#DIV/0!</v>
      </c>
      <c r="AJ91" s="14" t="e">
        <f t="shared" si="56"/>
        <v>#DIV/0!</v>
      </c>
      <c r="AK91" s="14" t="e">
        <f t="shared" si="56"/>
        <v>#DIV/0!</v>
      </c>
      <c r="AL91" s="14" t="e">
        <f t="shared" si="56"/>
        <v>#DIV/0!</v>
      </c>
      <c r="AM91" s="14" t="e">
        <f t="shared" si="56"/>
        <v>#DIV/0!</v>
      </c>
      <c r="AN91" s="14" t="e">
        <f t="shared" si="56"/>
        <v>#DIV/0!</v>
      </c>
      <c r="AO91" s="14" t="e">
        <f t="shared" si="56"/>
        <v>#DIV/0!</v>
      </c>
      <c r="AP91" s="14" t="e">
        <f t="shared" si="56"/>
        <v>#DIV/0!</v>
      </c>
      <c r="AQ91" s="14" t="e">
        <f t="shared" si="56"/>
        <v>#DIV/0!</v>
      </c>
      <c r="AR91" s="14" t="e">
        <f t="shared" si="56"/>
        <v>#DIV/0!</v>
      </c>
      <c r="AS91" s="14" t="e">
        <f t="shared" si="56"/>
        <v>#DIV/0!</v>
      </c>
      <c r="AT91" s="14" t="e">
        <f t="shared" si="56"/>
        <v>#DIV/0!</v>
      </c>
      <c r="AU91" s="14" t="e">
        <f t="shared" si="56"/>
        <v>#DIV/0!</v>
      </c>
      <c r="AV91" s="14" t="e">
        <f t="shared" si="56"/>
        <v>#DIV/0!</v>
      </c>
      <c r="AW91" s="14" t="e">
        <f t="shared" si="56"/>
        <v>#DIV/0!</v>
      </c>
      <c r="AX91" s="14" t="e">
        <f t="shared" si="56"/>
        <v>#DIV/0!</v>
      </c>
      <c r="AY91" s="14" t="e">
        <f t="shared" si="56"/>
        <v>#DIV/0!</v>
      </c>
      <c r="AZ91" s="14" t="e">
        <f t="shared" si="56"/>
        <v>#DIV/0!</v>
      </c>
      <c r="BA91" s="14" t="e">
        <f t="shared" si="56"/>
        <v>#DIV/0!</v>
      </c>
      <c r="BB91" s="14" t="e">
        <f t="shared" si="56"/>
        <v>#DIV/0!</v>
      </c>
      <c r="BC91" s="14" t="e">
        <f t="shared" si="56"/>
        <v>#DIV/0!</v>
      </c>
      <c r="BD91" s="14" t="e">
        <f t="shared" si="56"/>
        <v>#DIV/0!</v>
      </c>
      <c r="BE91" s="14" t="e">
        <f t="shared" si="56"/>
        <v>#DIV/0!</v>
      </c>
      <c r="BF91" s="14" t="e">
        <f t="shared" si="56"/>
        <v>#DIV/0!</v>
      </c>
      <c r="BG91" s="14" t="e">
        <f t="shared" si="56"/>
        <v>#DIV/0!</v>
      </c>
      <c r="BH91" s="14" t="e">
        <f t="shared" si="56"/>
        <v>#DIV/0!</v>
      </c>
      <c r="BI91" s="14" t="e">
        <f t="shared" si="56"/>
        <v>#DIV/0!</v>
      </c>
      <c r="BJ91" s="14" t="e">
        <f t="shared" si="56"/>
        <v>#DIV/0!</v>
      </c>
      <c r="BK91" s="14" t="e">
        <f t="shared" si="56"/>
        <v>#DIV/0!</v>
      </c>
      <c r="BL91" s="14" t="e">
        <f t="shared" si="56"/>
        <v>#DIV/0!</v>
      </c>
      <c r="BM91" s="14" t="e">
        <f t="shared" si="56"/>
        <v>#DIV/0!</v>
      </c>
      <c r="BN91" s="14" t="e">
        <f t="shared" si="56"/>
        <v>#DIV/0!</v>
      </c>
      <c r="BO91" s="14" t="e">
        <f t="shared" si="56"/>
        <v>#DIV/0!</v>
      </c>
      <c r="BP91" s="14" t="e">
        <f t="shared" si="56"/>
        <v>#DIV/0!</v>
      </c>
      <c r="BQ91" s="14" t="e">
        <f t="shared" si="56"/>
        <v>#DIV/0!</v>
      </c>
      <c r="BR91" s="14" t="e">
        <f t="shared" si="56"/>
        <v>#DIV/0!</v>
      </c>
      <c r="BS91" s="14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1</v>
      </c>
      <c r="C92" s="5">
        <f t="shared" si="34"/>
        <v>0</v>
      </c>
      <c r="D92" s="5">
        <f t="shared" si="34"/>
        <v>0</v>
      </c>
      <c r="E92" s="6" t="str">
        <f t="shared" si="28"/>
        <v>(1)Se[l]</v>
      </c>
      <c r="F92" s="14" t="e">
        <f t="shared" ref="F92" si="57">F16*$C$78</f>
        <v>#DIV/0!</v>
      </c>
      <c r="G92" s="14" t="e">
        <f t="shared" ref="G92:BR92" si="58">G16*$C$78</f>
        <v>#DIV/0!</v>
      </c>
      <c r="H92" s="14" t="e">
        <f t="shared" si="58"/>
        <v>#DIV/0!</v>
      </c>
      <c r="I92" s="14" t="e">
        <f t="shared" si="58"/>
        <v>#DIV/0!</v>
      </c>
      <c r="J92" s="14" t="e">
        <f t="shared" si="58"/>
        <v>#DIV/0!</v>
      </c>
      <c r="K92" s="14" t="e">
        <f t="shared" si="58"/>
        <v>#DIV/0!</v>
      </c>
      <c r="L92" s="14" t="e">
        <f t="shared" si="58"/>
        <v>#DIV/0!</v>
      </c>
      <c r="M92" s="14" t="e">
        <f t="shared" si="58"/>
        <v>#DIV/0!</v>
      </c>
      <c r="N92" s="14" t="e">
        <f t="shared" si="58"/>
        <v>#DIV/0!</v>
      </c>
      <c r="O92" s="14" t="e">
        <f t="shared" si="58"/>
        <v>#DIV/0!</v>
      </c>
      <c r="P92" s="14" t="e">
        <f t="shared" si="58"/>
        <v>#DIV/0!</v>
      </c>
      <c r="Q92" s="14" t="e">
        <f t="shared" si="58"/>
        <v>#DIV/0!</v>
      </c>
      <c r="R92" s="14" t="e">
        <f t="shared" si="58"/>
        <v>#DIV/0!</v>
      </c>
      <c r="S92" s="14" t="e">
        <f t="shared" si="58"/>
        <v>#DIV/0!</v>
      </c>
      <c r="T92" s="14" t="e">
        <f t="shared" si="58"/>
        <v>#DIV/0!</v>
      </c>
      <c r="U92" s="14" t="e">
        <f t="shared" si="58"/>
        <v>#DIV/0!</v>
      </c>
      <c r="V92" s="14" t="e">
        <f t="shared" si="58"/>
        <v>#DIV/0!</v>
      </c>
      <c r="W92" s="14" t="e">
        <f t="shared" si="58"/>
        <v>#DIV/0!</v>
      </c>
      <c r="X92" s="14" t="e">
        <f t="shared" si="58"/>
        <v>#DIV/0!</v>
      </c>
      <c r="Y92" s="14" t="e">
        <f t="shared" si="58"/>
        <v>#DIV/0!</v>
      </c>
      <c r="Z92" s="14" t="e">
        <f t="shared" si="58"/>
        <v>#DIV/0!</v>
      </c>
      <c r="AA92" s="14" t="e">
        <f t="shared" si="58"/>
        <v>#DIV/0!</v>
      </c>
      <c r="AB92" s="14" t="e">
        <f t="shared" si="58"/>
        <v>#DIV/0!</v>
      </c>
      <c r="AC92" s="14" t="e">
        <f t="shared" si="58"/>
        <v>#DIV/0!</v>
      </c>
      <c r="AD92" s="14" t="e">
        <f t="shared" si="58"/>
        <v>#DIV/0!</v>
      </c>
      <c r="AE92" s="14" t="e">
        <f t="shared" si="58"/>
        <v>#DIV/0!</v>
      </c>
      <c r="AF92" s="14" t="e">
        <f t="shared" si="58"/>
        <v>#DIV/0!</v>
      </c>
      <c r="AG92" s="14" t="e">
        <f t="shared" si="58"/>
        <v>#DIV/0!</v>
      </c>
      <c r="AH92" s="14" t="e">
        <f t="shared" si="58"/>
        <v>#DIV/0!</v>
      </c>
      <c r="AI92" s="14" t="e">
        <f t="shared" si="58"/>
        <v>#DIV/0!</v>
      </c>
      <c r="AJ92" s="14" t="e">
        <f t="shared" si="58"/>
        <v>#DIV/0!</v>
      </c>
      <c r="AK92" s="14" t="e">
        <f t="shared" si="58"/>
        <v>#DIV/0!</v>
      </c>
      <c r="AL92" s="14" t="e">
        <f t="shared" si="58"/>
        <v>#DIV/0!</v>
      </c>
      <c r="AM92" s="14" t="e">
        <f t="shared" si="58"/>
        <v>#DIV/0!</v>
      </c>
      <c r="AN92" s="14" t="e">
        <f t="shared" si="58"/>
        <v>#DIV/0!</v>
      </c>
      <c r="AO92" s="14" t="e">
        <f t="shared" si="58"/>
        <v>#DIV/0!</v>
      </c>
      <c r="AP92" s="14" t="e">
        <f t="shared" si="58"/>
        <v>#DIV/0!</v>
      </c>
      <c r="AQ92" s="14" t="e">
        <f t="shared" si="58"/>
        <v>#DIV/0!</v>
      </c>
      <c r="AR92" s="14" t="e">
        <f t="shared" si="58"/>
        <v>#DIV/0!</v>
      </c>
      <c r="AS92" s="14" t="e">
        <f t="shared" si="58"/>
        <v>#DIV/0!</v>
      </c>
      <c r="AT92" s="14" t="e">
        <f t="shared" si="58"/>
        <v>#DIV/0!</v>
      </c>
      <c r="AU92" s="14" t="e">
        <f t="shared" si="58"/>
        <v>#DIV/0!</v>
      </c>
      <c r="AV92" s="14" t="e">
        <f t="shared" si="58"/>
        <v>#DIV/0!</v>
      </c>
      <c r="AW92" s="14" t="e">
        <f t="shared" si="58"/>
        <v>#DIV/0!</v>
      </c>
      <c r="AX92" s="14" t="e">
        <f t="shared" si="58"/>
        <v>#DIV/0!</v>
      </c>
      <c r="AY92" s="14" t="e">
        <f t="shared" si="58"/>
        <v>#DIV/0!</v>
      </c>
      <c r="AZ92" s="14" t="e">
        <f t="shared" si="58"/>
        <v>#DIV/0!</v>
      </c>
      <c r="BA92" s="14" t="e">
        <f t="shared" si="58"/>
        <v>#DIV/0!</v>
      </c>
      <c r="BB92" s="14" t="e">
        <f t="shared" si="58"/>
        <v>#DIV/0!</v>
      </c>
      <c r="BC92" s="14" t="e">
        <f t="shared" si="58"/>
        <v>#DIV/0!</v>
      </c>
      <c r="BD92" s="14" t="e">
        <f t="shared" si="58"/>
        <v>#DIV/0!</v>
      </c>
      <c r="BE92" s="14" t="e">
        <f t="shared" si="58"/>
        <v>#DIV/0!</v>
      </c>
      <c r="BF92" s="14" t="e">
        <f t="shared" si="58"/>
        <v>#DIV/0!</v>
      </c>
      <c r="BG92" s="14" t="e">
        <f t="shared" si="58"/>
        <v>#DIV/0!</v>
      </c>
      <c r="BH92" s="14" t="e">
        <f t="shared" si="58"/>
        <v>#DIV/0!</v>
      </c>
      <c r="BI92" s="14" t="e">
        <f t="shared" si="58"/>
        <v>#DIV/0!</v>
      </c>
      <c r="BJ92" s="14" t="e">
        <f t="shared" si="58"/>
        <v>#DIV/0!</v>
      </c>
      <c r="BK92" s="14" t="e">
        <f t="shared" si="58"/>
        <v>#DIV/0!</v>
      </c>
      <c r="BL92" s="14" t="e">
        <f t="shared" si="58"/>
        <v>#DIV/0!</v>
      </c>
      <c r="BM92" s="14" t="e">
        <f t="shared" si="58"/>
        <v>#DIV/0!</v>
      </c>
      <c r="BN92" s="14" t="e">
        <f t="shared" si="58"/>
        <v>#DIV/0!</v>
      </c>
      <c r="BO92" s="14" t="e">
        <f t="shared" si="58"/>
        <v>#DIV/0!</v>
      </c>
      <c r="BP92" s="14" t="e">
        <f t="shared" si="58"/>
        <v>#DIV/0!</v>
      </c>
      <c r="BQ92" s="14" t="e">
        <f t="shared" si="58"/>
        <v>#DIV/0!</v>
      </c>
      <c r="BR92" s="14" t="e">
        <f t="shared" si="58"/>
        <v>#DIV/0!</v>
      </c>
      <c r="BS92" s="14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1</v>
      </c>
      <c r="C93" s="5">
        <f t="shared" si="34"/>
        <v>1</v>
      </c>
      <c r="D93" s="5">
        <f t="shared" si="34"/>
        <v>0</v>
      </c>
      <c r="E93" s="6" t="str">
        <f t="shared" si="28"/>
        <v>(1)GeSe[l]</v>
      </c>
      <c r="F93" s="14" t="e">
        <f t="shared" ref="F93" si="59">F17*$C$78</f>
        <v>#DIV/0!</v>
      </c>
      <c r="G93" s="14" t="e">
        <f t="shared" ref="G93:BR93" si="60">G17*$C$78</f>
        <v>#DIV/0!</v>
      </c>
      <c r="H93" s="14" t="e">
        <f t="shared" si="60"/>
        <v>#DIV/0!</v>
      </c>
      <c r="I93" s="14" t="e">
        <f t="shared" si="60"/>
        <v>#DIV/0!</v>
      </c>
      <c r="J93" s="14" t="e">
        <f t="shared" si="60"/>
        <v>#DIV/0!</v>
      </c>
      <c r="K93" s="14" t="e">
        <f t="shared" si="60"/>
        <v>#DIV/0!</v>
      </c>
      <c r="L93" s="14" t="e">
        <f t="shared" si="60"/>
        <v>#DIV/0!</v>
      </c>
      <c r="M93" s="14" t="e">
        <f t="shared" si="60"/>
        <v>#DIV/0!</v>
      </c>
      <c r="N93" s="14" t="e">
        <f t="shared" si="60"/>
        <v>#DIV/0!</v>
      </c>
      <c r="O93" s="14" t="e">
        <f t="shared" si="60"/>
        <v>#DIV/0!</v>
      </c>
      <c r="P93" s="14" t="e">
        <f t="shared" si="60"/>
        <v>#DIV/0!</v>
      </c>
      <c r="Q93" s="14" t="e">
        <f t="shared" si="60"/>
        <v>#DIV/0!</v>
      </c>
      <c r="R93" s="14" t="e">
        <f t="shared" si="60"/>
        <v>#DIV/0!</v>
      </c>
      <c r="S93" s="14" t="e">
        <f t="shared" si="60"/>
        <v>#DIV/0!</v>
      </c>
      <c r="T93" s="14" t="e">
        <f t="shared" si="60"/>
        <v>#DIV/0!</v>
      </c>
      <c r="U93" s="14" t="e">
        <f t="shared" si="60"/>
        <v>#DIV/0!</v>
      </c>
      <c r="V93" s="14" t="e">
        <f t="shared" si="60"/>
        <v>#DIV/0!</v>
      </c>
      <c r="W93" s="14" t="e">
        <f t="shared" si="60"/>
        <v>#DIV/0!</v>
      </c>
      <c r="X93" s="14" t="e">
        <f t="shared" si="60"/>
        <v>#DIV/0!</v>
      </c>
      <c r="Y93" s="14" t="e">
        <f t="shared" si="60"/>
        <v>#DIV/0!</v>
      </c>
      <c r="Z93" s="14" t="e">
        <f t="shared" si="60"/>
        <v>#DIV/0!</v>
      </c>
      <c r="AA93" s="14" t="e">
        <f t="shared" si="60"/>
        <v>#DIV/0!</v>
      </c>
      <c r="AB93" s="14" t="e">
        <f t="shared" si="60"/>
        <v>#DIV/0!</v>
      </c>
      <c r="AC93" s="14" t="e">
        <f t="shared" si="60"/>
        <v>#DIV/0!</v>
      </c>
      <c r="AD93" s="14" t="e">
        <f t="shared" si="60"/>
        <v>#DIV/0!</v>
      </c>
      <c r="AE93" s="14" t="e">
        <f t="shared" si="60"/>
        <v>#DIV/0!</v>
      </c>
      <c r="AF93" s="14" t="e">
        <f t="shared" si="60"/>
        <v>#DIV/0!</v>
      </c>
      <c r="AG93" s="14" t="e">
        <f t="shared" si="60"/>
        <v>#DIV/0!</v>
      </c>
      <c r="AH93" s="14" t="e">
        <f t="shared" si="60"/>
        <v>#DIV/0!</v>
      </c>
      <c r="AI93" s="14" t="e">
        <f t="shared" si="60"/>
        <v>#DIV/0!</v>
      </c>
      <c r="AJ93" s="14" t="e">
        <f t="shared" si="60"/>
        <v>#DIV/0!</v>
      </c>
      <c r="AK93" s="14" t="e">
        <f t="shared" si="60"/>
        <v>#DIV/0!</v>
      </c>
      <c r="AL93" s="14" t="e">
        <f t="shared" si="60"/>
        <v>#DIV/0!</v>
      </c>
      <c r="AM93" s="14" t="e">
        <f t="shared" si="60"/>
        <v>#DIV/0!</v>
      </c>
      <c r="AN93" s="14" t="e">
        <f t="shared" si="60"/>
        <v>#DIV/0!</v>
      </c>
      <c r="AO93" s="14" t="e">
        <f t="shared" si="60"/>
        <v>#DIV/0!</v>
      </c>
      <c r="AP93" s="14" t="e">
        <f t="shared" si="60"/>
        <v>#DIV/0!</v>
      </c>
      <c r="AQ93" s="14" t="e">
        <f t="shared" si="60"/>
        <v>#DIV/0!</v>
      </c>
      <c r="AR93" s="14" t="e">
        <f t="shared" si="60"/>
        <v>#DIV/0!</v>
      </c>
      <c r="AS93" s="14" t="e">
        <f t="shared" si="60"/>
        <v>#DIV/0!</v>
      </c>
      <c r="AT93" s="14" t="e">
        <f t="shared" si="60"/>
        <v>#DIV/0!</v>
      </c>
      <c r="AU93" s="14" t="e">
        <f t="shared" si="60"/>
        <v>#DIV/0!</v>
      </c>
      <c r="AV93" s="14" t="e">
        <f t="shared" si="60"/>
        <v>#DIV/0!</v>
      </c>
      <c r="AW93" s="14" t="e">
        <f t="shared" si="60"/>
        <v>#DIV/0!</v>
      </c>
      <c r="AX93" s="14" t="e">
        <f t="shared" si="60"/>
        <v>#DIV/0!</v>
      </c>
      <c r="AY93" s="14" t="e">
        <f t="shared" si="60"/>
        <v>#DIV/0!</v>
      </c>
      <c r="AZ93" s="14" t="e">
        <f t="shared" si="60"/>
        <v>#DIV/0!</v>
      </c>
      <c r="BA93" s="14" t="e">
        <f t="shared" si="60"/>
        <v>#DIV/0!</v>
      </c>
      <c r="BB93" s="14" t="e">
        <f t="shared" si="60"/>
        <v>#DIV/0!</v>
      </c>
      <c r="BC93" s="14" t="e">
        <f t="shared" si="60"/>
        <v>#DIV/0!</v>
      </c>
      <c r="BD93" s="14" t="e">
        <f t="shared" si="60"/>
        <v>#DIV/0!</v>
      </c>
      <c r="BE93" s="14" t="e">
        <f t="shared" si="60"/>
        <v>#DIV/0!</v>
      </c>
      <c r="BF93" s="14" t="e">
        <f t="shared" si="60"/>
        <v>#DIV/0!</v>
      </c>
      <c r="BG93" s="14" t="e">
        <f t="shared" si="60"/>
        <v>#DIV/0!</v>
      </c>
      <c r="BH93" s="14" t="e">
        <f t="shared" si="60"/>
        <v>#DIV/0!</v>
      </c>
      <c r="BI93" s="14" t="e">
        <f t="shared" si="60"/>
        <v>#DIV/0!</v>
      </c>
      <c r="BJ93" s="14" t="e">
        <f t="shared" si="60"/>
        <v>#DIV/0!</v>
      </c>
      <c r="BK93" s="14" t="e">
        <f t="shared" si="60"/>
        <v>#DIV/0!</v>
      </c>
      <c r="BL93" s="14" t="e">
        <f t="shared" si="60"/>
        <v>#DIV/0!</v>
      </c>
      <c r="BM93" s="14" t="e">
        <f t="shared" si="60"/>
        <v>#DIV/0!</v>
      </c>
      <c r="BN93" s="14" t="e">
        <f t="shared" si="60"/>
        <v>#DIV/0!</v>
      </c>
      <c r="BO93" s="14" t="e">
        <f t="shared" si="60"/>
        <v>#DIV/0!</v>
      </c>
      <c r="BP93" s="14" t="e">
        <f t="shared" si="60"/>
        <v>#DIV/0!</v>
      </c>
      <c r="BQ93" s="14" t="e">
        <f t="shared" si="60"/>
        <v>#DIV/0!</v>
      </c>
      <c r="BR93" s="14" t="e">
        <f t="shared" si="60"/>
        <v>#DIV/0!</v>
      </c>
      <c r="BS93" s="14"/>
    </row>
    <row r="94" spans="1:71" ht="21" hidden="1" customHeight="1" outlineLevel="1" thickBot="1" x14ac:dyDescent="0.4">
      <c r="A94" s="5">
        <f t="shared" si="34"/>
        <v>1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 t="str">
        <f t="shared" si="28"/>
        <v>H (Ar)</v>
      </c>
      <c r="F94" s="14" t="e">
        <f t="shared" ref="F94" si="61">F18*$C$78</f>
        <v>#DIV/0!</v>
      </c>
      <c r="G94" s="14" t="e">
        <f t="shared" ref="G94:BR94" si="62">G18*$C$78</f>
        <v>#DIV/0!</v>
      </c>
      <c r="H94" s="14" t="e">
        <f t="shared" si="62"/>
        <v>#DIV/0!</v>
      </c>
      <c r="I94" s="14" t="e">
        <f t="shared" si="62"/>
        <v>#DIV/0!</v>
      </c>
      <c r="J94" s="14" t="e">
        <f t="shared" si="62"/>
        <v>#DIV/0!</v>
      </c>
      <c r="K94" s="14" t="e">
        <f t="shared" si="62"/>
        <v>#DIV/0!</v>
      </c>
      <c r="L94" s="14" t="e">
        <f t="shared" si="62"/>
        <v>#DIV/0!</v>
      </c>
      <c r="M94" s="14" t="e">
        <f t="shared" si="62"/>
        <v>#DIV/0!</v>
      </c>
      <c r="N94" s="14" t="e">
        <f t="shared" si="62"/>
        <v>#DIV/0!</v>
      </c>
      <c r="O94" s="14" t="e">
        <f t="shared" si="62"/>
        <v>#DIV/0!</v>
      </c>
      <c r="P94" s="14" t="e">
        <f t="shared" si="62"/>
        <v>#DIV/0!</v>
      </c>
      <c r="Q94" s="14" t="e">
        <f t="shared" si="62"/>
        <v>#DIV/0!</v>
      </c>
      <c r="R94" s="14" t="e">
        <f t="shared" si="62"/>
        <v>#DIV/0!</v>
      </c>
      <c r="S94" s="14" t="e">
        <f t="shared" si="62"/>
        <v>#DIV/0!</v>
      </c>
      <c r="T94" s="14" t="e">
        <f t="shared" si="62"/>
        <v>#DIV/0!</v>
      </c>
      <c r="U94" s="14" t="e">
        <f t="shared" si="62"/>
        <v>#DIV/0!</v>
      </c>
      <c r="V94" s="14" t="e">
        <f t="shared" si="62"/>
        <v>#DIV/0!</v>
      </c>
      <c r="W94" s="14" t="e">
        <f t="shared" si="62"/>
        <v>#DIV/0!</v>
      </c>
      <c r="X94" s="14" t="e">
        <f t="shared" si="62"/>
        <v>#DIV/0!</v>
      </c>
      <c r="Y94" s="14" t="e">
        <f t="shared" si="62"/>
        <v>#DIV/0!</v>
      </c>
      <c r="Z94" s="14" t="e">
        <f t="shared" si="62"/>
        <v>#DIV/0!</v>
      </c>
      <c r="AA94" s="14" t="e">
        <f t="shared" si="62"/>
        <v>#DIV/0!</v>
      </c>
      <c r="AB94" s="14" t="e">
        <f t="shared" si="62"/>
        <v>#DIV/0!</v>
      </c>
      <c r="AC94" s="14" t="e">
        <f t="shared" si="62"/>
        <v>#DIV/0!</v>
      </c>
      <c r="AD94" s="14" t="e">
        <f t="shared" si="62"/>
        <v>#DIV/0!</v>
      </c>
      <c r="AE94" s="14" t="e">
        <f t="shared" si="62"/>
        <v>#DIV/0!</v>
      </c>
      <c r="AF94" s="14" t="e">
        <f t="shared" si="62"/>
        <v>#DIV/0!</v>
      </c>
      <c r="AG94" s="14" t="e">
        <f t="shared" si="62"/>
        <v>#DIV/0!</v>
      </c>
      <c r="AH94" s="14" t="e">
        <f t="shared" si="62"/>
        <v>#DIV/0!</v>
      </c>
      <c r="AI94" s="14" t="e">
        <f t="shared" si="62"/>
        <v>#DIV/0!</v>
      </c>
      <c r="AJ94" s="14" t="e">
        <f t="shared" si="62"/>
        <v>#DIV/0!</v>
      </c>
      <c r="AK94" s="14" t="e">
        <f t="shared" si="62"/>
        <v>#DIV/0!</v>
      </c>
      <c r="AL94" s="14" t="e">
        <f t="shared" si="62"/>
        <v>#DIV/0!</v>
      </c>
      <c r="AM94" s="14" t="e">
        <f t="shared" si="62"/>
        <v>#DIV/0!</v>
      </c>
      <c r="AN94" s="14" t="e">
        <f t="shared" si="62"/>
        <v>#DIV/0!</v>
      </c>
      <c r="AO94" s="14" t="e">
        <f t="shared" si="62"/>
        <v>#DIV/0!</v>
      </c>
      <c r="AP94" s="14" t="e">
        <f t="shared" si="62"/>
        <v>#DIV/0!</v>
      </c>
      <c r="AQ94" s="14" t="e">
        <f t="shared" si="62"/>
        <v>#DIV/0!</v>
      </c>
      <c r="AR94" s="14" t="e">
        <f t="shared" si="62"/>
        <v>#DIV/0!</v>
      </c>
      <c r="AS94" s="14" t="e">
        <f t="shared" si="62"/>
        <v>#DIV/0!</v>
      </c>
      <c r="AT94" s="14" t="e">
        <f t="shared" si="62"/>
        <v>#DIV/0!</v>
      </c>
      <c r="AU94" s="14" t="e">
        <f t="shared" si="62"/>
        <v>#DIV/0!</v>
      </c>
      <c r="AV94" s="14" t="e">
        <f t="shared" si="62"/>
        <v>#DIV/0!</v>
      </c>
      <c r="AW94" s="14" t="e">
        <f t="shared" si="62"/>
        <v>#DIV/0!</v>
      </c>
      <c r="AX94" s="14" t="e">
        <f t="shared" si="62"/>
        <v>#DIV/0!</v>
      </c>
      <c r="AY94" s="14" t="e">
        <f t="shared" si="62"/>
        <v>#DIV/0!</v>
      </c>
      <c r="AZ94" s="14" t="e">
        <f t="shared" si="62"/>
        <v>#DIV/0!</v>
      </c>
      <c r="BA94" s="14" t="e">
        <f t="shared" si="62"/>
        <v>#DIV/0!</v>
      </c>
      <c r="BB94" s="14" t="e">
        <f t="shared" si="62"/>
        <v>#DIV/0!</v>
      </c>
      <c r="BC94" s="14" t="e">
        <f t="shared" si="62"/>
        <v>#DIV/0!</v>
      </c>
      <c r="BD94" s="14" t="e">
        <f t="shared" si="62"/>
        <v>#DIV/0!</v>
      </c>
      <c r="BE94" s="14" t="e">
        <f t="shared" si="62"/>
        <v>#DIV/0!</v>
      </c>
      <c r="BF94" s="14" t="e">
        <f t="shared" si="62"/>
        <v>#DIV/0!</v>
      </c>
      <c r="BG94" s="14" t="e">
        <f t="shared" si="62"/>
        <v>#DIV/0!</v>
      </c>
      <c r="BH94" s="14" t="e">
        <f t="shared" si="62"/>
        <v>#DIV/0!</v>
      </c>
      <c r="BI94" s="14" t="e">
        <f t="shared" si="62"/>
        <v>#DIV/0!</v>
      </c>
      <c r="BJ94" s="14" t="e">
        <f t="shared" si="62"/>
        <v>#DIV/0!</v>
      </c>
      <c r="BK94" s="14" t="e">
        <f t="shared" si="62"/>
        <v>#DIV/0!</v>
      </c>
      <c r="BL94" s="14" t="e">
        <f t="shared" si="62"/>
        <v>#DIV/0!</v>
      </c>
      <c r="BM94" s="14" t="e">
        <f t="shared" si="62"/>
        <v>#DIV/0!</v>
      </c>
      <c r="BN94" s="14" t="e">
        <f t="shared" si="62"/>
        <v>#DIV/0!</v>
      </c>
      <c r="BO94" s="14" t="e">
        <f t="shared" si="62"/>
        <v>#DIV/0!</v>
      </c>
      <c r="BP94" s="14" t="e">
        <f t="shared" si="62"/>
        <v>#DIV/0!</v>
      </c>
      <c r="BQ94" s="14" t="e">
        <f t="shared" si="62"/>
        <v>#DIV/0!</v>
      </c>
      <c r="BR94" s="14" t="e">
        <f t="shared" si="62"/>
        <v>#DIV/0!</v>
      </c>
      <c r="BS94" s="14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1</v>
      </c>
      <c r="E95" s="6" t="str">
        <f t="shared" si="28"/>
        <v>H (Ga)</v>
      </c>
      <c r="F95" s="14" t="e">
        <f t="shared" ref="F95" si="63">F19*$C$78</f>
        <v>#DIV/0!</v>
      </c>
      <c r="G95" s="14" t="e">
        <f t="shared" ref="G95:BR95" si="64">G19*$C$78</f>
        <v>#DIV/0!</v>
      </c>
      <c r="H95" s="14" t="e">
        <f t="shared" si="64"/>
        <v>#DIV/0!</v>
      </c>
      <c r="I95" s="14" t="e">
        <f t="shared" si="64"/>
        <v>#DIV/0!</v>
      </c>
      <c r="J95" s="14" t="e">
        <f t="shared" si="64"/>
        <v>#DIV/0!</v>
      </c>
      <c r="K95" s="14" t="e">
        <f t="shared" si="64"/>
        <v>#DIV/0!</v>
      </c>
      <c r="L95" s="14" t="e">
        <f t="shared" si="64"/>
        <v>#DIV/0!</v>
      </c>
      <c r="M95" s="14" t="e">
        <f t="shared" si="64"/>
        <v>#DIV/0!</v>
      </c>
      <c r="N95" s="14" t="e">
        <f t="shared" si="64"/>
        <v>#DIV/0!</v>
      </c>
      <c r="O95" s="14" t="e">
        <f t="shared" si="64"/>
        <v>#DIV/0!</v>
      </c>
      <c r="P95" s="14" t="e">
        <f t="shared" si="64"/>
        <v>#DIV/0!</v>
      </c>
      <c r="Q95" s="14" t="e">
        <f t="shared" si="64"/>
        <v>#DIV/0!</v>
      </c>
      <c r="R95" s="14" t="e">
        <f t="shared" si="64"/>
        <v>#DIV/0!</v>
      </c>
      <c r="S95" s="14" t="e">
        <f t="shared" si="64"/>
        <v>#DIV/0!</v>
      </c>
      <c r="T95" s="14" t="e">
        <f t="shared" si="64"/>
        <v>#DIV/0!</v>
      </c>
      <c r="U95" s="14" t="e">
        <f t="shared" si="64"/>
        <v>#DIV/0!</v>
      </c>
      <c r="V95" s="14" t="e">
        <f t="shared" si="64"/>
        <v>#DIV/0!</v>
      </c>
      <c r="W95" s="14" t="e">
        <f t="shared" si="64"/>
        <v>#DIV/0!</v>
      </c>
      <c r="X95" s="14" t="e">
        <f t="shared" si="64"/>
        <v>#DIV/0!</v>
      </c>
      <c r="Y95" s="14" t="e">
        <f t="shared" si="64"/>
        <v>#DIV/0!</v>
      </c>
      <c r="Z95" s="14" t="e">
        <f t="shared" si="64"/>
        <v>#DIV/0!</v>
      </c>
      <c r="AA95" s="14" t="e">
        <f t="shared" si="64"/>
        <v>#DIV/0!</v>
      </c>
      <c r="AB95" s="14" t="e">
        <f t="shared" si="64"/>
        <v>#DIV/0!</v>
      </c>
      <c r="AC95" s="14" t="e">
        <f t="shared" si="64"/>
        <v>#DIV/0!</v>
      </c>
      <c r="AD95" s="14" t="e">
        <f t="shared" si="64"/>
        <v>#DIV/0!</v>
      </c>
      <c r="AE95" s="14" t="e">
        <f t="shared" si="64"/>
        <v>#DIV/0!</v>
      </c>
      <c r="AF95" s="14" t="e">
        <f t="shared" si="64"/>
        <v>#DIV/0!</v>
      </c>
      <c r="AG95" s="14" t="e">
        <f t="shared" si="64"/>
        <v>#DIV/0!</v>
      </c>
      <c r="AH95" s="14" t="e">
        <f t="shared" si="64"/>
        <v>#DIV/0!</v>
      </c>
      <c r="AI95" s="14" t="e">
        <f t="shared" si="64"/>
        <v>#DIV/0!</v>
      </c>
      <c r="AJ95" s="14" t="e">
        <f t="shared" si="64"/>
        <v>#DIV/0!</v>
      </c>
      <c r="AK95" s="14" t="e">
        <f t="shared" si="64"/>
        <v>#DIV/0!</v>
      </c>
      <c r="AL95" s="14" t="e">
        <f t="shared" si="64"/>
        <v>#DIV/0!</v>
      </c>
      <c r="AM95" s="14" t="e">
        <f t="shared" si="64"/>
        <v>#DIV/0!</v>
      </c>
      <c r="AN95" s="14" t="e">
        <f t="shared" si="64"/>
        <v>#DIV/0!</v>
      </c>
      <c r="AO95" s="14" t="e">
        <f t="shared" si="64"/>
        <v>#DIV/0!</v>
      </c>
      <c r="AP95" s="14" t="e">
        <f t="shared" si="64"/>
        <v>#DIV/0!</v>
      </c>
      <c r="AQ95" s="14" t="e">
        <f t="shared" si="64"/>
        <v>#DIV/0!</v>
      </c>
      <c r="AR95" s="14" t="e">
        <f t="shared" si="64"/>
        <v>#DIV/0!</v>
      </c>
      <c r="AS95" s="14" t="e">
        <f t="shared" si="64"/>
        <v>#DIV/0!</v>
      </c>
      <c r="AT95" s="14" t="e">
        <f t="shared" si="64"/>
        <v>#DIV/0!</v>
      </c>
      <c r="AU95" s="14" t="e">
        <f t="shared" si="64"/>
        <v>#DIV/0!</v>
      </c>
      <c r="AV95" s="14" t="e">
        <f t="shared" si="64"/>
        <v>#DIV/0!</v>
      </c>
      <c r="AW95" s="14" t="e">
        <f t="shared" si="64"/>
        <v>#DIV/0!</v>
      </c>
      <c r="AX95" s="14" t="e">
        <f t="shared" si="64"/>
        <v>#DIV/0!</v>
      </c>
      <c r="AY95" s="14" t="e">
        <f t="shared" si="64"/>
        <v>#DIV/0!</v>
      </c>
      <c r="AZ95" s="14" t="e">
        <f t="shared" si="64"/>
        <v>#DIV/0!</v>
      </c>
      <c r="BA95" s="14" t="e">
        <f t="shared" si="64"/>
        <v>#DIV/0!</v>
      </c>
      <c r="BB95" s="14" t="e">
        <f t="shared" si="64"/>
        <v>#DIV/0!</v>
      </c>
      <c r="BC95" s="14" t="e">
        <f t="shared" si="64"/>
        <v>#DIV/0!</v>
      </c>
      <c r="BD95" s="14" t="e">
        <f t="shared" si="64"/>
        <v>#DIV/0!</v>
      </c>
      <c r="BE95" s="14" t="e">
        <f t="shared" si="64"/>
        <v>#DIV/0!</v>
      </c>
      <c r="BF95" s="14" t="e">
        <f t="shared" si="64"/>
        <v>#DIV/0!</v>
      </c>
      <c r="BG95" s="14" t="e">
        <f t="shared" si="64"/>
        <v>#DIV/0!</v>
      </c>
      <c r="BH95" s="14" t="e">
        <f t="shared" si="64"/>
        <v>#DIV/0!</v>
      </c>
      <c r="BI95" s="14" t="e">
        <f t="shared" si="64"/>
        <v>#DIV/0!</v>
      </c>
      <c r="BJ95" s="14" t="e">
        <f t="shared" si="64"/>
        <v>#DIV/0!</v>
      </c>
      <c r="BK95" s="14" t="e">
        <f t="shared" si="64"/>
        <v>#DIV/0!</v>
      </c>
      <c r="BL95" s="14" t="e">
        <f t="shared" si="64"/>
        <v>#DIV/0!</v>
      </c>
      <c r="BM95" s="14" t="e">
        <f t="shared" si="64"/>
        <v>#DIV/0!</v>
      </c>
      <c r="BN95" s="14" t="e">
        <f t="shared" si="64"/>
        <v>#DIV/0!</v>
      </c>
      <c r="BO95" s="14" t="e">
        <f t="shared" si="64"/>
        <v>#DIV/0!</v>
      </c>
      <c r="BP95" s="14" t="e">
        <f t="shared" si="64"/>
        <v>#DIV/0!</v>
      </c>
      <c r="BQ95" s="14" t="e">
        <f t="shared" si="64"/>
        <v>#DIV/0!</v>
      </c>
      <c r="BR95" s="14" t="e">
        <f t="shared" si="64"/>
        <v>#DIV/0!</v>
      </c>
      <c r="BS95" s="14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1</v>
      </c>
      <c r="D96" s="5">
        <f t="shared" si="34"/>
        <v>0</v>
      </c>
      <c r="E96" s="6" t="str">
        <f t="shared" si="28"/>
        <v>H (Ge)</v>
      </c>
      <c r="F96" s="14" t="e">
        <f t="shared" ref="F96" si="65">F20*$C$78</f>
        <v>#DIV/0!</v>
      </c>
      <c r="G96" s="14" t="e">
        <f t="shared" ref="G96:BR96" si="66">G20*$C$78</f>
        <v>#DIV/0!</v>
      </c>
      <c r="H96" s="14" t="e">
        <f t="shared" si="66"/>
        <v>#DIV/0!</v>
      </c>
      <c r="I96" s="14" t="e">
        <f t="shared" si="66"/>
        <v>#DIV/0!</v>
      </c>
      <c r="J96" s="14" t="e">
        <f t="shared" si="66"/>
        <v>#DIV/0!</v>
      </c>
      <c r="K96" s="14" t="e">
        <f t="shared" si="66"/>
        <v>#DIV/0!</v>
      </c>
      <c r="L96" s="14" t="e">
        <f t="shared" si="66"/>
        <v>#DIV/0!</v>
      </c>
      <c r="M96" s="14" t="e">
        <f t="shared" si="66"/>
        <v>#DIV/0!</v>
      </c>
      <c r="N96" s="14" t="e">
        <f t="shared" si="66"/>
        <v>#DIV/0!</v>
      </c>
      <c r="O96" s="14" t="e">
        <f t="shared" si="66"/>
        <v>#DIV/0!</v>
      </c>
      <c r="P96" s="14" t="e">
        <f t="shared" si="66"/>
        <v>#DIV/0!</v>
      </c>
      <c r="Q96" s="14" t="e">
        <f t="shared" si="66"/>
        <v>#DIV/0!</v>
      </c>
      <c r="R96" s="14" t="e">
        <f t="shared" si="66"/>
        <v>#DIV/0!</v>
      </c>
      <c r="S96" s="14" t="e">
        <f t="shared" si="66"/>
        <v>#DIV/0!</v>
      </c>
      <c r="T96" s="14" t="e">
        <f t="shared" si="66"/>
        <v>#DIV/0!</v>
      </c>
      <c r="U96" s="14" t="e">
        <f t="shared" si="66"/>
        <v>#DIV/0!</v>
      </c>
      <c r="V96" s="14" t="e">
        <f t="shared" si="66"/>
        <v>#DIV/0!</v>
      </c>
      <c r="W96" s="14" t="e">
        <f t="shared" si="66"/>
        <v>#DIV/0!</v>
      </c>
      <c r="X96" s="14" t="e">
        <f t="shared" si="66"/>
        <v>#DIV/0!</v>
      </c>
      <c r="Y96" s="14" t="e">
        <f t="shared" si="66"/>
        <v>#DIV/0!</v>
      </c>
      <c r="Z96" s="14" t="e">
        <f t="shared" si="66"/>
        <v>#DIV/0!</v>
      </c>
      <c r="AA96" s="14" t="e">
        <f t="shared" si="66"/>
        <v>#DIV/0!</v>
      </c>
      <c r="AB96" s="14" t="e">
        <f t="shared" si="66"/>
        <v>#DIV/0!</v>
      </c>
      <c r="AC96" s="14" t="e">
        <f t="shared" si="66"/>
        <v>#DIV/0!</v>
      </c>
      <c r="AD96" s="14" t="e">
        <f t="shared" si="66"/>
        <v>#DIV/0!</v>
      </c>
      <c r="AE96" s="14" t="e">
        <f t="shared" si="66"/>
        <v>#DIV/0!</v>
      </c>
      <c r="AF96" s="14" t="e">
        <f t="shared" si="66"/>
        <v>#DIV/0!</v>
      </c>
      <c r="AG96" s="14" t="e">
        <f t="shared" si="66"/>
        <v>#DIV/0!</v>
      </c>
      <c r="AH96" s="14" t="e">
        <f t="shared" si="66"/>
        <v>#DIV/0!</v>
      </c>
      <c r="AI96" s="14" t="e">
        <f t="shared" si="66"/>
        <v>#DIV/0!</v>
      </c>
      <c r="AJ96" s="14" t="e">
        <f t="shared" si="66"/>
        <v>#DIV/0!</v>
      </c>
      <c r="AK96" s="14" t="e">
        <f t="shared" si="66"/>
        <v>#DIV/0!</v>
      </c>
      <c r="AL96" s="14" t="e">
        <f t="shared" si="66"/>
        <v>#DIV/0!</v>
      </c>
      <c r="AM96" s="14" t="e">
        <f t="shared" si="66"/>
        <v>#DIV/0!</v>
      </c>
      <c r="AN96" s="14" t="e">
        <f t="shared" si="66"/>
        <v>#DIV/0!</v>
      </c>
      <c r="AO96" s="14" t="e">
        <f t="shared" si="66"/>
        <v>#DIV/0!</v>
      </c>
      <c r="AP96" s="14" t="e">
        <f t="shared" si="66"/>
        <v>#DIV/0!</v>
      </c>
      <c r="AQ96" s="14" t="e">
        <f t="shared" si="66"/>
        <v>#DIV/0!</v>
      </c>
      <c r="AR96" s="14" t="e">
        <f t="shared" si="66"/>
        <v>#DIV/0!</v>
      </c>
      <c r="AS96" s="14" t="e">
        <f t="shared" si="66"/>
        <v>#DIV/0!</v>
      </c>
      <c r="AT96" s="14" t="e">
        <f t="shared" si="66"/>
        <v>#DIV/0!</v>
      </c>
      <c r="AU96" s="14" t="e">
        <f t="shared" si="66"/>
        <v>#DIV/0!</v>
      </c>
      <c r="AV96" s="14" t="e">
        <f t="shared" si="66"/>
        <v>#DIV/0!</v>
      </c>
      <c r="AW96" s="14" t="e">
        <f t="shared" si="66"/>
        <v>#DIV/0!</v>
      </c>
      <c r="AX96" s="14" t="e">
        <f t="shared" si="66"/>
        <v>#DIV/0!</v>
      </c>
      <c r="AY96" s="14" t="e">
        <f t="shared" si="66"/>
        <v>#DIV/0!</v>
      </c>
      <c r="AZ96" s="14" t="e">
        <f t="shared" si="66"/>
        <v>#DIV/0!</v>
      </c>
      <c r="BA96" s="14" t="e">
        <f t="shared" si="66"/>
        <v>#DIV/0!</v>
      </c>
      <c r="BB96" s="14" t="e">
        <f t="shared" si="66"/>
        <v>#DIV/0!</v>
      </c>
      <c r="BC96" s="14" t="e">
        <f t="shared" si="66"/>
        <v>#DIV/0!</v>
      </c>
      <c r="BD96" s="14" t="e">
        <f t="shared" si="66"/>
        <v>#DIV/0!</v>
      </c>
      <c r="BE96" s="14" t="e">
        <f t="shared" si="66"/>
        <v>#DIV/0!</v>
      </c>
      <c r="BF96" s="14" t="e">
        <f t="shared" si="66"/>
        <v>#DIV/0!</v>
      </c>
      <c r="BG96" s="14" t="e">
        <f t="shared" si="66"/>
        <v>#DIV/0!</v>
      </c>
      <c r="BH96" s="14" t="e">
        <f t="shared" si="66"/>
        <v>#DIV/0!</v>
      </c>
      <c r="BI96" s="14" t="e">
        <f t="shared" si="66"/>
        <v>#DIV/0!</v>
      </c>
      <c r="BJ96" s="14" t="e">
        <f t="shared" si="66"/>
        <v>#DIV/0!</v>
      </c>
      <c r="BK96" s="14" t="e">
        <f t="shared" si="66"/>
        <v>#DIV/0!</v>
      </c>
      <c r="BL96" s="14" t="e">
        <f t="shared" si="66"/>
        <v>#DIV/0!</v>
      </c>
      <c r="BM96" s="14" t="e">
        <f t="shared" si="66"/>
        <v>#DIV/0!</v>
      </c>
      <c r="BN96" s="14" t="e">
        <f t="shared" si="66"/>
        <v>#DIV/0!</v>
      </c>
      <c r="BO96" s="14" t="e">
        <f t="shared" si="66"/>
        <v>#DIV/0!</v>
      </c>
      <c r="BP96" s="14" t="e">
        <f t="shared" si="66"/>
        <v>#DIV/0!</v>
      </c>
      <c r="BQ96" s="14" t="e">
        <f t="shared" si="66"/>
        <v>#DIV/0!</v>
      </c>
      <c r="BR96" s="14" t="e">
        <f t="shared" si="66"/>
        <v>#DIV/0!</v>
      </c>
      <c r="BS96" s="14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1</v>
      </c>
      <c r="C97" s="5">
        <f t="shared" si="67"/>
        <v>0</v>
      </c>
      <c r="D97" s="5">
        <f t="shared" si="67"/>
        <v>0</v>
      </c>
      <c r="E97" s="6" t="str">
        <f t="shared" si="28"/>
        <v>H (Se)</v>
      </c>
      <c r="F97" s="14" t="e">
        <f t="shared" ref="F97" si="68">F21*$C$78</f>
        <v>#DIV/0!</v>
      </c>
      <c r="G97" s="14" t="e">
        <f t="shared" ref="G97:BR97" si="69">G21*$C$78</f>
        <v>#DIV/0!</v>
      </c>
      <c r="H97" s="14" t="e">
        <f t="shared" si="69"/>
        <v>#DIV/0!</v>
      </c>
      <c r="I97" s="14" t="e">
        <f t="shared" si="69"/>
        <v>#DIV/0!</v>
      </c>
      <c r="J97" s="14" t="e">
        <f t="shared" si="69"/>
        <v>#DIV/0!</v>
      </c>
      <c r="K97" s="14" t="e">
        <f t="shared" si="69"/>
        <v>#DIV/0!</v>
      </c>
      <c r="L97" s="14" t="e">
        <f t="shared" si="69"/>
        <v>#DIV/0!</v>
      </c>
      <c r="M97" s="14" t="e">
        <f t="shared" si="69"/>
        <v>#DIV/0!</v>
      </c>
      <c r="N97" s="14" t="e">
        <f t="shared" si="69"/>
        <v>#DIV/0!</v>
      </c>
      <c r="O97" s="14" t="e">
        <f t="shared" si="69"/>
        <v>#DIV/0!</v>
      </c>
      <c r="P97" s="14" t="e">
        <f t="shared" si="69"/>
        <v>#DIV/0!</v>
      </c>
      <c r="Q97" s="14" t="e">
        <f t="shared" si="69"/>
        <v>#DIV/0!</v>
      </c>
      <c r="R97" s="14" t="e">
        <f t="shared" si="69"/>
        <v>#DIV/0!</v>
      </c>
      <c r="S97" s="14" t="e">
        <f t="shared" si="69"/>
        <v>#DIV/0!</v>
      </c>
      <c r="T97" s="14" t="e">
        <f t="shared" si="69"/>
        <v>#DIV/0!</v>
      </c>
      <c r="U97" s="14" t="e">
        <f t="shared" si="69"/>
        <v>#DIV/0!</v>
      </c>
      <c r="V97" s="14" t="e">
        <f t="shared" si="69"/>
        <v>#DIV/0!</v>
      </c>
      <c r="W97" s="14" t="e">
        <f t="shared" si="69"/>
        <v>#DIV/0!</v>
      </c>
      <c r="X97" s="14" t="e">
        <f t="shared" si="69"/>
        <v>#DIV/0!</v>
      </c>
      <c r="Y97" s="14" t="e">
        <f t="shared" si="69"/>
        <v>#DIV/0!</v>
      </c>
      <c r="Z97" s="14" t="e">
        <f t="shared" si="69"/>
        <v>#DIV/0!</v>
      </c>
      <c r="AA97" s="14" t="e">
        <f t="shared" si="69"/>
        <v>#DIV/0!</v>
      </c>
      <c r="AB97" s="14" t="e">
        <f t="shared" si="69"/>
        <v>#DIV/0!</v>
      </c>
      <c r="AC97" s="14" t="e">
        <f t="shared" si="69"/>
        <v>#DIV/0!</v>
      </c>
      <c r="AD97" s="14" t="e">
        <f t="shared" si="69"/>
        <v>#DIV/0!</v>
      </c>
      <c r="AE97" s="14" t="e">
        <f t="shared" si="69"/>
        <v>#DIV/0!</v>
      </c>
      <c r="AF97" s="14" t="e">
        <f t="shared" si="69"/>
        <v>#DIV/0!</v>
      </c>
      <c r="AG97" s="14" t="e">
        <f t="shared" si="69"/>
        <v>#DIV/0!</v>
      </c>
      <c r="AH97" s="14" t="e">
        <f t="shared" si="69"/>
        <v>#DIV/0!</v>
      </c>
      <c r="AI97" s="14" t="e">
        <f t="shared" si="69"/>
        <v>#DIV/0!</v>
      </c>
      <c r="AJ97" s="14" t="e">
        <f t="shared" si="69"/>
        <v>#DIV/0!</v>
      </c>
      <c r="AK97" s="14" t="e">
        <f t="shared" si="69"/>
        <v>#DIV/0!</v>
      </c>
      <c r="AL97" s="14" t="e">
        <f t="shared" si="69"/>
        <v>#DIV/0!</v>
      </c>
      <c r="AM97" s="14" t="e">
        <f t="shared" si="69"/>
        <v>#DIV/0!</v>
      </c>
      <c r="AN97" s="14" t="e">
        <f t="shared" si="69"/>
        <v>#DIV/0!</v>
      </c>
      <c r="AO97" s="14" t="e">
        <f t="shared" si="69"/>
        <v>#DIV/0!</v>
      </c>
      <c r="AP97" s="14" t="e">
        <f t="shared" si="69"/>
        <v>#DIV/0!</v>
      </c>
      <c r="AQ97" s="14" t="e">
        <f t="shared" si="69"/>
        <v>#DIV/0!</v>
      </c>
      <c r="AR97" s="14" t="e">
        <f t="shared" si="69"/>
        <v>#DIV/0!</v>
      </c>
      <c r="AS97" s="14" t="e">
        <f t="shared" si="69"/>
        <v>#DIV/0!</v>
      </c>
      <c r="AT97" s="14" t="e">
        <f t="shared" si="69"/>
        <v>#DIV/0!</v>
      </c>
      <c r="AU97" s="14" t="e">
        <f t="shared" si="69"/>
        <v>#DIV/0!</v>
      </c>
      <c r="AV97" s="14" t="e">
        <f t="shared" si="69"/>
        <v>#DIV/0!</v>
      </c>
      <c r="AW97" s="14" t="e">
        <f t="shared" si="69"/>
        <v>#DIV/0!</v>
      </c>
      <c r="AX97" s="14" t="e">
        <f t="shared" si="69"/>
        <v>#DIV/0!</v>
      </c>
      <c r="AY97" s="14" t="e">
        <f t="shared" si="69"/>
        <v>#DIV/0!</v>
      </c>
      <c r="AZ97" s="14" t="e">
        <f t="shared" si="69"/>
        <v>#DIV/0!</v>
      </c>
      <c r="BA97" s="14" t="e">
        <f t="shared" si="69"/>
        <v>#DIV/0!</v>
      </c>
      <c r="BB97" s="14" t="e">
        <f t="shared" si="69"/>
        <v>#DIV/0!</v>
      </c>
      <c r="BC97" s="14" t="e">
        <f t="shared" si="69"/>
        <v>#DIV/0!</v>
      </c>
      <c r="BD97" s="14" t="e">
        <f t="shared" si="69"/>
        <v>#DIV/0!</v>
      </c>
      <c r="BE97" s="14" t="e">
        <f t="shared" si="69"/>
        <v>#DIV/0!</v>
      </c>
      <c r="BF97" s="14" t="e">
        <f t="shared" si="69"/>
        <v>#DIV/0!</v>
      </c>
      <c r="BG97" s="14" t="e">
        <f t="shared" si="69"/>
        <v>#DIV/0!</v>
      </c>
      <c r="BH97" s="14" t="e">
        <f t="shared" si="69"/>
        <v>#DIV/0!</v>
      </c>
      <c r="BI97" s="14" t="e">
        <f t="shared" si="69"/>
        <v>#DIV/0!</v>
      </c>
      <c r="BJ97" s="14" t="e">
        <f t="shared" si="69"/>
        <v>#DIV/0!</v>
      </c>
      <c r="BK97" s="14" t="e">
        <f t="shared" si="69"/>
        <v>#DIV/0!</v>
      </c>
      <c r="BL97" s="14" t="e">
        <f t="shared" si="69"/>
        <v>#DIV/0!</v>
      </c>
      <c r="BM97" s="14" t="e">
        <f t="shared" si="69"/>
        <v>#DIV/0!</v>
      </c>
      <c r="BN97" s="14" t="e">
        <f t="shared" si="69"/>
        <v>#DIV/0!</v>
      </c>
      <c r="BO97" s="14" t="e">
        <f t="shared" si="69"/>
        <v>#DIV/0!</v>
      </c>
      <c r="BP97" s="14" t="e">
        <f t="shared" si="69"/>
        <v>#DIV/0!</v>
      </c>
      <c r="BQ97" s="14" t="e">
        <f t="shared" si="69"/>
        <v>#DIV/0!</v>
      </c>
      <c r="BR97" s="14" t="e">
        <f t="shared" si="69"/>
        <v>#DIV/0!</v>
      </c>
      <c r="BS97" s="14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 t="e">
        <f t="shared" ref="F98" si="70">F22*$C$78</f>
        <v>#DIV/0!</v>
      </c>
      <c r="G98" s="14" t="e">
        <f t="shared" ref="G98:BR98" si="71">G22*$C$78</f>
        <v>#DIV/0!</v>
      </c>
      <c r="H98" s="14" t="e">
        <f t="shared" si="71"/>
        <v>#DIV/0!</v>
      </c>
      <c r="I98" s="14" t="e">
        <f t="shared" si="71"/>
        <v>#DIV/0!</v>
      </c>
      <c r="J98" s="14" t="e">
        <f t="shared" si="71"/>
        <v>#DIV/0!</v>
      </c>
      <c r="K98" s="14" t="e">
        <f t="shared" si="71"/>
        <v>#DIV/0!</v>
      </c>
      <c r="L98" s="14" t="e">
        <f t="shared" si="71"/>
        <v>#DIV/0!</v>
      </c>
      <c r="M98" s="14" t="e">
        <f t="shared" si="71"/>
        <v>#DIV/0!</v>
      </c>
      <c r="N98" s="14" t="e">
        <f t="shared" si="71"/>
        <v>#DIV/0!</v>
      </c>
      <c r="O98" s="14" t="e">
        <f t="shared" si="71"/>
        <v>#DIV/0!</v>
      </c>
      <c r="P98" s="14" t="e">
        <f t="shared" si="71"/>
        <v>#DIV/0!</v>
      </c>
      <c r="Q98" s="14" t="e">
        <f t="shared" si="71"/>
        <v>#DIV/0!</v>
      </c>
      <c r="R98" s="14" t="e">
        <f t="shared" si="71"/>
        <v>#DIV/0!</v>
      </c>
      <c r="S98" s="14" t="e">
        <f t="shared" si="71"/>
        <v>#DIV/0!</v>
      </c>
      <c r="T98" s="14" t="e">
        <f t="shared" si="71"/>
        <v>#DIV/0!</v>
      </c>
      <c r="U98" s="14" t="e">
        <f t="shared" si="71"/>
        <v>#DIV/0!</v>
      </c>
      <c r="V98" s="14" t="e">
        <f t="shared" si="71"/>
        <v>#DIV/0!</v>
      </c>
      <c r="W98" s="14" t="e">
        <f t="shared" si="71"/>
        <v>#DIV/0!</v>
      </c>
      <c r="X98" s="14" t="e">
        <f t="shared" si="71"/>
        <v>#DIV/0!</v>
      </c>
      <c r="Y98" s="14" t="e">
        <f t="shared" si="71"/>
        <v>#DIV/0!</v>
      </c>
      <c r="Z98" s="14" t="e">
        <f t="shared" si="71"/>
        <v>#DIV/0!</v>
      </c>
      <c r="AA98" s="14" t="e">
        <f t="shared" si="71"/>
        <v>#DIV/0!</v>
      </c>
      <c r="AB98" s="14" t="e">
        <f t="shared" si="71"/>
        <v>#DIV/0!</v>
      </c>
      <c r="AC98" s="14" t="e">
        <f t="shared" si="71"/>
        <v>#DIV/0!</v>
      </c>
      <c r="AD98" s="14" t="e">
        <f t="shared" si="71"/>
        <v>#DIV/0!</v>
      </c>
      <c r="AE98" s="14" t="e">
        <f t="shared" si="71"/>
        <v>#DIV/0!</v>
      </c>
      <c r="AF98" s="14" t="e">
        <f t="shared" si="71"/>
        <v>#DIV/0!</v>
      </c>
      <c r="AG98" s="14" t="e">
        <f t="shared" si="71"/>
        <v>#DIV/0!</v>
      </c>
      <c r="AH98" s="14" t="e">
        <f t="shared" si="71"/>
        <v>#DIV/0!</v>
      </c>
      <c r="AI98" s="14" t="e">
        <f t="shared" si="71"/>
        <v>#DIV/0!</v>
      </c>
      <c r="AJ98" s="14" t="e">
        <f t="shared" si="71"/>
        <v>#DIV/0!</v>
      </c>
      <c r="AK98" s="14" t="e">
        <f t="shared" si="71"/>
        <v>#DIV/0!</v>
      </c>
      <c r="AL98" s="14" t="e">
        <f t="shared" si="71"/>
        <v>#DIV/0!</v>
      </c>
      <c r="AM98" s="14" t="e">
        <f t="shared" si="71"/>
        <v>#DIV/0!</v>
      </c>
      <c r="AN98" s="14" t="e">
        <f t="shared" si="71"/>
        <v>#DIV/0!</v>
      </c>
      <c r="AO98" s="14" t="e">
        <f t="shared" si="71"/>
        <v>#DIV/0!</v>
      </c>
      <c r="AP98" s="14" t="e">
        <f t="shared" si="71"/>
        <v>#DIV/0!</v>
      </c>
      <c r="AQ98" s="14" t="e">
        <f t="shared" si="71"/>
        <v>#DIV/0!</v>
      </c>
      <c r="AR98" s="14" t="e">
        <f t="shared" si="71"/>
        <v>#DIV/0!</v>
      </c>
      <c r="AS98" s="14" t="e">
        <f t="shared" si="71"/>
        <v>#DIV/0!</v>
      </c>
      <c r="AT98" s="14" t="e">
        <f t="shared" si="71"/>
        <v>#DIV/0!</v>
      </c>
      <c r="AU98" s="14" t="e">
        <f t="shared" si="71"/>
        <v>#DIV/0!</v>
      </c>
      <c r="AV98" s="14" t="e">
        <f t="shared" si="71"/>
        <v>#DIV/0!</v>
      </c>
      <c r="AW98" s="14" t="e">
        <f t="shared" si="71"/>
        <v>#DIV/0!</v>
      </c>
      <c r="AX98" s="14" t="e">
        <f t="shared" si="71"/>
        <v>#DIV/0!</v>
      </c>
      <c r="AY98" s="14" t="e">
        <f t="shared" si="71"/>
        <v>#DIV/0!</v>
      </c>
      <c r="AZ98" s="14" t="e">
        <f t="shared" si="71"/>
        <v>#DIV/0!</v>
      </c>
      <c r="BA98" s="14" t="e">
        <f t="shared" si="71"/>
        <v>#DIV/0!</v>
      </c>
      <c r="BB98" s="14" t="e">
        <f t="shared" si="71"/>
        <v>#DIV/0!</v>
      </c>
      <c r="BC98" s="14" t="e">
        <f t="shared" si="71"/>
        <v>#DIV/0!</v>
      </c>
      <c r="BD98" s="14" t="e">
        <f t="shared" si="71"/>
        <v>#DIV/0!</v>
      </c>
      <c r="BE98" s="14" t="e">
        <f t="shared" si="71"/>
        <v>#DIV/0!</v>
      </c>
      <c r="BF98" s="14" t="e">
        <f t="shared" si="71"/>
        <v>#DIV/0!</v>
      </c>
      <c r="BG98" s="14" t="e">
        <f t="shared" si="71"/>
        <v>#DIV/0!</v>
      </c>
      <c r="BH98" s="14" t="e">
        <f t="shared" si="71"/>
        <v>#DIV/0!</v>
      </c>
      <c r="BI98" s="14" t="e">
        <f t="shared" si="71"/>
        <v>#DIV/0!</v>
      </c>
      <c r="BJ98" s="14" t="e">
        <f t="shared" si="71"/>
        <v>#DIV/0!</v>
      </c>
      <c r="BK98" s="14" t="e">
        <f t="shared" si="71"/>
        <v>#DIV/0!</v>
      </c>
      <c r="BL98" s="14" t="e">
        <f t="shared" si="71"/>
        <v>#DIV/0!</v>
      </c>
      <c r="BM98" s="14" t="e">
        <f t="shared" si="71"/>
        <v>#DIV/0!</v>
      </c>
      <c r="BN98" s="14" t="e">
        <f t="shared" si="71"/>
        <v>#DIV/0!</v>
      </c>
      <c r="BO98" s="14" t="e">
        <f t="shared" si="71"/>
        <v>#DIV/0!</v>
      </c>
      <c r="BP98" s="14" t="e">
        <f t="shared" si="71"/>
        <v>#DIV/0!</v>
      </c>
      <c r="BQ98" s="14" t="e">
        <f t="shared" si="71"/>
        <v>#DIV/0!</v>
      </c>
      <c r="BR98" s="14" t="e">
        <f t="shared" si="71"/>
        <v>#DIV/0!</v>
      </c>
      <c r="BS98" s="14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 t="e">
        <f t="shared" ref="F99" si="72">F23*$C$78</f>
        <v>#DIV/0!</v>
      </c>
      <c r="G99" s="14" t="e">
        <f t="shared" ref="G99:BR99" si="73">G23*$C$78</f>
        <v>#DIV/0!</v>
      </c>
      <c r="H99" s="14" t="e">
        <f t="shared" si="73"/>
        <v>#DIV/0!</v>
      </c>
      <c r="I99" s="14" t="e">
        <f t="shared" si="73"/>
        <v>#DIV/0!</v>
      </c>
      <c r="J99" s="14" t="e">
        <f t="shared" si="73"/>
        <v>#DIV/0!</v>
      </c>
      <c r="K99" s="14" t="e">
        <f t="shared" si="73"/>
        <v>#DIV/0!</v>
      </c>
      <c r="L99" s="14" t="e">
        <f t="shared" si="73"/>
        <v>#DIV/0!</v>
      </c>
      <c r="M99" s="14" t="e">
        <f t="shared" si="73"/>
        <v>#DIV/0!</v>
      </c>
      <c r="N99" s="14" t="e">
        <f t="shared" si="73"/>
        <v>#DIV/0!</v>
      </c>
      <c r="O99" s="14" t="e">
        <f t="shared" si="73"/>
        <v>#DIV/0!</v>
      </c>
      <c r="P99" s="14" t="e">
        <f t="shared" si="73"/>
        <v>#DIV/0!</v>
      </c>
      <c r="Q99" s="14" t="e">
        <f t="shared" si="73"/>
        <v>#DIV/0!</v>
      </c>
      <c r="R99" s="14" t="e">
        <f t="shared" si="73"/>
        <v>#DIV/0!</v>
      </c>
      <c r="S99" s="14" t="e">
        <f t="shared" si="73"/>
        <v>#DIV/0!</v>
      </c>
      <c r="T99" s="14" t="e">
        <f t="shared" si="73"/>
        <v>#DIV/0!</v>
      </c>
      <c r="U99" s="14" t="e">
        <f t="shared" si="73"/>
        <v>#DIV/0!</v>
      </c>
      <c r="V99" s="14" t="e">
        <f t="shared" si="73"/>
        <v>#DIV/0!</v>
      </c>
      <c r="W99" s="14" t="e">
        <f t="shared" si="73"/>
        <v>#DIV/0!</v>
      </c>
      <c r="X99" s="14" t="e">
        <f t="shared" si="73"/>
        <v>#DIV/0!</v>
      </c>
      <c r="Y99" s="14" t="e">
        <f t="shared" si="73"/>
        <v>#DIV/0!</v>
      </c>
      <c r="Z99" s="14" t="e">
        <f t="shared" si="73"/>
        <v>#DIV/0!</v>
      </c>
      <c r="AA99" s="14" t="e">
        <f t="shared" si="73"/>
        <v>#DIV/0!</v>
      </c>
      <c r="AB99" s="14" t="e">
        <f t="shared" si="73"/>
        <v>#DIV/0!</v>
      </c>
      <c r="AC99" s="14" t="e">
        <f t="shared" si="73"/>
        <v>#DIV/0!</v>
      </c>
      <c r="AD99" s="14" t="e">
        <f t="shared" si="73"/>
        <v>#DIV/0!</v>
      </c>
      <c r="AE99" s="14" t="e">
        <f t="shared" si="73"/>
        <v>#DIV/0!</v>
      </c>
      <c r="AF99" s="14" t="e">
        <f t="shared" si="73"/>
        <v>#DIV/0!</v>
      </c>
      <c r="AG99" s="14" t="e">
        <f t="shared" si="73"/>
        <v>#DIV/0!</v>
      </c>
      <c r="AH99" s="14" t="e">
        <f t="shared" si="73"/>
        <v>#DIV/0!</v>
      </c>
      <c r="AI99" s="14" t="e">
        <f t="shared" si="73"/>
        <v>#DIV/0!</v>
      </c>
      <c r="AJ99" s="14" t="e">
        <f t="shared" si="73"/>
        <v>#DIV/0!</v>
      </c>
      <c r="AK99" s="14" t="e">
        <f t="shared" si="73"/>
        <v>#DIV/0!</v>
      </c>
      <c r="AL99" s="14" t="e">
        <f t="shared" si="73"/>
        <v>#DIV/0!</v>
      </c>
      <c r="AM99" s="14" t="e">
        <f t="shared" si="73"/>
        <v>#DIV/0!</v>
      </c>
      <c r="AN99" s="14" t="e">
        <f t="shared" si="73"/>
        <v>#DIV/0!</v>
      </c>
      <c r="AO99" s="14" t="e">
        <f t="shared" si="73"/>
        <v>#DIV/0!</v>
      </c>
      <c r="AP99" s="14" t="e">
        <f t="shared" si="73"/>
        <v>#DIV/0!</v>
      </c>
      <c r="AQ99" s="14" t="e">
        <f t="shared" si="73"/>
        <v>#DIV/0!</v>
      </c>
      <c r="AR99" s="14" t="e">
        <f t="shared" si="73"/>
        <v>#DIV/0!</v>
      </c>
      <c r="AS99" s="14" t="e">
        <f t="shared" si="73"/>
        <v>#DIV/0!</v>
      </c>
      <c r="AT99" s="14" t="e">
        <f t="shared" si="73"/>
        <v>#DIV/0!</v>
      </c>
      <c r="AU99" s="14" t="e">
        <f t="shared" si="73"/>
        <v>#DIV/0!</v>
      </c>
      <c r="AV99" s="14" t="e">
        <f t="shared" si="73"/>
        <v>#DIV/0!</v>
      </c>
      <c r="AW99" s="14" t="e">
        <f t="shared" si="73"/>
        <v>#DIV/0!</v>
      </c>
      <c r="AX99" s="14" t="e">
        <f t="shared" si="73"/>
        <v>#DIV/0!</v>
      </c>
      <c r="AY99" s="14" t="e">
        <f t="shared" si="73"/>
        <v>#DIV/0!</v>
      </c>
      <c r="AZ99" s="14" t="e">
        <f t="shared" si="73"/>
        <v>#DIV/0!</v>
      </c>
      <c r="BA99" s="14" t="e">
        <f t="shared" si="73"/>
        <v>#DIV/0!</v>
      </c>
      <c r="BB99" s="14" t="e">
        <f t="shared" si="73"/>
        <v>#DIV/0!</v>
      </c>
      <c r="BC99" s="14" t="e">
        <f t="shared" si="73"/>
        <v>#DIV/0!</v>
      </c>
      <c r="BD99" s="14" t="e">
        <f t="shared" si="73"/>
        <v>#DIV/0!</v>
      </c>
      <c r="BE99" s="14" t="e">
        <f t="shared" si="73"/>
        <v>#DIV/0!</v>
      </c>
      <c r="BF99" s="14" t="e">
        <f t="shared" si="73"/>
        <v>#DIV/0!</v>
      </c>
      <c r="BG99" s="14" t="e">
        <f t="shared" si="73"/>
        <v>#DIV/0!</v>
      </c>
      <c r="BH99" s="14" t="e">
        <f t="shared" si="73"/>
        <v>#DIV/0!</v>
      </c>
      <c r="BI99" s="14" t="e">
        <f t="shared" si="73"/>
        <v>#DIV/0!</v>
      </c>
      <c r="BJ99" s="14" t="e">
        <f t="shared" si="73"/>
        <v>#DIV/0!</v>
      </c>
      <c r="BK99" s="14" t="e">
        <f t="shared" si="73"/>
        <v>#DIV/0!</v>
      </c>
      <c r="BL99" s="14" t="e">
        <f t="shared" si="73"/>
        <v>#DIV/0!</v>
      </c>
      <c r="BM99" s="14" t="e">
        <f t="shared" si="73"/>
        <v>#DIV/0!</v>
      </c>
      <c r="BN99" s="14" t="e">
        <f t="shared" si="73"/>
        <v>#DIV/0!</v>
      </c>
      <c r="BO99" s="14" t="e">
        <f t="shared" si="73"/>
        <v>#DIV/0!</v>
      </c>
      <c r="BP99" s="14" t="e">
        <f t="shared" si="73"/>
        <v>#DIV/0!</v>
      </c>
      <c r="BQ99" s="14" t="e">
        <f t="shared" si="73"/>
        <v>#DIV/0!</v>
      </c>
      <c r="BR99" s="14" t="e">
        <f t="shared" si="73"/>
        <v>#DIV/0!</v>
      </c>
      <c r="BS99" s="14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 t="e">
        <f t="shared" ref="F100" si="74">F24*$C$78</f>
        <v>#DIV/0!</v>
      </c>
      <c r="G100" s="14" t="e">
        <f t="shared" ref="G100:BR100" si="75">G24*$C$78</f>
        <v>#DIV/0!</v>
      </c>
      <c r="H100" s="14" t="e">
        <f t="shared" si="75"/>
        <v>#DIV/0!</v>
      </c>
      <c r="I100" s="14" t="e">
        <f t="shared" si="75"/>
        <v>#DIV/0!</v>
      </c>
      <c r="J100" s="14" t="e">
        <f t="shared" si="75"/>
        <v>#DIV/0!</v>
      </c>
      <c r="K100" s="14" t="e">
        <f t="shared" si="75"/>
        <v>#DIV/0!</v>
      </c>
      <c r="L100" s="14" t="e">
        <f t="shared" si="75"/>
        <v>#DIV/0!</v>
      </c>
      <c r="M100" s="14" t="e">
        <f t="shared" si="75"/>
        <v>#DIV/0!</v>
      </c>
      <c r="N100" s="14" t="e">
        <f t="shared" si="75"/>
        <v>#DIV/0!</v>
      </c>
      <c r="O100" s="14" t="e">
        <f t="shared" si="75"/>
        <v>#DIV/0!</v>
      </c>
      <c r="P100" s="14" t="e">
        <f t="shared" si="75"/>
        <v>#DIV/0!</v>
      </c>
      <c r="Q100" s="14" t="e">
        <f t="shared" si="75"/>
        <v>#DIV/0!</v>
      </c>
      <c r="R100" s="14" t="e">
        <f t="shared" si="75"/>
        <v>#DIV/0!</v>
      </c>
      <c r="S100" s="14" t="e">
        <f t="shared" si="75"/>
        <v>#DIV/0!</v>
      </c>
      <c r="T100" s="14" t="e">
        <f t="shared" si="75"/>
        <v>#DIV/0!</v>
      </c>
      <c r="U100" s="14" t="e">
        <f t="shared" si="75"/>
        <v>#DIV/0!</v>
      </c>
      <c r="V100" s="14" t="e">
        <f t="shared" si="75"/>
        <v>#DIV/0!</v>
      </c>
      <c r="W100" s="14" t="e">
        <f t="shared" si="75"/>
        <v>#DIV/0!</v>
      </c>
      <c r="X100" s="14" t="e">
        <f t="shared" si="75"/>
        <v>#DIV/0!</v>
      </c>
      <c r="Y100" s="14" t="e">
        <f t="shared" si="75"/>
        <v>#DIV/0!</v>
      </c>
      <c r="Z100" s="14" t="e">
        <f t="shared" si="75"/>
        <v>#DIV/0!</v>
      </c>
      <c r="AA100" s="14" t="e">
        <f t="shared" si="75"/>
        <v>#DIV/0!</v>
      </c>
      <c r="AB100" s="14" t="e">
        <f t="shared" si="75"/>
        <v>#DIV/0!</v>
      </c>
      <c r="AC100" s="14" t="e">
        <f t="shared" si="75"/>
        <v>#DIV/0!</v>
      </c>
      <c r="AD100" s="14" t="e">
        <f t="shared" si="75"/>
        <v>#DIV/0!</v>
      </c>
      <c r="AE100" s="14" t="e">
        <f t="shared" si="75"/>
        <v>#DIV/0!</v>
      </c>
      <c r="AF100" s="14" t="e">
        <f t="shared" si="75"/>
        <v>#DIV/0!</v>
      </c>
      <c r="AG100" s="14" t="e">
        <f t="shared" si="75"/>
        <v>#DIV/0!</v>
      </c>
      <c r="AH100" s="14" t="e">
        <f t="shared" si="75"/>
        <v>#DIV/0!</v>
      </c>
      <c r="AI100" s="14" t="e">
        <f t="shared" si="75"/>
        <v>#DIV/0!</v>
      </c>
      <c r="AJ100" s="14" t="e">
        <f t="shared" si="75"/>
        <v>#DIV/0!</v>
      </c>
      <c r="AK100" s="14" t="e">
        <f t="shared" si="75"/>
        <v>#DIV/0!</v>
      </c>
      <c r="AL100" s="14" t="e">
        <f t="shared" si="75"/>
        <v>#DIV/0!</v>
      </c>
      <c r="AM100" s="14" t="e">
        <f t="shared" si="75"/>
        <v>#DIV/0!</v>
      </c>
      <c r="AN100" s="14" t="e">
        <f t="shared" si="75"/>
        <v>#DIV/0!</v>
      </c>
      <c r="AO100" s="14" t="e">
        <f t="shared" si="75"/>
        <v>#DIV/0!</v>
      </c>
      <c r="AP100" s="14" t="e">
        <f t="shared" si="75"/>
        <v>#DIV/0!</v>
      </c>
      <c r="AQ100" s="14" t="e">
        <f t="shared" si="75"/>
        <v>#DIV/0!</v>
      </c>
      <c r="AR100" s="14" t="e">
        <f t="shared" si="75"/>
        <v>#DIV/0!</v>
      </c>
      <c r="AS100" s="14" t="e">
        <f t="shared" si="75"/>
        <v>#DIV/0!</v>
      </c>
      <c r="AT100" s="14" t="e">
        <f t="shared" si="75"/>
        <v>#DIV/0!</v>
      </c>
      <c r="AU100" s="14" t="e">
        <f t="shared" si="75"/>
        <v>#DIV/0!</v>
      </c>
      <c r="AV100" s="14" t="e">
        <f t="shared" si="75"/>
        <v>#DIV/0!</v>
      </c>
      <c r="AW100" s="14" t="e">
        <f t="shared" si="75"/>
        <v>#DIV/0!</v>
      </c>
      <c r="AX100" s="14" t="e">
        <f t="shared" si="75"/>
        <v>#DIV/0!</v>
      </c>
      <c r="AY100" s="14" t="e">
        <f t="shared" si="75"/>
        <v>#DIV/0!</v>
      </c>
      <c r="AZ100" s="14" t="e">
        <f t="shared" si="75"/>
        <v>#DIV/0!</v>
      </c>
      <c r="BA100" s="14" t="e">
        <f t="shared" si="75"/>
        <v>#DIV/0!</v>
      </c>
      <c r="BB100" s="14" t="e">
        <f t="shared" si="75"/>
        <v>#DIV/0!</v>
      </c>
      <c r="BC100" s="14" t="e">
        <f t="shared" si="75"/>
        <v>#DIV/0!</v>
      </c>
      <c r="BD100" s="14" t="e">
        <f t="shared" si="75"/>
        <v>#DIV/0!</v>
      </c>
      <c r="BE100" s="14" t="e">
        <f t="shared" si="75"/>
        <v>#DIV/0!</v>
      </c>
      <c r="BF100" s="14" t="e">
        <f t="shared" si="75"/>
        <v>#DIV/0!</v>
      </c>
      <c r="BG100" s="14" t="e">
        <f t="shared" si="75"/>
        <v>#DIV/0!</v>
      </c>
      <c r="BH100" s="14" t="e">
        <f t="shared" si="75"/>
        <v>#DIV/0!</v>
      </c>
      <c r="BI100" s="14" t="e">
        <f t="shared" si="75"/>
        <v>#DIV/0!</v>
      </c>
      <c r="BJ100" s="14" t="e">
        <f t="shared" si="75"/>
        <v>#DIV/0!</v>
      </c>
      <c r="BK100" s="14" t="e">
        <f t="shared" si="75"/>
        <v>#DIV/0!</v>
      </c>
      <c r="BL100" s="14" t="e">
        <f t="shared" si="75"/>
        <v>#DIV/0!</v>
      </c>
      <c r="BM100" s="14" t="e">
        <f t="shared" si="75"/>
        <v>#DIV/0!</v>
      </c>
      <c r="BN100" s="14" t="e">
        <f t="shared" si="75"/>
        <v>#DIV/0!</v>
      </c>
      <c r="BO100" s="14" t="e">
        <f t="shared" si="75"/>
        <v>#DIV/0!</v>
      </c>
      <c r="BP100" s="14" t="e">
        <f t="shared" si="75"/>
        <v>#DIV/0!</v>
      </c>
      <c r="BQ100" s="14" t="e">
        <f t="shared" si="75"/>
        <v>#DIV/0!</v>
      </c>
      <c r="BR100" s="14" t="e">
        <f t="shared" si="75"/>
        <v>#DIV/0!</v>
      </c>
      <c r="BS100" s="14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 t="e">
        <f t="shared" ref="F101" si="76">F25*$C$78</f>
        <v>#DIV/0!</v>
      </c>
      <c r="G101" s="14" t="e">
        <f t="shared" ref="G101:BR101" si="77">G25*$C$78</f>
        <v>#DIV/0!</v>
      </c>
      <c r="H101" s="14" t="e">
        <f t="shared" si="77"/>
        <v>#DIV/0!</v>
      </c>
      <c r="I101" s="14" t="e">
        <f t="shared" si="77"/>
        <v>#DIV/0!</v>
      </c>
      <c r="J101" s="14" t="e">
        <f t="shared" si="77"/>
        <v>#DIV/0!</v>
      </c>
      <c r="K101" s="14" t="e">
        <f t="shared" si="77"/>
        <v>#DIV/0!</v>
      </c>
      <c r="L101" s="14" t="e">
        <f t="shared" si="77"/>
        <v>#DIV/0!</v>
      </c>
      <c r="M101" s="14" t="e">
        <f t="shared" si="77"/>
        <v>#DIV/0!</v>
      </c>
      <c r="N101" s="14" t="e">
        <f t="shared" si="77"/>
        <v>#DIV/0!</v>
      </c>
      <c r="O101" s="14" t="e">
        <f t="shared" si="77"/>
        <v>#DIV/0!</v>
      </c>
      <c r="P101" s="14" t="e">
        <f t="shared" si="77"/>
        <v>#DIV/0!</v>
      </c>
      <c r="Q101" s="14" t="e">
        <f t="shared" si="77"/>
        <v>#DIV/0!</v>
      </c>
      <c r="R101" s="14" t="e">
        <f t="shared" si="77"/>
        <v>#DIV/0!</v>
      </c>
      <c r="S101" s="14" t="e">
        <f t="shared" si="77"/>
        <v>#DIV/0!</v>
      </c>
      <c r="T101" s="14" t="e">
        <f t="shared" si="77"/>
        <v>#DIV/0!</v>
      </c>
      <c r="U101" s="14" t="e">
        <f t="shared" si="77"/>
        <v>#DIV/0!</v>
      </c>
      <c r="V101" s="14" t="e">
        <f t="shared" si="77"/>
        <v>#DIV/0!</v>
      </c>
      <c r="W101" s="14" t="e">
        <f t="shared" si="77"/>
        <v>#DIV/0!</v>
      </c>
      <c r="X101" s="14" t="e">
        <f t="shared" si="77"/>
        <v>#DIV/0!</v>
      </c>
      <c r="Y101" s="14" t="e">
        <f t="shared" si="77"/>
        <v>#DIV/0!</v>
      </c>
      <c r="Z101" s="14" t="e">
        <f t="shared" si="77"/>
        <v>#DIV/0!</v>
      </c>
      <c r="AA101" s="14" t="e">
        <f t="shared" si="77"/>
        <v>#DIV/0!</v>
      </c>
      <c r="AB101" s="14" t="e">
        <f t="shared" si="77"/>
        <v>#DIV/0!</v>
      </c>
      <c r="AC101" s="14" t="e">
        <f t="shared" si="77"/>
        <v>#DIV/0!</v>
      </c>
      <c r="AD101" s="14" t="e">
        <f t="shared" si="77"/>
        <v>#DIV/0!</v>
      </c>
      <c r="AE101" s="14" t="e">
        <f t="shared" si="77"/>
        <v>#DIV/0!</v>
      </c>
      <c r="AF101" s="14" t="e">
        <f t="shared" si="77"/>
        <v>#DIV/0!</v>
      </c>
      <c r="AG101" s="14" t="e">
        <f t="shared" si="77"/>
        <v>#DIV/0!</v>
      </c>
      <c r="AH101" s="14" t="e">
        <f t="shared" si="77"/>
        <v>#DIV/0!</v>
      </c>
      <c r="AI101" s="14" t="e">
        <f t="shared" si="77"/>
        <v>#DIV/0!</v>
      </c>
      <c r="AJ101" s="14" t="e">
        <f t="shared" si="77"/>
        <v>#DIV/0!</v>
      </c>
      <c r="AK101" s="14" t="e">
        <f t="shared" si="77"/>
        <v>#DIV/0!</v>
      </c>
      <c r="AL101" s="14" t="e">
        <f t="shared" si="77"/>
        <v>#DIV/0!</v>
      </c>
      <c r="AM101" s="14" t="e">
        <f t="shared" si="77"/>
        <v>#DIV/0!</v>
      </c>
      <c r="AN101" s="14" t="e">
        <f t="shared" si="77"/>
        <v>#DIV/0!</v>
      </c>
      <c r="AO101" s="14" t="e">
        <f t="shared" si="77"/>
        <v>#DIV/0!</v>
      </c>
      <c r="AP101" s="14" t="e">
        <f t="shared" si="77"/>
        <v>#DIV/0!</v>
      </c>
      <c r="AQ101" s="14" t="e">
        <f t="shared" si="77"/>
        <v>#DIV/0!</v>
      </c>
      <c r="AR101" s="14" t="e">
        <f t="shared" si="77"/>
        <v>#DIV/0!</v>
      </c>
      <c r="AS101" s="14" t="e">
        <f t="shared" si="77"/>
        <v>#DIV/0!</v>
      </c>
      <c r="AT101" s="14" t="e">
        <f t="shared" si="77"/>
        <v>#DIV/0!</v>
      </c>
      <c r="AU101" s="14" t="e">
        <f t="shared" si="77"/>
        <v>#DIV/0!</v>
      </c>
      <c r="AV101" s="14" t="e">
        <f t="shared" si="77"/>
        <v>#DIV/0!</v>
      </c>
      <c r="AW101" s="14" t="e">
        <f t="shared" si="77"/>
        <v>#DIV/0!</v>
      </c>
      <c r="AX101" s="14" t="e">
        <f t="shared" si="77"/>
        <v>#DIV/0!</v>
      </c>
      <c r="AY101" s="14" t="e">
        <f t="shared" si="77"/>
        <v>#DIV/0!</v>
      </c>
      <c r="AZ101" s="14" t="e">
        <f t="shared" si="77"/>
        <v>#DIV/0!</v>
      </c>
      <c r="BA101" s="14" t="e">
        <f t="shared" si="77"/>
        <v>#DIV/0!</v>
      </c>
      <c r="BB101" s="14" t="e">
        <f t="shared" si="77"/>
        <v>#DIV/0!</v>
      </c>
      <c r="BC101" s="14" t="e">
        <f t="shared" si="77"/>
        <v>#DIV/0!</v>
      </c>
      <c r="BD101" s="14" t="e">
        <f t="shared" si="77"/>
        <v>#DIV/0!</v>
      </c>
      <c r="BE101" s="14" t="e">
        <f t="shared" si="77"/>
        <v>#DIV/0!</v>
      </c>
      <c r="BF101" s="14" t="e">
        <f t="shared" si="77"/>
        <v>#DIV/0!</v>
      </c>
      <c r="BG101" s="14" t="e">
        <f t="shared" si="77"/>
        <v>#DIV/0!</v>
      </c>
      <c r="BH101" s="14" t="e">
        <f t="shared" si="77"/>
        <v>#DIV/0!</v>
      </c>
      <c r="BI101" s="14" t="e">
        <f t="shared" si="77"/>
        <v>#DIV/0!</v>
      </c>
      <c r="BJ101" s="14" t="e">
        <f t="shared" si="77"/>
        <v>#DIV/0!</v>
      </c>
      <c r="BK101" s="14" t="e">
        <f t="shared" si="77"/>
        <v>#DIV/0!</v>
      </c>
      <c r="BL101" s="14" t="e">
        <f t="shared" si="77"/>
        <v>#DIV/0!</v>
      </c>
      <c r="BM101" s="14" t="e">
        <f t="shared" si="77"/>
        <v>#DIV/0!</v>
      </c>
      <c r="BN101" s="14" t="e">
        <f t="shared" si="77"/>
        <v>#DIV/0!</v>
      </c>
      <c r="BO101" s="14" t="e">
        <f t="shared" si="77"/>
        <v>#DIV/0!</v>
      </c>
      <c r="BP101" s="14" t="e">
        <f t="shared" si="77"/>
        <v>#DIV/0!</v>
      </c>
      <c r="BQ101" s="14" t="e">
        <f t="shared" si="77"/>
        <v>#DIV/0!</v>
      </c>
      <c r="BR101" s="14" t="e">
        <f t="shared" si="77"/>
        <v>#DIV/0!</v>
      </c>
      <c r="BS101" s="14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 t="e">
        <f t="shared" ref="F102" si="78">F26*$C$78</f>
        <v>#DIV/0!</v>
      </c>
      <c r="G102" s="14" t="e">
        <f t="shared" ref="G102:BR102" si="79">G26*$C$78</f>
        <v>#DIV/0!</v>
      </c>
      <c r="H102" s="14" t="e">
        <f t="shared" si="79"/>
        <v>#DIV/0!</v>
      </c>
      <c r="I102" s="14" t="e">
        <f t="shared" si="79"/>
        <v>#DIV/0!</v>
      </c>
      <c r="J102" s="14" t="e">
        <f t="shared" si="79"/>
        <v>#DIV/0!</v>
      </c>
      <c r="K102" s="14" t="e">
        <f t="shared" si="79"/>
        <v>#DIV/0!</v>
      </c>
      <c r="L102" s="14" t="e">
        <f t="shared" si="79"/>
        <v>#DIV/0!</v>
      </c>
      <c r="M102" s="14" t="e">
        <f t="shared" si="79"/>
        <v>#DIV/0!</v>
      </c>
      <c r="N102" s="14" t="e">
        <f t="shared" si="79"/>
        <v>#DIV/0!</v>
      </c>
      <c r="O102" s="14" t="e">
        <f t="shared" si="79"/>
        <v>#DIV/0!</v>
      </c>
      <c r="P102" s="14" t="e">
        <f t="shared" si="79"/>
        <v>#DIV/0!</v>
      </c>
      <c r="Q102" s="14" t="e">
        <f t="shared" si="79"/>
        <v>#DIV/0!</v>
      </c>
      <c r="R102" s="14" t="e">
        <f t="shared" si="79"/>
        <v>#DIV/0!</v>
      </c>
      <c r="S102" s="14" t="e">
        <f t="shared" si="79"/>
        <v>#DIV/0!</v>
      </c>
      <c r="T102" s="14" t="e">
        <f t="shared" si="79"/>
        <v>#DIV/0!</v>
      </c>
      <c r="U102" s="14" t="e">
        <f t="shared" si="79"/>
        <v>#DIV/0!</v>
      </c>
      <c r="V102" s="14" t="e">
        <f t="shared" si="79"/>
        <v>#DIV/0!</v>
      </c>
      <c r="W102" s="14" t="e">
        <f t="shared" si="79"/>
        <v>#DIV/0!</v>
      </c>
      <c r="X102" s="14" t="e">
        <f t="shared" si="79"/>
        <v>#DIV/0!</v>
      </c>
      <c r="Y102" s="14" t="e">
        <f t="shared" si="79"/>
        <v>#DIV/0!</v>
      </c>
      <c r="Z102" s="14" t="e">
        <f t="shared" si="79"/>
        <v>#DIV/0!</v>
      </c>
      <c r="AA102" s="14" t="e">
        <f t="shared" si="79"/>
        <v>#DIV/0!</v>
      </c>
      <c r="AB102" s="14" t="e">
        <f t="shared" si="79"/>
        <v>#DIV/0!</v>
      </c>
      <c r="AC102" s="14" t="e">
        <f t="shared" si="79"/>
        <v>#DIV/0!</v>
      </c>
      <c r="AD102" s="14" t="e">
        <f t="shared" si="79"/>
        <v>#DIV/0!</v>
      </c>
      <c r="AE102" s="14" t="e">
        <f t="shared" si="79"/>
        <v>#DIV/0!</v>
      </c>
      <c r="AF102" s="14" t="e">
        <f t="shared" si="79"/>
        <v>#DIV/0!</v>
      </c>
      <c r="AG102" s="14" t="e">
        <f t="shared" si="79"/>
        <v>#DIV/0!</v>
      </c>
      <c r="AH102" s="14" t="e">
        <f t="shared" si="79"/>
        <v>#DIV/0!</v>
      </c>
      <c r="AI102" s="14" t="e">
        <f t="shared" si="79"/>
        <v>#DIV/0!</v>
      </c>
      <c r="AJ102" s="14" t="e">
        <f t="shared" si="79"/>
        <v>#DIV/0!</v>
      </c>
      <c r="AK102" s="14" t="e">
        <f t="shared" si="79"/>
        <v>#DIV/0!</v>
      </c>
      <c r="AL102" s="14" t="e">
        <f t="shared" si="79"/>
        <v>#DIV/0!</v>
      </c>
      <c r="AM102" s="14" t="e">
        <f t="shared" si="79"/>
        <v>#DIV/0!</v>
      </c>
      <c r="AN102" s="14" t="e">
        <f t="shared" si="79"/>
        <v>#DIV/0!</v>
      </c>
      <c r="AO102" s="14" t="e">
        <f t="shared" si="79"/>
        <v>#DIV/0!</v>
      </c>
      <c r="AP102" s="14" t="e">
        <f t="shared" si="79"/>
        <v>#DIV/0!</v>
      </c>
      <c r="AQ102" s="14" t="e">
        <f t="shared" si="79"/>
        <v>#DIV/0!</v>
      </c>
      <c r="AR102" s="14" t="e">
        <f t="shared" si="79"/>
        <v>#DIV/0!</v>
      </c>
      <c r="AS102" s="14" t="e">
        <f t="shared" si="79"/>
        <v>#DIV/0!</v>
      </c>
      <c r="AT102" s="14" t="e">
        <f t="shared" si="79"/>
        <v>#DIV/0!</v>
      </c>
      <c r="AU102" s="14" t="e">
        <f t="shared" si="79"/>
        <v>#DIV/0!</v>
      </c>
      <c r="AV102" s="14" t="e">
        <f t="shared" si="79"/>
        <v>#DIV/0!</v>
      </c>
      <c r="AW102" s="14" t="e">
        <f t="shared" si="79"/>
        <v>#DIV/0!</v>
      </c>
      <c r="AX102" s="14" t="e">
        <f t="shared" si="79"/>
        <v>#DIV/0!</v>
      </c>
      <c r="AY102" s="14" t="e">
        <f t="shared" si="79"/>
        <v>#DIV/0!</v>
      </c>
      <c r="AZ102" s="14" t="e">
        <f t="shared" si="79"/>
        <v>#DIV/0!</v>
      </c>
      <c r="BA102" s="14" t="e">
        <f t="shared" si="79"/>
        <v>#DIV/0!</v>
      </c>
      <c r="BB102" s="14" t="e">
        <f t="shared" si="79"/>
        <v>#DIV/0!</v>
      </c>
      <c r="BC102" s="14" t="e">
        <f t="shared" si="79"/>
        <v>#DIV/0!</v>
      </c>
      <c r="BD102" s="14" t="e">
        <f t="shared" si="79"/>
        <v>#DIV/0!</v>
      </c>
      <c r="BE102" s="14" t="e">
        <f t="shared" si="79"/>
        <v>#DIV/0!</v>
      </c>
      <c r="BF102" s="14" t="e">
        <f t="shared" si="79"/>
        <v>#DIV/0!</v>
      </c>
      <c r="BG102" s="14" t="e">
        <f t="shared" si="79"/>
        <v>#DIV/0!</v>
      </c>
      <c r="BH102" s="14" t="e">
        <f t="shared" si="79"/>
        <v>#DIV/0!</v>
      </c>
      <c r="BI102" s="14" t="e">
        <f t="shared" si="79"/>
        <v>#DIV/0!</v>
      </c>
      <c r="BJ102" s="14" t="e">
        <f t="shared" si="79"/>
        <v>#DIV/0!</v>
      </c>
      <c r="BK102" s="14" t="e">
        <f t="shared" si="79"/>
        <v>#DIV/0!</v>
      </c>
      <c r="BL102" s="14" t="e">
        <f t="shared" si="79"/>
        <v>#DIV/0!</v>
      </c>
      <c r="BM102" s="14" t="e">
        <f t="shared" si="79"/>
        <v>#DIV/0!</v>
      </c>
      <c r="BN102" s="14" t="e">
        <f t="shared" si="79"/>
        <v>#DIV/0!</v>
      </c>
      <c r="BO102" s="14" t="e">
        <f t="shared" si="79"/>
        <v>#DIV/0!</v>
      </c>
      <c r="BP102" s="14" t="e">
        <f t="shared" si="79"/>
        <v>#DIV/0!</v>
      </c>
      <c r="BQ102" s="14" t="e">
        <f t="shared" si="79"/>
        <v>#DIV/0!</v>
      </c>
      <c r="BR102" s="14" t="e">
        <f t="shared" si="79"/>
        <v>#DIV/0!</v>
      </c>
      <c r="BS102" s="14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 t="e">
        <f t="shared" ref="F103" si="80">F27*$C$78</f>
        <v>#DIV/0!</v>
      </c>
      <c r="G103" s="14" t="e">
        <f t="shared" ref="G103:BR103" si="81">G27*$C$78</f>
        <v>#DIV/0!</v>
      </c>
      <c r="H103" s="14" t="e">
        <f t="shared" si="81"/>
        <v>#DIV/0!</v>
      </c>
      <c r="I103" s="14" t="e">
        <f t="shared" si="81"/>
        <v>#DIV/0!</v>
      </c>
      <c r="J103" s="14" t="e">
        <f t="shared" si="81"/>
        <v>#DIV/0!</v>
      </c>
      <c r="K103" s="14" t="e">
        <f t="shared" si="81"/>
        <v>#DIV/0!</v>
      </c>
      <c r="L103" s="14" t="e">
        <f t="shared" si="81"/>
        <v>#DIV/0!</v>
      </c>
      <c r="M103" s="14" t="e">
        <f t="shared" si="81"/>
        <v>#DIV/0!</v>
      </c>
      <c r="N103" s="14" t="e">
        <f t="shared" si="81"/>
        <v>#DIV/0!</v>
      </c>
      <c r="O103" s="14" t="e">
        <f t="shared" si="81"/>
        <v>#DIV/0!</v>
      </c>
      <c r="P103" s="14" t="e">
        <f t="shared" si="81"/>
        <v>#DIV/0!</v>
      </c>
      <c r="Q103" s="14" t="e">
        <f t="shared" si="81"/>
        <v>#DIV/0!</v>
      </c>
      <c r="R103" s="14" t="e">
        <f t="shared" si="81"/>
        <v>#DIV/0!</v>
      </c>
      <c r="S103" s="14" t="e">
        <f t="shared" si="81"/>
        <v>#DIV/0!</v>
      </c>
      <c r="T103" s="14" t="e">
        <f t="shared" si="81"/>
        <v>#DIV/0!</v>
      </c>
      <c r="U103" s="14" t="e">
        <f t="shared" si="81"/>
        <v>#DIV/0!</v>
      </c>
      <c r="V103" s="14" t="e">
        <f t="shared" si="81"/>
        <v>#DIV/0!</v>
      </c>
      <c r="W103" s="14" t="e">
        <f t="shared" si="81"/>
        <v>#DIV/0!</v>
      </c>
      <c r="X103" s="14" t="e">
        <f t="shared" si="81"/>
        <v>#DIV/0!</v>
      </c>
      <c r="Y103" s="14" t="e">
        <f t="shared" si="81"/>
        <v>#DIV/0!</v>
      </c>
      <c r="Z103" s="14" t="e">
        <f t="shared" si="81"/>
        <v>#DIV/0!</v>
      </c>
      <c r="AA103" s="14" t="e">
        <f t="shared" si="81"/>
        <v>#DIV/0!</v>
      </c>
      <c r="AB103" s="14" t="e">
        <f t="shared" si="81"/>
        <v>#DIV/0!</v>
      </c>
      <c r="AC103" s="14" t="e">
        <f t="shared" si="81"/>
        <v>#DIV/0!</v>
      </c>
      <c r="AD103" s="14" t="e">
        <f t="shared" si="81"/>
        <v>#DIV/0!</v>
      </c>
      <c r="AE103" s="14" t="e">
        <f t="shared" si="81"/>
        <v>#DIV/0!</v>
      </c>
      <c r="AF103" s="14" t="e">
        <f t="shared" si="81"/>
        <v>#DIV/0!</v>
      </c>
      <c r="AG103" s="14" t="e">
        <f t="shared" si="81"/>
        <v>#DIV/0!</v>
      </c>
      <c r="AH103" s="14" t="e">
        <f t="shared" si="81"/>
        <v>#DIV/0!</v>
      </c>
      <c r="AI103" s="14" t="e">
        <f t="shared" si="81"/>
        <v>#DIV/0!</v>
      </c>
      <c r="AJ103" s="14" t="e">
        <f t="shared" si="81"/>
        <v>#DIV/0!</v>
      </c>
      <c r="AK103" s="14" t="e">
        <f t="shared" si="81"/>
        <v>#DIV/0!</v>
      </c>
      <c r="AL103" s="14" t="e">
        <f t="shared" si="81"/>
        <v>#DIV/0!</v>
      </c>
      <c r="AM103" s="14" t="e">
        <f t="shared" si="81"/>
        <v>#DIV/0!</v>
      </c>
      <c r="AN103" s="14" t="e">
        <f t="shared" si="81"/>
        <v>#DIV/0!</v>
      </c>
      <c r="AO103" s="14" t="e">
        <f t="shared" si="81"/>
        <v>#DIV/0!</v>
      </c>
      <c r="AP103" s="14" t="e">
        <f t="shared" si="81"/>
        <v>#DIV/0!</v>
      </c>
      <c r="AQ103" s="14" t="e">
        <f t="shared" si="81"/>
        <v>#DIV/0!</v>
      </c>
      <c r="AR103" s="14" t="e">
        <f t="shared" si="81"/>
        <v>#DIV/0!</v>
      </c>
      <c r="AS103" s="14" t="e">
        <f t="shared" si="81"/>
        <v>#DIV/0!</v>
      </c>
      <c r="AT103" s="14" t="e">
        <f t="shared" si="81"/>
        <v>#DIV/0!</v>
      </c>
      <c r="AU103" s="14" t="e">
        <f t="shared" si="81"/>
        <v>#DIV/0!</v>
      </c>
      <c r="AV103" s="14" t="e">
        <f t="shared" si="81"/>
        <v>#DIV/0!</v>
      </c>
      <c r="AW103" s="14" t="e">
        <f t="shared" si="81"/>
        <v>#DIV/0!</v>
      </c>
      <c r="AX103" s="14" t="e">
        <f t="shared" si="81"/>
        <v>#DIV/0!</v>
      </c>
      <c r="AY103" s="14" t="e">
        <f t="shared" si="81"/>
        <v>#DIV/0!</v>
      </c>
      <c r="AZ103" s="14" t="e">
        <f t="shared" si="81"/>
        <v>#DIV/0!</v>
      </c>
      <c r="BA103" s="14" t="e">
        <f t="shared" si="81"/>
        <v>#DIV/0!</v>
      </c>
      <c r="BB103" s="14" t="e">
        <f t="shared" si="81"/>
        <v>#DIV/0!</v>
      </c>
      <c r="BC103" s="14" t="e">
        <f t="shared" si="81"/>
        <v>#DIV/0!</v>
      </c>
      <c r="BD103" s="14" t="e">
        <f t="shared" si="81"/>
        <v>#DIV/0!</v>
      </c>
      <c r="BE103" s="14" t="e">
        <f t="shared" si="81"/>
        <v>#DIV/0!</v>
      </c>
      <c r="BF103" s="14" t="e">
        <f t="shared" si="81"/>
        <v>#DIV/0!</v>
      </c>
      <c r="BG103" s="14" t="e">
        <f t="shared" si="81"/>
        <v>#DIV/0!</v>
      </c>
      <c r="BH103" s="14" t="e">
        <f t="shared" si="81"/>
        <v>#DIV/0!</v>
      </c>
      <c r="BI103" s="14" t="e">
        <f t="shared" si="81"/>
        <v>#DIV/0!</v>
      </c>
      <c r="BJ103" s="14" t="e">
        <f t="shared" si="81"/>
        <v>#DIV/0!</v>
      </c>
      <c r="BK103" s="14" t="e">
        <f t="shared" si="81"/>
        <v>#DIV/0!</v>
      </c>
      <c r="BL103" s="14" t="e">
        <f t="shared" si="81"/>
        <v>#DIV/0!</v>
      </c>
      <c r="BM103" s="14" t="e">
        <f t="shared" si="81"/>
        <v>#DIV/0!</v>
      </c>
      <c r="BN103" s="14" t="e">
        <f t="shared" si="81"/>
        <v>#DIV/0!</v>
      </c>
      <c r="BO103" s="14" t="e">
        <f t="shared" si="81"/>
        <v>#DIV/0!</v>
      </c>
      <c r="BP103" s="14" t="e">
        <f t="shared" si="81"/>
        <v>#DIV/0!</v>
      </c>
      <c r="BQ103" s="14" t="e">
        <f t="shared" si="81"/>
        <v>#DIV/0!</v>
      </c>
      <c r="BR103" s="14" t="e">
        <f t="shared" si="81"/>
        <v>#DIV/0!</v>
      </c>
      <c r="BS103" s="14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 t="e">
        <f t="shared" ref="F104" si="82">F28*$C$78</f>
        <v>#DIV/0!</v>
      </c>
      <c r="G104" s="14" t="e">
        <f t="shared" ref="G104:BR104" si="83">G28*$C$78</f>
        <v>#DIV/0!</v>
      </c>
      <c r="H104" s="14" t="e">
        <f t="shared" si="83"/>
        <v>#DIV/0!</v>
      </c>
      <c r="I104" s="14" t="e">
        <f t="shared" si="83"/>
        <v>#DIV/0!</v>
      </c>
      <c r="J104" s="14" t="e">
        <f t="shared" si="83"/>
        <v>#DIV/0!</v>
      </c>
      <c r="K104" s="14" t="e">
        <f t="shared" si="83"/>
        <v>#DIV/0!</v>
      </c>
      <c r="L104" s="14" t="e">
        <f t="shared" si="83"/>
        <v>#DIV/0!</v>
      </c>
      <c r="M104" s="14" t="e">
        <f t="shared" si="83"/>
        <v>#DIV/0!</v>
      </c>
      <c r="N104" s="14" t="e">
        <f t="shared" si="83"/>
        <v>#DIV/0!</v>
      </c>
      <c r="O104" s="14" t="e">
        <f t="shared" si="83"/>
        <v>#DIV/0!</v>
      </c>
      <c r="P104" s="14" t="e">
        <f t="shared" si="83"/>
        <v>#DIV/0!</v>
      </c>
      <c r="Q104" s="14" t="e">
        <f t="shared" si="83"/>
        <v>#DIV/0!</v>
      </c>
      <c r="R104" s="14" t="e">
        <f t="shared" si="83"/>
        <v>#DIV/0!</v>
      </c>
      <c r="S104" s="14" t="e">
        <f t="shared" si="83"/>
        <v>#DIV/0!</v>
      </c>
      <c r="T104" s="14" t="e">
        <f t="shared" si="83"/>
        <v>#DIV/0!</v>
      </c>
      <c r="U104" s="14" t="e">
        <f t="shared" si="83"/>
        <v>#DIV/0!</v>
      </c>
      <c r="V104" s="14" t="e">
        <f t="shared" si="83"/>
        <v>#DIV/0!</v>
      </c>
      <c r="W104" s="14" t="e">
        <f t="shared" si="83"/>
        <v>#DIV/0!</v>
      </c>
      <c r="X104" s="14" t="e">
        <f t="shared" si="83"/>
        <v>#DIV/0!</v>
      </c>
      <c r="Y104" s="14" t="e">
        <f t="shared" si="83"/>
        <v>#DIV/0!</v>
      </c>
      <c r="Z104" s="14" t="e">
        <f t="shared" si="83"/>
        <v>#DIV/0!</v>
      </c>
      <c r="AA104" s="14" t="e">
        <f t="shared" si="83"/>
        <v>#DIV/0!</v>
      </c>
      <c r="AB104" s="14" t="e">
        <f t="shared" si="83"/>
        <v>#DIV/0!</v>
      </c>
      <c r="AC104" s="14" t="e">
        <f t="shared" si="83"/>
        <v>#DIV/0!</v>
      </c>
      <c r="AD104" s="14" t="e">
        <f t="shared" si="83"/>
        <v>#DIV/0!</v>
      </c>
      <c r="AE104" s="14" t="e">
        <f t="shared" si="83"/>
        <v>#DIV/0!</v>
      </c>
      <c r="AF104" s="14" t="e">
        <f t="shared" si="83"/>
        <v>#DIV/0!</v>
      </c>
      <c r="AG104" s="14" t="e">
        <f t="shared" si="83"/>
        <v>#DIV/0!</v>
      </c>
      <c r="AH104" s="14" t="e">
        <f t="shared" si="83"/>
        <v>#DIV/0!</v>
      </c>
      <c r="AI104" s="14" t="e">
        <f t="shared" si="83"/>
        <v>#DIV/0!</v>
      </c>
      <c r="AJ104" s="14" t="e">
        <f t="shared" si="83"/>
        <v>#DIV/0!</v>
      </c>
      <c r="AK104" s="14" t="e">
        <f t="shared" si="83"/>
        <v>#DIV/0!</v>
      </c>
      <c r="AL104" s="14" t="e">
        <f t="shared" si="83"/>
        <v>#DIV/0!</v>
      </c>
      <c r="AM104" s="14" t="e">
        <f t="shared" si="83"/>
        <v>#DIV/0!</v>
      </c>
      <c r="AN104" s="14" t="e">
        <f t="shared" si="83"/>
        <v>#DIV/0!</v>
      </c>
      <c r="AO104" s="14" t="e">
        <f t="shared" si="83"/>
        <v>#DIV/0!</v>
      </c>
      <c r="AP104" s="14" t="e">
        <f t="shared" si="83"/>
        <v>#DIV/0!</v>
      </c>
      <c r="AQ104" s="14" t="e">
        <f t="shared" si="83"/>
        <v>#DIV/0!</v>
      </c>
      <c r="AR104" s="14" t="e">
        <f t="shared" si="83"/>
        <v>#DIV/0!</v>
      </c>
      <c r="AS104" s="14" t="e">
        <f t="shared" si="83"/>
        <v>#DIV/0!</v>
      </c>
      <c r="AT104" s="14" t="e">
        <f t="shared" si="83"/>
        <v>#DIV/0!</v>
      </c>
      <c r="AU104" s="14" t="e">
        <f t="shared" si="83"/>
        <v>#DIV/0!</v>
      </c>
      <c r="AV104" s="14" t="e">
        <f t="shared" si="83"/>
        <v>#DIV/0!</v>
      </c>
      <c r="AW104" s="14" t="e">
        <f t="shared" si="83"/>
        <v>#DIV/0!</v>
      </c>
      <c r="AX104" s="14" t="e">
        <f t="shared" si="83"/>
        <v>#DIV/0!</v>
      </c>
      <c r="AY104" s="14" t="e">
        <f t="shared" si="83"/>
        <v>#DIV/0!</v>
      </c>
      <c r="AZ104" s="14" t="e">
        <f t="shared" si="83"/>
        <v>#DIV/0!</v>
      </c>
      <c r="BA104" s="14" t="e">
        <f t="shared" si="83"/>
        <v>#DIV/0!</v>
      </c>
      <c r="BB104" s="14" t="e">
        <f t="shared" si="83"/>
        <v>#DIV/0!</v>
      </c>
      <c r="BC104" s="14" t="e">
        <f t="shared" si="83"/>
        <v>#DIV/0!</v>
      </c>
      <c r="BD104" s="14" t="e">
        <f t="shared" si="83"/>
        <v>#DIV/0!</v>
      </c>
      <c r="BE104" s="14" t="e">
        <f t="shared" si="83"/>
        <v>#DIV/0!</v>
      </c>
      <c r="BF104" s="14" t="e">
        <f t="shared" si="83"/>
        <v>#DIV/0!</v>
      </c>
      <c r="BG104" s="14" t="e">
        <f t="shared" si="83"/>
        <v>#DIV/0!</v>
      </c>
      <c r="BH104" s="14" t="e">
        <f t="shared" si="83"/>
        <v>#DIV/0!</v>
      </c>
      <c r="BI104" s="14" t="e">
        <f t="shared" si="83"/>
        <v>#DIV/0!</v>
      </c>
      <c r="BJ104" s="14" t="e">
        <f t="shared" si="83"/>
        <v>#DIV/0!</v>
      </c>
      <c r="BK104" s="14" t="e">
        <f t="shared" si="83"/>
        <v>#DIV/0!</v>
      </c>
      <c r="BL104" s="14" t="e">
        <f t="shared" si="83"/>
        <v>#DIV/0!</v>
      </c>
      <c r="BM104" s="14" t="e">
        <f t="shared" si="83"/>
        <v>#DIV/0!</v>
      </c>
      <c r="BN104" s="14" t="e">
        <f t="shared" si="83"/>
        <v>#DIV/0!</v>
      </c>
      <c r="BO104" s="14" t="e">
        <f t="shared" si="83"/>
        <v>#DIV/0!</v>
      </c>
      <c r="BP104" s="14" t="e">
        <f t="shared" si="83"/>
        <v>#DIV/0!</v>
      </c>
      <c r="BQ104" s="14" t="e">
        <f t="shared" si="83"/>
        <v>#DIV/0!</v>
      </c>
      <c r="BR104" s="14" t="e">
        <f t="shared" si="83"/>
        <v>#DIV/0!</v>
      </c>
      <c r="BS104" s="14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 t="e">
        <f t="shared" ref="F105" si="84">F29*$C$78</f>
        <v>#DIV/0!</v>
      </c>
      <c r="G105" s="14" t="e">
        <f t="shared" ref="G105:BR105" si="85">G29*$C$78</f>
        <v>#DIV/0!</v>
      </c>
      <c r="H105" s="14" t="e">
        <f t="shared" si="85"/>
        <v>#DIV/0!</v>
      </c>
      <c r="I105" s="14" t="e">
        <f t="shared" si="85"/>
        <v>#DIV/0!</v>
      </c>
      <c r="J105" s="14" t="e">
        <f t="shared" si="85"/>
        <v>#DIV/0!</v>
      </c>
      <c r="K105" s="14" t="e">
        <f t="shared" si="85"/>
        <v>#DIV/0!</v>
      </c>
      <c r="L105" s="14" t="e">
        <f t="shared" si="85"/>
        <v>#DIV/0!</v>
      </c>
      <c r="M105" s="14" t="e">
        <f t="shared" si="85"/>
        <v>#DIV/0!</v>
      </c>
      <c r="N105" s="14" t="e">
        <f t="shared" si="85"/>
        <v>#DIV/0!</v>
      </c>
      <c r="O105" s="14" t="e">
        <f t="shared" si="85"/>
        <v>#DIV/0!</v>
      </c>
      <c r="P105" s="14" t="e">
        <f t="shared" si="85"/>
        <v>#DIV/0!</v>
      </c>
      <c r="Q105" s="14" t="e">
        <f t="shared" si="85"/>
        <v>#DIV/0!</v>
      </c>
      <c r="R105" s="14" t="e">
        <f t="shared" si="85"/>
        <v>#DIV/0!</v>
      </c>
      <c r="S105" s="14" t="e">
        <f t="shared" si="85"/>
        <v>#DIV/0!</v>
      </c>
      <c r="T105" s="14" t="e">
        <f t="shared" si="85"/>
        <v>#DIV/0!</v>
      </c>
      <c r="U105" s="14" t="e">
        <f t="shared" si="85"/>
        <v>#DIV/0!</v>
      </c>
      <c r="V105" s="14" t="e">
        <f t="shared" si="85"/>
        <v>#DIV/0!</v>
      </c>
      <c r="W105" s="14" t="e">
        <f t="shared" si="85"/>
        <v>#DIV/0!</v>
      </c>
      <c r="X105" s="14" t="e">
        <f t="shared" si="85"/>
        <v>#DIV/0!</v>
      </c>
      <c r="Y105" s="14" t="e">
        <f t="shared" si="85"/>
        <v>#DIV/0!</v>
      </c>
      <c r="Z105" s="14" t="e">
        <f t="shared" si="85"/>
        <v>#DIV/0!</v>
      </c>
      <c r="AA105" s="14" t="e">
        <f t="shared" si="85"/>
        <v>#DIV/0!</v>
      </c>
      <c r="AB105" s="14" t="e">
        <f t="shared" si="85"/>
        <v>#DIV/0!</v>
      </c>
      <c r="AC105" s="14" t="e">
        <f t="shared" si="85"/>
        <v>#DIV/0!</v>
      </c>
      <c r="AD105" s="14" t="e">
        <f t="shared" si="85"/>
        <v>#DIV/0!</v>
      </c>
      <c r="AE105" s="14" t="e">
        <f t="shared" si="85"/>
        <v>#DIV/0!</v>
      </c>
      <c r="AF105" s="14" t="e">
        <f t="shared" si="85"/>
        <v>#DIV/0!</v>
      </c>
      <c r="AG105" s="14" t="e">
        <f t="shared" si="85"/>
        <v>#DIV/0!</v>
      </c>
      <c r="AH105" s="14" t="e">
        <f t="shared" si="85"/>
        <v>#DIV/0!</v>
      </c>
      <c r="AI105" s="14" t="e">
        <f t="shared" si="85"/>
        <v>#DIV/0!</v>
      </c>
      <c r="AJ105" s="14" t="e">
        <f t="shared" si="85"/>
        <v>#DIV/0!</v>
      </c>
      <c r="AK105" s="14" t="e">
        <f t="shared" si="85"/>
        <v>#DIV/0!</v>
      </c>
      <c r="AL105" s="14" t="e">
        <f t="shared" si="85"/>
        <v>#DIV/0!</v>
      </c>
      <c r="AM105" s="14" t="e">
        <f t="shared" si="85"/>
        <v>#DIV/0!</v>
      </c>
      <c r="AN105" s="14" t="e">
        <f t="shared" si="85"/>
        <v>#DIV/0!</v>
      </c>
      <c r="AO105" s="14" t="e">
        <f t="shared" si="85"/>
        <v>#DIV/0!</v>
      </c>
      <c r="AP105" s="14" t="e">
        <f t="shared" si="85"/>
        <v>#DIV/0!</v>
      </c>
      <c r="AQ105" s="14" t="e">
        <f t="shared" si="85"/>
        <v>#DIV/0!</v>
      </c>
      <c r="AR105" s="14" t="e">
        <f t="shared" si="85"/>
        <v>#DIV/0!</v>
      </c>
      <c r="AS105" s="14" t="e">
        <f t="shared" si="85"/>
        <v>#DIV/0!</v>
      </c>
      <c r="AT105" s="14" t="e">
        <f t="shared" si="85"/>
        <v>#DIV/0!</v>
      </c>
      <c r="AU105" s="14" t="e">
        <f t="shared" si="85"/>
        <v>#DIV/0!</v>
      </c>
      <c r="AV105" s="14" t="e">
        <f t="shared" si="85"/>
        <v>#DIV/0!</v>
      </c>
      <c r="AW105" s="14" t="e">
        <f t="shared" si="85"/>
        <v>#DIV/0!</v>
      </c>
      <c r="AX105" s="14" t="e">
        <f t="shared" si="85"/>
        <v>#DIV/0!</v>
      </c>
      <c r="AY105" s="14" t="e">
        <f t="shared" si="85"/>
        <v>#DIV/0!</v>
      </c>
      <c r="AZ105" s="14" t="e">
        <f t="shared" si="85"/>
        <v>#DIV/0!</v>
      </c>
      <c r="BA105" s="14" t="e">
        <f t="shared" si="85"/>
        <v>#DIV/0!</v>
      </c>
      <c r="BB105" s="14" t="e">
        <f t="shared" si="85"/>
        <v>#DIV/0!</v>
      </c>
      <c r="BC105" s="14" t="e">
        <f t="shared" si="85"/>
        <v>#DIV/0!</v>
      </c>
      <c r="BD105" s="14" t="e">
        <f t="shared" si="85"/>
        <v>#DIV/0!</v>
      </c>
      <c r="BE105" s="14" t="e">
        <f t="shared" si="85"/>
        <v>#DIV/0!</v>
      </c>
      <c r="BF105" s="14" t="e">
        <f t="shared" si="85"/>
        <v>#DIV/0!</v>
      </c>
      <c r="BG105" s="14" t="e">
        <f t="shared" si="85"/>
        <v>#DIV/0!</v>
      </c>
      <c r="BH105" s="14" t="e">
        <f t="shared" si="85"/>
        <v>#DIV/0!</v>
      </c>
      <c r="BI105" s="14" t="e">
        <f t="shared" si="85"/>
        <v>#DIV/0!</v>
      </c>
      <c r="BJ105" s="14" t="e">
        <f t="shared" si="85"/>
        <v>#DIV/0!</v>
      </c>
      <c r="BK105" s="14" t="e">
        <f t="shared" si="85"/>
        <v>#DIV/0!</v>
      </c>
      <c r="BL105" s="14" t="e">
        <f t="shared" si="85"/>
        <v>#DIV/0!</v>
      </c>
      <c r="BM105" s="14" t="e">
        <f t="shared" si="85"/>
        <v>#DIV/0!</v>
      </c>
      <c r="BN105" s="14" t="e">
        <f t="shared" si="85"/>
        <v>#DIV/0!</v>
      </c>
      <c r="BO105" s="14" t="e">
        <f t="shared" si="85"/>
        <v>#DIV/0!</v>
      </c>
      <c r="BP105" s="14" t="e">
        <f t="shared" si="85"/>
        <v>#DIV/0!</v>
      </c>
      <c r="BQ105" s="14" t="e">
        <f t="shared" si="85"/>
        <v>#DIV/0!</v>
      </c>
      <c r="BR105" s="14" t="e">
        <f t="shared" si="85"/>
        <v>#DIV/0!</v>
      </c>
      <c r="BS105" s="14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 t="e">
        <f t="shared" ref="F106" si="86">F30*$C$78</f>
        <v>#DIV/0!</v>
      </c>
      <c r="G106" s="14" t="e">
        <f t="shared" ref="G106:BR106" si="87">G30*$C$78</f>
        <v>#DIV/0!</v>
      </c>
      <c r="H106" s="14" t="e">
        <f t="shared" si="87"/>
        <v>#DIV/0!</v>
      </c>
      <c r="I106" s="14" t="e">
        <f t="shared" si="87"/>
        <v>#DIV/0!</v>
      </c>
      <c r="J106" s="14" t="e">
        <f t="shared" si="87"/>
        <v>#DIV/0!</v>
      </c>
      <c r="K106" s="14" t="e">
        <f t="shared" si="87"/>
        <v>#DIV/0!</v>
      </c>
      <c r="L106" s="14" t="e">
        <f t="shared" si="87"/>
        <v>#DIV/0!</v>
      </c>
      <c r="M106" s="14" t="e">
        <f t="shared" si="87"/>
        <v>#DIV/0!</v>
      </c>
      <c r="N106" s="14" t="e">
        <f t="shared" si="87"/>
        <v>#DIV/0!</v>
      </c>
      <c r="O106" s="14" t="e">
        <f t="shared" si="87"/>
        <v>#DIV/0!</v>
      </c>
      <c r="P106" s="14" t="e">
        <f t="shared" si="87"/>
        <v>#DIV/0!</v>
      </c>
      <c r="Q106" s="14" t="e">
        <f t="shared" si="87"/>
        <v>#DIV/0!</v>
      </c>
      <c r="R106" s="14" t="e">
        <f t="shared" si="87"/>
        <v>#DIV/0!</v>
      </c>
      <c r="S106" s="14" t="e">
        <f t="shared" si="87"/>
        <v>#DIV/0!</v>
      </c>
      <c r="T106" s="14" t="e">
        <f t="shared" si="87"/>
        <v>#DIV/0!</v>
      </c>
      <c r="U106" s="14" t="e">
        <f t="shared" si="87"/>
        <v>#DIV/0!</v>
      </c>
      <c r="V106" s="14" t="e">
        <f t="shared" si="87"/>
        <v>#DIV/0!</v>
      </c>
      <c r="W106" s="14" t="e">
        <f t="shared" si="87"/>
        <v>#DIV/0!</v>
      </c>
      <c r="X106" s="14" t="e">
        <f t="shared" si="87"/>
        <v>#DIV/0!</v>
      </c>
      <c r="Y106" s="14" t="e">
        <f t="shared" si="87"/>
        <v>#DIV/0!</v>
      </c>
      <c r="Z106" s="14" t="e">
        <f t="shared" si="87"/>
        <v>#DIV/0!</v>
      </c>
      <c r="AA106" s="14" t="e">
        <f t="shared" si="87"/>
        <v>#DIV/0!</v>
      </c>
      <c r="AB106" s="14" t="e">
        <f t="shared" si="87"/>
        <v>#DIV/0!</v>
      </c>
      <c r="AC106" s="14" t="e">
        <f t="shared" si="87"/>
        <v>#DIV/0!</v>
      </c>
      <c r="AD106" s="14" t="e">
        <f t="shared" si="87"/>
        <v>#DIV/0!</v>
      </c>
      <c r="AE106" s="14" t="e">
        <f t="shared" si="87"/>
        <v>#DIV/0!</v>
      </c>
      <c r="AF106" s="14" t="e">
        <f t="shared" si="87"/>
        <v>#DIV/0!</v>
      </c>
      <c r="AG106" s="14" t="e">
        <f t="shared" si="87"/>
        <v>#DIV/0!</v>
      </c>
      <c r="AH106" s="14" t="e">
        <f t="shared" si="87"/>
        <v>#DIV/0!</v>
      </c>
      <c r="AI106" s="14" t="e">
        <f t="shared" si="87"/>
        <v>#DIV/0!</v>
      </c>
      <c r="AJ106" s="14" t="e">
        <f t="shared" si="87"/>
        <v>#DIV/0!</v>
      </c>
      <c r="AK106" s="14" t="e">
        <f t="shared" si="87"/>
        <v>#DIV/0!</v>
      </c>
      <c r="AL106" s="14" t="e">
        <f t="shared" si="87"/>
        <v>#DIV/0!</v>
      </c>
      <c r="AM106" s="14" t="e">
        <f t="shared" si="87"/>
        <v>#DIV/0!</v>
      </c>
      <c r="AN106" s="14" t="e">
        <f t="shared" si="87"/>
        <v>#DIV/0!</v>
      </c>
      <c r="AO106" s="14" t="e">
        <f t="shared" si="87"/>
        <v>#DIV/0!</v>
      </c>
      <c r="AP106" s="14" t="e">
        <f t="shared" si="87"/>
        <v>#DIV/0!</v>
      </c>
      <c r="AQ106" s="14" t="e">
        <f t="shared" si="87"/>
        <v>#DIV/0!</v>
      </c>
      <c r="AR106" s="14" t="e">
        <f t="shared" si="87"/>
        <v>#DIV/0!</v>
      </c>
      <c r="AS106" s="14" t="e">
        <f t="shared" si="87"/>
        <v>#DIV/0!</v>
      </c>
      <c r="AT106" s="14" t="e">
        <f t="shared" si="87"/>
        <v>#DIV/0!</v>
      </c>
      <c r="AU106" s="14" t="e">
        <f t="shared" si="87"/>
        <v>#DIV/0!</v>
      </c>
      <c r="AV106" s="14" t="e">
        <f t="shared" si="87"/>
        <v>#DIV/0!</v>
      </c>
      <c r="AW106" s="14" t="e">
        <f t="shared" si="87"/>
        <v>#DIV/0!</v>
      </c>
      <c r="AX106" s="14" t="e">
        <f t="shared" si="87"/>
        <v>#DIV/0!</v>
      </c>
      <c r="AY106" s="14" t="e">
        <f t="shared" si="87"/>
        <v>#DIV/0!</v>
      </c>
      <c r="AZ106" s="14" t="e">
        <f t="shared" si="87"/>
        <v>#DIV/0!</v>
      </c>
      <c r="BA106" s="14" t="e">
        <f t="shared" si="87"/>
        <v>#DIV/0!</v>
      </c>
      <c r="BB106" s="14" t="e">
        <f t="shared" si="87"/>
        <v>#DIV/0!</v>
      </c>
      <c r="BC106" s="14" t="e">
        <f t="shared" si="87"/>
        <v>#DIV/0!</v>
      </c>
      <c r="BD106" s="14" t="e">
        <f t="shared" si="87"/>
        <v>#DIV/0!</v>
      </c>
      <c r="BE106" s="14" t="e">
        <f t="shared" si="87"/>
        <v>#DIV/0!</v>
      </c>
      <c r="BF106" s="14" t="e">
        <f t="shared" si="87"/>
        <v>#DIV/0!</v>
      </c>
      <c r="BG106" s="14" t="e">
        <f t="shared" si="87"/>
        <v>#DIV/0!</v>
      </c>
      <c r="BH106" s="14" t="e">
        <f t="shared" si="87"/>
        <v>#DIV/0!</v>
      </c>
      <c r="BI106" s="14" t="e">
        <f t="shared" si="87"/>
        <v>#DIV/0!</v>
      </c>
      <c r="BJ106" s="14" t="e">
        <f t="shared" si="87"/>
        <v>#DIV/0!</v>
      </c>
      <c r="BK106" s="14" t="e">
        <f t="shared" si="87"/>
        <v>#DIV/0!</v>
      </c>
      <c r="BL106" s="14" t="e">
        <f t="shared" si="87"/>
        <v>#DIV/0!</v>
      </c>
      <c r="BM106" s="14" t="e">
        <f t="shared" si="87"/>
        <v>#DIV/0!</v>
      </c>
      <c r="BN106" s="14" t="e">
        <f t="shared" si="87"/>
        <v>#DIV/0!</v>
      </c>
      <c r="BO106" s="14" t="e">
        <f t="shared" si="87"/>
        <v>#DIV/0!</v>
      </c>
      <c r="BP106" s="14" t="e">
        <f t="shared" si="87"/>
        <v>#DIV/0!</v>
      </c>
      <c r="BQ106" s="14" t="e">
        <f t="shared" si="87"/>
        <v>#DIV/0!</v>
      </c>
      <c r="BR106" s="14" t="e">
        <f t="shared" si="87"/>
        <v>#DIV/0!</v>
      </c>
      <c r="BS106" s="14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 t="e">
        <f t="shared" ref="F107" si="88">F31*$C$78</f>
        <v>#DIV/0!</v>
      </c>
      <c r="G107" s="14" t="e">
        <f t="shared" ref="G107:BR107" si="89">G31*$C$78</f>
        <v>#DIV/0!</v>
      </c>
      <c r="H107" s="14" t="e">
        <f t="shared" si="89"/>
        <v>#DIV/0!</v>
      </c>
      <c r="I107" s="14" t="e">
        <f t="shared" si="89"/>
        <v>#DIV/0!</v>
      </c>
      <c r="J107" s="14" t="e">
        <f t="shared" si="89"/>
        <v>#DIV/0!</v>
      </c>
      <c r="K107" s="14" t="e">
        <f t="shared" si="89"/>
        <v>#DIV/0!</v>
      </c>
      <c r="L107" s="14" t="e">
        <f t="shared" si="89"/>
        <v>#DIV/0!</v>
      </c>
      <c r="M107" s="14" t="e">
        <f t="shared" si="89"/>
        <v>#DIV/0!</v>
      </c>
      <c r="N107" s="14" t="e">
        <f t="shared" si="89"/>
        <v>#DIV/0!</v>
      </c>
      <c r="O107" s="14" t="e">
        <f t="shared" si="89"/>
        <v>#DIV/0!</v>
      </c>
      <c r="P107" s="14" t="e">
        <f t="shared" si="89"/>
        <v>#DIV/0!</v>
      </c>
      <c r="Q107" s="14" t="e">
        <f t="shared" si="89"/>
        <v>#DIV/0!</v>
      </c>
      <c r="R107" s="14" t="e">
        <f t="shared" si="89"/>
        <v>#DIV/0!</v>
      </c>
      <c r="S107" s="14" t="e">
        <f t="shared" si="89"/>
        <v>#DIV/0!</v>
      </c>
      <c r="T107" s="14" t="e">
        <f t="shared" si="89"/>
        <v>#DIV/0!</v>
      </c>
      <c r="U107" s="14" t="e">
        <f t="shared" si="89"/>
        <v>#DIV/0!</v>
      </c>
      <c r="V107" s="14" t="e">
        <f t="shared" si="89"/>
        <v>#DIV/0!</v>
      </c>
      <c r="W107" s="14" t="e">
        <f t="shared" si="89"/>
        <v>#DIV/0!</v>
      </c>
      <c r="X107" s="14" t="e">
        <f t="shared" si="89"/>
        <v>#DIV/0!</v>
      </c>
      <c r="Y107" s="14" t="e">
        <f t="shared" si="89"/>
        <v>#DIV/0!</v>
      </c>
      <c r="Z107" s="14" t="e">
        <f t="shared" si="89"/>
        <v>#DIV/0!</v>
      </c>
      <c r="AA107" s="14" t="e">
        <f t="shared" si="89"/>
        <v>#DIV/0!</v>
      </c>
      <c r="AB107" s="14" t="e">
        <f t="shared" si="89"/>
        <v>#DIV/0!</v>
      </c>
      <c r="AC107" s="14" t="e">
        <f t="shared" si="89"/>
        <v>#DIV/0!</v>
      </c>
      <c r="AD107" s="14" t="e">
        <f t="shared" si="89"/>
        <v>#DIV/0!</v>
      </c>
      <c r="AE107" s="14" t="e">
        <f t="shared" si="89"/>
        <v>#DIV/0!</v>
      </c>
      <c r="AF107" s="14" t="e">
        <f t="shared" si="89"/>
        <v>#DIV/0!</v>
      </c>
      <c r="AG107" s="14" t="e">
        <f t="shared" si="89"/>
        <v>#DIV/0!</v>
      </c>
      <c r="AH107" s="14" t="e">
        <f t="shared" si="89"/>
        <v>#DIV/0!</v>
      </c>
      <c r="AI107" s="14" t="e">
        <f t="shared" si="89"/>
        <v>#DIV/0!</v>
      </c>
      <c r="AJ107" s="14" t="e">
        <f t="shared" si="89"/>
        <v>#DIV/0!</v>
      </c>
      <c r="AK107" s="14" t="e">
        <f t="shared" si="89"/>
        <v>#DIV/0!</v>
      </c>
      <c r="AL107" s="14" t="e">
        <f t="shared" si="89"/>
        <v>#DIV/0!</v>
      </c>
      <c r="AM107" s="14" t="e">
        <f t="shared" si="89"/>
        <v>#DIV/0!</v>
      </c>
      <c r="AN107" s="14" t="e">
        <f t="shared" si="89"/>
        <v>#DIV/0!</v>
      </c>
      <c r="AO107" s="14" t="e">
        <f t="shared" si="89"/>
        <v>#DIV/0!</v>
      </c>
      <c r="AP107" s="14" t="e">
        <f t="shared" si="89"/>
        <v>#DIV/0!</v>
      </c>
      <c r="AQ107" s="14" t="e">
        <f t="shared" si="89"/>
        <v>#DIV/0!</v>
      </c>
      <c r="AR107" s="14" t="e">
        <f t="shared" si="89"/>
        <v>#DIV/0!</v>
      </c>
      <c r="AS107" s="14" t="e">
        <f t="shared" si="89"/>
        <v>#DIV/0!</v>
      </c>
      <c r="AT107" s="14" t="e">
        <f t="shared" si="89"/>
        <v>#DIV/0!</v>
      </c>
      <c r="AU107" s="14" t="e">
        <f t="shared" si="89"/>
        <v>#DIV/0!</v>
      </c>
      <c r="AV107" s="14" t="e">
        <f t="shared" si="89"/>
        <v>#DIV/0!</v>
      </c>
      <c r="AW107" s="14" t="e">
        <f t="shared" si="89"/>
        <v>#DIV/0!</v>
      </c>
      <c r="AX107" s="14" t="e">
        <f t="shared" si="89"/>
        <v>#DIV/0!</v>
      </c>
      <c r="AY107" s="14" t="e">
        <f t="shared" si="89"/>
        <v>#DIV/0!</v>
      </c>
      <c r="AZ107" s="14" t="e">
        <f t="shared" si="89"/>
        <v>#DIV/0!</v>
      </c>
      <c r="BA107" s="14" t="e">
        <f t="shared" si="89"/>
        <v>#DIV/0!</v>
      </c>
      <c r="BB107" s="14" t="e">
        <f t="shared" si="89"/>
        <v>#DIV/0!</v>
      </c>
      <c r="BC107" s="14" t="e">
        <f t="shared" si="89"/>
        <v>#DIV/0!</v>
      </c>
      <c r="BD107" s="14" t="e">
        <f t="shared" si="89"/>
        <v>#DIV/0!</v>
      </c>
      <c r="BE107" s="14" t="e">
        <f t="shared" si="89"/>
        <v>#DIV/0!</v>
      </c>
      <c r="BF107" s="14" t="e">
        <f t="shared" si="89"/>
        <v>#DIV/0!</v>
      </c>
      <c r="BG107" s="14" t="e">
        <f t="shared" si="89"/>
        <v>#DIV/0!</v>
      </c>
      <c r="BH107" s="14" t="e">
        <f t="shared" si="89"/>
        <v>#DIV/0!</v>
      </c>
      <c r="BI107" s="14" t="e">
        <f t="shared" si="89"/>
        <v>#DIV/0!</v>
      </c>
      <c r="BJ107" s="14" t="e">
        <f t="shared" si="89"/>
        <v>#DIV/0!</v>
      </c>
      <c r="BK107" s="14" t="e">
        <f t="shared" si="89"/>
        <v>#DIV/0!</v>
      </c>
      <c r="BL107" s="14" t="e">
        <f t="shared" si="89"/>
        <v>#DIV/0!</v>
      </c>
      <c r="BM107" s="14" t="e">
        <f t="shared" si="89"/>
        <v>#DIV/0!</v>
      </c>
      <c r="BN107" s="14" t="e">
        <f t="shared" si="89"/>
        <v>#DIV/0!</v>
      </c>
      <c r="BO107" s="14" t="e">
        <f t="shared" si="89"/>
        <v>#DIV/0!</v>
      </c>
      <c r="BP107" s="14" t="e">
        <f t="shared" si="89"/>
        <v>#DIV/0!</v>
      </c>
      <c r="BQ107" s="14" t="e">
        <f t="shared" si="89"/>
        <v>#DIV/0!</v>
      </c>
      <c r="BR107" s="14" t="e">
        <f t="shared" si="89"/>
        <v>#DIV/0!</v>
      </c>
      <c r="BS107" s="14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 t="e">
        <f t="shared" ref="F108" si="90">F32*$C$78</f>
        <v>#DIV/0!</v>
      </c>
      <c r="G108" s="14" t="e">
        <f t="shared" ref="G108:BR108" si="91">G32*$C$78</f>
        <v>#DIV/0!</v>
      </c>
      <c r="H108" s="14" t="e">
        <f t="shared" si="91"/>
        <v>#DIV/0!</v>
      </c>
      <c r="I108" s="14" t="e">
        <f t="shared" si="91"/>
        <v>#DIV/0!</v>
      </c>
      <c r="J108" s="14" t="e">
        <f t="shared" si="91"/>
        <v>#DIV/0!</v>
      </c>
      <c r="K108" s="14" t="e">
        <f t="shared" si="91"/>
        <v>#DIV/0!</v>
      </c>
      <c r="L108" s="14" t="e">
        <f t="shared" si="91"/>
        <v>#DIV/0!</v>
      </c>
      <c r="M108" s="14" t="e">
        <f t="shared" si="91"/>
        <v>#DIV/0!</v>
      </c>
      <c r="N108" s="14" t="e">
        <f t="shared" si="91"/>
        <v>#DIV/0!</v>
      </c>
      <c r="O108" s="14" t="e">
        <f t="shared" si="91"/>
        <v>#DIV/0!</v>
      </c>
      <c r="P108" s="14" t="e">
        <f t="shared" si="91"/>
        <v>#DIV/0!</v>
      </c>
      <c r="Q108" s="14" t="e">
        <f t="shared" si="91"/>
        <v>#DIV/0!</v>
      </c>
      <c r="R108" s="14" t="e">
        <f t="shared" si="91"/>
        <v>#DIV/0!</v>
      </c>
      <c r="S108" s="14" t="e">
        <f t="shared" si="91"/>
        <v>#DIV/0!</v>
      </c>
      <c r="T108" s="14" t="e">
        <f t="shared" si="91"/>
        <v>#DIV/0!</v>
      </c>
      <c r="U108" s="14" t="e">
        <f t="shared" si="91"/>
        <v>#DIV/0!</v>
      </c>
      <c r="V108" s="14" t="e">
        <f t="shared" si="91"/>
        <v>#DIV/0!</v>
      </c>
      <c r="W108" s="14" t="e">
        <f t="shared" si="91"/>
        <v>#DIV/0!</v>
      </c>
      <c r="X108" s="14" t="e">
        <f t="shared" si="91"/>
        <v>#DIV/0!</v>
      </c>
      <c r="Y108" s="14" t="e">
        <f t="shared" si="91"/>
        <v>#DIV/0!</v>
      </c>
      <c r="Z108" s="14" t="e">
        <f t="shared" si="91"/>
        <v>#DIV/0!</v>
      </c>
      <c r="AA108" s="14" t="e">
        <f t="shared" si="91"/>
        <v>#DIV/0!</v>
      </c>
      <c r="AB108" s="14" t="e">
        <f t="shared" si="91"/>
        <v>#DIV/0!</v>
      </c>
      <c r="AC108" s="14" t="e">
        <f t="shared" si="91"/>
        <v>#DIV/0!</v>
      </c>
      <c r="AD108" s="14" t="e">
        <f t="shared" si="91"/>
        <v>#DIV/0!</v>
      </c>
      <c r="AE108" s="14" t="e">
        <f t="shared" si="91"/>
        <v>#DIV/0!</v>
      </c>
      <c r="AF108" s="14" t="e">
        <f t="shared" si="91"/>
        <v>#DIV/0!</v>
      </c>
      <c r="AG108" s="14" t="e">
        <f t="shared" si="91"/>
        <v>#DIV/0!</v>
      </c>
      <c r="AH108" s="14" t="e">
        <f t="shared" si="91"/>
        <v>#DIV/0!</v>
      </c>
      <c r="AI108" s="14" t="e">
        <f t="shared" si="91"/>
        <v>#DIV/0!</v>
      </c>
      <c r="AJ108" s="14" t="e">
        <f t="shared" si="91"/>
        <v>#DIV/0!</v>
      </c>
      <c r="AK108" s="14" t="e">
        <f t="shared" si="91"/>
        <v>#DIV/0!</v>
      </c>
      <c r="AL108" s="14" t="e">
        <f t="shared" si="91"/>
        <v>#DIV/0!</v>
      </c>
      <c r="AM108" s="14" t="e">
        <f t="shared" si="91"/>
        <v>#DIV/0!</v>
      </c>
      <c r="AN108" s="14" t="e">
        <f t="shared" si="91"/>
        <v>#DIV/0!</v>
      </c>
      <c r="AO108" s="14" t="e">
        <f t="shared" si="91"/>
        <v>#DIV/0!</v>
      </c>
      <c r="AP108" s="14" t="e">
        <f t="shared" si="91"/>
        <v>#DIV/0!</v>
      </c>
      <c r="AQ108" s="14" t="e">
        <f t="shared" si="91"/>
        <v>#DIV/0!</v>
      </c>
      <c r="AR108" s="14" t="e">
        <f t="shared" si="91"/>
        <v>#DIV/0!</v>
      </c>
      <c r="AS108" s="14" t="e">
        <f t="shared" si="91"/>
        <v>#DIV/0!</v>
      </c>
      <c r="AT108" s="14" t="e">
        <f t="shared" si="91"/>
        <v>#DIV/0!</v>
      </c>
      <c r="AU108" s="14" t="e">
        <f t="shared" si="91"/>
        <v>#DIV/0!</v>
      </c>
      <c r="AV108" s="14" t="e">
        <f t="shared" si="91"/>
        <v>#DIV/0!</v>
      </c>
      <c r="AW108" s="14" t="e">
        <f t="shared" si="91"/>
        <v>#DIV/0!</v>
      </c>
      <c r="AX108" s="14" t="e">
        <f t="shared" si="91"/>
        <v>#DIV/0!</v>
      </c>
      <c r="AY108" s="14" t="e">
        <f t="shared" si="91"/>
        <v>#DIV/0!</v>
      </c>
      <c r="AZ108" s="14" t="e">
        <f t="shared" si="91"/>
        <v>#DIV/0!</v>
      </c>
      <c r="BA108" s="14" t="e">
        <f t="shared" si="91"/>
        <v>#DIV/0!</v>
      </c>
      <c r="BB108" s="14" t="e">
        <f t="shared" si="91"/>
        <v>#DIV/0!</v>
      </c>
      <c r="BC108" s="14" t="e">
        <f t="shared" si="91"/>
        <v>#DIV/0!</v>
      </c>
      <c r="BD108" s="14" t="e">
        <f t="shared" si="91"/>
        <v>#DIV/0!</v>
      </c>
      <c r="BE108" s="14" t="e">
        <f t="shared" si="91"/>
        <v>#DIV/0!</v>
      </c>
      <c r="BF108" s="14" t="e">
        <f t="shared" si="91"/>
        <v>#DIV/0!</v>
      </c>
      <c r="BG108" s="14" t="e">
        <f t="shared" si="91"/>
        <v>#DIV/0!</v>
      </c>
      <c r="BH108" s="14" t="e">
        <f t="shared" si="91"/>
        <v>#DIV/0!</v>
      </c>
      <c r="BI108" s="14" t="e">
        <f t="shared" si="91"/>
        <v>#DIV/0!</v>
      </c>
      <c r="BJ108" s="14" t="e">
        <f t="shared" si="91"/>
        <v>#DIV/0!</v>
      </c>
      <c r="BK108" s="14" t="e">
        <f t="shared" si="91"/>
        <v>#DIV/0!</v>
      </c>
      <c r="BL108" s="14" t="e">
        <f t="shared" si="91"/>
        <v>#DIV/0!</v>
      </c>
      <c r="BM108" s="14" t="e">
        <f t="shared" si="91"/>
        <v>#DIV/0!</v>
      </c>
      <c r="BN108" s="14" t="e">
        <f t="shared" si="91"/>
        <v>#DIV/0!</v>
      </c>
      <c r="BO108" s="14" t="e">
        <f t="shared" si="91"/>
        <v>#DIV/0!</v>
      </c>
      <c r="BP108" s="14" t="e">
        <f t="shared" si="91"/>
        <v>#DIV/0!</v>
      </c>
      <c r="BQ108" s="14" t="e">
        <f t="shared" si="91"/>
        <v>#DIV/0!</v>
      </c>
      <c r="BR108" s="14" t="e">
        <f t="shared" si="91"/>
        <v>#DIV/0!</v>
      </c>
      <c r="BS108" s="14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x14ac:dyDescent="0.4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hidden="1" customHeight="1" outlineLevel="1" thickTop="1" thickBot="1" x14ac:dyDescent="0.4">
      <c r="A113" s="110"/>
      <c r="B113" s="110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487.9</v>
      </c>
      <c r="K113" s="4">
        <f t="shared" si="92"/>
        <v>504.4</v>
      </c>
      <c r="L113" s="4">
        <f t="shared" si="92"/>
        <v>520.9</v>
      </c>
      <c r="M113" s="4">
        <f t="shared" si="92"/>
        <v>537.5</v>
      </c>
      <c r="N113" s="4">
        <f t="shared" si="92"/>
        <v>603.5</v>
      </c>
      <c r="O113" s="4">
        <f t="shared" si="92"/>
        <v>669.6</v>
      </c>
      <c r="P113" s="4">
        <f t="shared" si="92"/>
        <v>735.7</v>
      </c>
      <c r="Q113" s="4">
        <f t="shared" si="92"/>
        <v>801.8</v>
      </c>
      <c r="R113" s="4">
        <f t="shared" si="92"/>
        <v>867.8</v>
      </c>
      <c r="S113" s="4">
        <f t="shared" si="92"/>
        <v>884.4</v>
      </c>
      <c r="T113" s="4">
        <f t="shared" si="92"/>
        <v>900.9</v>
      </c>
      <c r="U113" s="4">
        <f t="shared" si="92"/>
        <v>917.4</v>
      </c>
      <c r="V113" s="4">
        <f t="shared" si="92"/>
        <v>933.9</v>
      </c>
      <c r="W113" s="4">
        <f t="shared" si="92"/>
        <v>950.4</v>
      </c>
      <c r="X113" s="4">
        <f t="shared" si="92"/>
        <v>967</v>
      </c>
      <c r="Y113" s="4">
        <f t="shared" si="92"/>
        <v>983.5</v>
      </c>
      <c r="Z113" s="4">
        <f t="shared" si="92"/>
        <v>1000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 x14ac:dyDescent="0.4">
      <c r="C114" s="22">
        <f>COUNTA(E114:E121)+1</f>
        <v>4</v>
      </c>
      <c r="E114" s="17" t="s">
        <v>12</v>
      </c>
      <c r="F114" s="46" t="e">
        <f>F$113*$B$2*SUMPRODUCT(F$90:F$92,F$56:F$58)/1000</f>
        <v>#DIV/0!</v>
      </c>
      <c r="G114" s="46" t="e">
        <f t="shared" ref="G114:AL114" si="93">G$113*$B$2*SUMPRODUCT(G$90:G$92,G$56:G$58)/1000</f>
        <v>#DIV/0!</v>
      </c>
      <c r="H114" s="46" t="e">
        <f t="shared" si="93"/>
        <v>#DIV/0!</v>
      </c>
      <c r="I114" s="46" t="e">
        <f t="shared" si="93"/>
        <v>#DIV/0!</v>
      </c>
      <c r="J114" s="46" t="e">
        <f t="shared" si="93"/>
        <v>#DIV/0!</v>
      </c>
      <c r="K114" s="46" t="e">
        <f t="shared" si="93"/>
        <v>#DIV/0!</v>
      </c>
      <c r="L114" s="46" t="e">
        <f t="shared" si="93"/>
        <v>#DIV/0!</v>
      </c>
      <c r="M114" s="46" t="e">
        <f t="shared" si="93"/>
        <v>#DIV/0!</v>
      </c>
      <c r="N114" s="46" t="e">
        <f t="shared" si="93"/>
        <v>#DIV/0!</v>
      </c>
      <c r="O114" s="46" t="e">
        <f t="shared" si="93"/>
        <v>#DIV/0!</v>
      </c>
      <c r="P114" s="46" t="e">
        <f t="shared" si="93"/>
        <v>#DIV/0!</v>
      </c>
      <c r="Q114" s="46" t="e">
        <f t="shared" si="93"/>
        <v>#DIV/0!</v>
      </c>
      <c r="R114" s="46" t="e">
        <f t="shared" si="93"/>
        <v>#DIV/0!</v>
      </c>
      <c r="S114" s="46" t="e">
        <f t="shared" si="93"/>
        <v>#DIV/0!</v>
      </c>
      <c r="T114" s="46" t="e">
        <f t="shared" si="93"/>
        <v>#DIV/0!</v>
      </c>
      <c r="U114" s="46" t="e">
        <f t="shared" si="93"/>
        <v>#DIV/0!</v>
      </c>
      <c r="V114" s="46" t="e">
        <f t="shared" si="93"/>
        <v>#DIV/0!</v>
      </c>
      <c r="W114" s="46" t="e">
        <f t="shared" si="93"/>
        <v>#DIV/0!</v>
      </c>
      <c r="X114" s="46" t="e">
        <f t="shared" si="93"/>
        <v>#DIV/0!</v>
      </c>
      <c r="Y114" s="46" t="e">
        <f t="shared" si="93"/>
        <v>#DIV/0!</v>
      </c>
      <c r="Z114" s="46" t="e">
        <f t="shared" si="93"/>
        <v>#DIV/0!</v>
      </c>
      <c r="AA114" s="46" t="e">
        <f t="shared" si="93"/>
        <v>#DIV/0!</v>
      </c>
      <c r="AB114" s="46" t="e">
        <f t="shared" si="93"/>
        <v>#DIV/0!</v>
      </c>
      <c r="AC114" s="46" t="e">
        <f t="shared" si="93"/>
        <v>#DIV/0!</v>
      </c>
      <c r="AD114" s="46" t="e">
        <f t="shared" si="93"/>
        <v>#DIV/0!</v>
      </c>
      <c r="AE114" s="46" t="e">
        <f t="shared" si="93"/>
        <v>#DIV/0!</v>
      </c>
      <c r="AF114" s="46" t="e">
        <f t="shared" si="93"/>
        <v>#DIV/0!</v>
      </c>
      <c r="AG114" s="46" t="e">
        <f t="shared" si="93"/>
        <v>#DIV/0!</v>
      </c>
      <c r="AH114" s="46" t="e">
        <f t="shared" si="93"/>
        <v>#DIV/0!</v>
      </c>
      <c r="AI114" s="46" t="e">
        <f t="shared" si="93"/>
        <v>#DIV/0!</v>
      </c>
      <c r="AJ114" s="46" t="e">
        <f t="shared" si="93"/>
        <v>#DIV/0!</v>
      </c>
      <c r="AK114" s="46" t="e">
        <f t="shared" si="93"/>
        <v>#DIV/0!</v>
      </c>
      <c r="AL114" s="46" t="e">
        <f t="shared" si="93"/>
        <v>#DIV/0!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 x14ac:dyDescent="0.4">
      <c r="C115" s="23">
        <f xml:space="preserve"> COUNTIF(F113:AL113,"&lt;&gt;"&amp;0)</f>
        <v>21</v>
      </c>
      <c r="E115" s="17" t="s">
        <v>13</v>
      </c>
      <c r="F115" s="14" t="e">
        <f>F$113*$B$2*SUMPRODUCT(F$80:F$88,F$46:F$54)/1000</f>
        <v>#DIV/0!</v>
      </c>
      <c r="G115" s="14" t="e">
        <f t="shared" ref="G115:AL115" si="94">G$113*$B$2*SUMPRODUCT(G$80:G$88,G$46:G$54)/1000</f>
        <v>#DIV/0!</v>
      </c>
      <c r="H115" s="14" t="e">
        <f t="shared" si="94"/>
        <v>#DIV/0!</v>
      </c>
      <c r="I115" s="14" t="e">
        <f t="shared" si="94"/>
        <v>#DIV/0!</v>
      </c>
      <c r="J115" s="14" t="e">
        <f t="shared" si="94"/>
        <v>#DIV/0!</v>
      </c>
      <c r="K115" s="14" t="e">
        <f t="shared" si="94"/>
        <v>#DIV/0!</v>
      </c>
      <c r="L115" s="14" t="e">
        <f t="shared" si="94"/>
        <v>#DIV/0!</v>
      </c>
      <c r="M115" s="14" t="e">
        <f t="shared" si="94"/>
        <v>#DIV/0!</v>
      </c>
      <c r="N115" s="14" t="e">
        <f t="shared" si="94"/>
        <v>#DIV/0!</v>
      </c>
      <c r="O115" s="14" t="e">
        <f t="shared" si="94"/>
        <v>#DIV/0!</v>
      </c>
      <c r="P115" s="14" t="e">
        <f t="shared" si="94"/>
        <v>#DIV/0!</v>
      </c>
      <c r="Q115" s="14" t="e">
        <f t="shared" si="94"/>
        <v>#DIV/0!</v>
      </c>
      <c r="R115" s="14" t="e">
        <f t="shared" si="94"/>
        <v>#DIV/0!</v>
      </c>
      <c r="S115" s="14" t="e">
        <f t="shared" si="94"/>
        <v>#DIV/0!</v>
      </c>
      <c r="T115" s="14" t="e">
        <f t="shared" si="94"/>
        <v>#DIV/0!</v>
      </c>
      <c r="U115" s="14" t="e">
        <f t="shared" si="94"/>
        <v>#DIV/0!</v>
      </c>
      <c r="V115" s="14" t="e">
        <f t="shared" si="94"/>
        <v>#DIV/0!</v>
      </c>
      <c r="W115" s="14" t="e">
        <f t="shared" si="94"/>
        <v>#DIV/0!</v>
      </c>
      <c r="X115" s="14" t="e">
        <f t="shared" si="94"/>
        <v>#DIV/0!</v>
      </c>
      <c r="Y115" s="14" t="e">
        <f t="shared" si="94"/>
        <v>#DIV/0!</v>
      </c>
      <c r="Z115" s="14" t="e">
        <f t="shared" si="94"/>
        <v>#DIV/0!</v>
      </c>
      <c r="AA115" s="14" t="e">
        <f t="shared" si="94"/>
        <v>#DIV/0!</v>
      </c>
      <c r="AB115" s="14" t="e">
        <f t="shared" si="94"/>
        <v>#DIV/0!</v>
      </c>
      <c r="AC115" s="14" t="e">
        <f t="shared" si="94"/>
        <v>#DIV/0!</v>
      </c>
      <c r="AD115" s="14" t="e">
        <f t="shared" si="94"/>
        <v>#DIV/0!</v>
      </c>
      <c r="AE115" s="14" t="e">
        <f t="shared" si="94"/>
        <v>#DIV/0!</v>
      </c>
      <c r="AF115" s="14" t="e">
        <f t="shared" si="94"/>
        <v>#DIV/0!</v>
      </c>
      <c r="AG115" s="14" t="e">
        <f t="shared" si="94"/>
        <v>#DIV/0!</v>
      </c>
      <c r="AH115" s="14" t="e">
        <f t="shared" si="94"/>
        <v>#DIV/0!</v>
      </c>
      <c r="AI115" s="14" t="e">
        <f t="shared" si="94"/>
        <v>#DIV/0!</v>
      </c>
      <c r="AJ115" s="14" t="e">
        <f t="shared" si="94"/>
        <v>#DIV/0!</v>
      </c>
      <c r="AK115" s="14" t="e">
        <f t="shared" si="94"/>
        <v>#DIV/0!</v>
      </c>
      <c r="AL115" s="14" t="e">
        <f t="shared" si="94"/>
        <v>#DIV/0!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 x14ac:dyDescent="0.4">
      <c r="E116" s="17" t="s">
        <v>15</v>
      </c>
      <c r="F116" s="14" t="e">
        <f t="shared" ref="F116:AL116" si="95">F115+F114</f>
        <v>#DIV/0!</v>
      </c>
      <c r="G116" s="14" t="e">
        <f t="shared" si="95"/>
        <v>#DIV/0!</v>
      </c>
      <c r="H116" s="14" t="e">
        <f t="shared" si="95"/>
        <v>#DIV/0!</v>
      </c>
      <c r="I116" s="14" t="e">
        <f t="shared" si="95"/>
        <v>#DIV/0!</v>
      </c>
      <c r="J116" s="14" t="e">
        <f t="shared" si="95"/>
        <v>#DIV/0!</v>
      </c>
      <c r="K116" s="14" t="e">
        <f t="shared" si="95"/>
        <v>#DIV/0!</v>
      </c>
      <c r="L116" s="14" t="e">
        <f t="shared" si="95"/>
        <v>#DIV/0!</v>
      </c>
      <c r="M116" s="14" t="e">
        <f t="shared" si="95"/>
        <v>#DIV/0!</v>
      </c>
      <c r="N116" s="14" t="e">
        <f t="shared" si="95"/>
        <v>#DIV/0!</v>
      </c>
      <c r="O116" s="14" t="e">
        <f t="shared" si="95"/>
        <v>#DIV/0!</v>
      </c>
      <c r="P116" s="14" t="e">
        <f t="shared" si="95"/>
        <v>#DIV/0!</v>
      </c>
      <c r="Q116" s="14" t="e">
        <f t="shared" si="95"/>
        <v>#DIV/0!</v>
      </c>
      <c r="R116" s="14" t="e">
        <f t="shared" si="95"/>
        <v>#DIV/0!</v>
      </c>
      <c r="S116" s="14" t="e">
        <f t="shared" si="95"/>
        <v>#DIV/0!</v>
      </c>
      <c r="T116" s="14" t="e">
        <f t="shared" si="95"/>
        <v>#DIV/0!</v>
      </c>
      <c r="U116" s="14" t="e">
        <f t="shared" si="95"/>
        <v>#DIV/0!</v>
      </c>
      <c r="V116" s="14" t="e">
        <f t="shared" si="95"/>
        <v>#DIV/0!</v>
      </c>
      <c r="W116" s="14" t="e">
        <f t="shared" si="95"/>
        <v>#DIV/0!</v>
      </c>
      <c r="X116" s="14" t="e">
        <f t="shared" si="95"/>
        <v>#DIV/0!</v>
      </c>
      <c r="Y116" s="14" t="e">
        <f t="shared" si="95"/>
        <v>#DIV/0!</v>
      </c>
      <c r="Z116" s="14" t="e">
        <f t="shared" si="95"/>
        <v>#DIV/0!</v>
      </c>
      <c r="AA116" s="14" t="e">
        <f t="shared" si="95"/>
        <v>#DIV/0!</v>
      </c>
      <c r="AB116" s="14" t="e">
        <f t="shared" si="95"/>
        <v>#DIV/0!</v>
      </c>
      <c r="AC116" s="14" t="e">
        <f t="shared" si="95"/>
        <v>#DIV/0!</v>
      </c>
      <c r="AD116" s="14" t="e">
        <f t="shared" si="95"/>
        <v>#DIV/0!</v>
      </c>
      <c r="AE116" s="14" t="e">
        <f t="shared" si="95"/>
        <v>#DIV/0!</v>
      </c>
      <c r="AF116" s="14" t="e">
        <f t="shared" si="95"/>
        <v>#DIV/0!</v>
      </c>
      <c r="AG116" s="14" t="e">
        <f t="shared" si="95"/>
        <v>#DIV/0!</v>
      </c>
      <c r="AH116" s="14" t="e">
        <f t="shared" si="95"/>
        <v>#DIV/0!</v>
      </c>
      <c r="AI116" s="14" t="e">
        <f t="shared" si="95"/>
        <v>#DIV/0!</v>
      </c>
      <c r="AJ116" s="14" t="e">
        <f t="shared" si="95"/>
        <v>#DIV/0!</v>
      </c>
      <c r="AK116" s="14" t="e">
        <f t="shared" si="95"/>
        <v>#DIV/0!</v>
      </c>
      <c r="AL116" s="14" t="e">
        <f t="shared" si="95"/>
        <v>#DIV/0!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 x14ac:dyDescent="0.35"/>
    <row r="118" spans="1:71" ht="21" hidden="1" customHeight="1" outlineLevel="1" x14ac:dyDescent="0.35">
      <c r="U118" s="47"/>
      <c r="V118" s="47"/>
      <c r="W118" s="47"/>
    </row>
    <row r="119" spans="1:71" ht="21" hidden="1" customHeight="1" outlineLevel="1" x14ac:dyDescent="0.35">
      <c r="U119" s="47"/>
      <c r="V119" s="47"/>
      <c r="W119" s="47"/>
    </row>
    <row r="120" spans="1:71" ht="21" hidden="1" customHeight="1" outlineLevel="1" x14ac:dyDescent="0.35">
      <c r="U120" s="47"/>
      <c r="V120" s="47"/>
      <c r="W120" s="47"/>
    </row>
    <row r="121" spans="1:71" ht="21" hidden="1" customHeight="1" outlineLevel="1" thickBot="1" x14ac:dyDescent="0.4">
      <c r="U121" s="47"/>
      <c r="V121" s="47"/>
      <c r="W121" s="47"/>
    </row>
    <row r="122" spans="1:71" ht="21" hidden="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487.9</v>
      </c>
      <c r="K122" s="4">
        <f ca="1"/>
        <v>504.4</v>
      </c>
      <c r="L122" s="4">
        <f ca="1"/>
        <v>520.9</v>
      </c>
      <c r="M122" s="4">
        <f ca="1"/>
        <v>537.5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801.8</v>
      </c>
      <c r="R122" s="4">
        <f ca="1"/>
        <v>867.8</v>
      </c>
      <c r="S122" s="4">
        <f ca="1"/>
        <v>884.4</v>
      </c>
      <c r="T122" s="20">
        <f ca="1"/>
        <v>900.9</v>
      </c>
      <c r="U122" s="55">
        <f ca="1"/>
        <v>917.4</v>
      </c>
      <c r="V122" s="56">
        <f ca="1"/>
        <v>933.9</v>
      </c>
      <c r="W122" s="58">
        <f ca="1"/>
        <v>950.4</v>
      </c>
      <c r="X122" s="53">
        <f ca="1"/>
        <v>967</v>
      </c>
      <c r="Y122" s="4">
        <f ca="1"/>
        <v>983.5</v>
      </c>
      <c r="Z122" s="4">
        <f ca="1"/>
        <v>1000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 x14ac:dyDescent="0.4">
      <c r="E123" s="17" t="str">
        <f ca="1"/>
        <v xml:space="preserve">Раствор (жид): </v>
      </c>
      <c r="F123" s="47" t="e">
        <f ca="1"/>
        <v>#DIV/0!</v>
      </c>
      <c r="G123" s="47" t="e">
        <f ca="1"/>
        <v>#DIV/0!</v>
      </c>
      <c r="H123" s="47" t="e">
        <f ca="1"/>
        <v>#DIV/0!</v>
      </c>
      <c r="I123" s="47" t="e">
        <f ca="1"/>
        <v>#DIV/0!</v>
      </c>
      <c r="J123" s="47" t="e">
        <f ca="1"/>
        <v>#DIV/0!</v>
      </c>
      <c r="K123" s="47" t="e">
        <f ca="1"/>
        <v>#DIV/0!</v>
      </c>
      <c r="L123" s="47" t="e">
        <f ca="1"/>
        <v>#DIV/0!</v>
      </c>
      <c r="M123" s="47" t="e">
        <f ca="1"/>
        <v>#DIV/0!</v>
      </c>
      <c r="N123" s="47" t="e">
        <f ca="1"/>
        <v>#DIV/0!</v>
      </c>
      <c r="O123" s="47" t="e">
        <f ca="1"/>
        <v>#DIV/0!</v>
      </c>
      <c r="P123" s="47" t="e">
        <f ca="1"/>
        <v>#DIV/0!</v>
      </c>
      <c r="Q123" s="47" t="e">
        <f ca="1"/>
        <v>#DIV/0!</v>
      </c>
      <c r="R123" s="47" t="e">
        <f ca="1"/>
        <v>#DIV/0!</v>
      </c>
      <c r="S123" s="47" t="e">
        <f ca="1"/>
        <v>#DIV/0!</v>
      </c>
      <c r="T123" s="47" t="e">
        <f ca="1"/>
        <v>#DIV/0!</v>
      </c>
      <c r="U123" s="47" t="e">
        <f ca="1"/>
        <v>#DIV/0!</v>
      </c>
      <c r="V123" s="47" t="e">
        <f ca="1"/>
        <v>#DIV/0!</v>
      </c>
      <c r="W123" s="47" t="e">
        <f ca="1"/>
        <v>#DIV/0!</v>
      </c>
      <c r="X123" s="47" t="e">
        <f ca="1"/>
        <v>#DIV/0!</v>
      </c>
      <c r="Y123" s="47" t="e">
        <f ca="1"/>
        <v>#DIV/0!</v>
      </c>
      <c r="Z123" s="47" t="e">
        <f ca="1"/>
        <v>#DIV/0!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 x14ac:dyDescent="0.4">
      <c r="E124" s="17" t="str">
        <f ca="1"/>
        <v xml:space="preserve">Газовая без Ar: </v>
      </c>
      <c r="F124" s="47" t="e">
        <f ca="1"/>
        <v>#DIV/0!</v>
      </c>
      <c r="G124" s="47" t="e">
        <f ca="1"/>
        <v>#DIV/0!</v>
      </c>
      <c r="H124" s="47" t="e">
        <f ca="1"/>
        <v>#DIV/0!</v>
      </c>
      <c r="I124" s="47" t="e">
        <f ca="1"/>
        <v>#DIV/0!</v>
      </c>
      <c r="J124" s="47" t="e">
        <f ca="1"/>
        <v>#DIV/0!</v>
      </c>
      <c r="K124" s="47" t="e">
        <f ca="1"/>
        <v>#DIV/0!</v>
      </c>
      <c r="L124" s="47" t="e">
        <f ca="1"/>
        <v>#DIV/0!</v>
      </c>
      <c r="M124" s="47" t="e">
        <f ca="1"/>
        <v>#DIV/0!</v>
      </c>
      <c r="N124" s="47" t="e">
        <f ca="1"/>
        <v>#DIV/0!</v>
      </c>
      <c r="O124" s="47" t="e">
        <f ca="1"/>
        <v>#DIV/0!</v>
      </c>
      <c r="P124" s="47" t="e">
        <f ca="1"/>
        <v>#DIV/0!</v>
      </c>
      <c r="Q124" s="47" t="e">
        <f ca="1"/>
        <v>#DIV/0!</v>
      </c>
      <c r="R124" s="47" t="e">
        <f ca="1"/>
        <v>#DIV/0!</v>
      </c>
      <c r="S124" s="47" t="e">
        <f ca="1"/>
        <v>#DIV/0!</v>
      </c>
      <c r="T124" s="47" t="e">
        <f ca="1"/>
        <v>#DIV/0!</v>
      </c>
      <c r="U124" s="47" t="e">
        <f ca="1"/>
        <v>#DIV/0!</v>
      </c>
      <c r="V124" s="47" t="e">
        <f ca="1"/>
        <v>#DIV/0!</v>
      </c>
      <c r="W124" s="47" t="e">
        <f ca="1"/>
        <v>#DIV/0!</v>
      </c>
      <c r="X124" s="47" t="e">
        <f ca="1"/>
        <v>#DIV/0!</v>
      </c>
      <c r="Y124" s="47" t="e">
        <f ca="1"/>
        <v>#DIV/0!</v>
      </c>
      <c r="Z124" s="47" t="e">
        <f ca="1"/>
        <v>#DIV/0!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 x14ac:dyDescent="0.4">
      <c r="E125" s="17" t="str">
        <f ca="1"/>
        <v xml:space="preserve">Раствор + газовая без Ar: </v>
      </c>
      <c r="F125" s="47" t="e">
        <f ca="1"/>
        <v>#DIV/0!</v>
      </c>
      <c r="G125" s="47" t="e">
        <f ca="1"/>
        <v>#DIV/0!</v>
      </c>
      <c r="H125" s="47" t="e">
        <f ca="1"/>
        <v>#DIV/0!</v>
      </c>
      <c r="I125" s="47" t="e">
        <f ca="1"/>
        <v>#DIV/0!</v>
      </c>
      <c r="J125" s="47" t="e">
        <f ca="1"/>
        <v>#DIV/0!</v>
      </c>
      <c r="K125" s="47" t="e">
        <f ca="1"/>
        <v>#DIV/0!</v>
      </c>
      <c r="L125" s="47" t="e">
        <f ca="1"/>
        <v>#DIV/0!</v>
      </c>
      <c r="M125" s="47" t="e">
        <f ca="1"/>
        <v>#DIV/0!</v>
      </c>
      <c r="N125" s="47" t="e">
        <f ca="1"/>
        <v>#DIV/0!</v>
      </c>
      <c r="O125" s="47" t="e">
        <f ca="1"/>
        <v>#DIV/0!</v>
      </c>
      <c r="P125" s="47" t="e">
        <f ca="1"/>
        <v>#DIV/0!</v>
      </c>
      <c r="Q125" s="47" t="e">
        <f ca="1"/>
        <v>#DIV/0!</v>
      </c>
      <c r="R125" s="47" t="e">
        <f ca="1"/>
        <v>#DIV/0!</v>
      </c>
      <c r="S125" s="47" t="e">
        <f ca="1"/>
        <v>#DIV/0!</v>
      </c>
      <c r="T125" s="47" t="e">
        <f ca="1"/>
        <v>#DIV/0!</v>
      </c>
      <c r="U125" s="47" t="e">
        <f ca="1"/>
        <v>#DIV/0!</v>
      </c>
      <c r="V125" s="47" t="e">
        <f ca="1"/>
        <v>#DIV/0!</v>
      </c>
      <c r="W125" s="47" t="e">
        <f ca="1"/>
        <v>#DIV/0!</v>
      </c>
      <c r="X125" s="47" t="e">
        <f ca="1"/>
        <v>#DIV/0!</v>
      </c>
      <c r="Y125" s="47" t="e">
        <f ca="1"/>
        <v>#DIV/0!</v>
      </c>
      <c r="Z125" s="47" t="e">
        <f ca="1"/>
        <v>#DIV/0!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 x14ac:dyDescent="0.4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 x14ac:dyDescent="0.35"/>
  </sheetData>
  <mergeCells count="2">
    <mergeCell ref="A1:CI1"/>
    <mergeCell ref="A113:B113"/>
  </mergeCells>
  <conditionalFormatting sqref="A4:D33">
    <cfRule type="cellIs" dxfId="16" priority="194" operator="equal">
      <formula>0</formula>
    </cfRule>
  </conditionalFormatting>
  <conditionalFormatting sqref="A80:D109">
    <cfRule type="cellIs" dxfId="15" priority="193" operator="equal">
      <formula>0</formula>
    </cfRule>
  </conditionalFormatting>
  <conditionalFormatting sqref="A46:D75">
    <cfRule type="cellIs" dxfId="14" priority="146" operator="equal">
      <formula>0</formula>
    </cfRule>
  </conditionalFormatting>
  <conditionalFormatting sqref="H32:BS32">
    <cfRule type="colorScale" priority="98">
      <colorScale>
        <cfvo type="min"/>
        <cfvo type="max"/>
        <color rgb="FFFFEF9C"/>
        <color rgb="FF63BE7B"/>
      </colorScale>
    </cfRule>
  </conditionalFormatting>
  <conditionalFormatting sqref="H31:BS31">
    <cfRule type="colorScale" priority="97">
      <colorScale>
        <cfvo type="min"/>
        <cfvo type="max"/>
        <color rgb="FFFFEF9C"/>
        <color rgb="FF63BE7B"/>
      </colorScale>
    </cfRule>
  </conditionalFormatting>
  <conditionalFormatting sqref="F32:G32">
    <cfRule type="colorScale" priority="51">
      <colorScale>
        <cfvo type="min"/>
        <cfvo type="max"/>
        <color rgb="FFFFEF9C"/>
        <color rgb="FF63BE7B"/>
      </colorScale>
    </cfRule>
  </conditionalFormatting>
  <conditionalFormatting sqref="F31:G31">
    <cfRule type="colorScale" priority="50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49">
      <colorScale>
        <cfvo type="min"/>
        <cfvo type="max"/>
        <color rgb="FFFFEF9C"/>
        <color rgb="FF63BE7B"/>
      </colorScale>
    </cfRule>
  </conditionalFormatting>
  <conditionalFormatting sqref="F29:BS29">
    <cfRule type="colorScale" priority="48">
      <colorScale>
        <cfvo type="min"/>
        <cfvo type="max"/>
        <color rgb="FFFFEF9C"/>
        <color rgb="FF63BE7B"/>
      </colorScale>
    </cfRule>
  </conditionalFormatting>
  <conditionalFormatting sqref="F28:BS28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7:BS27">
    <cfRule type="colorScale" priority="46">
      <colorScale>
        <cfvo type="min"/>
        <cfvo type="max"/>
        <color rgb="FFFFEF9C"/>
        <color rgb="FF63BE7B"/>
      </colorScale>
    </cfRule>
  </conditionalFormatting>
  <conditionalFormatting sqref="F26:BS26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5:BS25">
    <cfRule type="colorScale" priority="5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40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39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38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30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9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8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7">
      <colorScale>
        <cfvo type="min"/>
        <cfvo type="max"/>
        <color rgb="FFFFEF9C"/>
        <color rgb="FF63BE7B"/>
      </colorScale>
    </cfRule>
  </conditionalFormatting>
  <conditionalFormatting sqref="F4:BS4">
    <cfRule type="colorScale" priority="26">
      <colorScale>
        <cfvo type="min"/>
        <cfvo type="max"/>
        <color rgb="FFFFEF9C"/>
        <color rgb="FF63BE7B"/>
      </colorScale>
    </cfRule>
  </conditionalFormatting>
  <conditionalFormatting sqref="F7:BS7">
    <cfRule type="colorScale" priority="23">
      <colorScale>
        <cfvo type="min"/>
        <cfvo type="max"/>
        <color rgb="FFFFEF9C"/>
        <color rgb="FF63BE7B"/>
      </colorScale>
    </cfRule>
  </conditionalFormatting>
  <conditionalFormatting sqref="F5:BS5">
    <cfRule type="colorScale" priority="25">
      <colorScale>
        <cfvo type="min"/>
        <cfvo type="max"/>
        <color rgb="FFFFEF9C"/>
        <color rgb="FF63BE7B"/>
      </colorScale>
    </cfRule>
  </conditionalFormatting>
  <conditionalFormatting sqref="F6:BS6">
    <cfRule type="colorScale" priority="24">
      <colorScale>
        <cfvo type="min"/>
        <cfvo type="max"/>
        <color rgb="FFFFEF9C"/>
        <color rgb="FF63BE7B"/>
      </colorScale>
    </cfRule>
  </conditionalFormatting>
  <conditionalFormatting sqref="F8:BS8">
    <cfRule type="colorScale" priority="22">
      <colorScale>
        <cfvo type="min"/>
        <cfvo type="max"/>
        <color rgb="FFFFEF9C"/>
        <color rgb="FF63BE7B"/>
      </colorScale>
    </cfRule>
  </conditionalFormatting>
  <conditionalFormatting sqref="F9:BS9">
    <cfRule type="colorScale" priority="21">
      <colorScale>
        <cfvo type="min"/>
        <cfvo type="max"/>
        <color rgb="FFFFEF9C"/>
        <color rgb="FF63BE7B"/>
      </colorScale>
    </cfRule>
  </conditionalFormatting>
  <conditionalFormatting sqref="F10:BS10">
    <cfRule type="colorScale" priority="20">
      <colorScale>
        <cfvo type="min"/>
        <cfvo type="max"/>
        <color rgb="FFFFEF9C"/>
        <color rgb="FF63BE7B"/>
      </colorScale>
    </cfRule>
  </conditionalFormatting>
  <conditionalFormatting sqref="F11:BS11">
    <cfRule type="colorScale" priority="19">
      <colorScale>
        <cfvo type="min"/>
        <cfvo type="max"/>
        <color rgb="FFFFEF9C"/>
        <color rgb="FF63BE7B"/>
      </colorScale>
    </cfRule>
  </conditionalFormatting>
  <conditionalFormatting sqref="F12:BS12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3:BS13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4:BS14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5:BS15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6:BS16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7:BS17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8:BS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9:BS19">
    <cfRule type="colorScale" priority="11">
      <colorScale>
        <cfvo type="min"/>
        <cfvo type="max"/>
        <color rgb="FFFFEF9C"/>
        <color rgb="FF63BE7B"/>
      </colorScale>
    </cfRule>
  </conditionalFormatting>
  <conditionalFormatting sqref="F20:BS20">
    <cfRule type="colorScale" priority="10">
      <colorScale>
        <cfvo type="min"/>
        <cfvo type="max"/>
        <color rgb="FFFFEF9C"/>
        <color rgb="FF63BE7B"/>
      </colorScale>
    </cfRule>
  </conditionalFormatting>
  <conditionalFormatting sqref="F21:BS21">
    <cfRule type="colorScale" priority="9">
      <colorScale>
        <cfvo type="min"/>
        <cfvo type="max"/>
        <color rgb="FFFFEF9C"/>
        <color rgb="FF63BE7B"/>
      </colorScale>
    </cfRule>
  </conditionalFormatting>
  <conditionalFormatting sqref="F22:BS22">
    <cfRule type="colorScale" priority="8">
      <colorScale>
        <cfvo type="min"/>
        <cfvo type="max"/>
        <color rgb="FFFFEF9C"/>
        <color rgb="FF63BE7B"/>
      </colorScale>
    </cfRule>
  </conditionalFormatting>
  <conditionalFormatting sqref="F23:BS23">
    <cfRule type="colorScale" priority="7">
      <colorScale>
        <cfvo type="min"/>
        <cfvo type="max"/>
        <color rgb="FFFFEF9C"/>
        <color rgb="FF63BE7B"/>
      </colorScale>
    </cfRule>
  </conditionalFormatting>
  <conditionalFormatting sqref="F24:BS24">
    <cfRule type="colorScale" priority="6">
      <colorScale>
        <cfvo type="min"/>
        <cfvo type="max"/>
        <color rgb="FFFFEF9C"/>
        <color rgb="FF63BE7B"/>
      </colorScale>
    </cfRule>
  </conditionalFormatting>
  <conditionalFormatting sqref="E3:BR3">
    <cfRule type="colorScale" priority="4">
      <colorScale>
        <cfvo type="min"/>
        <cfvo type="max"/>
        <color rgb="FFFFC000"/>
        <color rgb="FF0070C0"/>
      </colorScale>
    </cfRule>
  </conditionalFormatting>
  <conditionalFormatting sqref="F33:BR33">
    <cfRule type="cellIs" dxfId="13" priority="2" operator="equal">
      <formula>0</formula>
    </cfRule>
  </conditionalFormatting>
  <conditionalFormatting sqref="B34:B37">
    <cfRule type="cellIs" dxfId="1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58629-9B47-459D-84C7-E2B5F4C9D76D}">
  <dimension ref="A1:V22"/>
  <sheetViews>
    <sheetView topLeftCell="D1" workbookViewId="0">
      <selection sqref="A1:V20"/>
    </sheetView>
  </sheetViews>
  <sheetFormatPr defaultRowHeight="21" x14ac:dyDescent="0.35"/>
  <sheetData>
    <row r="1" spans="1:22" x14ac:dyDescent="0.35">
      <c r="A1" s="114" t="s">
        <v>60</v>
      </c>
      <c r="B1" s="115">
        <v>273.10000000000002</v>
      </c>
      <c r="C1" s="116">
        <v>339.2</v>
      </c>
      <c r="D1" s="116">
        <v>405.3</v>
      </c>
      <c r="E1" s="115">
        <v>471.4</v>
      </c>
      <c r="F1" s="116">
        <v>487.9</v>
      </c>
      <c r="G1" s="116">
        <v>504.4</v>
      </c>
      <c r="H1" s="115">
        <v>520.9</v>
      </c>
      <c r="I1" s="116">
        <v>537.5</v>
      </c>
      <c r="J1" s="116">
        <v>603.5</v>
      </c>
      <c r="K1" s="115">
        <v>669.6</v>
      </c>
      <c r="L1" s="116">
        <v>735.7</v>
      </c>
      <c r="M1" s="116">
        <v>801.8</v>
      </c>
      <c r="N1" s="115">
        <v>867.8</v>
      </c>
      <c r="O1" s="116">
        <v>884.4</v>
      </c>
      <c r="P1" s="116">
        <v>900.9</v>
      </c>
      <c r="Q1" s="115">
        <v>917.4</v>
      </c>
      <c r="R1" s="116">
        <v>933.9</v>
      </c>
      <c r="S1" s="116">
        <v>950.4</v>
      </c>
      <c r="T1" s="120">
        <v>967</v>
      </c>
      <c r="U1" s="116">
        <v>983.5</v>
      </c>
      <c r="V1" s="116">
        <v>1000</v>
      </c>
    </row>
    <row r="2" spans="1:22" x14ac:dyDescent="0.35">
      <c r="A2" s="117" t="s">
        <v>61</v>
      </c>
      <c r="B2" s="121">
        <v>0.12</v>
      </c>
      <c r="C2" s="122">
        <v>0.12</v>
      </c>
      <c r="D2" s="122">
        <v>0.12</v>
      </c>
      <c r="E2" s="121">
        <v>0.12</v>
      </c>
      <c r="F2" s="122">
        <v>0.12</v>
      </c>
      <c r="G2" s="122">
        <v>0.12</v>
      </c>
      <c r="H2" s="121">
        <v>0.12</v>
      </c>
      <c r="I2" s="122">
        <v>0.12</v>
      </c>
      <c r="J2" s="122">
        <v>0.12</v>
      </c>
      <c r="K2" s="121">
        <v>0.11998</v>
      </c>
      <c r="L2" s="122">
        <v>0.1198</v>
      </c>
      <c r="M2" s="122">
        <v>0.11821</v>
      </c>
      <c r="N2" s="121">
        <v>0.10592</v>
      </c>
      <c r="O2" s="122">
        <v>9.7253999999999993E-2</v>
      </c>
      <c r="P2" s="122">
        <v>8.3881999999999998E-2</v>
      </c>
      <c r="Q2" s="121">
        <v>6.2925999999999996E-2</v>
      </c>
      <c r="R2" s="122">
        <v>2.8313999999999999E-2</v>
      </c>
      <c r="S2" s="122">
        <v>1.0257E-7</v>
      </c>
      <c r="T2" s="121">
        <v>1.3949E-9</v>
      </c>
      <c r="U2" s="122">
        <v>9.0929000000000007E-15</v>
      </c>
      <c r="V2" s="122">
        <v>1.0178999999999999E-20</v>
      </c>
    </row>
    <row r="3" spans="1:22" x14ac:dyDescent="0.35">
      <c r="A3" s="114" t="s">
        <v>62</v>
      </c>
      <c r="B3" s="123">
        <v>1.7062999999999999E-25</v>
      </c>
      <c r="C3" s="124">
        <v>6.4390999999999996E-20</v>
      </c>
      <c r="D3" s="124">
        <v>2.7195000000000001E-16</v>
      </c>
      <c r="E3" s="123">
        <v>9.0839999999999995E-14</v>
      </c>
      <c r="F3" s="124">
        <v>2.9633999999999998E-13</v>
      </c>
      <c r="G3" s="124">
        <v>8.872E-13</v>
      </c>
      <c r="H3" s="123">
        <v>2.4587E-12</v>
      </c>
      <c r="I3" s="124">
        <v>6.3545999999999996E-12</v>
      </c>
      <c r="J3" s="124">
        <v>1.5921999999999999E-10</v>
      </c>
      <c r="K3" s="123">
        <v>1.9685E-9</v>
      </c>
      <c r="L3" s="124">
        <v>1.4981E-8</v>
      </c>
      <c r="M3" s="124">
        <v>9.3776000000000005E-8</v>
      </c>
      <c r="N3" s="123">
        <v>1.1023E-6</v>
      </c>
      <c r="O3" s="124">
        <v>2.5386000000000001E-6</v>
      </c>
      <c r="P3" s="124">
        <v>6.2793000000000002E-6</v>
      </c>
      <c r="Q3" s="123">
        <v>1.6388999999999998E-5</v>
      </c>
      <c r="R3" s="124">
        <v>4.4832E-5</v>
      </c>
      <c r="S3" s="124">
        <v>8.4475999999999996E-5</v>
      </c>
      <c r="T3" s="123">
        <v>9.7503999999999993E-5</v>
      </c>
      <c r="U3" s="124">
        <v>1.0922E-4</v>
      </c>
      <c r="V3" s="124">
        <v>1.1868E-4</v>
      </c>
    </row>
    <row r="4" spans="1:22" x14ac:dyDescent="0.35">
      <c r="A4" s="114" t="s">
        <v>63</v>
      </c>
      <c r="B4" s="123">
        <v>1.3665999999999999E-22</v>
      </c>
      <c r="C4" s="124">
        <v>1.6874000000000001E-17</v>
      </c>
      <c r="D4" s="124">
        <v>3.1826000000000002E-14</v>
      </c>
      <c r="E4" s="123">
        <v>5.7530000000000002E-12</v>
      </c>
      <c r="F4" s="124">
        <v>1.6452E-11</v>
      </c>
      <c r="G4" s="124">
        <v>4.3490000000000003E-11</v>
      </c>
      <c r="H4" s="123">
        <v>1.0712E-10</v>
      </c>
      <c r="I4" s="124">
        <v>2.4757E-10</v>
      </c>
      <c r="J4" s="124">
        <v>4.1769000000000003E-9</v>
      </c>
      <c r="K4" s="123">
        <v>3.7166999999999998E-8</v>
      </c>
      <c r="L4" s="124">
        <v>2.1525E-7</v>
      </c>
      <c r="M4" s="124">
        <v>1.1147999999999999E-6</v>
      </c>
      <c r="N4" s="123">
        <v>1.3984E-5</v>
      </c>
      <c r="O4" s="124">
        <v>3.4897000000000001E-5</v>
      </c>
      <c r="P4" s="124">
        <v>9.5345000000000003E-5</v>
      </c>
      <c r="Q4" s="123">
        <v>2.7830999999999998E-4</v>
      </c>
      <c r="R4" s="124">
        <v>8.5696000000000004E-4</v>
      </c>
      <c r="S4" s="124">
        <v>1.6666000000000001E-3</v>
      </c>
      <c r="T4" s="123">
        <v>1.792E-3</v>
      </c>
      <c r="U4" s="124">
        <v>1.8621E-3</v>
      </c>
      <c r="V4" s="124">
        <v>1.869E-3</v>
      </c>
    </row>
    <row r="5" spans="1:22" x14ac:dyDescent="0.35">
      <c r="A5" s="118" t="s">
        <v>64</v>
      </c>
      <c r="B5" s="125">
        <v>1.4556E-20</v>
      </c>
      <c r="C5" s="126">
        <v>2.5885000000000001E-16</v>
      </c>
      <c r="D5" s="126">
        <v>1.2484E-13</v>
      </c>
      <c r="E5" s="125">
        <v>8.1561999999999995E-12</v>
      </c>
      <c r="F5" s="126">
        <v>1.8798000000000001E-11</v>
      </c>
      <c r="G5" s="126">
        <v>4.0557E-11</v>
      </c>
      <c r="H5" s="125">
        <v>8.2476E-11</v>
      </c>
      <c r="I5" s="126">
        <v>1.5904E-10</v>
      </c>
      <c r="J5" s="126">
        <v>1.4217E-9</v>
      </c>
      <c r="K5" s="125">
        <v>7.5082999999999998E-9</v>
      </c>
      <c r="L5" s="126">
        <v>2.8237E-8</v>
      </c>
      <c r="M5" s="126">
        <v>1.0597E-7</v>
      </c>
      <c r="N5" s="125">
        <v>1.2673999999999999E-6</v>
      </c>
      <c r="O5" s="126">
        <v>3.3405999999999998E-6</v>
      </c>
      <c r="P5" s="126">
        <v>9.8360000000000004E-6</v>
      </c>
      <c r="Q5" s="125">
        <v>3.1356000000000003E-5</v>
      </c>
      <c r="R5" s="126">
        <v>1.0622E-4</v>
      </c>
      <c r="S5" s="126">
        <v>2.0854000000000001E-4</v>
      </c>
      <c r="T5" s="125">
        <v>2.0446E-4</v>
      </c>
      <c r="U5" s="126">
        <v>1.9307999999999999E-4</v>
      </c>
      <c r="V5" s="126">
        <v>1.7545000000000001E-4</v>
      </c>
    </row>
    <row r="6" spans="1:22" x14ac:dyDescent="0.35">
      <c r="A6" s="118" t="s">
        <v>50</v>
      </c>
      <c r="B6" s="125">
        <v>3.4647999999999998E-22</v>
      </c>
      <c r="C6" s="126">
        <v>1.0778999999999999E-17</v>
      </c>
      <c r="D6" s="126">
        <v>7.1349E-15</v>
      </c>
      <c r="E6" s="125">
        <v>5.6384000000000005E-13</v>
      </c>
      <c r="F6" s="126">
        <v>1.3457E-12</v>
      </c>
      <c r="G6" s="126">
        <v>2.9952E-12</v>
      </c>
      <c r="H6" s="125">
        <v>6.2623999999999996E-12</v>
      </c>
      <c r="I6" s="126">
        <v>1.2379E-11</v>
      </c>
      <c r="J6" s="126">
        <v>1.1931E-10</v>
      </c>
      <c r="K6" s="125">
        <v>6.6117E-10</v>
      </c>
      <c r="L6" s="126">
        <v>2.5766E-9</v>
      </c>
      <c r="M6" s="126">
        <v>1.035E-8</v>
      </c>
      <c r="N6" s="125">
        <v>1.6427E-7</v>
      </c>
      <c r="O6" s="126">
        <v>4.9292999999999995E-7</v>
      </c>
      <c r="P6" s="126">
        <v>1.6812000000000001E-6</v>
      </c>
      <c r="Q6" s="125">
        <v>6.2747000000000002E-6</v>
      </c>
      <c r="R6" s="126">
        <v>2.5007999999999998E-5</v>
      </c>
      <c r="S6" s="126">
        <v>5.2883999999999997E-5</v>
      </c>
      <c r="T6" s="125">
        <v>5.0330000000000001E-5</v>
      </c>
      <c r="U6" s="126">
        <v>4.5880000000000001E-5</v>
      </c>
      <c r="V6" s="126">
        <v>4.002E-5</v>
      </c>
    </row>
    <row r="7" spans="1:22" x14ac:dyDescent="0.35">
      <c r="A7" s="114" t="s">
        <v>65</v>
      </c>
      <c r="B7" s="123">
        <v>1.7277E-24</v>
      </c>
      <c r="C7" s="124">
        <v>8.4076000000000004E-20</v>
      </c>
      <c r="D7" s="124">
        <v>7.0900999999999996E-17</v>
      </c>
      <c r="E7" s="123">
        <v>6.4263999999999997E-15</v>
      </c>
      <c r="F7" s="124">
        <v>1.571E-14</v>
      </c>
      <c r="G7" s="124">
        <v>3.5702999999999998E-14</v>
      </c>
      <c r="H7" s="123">
        <v>7.6016000000000001E-14</v>
      </c>
      <c r="I7" s="124">
        <v>1.5265000000000001E-13</v>
      </c>
      <c r="J7" s="124">
        <v>1.5378999999999999E-12</v>
      </c>
      <c r="K7" s="123">
        <v>8.7243000000000007E-12</v>
      </c>
      <c r="L7" s="124">
        <v>3.4524999999999998E-11</v>
      </c>
      <c r="M7" s="124">
        <v>1.4596000000000001E-10</v>
      </c>
      <c r="N7" s="123">
        <v>3.0306999999999999E-9</v>
      </c>
      <c r="O7" s="124">
        <v>1.0320000000000001E-8</v>
      </c>
      <c r="P7" s="124">
        <v>4.0644000000000003E-8</v>
      </c>
      <c r="Q7" s="123">
        <v>1.7707000000000001E-7</v>
      </c>
      <c r="R7" s="124">
        <v>8.2790000000000005E-7</v>
      </c>
      <c r="S7" s="124">
        <v>1.8805E-6</v>
      </c>
      <c r="T7" s="123">
        <v>1.7325999999999999E-6</v>
      </c>
      <c r="U7" s="124">
        <v>1.5206999999999999E-6</v>
      </c>
      <c r="V7" s="124">
        <v>1.2700999999999999E-6</v>
      </c>
    </row>
    <row r="8" spans="1:22" x14ac:dyDescent="0.35">
      <c r="A8" s="114" t="s">
        <v>66</v>
      </c>
      <c r="B8" s="123">
        <v>5.8454000000000003E-27</v>
      </c>
      <c r="C8" s="124">
        <v>8.8488999999999999E-21</v>
      </c>
      <c r="D8" s="124">
        <v>1.0158E-16</v>
      </c>
      <c r="E8" s="123">
        <v>7.2468E-14</v>
      </c>
      <c r="F8" s="124">
        <v>2.7808000000000001E-13</v>
      </c>
      <c r="G8" s="124">
        <v>9.7049000000000004E-13</v>
      </c>
      <c r="H8" s="124">
        <v>3.1093000000000001E-12</v>
      </c>
      <c r="I8" s="124">
        <v>9.2203999999999998E-12</v>
      </c>
      <c r="J8" s="124">
        <v>3.7529999999999999E-10</v>
      </c>
      <c r="K8" s="123">
        <v>6.9360999999999997E-9</v>
      </c>
      <c r="L8" s="124">
        <v>7.3721000000000002E-8</v>
      </c>
      <c r="M8" s="124">
        <v>5.8714999999999996E-7</v>
      </c>
      <c r="N8" s="123">
        <v>6.7583000000000002E-6</v>
      </c>
      <c r="O8" s="124">
        <v>1.4508000000000001E-5</v>
      </c>
      <c r="P8" s="124">
        <v>3.2805999999999997E-5</v>
      </c>
      <c r="Q8" s="123">
        <v>7.7281999999999996E-5</v>
      </c>
      <c r="R8" s="124">
        <v>1.8950999999999999E-4</v>
      </c>
      <c r="S8" s="124">
        <v>3.4900000000000003E-4</v>
      </c>
      <c r="T8" s="124">
        <v>4.3608999999999998E-4</v>
      </c>
      <c r="U8" s="124">
        <v>5.3089999999999995E-4</v>
      </c>
      <c r="V8" s="124">
        <v>6.2951999999999995E-4</v>
      </c>
    </row>
    <row r="9" spans="1:22" x14ac:dyDescent="0.35">
      <c r="A9" s="114" t="s">
        <v>67</v>
      </c>
      <c r="B9" s="123">
        <v>2.9333999999999998E-21</v>
      </c>
      <c r="C9" s="124">
        <v>3.4644000000000001E-16</v>
      </c>
      <c r="D9" s="124">
        <v>7.8729999999999999E-13</v>
      </c>
      <c r="E9" s="123">
        <v>1.8659E-10</v>
      </c>
      <c r="F9" s="124">
        <v>5.7399999999999998E-10</v>
      </c>
      <c r="G9" s="124">
        <v>1.6337000000000001E-9</v>
      </c>
      <c r="H9" s="124">
        <v>4.3346999999999999E-9</v>
      </c>
      <c r="I9" s="124">
        <v>1.0794000000000001E-8</v>
      </c>
      <c r="J9" s="124">
        <v>2.4466000000000002E-7</v>
      </c>
      <c r="K9" s="123">
        <v>2.8889E-6</v>
      </c>
      <c r="L9" s="124">
        <v>2.1503000000000001E-5</v>
      </c>
      <c r="M9" s="124">
        <v>1.2313E-4</v>
      </c>
      <c r="N9" s="123">
        <v>8.5946999999999998E-4</v>
      </c>
      <c r="O9" s="124">
        <v>1.5439E-3</v>
      </c>
      <c r="P9" s="124">
        <v>2.8768000000000001E-3</v>
      </c>
      <c r="Q9" s="123">
        <v>5.5357999999999996E-3</v>
      </c>
      <c r="R9" s="124">
        <v>1.1055000000000001E-2</v>
      </c>
      <c r="S9" s="124">
        <v>1.814E-2</v>
      </c>
      <c r="T9" s="123">
        <v>2.2447999999999999E-2</v>
      </c>
      <c r="U9" s="124">
        <v>2.7255000000000001E-2</v>
      </c>
      <c r="V9" s="124">
        <v>3.2462999999999999E-2</v>
      </c>
    </row>
    <row r="10" spans="1:22" x14ac:dyDescent="0.35">
      <c r="A10" s="114" t="s">
        <v>1</v>
      </c>
      <c r="B10" s="123">
        <v>0.2</v>
      </c>
      <c r="C10" s="124">
        <v>0.2</v>
      </c>
      <c r="D10" s="124">
        <v>0.2</v>
      </c>
      <c r="E10" s="123">
        <v>0.2</v>
      </c>
      <c r="F10" s="124">
        <v>0.2</v>
      </c>
      <c r="G10" s="124">
        <v>0.2</v>
      </c>
      <c r="H10" s="123">
        <v>0.2</v>
      </c>
      <c r="I10" s="124">
        <v>0.2</v>
      </c>
      <c r="J10" s="124">
        <v>0.2</v>
      </c>
      <c r="K10" s="123">
        <v>0.2</v>
      </c>
      <c r="L10" s="124">
        <v>0.2</v>
      </c>
      <c r="M10" s="124">
        <v>0.2</v>
      </c>
      <c r="N10" s="123">
        <v>0.2</v>
      </c>
      <c r="O10" s="124">
        <v>0.2</v>
      </c>
      <c r="P10" s="124">
        <v>0.2</v>
      </c>
      <c r="Q10" s="123">
        <v>0.2</v>
      </c>
      <c r="R10" s="124">
        <v>0.2</v>
      </c>
      <c r="S10" s="124">
        <v>0.2</v>
      </c>
      <c r="T10" s="123">
        <v>0.2</v>
      </c>
      <c r="U10" s="124">
        <v>0.2</v>
      </c>
      <c r="V10" s="124">
        <v>0.2</v>
      </c>
    </row>
    <row r="11" spans="1:22" x14ac:dyDescent="0.35">
      <c r="A11" s="118" t="s">
        <v>68</v>
      </c>
      <c r="B11" s="125">
        <v>0</v>
      </c>
      <c r="C11" s="126">
        <v>0</v>
      </c>
      <c r="D11" s="126">
        <v>1.3333E-31</v>
      </c>
      <c r="E11" s="123">
        <v>1.5226000000000001E-21</v>
      </c>
      <c r="F11" s="124">
        <v>3.3132999999999999E-20</v>
      </c>
      <c r="G11" s="124">
        <v>5.9656999999999998E-19</v>
      </c>
      <c r="H11" s="123">
        <v>9.0484000000000003E-18</v>
      </c>
      <c r="I11" s="124">
        <v>1.1741999999999999E-16</v>
      </c>
      <c r="J11" s="124">
        <v>9.0167000000000003E-13</v>
      </c>
      <c r="K11" s="123">
        <v>1.3494999999999999E-9</v>
      </c>
      <c r="L11" s="124">
        <v>5.9680000000000005E-7</v>
      </c>
      <c r="M11" s="124">
        <v>9.2739999999999996E-5</v>
      </c>
      <c r="N11" s="125">
        <v>3.6976999999999999E-3</v>
      </c>
      <c r="O11" s="126">
        <v>7.1799000000000003E-3</v>
      </c>
      <c r="P11" s="126">
        <v>1.2964E-2</v>
      </c>
      <c r="Q11" s="125">
        <v>2.2429000000000001E-2</v>
      </c>
      <c r="R11" s="126">
        <v>3.8482000000000002E-2</v>
      </c>
      <c r="S11" s="126">
        <v>5.2121000000000001E-2</v>
      </c>
      <c r="T11" s="125">
        <v>5.2750999999999999E-2</v>
      </c>
      <c r="U11" s="126">
        <v>5.3317000000000003E-2</v>
      </c>
      <c r="V11" s="126">
        <v>5.3823000000000003E-2</v>
      </c>
    </row>
    <row r="12" spans="1:22" x14ac:dyDescent="0.35">
      <c r="A12" s="118" t="s">
        <v>51</v>
      </c>
      <c r="B12" s="125">
        <v>9.1088999999999999E-22</v>
      </c>
      <c r="C12" s="126">
        <v>4.6906E-17</v>
      </c>
      <c r="D12" s="126">
        <v>1.2080000000000001E-14</v>
      </c>
      <c r="E12" s="125">
        <v>2.6651999999999998E-10</v>
      </c>
      <c r="F12" s="126">
        <v>9.0158E-10</v>
      </c>
      <c r="G12" s="126">
        <v>2.8396E-9</v>
      </c>
      <c r="H12" s="125">
        <v>8.3817999999999993E-9</v>
      </c>
      <c r="I12" s="126">
        <v>2.3323E-8</v>
      </c>
      <c r="J12" s="126">
        <v>8.5089000000000002E-7</v>
      </c>
      <c r="K12" s="125">
        <v>1.6614999999999999E-5</v>
      </c>
      <c r="L12" s="126">
        <v>2.0236000000000001E-4</v>
      </c>
      <c r="M12" s="126">
        <v>1.6069000000000001E-3</v>
      </c>
      <c r="N12" s="125">
        <v>6.6831E-3</v>
      </c>
      <c r="O12" s="126">
        <v>8.3858000000000005E-3</v>
      </c>
      <c r="P12" s="126">
        <v>1.0189999999999999E-2</v>
      </c>
      <c r="Q12" s="125">
        <v>1.2215E-2</v>
      </c>
      <c r="R12" s="126">
        <v>1.4723E-2</v>
      </c>
      <c r="S12" s="126">
        <v>1.5758000000000001E-2</v>
      </c>
      <c r="T12" s="125">
        <v>1.4499E-2</v>
      </c>
      <c r="U12" s="126">
        <v>1.3365999999999999E-2</v>
      </c>
      <c r="V12" s="126">
        <v>1.2354E-2</v>
      </c>
    </row>
    <row r="13" spans="1:22" x14ac:dyDescent="0.35">
      <c r="A13" s="118" t="s">
        <v>52</v>
      </c>
      <c r="B13" s="125">
        <v>5.9123000000000002E-17</v>
      </c>
      <c r="C13" s="126">
        <v>1.2347999999999999E-13</v>
      </c>
      <c r="D13" s="126">
        <v>2.1607999999999999E-11</v>
      </c>
      <c r="E13" s="125">
        <v>8.9288000000000002E-10</v>
      </c>
      <c r="F13" s="126">
        <v>1.9342999999999998E-9</v>
      </c>
      <c r="G13" s="126">
        <v>3.9836000000000002E-9</v>
      </c>
      <c r="H13" s="125">
        <v>7.8359999999999998E-9</v>
      </c>
      <c r="I13" s="126">
        <v>1.4785E-8</v>
      </c>
      <c r="J13" s="126">
        <v>1.3222E-7</v>
      </c>
      <c r="K13" s="125">
        <v>7.6532999999999998E-7</v>
      </c>
      <c r="L13" s="126">
        <v>3.2049999999999998E-6</v>
      </c>
      <c r="M13" s="126">
        <v>1.0098999999999999E-5</v>
      </c>
      <c r="N13" s="125">
        <v>2.1146999999999999E-5</v>
      </c>
      <c r="O13" s="126">
        <v>2.3388999999999999E-5</v>
      </c>
      <c r="P13" s="126">
        <v>2.5198000000000002E-5</v>
      </c>
      <c r="Q13" s="125">
        <v>2.6633999999999999E-5</v>
      </c>
      <c r="R13" s="126">
        <v>2.7792000000000001E-5</v>
      </c>
      <c r="S13" s="126">
        <v>3.1439000000000002E-5</v>
      </c>
      <c r="T13" s="125">
        <v>3.9180000000000001E-5</v>
      </c>
      <c r="U13" s="126">
        <v>4.8766E-5</v>
      </c>
      <c r="V13" s="126">
        <v>6.0649000000000002E-5</v>
      </c>
    </row>
    <row r="14" spans="1:22" x14ac:dyDescent="0.35">
      <c r="A14" s="114" t="s">
        <v>53</v>
      </c>
      <c r="B14" s="123">
        <v>0.04</v>
      </c>
      <c r="C14" s="124">
        <v>0.04</v>
      </c>
      <c r="D14" s="124">
        <v>0.04</v>
      </c>
      <c r="E14" s="123">
        <v>0.04</v>
      </c>
      <c r="F14" s="124">
        <v>0.04</v>
      </c>
      <c r="G14" s="124">
        <v>0.04</v>
      </c>
      <c r="H14" s="123">
        <v>0.04</v>
      </c>
      <c r="I14" s="124">
        <v>0.04</v>
      </c>
      <c r="J14" s="124">
        <v>4.0001000000000002E-2</v>
      </c>
      <c r="K14" s="123">
        <v>4.0028000000000001E-2</v>
      </c>
      <c r="L14" s="124">
        <v>4.0364999999999998E-2</v>
      </c>
      <c r="M14" s="124">
        <v>4.3247000000000001E-2</v>
      </c>
      <c r="N14" s="123">
        <v>6.2658000000000005E-2</v>
      </c>
      <c r="O14" s="124">
        <v>7.4995000000000006E-2</v>
      </c>
      <c r="P14" s="124">
        <v>9.2871999999999996E-2</v>
      </c>
      <c r="Q14" s="123">
        <v>0.11874999999999999</v>
      </c>
      <c r="R14" s="124">
        <v>0.15695999999999999</v>
      </c>
      <c r="S14" s="124">
        <v>0.18028</v>
      </c>
      <c r="T14" s="123">
        <v>0.17014000000000001</v>
      </c>
      <c r="U14" s="124">
        <v>0.15939</v>
      </c>
      <c r="V14" s="124">
        <v>0.14826</v>
      </c>
    </row>
    <row r="15" spans="1:22" x14ac:dyDescent="0.35">
      <c r="A15" s="114" t="s">
        <v>54</v>
      </c>
      <c r="B15" s="123">
        <v>0.2</v>
      </c>
      <c r="C15" s="124">
        <v>0.2</v>
      </c>
      <c r="D15" s="124">
        <v>0.2</v>
      </c>
      <c r="E15" s="123">
        <v>0.2</v>
      </c>
      <c r="F15" s="124">
        <v>0.2</v>
      </c>
      <c r="G15" s="124">
        <v>0.2</v>
      </c>
      <c r="H15" s="123">
        <v>0.2</v>
      </c>
      <c r="I15" s="124">
        <v>0.2</v>
      </c>
      <c r="J15" s="124">
        <v>0.2</v>
      </c>
      <c r="K15" s="123">
        <v>0.2</v>
      </c>
      <c r="L15" s="124">
        <v>0.2</v>
      </c>
      <c r="M15" s="124">
        <v>0.19999</v>
      </c>
      <c r="N15" s="123">
        <v>0.19997999999999999</v>
      </c>
      <c r="O15" s="124">
        <v>0.19997999999999999</v>
      </c>
      <c r="P15" s="124">
        <v>0.19997000000000001</v>
      </c>
      <c r="Q15" s="123">
        <v>0.19997000000000001</v>
      </c>
      <c r="R15" s="124">
        <v>0.19997000000000001</v>
      </c>
      <c r="S15" s="124">
        <v>0.19997000000000001</v>
      </c>
      <c r="T15" s="123">
        <v>0.19996</v>
      </c>
      <c r="U15" s="124">
        <v>0.19994999999999999</v>
      </c>
      <c r="V15" s="124">
        <v>0.19994000000000001</v>
      </c>
    </row>
    <row r="16" spans="1:22" x14ac:dyDescent="0.35">
      <c r="A16" s="118" t="s">
        <v>55</v>
      </c>
      <c r="B16" s="125">
        <v>-18.62</v>
      </c>
      <c r="C16" s="126">
        <v>-18.63</v>
      </c>
      <c r="D16" s="126">
        <v>-18.72</v>
      </c>
      <c r="E16" s="125">
        <v>-18.84</v>
      </c>
      <c r="F16" s="126">
        <v>-18.87</v>
      </c>
      <c r="G16" s="126">
        <v>-18.899999999999999</v>
      </c>
      <c r="H16" s="125">
        <v>-18.940000000000001</v>
      </c>
      <c r="I16" s="126">
        <v>-18.97</v>
      </c>
      <c r="J16" s="126">
        <v>-19.11</v>
      </c>
      <c r="K16" s="125">
        <v>-19.25</v>
      </c>
      <c r="L16" s="126">
        <v>-19.38</v>
      </c>
      <c r="M16" s="126">
        <v>-19.510000000000002</v>
      </c>
      <c r="N16" s="125">
        <v>-19.66</v>
      </c>
      <c r="O16" s="126">
        <v>-19.72</v>
      </c>
      <c r="P16" s="126">
        <v>-19.78</v>
      </c>
      <c r="Q16" s="125">
        <v>-19.87</v>
      </c>
      <c r="R16" s="126">
        <v>-19.989999999999998</v>
      </c>
      <c r="S16" s="126">
        <v>-20.100000000000001</v>
      </c>
      <c r="T16" s="125">
        <v>-20.149999999999999</v>
      </c>
      <c r="U16" s="126">
        <v>-20.2</v>
      </c>
      <c r="V16" s="126">
        <v>-20.25</v>
      </c>
    </row>
    <row r="17" spans="1:22" x14ac:dyDescent="0.35">
      <c r="A17" s="118" t="s">
        <v>56</v>
      </c>
      <c r="B17" s="125">
        <v>-51.69</v>
      </c>
      <c r="C17" s="126">
        <v>-41.33</v>
      </c>
      <c r="D17" s="126">
        <v>-36.22</v>
      </c>
      <c r="E17" s="125">
        <v>-26.61</v>
      </c>
      <c r="F17" s="126">
        <v>-25.49</v>
      </c>
      <c r="G17" s="126">
        <v>-24.43</v>
      </c>
      <c r="H17" s="125">
        <v>-23.43</v>
      </c>
      <c r="I17" s="126">
        <v>-22.49</v>
      </c>
      <c r="J17" s="126">
        <v>-19.22</v>
      </c>
      <c r="K17" s="125">
        <v>-16.53</v>
      </c>
      <c r="L17" s="126">
        <v>-14.3</v>
      </c>
      <c r="M17" s="126">
        <v>-12.49</v>
      </c>
      <c r="N17" s="125">
        <v>-11.39</v>
      </c>
      <c r="O17" s="126">
        <v>-11.27</v>
      </c>
      <c r="P17" s="126">
        <v>-11.2</v>
      </c>
      <c r="Q17" s="125">
        <v>-11.16</v>
      </c>
      <c r="R17" s="126">
        <v>-11.14</v>
      </c>
      <c r="S17" s="126">
        <v>-11.19</v>
      </c>
      <c r="T17" s="123">
        <v>-11.29</v>
      </c>
      <c r="U17" s="124">
        <v>-11.39</v>
      </c>
      <c r="V17" s="124">
        <v>-11.48</v>
      </c>
    </row>
    <row r="18" spans="1:22" x14ac:dyDescent="0.35">
      <c r="A18" s="118" t="s">
        <v>57</v>
      </c>
      <c r="B18" s="125">
        <v>-27.38</v>
      </c>
      <c r="C18" s="126">
        <v>-22.79</v>
      </c>
      <c r="D18" s="126">
        <v>-19.79</v>
      </c>
      <c r="E18" s="125">
        <v>-17.71</v>
      </c>
      <c r="F18" s="126">
        <v>-17.28</v>
      </c>
      <c r="G18" s="126">
        <v>-16.89</v>
      </c>
      <c r="H18" s="125">
        <v>-16.53</v>
      </c>
      <c r="I18" s="126">
        <v>-16.190000000000001</v>
      </c>
      <c r="J18" s="126">
        <v>-15.05</v>
      </c>
      <c r="K18" s="125">
        <v>-14.18</v>
      </c>
      <c r="L18" s="126">
        <v>-13.5</v>
      </c>
      <c r="M18" s="126">
        <v>-13.02</v>
      </c>
      <c r="N18" s="125">
        <v>-12.95</v>
      </c>
      <c r="O18" s="126">
        <v>-13.04</v>
      </c>
      <c r="P18" s="126">
        <v>-13.16</v>
      </c>
      <c r="Q18" s="125">
        <v>-13.32</v>
      </c>
      <c r="R18" s="126">
        <v>-13.51</v>
      </c>
      <c r="S18" s="126">
        <v>-13.57</v>
      </c>
      <c r="T18" s="125">
        <v>-13.44</v>
      </c>
      <c r="U18" s="126">
        <v>-13.3</v>
      </c>
      <c r="V18" s="126">
        <v>-13.16</v>
      </c>
    </row>
    <row r="19" spans="1:22" x14ac:dyDescent="0.35">
      <c r="A19" s="118" t="s">
        <v>58</v>
      </c>
      <c r="B19" s="125">
        <v>-5.9809999999999999</v>
      </c>
      <c r="C19" s="126">
        <v>-6.3330000000000002</v>
      </c>
      <c r="D19" s="126">
        <v>-6.7210000000000001</v>
      </c>
      <c r="E19" s="125">
        <v>-7.1050000000000004</v>
      </c>
      <c r="F19" s="126">
        <v>-7.1980000000000004</v>
      </c>
      <c r="G19" s="126">
        <v>-7.29</v>
      </c>
      <c r="H19" s="125">
        <v>-7.3810000000000002</v>
      </c>
      <c r="I19" s="126">
        <v>-7.47</v>
      </c>
      <c r="J19" s="126">
        <v>-7.8120000000000003</v>
      </c>
      <c r="K19" s="125">
        <v>-8.1310000000000002</v>
      </c>
      <c r="L19" s="126">
        <v>-8.4220000000000006</v>
      </c>
      <c r="M19" s="126">
        <v>-8.65</v>
      </c>
      <c r="N19" s="125">
        <v>-8.6359999999999992</v>
      </c>
      <c r="O19" s="126">
        <v>-8.57</v>
      </c>
      <c r="P19" s="126">
        <v>-8.4849999999999994</v>
      </c>
      <c r="Q19" s="125">
        <v>-8.3879999999999999</v>
      </c>
      <c r="R19" s="126">
        <v>-8.2859999999999996</v>
      </c>
      <c r="S19" s="126">
        <v>-8.27</v>
      </c>
      <c r="T19" s="125">
        <v>-8.3569999999999993</v>
      </c>
      <c r="U19" s="126">
        <v>-8.4489999999999998</v>
      </c>
      <c r="V19" s="126">
        <v>-8.5459999999999994</v>
      </c>
    </row>
    <row r="20" spans="1:22" x14ac:dyDescent="0.35">
      <c r="A20" s="119" t="s">
        <v>59</v>
      </c>
      <c r="B20" s="127">
        <v>0.2</v>
      </c>
      <c r="C20" s="128">
        <v>0.2</v>
      </c>
      <c r="D20" s="128">
        <v>0.2</v>
      </c>
      <c r="E20" s="127">
        <v>0.2</v>
      </c>
      <c r="F20" s="128">
        <v>0.2</v>
      </c>
      <c r="G20" s="128">
        <v>0.2</v>
      </c>
      <c r="H20" s="127">
        <v>0.2</v>
      </c>
      <c r="I20" s="128">
        <v>0.2</v>
      </c>
      <c r="J20" s="128">
        <v>0.2</v>
      </c>
      <c r="K20" s="127">
        <v>0.2</v>
      </c>
      <c r="L20" s="128">
        <v>0.20002</v>
      </c>
      <c r="M20" s="128">
        <v>0.20022000000000001</v>
      </c>
      <c r="N20" s="127">
        <v>0.20458000000000001</v>
      </c>
      <c r="O20" s="128">
        <v>0.20877999999999999</v>
      </c>
      <c r="P20" s="128">
        <v>0.21598999999999999</v>
      </c>
      <c r="Q20" s="127">
        <v>0.22838</v>
      </c>
      <c r="R20" s="128">
        <v>0.25074999999999997</v>
      </c>
      <c r="S20" s="128">
        <v>0.27261999999999997</v>
      </c>
      <c r="T20" s="127">
        <v>0.27778000000000003</v>
      </c>
      <c r="U20" s="128">
        <v>0.28332000000000002</v>
      </c>
      <c r="V20" s="128">
        <v>0.28911999999999999</v>
      </c>
    </row>
    <row r="21" spans="1:22" x14ac:dyDescent="0.35">
      <c r="A21" s="113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13"/>
    </row>
    <row r="22" spans="1:22" x14ac:dyDescent="0.35">
      <c r="A22" s="113"/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</row>
  </sheetData>
  <conditionalFormatting sqref="B1:V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00D06-5D3F-4749-B1C6-1187E604B8CB}">
  <sheetPr codeName="Лист4">
    <tabColor rgb="FF0070C0"/>
  </sheetPr>
  <dimension ref="A1:CI136"/>
  <sheetViews>
    <sheetView zoomScaleNormal="100" zoomScaleSheetLayoutView="25" workbookViewId="0">
      <selection activeCell="E3" sqref="E3:BR31"/>
    </sheetView>
  </sheetViews>
  <sheetFormatPr defaultRowHeight="21" customHeight="1" outlineLevelRow="1" x14ac:dyDescent="0.35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7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 x14ac:dyDescent="0.4">
      <c r="A1" s="112" t="s">
        <v>24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  <c r="BD1" s="112"/>
      <c r="BE1" s="112"/>
      <c r="BF1" s="112"/>
      <c r="BG1" s="112"/>
      <c r="BH1" s="112"/>
      <c r="BI1" s="112"/>
      <c r="BJ1" s="112"/>
      <c r="BK1" s="112"/>
      <c r="BL1" s="112"/>
      <c r="BM1" s="112"/>
      <c r="BN1" s="112"/>
      <c r="BO1" s="112"/>
      <c r="BP1" s="112"/>
      <c r="BQ1" s="112"/>
      <c r="BR1" s="112"/>
      <c r="BS1" s="112"/>
      <c r="BT1" s="112"/>
      <c r="BU1" s="112"/>
      <c r="BV1" s="112"/>
      <c r="BW1" s="112"/>
      <c r="BX1" s="112"/>
      <c r="BY1" s="112"/>
      <c r="BZ1" s="112"/>
      <c r="CA1" s="112"/>
      <c r="CB1" s="112"/>
      <c r="CC1" s="112"/>
      <c r="CD1" s="112"/>
      <c r="CE1" s="112"/>
      <c r="CF1" s="112"/>
      <c r="CG1" s="112"/>
      <c r="CH1" s="112"/>
      <c r="CI1" s="112"/>
    </row>
    <row r="2" spans="1:87" ht="21" customHeight="1" thickBot="1" x14ac:dyDescent="0.45">
      <c r="A2" s="75">
        <f>Values!B1</f>
        <v>700</v>
      </c>
      <c r="B2" s="76">
        <v>8.3145000000000007</v>
      </c>
      <c r="C2" s="65"/>
      <c r="D2" s="65"/>
      <c r="E2" s="64" t="s">
        <v>18</v>
      </c>
      <c r="F2" s="65"/>
      <c r="G2" s="64"/>
      <c r="H2" s="64"/>
      <c r="I2" s="64"/>
      <c r="J2" s="64"/>
      <c r="K2" s="66"/>
      <c r="L2" s="66"/>
      <c r="M2" s="66"/>
      <c r="N2" s="66"/>
      <c r="O2" s="66"/>
      <c r="P2" s="66"/>
      <c r="Q2" s="66"/>
      <c r="R2" s="66"/>
      <c r="S2" s="66"/>
      <c r="T2" s="66"/>
      <c r="U2" s="67"/>
      <c r="V2" s="68"/>
      <c r="W2" s="69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70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7"/>
    </row>
    <row r="3" spans="1:87" ht="21" customHeight="1" outlineLevel="1" thickTop="1" thickBot="1" x14ac:dyDescent="0.4">
      <c r="A3" s="39" t="s">
        <v>1</v>
      </c>
      <c r="B3" s="39" t="s">
        <v>2</v>
      </c>
      <c r="C3" s="39" t="s">
        <v>3</v>
      </c>
      <c r="D3" s="40" t="s">
        <v>4</v>
      </c>
      <c r="E3" s="4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4"/>
      <c r="BV3" s="84"/>
      <c r="BW3" s="84"/>
      <c r="BX3" s="84"/>
      <c r="BY3" s="84"/>
      <c r="BZ3" s="84"/>
      <c r="CA3" s="84"/>
      <c r="CB3" s="84"/>
      <c r="CC3" s="84"/>
      <c r="CD3" s="84"/>
      <c r="CE3" s="84"/>
      <c r="CF3" s="84"/>
      <c r="CG3" s="84"/>
      <c r="CH3" s="84"/>
      <c r="CI3" s="25"/>
    </row>
    <row r="4" spans="1:87" ht="21" customHeight="1" outlineLevel="1" thickTop="1" thickBot="1" x14ac:dyDescent="0.4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0</v>
      </c>
      <c r="C4" s="41">
        <f t="shared" si="0"/>
        <v>0</v>
      </c>
      <c r="D4" s="41">
        <f t="shared" si="0"/>
        <v>0</v>
      </c>
      <c r="E4" s="4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 x14ac:dyDescent="0.4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0</v>
      </c>
      <c r="C5" s="41">
        <f t="shared" si="0"/>
        <v>0</v>
      </c>
      <c r="D5" s="41">
        <f t="shared" si="0"/>
        <v>0</v>
      </c>
      <c r="E5" s="4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 x14ac:dyDescent="0.4">
      <c r="A6" s="41">
        <f t="shared" si="1"/>
        <v>0</v>
      </c>
      <c r="B6" s="41">
        <f t="shared" si="0"/>
        <v>0</v>
      </c>
      <c r="C6" s="41">
        <f t="shared" si="0"/>
        <v>0</v>
      </c>
      <c r="D6" s="41">
        <f t="shared" si="0"/>
        <v>0</v>
      </c>
      <c r="E6" s="4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 x14ac:dyDescent="0.4">
      <c r="A7" s="41">
        <f t="shared" si="1"/>
        <v>0</v>
      </c>
      <c r="B7" s="41">
        <f t="shared" si="0"/>
        <v>0</v>
      </c>
      <c r="C7" s="41">
        <f t="shared" si="0"/>
        <v>0</v>
      </c>
      <c r="D7" s="41">
        <f t="shared" si="0"/>
        <v>0</v>
      </c>
      <c r="E7" s="4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 x14ac:dyDescent="0.4">
      <c r="A8" s="41">
        <f t="shared" si="1"/>
        <v>0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 x14ac:dyDescent="0.4">
      <c r="A9" s="41">
        <f t="shared" si="1"/>
        <v>0</v>
      </c>
      <c r="B9" s="41">
        <f t="shared" si="0"/>
        <v>0</v>
      </c>
      <c r="C9" s="41">
        <f t="shared" si="0"/>
        <v>0</v>
      </c>
      <c r="D9" s="41">
        <f t="shared" si="0"/>
        <v>0</v>
      </c>
      <c r="E9" s="4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 x14ac:dyDescent="0.4">
      <c r="A10" s="41">
        <f t="shared" si="1"/>
        <v>0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4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 x14ac:dyDescent="0.4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0</v>
      </c>
      <c r="E11" s="4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 x14ac:dyDescent="0.4">
      <c r="A12" s="41">
        <f t="shared" si="1"/>
        <v>0</v>
      </c>
      <c r="B12" s="41">
        <f t="shared" si="0"/>
        <v>0</v>
      </c>
      <c r="C12" s="41">
        <f t="shared" si="0"/>
        <v>0</v>
      </c>
      <c r="D12" s="41">
        <f t="shared" si="0"/>
        <v>0</v>
      </c>
      <c r="E12" s="4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 x14ac:dyDescent="0.4">
      <c r="A13" s="41">
        <f t="shared" si="1"/>
        <v>0</v>
      </c>
      <c r="B13" s="41">
        <f t="shared" si="0"/>
        <v>0</v>
      </c>
      <c r="C13" s="41">
        <f t="shared" si="0"/>
        <v>0</v>
      </c>
      <c r="D13" s="41">
        <f t="shared" si="0"/>
        <v>0</v>
      </c>
      <c r="E13" s="4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 x14ac:dyDescent="0.4">
      <c r="A14" s="41">
        <f t="shared" si="1"/>
        <v>0</v>
      </c>
      <c r="B14" s="41">
        <f t="shared" si="0"/>
        <v>0</v>
      </c>
      <c r="C14" s="41">
        <f t="shared" si="0"/>
        <v>0</v>
      </c>
      <c r="D14" s="41">
        <f t="shared" si="0"/>
        <v>0</v>
      </c>
      <c r="E14" s="4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 x14ac:dyDescent="0.4">
      <c r="A15" s="41">
        <f t="shared" si="1"/>
        <v>0</v>
      </c>
      <c r="B15" s="41">
        <f t="shared" si="0"/>
        <v>0</v>
      </c>
      <c r="C15" s="41">
        <f t="shared" si="0"/>
        <v>0</v>
      </c>
      <c r="D15" s="41">
        <f t="shared" si="0"/>
        <v>0</v>
      </c>
      <c r="E15" s="4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 x14ac:dyDescent="0.4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4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 x14ac:dyDescent="0.4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0</v>
      </c>
      <c r="E17" s="4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 x14ac:dyDescent="0.4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0</v>
      </c>
      <c r="E18" s="4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 x14ac:dyDescent="0.4">
      <c r="A19" s="41">
        <f t="shared" si="1"/>
        <v>0</v>
      </c>
      <c r="B19" s="41">
        <f t="shared" si="0"/>
        <v>0</v>
      </c>
      <c r="C19" s="41">
        <f t="shared" si="0"/>
        <v>0</v>
      </c>
      <c r="D19" s="41">
        <f t="shared" si="0"/>
        <v>0</v>
      </c>
      <c r="E19" s="4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5"/>
      <c r="AH19" s="85"/>
      <c r="AI19" s="85"/>
      <c r="AJ19" s="85"/>
      <c r="AK19" s="85"/>
      <c r="AL19" s="85"/>
      <c r="AM19" s="85"/>
      <c r="AN19" s="85"/>
      <c r="AO19" s="85"/>
      <c r="AP19" s="85"/>
      <c r="AQ19" s="85"/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 x14ac:dyDescent="0.4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 x14ac:dyDescent="0.4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5"/>
      <c r="AH21" s="85"/>
      <c r="AI21" s="85"/>
      <c r="AJ21" s="85"/>
      <c r="AK21" s="85"/>
      <c r="AL21" s="85"/>
      <c r="AM21" s="85"/>
      <c r="AN21" s="85"/>
      <c r="AO21" s="85"/>
      <c r="AP21" s="85"/>
      <c r="AQ21" s="85"/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 x14ac:dyDescent="0.4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2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5"/>
      <c r="AH22" s="85"/>
      <c r="AI22" s="85"/>
      <c r="AJ22" s="85"/>
      <c r="AK22" s="85"/>
      <c r="AL22" s="85"/>
      <c r="AM22" s="85"/>
      <c r="AN22" s="85"/>
      <c r="AO22" s="85"/>
      <c r="AP22" s="85"/>
      <c r="AQ22" s="85"/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 x14ac:dyDescent="0.4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3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 x14ac:dyDescent="0.4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3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 x14ac:dyDescent="0.4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3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 x14ac:dyDescent="0.4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3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 x14ac:dyDescent="0.4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3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5"/>
      <c r="AH27" s="85"/>
      <c r="AI27" s="85"/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 x14ac:dyDescent="0.4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3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5"/>
      <c r="AH28" s="85"/>
      <c r="AI28" s="85"/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 x14ac:dyDescent="0.4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3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 x14ac:dyDescent="0.4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3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5"/>
      <c r="AH30" s="85"/>
      <c r="AI30" s="85"/>
      <c r="AJ30" s="85"/>
      <c r="AK30" s="85"/>
      <c r="AL30" s="85"/>
      <c r="AM30" s="85"/>
      <c r="AN30" s="85"/>
      <c r="AO30" s="85"/>
      <c r="AP30" s="85"/>
      <c r="AQ30" s="85"/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 x14ac:dyDescent="0.4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3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5"/>
      <c r="AH31" s="85"/>
      <c r="AI31" s="85"/>
      <c r="AJ31" s="85"/>
      <c r="AK31" s="85"/>
      <c r="AL31" s="85"/>
      <c r="AM31" s="85"/>
      <c r="AN31" s="85"/>
      <c r="AO31" s="85"/>
      <c r="AP31" s="85"/>
      <c r="AQ31" s="85"/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 x14ac:dyDescent="0.4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3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5"/>
      <c r="AH32" s="85"/>
      <c r="AI32" s="85"/>
      <c r="AJ32" s="85"/>
      <c r="AK32" s="85"/>
      <c r="AL32" s="85"/>
      <c r="AM32" s="85"/>
      <c r="AN32" s="85"/>
      <c r="AO32" s="85"/>
      <c r="AP32" s="85"/>
      <c r="AQ32" s="85"/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 x14ac:dyDescent="0.4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6">
        <f>IF(G3&gt;F3,1,0)</f>
        <v>0</v>
      </c>
      <c r="G33" s="106">
        <f t="shared" ref="G33:BR33" si="3">IF(H3&gt;G3,1,0)</f>
        <v>0</v>
      </c>
      <c r="H33" s="106">
        <f t="shared" si="3"/>
        <v>0</v>
      </c>
      <c r="I33" s="106">
        <f t="shared" si="3"/>
        <v>0</v>
      </c>
      <c r="J33" s="106">
        <f t="shared" si="3"/>
        <v>0</v>
      </c>
      <c r="K33" s="106">
        <f t="shared" si="3"/>
        <v>0</v>
      </c>
      <c r="L33" s="106">
        <f t="shared" si="3"/>
        <v>0</v>
      </c>
      <c r="M33" s="106">
        <f t="shared" si="3"/>
        <v>0</v>
      </c>
      <c r="N33" s="106">
        <f t="shared" si="3"/>
        <v>0</v>
      </c>
      <c r="O33" s="106">
        <f t="shared" si="3"/>
        <v>0</v>
      </c>
      <c r="P33" s="106">
        <f t="shared" si="3"/>
        <v>0</v>
      </c>
      <c r="Q33" s="106">
        <f t="shared" si="3"/>
        <v>0</v>
      </c>
      <c r="R33" s="106">
        <f t="shared" si="3"/>
        <v>0</v>
      </c>
      <c r="S33" s="106">
        <f t="shared" si="3"/>
        <v>0</v>
      </c>
      <c r="T33" s="106">
        <f t="shared" si="3"/>
        <v>0</v>
      </c>
      <c r="U33" s="106">
        <f t="shared" si="3"/>
        <v>0</v>
      </c>
      <c r="V33" s="106">
        <f t="shared" si="3"/>
        <v>0</v>
      </c>
      <c r="W33" s="106">
        <f t="shared" si="3"/>
        <v>0</v>
      </c>
      <c r="X33" s="106">
        <f t="shared" si="3"/>
        <v>0</v>
      </c>
      <c r="Y33" s="106">
        <f t="shared" si="3"/>
        <v>0</v>
      </c>
      <c r="Z33" s="106">
        <f t="shared" si="3"/>
        <v>0</v>
      </c>
      <c r="AA33" s="106">
        <f t="shared" si="3"/>
        <v>0</v>
      </c>
      <c r="AB33" s="106">
        <f t="shared" si="3"/>
        <v>0</v>
      </c>
      <c r="AC33" s="106">
        <f t="shared" si="3"/>
        <v>0</v>
      </c>
      <c r="AD33" s="106">
        <f t="shared" si="3"/>
        <v>0</v>
      </c>
      <c r="AE33" s="106">
        <f t="shared" si="3"/>
        <v>0</v>
      </c>
      <c r="AF33" s="106">
        <f t="shared" si="3"/>
        <v>0</v>
      </c>
      <c r="AG33" s="106">
        <f t="shared" si="3"/>
        <v>0</v>
      </c>
      <c r="AH33" s="106">
        <f t="shared" si="3"/>
        <v>0</v>
      </c>
      <c r="AI33" s="106">
        <f t="shared" si="3"/>
        <v>0</v>
      </c>
      <c r="AJ33" s="106">
        <f t="shared" si="3"/>
        <v>0</v>
      </c>
      <c r="AK33" s="106">
        <f t="shared" si="3"/>
        <v>0</v>
      </c>
      <c r="AL33" s="106">
        <f t="shared" si="3"/>
        <v>0</v>
      </c>
      <c r="AM33" s="106">
        <f t="shared" si="3"/>
        <v>0</v>
      </c>
      <c r="AN33" s="106">
        <f t="shared" si="3"/>
        <v>0</v>
      </c>
      <c r="AO33" s="106">
        <f t="shared" si="3"/>
        <v>0</v>
      </c>
      <c r="AP33" s="106">
        <f t="shared" si="3"/>
        <v>0</v>
      </c>
      <c r="AQ33" s="106">
        <f t="shared" si="3"/>
        <v>0</v>
      </c>
      <c r="AR33" s="106">
        <f t="shared" si="3"/>
        <v>0</v>
      </c>
      <c r="AS33" s="106">
        <f t="shared" si="3"/>
        <v>0</v>
      </c>
      <c r="AT33" s="106">
        <f t="shared" si="3"/>
        <v>0</v>
      </c>
      <c r="AU33" s="106">
        <f t="shared" si="3"/>
        <v>0</v>
      </c>
      <c r="AV33" s="106">
        <f t="shared" si="3"/>
        <v>0</v>
      </c>
      <c r="AW33" s="106">
        <f t="shared" si="3"/>
        <v>0</v>
      </c>
      <c r="AX33" s="106">
        <f t="shared" si="3"/>
        <v>0</v>
      </c>
      <c r="AY33" s="106">
        <f t="shared" si="3"/>
        <v>0</v>
      </c>
      <c r="AZ33" s="106">
        <f t="shared" si="3"/>
        <v>0</v>
      </c>
      <c r="BA33" s="106">
        <f t="shared" si="3"/>
        <v>0</v>
      </c>
      <c r="BB33" s="106">
        <f t="shared" si="3"/>
        <v>0</v>
      </c>
      <c r="BC33" s="106">
        <f t="shared" si="3"/>
        <v>0</v>
      </c>
      <c r="BD33" s="106">
        <f t="shared" si="3"/>
        <v>0</v>
      </c>
      <c r="BE33" s="106">
        <f t="shared" si="3"/>
        <v>0</v>
      </c>
      <c r="BF33" s="106">
        <f t="shared" si="3"/>
        <v>0</v>
      </c>
      <c r="BG33" s="106">
        <f t="shared" si="3"/>
        <v>0</v>
      </c>
      <c r="BH33" s="106">
        <f t="shared" si="3"/>
        <v>0</v>
      </c>
      <c r="BI33" s="106">
        <f t="shared" si="3"/>
        <v>0</v>
      </c>
      <c r="BJ33" s="106">
        <f t="shared" si="3"/>
        <v>0</v>
      </c>
      <c r="BK33" s="106">
        <f t="shared" si="3"/>
        <v>0</v>
      </c>
      <c r="BL33" s="106">
        <f t="shared" si="3"/>
        <v>0</v>
      </c>
      <c r="BM33" s="106">
        <f t="shared" si="3"/>
        <v>0</v>
      </c>
      <c r="BN33" s="106">
        <f t="shared" si="3"/>
        <v>0</v>
      </c>
      <c r="BO33" s="106">
        <f t="shared" si="3"/>
        <v>0</v>
      </c>
      <c r="BP33" s="106">
        <f t="shared" si="3"/>
        <v>0</v>
      </c>
      <c r="BQ33" s="106">
        <f t="shared" si="3"/>
        <v>0</v>
      </c>
      <c r="BR33" s="106">
        <f t="shared" si="3"/>
        <v>0</v>
      </c>
      <c r="BS33" s="103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 x14ac:dyDescent="0.35">
      <c r="B34" s="47" t="e">
        <f ca="1">IF(E34=C34,1,0)</f>
        <v>#N/A</v>
      </c>
      <c r="C34" s="11" t="s">
        <v>26</v>
      </c>
      <c r="D34" s="44" t="e">
        <f>MATCH(C34,$E$4:$E$33)</f>
        <v>#N/A</v>
      </c>
      <c r="E34" s="11" t="e">
        <f ca="1">OFFSET($E$3:$AL$3,$D34,0)</f>
        <v>#N/A</v>
      </c>
      <c r="F34" s="14" t="e">
        <f ca="1">OFFSET($E$3:$BR$3,$D34,0)</f>
        <v>#N/A</v>
      </c>
      <c r="G34" s="14" t="e">
        <f t="shared" ref="G34:BR37" ca="1" si="4">OFFSET($E$3:$BR$3,$D34,0)</f>
        <v>#N/A</v>
      </c>
      <c r="H34" s="14" t="e">
        <f t="shared" ca="1" si="4"/>
        <v>#N/A</v>
      </c>
      <c r="I34" s="14" t="e">
        <f t="shared" ca="1" si="4"/>
        <v>#N/A</v>
      </c>
      <c r="J34" s="14" t="e">
        <f t="shared" ca="1" si="4"/>
        <v>#N/A</v>
      </c>
      <c r="K34" s="14" t="e">
        <f t="shared" ca="1" si="4"/>
        <v>#N/A</v>
      </c>
      <c r="L34" s="14" t="e">
        <f t="shared" ca="1" si="4"/>
        <v>#N/A</v>
      </c>
      <c r="M34" s="14" t="e">
        <f t="shared" ca="1" si="4"/>
        <v>#N/A</v>
      </c>
      <c r="N34" s="14" t="e">
        <f t="shared" ca="1" si="4"/>
        <v>#N/A</v>
      </c>
      <c r="O34" s="14" t="e">
        <f t="shared" ca="1" si="4"/>
        <v>#N/A</v>
      </c>
      <c r="P34" s="14" t="e">
        <f t="shared" ca="1" si="4"/>
        <v>#N/A</v>
      </c>
      <c r="Q34" s="14" t="e">
        <f t="shared" ca="1" si="4"/>
        <v>#N/A</v>
      </c>
      <c r="R34" s="14" t="e">
        <f t="shared" ca="1" si="4"/>
        <v>#N/A</v>
      </c>
      <c r="S34" s="14" t="e">
        <f t="shared" ca="1" si="4"/>
        <v>#N/A</v>
      </c>
      <c r="T34" s="14" t="e">
        <f t="shared" ca="1" si="4"/>
        <v>#N/A</v>
      </c>
      <c r="U34" s="14" t="e">
        <f t="shared" ca="1" si="4"/>
        <v>#N/A</v>
      </c>
      <c r="V34" s="14" t="e">
        <f t="shared" ca="1" si="4"/>
        <v>#N/A</v>
      </c>
      <c r="W34" s="14" t="e">
        <f t="shared" ca="1" si="4"/>
        <v>#N/A</v>
      </c>
      <c r="X34" s="14" t="e">
        <f t="shared" ca="1" si="4"/>
        <v>#N/A</v>
      </c>
      <c r="Y34" s="14" t="e">
        <f t="shared" ca="1" si="4"/>
        <v>#N/A</v>
      </c>
      <c r="Z34" s="14" t="e">
        <f t="shared" ca="1" si="4"/>
        <v>#N/A</v>
      </c>
      <c r="AA34" s="14" t="e">
        <f t="shared" ca="1" si="4"/>
        <v>#N/A</v>
      </c>
      <c r="AB34" s="14" t="e">
        <f t="shared" ca="1" si="4"/>
        <v>#N/A</v>
      </c>
      <c r="AC34" s="14" t="e">
        <f t="shared" ca="1" si="4"/>
        <v>#N/A</v>
      </c>
      <c r="AD34" s="14" t="e">
        <f t="shared" ca="1" si="4"/>
        <v>#N/A</v>
      </c>
      <c r="AE34" s="14" t="e">
        <f t="shared" ca="1" si="4"/>
        <v>#N/A</v>
      </c>
      <c r="AF34" s="14" t="e">
        <f t="shared" ca="1" si="4"/>
        <v>#N/A</v>
      </c>
      <c r="AG34" s="14" t="e">
        <f t="shared" ca="1" si="4"/>
        <v>#N/A</v>
      </c>
      <c r="AH34" s="14" t="e">
        <f t="shared" ca="1" si="4"/>
        <v>#N/A</v>
      </c>
      <c r="AI34" s="14" t="e">
        <f t="shared" ca="1" si="4"/>
        <v>#N/A</v>
      </c>
      <c r="AJ34" s="14" t="e">
        <f t="shared" ca="1" si="4"/>
        <v>#N/A</v>
      </c>
      <c r="AK34" s="14" t="e">
        <f t="shared" ca="1" si="4"/>
        <v>#N/A</v>
      </c>
      <c r="AL34" s="14" t="e">
        <f t="shared" ca="1" si="4"/>
        <v>#N/A</v>
      </c>
      <c r="AM34" s="14" t="e">
        <f t="shared" ca="1" si="4"/>
        <v>#N/A</v>
      </c>
      <c r="AN34" s="14" t="e">
        <f t="shared" ca="1" si="4"/>
        <v>#N/A</v>
      </c>
      <c r="AO34" s="14" t="e">
        <f t="shared" ca="1" si="4"/>
        <v>#N/A</v>
      </c>
      <c r="AP34" s="14" t="e">
        <f t="shared" ca="1" si="4"/>
        <v>#N/A</v>
      </c>
      <c r="AQ34" s="14" t="e">
        <f t="shared" ca="1" si="4"/>
        <v>#N/A</v>
      </c>
      <c r="AR34" s="14" t="e">
        <f t="shared" ca="1" si="4"/>
        <v>#N/A</v>
      </c>
      <c r="AS34" s="14" t="e">
        <f t="shared" ca="1" si="4"/>
        <v>#N/A</v>
      </c>
      <c r="AT34" s="14" t="e">
        <f t="shared" ca="1" si="4"/>
        <v>#N/A</v>
      </c>
      <c r="AU34" s="14" t="e">
        <f t="shared" ca="1" si="4"/>
        <v>#N/A</v>
      </c>
      <c r="AV34" s="14" t="e">
        <f t="shared" ca="1" si="4"/>
        <v>#N/A</v>
      </c>
      <c r="AW34" s="14" t="e">
        <f t="shared" ca="1" si="4"/>
        <v>#N/A</v>
      </c>
      <c r="AX34" s="14" t="e">
        <f t="shared" ca="1" si="4"/>
        <v>#N/A</v>
      </c>
      <c r="AY34" s="14" t="e">
        <f t="shared" ca="1" si="4"/>
        <v>#N/A</v>
      </c>
      <c r="AZ34" s="14" t="e">
        <f t="shared" ca="1" si="4"/>
        <v>#N/A</v>
      </c>
      <c r="BA34" s="14" t="e">
        <f t="shared" ca="1" si="4"/>
        <v>#N/A</v>
      </c>
      <c r="BB34" s="14" t="e">
        <f t="shared" ca="1" si="4"/>
        <v>#N/A</v>
      </c>
      <c r="BC34" s="14" t="e">
        <f t="shared" ca="1" si="4"/>
        <v>#N/A</v>
      </c>
      <c r="BD34" s="14" t="e">
        <f t="shared" ca="1" si="4"/>
        <v>#N/A</v>
      </c>
      <c r="BE34" s="14" t="e">
        <f t="shared" ca="1" si="4"/>
        <v>#N/A</v>
      </c>
      <c r="BF34" s="14" t="e">
        <f t="shared" ca="1" si="4"/>
        <v>#N/A</v>
      </c>
      <c r="BG34" s="14" t="e">
        <f t="shared" ca="1" si="4"/>
        <v>#N/A</v>
      </c>
      <c r="BH34" s="14" t="e">
        <f t="shared" ca="1" si="4"/>
        <v>#N/A</v>
      </c>
      <c r="BI34" s="14" t="e">
        <f t="shared" ca="1" si="4"/>
        <v>#N/A</v>
      </c>
      <c r="BJ34" s="14" t="e">
        <f t="shared" ca="1" si="4"/>
        <v>#N/A</v>
      </c>
      <c r="BK34" s="14" t="e">
        <f t="shared" ca="1" si="4"/>
        <v>#N/A</v>
      </c>
      <c r="BL34" s="14" t="e">
        <f t="shared" ca="1" si="4"/>
        <v>#N/A</v>
      </c>
      <c r="BM34" s="14" t="e">
        <f t="shared" ca="1" si="4"/>
        <v>#N/A</v>
      </c>
      <c r="BN34" s="14" t="e">
        <f t="shared" ca="1" si="4"/>
        <v>#N/A</v>
      </c>
      <c r="BO34" s="14" t="e">
        <f t="shared" ca="1" si="4"/>
        <v>#N/A</v>
      </c>
      <c r="BP34" s="14" t="e">
        <f t="shared" ca="1" si="4"/>
        <v>#N/A</v>
      </c>
      <c r="BQ34" s="14" t="e">
        <f t="shared" ca="1" si="4"/>
        <v>#N/A</v>
      </c>
      <c r="BR34" s="14" t="e">
        <f t="shared" ca="1" si="4"/>
        <v>#N/A</v>
      </c>
      <c r="BS34" s="103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 x14ac:dyDescent="0.35">
      <c r="B35" s="47" t="e">
        <f t="shared" ref="B35:B37" ca="1" si="5">IF(E35=C35,1,0)</f>
        <v>#N/A</v>
      </c>
      <c r="C35" s="11" t="s">
        <v>5</v>
      </c>
      <c r="D35" s="44" t="e">
        <f t="shared" ref="D35:D37" si="6">MATCH(C35,$E$4:$E$33)</f>
        <v>#N/A</v>
      </c>
      <c r="E35" s="11" t="e">
        <f t="shared" ref="E35:E37" ca="1" si="7">OFFSET($E$3:$AL$3,$D35,0)</f>
        <v>#N/A</v>
      </c>
      <c r="F35" s="14" t="e">
        <f t="shared" ref="F35:U37" ca="1" si="8">OFFSET($E$3:$BR$3,$D35,0)</f>
        <v>#N/A</v>
      </c>
      <c r="G35" s="14" t="e">
        <f t="shared" ca="1" si="8"/>
        <v>#N/A</v>
      </c>
      <c r="H35" s="14" t="e">
        <f t="shared" ca="1" si="8"/>
        <v>#N/A</v>
      </c>
      <c r="I35" s="14" t="e">
        <f t="shared" ca="1" si="8"/>
        <v>#N/A</v>
      </c>
      <c r="J35" s="14" t="e">
        <f t="shared" ca="1" si="8"/>
        <v>#N/A</v>
      </c>
      <c r="K35" s="14" t="e">
        <f t="shared" ca="1" si="8"/>
        <v>#N/A</v>
      </c>
      <c r="L35" s="14" t="e">
        <f t="shared" ca="1" si="8"/>
        <v>#N/A</v>
      </c>
      <c r="M35" s="14" t="e">
        <f t="shared" ca="1" si="8"/>
        <v>#N/A</v>
      </c>
      <c r="N35" s="14" t="e">
        <f t="shared" ca="1" si="8"/>
        <v>#N/A</v>
      </c>
      <c r="O35" s="14" t="e">
        <f t="shared" ca="1" si="8"/>
        <v>#N/A</v>
      </c>
      <c r="P35" s="14" t="e">
        <f t="shared" ca="1" si="8"/>
        <v>#N/A</v>
      </c>
      <c r="Q35" s="14" t="e">
        <f t="shared" ca="1" si="8"/>
        <v>#N/A</v>
      </c>
      <c r="R35" s="14" t="e">
        <f t="shared" ca="1" si="8"/>
        <v>#N/A</v>
      </c>
      <c r="S35" s="14" t="e">
        <f t="shared" ca="1" si="8"/>
        <v>#N/A</v>
      </c>
      <c r="T35" s="14" t="e">
        <f t="shared" ca="1" si="8"/>
        <v>#N/A</v>
      </c>
      <c r="U35" s="14" t="e">
        <f t="shared" ca="1" si="8"/>
        <v>#N/A</v>
      </c>
      <c r="V35" s="14" t="e">
        <f t="shared" ca="1" si="4"/>
        <v>#N/A</v>
      </c>
      <c r="W35" s="14" t="e">
        <f t="shared" ca="1" si="4"/>
        <v>#N/A</v>
      </c>
      <c r="X35" s="14" t="e">
        <f t="shared" ca="1" si="4"/>
        <v>#N/A</v>
      </c>
      <c r="Y35" s="14" t="e">
        <f t="shared" ca="1" si="4"/>
        <v>#N/A</v>
      </c>
      <c r="Z35" s="14" t="e">
        <f t="shared" ca="1" si="4"/>
        <v>#N/A</v>
      </c>
      <c r="AA35" s="14" t="e">
        <f t="shared" ca="1" si="4"/>
        <v>#N/A</v>
      </c>
      <c r="AB35" s="14" t="e">
        <f t="shared" ca="1" si="4"/>
        <v>#N/A</v>
      </c>
      <c r="AC35" s="14" t="e">
        <f t="shared" ca="1" si="4"/>
        <v>#N/A</v>
      </c>
      <c r="AD35" s="14" t="e">
        <f t="shared" ca="1" si="4"/>
        <v>#N/A</v>
      </c>
      <c r="AE35" s="14" t="e">
        <f t="shared" ca="1" si="4"/>
        <v>#N/A</v>
      </c>
      <c r="AF35" s="14" t="e">
        <f t="shared" ca="1" si="4"/>
        <v>#N/A</v>
      </c>
      <c r="AG35" s="14" t="e">
        <f t="shared" ca="1" si="4"/>
        <v>#N/A</v>
      </c>
      <c r="AH35" s="14" t="e">
        <f t="shared" ca="1" si="4"/>
        <v>#N/A</v>
      </c>
      <c r="AI35" s="14" t="e">
        <f t="shared" ca="1" si="4"/>
        <v>#N/A</v>
      </c>
      <c r="AJ35" s="14" t="e">
        <f t="shared" ca="1" si="4"/>
        <v>#N/A</v>
      </c>
      <c r="AK35" s="14" t="e">
        <f t="shared" ca="1" si="4"/>
        <v>#N/A</v>
      </c>
      <c r="AL35" s="14" t="e">
        <f t="shared" ca="1" si="4"/>
        <v>#N/A</v>
      </c>
      <c r="AM35" s="14" t="e">
        <f t="shared" ca="1" si="4"/>
        <v>#N/A</v>
      </c>
      <c r="AN35" s="14" t="e">
        <f t="shared" ca="1" si="4"/>
        <v>#N/A</v>
      </c>
      <c r="AO35" s="14" t="e">
        <f t="shared" ca="1" si="4"/>
        <v>#N/A</v>
      </c>
      <c r="AP35" s="14" t="e">
        <f t="shared" ca="1" si="4"/>
        <v>#N/A</v>
      </c>
      <c r="AQ35" s="14" t="e">
        <f t="shared" ca="1" si="4"/>
        <v>#N/A</v>
      </c>
      <c r="AR35" s="14" t="e">
        <f t="shared" ca="1" si="4"/>
        <v>#N/A</v>
      </c>
      <c r="AS35" s="14" t="e">
        <f t="shared" ca="1" si="4"/>
        <v>#N/A</v>
      </c>
      <c r="AT35" s="14" t="e">
        <f t="shared" ca="1" si="4"/>
        <v>#N/A</v>
      </c>
      <c r="AU35" s="14" t="e">
        <f t="shared" ca="1" si="4"/>
        <v>#N/A</v>
      </c>
      <c r="AV35" s="14" t="e">
        <f t="shared" ca="1" si="4"/>
        <v>#N/A</v>
      </c>
      <c r="AW35" s="14" t="e">
        <f t="shared" ca="1" si="4"/>
        <v>#N/A</v>
      </c>
      <c r="AX35" s="14" t="e">
        <f t="shared" ca="1" si="4"/>
        <v>#N/A</v>
      </c>
      <c r="AY35" s="14" t="e">
        <f t="shared" ca="1" si="4"/>
        <v>#N/A</v>
      </c>
      <c r="AZ35" s="14" t="e">
        <f t="shared" ca="1" si="4"/>
        <v>#N/A</v>
      </c>
      <c r="BA35" s="14" t="e">
        <f t="shared" ca="1" si="4"/>
        <v>#N/A</v>
      </c>
      <c r="BB35" s="14" t="e">
        <f t="shared" ca="1" si="4"/>
        <v>#N/A</v>
      </c>
      <c r="BC35" s="14" t="e">
        <f t="shared" ca="1" si="4"/>
        <v>#N/A</v>
      </c>
      <c r="BD35" s="14" t="e">
        <f t="shared" ca="1" si="4"/>
        <v>#N/A</v>
      </c>
      <c r="BE35" s="14" t="e">
        <f t="shared" ca="1" si="4"/>
        <v>#N/A</v>
      </c>
      <c r="BF35" s="14" t="e">
        <f t="shared" ca="1" si="4"/>
        <v>#N/A</v>
      </c>
      <c r="BG35" s="14" t="e">
        <f t="shared" ca="1" si="4"/>
        <v>#N/A</v>
      </c>
      <c r="BH35" s="14" t="e">
        <f t="shared" ca="1" si="4"/>
        <v>#N/A</v>
      </c>
      <c r="BI35" s="14" t="e">
        <f t="shared" ca="1" si="4"/>
        <v>#N/A</v>
      </c>
      <c r="BJ35" s="14" t="e">
        <f t="shared" ca="1" si="4"/>
        <v>#N/A</v>
      </c>
      <c r="BK35" s="14" t="e">
        <f t="shared" ca="1" si="4"/>
        <v>#N/A</v>
      </c>
      <c r="BL35" s="14" t="e">
        <f t="shared" ca="1" si="4"/>
        <v>#N/A</v>
      </c>
      <c r="BM35" s="14" t="e">
        <f t="shared" ca="1" si="4"/>
        <v>#N/A</v>
      </c>
      <c r="BN35" s="14" t="e">
        <f t="shared" ca="1" si="4"/>
        <v>#N/A</v>
      </c>
      <c r="BO35" s="14" t="e">
        <f t="shared" ca="1" si="4"/>
        <v>#N/A</v>
      </c>
      <c r="BP35" s="14" t="e">
        <f t="shared" ca="1" si="4"/>
        <v>#N/A</v>
      </c>
      <c r="BQ35" s="14" t="e">
        <f t="shared" ca="1" si="4"/>
        <v>#N/A</v>
      </c>
      <c r="BR35" s="14" t="e">
        <f t="shared" ca="1" si="4"/>
        <v>#N/A</v>
      </c>
      <c r="BS35" s="103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 x14ac:dyDescent="0.35">
      <c r="B36" s="47" t="e">
        <f t="shared" ca="1" si="5"/>
        <v>#N/A</v>
      </c>
      <c r="C36" s="11" t="s">
        <v>6</v>
      </c>
      <c r="D36" s="44" t="e">
        <f t="shared" si="6"/>
        <v>#N/A</v>
      </c>
      <c r="E36" s="11" t="e">
        <f t="shared" ca="1" si="7"/>
        <v>#N/A</v>
      </c>
      <c r="F36" s="14" t="e">
        <f t="shared" ca="1" si="8"/>
        <v>#N/A</v>
      </c>
      <c r="G36" s="14" t="e">
        <f t="shared" ca="1" si="4"/>
        <v>#N/A</v>
      </c>
      <c r="H36" s="14" t="e">
        <f t="shared" ca="1" si="4"/>
        <v>#N/A</v>
      </c>
      <c r="I36" s="14" t="e">
        <f t="shared" ca="1" si="4"/>
        <v>#N/A</v>
      </c>
      <c r="J36" s="14" t="e">
        <f t="shared" ca="1" si="4"/>
        <v>#N/A</v>
      </c>
      <c r="K36" s="14" t="e">
        <f t="shared" ca="1" si="4"/>
        <v>#N/A</v>
      </c>
      <c r="L36" s="14" t="e">
        <f t="shared" ca="1" si="4"/>
        <v>#N/A</v>
      </c>
      <c r="M36" s="14" t="e">
        <f t="shared" ca="1" si="4"/>
        <v>#N/A</v>
      </c>
      <c r="N36" s="14" t="e">
        <f t="shared" ca="1" si="4"/>
        <v>#N/A</v>
      </c>
      <c r="O36" s="14" t="e">
        <f t="shared" ca="1" si="4"/>
        <v>#N/A</v>
      </c>
      <c r="P36" s="14" t="e">
        <f t="shared" ca="1" si="4"/>
        <v>#N/A</v>
      </c>
      <c r="Q36" s="14" t="e">
        <f t="shared" ca="1" si="4"/>
        <v>#N/A</v>
      </c>
      <c r="R36" s="14" t="e">
        <f t="shared" ca="1" si="4"/>
        <v>#N/A</v>
      </c>
      <c r="S36" s="14" t="e">
        <f t="shared" ca="1" si="4"/>
        <v>#N/A</v>
      </c>
      <c r="T36" s="14" t="e">
        <f t="shared" ca="1" si="4"/>
        <v>#N/A</v>
      </c>
      <c r="U36" s="14" t="e">
        <f t="shared" ca="1" si="4"/>
        <v>#N/A</v>
      </c>
      <c r="V36" s="14" t="e">
        <f t="shared" ca="1" si="4"/>
        <v>#N/A</v>
      </c>
      <c r="W36" s="14" t="e">
        <f t="shared" ca="1" si="4"/>
        <v>#N/A</v>
      </c>
      <c r="X36" s="14" t="e">
        <f t="shared" ca="1" si="4"/>
        <v>#N/A</v>
      </c>
      <c r="Y36" s="14" t="e">
        <f t="shared" ca="1" si="4"/>
        <v>#N/A</v>
      </c>
      <c r="Z36" s="14" t="e">
        <f t="shared" ca="1" si="4"/>
        <v>#N/A</v>
      </c>
      <c r="AA36" s="14" t="e">
        <f t="shared" ca="1" si="4"/>
        <v>#N/A</v>
      </c>
      <c r="AB36" s="14" t="e">
        <f t="shared" ca="1" si="4"/>
        <v>#N/A</v>
      </c>
      <c r="AC36" s="14" t="e">
        <f t="shared" ca="1" si="4"/>
        <v>#N/A</v>
      </c>
      <c r="AD36" s="14" t="e">
        <f t="shared" ca="1" si="4"/>
        <v>#N/A</v>
      </c>
      <c r="AE36" s="14" t="e">
        <f t="shared" ca="1" si="4"/>
        <v>#N/A</v>
      </c>
      <c r="AF36" s="14" t="e">
        <f t="shared" ca="1" si="4"/>
        <v>#N/A</v>
      </c>
      <c r="AG36" s="14" t="e">
        <f t="shared" ca="1" si="4"/>
        <v>#N/A</v>
      </c>
      <c r="AH36" s="14" t="e">
        <f t="shared" ca="1" si="4"/>
        <v>#N/A</v>
      </c>
      <c r="AI36" s="14" t="e">
        <f t="shared" ca="1" si="4"/>
        <v>#N/A</v>
      </c>
      <c r="AJ36" s="14" t="e">
        <f t="shared" ca="1" si="4"/>
        <v>#N/A</v>
      </c>
      <c r="AK36" s="14" t="e">
        <f t="shared" ca="1" si="4"/>
        <v>#N/A</v>
      </c>
      <c r="AL36" s="14" t="e">
        <f t="shared" ca="1" si="4"/>
        <v>#N/A</v>
      </c>
      <c r="AM36" s="14" t="e">
        <f t="shared" ca="1" si="4"/>
        <v>#N/A</v>
      </c>
      <c r="AN36" s="14" t="e">
        <f t="shared" ca="1" si="4"/>
        <v>#N/A</v>
      </c>
      <c r="AO36" s="14" t="e">
        <f t="shared" ca="1" si="4"/>
        <v>#N/A</v>
      </c>
      <c r="AP36" s="14" t="e">
        <f t="shared" ca="1" si="4"/>
        <v>#N/A</v>
      </c>
      <c r="AQ36" s="14" t="e">
        <f t="shared" ca="1" si="4"/>
        <v>#N/A</v>
      </c>
      <c r="AR36" s="14" t="e">
        <f t="shared" ca="1" si="4"/>
        <v>#N/A</v>
      </c>
      <c r="AS36" s="14" t="e">
        <f t="shared" ca="1" si="4"/>
        <v>#N/A</v>
      </c>
      <c r="AT36" s="14" t="e">
        <f t="shared" ca="1" si="4"/>
        <v>#N/A</v>
      </c>
      <c r="AU36" s="14" t="e">
        <f t="shared" ca="1" si="4"/>
        <v>#N/A</v>
      </c>
      <c r="AV36" s="14" t="e">
        <f t="shared" ca="1" si="4"/>
        <v>#N/A</v>
      </c>
      <c r="AW36" s="14" t="e">
        <f t="shared" ca="1" si="4"/>
        <v>#N/A</v>
      </c>
      <c r="AX36" s="14" t="e">
        <f t="shared" ca="1" si="4"/>
        <v>#N/A</v>
      </c>
      <c r="AY36" s="14" t="e">
        <f t="shared" ca="1" si="4"/>
        <v>#N/A</v>
      </c>
      <c r="AZ36" s="14" t="e">
        <f t="shared" ca="1" si="4"/>
        <v>#N/A</v>
      </c>
      <c r="BA36" s="14" t="e">
        <f t="shared" ca="1" si="4"/>
        <v>#N/A</v>
      </c>
      <c r="BB36" s="14" t="e">
        <f t="shared" ca="1" si="4"/>
        <v>#N/A</v>
      </c>
      <c r="BC36" s="14" t="e">
        <f t="shared" ca="1" si="4"/>
        <v>#N/A</v>
      </c>
      <c r="BD36" s="14" t="e">
        <f t="shared" ca="1" si="4"/>
        <v>#N/A</v>
      </c>
      <c r="BE36" s="14" t="e">
        <f t="shared" ca="1" si="4"/>
        <v>#N/A</v>
      </c>
      <c r="BF36" s="14" t="e">
        <f t="shared" ca="1" si="4"/>
        <v>#N/A</v>
      </c>
      <c r="BG36" s="14" t="e">
        <f t="shared" ca="1" si="4"/>
        <v>#N/A</v>
      </c>
      <c r="BH36" s="14" t="e">
        <f t="shared" ca="1" si="4"/>
        <v>#N/A</v>
      </c>
      <c r="BI36" s="14" t="e">
        <f t="shared" ca="1" si="4"/>
        <v>#N/A</v>
      </c>
      <c r="BJ36" s="14" t="e">
        <f t="shared" ca="1" si="4"/>
        <v>#N/A</v>
      </c>
      <c r="BK36" s="14" t="e">
        <f t="shared" ca="1" si="4"/>
        <v>#N/A</v>
      </c>
      <c r="BL36" s="14" t="e">
        <f t="shared" ca="1" si="4"/>
        <v>#N/A</v>
      </c>
      <c r="BM36" s="14" t="e">
        <f t="shared" ca="1" si="4"/>
        <v>#N/A</v>
      </c>
      <c r="BN36" s="14" t="e">
        <f t="shared" ca="1" si="4"/>
        <v>#N/A</v>
      </c>
      <c r="BO36" s="14" t="e">
        <f t="shared" ca="1" si="4"/>
        <v>#N/A</v>
      </c>
      <c r="BP36" s="14" t="e">
        <f t="shared" ca="1" si="4"/>
        <v>#N/A</v>
      </c>
      <c r="BQ36" s="14" t="e">
        <f t="shared" ca="1" si="4"/>
        <v>#N/A</v>
      </c>
      <c r="BR36" s="14" t="e">
        <f t="shared" ca="1" si="4"/>
        <v>#N/A</v>
      </c>
      <c r="BS36" s="103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 x14ac:dyDescent="0.4">
      <c r="B37" s="47" t="e">
        <f t="shared" ca="1" si="5"/>
        <v>#N/A</v>
      </c>
      <c r="C37" s="11" t="s">
        <v>7</v>
      </c>
      <c r="D37" s="44" t="e">
        <f t="shared" si="6"/>
        <v>#N/A</v>
      </c>
      <c r="E37" s="11" t="e">
        <f t="shared" ca="1" si="7"/>
        <v>#N/A</v>
      </c>
      <c r="F37" s="14" t="e">
        <f t="shared" ca="1" si="8"/>
        <v>#N/A</v>
      </c>
      <c r="G37" s="14" t="e">
        <f t="shared" ca="1" si="4"/>
        <v>#N/A</v>
      </c>
      <c r="H37" s="14" t="e">
        <f t="shared" ca="1" si="4"/>
        <v>#N/A</v>
      </c>
      <c r="I37" s="14" t="e">
        <f t="shared" ca="1" si="4"/>
        <v>#N/A</v>
      </c>
      <c r="J37" s="14" t="e">
        <f t="shared" ca="1" si="4"/>
        <v>#N/A</v>
      </c>
      <c r="K37" s="14" t="e">
        <f t="shared" ca="1" si="4"/>
        <v>#N/A</v>
      </c>
      <c r="L37" s="14" t="e">
        <f t="shared" ca="1" si="4"/>
        <v>#N/A</v>
      </c>
      <c r="M37" s="14" t="e">
        <f t="shared" ca="1" si="4"/>
        <v>#N/A</v>
      </c>
      <c r="N37" s="14" t="e">
        <f t="shared" ca="1" si="4"/>
        <v>#N/A</v>
      </c>
      <c r="O37" s="14" t="e">
        <f t="shared" ca="1" si="4"/>
        <v>#N/A</v>
      </c>
      <c r="P37" s="14" t="e">
        <f t="shared" ca="1" si="4"/>
        <v>#N/A</v>
      </c>
      <c r="Q37" s="14" t="e">
        <f t="shared" ca="1" si="4"/>
        <v>#N/A</v>
      </c>
      <c r="R37" s="14" t="e">
        <f t="shared" ca="1" si="4"/>
        <v>#N/A</v>
      </c>
      <c r="S37" s="14" t="e">
        <f t="shared" ca="1" si="4"/>
        <v>#N/A</v>
      </c>
      <c r="T37" s="14" t="e">
        <f t="shared" ca="1" si="4"/>
        <v>#N/A</v>
      </c>
      <c r="U37" s="14" t="e">
        <f t="shared" ca="1" si="4"/>
        <v>#N/A</v>
      </c>
      <c r="V37" s="14" t="e">
        <f t="shared" ca="1" si="4"/>
        <v>#N/A</v>
      </c>
      <c r="W37" s="14" t="e">
        <f t="shared" ca="1" si="4"/>
        <v>#N/A</v>
      </c>
      <c r="X37" s="14" t="e">
        <f t="shared" ca="1" si="4"/>
        <v>#N/A</v>
      </c>
      <c r="Y37" s="14" t="e">
        <f t="shared" ca="1" si="4"/>
        <v>#N/A</v>
      </c>
      <c r="Z37" s="14" t="e">
        <f t="shared" ca="1" si="4"/>
        <v>#N/A</v>
      </c>
      <c r="AA37" s="14" t="e">
        <f t="shared" ca="1" si="4"/>
        <v>#N/A</v>
      </c>
      <c r="AB37" s="14" t="e">
        <f t="shared" ca="1" si="4"/>
        <v>#N/A</v>
      </c>
      <c r="AC37" s="14" t="e">
        <f t="shared" ca="1" si="4"/>
        <v>#N/A</v>
      </c>
      <c r="AD37" s="14" t="e">
        <f t="shared" ca="1" si="4"/>
        <v>#N/A</v>
      </c>
      <c r="AE37" s="14" t="e">
        <f t="shared" ca="1" si="4"/>
        <v>#N/A</v>
      </c>
      <c r="AF37" s="14" t="e">
        <f t="shared" ca="1" si="4"/>
        <v>#N/A</v>
      </c>
      <c r="AG37" s="14" t="e">
        <f t="shared" ca="1" si="4"/>
        <v>#N/A</v>
      </c>
      <c r="AH37" s="14" t="e">
        <f t="shared" ca="1" si="4"/>
        <v>#N/A</v>
      </c>
      <c r="AI37" s="14" t="e">
        <f t="shared" ca="1" si="4"/>
        <v>#N/A</v>
      </c>
      <c r="AJ37" s="14" t="e">
        <f t="shared" ca="1" si="4"/>
        <v>#N/A</v>
      </c>
      <c r="AK37" s="14" t="e">
        <f t="shared" ca="1" si="4"/>
        <v>#N/A</v>
      </c>
      <c r="AL37" s="14" t="e">
        <f t="shared" ca="1" si="4"/>
        <v>#N/A</v>
      </c>
      <c r="AM37" s="14" t="e">
        <f t="shared" ca="1" si="4"/>
        <v>#N/A</v>
      </c>
      <c r="AN37" s="14" t="e">
        <f t="shared" ca="1" si="4"/>
        <v>#N/A</v>
      </c>
      <c r="AO37" s="14" t="e">
        <f t="shared" ca="1" si="4"/>
        <v>#N/A</v>
      </c>
      <c r="AP37" s="14" t="e">
        <f t="shared" ca="1" si="4"/>
        <v>#N/A</v>
      </c>
      <c r="AQ37" s="14" t="e">
        <f t="shared" ca="1" si="4"/>
        <v>#N/A</v>
      </c>
      <c r="AR37" s="14" t="e">
        <f t="shared" ca="1" si="4"/>
        <v>#N/A</v>
      </c>
      <c r="AS37" s="14" t="e">
        <f t="shared" ca="1" si="4"/>
        <v>#N/A</v>
      </c>
      <c r="AT37" s="14" t="e">
        <f t="shared" ca="1" si="4"/>
        <v>#N/A</v>
      </c>
      <c r="AU37" s="14" t="e">
        <f t="shared" ca="1" si="4"/>
        <v>#N/A</v>
      </c>
      <c r="AV37" s="14" t="e">
        <f t="shared" ca="1" si="4"/>
        <v>#N/A</v>
      </c>
      <c r="AW37" s="14" t="e">
        <f t="shared" ca="1" si="4"/>
        <v>#N/A</v>
      </c>
      <c r="AX37" s="14" t="e">
        <f t="shared" ca="1" si="4"/>
        <v>#N/A</v>
      </c>
      <c r="AY37" s="14" t="e">
        <f t="shared" ca="1" si="4"/>
        <v>#N/A</v>
      </c>
      <c r="AZ37" s="14" t="e">
        <f t="shared" ca="1" si="4"/>
        <v>#N/A</v>
      </c>
      <c r="BA37" s="14" t="e">
        <f t="shared" ca="1" si="4"/>
        <v>#N/A</v>
      </c>
      <c r="BB37" s="14" t="e">
        <f t="shared" ca="1" si="4"/>
        <v>#N/A</v>
      </c>
      <c r="BC37" s="14" t="e">
        <f t="shared" ca="1" si="4"/>
        <v>#N/A</v>
      </c>
      <c r="BD37" s="14" t="e">
        <f t="shared" ca="1" si="4"/>
        <v>#N/A</v>
      </c>
      <c r="BE37" s="14" t="e">
        <f t="shared" ca="1" si="4"/>
        <v>#N/A</v>
      </c>
      <c r="BF37" s="14" t="e">
        <f t="shared" ca="1" si="4"/>
        <v>#N/A</v>
      </c>
      <c r="BG37" s="14" t="e">
        <f t="shared" ca="1" si="4"/>
        <v>#N/A</v>
      </c>
      <c r="BH37" s="14" t="e">
        <f t="shared" ca="1" si="4"/>
        <v>#N/A</v>
      </c>
      <c r="BI37" s="14" t="e">
        <f t="shared" ca="1" si="4"/>
        <v>#N/A</v>
      </c>
      <c r="BJ37" s="14" t="e">
        <f t="shared" ca="1" si="4"/>
        <v>#N/A</v>
      </c>
      <c r="BK37" s="14" t="e">
        <f t="shared" ca="1" si="4"/>
        <v>#N/A</v>
      </c>
      <c r="BL37" s="14" t="e">
        <f t="shared" ca="1" si="4"/>
        <v>#N/A</v>
      </c>
      <c r="BM37" s="14" t="e">
        <f t="shared" ca="1" si="4"/>
        <v>#N/A</v>
      </c>
      <c r="BN37" s="14" t="e">
        <f t="shared" ca="1" si="4"/>
        <v>#N/A</v>
      </c>
      <c r="BO37" s="14" t="e">
        <f t="shared" ca="1" si="4"/>
        <v>#N/A</v>
      </c>
      <c r="BP37" s="14" t="e">
        <f t="shared" ca="1" si="4"/>
        <v>#N/A</v>
      </c>
      <c r="BQ37" s="14" t="e">
        <f t="shared" ca="1" si="4"/>
        <v>#N/A</v>
      </c>
      <c r="BR37" s="14" t="e">
        <f t="shared" ca="1" si="4"/>
        <v>#N/A</v>
      </c>
      <c r="BS37" s="103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 x14ac:dyDescent="0.4"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98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 x14ac:dyDescent="0.45">
      <c r="A39" s="71" t="s">
        <v>8</v>
      </c>
      <c r="B39" s="72"/>
      <c r="C39" s="72"/>
      <c r="D39" s="73"/>
      <c r="E39" s="64" t="s">
        <v>19</v>
      </c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/>
      <c r="AW39" s="65"/>
      <c r="AX39" s="65"/>
      <c r="AY39" s="65"/>
      <c r="AZ39" s="65"/>
      <c r="BA39" s="65"/>
      <c r="BB39" s="65"/>
      <c r="BC39" s="65"/>
      <c r="BD39" s="65"/>
      <c r="BE39" s="65"/>
      <c r="BF39" s="65"/>
      <c r="BG39" s="65"/>
      <c r="BH39" s="65"/>
      <c r="BI39" s="65"/>
      <c r="BJ39" s="65"/>
      <c r="BK39" s="65"/>
      <c r="BL39" s="65"/>
      <c r="BM39" s="65"/>
      <c r="BN39" s="65"/>
      <c r="BO39" s="65"/>
      <c r="BP39" s="65"/>
      <c r="BQ39" s="65"/>
      <c r="BR39" s="65"/>
      <c r="BS39" s="65"/>
      <c r="BT39" s="65"/>
      <c r="BU39" s="65"/>
      <c r="BV39" s="65"/>
      <c r="BW39" s="65"/>
      <c r="BX39" s="65"/>
      <c r="BY39" s="65"/>
      <c r="BZ39" s="65"/>
      <c r="CA39" s="65"/>
      <c r="CB39" s="65"/>
      <c r="CC39" s="65"/>
      <c r="CD39" s="65"/>
      <c r="CE39" s="65"/>
      <c r="CF39" s="65"/>
      <c r="CG39" s="65"/>
      <c r="CH39" s="65"/>
      <c r="CI39" s="65"/>
    </row>
    <row r="40" spans="1:87" ht="21" customHeight="1" outlineLevel="1" thickTop="1" thickBot="1" x14ac:dyDescent="0.4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0</v>
      </c>
      <c r="G40" s="8">
        <f t="shared" ref="G40:BR40" si="9">G3</f>
        <v>0</v>
      </c>
      <c r="H40" s="8">
        <f t="shared" si="9"/>
        <v>0</v>
      </c>
      <c r="I40" s="8">
        <f t="shared" si="9"/>
        <v>0</v>
      </c>
      <c r="J40" s="8">
        <f t="shared" si="9"/>
        <v>0</v>
      </c>
      <c r="K40" s="8">
        <f t="shared" si="9"/>
        <v>0</v>
      </c>
      <c r="L40" s="8">
        <f t="shared" si="9"/>
        <v>0</v>
      </c>
      <c r="M40" s="8">
        <f t="shared" si="9"/>
        <v>0</v>
      </c>
      <c r="N40" s="8">
        <f t="shared" si="9"/>
        <v>0</v>
      </c>
      <c r="O40" s="8">
        <f t="shared" si="9"/>
        <v>0</v>
      </c>
      <c r="P40" s="8">
        <f t="shared" si="9"/>
        <v>0</v>
      </c>
      <c r="Q40" s="8">
        <f t="shared" si="9"/>
        <v>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8"/>
    </row>
    <row r="41" spans="1:87" ht="21" customHeight="1" outlineLevel="1" thickTop="1" x14ac:dyDescent="0.35">
      <c r="A41" s="9" t="e">
        <f>Values!D3/Values!$E$3</f>
        <v>#DIV/0!</v>
      </c>
      <c r="B41" s="9" t="e">
        <f>Values!E3/Values!$E$3</f>
        <v>#DIV/0!</v>
      </c>
      <c r="C41" s="9" t="e">
        <f>Values!F3/Values!$E$3</f>
        <v>#DIV/0!</v>
      </c>
      <c r="D41" s="9" t="e">
        <f>Values!G3/Values!$E$3</f>
        <v>#DIV/0!</v>
      </c>
      <c r="E41" s="9" t="e">
        <f>SUM(A41:D41)</f>
        <v>#DIV/0!</v>
      </c>
      <c r="F41" s="10" t="e">
        <f t="shared" ref="F41:BQ41" ca="1" si="10">($B$41*H.Ge+$C$41*H.Ga+$D$41*H.Se)*F$40*$B$2/1000</f>
        <v>#DIV/0!</v>
      </c>
      <c r="G41" s="10" t="e">
        <f t="shared" ca="1" si="10"/>
        <v>#DIV/0!</v>
      </c>
      <c r="H41" s="10" t="e">
        <f t="shared" ca="1" si="10"/>
        <v>#DIV/0!</v>
      </c>
      <c r="I41" s="10" t="e">
        <f t="shared" ca="1" si="10"/>
        <v>#DIV/0!</v>
      </c>
      <c r="J41" s="10" t="e">
        <f t="shared" ca="1" si="10"/>
        <v>#DIV/0!</v>
      </c>
      <c r="K41" s="10" t="e">
        <f t="shared" ca="1" si="10"/>
        <v>#DIV/0!</v>
      </c>
      <c r="L41" s="10" t="e">
        <f t="shared" ca="1" si="10"/>
        <v>#DIV/0!</v>
      </c>
      <c r="M41" s="10" t="e">
        <f t="shared" ca="1" si="10"/>
        <v>#DIV/0!</v>
      </c>
      <c r="N41" s="10" t="e">
        <f t="shared" ca="1" si="10"/>
        <v>#DIV/0!</v>
      </c>
      <c r="O41" s="10" t="e">
        <f t="shared" ca="1" si="10"/>
        <v>#DIV/0!</v>
      </c>
      <c r="P41" s="10" t="e">
        <f t="shared" ca="1" si="10"/>
        <v>#DIV/0!</v>
      </c>
      <c r="Q41" s="10" t="e">
        <f t="shared" ca="1" si="10"/>
        <v>#DIV/0!</v>
      </c>
      <c r="R41" s="10" t="e">
        <f t="shared" ca="1" si="10"/>
        <v>#DIV/0!</v>
      </c>
      <c r="S41" s="10" t="e">
        <f t="shared" ca="1" si="10"/>
        <v>#DIV/0!</v>
      </c>
      <c r="T41" s="10" t="e">
        <f t="shared" ca="1" si="10"/>
        <v>#DIV/0!</v>
      </c>
      <c r="U41" s="10" t="e">
        <f t="shared" ca="1" si="10"/>
        <v>#DIV/0!</v>
      </c>
      <c r="V41" s="10" t="e">
        <f t="shared" ca="1" si="10"/>
        <v>#DIV/0!</v>
      </c>
      <c r="W41" s="10" t="e">
        <f t="shared" ca="1" si="10"/>
        <v>#DIV/0!</v>
      </c>
      <c r="X41" s="10" t="e">
        <f t="shared" ca="1" si="10"/>
        <v>#DIV/0!</v>
      </c>
      <c r="Y41" s="10" t="e">
        <f t="shared" ca="1" si="10"/>
        <v>#DIV/0!</v>
      </c>
      <c r="Z41" s="10" t="e">
        <f t="shared" ca="1" si="10"/>
        <v>#DIV/0!</v>
      </c>
      <c r="AA41" s="10" t="e">
        <f t="shared" ca="1" si="10"/>
        <v>#DIV/0!</v>
      </c>
      <c r="AB41" s="10" t="e">
        <f t="shared" ca="1" si="10"/>
        <v>#DIV/0!</v>
      </c>
      <c r="AC41" s="10" t="e">
        <f t="shared" ca="1" si="10"/>
        <v>#DIV/0!</v>
      </c>
      <c r="AD41" s="10" t="e">
        <f t="shared" ca="1" si="10"/>
        <v>#DIV/0!</v>
      </c>
      <c r="AE41" s="10" t="e">
        <f t="shared" ca="1" si="10"/>
        <v>#DIV/0!</v>
      </c>
      <c r="AF41" s="10" t="e">
        <f t="shared" ca="1" si="10"/>
        <v>#DIV/0!</v>
      </c>
      <c r="AG41" s="10" t="e">
        <f t="shared" ca="1" si="10"/>
        <v>#DIV/0!</v>
      </c>
      <c r="AH41" s="10" t="e">
        <f t="shared" ca="1" si="10"/>
        <v>#DIV/0!</v>
      </c>
      <c r="AI41" s="10" t="e">
        <f t="shared" ca="1" si="10"/>
        <v>#DIV/0!</v>
      </c>
      <c r="AJ41" s="10" t="e">
        <f t="shared" ca="1" si="10"/>
        <v>#DIV/0!</v>
      </c>
      <c r="AK41" s="10" t="e">
        <f t="shared" ca="1" si="10"/>
        <v>#DIV/0!</v>
      </c>
      <c r="AL41" s="10" t="e">
        <f t="shared" ca="1" si="10"/>
        <v>#DIV/0!</v>
      </c>
      <c r="AM41" s="10" t="e">
        <f t="shared" ca="1" si="10"/>
        <v>#DIV/0!</v>
      </c>
      <c r="AN41" s="10" t="e">
        <f t="shared" ca="1" si="10"/>
        <v>#DIV/0!</v>
      </c>
      <c r="AO41" s="10" t="e">
        <f t="shared" ca="1" si="10"/>
        <v>#DIV/0!</v>
      </c>
      <c r="AP41" s="10" t="e">
        <f t="shared" ca="1" si="10"/>
        <v>#DIV/0!</v>
      </c>
      <c r="AQ41" s="10" t="e">
        <f t="shared" ca="1" si="10"/>
        <v>#DIV/0!</v>
      </c>
      <c r="AR41" s="10" t="e">
        <f t="shared" ca="1" si="10"/>
        <v>#DIV/0!</v>
      </c>
      <c r="AS41" s="10" t="e">
        <f t="shared" ca="1" si="10"/>
        <v>#DIV/0!</v>
      </c>
      <c r="AT41" s="10" t="e">
        <f t="shared" ca="1" si="10"/>
        <v>#DIV/0!</v>
      </c>
      <c r="AU41" s="10" t="e">
        <f t="shared" ca="1" si="10"/>
        <v>#DIV/0!</v>
      </c>
      <c r="AV41" s="10" t="e">
        <f t="shared" ca="1" si="10"/>
        <v>#DIV/0!</v>
      </c>
      <c r="AW41" s="10" t="e">
        <f t="shared" ca="1" si="10"/>
        <v>#DIV/0!</v>
      </c>
      <c r="AX41" s="10" t="e">
        <f t="shared" ca="1" si="10"/>
        <v>#DIV/0!</v>
      </c>
      <c r="AY41" s="10" t="e">
        <f t="shared" ca="1" si="10"/>
        <v>#DIV/0!</v>
      </c>
      <c r="AZ41" s="10" t="e">
        <f t="shared" ca="1" si="10"/>
        <v>#DIV/0!</v>
      </c>
      <c r="BA41" s="10" t="e">
        <f t="shared" ca="1" si="10"/>
        <v>#DIV/0!</v>
      </c>
      <c r="BB41" s="10" t="e">
        <f t="shared" ca="1" si="10"/>
        <v>#DIV/0!</v>
      </c>
      <c r="BC41" s="10" t="e">
        <f t="shared" ca="1" si="10"/>
        <v>#DIV/0!</v>
      </c>
      <c r="BD41" s="10" t="e">
        <f t="shared" ca="1" si="10"/>
        <v>#DIV/0!</v>
      </c>
      <c r="BE41" s="10" t="e">
        <f t="shared" ca="1" si="10"/>
        <v>#DIV/0!</v>
      </c>
      <c r="BF41" s="10" t="e">
        <f t="shared" ca="1" si="10"/>
        <v>#DIV/0!</v>
      </c>
      <c r="BG41" s="10" t="e">
        <f t="shared" ca="1" si="10"/>
        <v>#DIV/0!</v>
      </c>
      <c r="BH41" s="10" t="e">
        <f t="shared" ca="1" si="10"/>
        <v>#DIV/0!</v>
      </c>
      <c r="BI41" s="10" t="e">
        <f t="shared" ca="1" si="10"/>
        <v>#DIV/0!</v>
      </c>
      <c r="BJ41" s="10" t="e">
        <f t="shared" ca="1" si="10"/>
        <v>#DIV/0!</v>
      </c>
      <c r="BK41" s="10" t="e">
        <f t="shared" ca="1" si="10"/>
        <v>#DIV/0!</v>
      </c>
      <c r="BL41" s="10" t="e">
        <f t="shared" ca="1" si="10"/>
        <v>#DIV/0!</v>
      </c>
      <c r="BM41" s="10" t="e">
        <f t="shared" ca="1" si="10"/>
        <v>#DIV/0!</v>
      </c>
      <c r="BN41" s="10" t="e">
        <f t="shared" ca="1" si="10"/>
        <v>#DIV/0!</v>
      </c>
      <c r="BO41" s="10" t="e">
        <f t="shared" ca="1" si="10"/>
        <v>#DIV/0!</v>
      </c>
      <c r="BP41" s="10" t="e">
        <f t="shared" ca="1" si="10"/>
        <v>#DIV/0!</v>
      </c>
      <c r="BQ41" s="10" t="e">
        <f t="shared" ca="1" si="10"/>
        <v>#DIV/0!</v>
      </c>
      <c r="BR41" s="10" t="e">
        <f t="shared" ref="BR41" ca="1" si="11">($B$41*H.Ge+$C$41*H.Ga+$D$41*H.Se)*BR$40*$B$2/1000</f>
        <v>#DIV/0!</v>
      </c>
      <c r="BS41" s="98"/>
    </row>
    <row r="42" spans="1:87" ht="176.25" customHeight="1" outlineLevel="1" x14ac:dyDescent="0.35"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98"/>
      <c r="AL42" s="98"/>
      <c r="AM42" s="98"/>
      <c r="AN42" s="98"/>
      <c r="AO42" s="98"/>
      <c r="AP42" s="98"/>
      <c r="AQ42" s="98"/>
      <c r="AR42" s="98"/>
      <c r="AS42" s="98"/>
      <c r="AT42" s="98"/>
      <c r="AU42" s="98"/>
      <c r="AV42" s="98"/>
      <c r="AW42" s="98"/>
      <c r="AX42" s="98"/>
      <c r="AY42" s="98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98"/>
      <c r="BM42" s="98"/>
      <c r="BN42" s="98"/>
      <c r="BO42" s="98"/>
      <c r="BP42" s="98"/>
      <c r="BQ42" s="98"/>
      <c r="BR42" s="98"/>
      <c r="BS42" s="98"/>
    </row>
    <row r="43" spans="1:87" ht="21" customHeight="1" x14ac:dyDescent="0.35"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</row>
    <row r="44" spans="1:87" ht="21" customHeight="1" thickBot="1" x14ac:dyDescent="0.45">
      <c r="A44" s="65"/>
      <c r="B44" s="65"/>
      <c r="C44" s="65"/>
      <c r="D44" s="65"/>
      <c r="E44" s="64" t="s">
        <v>20</v>
      </c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/>
      <c r="BA44" s="65"/>
      <c r="BB44" s="65"/>
      <c r="BC44" s="65"/>
      <c r="BD44" s="65"/>
      <c r="BE44" s="65"/>
      <c r="BF44" s="65"/>
      <c r="BG44" s="65"/>
      <c r="BH44" s="65"/>
      <c r="BI44" s="65"/>
      <c r="BJ44" s="65"/>
      <c r="BK44" s="65"/>
      <c r="BL44" s="65"/>
      <c r="BM44" s="65"/>
      <c r="BN44" s="65"/>
      <c r="BO44" s="65"/>
      <c r="BP44" s="65"/>
      <c r="BQ44" s="65"/>
      <c r="BR44" s="65"/>
      <c r="BS44" s="65"/>
      <c r="BT44" s="65"/>
      <c r="BU44" s="65"/>
      <c r="BV44" s="65"/>
      <c r="BW44" s="65"/>
      <c r="BX44" s="65"/>
      <c r="BY44" s="65"/>
      <c r="BZ44" s="65"/>
      <c r="CA44" s="65"/>
      <c r="CB44" s="65"/>
      <c r="CC44" s="65"/>
      <c r="CD44" s="65"/>
      <c r="CE44" s="65"/>
      <c r="CF44" s="65"/>
      <c r="CG44" s="65"/>
      <c r="CH44" s="65"/>
      <c r="CI44" s="65"/>
    </row>
    <row r="45" spans="1:87" ht="21" customHeight="1" outlineLevel="1" thickTop="1" thickBot="1" x14ac:dyDescent="0.4">
      <c r="A45" s="12" t="s">
        <v>1</v>
      </c>
      <c r="B45" s="12" t="s">
        <v>2</v>
      </c>
      <c r="C45" s="12" t="s">
        <v>3</v>
      </c>
      <c r="D45" s="13" t="s">
        <v>4</v>
      </c>
      <c r="E45" s="3">
        <f t="shared" ref="E45:F45" si="12">E3</f>
        <v>0</v>
      </c>
      <c r="F45" s="3">
        <f t="shared" si="12"/>
        <v>0</v>
      </c>
      <c r="G45" s="3">
        <f t="shared" ref="G45:BR45" si="13">G3</f>
        <v>0</v>
      </c>
      <c r="H45" s="3">
        <f t="shared" si="13"/>
        <v>0</v>
      </c>
      <c r="I45" s="3">
        <f t="shared" si="13"/>
        <v>0</v>
      </c>
      <c r="J45" s="3">
        <f t="shared" si="13"/>
        <v>0</v>
      </c>
      <c r="K45" s="3">
        <f t="shared" si="13"/>
        <v>0</v>
      </c>
      <c r="L45" s="3">
        <f t="shared" si="13"/>
        <v>0</v>
      </c>
      <c r="M45" s="3">
        <f t="shared" si="13"/>
        <v>0</v>
      </c>
      <c r="N45" s="3">
        <f t="shared" si="13"/>
        <v>0</v>
      </c>
      <c r="O45" s="3">
        <f t="shared" si="13"/>
        <v>0</v>
      </c>
      <c r="P45" s="3">
        <f t="shared" si="13"/>
        <v>0</v>
      </c>
      <c r="Q45" s="3">
        <f t="shared" si="13"/>
        <v>0</v>
      </c>
      <c r="R45" s="3">
        <f t="shared" si="13"/>
        <v>0</v>
      </c>
      <c r="S45" s="3">
        <f t="shared" si="13"/>
        <v>0</v>
      </c>
      <c r="T45" s="3">
        <f t="shared" si="13"/>
        <v>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8"/>
    </row>
    <row r="46" spans="1:87" ht="21" customHeight="1" outlineLevel="1" thickTop="1" thickBot="1" x14ac:dyDescent="0.4">
      <c r="A46" s="5">
        <f t="shared" ref="A46:E55" si="14">A4</f>
        <v>0</v>
      </c>
      <c r="B46" s="5">
        <f t="shared" si="14"/>
        <v>0</v>
      </c>
      <c r="C46" s="5">
        <f t="shared" si="14"/>
        <v>0</v>
      </c>
      <c r="D46" s="5">
        <f t="shared" si="14"/>
        <v>0</v>
      </c>
      <c r="E46" s="6">
        <f t="shared" si="14"/>
        <v>0</v>
      </c>
      <c r="F46" s="14" t="e">
        <f t="shared" ref="F46:U55" ca="1" si="15">$A46*H.Ar + $B46*H.Se + $C46*H.Ge + $D46*H.Ga</f>
        <v>#N/A</v>
      </c>
      <c r="G46" s="14" t="e">
        <f t="shared" ca="1" si="15"/>
        <v>#N/A</v>
      </c>
      <c r="H46" s="14" t="e">
        <f t="shared" ca="1" si="15"/>
        <v>#N/A</v>
      </c>
      <c r="I46" s="14" t="e">
        <f t="shared" ca="1" si="15"/>
        <v>#N/A</v>
      </c>
      <c r="J46" s="14" t="e">
        <f t="shared" ca="1" si="15"/>
        <v>#N/A</v>
      </c>
      <c r="K46" s="14" t="e">
        <f t="shared" ca="1" si="15"/>
        <v>#N/A</v>
      </c>
      <c r="L46" s="14" t="e">
        <f t="shared" ca="1" si="15"/>
        <v>#N/A</v>
      </c>
      <c r="M46" s="14" t="e">
        <f t="shared" ca="1" si="15"/>
        <v>#N/A</v>
      </c>
      <c r="N46" s="14" t="e">
        <f t="shared" ca="1" si="15"/>
        <v>#N/A</v>
      </c>
      <c r="O46" s="14" t="e">
        <f t="shared" ca="1" si="15"/>
        <v>#N/A</v>
      </c>
      <c r="P46" s="14" t="e">
        <f t="shared" ca="1" si="15"/>
        <v>#N/A</v>
      </c>
      <c r="Q46" s="14" t="e">
        <f t="shared" ca="1" si="15"/>
        <v>#N/A</v>
      </c>
      <c r="R46" s="14" t="e">
        <f t="shared" ca="1" si="15"/>
        <v>#N/A</v>
      </c>
      <c r="S46" s="14" t="e">
        <f t="shared" ca="1" si="15"/>
        <v>#N/A</v>
      </c>
      <c r="T46" s="14" t="e">
        <f t="shared" ca="1" si="15"/>
        <v>#N/A</v>
      </c>
      <c r="U46" s="14" t="e">
        <f t="shared" ca="1" si="15"/>
        <v>#N/A</v>
      </c>
      <c r="V46" s="14" t="e">
        <f t="shared" ref="G46:BR50" ca="1" si="16">$A46*H.Ar + $B46*H.Se + $C46*H.Ge + $D46*H.Ga</f>
        <v>#N/A</v>
      </c>
      <c r="W46" s="14" t="e">
        <f t="shared" ca="1" si="16"/>
        <v>#N/A</v>
      </c>
      <c r="X46" s="14" t="e">
        <f t="shared" ca="1" si="16"/>
        <v>#N/A</v>
      </c>
      <c r="Y46" s="14" t="e">
        <f t="shared" ca="1" si="16"/>
        <v>#N/A</v>
      </c>
      <c r="Z46" s="14" t="e">
        <f t="shared" ca="1" si="16"/>
        <v>#N/A</v>
      </c>
      <c r="AA46" s="14" t="e">
        <f t="shared" ca="1" si="16"/>
        <v>#N/A</v>
      </c>
      <c r="AB46" s="14" t="e">
        <f t="shared" ca="1" si="16"/>
        <v>#N/A</v>
      </c>
      <c r="AC46" s="14" t="e">
        <f t="shared" ca="1" si="16"/>
        <v>#N/A</v>
      </c>
      <c r="AD46" s="14" t="e">
        <f t="shared" ca="1" si="16"/>
        <v>#N/A</v>
      </c>
      <c r="AE46" s="14" t="e">
        <f t="shared" ca="1" si="16"/>
        <v>#N/A</v>
      </c>
      <c r="AF46" s="14" t="e">
        <f t="shared" ca="1" si="16"/>
        <v>#N/A</v>
      </c>
      <c r="AG46" s="14" t="e">
        <f t="shared" ca="1" si="16"/>
        <v>#N/A</v>
      </c>
      <c r="AH46" s="14" t="e">
        <f t="shared" ca="1" si="16"/>
        <v>#N/A</v>
      </c>
      <c r="AI46" s="14" t="e">
        <f t="shared" ca="1" si="16"/>
        <v>#N/A</v>
      </c>
      <c r="AJ46" s="14" t="e">
        <f t="shared" ca="1" si="16"/>
        <v>#N/A</v>
      </c>
      <c r="AK46" s="14" t="e">
        <f t="shared" ca="1" si="16"/>
        <v>#N/A</v>
      </c>
      <c r="AL46" s="14" t="e">
        <f t="shared" ca="1" si="16"/>
        <v>#N/A</v>
      </c>
      <c r="AM46" s="14" t="e">
        <f t="shared" ca="1" si="16"/>
        <v>#N/A</v>
      </c>
      <c r="AN46" s="14" t="e">
        <f t="shared" ca="1" si="16"/>
        <v>#N/A</v>
      </c>
      <c r="AO46" s="14" t="e">
        <f t="shared" ca="1" si="16"/>
        <v>#N/A</v>
      </c>
      <c r="AP46" s="14" t="e">
        <f t="shared" ca="1" si="16"/>
        <v>#N/A</v>
      </c>
      <c r="AQ46" s="14" t="e">
        <f t="shared" ca="1" si="16"/>
        <v>#N/A</v>
      </c>
      <c r="AR46" s="14" t="e">
        <f t="shared" ca="1" si="16"/>
        <v>#N/A</v>
      </c>
      <c r="AS46" s="14" t="e">
        <f t="shared" ca="1" si="16"/>
        <v>#N/A</v>
      </c>
      <c r="AT46" s="14" t="e">
        <f t="shared" ca="1" si="16"/>
        <v>#N/A</v>
      </c>
      <c r="AU46" s="14" t="e">
        <f t="shared" ca="1" si="16"/>
        <v>#N/A</v>
      </c>
      <c r="AV46" s="14" t="e">
        <f t="shared" ca="1" si="16"/>
        <v>#N/A</v>
      </c>
      <c r="AW46" s="14" t="e">
        <f t="shared" ca="1" si="16"/>
        <v>#N/A</v>
      </c>
      <c r="AX46" s="14" t="e">
        <f t="shared" ca="1" si="16"/>
        <v>#N/A</v>
      </c>
      <c r="AY46" s="14" t="e">
        <f t="shared" ca="1" si="16"/>
        <v>#N/A</v>
      </c>
      <c r="AZ46" s="14" t="e">
        <f t="shared" ca="1" si="16"/>
        <v>#N/A</v>
      </c>
      <c r="BA46" s="14" t="e">
        <f t="shared" ca="1" si="16"/>
        <v>#N/A</v>
      </c>
      <c r="BB46" s="14" t="e">
        <f t="shared" ca="1" si="16"/>
        <v>#N/A</v>
      </c>
      <c r="BC46" s="14" t="e">
        <f t="shared" ca="1" si="16"/>
        <v>#N/A</v>
      </c>
      <c r="BD46" s="14" t="e">
        <f t="shared" ca="1" si="16"/>
        <v>#N/A</v>
      </c>
      <c r="BE46" s="14" t="e">
        <f t="shared" ca="1" si="16"/>
        <v>#N/A</v>
      </c>
      <c r="BF46" s="14" t="e">
        <f t="shared" ca="1" si="16"/>
        <v>#N/A</v>
      </c>
      <c r="BG46" s="14" t="e">
        <f t="shared" ca="1" si="16"/>
        <v>#N/A</v>
      </c>
      <c r="BH46" s="14" t="e">
        <f t="shared" ca="1" si="16"/>
        <v>#N/A</v>
      </c>
      <c r="BI46" s="14" t="e">
        <f t="shared" ca="1" si="16"/>
        <v>#N/A</v>
      </c>
      <c r="BJ46" s="14" t="e">
        <f t="shared" ca="1" si="16"/>
        <v>#N/A</v>
      </c>
      <c r="BK46" s="14" t="e">
        <f t="shared" ca="1" si="16"/>
        <v>#N/A</v>
      </c>
      <c r="BL46" s="14" t="e">
        <f t="shared" ca="1" si="16"/>
        <v>#N/A</v>
      </c>
      <c r="BM46" s="14" t="e">
        <f t="shared" ca="1" si="16"/>
        <v>#N/A</v>
      </c>
      <c r="BN46" s="14" t="e">
        <f t="shared" ca="1" si="16"/>
        <v>#N/A</v>
      </c>
      <c r="BO46" s="14" t="e">
        <f t="shared" ca="1" si="16"/>
        <v>#N/A</v>
      </c>
      <c r="BP46" s="14" t="e">
        <f t="shared" ca="1" si="16"/>
        <v>#N/A</v>
      </c>
      <c r="BQ46" s="14" t="e">
        <f t="shared" ca="1" si="16"/>
        <v>#N/A</v>
      </c>
      <c r="BR46" s="14" t="e">
        <f t="shared" ca="1" si="16"/>
        <v>#N/A</v>
      </c>
      <c r="BS46" s="98"/>
    </row>
    <row r="47" spans="1:87" ht="21" customHeight="1" outlineLevel="1" thickBot="1" x14ac:dyDescent="0.4">
      <c r="A47" s="5">
        <f t="shared" si="14"/>
        <v>0</v>
      </c>
      <c r="B47" s="5">
        <f t="shared" si="14"/>
        <v>0</v>
      </c>
      <c r="C47" s="5">
        <f t="shared" si="14"/>
        <v>0</v>
      </c>
      <c r="D47" s="5">
        <f t="shared" si="14"/>
        <v>0</v>
      </c>
      <c r="E47" s="6">
        <f t="shared" si="14"/>
        <v>0</v>
      </c>
      <c r="F47" s="14" t="e">
        <f t="shared" ca="1" si="15"/>
        <v>#N/A</v>
      </c>
      <c r="G47" s="14" t="e">
        <f t="shared" ca="1" si="16"/>
        <v>#N/A</v>
      </c>
      <c r="H47" s="14" t="e">
        <f t="shared" ca="1" si="16"/>
        <v>#N/A</v>
      </c>
      <c r="I47" s="14" t="e">
        <f t="shared" ca="1" si="16"/>
        <v>#N/A</v>
      </c>
      <c r="J47" s="14" t="e">
        <f t="shared" ca="1" si="16"/>
        <v>#N/A</v>
      </c>
      <c r="K47" s="14" t="e">
        <f t="shared" ca="1" si="16"/>
        <v>#N/A</v>
      </c>
      <c r="L47" s="14" t="e">
        <f t="shared" ca="1" si="16"/>
        <v>#N/A</v>
      </c>
      <c r="M47" s="14" t="e">
        <f t="shared" ca="1" si="16"/>
        <v>#N/A</v>
      </c>
      <c r="N47" s="14" t="e">
        <f t="shared" ca="1" si="16"/>
        <v>#N/A</v>
      </c>
      <c r="O47" s="14" t="e">
        <f t="shared" ca="1" si="16"/>
        <v>#N/A</v>
      </c>
      <c r="P47" s="14" t="e">
        <f t="shared" ca="1" si="16"/>
        <v>#N/A</v>
      </c>
      <c r="Q47" s="14" t="e">
        <f t="shared" ca="1" si="16"/>
        <v>#N/A</v>
      </c>
      <c r="R47" s="14" t="e">
        <f t="shared" ca="1" si="16"/>
        <v>#N/A</v>
      </c>
      <c r="S47" s="14" t="e">
        <f t="shared" ca="1" si="16"/>
        <v>#N/A</v>
      </c>
      <c r="T47" s="14" t="e">
        <f t="shared" ca="1" si="16"/>
        <v>#N/A</v>
      </c>
      <c r="U47" s="14" t="e">
        <f t="shared" ca="1" si="16"/>
        <v>#N/A</v>
      </c>
      <c r="V47" s="14" t="e">
        <f t="shared" ca="1" si="16"/>
        <v>#N/A</v>
      </c>
      <c r="W47" s="14" t="e">
        <f t="shared" ca="1" si="16"/>
        <v>#N/A</v>
      </c>
      <c r="X47" s="14" t="e">
        <f t="shared" ca="1" si="16"/>
        <v>#N/A</v>
      </c>
      <c r="Y47" s="14" t="e">
        <f t="shared" ca="1" si="16"/>
        <v>#N/A</v>
      </c>
      <c r="Z47" s="14" t="e">
        <f t="shared" ca="1" si="16"/>
        <v>#N/A</v>
      </c>
      <c r="AA47" s="14" t="e">
        <f t="shared" ca="1" si="16"/>
        <v>#N/A</v>
      </c>
      <c r="AB47" s="14" t="e">
        <f t="shared" ca="1" si="16"/>
        <v>#N/A</v>
      </c>
      <c r="AC47" s="14" t="e">
        <f t="shared" ca="1" si="16"/>
        <v>#N/A</v>
      </c>
      <c r="AD47" s="14" t="e">
        <f t="shared" ca="1" si="16"/>
        <v>#N/A</v>
      </c>
      <c r="AE47" s="14" t="e">
        <f t="shared" ca="1" si="16"/>
        <v>#N/A</v>
      </c>
      <c r="AF47" s="14" t="e">
        <f t="shared" ca="1" si="16"/>
        <v>#N/A</v>
      </c>
      <c r="AG47" s="14" t="e">
        <f t="shared" ca="1" si="16"/>
        <v>#N/A</v>
      </c>
      <c r="AH47" s="14" t="e">
        <f t="shared" ca="1" si="16"/>
        <v>#N/A</v>
      </c>
      <c r="AI47" s="14" t="e">
        <f t="shared" ca="1" si="16"/>
        <v>#N/A</v>
      </c>
      <c r="AJ47" s="14" t="e">
        <f t="shared" ca="1" si="16"/>
        <v>#N/A</v>
      </c>
      <c r="AK47" s="14" t="e">
        <f t="shared" ca="1" si="16"/>
        <v>#N/A</v>
      </c>
      <c r="AL47" s="14" t="e">
        <f t="shared" ca="1" si="16"/>
        <v>#N/A</v>
      </c>
      <c r="AM47" s="14" t="e">
        <f t="shared" ca="1" si="16"/>
        <v>#N/A</v>
      </c>
      <c r="AN47" s="14" t="e">
        <f t="shared" ca="1" si="16"/>
        <v>#N/A</v>
      </c>
      <c r="AO47" s="14" t="e">
        <f t="shared" ca="1" si="16"/>
        <v>#N/A</v>
      </c>
      <c r="AP47" s="14" t="e">
        <f t="shared" ca="1" si="16"/>
        <v>#N/A</v>
      </c>
      <c r="AQ47" s="14" t="e">
        <f t="shared" ca="1" si="16"/>
        <v>#N/A</v>
      </c>
      <c r="AR47" s="14" t="e">
        <f t="shared" ca="1" si="16"/>
        <v>#N/A</v>
      </c>
      <c r="AS47" s="14" t="e">
        <f t="shared" ca="1" si="16"/>
        <v>#N/A</v>
      </c>
      <c r="AT47" s="14" t="e">
        <f t="shared" ca="1" si="16"/>
        <v>#N/A</v>
      </c>
      <c r="AU47" s="14" t="e">
        <f t="shared" ca="1" si="16"/>
        <v>#N/A</v>
      </c>
      <c r="AV47" s="14" t="e">
        <f t="shared" ca="1" si="16"/>
        <v>#N/A</v>
      </c>
      <c r="AW47" s="14" t="e">
        <f t="shared" ca="1" si="16"/>
        <v>#N/A</v>
      </c>
      <c r="AX47" s="14" t="e">
        <f t="shared" ca="1" si="16"/>
        <v>#N/A</v>
      </c>
      <c r="AY47" s="14" t="e">
        <f t="shared" ca="1" si="16"/>
        <v>#N/A</v>
      </c>
      <c r="AZ47" s="14" t="e">
        <f t="shared" ca="1" si="16"/>
        <v>#N/A</v>
      </c>
      <c r="BA47" s="14" t="e">
        <f t="shared" ca="1" si="16"/>
        <v>#N/A</v>
      </c>
      <c r="BB47" s="14" t="e">
        <f t="shared" ca="1" si="16"/>
        <v>#N/A</v>
      </c>
      <c r="BC47" s="14" t="e">
        <f t="shared" ca="1" si="16"/>
        <v>#N/A</v>
      </c>
      <c r="BD47" s="14" t="e">
        <f t="shared" ca="1" si="16"/>
        <v>#N/A</v>
      </c>
      <c r="BE47" s="14" t="e">
        <f t="shared" ca="1" si="16"/>
        <v>#N/A</v>
      </c>
      <c r="BF47" s="14" t="e">
        <f t="shared" ca="1" si="16"/>
        <v>#N/A</v>
      </c>
      <c r="BG47" s="14" t="e">
        <f t="shared" ca="1" si="16"/>
        <v>#N/A</v>
      </c>
      <c r="BH47" s="14" t="e">
        <f t="shared" ca="1" si="16"/>
        <v>#N/A</v>
      </c>
      <c r="BI47" s="14" t="e">
        <f t="shared" ca="1" si="16"/>
        <v>#N/A</v>
      </c>
      <c r="BJ47" s="14" t="e">
        <f t="shared" ca="1" si="16"/>
        <v>#N/A</v>
      </c>
      <c r="BK47" s="14" t="e">
        <f t="shared" ca="1" si="16"/>
        <v>#N/A</v>
      </c>
      <c r="BL47" s="14" t="e">
        <f t="shared" ca="1" si="16"/>
        <v>#N/A</v>
      </c>
      <c r="BM47" s="14" t="e">
        <f t="shared" ca="1" si="16"/>
        <v>#N/A</v>
      </c>
      <c r="BN47" s="14" t="e">
        <f t="shared" ca="1" si="16"/>
        <v>#N/A</v>
      </c>
      <c r="BO47" s="14" t="e">
        <f t="shared" ca="1" si="16"/>
        <v>#N/A</v>
      </c>
      <c r="BP47" s="14" t="e">
        <f t="shared" ca="1" si="16"/>
        <v>#N/A</v>
      </c>
      <c r="BQ47" s="14" t="e">
        <f t="shared" ca="1" si="16"/>
        <v>#N/A</v>
      </c>
      <c r="BR47" s="14" t="e">
        <f t="shared" ca="1" si="16"/>
        <v>#N/A</v>
      </c>
      <c r="BS47" s="98"/>
    </row>
    <row r="48" spans="1:87" ht="21" customHeight="1" outlineLevel="1" thickBot="1" x14ac:dyDescent="0.4">
      <c r="A48" s="5">
        <f t="shared" si="14"/>
        <v>0</v>
      </c>
      <c r="B48" s="5">
        <f t="shared" si="14"/>
        <v>0</v>
      </c>
      <c r="C48" s="5">
        <f t="shared" si="14"/>
        <v>0</v>
      </c>
      <c r="D48" s="5">
        <f t="shared" si="14"/>
        <v>0</v>
      </c>
      <c r="E48" s="6">
        <f t="shared" si="14"/>
        <v>0</v>
      </c>
      <c r="F48" s="14" t="e">
        <f t="shared" ca="1" si="15"/>
        <v>#N/A</v>
      </c>
      <c r="G48" s="14" t="e">
        <f t="shared" ca="1" si="16"/>
        <v>#N/A</v>
      </c>
      <c r="H48" s="14" t="e">
        <f t="shared" ca="1" si="16"/>
        <v>#N/A</v>
      </c>
      <c r="I48" s="14" t="e">
        <f t="shared" ca="1" si="16"/>
        <v>#N/A</v>
      </c>
      <c r="J48" s="14" t="e">
        <f t="shared" ca="1" si="16"/>
        <v>#N/A</v>
      </c>
      <c r="K48" s="14" t="e">
        <f t="shared" ca="1" si="16"/>
        <v>#N/A</v>
      </c>
      <c r="L48" s="14" t="e">
        <f t="shared" ca="1" si="16"/>
        <v>#N/A</v>
      </c>
      <c r="M48" s="14" t="e">
        <f t="shared" ca="1" si="16"/>
        <v>#N/A</v>
      </c>
      <c r="N48" s="14" t="e">
        <f t="shared" ca="1" si="16"/>
        <v>#N/A</v>
      </c>
      <c r="O48" s="14" t="e">
        <f t="shared" ca="1" si="16"/>
        <v>#N/A</v>
      </c>
      <c r="P48" s="14" t="e">
        <f t="shared" ca="1" si="16"/>
        <v>#N/A</v>
      </c>
      <c r="Q48" s="14" t="e">
        <f t="shared" ca="1" si="16"/>
        <v>#N/A</v>
      </c>
      <c r="R48" s="14" t="e">
        <f t="shared" ca="1" si="16"/>
        <v>#N/A</v>
      </c>
      <c r="S48" s="14" t="e">
        <f t="shared" ca="1" si="16"/>
        <v>#N/A</v>
      </c>
      <c r="T48" s="14" t="e">
        <f t="shared" ca="1" si="16"/>
        <v>#N/A</v>
      </c>
      <c r="U48" s="14" t="e">
        <f t="shared" ca="1" si="16"/>
        <v>#N/A</v>
      </c>
      <c r="V48" s="14" t="e">
        <f t="shared" ca="1" si="16"/>
        <v>#N/A</v>
      </c>
      <c r="W48" s="14" t="e">
        <f t="shared" ca="1" si="16"/>
        <v>#N/A</v>
      </c>
      <c r="X48" s="14" t="e">
        <f t="shared" ca="1" si="16"/>
        <v>#N/A</v>
      </c>
      <c r="Y48" s="14" t="e">
        <f t="shared" ca="1" si="16"/>
        <v>#N/A</v>
      </c>
      <c r="Z48" s="14" t="e">
        <f t="shared" ca="1" si="16"/>
        <v>#N/A</v>
      </c>
      <c r="AA48" s="14" t="e">
        <f t="shared" ca="1" si="16"/>
        <v>#N/A</v>
      </c>
      <c r="AB48" s="14" t="e">
        <f t="shared" ca="1" si="16"/>
        <v>#N/A</v>
      </c>
      <c r="AC48" s="14" t="e">
        <f t="shared" ca="1" si="16"/>
        <v>#N/A</v>
      </c>
      <c r="AD48" s="14" t="e">
        <f t="shared" ca="1" si="16"/>
        <v>#N/A</v>
      </c>
      <c r="AE48" s="14" t="e">
        <f t="shared" ca="1" si="16"/>
        <v>#N/A</v>
      </c>
      <c r="AF48" s="14" t="e">
        <f t="shared" ca="1" si="16"/>
        <v>#N/A</v>
      </c>
      <c r="AG48" s="14" t="e">
        <f t="shared" ca="1" si="16"/>
        <v>#N/A</v>
      </c>
      <c r="AH48" s="14" t="e">
        <f t="shared" ca="1" si="16"/>
        <v>#N/A</v>
      </c>
      <c r="AI48" s="14" t="e">
        <f t="shared" ca="1" si="16"/>
        <v>#N/A</v>
      </c>
      <c r="AJ48" s="14" t="e">
        <f t="shared" ca="1" si="16"/>
        <v>#N/A</v>
      </c>
      <c r="AK48" s="14" t="e">
        <f t="shared" ca="1" si="16"/>
        <v>#N/A</v>
      </c>
      <c r="AL48" s="14" t="e">
        <f t="shared" ca="1" si="16"/>
        <v>#N/A</v>
      </c>
      <c r="AM48" s="14" t="e">
        <f t="shared" ca="1" si="16"/>
        <v>#N/A</v>
      </c>
      <c r="AN48" s="14" t="e">
        <f t="shared" ca="1" si="16"/>
        <v>#N/A</v>
      </c>
      <c r="AO48" s="14" t="e">
        <f t="shared" ca="1" si="16"/>
        <v>#N/A</v>
      </c>
      <c r="AP48" s="14" t="e">
        <f t="shared" ca="1" si="16"/>
        <v>#N/A</v>
      </c>
      <c r="AQ48" s="14" t="e">
        <f t="shared" ca="1" si="16"/>
        <v>#N/A</v>
      </c>
      <c r="AR48" s="14" t="e">
        <f t="shared" ca="1" si="16"/>
        <v>#N/A</v>
      </c>
      <c r="AS48" s="14" t="e">
        <f t="shared" ca="1" si="16"/>
        <v>#N/A</v>
      </c>
      <c r="AT48" s="14" t="e">
        <f t="shared" ca="1" si="16"/>
        <v>#N/A</v>
      </c>
      <c r="AU48" s="14" t="e">
        <f t="shared" ca="1" si="16"/>
        <v>#N/A</v>
      </c>
      <c r="AV48" s="14" t="e">
        <f t="shared" ca="1" si="16"/>
        <v>#N/A</v>
      </c>
      <c r="AW48" s="14" t="e">
        <f t="shared" ca="1" si="16"/>
        <v>#N/A</v>
      </c>
      <c r="AX48" s="14" t="e">
        <f t="shared" ca="1" si="16"/>
        <v>#N/A</v>
      </c>
      <c r="AY48" s="14" t="e">
        <f t="shared" ca="1" si="16"/>
        <v>#N/A</v>
      </c>
      <c r="AZ48" s="14" t="e">
        <f t="shared" ca="1" si="16"/>
        <v>#N/A</v>
      </c>
      <c r="BA48" s="14" t="e">
        <f t="shared" ca="1" si="16"/>
        <v>#N/A</v>
      </c>
      <c r="BB48" s="14" t="e">
        <f t="shared" ca="1" si="16"/>
        <v>#N/A</v>
      </c>
      <c r="BC48" s="14" t="e">
        <f t="shared" ca="1" si="16"/>
        <v>#N/A</v>
      </c>
      <c r="BD48" s="14" t="e">
        <f t="shared" ca="1" si="16"/>
        <v>#N/A</v>
      </c>
      <c r="BE48" s="14" t="e">
        <f t="shared" ca="1" si="16"/>
        <v>#N/A</v>
      </c>
      <c r="BF48" s="14" t="e">
        <f t="shared" ca="1" si="16"/>
        <v>#N/A</v>
      </c>
      <c r="BG48" s="14" t="e">
        <f t="shared" ca="1" si="16"/>
        <v>#N/A</v>
      </c>
      <c r="BH48" s="14" t="e">
        <f t="shared" ca="1" si="16"/>
        <v>#N/A</v>
      </c>
      <c r="BI48" s="14" t="e">
        <f t="shared" ca="1" si="16"/>
        <v>#N/A</v>
      </c>
      <c r="BJ48" s="14" t="e">
        <f t="shared" ca="1" si="16"/>
        <v>#N/A</v>
      </c>
      <c r="BK48" s="14" t="e">
        <f t="shared" ca="1" si="16"/>
        <v>#N/A</v>
      </c>
      <c r="BL48" s="14" t="e">
        <f t="shared" ca="1" si="16"/>
        <v>#N/A</v>
      </c>
      <c r="BM48" s="14" t="e">
        <f t="shared" ca="1" si="16"/>
        <v>#N/A</v>
      </c>
      <c r="BN48" s="14" t="e">
        <f t="shared" ca="1" si="16"/>
        <v>#N/A</v>
      </c>
      <c r="BO48" s="14" t="e">
        <f t="shared" ca="1" si="16"/>
        <v>#N/A</v>
      </c>
      <c r="BP48" s="14" t="e">
        <f t="shared" ca="1" si="16"/>
        <v>#N/A</v>
      </c>
      <c r="BQ48" s="14" t="e">
        <f t="shared" ca="1" si="16"/>
        <v>#N/A</v>
      </c>
      <c r="BR48" s="14" t="e">
        <f t="shared" ca="1" si="16"/>
        <v>#N/A</v>
      </c>
      <c r="BS48" s="98"/>
    </row>
    <row r="49" spans="1:71" ht="21" customHeight="1" outlineLevel="1" thickBot="1" x14ac:dyDescent="0.4">
      <c r="A49" s="5">
        <f t="shared" si="14"/>
        <v>0</v>
      </c>
      <c r="B49" s="5">
        <f t="shared" si="14"/>
        <v>0</v>
      </c>
      <c r="C49" s="5">
        <f t="shared" si="14"/>
        <v>0</v>
      </c>
      <c r="D49" s="5">
        <f t="shared" si="14"/>
        <v>0</v>
      </c>
      <c r="E49" s="6">
        <f t="shared" si="14"/>
        <v>0</v>
      </c>
      <c r="F49" s="14" t="e">
        <f t="shared" ca="1" si="15"/>
        <v>#N/A</v>
      </c>
      <c r="G49" s="14" t="e">
        <f t="shared" ca="1" si="16"/>
        <v>#N/A</v>
      </c>
      <c r="H49" s="14" t="e">
        <f t="shared" ca="1" si="16"/>
        <v>#N/A</v>
      </c>
      <c r="I49" s="14" t="e">
        <f t="shared" ca="1" si="16"/>
        <v>#N/A</v>
      </c>
      <c r="J49" s="14" t="e">
        <f t="shared" ca="1" si="16"/>
        <v>#N/A</v>
      </c>
      <c r="K49" s="14" t="e">
        <f t="shared" ca="1" si="16"/>
        <v>#N/A</v>
      </c>
      <c r="L49" s="14" t="e">
        <f t="shared" ca="1" si="16"/>
        <v>#N/A</v>
      </c>
      <c r="M49" s="14" t="e">
        <f t="shared" ca="1" si="16"/>
        <v>#N/A</v>
      </c>
      <c r="N49" s="14" t="e">
        <f t="shared" ca="1" si="16"/>
        <v>#N/A</v>
      </c>
      <c r="O49" s="14" t="e">
        <f t="shared" ca="1" si="16"/>
        <v>#N/A</v>
      </c>
      <c r="P49" s="14" t="e">
        <f t="shared" ca="1" si="16"/>
        <v>#N/A</v>
      </c>
      <c r="Q49" s="14" t="e">
        <f t="shared" ca="1" si="16"/>
        <v>#N/A</v>
      </c>
      <c r="R49" s="14" t="e">
        <f t="shared" ca="1" si="16"/>
        <v>#N/A</v>
      </c>
      <c r="S49" s="14" t="e">
        <f t="shared" ca="1" si="16"/>
        <v>#N/A</v>
      </c>
      <c r="T49" s="14" t="e">
        <f t="shared" ca="1" si="16"/>
        <v>#N/A</v>
      </c>
      <c r="U49" s="14" t="e">
        <f t="shared" ca="1" si="16"/>
        <v>#N/A</v>
      </c>
      <c r="V49" s="14" t="e">
        <f t="shared" ca="1" si="16"/>
        <v>#N/A</v>
      </c>
      <c r="W49" s="14" t="e">
        <f t="shared" ca="1" si="16"/>
        <v>#N/A</v>
      </c>
      <c r="X49" s="14" t="e">
        <f t="shared" ca="1" si="16"/>
        <v>#N/A</v>
      </c>
      <c r="Y49" s="14" t="e">
        <f t="shared" ca="1" si="16"/>
        <v>#N/A</v>
      </c>
      <c r="Z49" s="14" t="e">
        <f t="shared" ca="1" si="16"/>
        <v>#N/A</v>
      </c>
      <c r="AA49" s="14" t="e">
        <f t="shared" ca="1" si="16"/>
        <v>#N/A</v>
      </c>
      <c r="AB49" s="14" t="e">
        <f t="shared" ca="1" si="16"/>
        <v>#N/A</v>
      </c>
      <c r="AC49" s="14" t="e">
        <f t="shared" ca="1" si="16"/>
        <v>#N/A</v>
      </c>
      <c r="AD49" s="14" t="e">
        <f t="shared" ca="1" si="16"/>
        <v>#N/A</v>
      </c>
      <c r="AE49" s="14" t="e">
        <f t="shared" ca="1" si="16"/>
        <v>#N/A</v>
      </c>
      <c r="AF49" s="14" t="e">
        <f t="shared" ca="1" si="16"/>
        <v>#N/A</v>
      </c>
      <c r="AG49" s="14" t="e">
        <f t="shared" ca="1" si="16"/>
        <v>#N/A</v>
      </c>
      <c r="AH49" s="14" t="e">
        <f t="shared" ca="1" si="16"/>
        <v>#N/A</v>
      </c>
      <c r="AI49" s="14" t="e">
        <f t="shared" ca="1" si="16"/>
        <v>#N/A</v>
      </c>
      <c r="AJ49" s="14" t="e">
        <f t="shared" ca="1" si="16"/>
        <v>#N/A</v>
      </c>
      <c r="AK49" s="14" t="e">
        <f t="shared" ca="1" si="16"/>
        <v>#N/A</v>
      </c>
      <c r="AL49" s="14" t="e">
        <f t="shared" ca="1" si="16"/>
        <v>#N/A</v>
      </c>
      <c r="AM49" s="14" t="e">
        <f t="shared" ca="1" si="16"/>
        <v>#N/A</v>
      </c>
      <c r="AN49" s="14" t="e">
        <f t="shared" ca="1" si="16"/>
        <v>#N/A</v>
      </c>
      <c r="AO49" s="14" t="e">
        <f t="shared" ca="1" si="16"/>
        <v>#N/A</v>
      </c>
      <c r="AP49" s="14" t="e">
        <f t="shared" ca="1" si="16"/>
        <v>#N/A</v>
      </c>
      <c r="AQ49" s="14" t="e">
        <f t="shared" ca="1" si="16"/>
        <v>#N/A</v>
      </c>
      <c r="AR49" s="14" t="e">
        <f t="shared" ca="1" si="16"/>
        <v>#N/A</v>
      </c>
      <c r="AS49" s="14" t="e">
        <f t="shared" ca="1" si="16"/>
        <v>#N/A</v>
      </c>
      <c r="AT49" s="14" t="e">
        <f t="shared" ca="1" si="16"/>
        <v>#N/A</v>
      </c>
      <c r="AU49" s="14" t="e">
        <f t="shared" ca="1" si="16"/>
        <v>#N/A</v>
      </c>
      <c r="AV49" s="14" t="e">
        <f t="shared" ca="1" si="16"/>
        <v>#N/A</v>
      </c>
      <c r="AW49" s="14" t="e">
        <f t="shared" ca="1" si="16"/>
        <v>#N/A</v>
      </c>
      <c r="AX49" s="14" t="e">
        <f t="shared" ca="1" si="16"/>
        <v>#N/A</v>
      </c>
      <c r="AY49" s="14" t="e">
        <f t="shared" ca="1" si="16"/>
        <v>#N/A</v>
      </c>
      <c r="AZ49" s="14" t="e">
        <f t="shared" ca="1" si="16"/>
        <v>#N/A</v>
      </c>
      <c r="BA49" s="14" t="e">
        <f t="shared" ca="1" si="16"/>
        <v>#N/A</v>
      </c>
      <c r="BB49" s="14" t="e">
        <f t="shared" ca="1" si="16"/>
        <v>#N/A</v>
      </c>
      <c r="BC49" s="14" t="e">
        <f t="shared" ca="1" si="16"/>
        <v>#N/A</v>
      </c>
      <c r="BD49" s="14" t="e">
        <f t="shared" ca="1" si="16"/>
        <v>#N/A</v>
      </c>
      <c r="BE49" s="14" t="e">
        <f t="shared" ca="1" si="16"/>
        <v>#N/A</v>
      </c>
      <c r="BF49" s="14" t="e">
        <f t="shared" ca="1" si="16"/>
        <v>#N/A</v>
      </c>
      <c r="BG49" s="14" t="e">
        <f t="shared" ca="1" si="16"/>
        <v>#N/A</v>
      </c>
      <c r="BH49" s="14" t="e">
        <f t="shared" ca="1" si="16"/>
        <v>#N/A</v>
      </c>
      <c r="BI49" s="14" t="e">
        <f t="shared" ca="1" si="16"/>
        <v>#N/A</v>
      </c>
      <c r="BJ49" s="14" t="e">
        <f t="shared" ca="1" si="16"/>
        <v>#N/A</v>
      </c>
      <c r="BK49" s="14" t="e">
        <f t="shared" ca="1" si="16"/>
        <v>#N/A</v>
      </c>
      <c r="BL49" s="14" t="e">
        <f t="shared" ca="1" si="16"/>
        <v>#N/A</v>
      </c>
      <c r="BM49" s="14" t="e">
        <f t="shared" ca="1" si="16"/>
        <v>#N/A</v>
      </c>
      <c r="BN49" s="14" t="e">
        <f t="shared" ca="1" si="16"/>
        <v>#N/A</v>
      </c>
      <c r="BO49" s="14" t="e">
        <f t="shared" ca="1" si="16"/>
        <v>#N/A</v>
      </c>
      <c r="BP49" s="14" t="e">
        <f t="shared" ca="1" si="16"/>
        <v>#N/A</v>
      </c>
      <c r="BQ49" s="14" t="e">
        <f t="shared" ca="1" si="16"/>
        <v>#N/A</v>
      </c>
      <c r="BR49" s="14" t="e">
        <f t="shared" ca="1" si="16"/>
        <v>#N/A</v>
      </c>
      <c r="BS49" s="98"/>
    </row>
    <row r="50" spans="1:71" ht="21" customHeight="1" outlineLevel="1" thickBot="1" x14ac:dyDescent="0.4">
      <c r="A50" s="5">
        <f t="shared" si="14"/>
        <v>0</v>
      </c>
      <c r="B50" s="5">
        <f t="shared" si="14"/>
        <v>0</v>
      </c>
      <c r="C50" s="5">
        <f t="shared" si="14"/>
        <v>0</v>
      </c>
      <c r="D50" s="5">
        <f t="shared" si="14"/>
        <v>0</v>
      </c>
      <c r="E50" s="6">
        <f t="shared" si="14"/>
        <v>0</v>
      </c>
      <c r="F50" s="14" t="e">
        <f t="shared" ca="1" si="15"/>
        <v>#N/A</v>
      </c>
      <c r="G50" s="14" t="e">
        <f t="shared" ca="1" si="16"/>
        <v>#N/A</v>
      </c>
      <c r="H50" s="14" t="e">
        <f t="shared" ca="1" si="16"/>
        <v>#N/A</v>
      </c>
      <c r="I50" s="14" t="e">
        <f t="shared" ca="1" si="16"/>
        <v>#N/A</v>
      </c>
      <c r="J50" s="14" t="e">
        <f t="shared" ca="1" si="16"/>
        <v>#N/A</v>
      </c>
      <c r="K50" s="14" t="e">
        <f t="shared" ca="1" si="16"/>
        <v>#N/A</v>
      </c>
      <c r="L50" s="14" t="e">
        <f t="shared" ca="1" si="16"/>
        <v>#N/A</v>
      </c>
      <c r="M50" s="14" t="e">
        <f t="shared" ca="1" si="16"/>
        <v>#N/A</v>
      </c>
      <c r="N50" s="14" t="e">
        <f t="shared" ca="1" si="16"/>
        <v>#N/A</v>
      </c>
      <c r="O50" s="14" t="e">
        <f t="shared" ca="1" si="16"/>
        <v>#N/A</v>
      </c>
      <c r="P50" s="14" t="e">
        <f t="shared" ca="1" si="16"/>
        <v>#N/A</v>
      </c>
      <c r="Q50" s="14" t="e">
        <f t="shared" ca="1" si="16"/>
        <v>#N/A</v>
      </c>
      <c r="R50" s="14" t="e">
        <f t="shared" ca="1" si="16"/>
        <v>#N/A</v>
      </c>
      <c r="S50" s="14" t="e">
        <f t="shared" ca="1" si="16"/>
        <v>#N/A</v>
      </c>
      <c r="T50" s="14" t="e">
        <f t="shared" ca="1" si="16"/>
        <v>#N/A</v>
      </c>
      <c r="U50" s="14" t="e">
        <f t="shared" ref="G50:BR54" ca="1" si="17">$A50*H.Ar + $B50*H.Se + $C50*H.Ge + $D50*H.Ga</f>
        <v>#N/A</v>
      </c>
      <c r="V50" s="14" t="e">
        <f t="shared" ca="1" si="17"/>
        <v>#N/A</v>
      </c>
      <c r="W50" s="14" t="e">
        <f t="shared" ca="1" si="17"/>
        <v>#N/A</v>
      </c>
      <c r="X50" s="14" t="e">
        <f t="shared" ca="1" si="17"/>
        <v>#N/A</v>
      </c>
      <c r="Y50" s="14" t="e">
        <f t="shared" ca="1" si="17"/>
        <v>#N/A</v>
      </c>
      <c r="Z50" s="14" t="e">
        <f t="shared" ca="1" si="17"/>
        <v>#N/A</v>
      </c>
      <c r="AA50" s="14" t="e">
        <f t="shared" ca="1" si="17"/>
        <v>#N/A</v>
      </c>
      <c r="AB50" s="14" t="e">
        <f t="shared" ca="1" si="17"/>
        <v>#N/A</v>
      </c>
      <c r="AC50" s="14" t="e">
        <f t="shared" ca="1" si="17"/>
        <v>#N/A</v>
      </c>
      <c r="AD50" s="14" t="e">
        <f t="shared" ca="1" si="17"/>
        <v>#N/A</v>
      </c>
      <c r="AE50" s="14" t="e">
        <f t="shared" ca="1" si="17"/>
        <v>#N/A</v>
      </c>
      <c r="AF50" s="14" t="e">
        <f t="shared" ca="1" si="17"/>
        <v>#N/A</v>
      </c>
      <c r="AG50" s="14" t="e">
        <f t="shared" ca="1" si="17"/>
        <v>#N/A</v>
      </c>
      <c r="AH50" s="14" t="e">
        <f t="shared" ca="1" si="17"/>
        <v>#N/A</v>
      </c>
      <c r="AI50" s="14" t="e">
        <f t="shared" ca="1" si="17"/>
        <v>#N/A</v>
      </c>
      <c r="AJ50" s="14" t="e">
        <f t="shared" ca="1" si="17"/>
        <v>#N/A</v>
      </c>
      <c r="AK50" s="14" t="e">
        <f t="shared" ca="1" si="17"/>
        <v>#N/A</v>
      </c>
      <c r="AL50" s="14" t="e">
        <f t="shared" ca="1" si="17"/>
        <v>#N/A</v>
      </c>
      <c r="AM50" s="14" t="e">
        <f t="shared" ca="1" si="17"/>
        <v>#N/A</v>
      </c>
      <c r="AN50" s="14" t="e">
        <f t="shared" ca="1" si="17"/>
        <v>#N/A</v>
      </c>
      <c r="AO50" s="14" t="e">
        <f t="shared" ca="1" si="17"/>
        <v>#N/A</v>
      </c>
      <c r="AP50" s="14" t="e">
        <f t="shared" ca="1" si="17"/>
        <v>#N/A</v>
      </c>
      <c r="AQ50" s="14" t="e">
        <f t="shared" ca="1" si="17"/>
        <v>#N/A</v>
      </c>
      <c r="AR50" s="14" t="e">
        <f t="shared" ca="1" si="17"/>
        <v>#N/A</v>
      </c>
      <c r="AS50" s="14" t="e">
        <f t="shared" ca="1" si="17"/>
        <v>#N/A</v>
      </c>
      <c r="AT50" s="14" t="e">
        <f t="shared" ca="1" si="17"/>
        <v>#N/A</v>
      </c>
      <c r="AU50" s="14" t="e">
        <f t="shared" ca="1" si="17"/>
        <v>#N/A</v>
      </c>
      <c r="AV50" s="14" t="e">
        <f t="shared" ca="1" si="17"/>
        <v>#N/A</v>
      </c>
      <c r="AW50" s="14" t="e">
        <f t="shared" ca="1" si="17"/>
        <v>#N/A</v>
      </c>
      <c r="AX50" s="14" t="e">
        <f t="shared" ca="1" si="17"/>
        <v>#N/A</v>
      </c>
      <c r="AY50" s="14" t="e">
        <f t="shared" ca="1" si="17"/>
        <v>#N/A</v>
      </c>
      <c r="AZ50" s="14" t="e">
        <f t="shared" ca="1" si="17"/>
        <v>#N/A</v>
      </c>
      <c r="BA50" s="14" t="e">
        <f t="shared" ca="1" si="17"/>
        <v>#N/A</v>
      </c>
      <c r="BB50" s="14" t="e">
        <f t="shared" ca="1" si="17"/>
        <v>#N/A</v>
      </c>
      <c r="BC50" s="14" t="e">
        <f t="shared" ca="1" si="17"/>
        <v>#N/A</v>
      </c>
      <c r="BD50" s="14" t="e">
        <f t="shared" ca="1" si="17"/>
        <v>#N/A</v>
      </c>
      <c r="BE50" s="14" t="e">
        <f t="shared" ca="1" si="17"/>
        <v>#N/A</v>
      </c>
      <c r="BF50" s="14" t="e">
        <f t="shared" ca="1" si="17"/>
        <v>#N/A</v>
      </c>
      <c r="BG50" s="14" t="e">
        <f t="shared" ca="1" si="17"/>
        <v>#N/A</v>
      </c>
      <c r="BH50" s="14" t="e">
        <f t="shared" ca="1" si="17"/>
        <v>#N/A</v>
      </c>
      <c r="BI50" s="14" t="e">
        <f t="shared" ca="1" si="17"/>
        <v>#N/A</v>
      </c>
      <c r="BJ50" s="14" t="e">
        <f t="shared" ca="1" si="17"/>
        <v>#N/A</v>
      </c>
      <c r="BK50" s="14" t="e">
        <f t="shared" ca="1" si="17"/>
        <v>#N/A</v>
      </c>
      <c r="BL50" s="14" t="e">
        <f t="shared" ca="1" si="17"/>
        <v>#N/A</v>
      </c>
      <c r="BM50" s="14" t="e">
        <f t="shared" ca="1" si="17"/>
        <v>#N/A</v>
      </c>
      <c r="BN50" s="14" t="e">
        <f t="shared" ca="1" si="17"/>
        <v>#N/A</v>
      </c>
      <c r="BO50" s="14" t="e">
        <f t="shared" ca="1" si="17"/>
        <v>#N/A</v>
      </c>
      <c r="BP50" s="14" t="e">
        <f t="shared" ca="1" si="17"/>
        <v>#N/A</v>
      </c>
      <c r="BQ50" s="14" t="e">
        <f t="shared" ca="1" si="17"/>
        <v>#N/A</v>
      </c>
      <c r="BR50" s="14" t="e">
        <f t="shared" ca="1" si="17"/>
        <v>#N/A</v>
      </c>
      <c r="BS50" s="98"/>
    </row>
    <row r="51" spans="1:71" ht="21" customHeight="1" outlineLevel="1" thickBot="1" x14ac:dyDescent="0.4">
      <c r="A51" s="5">
        <f t="shared" si="14"/>
        <v>0</v>
      </c>
      <c r="B51" s="5">
        <f t="shared" si="14"/>
        <v>0</v>
      </c>
      <c r="C51" s="5">
        <f t="shared" si="14"/>
        <v>0</v>
      </c>
      <c r="D51" s="5">
        <f t="shared" si="14"/>
        <v>0</v>
      </c>
      <c r="E51" s="6">
        <f t="shared" si="14"/>
        <v>0</v>
      </c>
      <c r="F51" s="14" t="e">
        <f t="shared" ca="1" si="15"/>
        <v>#N/A</v>
      </c>
      <c r="G51" s="14" t="e">
        <f t="shared" ca="1" si="17"/>
        <v>#N/A</v>
      </c>
      <c r="H51" s="14" t="e">
        <f t="shared" ca="1" si="17"/>
        <v>#N/A</v>
      </c>
      <c r="I51" s="14" t="e">
        <f t="shared" ca="1" si="17"/>
        <v>#N/A</v>
      </c>
      <c r="J51" s="14" t="e">
        <f t="shared" ca="1" si="17"/>
        <v>#N/A</v>
      </c>
      <c r="K51" s="14" t="e">
        <f t="shared" ca="1" si="17"/>
        <v>#N/A</v>
      </c>
      <c r="L51" s="14" t="e">
        <f t="shared" ca="1" si="17"/>
        <v>#N/A</v>
      </c>
      <c r="M51" s="14" t="e">
        <f t="shared" ca="1" si="17"/>
        <v>#N/A</v>
      </c>
      <c r="N51" s="14" t="e">
        <f t="shared" ca="1" si="17"/>
        <v>#N/A</v>
      </c>
      <c r="O51" s="14" t="e">
        <f t="shared" ca="1" si="17"/>
        <v>#N/A</v>
      </c>
      <c r="P51" s="14" t="e">
        <f t="shared" ca="1" si="17"/>
        <v>#N/A</v>
      </c>
      <c r="Q51" s="14" t="e">
        <f t="shared" ca="1" si="17"/>
        <v>#N/A</v>
      </c>
      <c r="R51" s="14" t="e">
        <f t="shared" ca="1" si="17"/>
        <v>#N/A</v>
      </c>
      <c r="S51" s="14" t="e">
        <f t="shared" ca="1" si="17"/>
        <v>#N/A</v>
      </c>
      <c r="T51" s="14" t="e">
        <f t="shared" ca="1" si="17"/>
        <v>#N/A</v>
      </c>
      <c r="U51" s="14" t="e">
        <f t="shared" ca="1" si="17"/>
        <v>#N/A</v>
      </c>
      <c r="V51" s="14" t="e">
        <f t="shared" ca="1" si="17"/>
        <v>#N/A</v>
      </c>
      <c r="W51" s="14" t="e">
        <f t="shared" ca="1" si="17"/>
        <v>#N/A</v>
      </c>
      <c r="X51" s="14" t="e">
        <f t="shared" ca="1" si="17"/>
        <v>#N/A</v>
      </c>
      <c r="Y51" s="14" t="e">
        <f t="shared" ca="1" si="17"/>
        <v>#N/A</v>
      </c>
      <c r="Z51" s="14" t="e">
        <f t="shared" ca="1" si="17"/>
        <v>#N/A</v>
      </c>
      <c r="AA51" s="14" t="e">
        <f t="shared" ca="1" si="17"/>
        <v>#N/A</v>
      </c>
      <c r="AB51" s="14" t="e">
        <f t="shared" ca="1" si="17"/>
        <v>#N/A</v>
      </c>
      <c r="AC51" s="14" t="e">
        <f t="shared" ca="1" si="17"/>
        <v>#N/A</v>
      </c>
      <c r="AD51" s="14" t="e">
        <f t="shared" ca="1" si="17"/>
        <v>#N/A</v>
      </c>
      <c r="AE51" s="14" t="e">
        <f t="shared" ca="1" si="17"/>
        <v>#N/A</v>
      </c>
      <c r="AF51" s="14" t="e">
        <f t="shared" ca="1" si="17"/>
        <v>#N/A</v>
      </c>
      <c r="AG51" s="14" t="e">
        <f t="shared" ca="1" si="17"/>
        <v>#N/A</v>
      </c>
      <c r="AH51" s="14" t="e">
        <f t="shared" ca="1" si="17"/>
        <v>#N/A</v>
      </c>
      <c r="AI51" s="14" t="e">
        <f t="shared" ca="1" si="17"/>
        <v>#N/A</v>
      </c>
      <c r="AJ51" s="14" t="e">
        <f t="shared" ca="1" si="17"/>
        <v>#N/A</v>
      </c>
      <c r="AK51" s="14" t="e">
        <f t="shared" ca="1" si="17"/>
        <v>#N/A</v>
      </c>
      <c r="AL51" s="14" t="e">
        <f t="shared" ca="1" si="17"/>
        <v>#N/A</v>
      </c>
      <c r="AM51" s="14" t="e">
        <f t="shared" ca="1" si="17"/>
        <v>#N/A</v>
      </c>
      <c r="AN51" s="14" t="e">
        <f t="shared" ca="1" si="17"/>
        <v>#N/A</v>
      </c>
      <c r="AO51" s="14" t="e">
        <f t="shared" ca="1" si="17"/>
        <v>#N/A</v>
      </c>
      <c r="AP51" s="14" t="e">
        <f t="shared" ca="1" si="17"/>
        <v>#N/A</v>
      </c>
      <c r="AQ51" s="14" t="e">
        <f t="shared" ca="1" si="17"/>
        <v>#N/A</v>
      </c>
      <c r="AR51" s="14" t="e">
        <f t="shared" ca="1" si="17"/>
        <v>#N/A</v>
      </c>
      <c r="AS51" s="14" t="e">
        <f t="shared" ca="1" si="17"/>
        <v>#N/A</v>
      </c>
      <c r="AT51" s="14" t="e">
        <f t="shared" ca="1" si="17"/>
        <v>#N/A</v>
      </c>
      <c r="AU51" s="14" t="e">
        <f t="shared" ca="1" si="17"/>
        <v>#N/A</v>
      </c>
      <c r="AV51" s="14" t="e">
        <f t="shared" ca="1" si="17"/>
        <v>#N/A</v>
      </c>
      <c r="AW51" s="14" t="e">
        <f t="shared" ca="1" si="17"/>
        <v>#N/A</v>
      </c>
      <c r="AX51" s="14" t="e">
        <f t="shared" ca="1" si="17"/>
        <v>#N/A</v>
      </c>
      <c r="AY51" s="14" t="e">
        <f t="shared" ca="1" si="17"/>
        <v>#N/A</v>
      </c>
      <c r="AZ51" s="14" t="e">
        <f t="shared" ca="1" si="17"/>
        <v>#N/A</v>
      </c>
      <c r="BA51" s="14" t="e">
        <f t="shared" ca="1" si="17"/>
        <v>#N/A</v>
      </c>
      <c r="BB51" s="14" t="e">
        <f t="shared" ca="1" si="17"/>
        <v>#N/A</v>
      </c>
      <c r="BC51" s="14" t="e">
        <f t="shared" ca="1" si="17"/>
        <v>#N/A</v>
      </c>
      <c r="BD51" s="14" t="e">
        <f t="shared" ca="1" si="17"/>
        <v>#N/A</v>
      </c>
      <c r="BE51" s="14" t="e">
        <f t="shared" ca="1" si="17"/>
        <v>#N/A</v>
      </c>
      <c r="BF51" s="14" t="e">
        <f t="shared" ca="1" si="17"/>
        <v>#N/A</v>
      </c>
      <c r="BG51" s="14" t="e">
        <f t="shared" ca="1" si="17"/>
        <v>#N/A</v>
      </c>
      <c r="BH51" s="14" t="e">
        <f t="shared" ca="1" si="17"/>
        <v>#N/A</v>
      </c>
      <c r="BI51" s="14" t="e">
        <f t="shared" ca="1" si="17"/>
        <v>#N/A</v>
      </c>
      <c r="BJ51" s="14" t="e">
        <f t="shared" ca="1" si="17"/>
        <v>#N/A</v>
      </c>
      <c r="BK51" s="14" t="e">
        <f t="shared" ca="1" si="17"/>
        <v>#N/A</v>
      </c>
      <c r="BL51" s="14" t="e">
        <f t="shared" ca="1" si="17"/>
        <v>#N/A</v>
      </c>
      <c r="BM51" s="14" t="e">
        <f t="shared" ca="1" si="17"/>
        <v>#N/A</v>
      </c>
      <c r="BN51" s="14" t="e">
        <f t="shared" ca="1" si="17"/>
        <v>#N/A</v>
      </c>
      <c r="BO51" s="14" t="e">
        <f t="shared" ca="1" si="17"/>
        <v>#N/A</v>
      </c>
      <c r="BP51" s="14" t="e">
        <f t="shared" ca="1" si="17"/>
        <v>#N/A</v>
      </c>
      <c r="BQ51" s="14" t="e">
        <f t="shared" ca="1" si="17"/>
        <v>#N/A</v>
      </c>
      <c r="BR51" s="14" t="e">
        <f t="shared" ca="1" si="17"/>
        <v>#N/A</v>
      </c>
      <c r="BS51" s="98"/>
    </row>
    <row r="52" spans="1:71" ht="21" customHeight="1" outlineLevel="1" thickBot="1" x14ac:dyDescent="0.4">
      <c r="A52" s="5">
        <f t="shared" si="14"/>
        <v>0</v>
      </c>
      <c r="B52" s="5">
        <f t="shared" si="14"/>
        <v>0</v>
      </c>
      <c r="C52" s="5">
        <f t="shared" si="14"/>
        <v>0</v>
      </c>
      <c r="D52" s="5">
        <f t="shared" si="14"/>
        <v>0</v>
      </c>
      <c r="E52" s="6">
        <f t="shared" si="14"/>
        <v>0</v>
      </c>
      <c r="F52" s="14" t="e">
        <f t="shared" ca="1" si="15"/>
        <v>#N/A</v>
      </c>
      <c r="G52" s="14" t="e">
        <f t="shared" ca="1" si="17"/>
        <v>#N/A</v>
      </c>
      <c r="H52" s="14" t="e">
        <f t="shared" ca="1" si="17"/>
        <v>#N/A</v>
      </c>
      <c r="I52" s="14" t="e">
        <f t="shared" ca="1" si="17"/>
        <v>#N/A</v>
      </c>
      <c r="J52" s="14" t="e">
        <f t="shared" ca="1" si="17"/>
        <v>#N/A</v>
      </c>
      <c r="K52" s="14" t="e">
        <f t="shared" ca="1" si="17"/>
        <v>#N/A</v>
      </c>
      <c r="L52" s="14" t="e">
        <f t="shared" ca="1" si="17"/>
        <v>#N/A</v>
      </c>
      <c r="M52" s="14" t="e">
        <f t="shared" ca="1" si="17"/>
        <v>#N/A</v>
      </c>
      <c r="N52" s="14" t="e">
        <f t="shared" ca="1" si="17"/>
        <v>#N/A</v>
      </c>
      <c r="O52" s="14" t="e">
        <f t="shared" ca="1" si="17"/>
        <v>#N/A</v>
      </c>
      <c r="P52" s="14" t="e">
        <f t="shared" ca="1" si="17"/>
        <v>#N/A</v>
      </c>
      <c r="Q52" s="14" t="e">
        <f t="shared" ca="1" si="17"/>
        <v>#N/A</v>
      </c>
      <c r="R52" s="14" t="e">
        <f t="shared" ca="1" si="17"/>
        <v>#N/A</v>
      </c>
      <c r="S52" s="14" t="e">
        <f t="shared" ca="1" si="17"/>
        <v>#N/A</v>
      </c>
      <c r="T52" s="14" t="e">
        <f t="shared" ca="1" si="17"/>
        <v>#N/A</v>
      </c>
      <c r="U52" s="14" t="e">
        <f t="shared" ca="1" si="17"/>
        <v>#N/A</v>
      </c>
      <c r="V52" s="14" t="e">
        <f t="shared" ca="1" si="17"/>
        <v>#N/A</v>
      </c>
      <c r="W52" s="14" t="e">
        <f t="shared" ca="1" si="17"/>
        <v>#N/A</v>
      </c>
      <c r="X52" s="14" t="e">
        <f t="shared" ca="1" si="17"/>
        <v>#N/A</v>
      </c>
      <c r="Y52" s="14" t="e">
        <f t="shared" ca="1" si="17"/>
        <v>#N/A</v>
      </c>
      <c r="Z52" s="14" t="e">
        <f t="shared" ca="1" si="17"/>
        <v>#N/A</v>
      </c>
      <c r="AA52" s="14" t="e">
        <f t="shared" ca="1" si="17"/>
        <v>#N/A</v>
      </c>
      <c r="AB52" s="14" t="e">
        <f t="shared" ca="1" si="17"/>
        <v>#N/A</v>
      </c>
      <c r="AC52" s="14" t="e">
        <f t="shared" ca="1" si="17"/>
        <v>#N/A</v>
      </c>
      <c r="AD52" s="14" t="e">
        <f t="shared" ca="1" si="17"/>
        <v>#N/A</v>
      </c>
      <c r="AE52" s="14" t="e">
        <f t="shared" ca="1" si="17"/>
        <v>#N/A</v>
      </c>
      <c r="AF52" s="14" t="e">
        <f t="shared" ca="1" si="17"/>
        <v>#N/A</v>
      </c>
      <c r="AG52" s="14" t="e">
        <f t="shared" ca="1" si="17"/>
        <v>#N/A</v>
      </c>
      <c r="AH52" s="14" t="e">
        <f t="shared" ca="1" si="17"/>
        <v>#N/A</v>
      </c>
      <c r="AI52" s="14" t="e">
        <f t="shared" ca="1" si="17"/>
        <v>#N/A</v>
      </c>
      <c r="AJ52" s="14" t="e">
        <f t="shared" ca="1" si="17"/>
        <v>#N/A</v>
      </c>
      <c r="AK52" s="14" t="e">
        <f t="shared" ca="1" si="17"/>
        <v>#N/A</v>
      </c>
      <c r="AL52" s="14" t="e">
        <f t="shared" ca="1" si="17"/>
        <v>#N/A</v>
      </c>
      <c r="AM52" s="14" t="e">
        <f t="shared" ca="1" si="17"/>
        <v>#N/A</v>
      </c>
      <c r="AN52" s="14" t="e">
        <f t="shared" ca="1" si="17"/>
        <v>#N/A</v>
      </c>
      <c r="AO52" s="14" t="e">
        <f t="shared" ca="1" si="17"/>
        <v>#N/A</v>
      </c>
      <c r="AP52" s="14" t="e">
        <f t="shared" ca="1" si="17"/>
        <v>#N/A</v>
      </c>
      <c r="AQ52" s="14" t="e">
        <f t="shared" ca="1" si="17"/>
        <v>#N/A</v>
      </c>
      <c r="AR52" s="14" t="e">
        <f t="shared" ca="1" si="17"/>
        <v>#N/A</v>
      </c>
      <c r="AS52" s="14" t="e">
        <f t="shared" ca="1" si="17"/>
        <v>#N/A</v>
      </c>
      <c r="AT52" s="14" t="e">
        <f t="shared" ca="1" si="17"/>
        <v>#N/A</v>
      </c>
      <c r="AU52" s="14" t="e">
        <f t="shared" ca="1" si="17"/>
        <v>#N/A</v>
      </c>
      <c r="AV52" s="14" t="e">
        <f t="shared" ca="1" si="17"/>
        <v>#N/A</v>
      </c>
      <c r="AW52" s="14" t="e">
        <f t="shared" ca="1" si="17"/>
        <v>#N/A</v>
      </c>
      <c r="AX52" s="14" t="e">
        <f t="shared" ca="1" si="17"/>
        <v>#N/A</v>
      </c>
      <c r="AY52" s="14" t="e">
        <f t="shared" ca="1" si="17"/>
        <v>#N/A</v>
      </c>
      <c r="AZ52" s="14" t="e">
        <f t="shared" ca="1" si="17"/>
        <v>#N/A</v>
      </c>
      <c r="BA52" s="14" t="e">
        <f t="shared" ca="1" si="17"/>
        <v>#N/A</v>
      </c>
      <c r="BB52" s="14" t="e">
        <f t="shared" ca="1" si="17"/>
        <v>#N/A</v>
      </c>
      <c r="BC52" s="14" t="e">
        <f t="shared" ca="1" si="17"/>
        <v>#N/A</v>
      </c>
      <c r="BD52" s="14" t="e">
        <f t="shared" ca="1" si="17"/>
        <v>#N/A</v>
      </c>
      <c r="BE52" s="14" t="e">
        <f t="shared" ca="1" si="17"/>
        <v>#N/A</v>
      </c>
      <c r="BF52" s="14" t="e">
        <f t="shared" ca="1" si="17"/>
        <v>#N/A</v>
      </c>
      <c r="BG52" s="14" t="e">
        <f t="shared" ca="1" si="17"/>
        <v>#N/A</v>
      </c>
      <c r="BH52" s="14" t="e">
        <f t="shared" ca="1" si="17"/>
        <v>#N/A</v>
      </c>
      <c r="BI52" s="14" t="e">
        <f t="shared" ca="1" si="17"/>
        <v>#N/A</v>
      </c>
      <c r="BJ52" s="14" t="e">
        <f t="shared" ca="1" si="17"/>
        <v>#N/A</v>
      </c>
      <c r="BK52" s="14" t="e">
        <f t="shared" ca="1" si="17"/>
        <v>#N/A</v>
      </c>
      <c r="BL52" s="14" t="e">
        <f t="shared" ca="1" si="17"/>
        <v>#N/A</v>
      </c>
      <c r="BM52" s="14" t="e">
        <f t="shared" ca="1" si="17"/>
        <v>#N/A</v>
      </c>
      <c r="BN52" s="14" t="e">
        <f t="shared" ca="1" si="17"/>
        <v>#N/A</v>
      </c>
      <c r="BO52" s="14" t="e">
        <f t="shared" ca="1" si="17"/>
        <v>#N/A</v>
      </c>
      <c r="BP52" s="14" t="e">
        <f t="shared" ca="1" si="17"/>
        <v>#N/A</v>
      </c>
      <c r="BQ52" s="14" t="e">
        <f t="shared" ca="1" si="17"/>
        <v>#N/A</v>
      </c>
      <c r="BR52" s="14" t="e">
        <f t="shared" ca="1" si="17"/>
        <v>#N/A</v>
      </c>
      <c r="BS52" s="98"/>
    </row>
    <row r="53" spans="1:71" ht="21" customHeight="1" outlineLevel="1" thickBot="1" x14ac:dyDescent="0.4">
      <c r="A53" s="5">
        <f t="shared" si="14"/>
        <v>0</v>
      </c>
      <c r="B53" s="5">
        <f t="shared" si="14"/>
        <v>0</v>
      </c>
      <c r="C53" s="5">
        <f t="shared" si="14"/>
        <v>0</v>
      </c>
      <c r="D53" s="5">
        <f t="shared" si="14"/>
        <v>0</v>
      </c>
      <c r="E53" s="6">
        <f t="shared" si="14"/>
        <v>0</v>
      </c>
      <c r="F53" s="14" t="e">
        <f t="shared" ca="1" si="15"/>
        <v>#N/A</v>
      </c>
      <c r="G53" s="14" t="e">
        <f t="shared" ca="1" si="17"/>
        <v>#N/A</v>
      </c>
      <c r="H53" s="14" t="e">
        <f t="shared" ca="1" si="17"/>
        <v>#N/A</v>
      </c>
      <c r="I53" s="14" t="e">
        <f t="shared" ca="1" si="17"/>
        <v>#N/A</v>
      </c>
      <c r="J53" s="14" t="e">
        <f t="shared" ca="1" si="17"/>
        <v>#N/A</v>
      </c>
      <c r="K53" s="14" t="e">
        <f t="shared" ca="1" si="17"/>
        <v>#N/A</v>
      </c>
      <c r="L53" s="14" t="e">
        <f t="shared" ca="1" si="17"/>
        <v>#N/A</v>
      </c>
      <c r="M53" s="14" t="e">
        <f t="shared" ca="1" si="17"/>
        <v>#N/A</v>
      </c>
      <c r="N53" s="14" t="e">
        <f t="shared" ca="1" si="17"/>
        <v>#N/A</v>
      </c>
      <c r="O53" s="14" t="e">
        <f t="shared" ca="1" si="17"/>
        <v>#N/A</v>
      </c>
      <c r="P53" s="14" t="e">
        <f t="shared" ca="1" si="17"/>
        <v>#N/A</v>
      </c>
      <c r="Q53" s="14" t="e">
        <f t="shared" ca="1" si="17"/>
        <v>#N/A</v>
      </c>
      <c r="R53" s="14" t="e">
        <f t="shared" ca="1" si="17"/>
        <v>#N/A</v>
      </c>
      <c r="S53" s="14" t="e">
        <f t="shared" ca="1" si="17"/>
        <v>#N/A</v>
      </c>
      <c r="T53" s="14" t="e">
        <f t="shared" ca="1" si="17"/>
        <v>#N/A</v>
      </c>
      <c r="U53" s="14" t="e">
        <f t="shared" ca="1" si="17"/>
        <v>#N/A</v>
      </c>
      <c r="V53" s="14" t="e">
        <f t="shared" ca="1" si="17"/>
        <v>#N/A</v>
      </c>
      <c r="W53" s="14" t="e">
        <f t="shared" ca="1" si="17"/>
        <v>#N/A</v>
      </c>
      <c r="X53" s="14" t="e">
        <f t="shared" ca="1" si="17"/>
        <v>#N/A</v>
      </c>
      <c r="Y53" s="14" t="e">
        <f t="shared" ca="1" si="17"/>
        <v>#N/A</v>
      </c>
      <c r="Z53" s="14" t="e">
        <f t="shared" ca="1" si="17"/>
        <v>#N/A</v>
      </c>
      <c r="AA53" s="14" t="e">
        <f t="shared" ca="1" si="17"/>
        <v>#N/A</v>
      </c>
      <c r="AB53" s="14" t="e">
        <f t="shared" ca="1" si="17"/>
        <v>#N/A</v>
      </c>
      <c r="AC53" s="14" t="e">
        <f t="shared" ca="1" si="17"/>
        <v>#N/A</v>
      </c>
      <c r="AD53" s="14" t="e">
        <f t="shared" ca="1" si="17"/>
        <v>#N/A</v>
      </c>
      <c r="AE53" s="14" t="e">
        <f t="shared" ca="1" si="17"/>
        <v>#N/A</v>
      </c>
      <c r="AF53" s="14" t="e">
        <f t="shared" ca="1" si="17"/>
        <v>#N/A</v>
      </c>
      <c r="AG53" s="14" t="e">
        <f t="shared" ca="1" si="17"/>
        <v>#N/A</v>
      </c>
      <c r="AH53" s="14" t="e">
        <f t="shared" ca="1" si="17"/>
        <v>#N/A</v>
      </c>
      <c r="AI53" s="14" t="e">
        <f t="shared" ca="1" si="17"/>
        <v>#N/A</v>
      </c>
      <c r="AJ53" s="14" t="e">
        <f t="shared" ca="1" si="17"/>
        <v>#N/A</v>
      </c>
      <c r="AK53" s="14" t="e">
        <f t="shared" ca="1" si="17"/>
        <v>#N/A</v>
      </c>
      <c r="AL53" s="14" t="e">
        <f t="shared" ca="1" si="17"/>
        <v>#N/A</v>
      </c>
      <c r="AM53" s="14" t="e">
        <f t="shared" ca="1" si="17"/>
        <v>#N/A</v>
      </c>
      <c r="AN53" s="14" t="e">
        <f t="shared" ca="1" si="17"/>
        <v>#N/A</v>
      </c>
      <c r="AO53" s="14" t="e">
        <f t="shared" ca="1" si="17"/>
        <v>#N/A</v>
      </c>
      <c r="AP53" s="14" t="e">
        <f t="shared" ca="1" si="17"/>
        <v>#N/A</v>
      </c>
      <c r="AQ53" s="14" t="e">
        <f t="shared" ca="1" si="17"/>
        <v>#N/A</v>
      </c>
      <c r="AR53" s="14" t="e">
        <f t="shared" ca="1" si="17"/>
        <v>#N/A</v>
      </c>
      <c r="AS53" s="14" t="e">
        <f t="shared" ca="1" si="17"/>
        <v>#N/A</v>
      </c>
      <c r="AT53" s="14" t="e">
        <f t="shared" ca="1" si="17"/>
        <v>#N/A</v>
      </c>
      <c r="AU53" s="14" t="e">
        <f t="shared" ca="1" si="17"/>
        <v>#N/A</v>
      </c>
      <c r="AV53" s="14" t="e">
        <f t="shared" ca="1" si="17"/>
        <v>#N/A</v>
      </c>
      <c r="AW53" s="14" t="e">
        <f t="shared" ca="1" si="17"/>
        <v>#N/A</v>
      </c>
      <c r="AX53" s="14" t="e">
        <f t="shared" ca="1" si="17"/>
        <v>#N/A</v>
      </c>
      <c r="AY53" s="14" t="e">
        <f t="shared" ca="1" si="17"/>
        <v>#N/A</v>
      </c>
      <c r="AZ53" s="14" t="e">
        <f t="shared" ca="1" si="17"/>
        <v>#N/A</v>
      </c>
      <c r="BA53" s="14" t="e">
        <f t="shared" ca="1" si="17"/>
        <v>#N/A</v>
      </c>
      <c r="BB53" s="14" t="e">
        <f t="shared" ca="1" si="17"/>
        <v>#N/A</v>
      </c>
      <c r="BC53" s="14" t="e">
        <f t="shared" ca="1" si="17"/>
        <v>#N/A</v>
      </c>
      <c r="BD53" s="14" t="e">
        <f t="shared" ca="1" si="17"/>
        <v>#N/A</v>
      </c>
      <c r="BE53" s="14" t="e">
        <f t="shared" ca="1" si="17"/>
        <v>#N/A</v>
      </c>
      <c r="BF53" s="14" t="e">
        <f t="shared" ca="1" si="17"/>
        <v>#N/A</v>
      </c>
      <c r="BG53" s="14" t="e">
        <f t="shared" ca="1" si="17"/>
        <v>#N/A</v>
      </c>
      <c r="BH53" s="14" t="e">
        <f t="shared" ca="1" si="17"/>
        <v>#N/A</v>
      </c>
      <c r="BI53" s="14" t="e">
        <f t="shared" ca="1" si="17"/>
        <v>#N/A</v>
      </c>
      <c r="BJ53" s="14" t="e">
        <f t="shared" ca="1" si="17"/>
        <v>#N/A</v>
      </c>
      <c r="BK53" s="14" t="e">
        <f t="shared" ca="1" si="17"/>
        <v>#N/A</v>
      </c>
      <c r="BL53" s="14" t="e">
        <f t="shared" ca="1" si="17"/>
        <v>#N/A</v>
      </c>
      <c r="BM53" s="14" t="e">
        <f t="shared" ca="1" si="17"/>
        <v>#N/A</v>
      </c>
      <c r="BN53" s="14" t="e">
        <f t="shared" ca="1" si="17"/>
        <v>#N/A</v>
      </c>
      <c r="BO53" s="14" t="e">
        <f t="shared" ca="1" si="17"/>
        <v>#N/A</v>
      </c>
      <c r="BP53" s="14" t="e">
        <f t="shared" ca="1" si="17"/>
        <v>#N/A</v>
      </c>
      <c r="BQ53" s="14" t="e">
        <f t="shared" ca="1" si="17"/>
        <v>#N/A</v>
      </c>
      <c r="BR53" s="14" t="e">
        <f t="shared" ca="1" si="17"/>
        <v>#N/A</v>
      </c>
      <c r="BS53" s="98"/>
    </row>
    <row r="54" spans="1:71" ht="21" customHeight="1" outlineLevel="1" thickBot="1" x14ac:dyDescent="0.4">
      <c r="A54" s="5">
        <f t="shared" si="14"/>
        <v>0</v>
      </c>
      <c r="B54" s="5">
        <f t="shared" si="14"/>
        <v>0</v>
      </c>
      <c r="C54" s="5">
        <f t="shared" si="14"/>
        <v>0</v>
      </c>
      <c r="D54" s="5">
        <f t="shared" si="14"/>
        <v>0</v>
      </c>
      <c r="E54" s="6">
        <f t="shared" si="14"/>
        <v>0</v>
      </c>
      <c r="F54" s="14" t="e">
        <f t="shared" ca="1" si="15"/>
        <v>#N/A</v>
      </c>
      <c r="G54" s="14" t="e">
        <f t="shared" ca="1" si="17"/>
        <v>#N/A</v>
      </c>
      <c r="H54" s="14" t="e">
        <f t="shared" ca="1" si="17"/>
        <v>#N/A</v>
      </c>
      <c r="I54" s="14" t="e">
        <f t="shared" ca="1" si="17"/>
        <v>#N/A</v>
      </c>
      <c r="J54" s="14" t="e">
        <f t="shared" ca="1" si="17"/>
        <v>#N/A</v>
      </c>
      <c r="K54" s="14" t="e">
        <f t="shared" ca="1" si="17"/>
        <v>#N/A</v>
      </c>
      <c r="L54" s="14" t="e">
        <f t="shared" ca="1" si="17"/>
        <v>#N/A</v>
      </c>
      <c r="M54" s="14" t="e">
        <f t="shared" ca="1" si="17"/>
        <v>#N/A</v>
      </c>
      <c r="N54" s="14" t="e">
        <f t="shared" ca="1" si="17"/>
        <v>#N/A</v>
      </c>
      <c r="O54" s="14" t="e">
        <f t="shared" ca="1" si="17"/>
        <v>#N/A</v>
      </c>
      <c r="P54" s="14" t="e">
        <f t="shared" ca="1" si="17"/>
        <v>#N/A</v>
      </c>
      <c r="Q54" s="14" t="e">
        <f t="shared" ca="1" si="17"/>
        <v>#N/A</v>
      </c>
      <c r="R54" s="14" t="e">
        <f t="shared" ca="1" si="17"/>
        <v>#N/A</v>
      </c>
      <c r="S54" s="14" t="e">
        <f t="shared" ca="1" si="17"/>
        <v>#N/A</v>
      </c>
      <c r="T54" s="14" t="e">
        <f t="shared" ref="G54:BR58" ca="1" si="18">$A54*H.Ar + $B54*H.Se + $C54*H.Ge + $D54*H.Ga</f>
        <v>#N/A</v>
      </c>
      <c r="U54" s="14" t="e">
        <f t="shared" ca="1" si="18"/>
        <v>#N/A</v>
      </c>
      <c r="V54" s="14" t="e">
        <f t="shared" ca="1" si="18"/>
        <v>#N/A</v>
      </c>
      <c r="W54" s="14" t="e">
        <f t="shared" ca="1" si="18"/>
        <v>#N/A</v>
      </c>
      <c r="X54" s="14" t="e">
        <f t="shared" ca="1" si="18"/>
        <v>#N/A</v>
      </c>
      <c r="Y54" s="14" t="e">
        <f t="shared" ca="1" si="18"/>
        <v>#N/A</v>
      </c>
      <c r="Z54" s="14" t="e">
        <f t="shared" ca="1" si="18"/>
        <v>#N/A</v>
      </c>
      <c r="AA54" s="14" t="e">
        <f t="shared" ca="1" si="18"/>
        <v>#N/A</v>
      </c>
      <c r="AB54" s="14" t="e">
        <f t="shared" ca="1" si="18"/>
        <v>#N/A</v>
      </c>
      <c r="AC54" s="14" t="e">
        <f t="shared" ca="1" si="18"/>
        <v>#N/A</v>
      </c>
      <c r="AD54" s="14" t="e">
        <f t="shared" ca="1" si="18"/>
        <v>#N/A</v>
      </c>
      <c r="AE54" s="14" t="e">
        <f t="shared" ca="1" si="18"/>
        <v>#N/A</v>
      </c>
      <c r="AF54" s="14" t="e">
        <f t="shared" ca="1" si="18"/>
        <v>#N/A</v>
      </c>
      <c r="AG54" s="14" t="e">
        <f t="shared" ca="1" si="18"/>
        <v>#N/A</v>
      </c>
      <c r="AH54" s="14" t="e">
        <f t="shared" ca="1" si="18"/>
        <v>#N/A</v>
      </c>
      <c r="AI54" s="14" t="e">
        <f t="shared" ca="1" si="18"/>
        <v>#N/A</v>
      </c>
      <c r="AJ54" s="14" t="e">
        <f t="shared" ca="1" si="18"/>
        <v>#N/A</v>
      </c>
      <c r="AK54" s="14" t="e">
        <f t="shared" ca="1" si="18"/>
        <v>#N/A</v>
      </c>
      <c r="AL54" s="14" t="e">
        <f t="shared" ca="1" si="18"/>
        <v>#N/A</v>
      </c>
      <c r="AM54" s="14" t="e">
        <f t="shared" ca="1" si="18"/>
        <v>#N/A</v>
      </c>
      <c r="AN54" s="14" t="e">
        <f t="shared" ca="1" si="18"/>
        <v>#N/A</v>
      </c>
      <c r="AO54" s="14" t="e">
        <f t="shared" ca="1" si="18"/>
        <v>#N/A</v>
      </c>
      <c r="AP54" s="14" t="e">
        <f t="shared" ca="1" si="18"/>
        <v>#N/A</v>
      </c>
      <c r="AQ54" s="14" t="e">
        <f t="shared" ca="1" si="18"/>
        <v>#N/A</v>
      </c>
      <c r="AR54" s="14" t="e">
        <f t="shared" ca="1" si="18"/>
        <v>#N/A</v>
      </c>
      <c r="AS54" s="14" t="e">
        <f t="shared" ca="1" si="18"/>
        <v>#N/A</v>
      </c>
      <c r="AT54" s="14" t="e">
        <f t="shared" ca="1" si="18"/>
        <v>#N/A</v>
      </c>
      <c r="AU54" s="14" t="e">
        <f t="shared" ca="1" si="18"/>
        <v>#N/A</v>
      </c>
      <c r="AV54" s="14" t="e">
        <f t="shared" ca="1" si="18"/>
        <v>#N/A</v>
      </c>
      <c r="AW54" s="14" t="e">
        <f t="shared" ca="1" si="18"/>
        <v>#N/A</v>
      </c>
      <c r="AX54" s="14" t="e">
        <f t="shared" ca="1" si="18"/>
        <v>#N/A</v>
      </c>
      <c r="AY54" s="14" t="e">
        <f t="shared" ca="1" si="18"/>
        <v>#N/A</v>
      </c>
      <c r="AZ54" s="14" t="e">
        <f t="shared" ca="1" si="18"/>
        <v>#N/A</v>
      </c>
      <c r="BA54" s="14" t="e">
        <f t="shared" ca="1" si="18"/>
        <v>#N/A</v>
      </c>
      <c r="BB54" s="14" t="e">
        <f t="shared" ca="1" si="18"/>
        <v>#N/A</v>
      </c>
      <c r="BC54" s="14" t="e">
        <f t="shared" ca="1" si="18"/>
        <v>#N/A</v>
      </c>
      <c r="BD54" s="14" t="e">
        <f t="shared" ca="1" si="18"/>
        <v>#N/A</v>
      </c>
      <c r="BE54" s="14" t="e">
        <f t="shared" ca="1" si="18"/>
        <v>#N/A</v>
      </c>
      <c r="BF54" s="14" t="e">
        <f t="shared" ca="1" si="18"/>
        <v>#N/A</v>
      </c>
      <c r="BG54" s="14" t="e">
        <f t="shared" ca="1" si="18"/>
        <v>#N/A</v>
      </c>
      <c r="BH54" s="14" t="e">
        <f t="shared" ca="1" si="18"/>
        <v>#N/A</v>
      </c>
      <c r="BI54" s="14" t="e">
        <f t="shared" ca="1" si="18"/>
        <v>#N/A</v>
      </c>
      <c r="BJ54" s="14" t="e">
        <f t="shared" ca="1" si="18"/>
        <v>#N/A</v>
      </c>
      <c r="BK54" s="14" t="e">
        <f t="shared" ca="1" si="18"/>
        <v>#N/A</v>
      </c>
      <c r="BL54" s="14" t="e">
        <f t="shared" ca="1" si="18"/>
        <v>#N/A</v>
      </c>
      <c r="BM54" s="14" t="e">
        <f t="shared" ca="1" si="18"/>
        <v>#N/A</v>
      </c>
      <c r="BN54" s="14" t="e">
        <f t="shared" ca="1" si="18"/>
        <v>#N/A</v>
      </c>
      <c r="BO54" s="14" t="e">
        <f t="shared" ca="1" si="18"/>
        <v>#N/A</v>
      </c>
      <c r="BP54" s="14" t="e">
        <f t="shared" ca="1" si="18"/>
        <v>#N/A</v>
      </c>
      <c r="BQ54" s="14" t="e">
        <f t="shared" ca="1" si="18"/>
        <v>#N/A</v>
      </c>
      <c r="BR54" s="14" t="e">
        <f t="shared" ca="1" si="18"/>
        <v>#N/A</v>
      </c>
      <c r="BS54" s="98"/>
    </row>
    <row r="55" spans="1:71" ht="21" customHeight="1" outlineLevel="1" thickBot="1" x14ac:dyDescent="0.4">
      <c r="A55" s="5">
        <f t="shared" si="14"/>
        <v>0</v>
      </c>
      <c r="B55" s="5">
        <f t="shared" si="14"/>
        <v>0</v>
      </c>
      <c r="C55" s="5">
        <f t="shared" si="14"/>
        <v>0</v>
      </c>
      <c r="D55" s="5">
        <f t="shared" si="14"/>
        <v>0</v>
      </c>
      <c r="E55" s="6">
        <f t="shared" si="14"/>
        <v>0</v>
      </c>
      <c r="F55" s="14" t="e">
        <f t="shared" ca="1" si="15"/>
        <v>#N/A</v>
      </c>
      <c r="G55" s="14" t="e">
        <f t="shared" ca="1" si="18"/>
        <v>#N/A</v>
      </c>
      <c r="H55" s="14" t="e">
        <f t="shared" ca="1" si="18"/>
        <v>#N/A</v>
      </c>
      <c r="I55" s="14" t="e">
        <f t="shared" ca="1" si="18"/>
        <v>#N/A</v>
      </c>
      <c r="J55" s="14" t="e">
        <f t="shared" ca="1" si="18"/>
        <v>#N/A</v>
      </c>
      <c r="K55" s="14" t="e">
        <f t="shared" ca="1" si="18"/>
        <v>#N/A</v>
      </c>
      <c r="L55" s="14" t="e">
        <f t="shared" ca="1" si="18"/>
        <v>#N/A</v>
      </c>
      <c r="M55" s="14" t="e">
        <f t="shared" ca="1" si="18"/>
        <v>#N/A</v>
      </c>
      <c r="N55" s="14" t="e">
        <f t="shared" ca="1" si="18"/>
        <v>#N/A</v>
      </c>
      <c r="O55" s="14" t="e">
        <f t="shared" ca="1" si="18"/>
        <v>#N/A</v>
      </c>
      <c r="P55" s="14" t="e">
        <f t="shared" ca="1" si="18"/>
        <v>#N/A</v>
      </c>
      <c r="Q55" s="14" t="e">
        <f t="shared" ca="1" si="18"/>
        <v>#N/A</v>
      </c>
      <c r="R55" s="14" t="e">
        <f t="shared" ca="1" si="18"/>
        <v>#N/A</v>
      </c>
      <c r="S55" s="14" t="e">
        <f t="shared" ca="1" si="18"/>
        <v>#N/A</v>
      </c>
      <c r="T55" s="14" t="e">
        <f t="shared" ca="1" si="18"/>
        <v>#N/A</v>
      </c>
      <c r="U55" s="14" t="e">
        <f t="shared" ca="1" si="18"/>
        <v>#N/A</v>
      </c>
      <c r="V55" s="14" t="e">
        <f t="shared" ca="1" si="18"/>
        <v>#N/A</v>
      </c>
      <c r="W55" s="14" t="e">
        <f t="shared" ca="1" si="18"/>
        <v>#N/A</v>
      </c>
      <c r="X55" s="14" t="e">
        <f t="shared" ca="1" si="18"/>
        <v>#N/A</v>
      </c>
      <c r="Y55" s="14" t="e">
        <f t="shared" ca="1" si="18"/>
        <v>#N/A</v>
      </c>
      <c r="Z55" s="14" t="e">
        <f t="shared" ca="1" si="18"/>
        <v>#N/A</v>
      </c>
      <c r="AA55" s="14" t="e">
        <f t="shared" ca="1" si="18"/>
        <v>#N/A</v>
      </c>
      <c r="AB55" s="14" t="e">
        <f t="shared" ca="1" si="18"/>
        <v>#N/A</v>
      </c>
      <c r="AC55" s="14" t="e">
        <f t="shared" ca="1" si="18"/>
        <v>#N/A</v>
      </c>
      <c r="AD55" s="14" t="e">
        <f t="shared" ca="1" si="18"/>
        <v>#N/A</v>
      </c>
      <c r="AE55" s="14" t="e">
        <f t="shared" ca="1" si="18"/>
        <v>#N/A</v>
      </c>
      <c r="AF55" s="14" t="e">
        <f t="shared" ca="1" si="18"/>
        <v>#N/A</v>
      </c>
      <c r="AG55" s="14" t="e">
        <f t="shared" ca="1" si="18"/>
        <v>#N/A</v>
      </c>
      <c r="AH55" s="14" t="e">
        <f t="shared" ca="1" si="18"/>
        <v>#N/A</v>
      </c>
      <c r="AI55" s="14" t="e">
        <f t="shared" ca="1" si="18"/>
        <v>#N/A</v>
      </c>
      <c r="AJ55" s="14" t="e">
        <f t="shared" ca="1" si="18"/>
        <v>#N/A</v>
      </c>
      <c r="AK55" s="14" t="e">
        <f t="shared" ca="1" si="18"/>
        <v>#N/A</v>
      </c>
      <c r="AL55" s="14" t="e">
        <f t="shared" ca="1" si="18"/>
        <v>#N/A</v>
      </c>
      <c r="AM55" s="14" t="e">
        <f t="shared" ca="1" si="18"/>
        <v>#N/A</v>
      </c>
      <c r="AN55" s="14" t="e">
        <f t="shared" ca="1" si="18"/>
        <v>#N/A</v>
      </c>
      <c r="AO55" s="14" t="e">
        <f t="shared" ca="1" si="18"/>
        <v>#N/A</v>
      </c>
      <c r="AP55" s="14" t="e">
        <f t="shared" ca="1" si="18"/>
        <v>#N/A</v>
      </c>
      <c r="AQ55" s="14" t="e">
        <f t="shared" ca="1" si="18"/>
        <v>#N/A</v>
      </c>
      <c r="AR55" s="14" t="e">
        <f t="shared" ca="1" si="18"/>
        <v>#N/A</v>
      </c>
      <c r="AS55" s="14" t="e">
        <f t="shared" ca="1" si="18"/>
        <v>#N/A</v>
      </c>
      <c r="AT55" s="14" t="e">
        <f t="shared" ca="1" si="18"/>
        <v>#N/A</v>
      </c>
      <c r="AU55" s="14" t="e">
        <f t="shared" ca="1" si="18"/>
        <v>#N/A</v>
      </c>
      <c r="AV55" s="14" t="e">
        <f t="shared" ca="1" si="18"/>
        <v>#N/A</v>
      </c>
      <c r="AW55" s="14" t="e">
        <f t="shared" ca="1" si="18"/>
        <v>#N/A</v>
      </c>
      <c r="AX55" s="14" t="e">
        <f t="shared" ca="1" si="18"/>
        <v>#N/A</v>
      </c>
      <c r="AY55" s="14" t="e">
        <f t="shared" ca="1" si="18"/>
        <v>#N/A</v>
      </c>
      <c r="AZ55" s="14" t="e">
        <f t="shared" ca="1" si="18"/>
        <v>#N/A</v>
      </c>
      <c r="BA55" s="14" t="e">
        <f t="shared" ca="1" si="18"/>
        <v>#N/A</v>
      </c>
      <c r="BB55" s="14" t="e">
        <f t="shared" ca="1" si="18"/>
        <v>#N/A</v>
      </c>
      <c r="BC55" s="14" t="e">
        <f t="shared" ca="1" si="18"/>
        <v>#N/A</v>
      </c>
      <c r="BD55" s="14" t="e">
        <f t="shared" ca="1" si="18"/>
        <v>#N/A</v>
      </c>
      <c r="BE55" s="14" t="e">
        <f t="shared" ca="1" si="18"/>
        <v>#N/A</v>
      </c>
      <c r="BF55" s="14" t="e">
        <f t="shared" ca="1" si="18"/>
        <v>#N/A</v>
      </c>
      <c r="BG55" s="14" t="e">
        <f t="shared" ca="1" si="18"/>
        <v>#N/A</v>
      </c>
      <c r="BH55" s="14" t="e">
        <f t="shared" ca="1" si="18"/>
        <v>#N/A</v>
      </c>
      <c r="BI55" s="14" t="e">
        <f t="shared" ca="1" si="18"/>
        <v>#N/A</v>
      </c>
      <c r="BJ55" s="14" t="e">
        <f t="shared" ca="1" si="18"/>
        <v>#N/A</v>
      </c>
      <c r="BK55" s="14" t="e">
        <f t="shared" ca="1" si="18"/>
        <v>#N/A</v>
      </c>
      <c r="BL55" s="14" t="e">
        <f t="shared" ca="1" si="18"/>
        <v>#N/A</v>
      </c>
      <c r="BM55" s="14" t="e">
        <f t="shared" ca="1" si="18"/>
        <v>#N/A</v>
      </c>
      <c r="BN55" s="14" t="e">
        <f t="shared" ca="1" si="18"/>
        <v>#N/A</v>
      </c>
      <c r="BO55" s="14" t="e">
        <f t="shared" ca="1" si="18"/>
        <v>#N/A</v>
      </c>
      <c r="BP55" s="14" t="e">
        <f t="shared" ca="1" si="18"/>
        <v>#N/A</v>
      </c>
      <c r="BQ55" s="14" t="e">
        <f t="shared" ca="1" si="18"/>
        <v>#N/A</v>
      </c>
      <c r="BR55" s="14" t="e">
        <f t="shared" ca="1" si="18"/>
        <v>#N/A</v>
      </c>
      <c r="BS55" s="98"/>
    </row>
    <row r="56" spans="1:71" ht="21" customHeight="1" outlineLevel="1" thickBot="1" x14ac:dyDescent="0.4">
      <c r="A56" s="5">
        <f t="shared" ref="A56:E65" si="19">A14</f>
        <v>0</v>
      </c>
      <c r="B56" s="5">
        <f t="shared" si="19"/>
        <v>0</v>
      </c>
      <c r="C56" s="5">
        <f t="shared" si="19"/>
        <v>0</v>
      </c>
      <c r="D56" s="5">
        <f t="shared" si="19"/>
        <v>0</v>
      </c>
      <c r="E56" s="6">
        <f t="shared" si="19"/>
        <v>0</v>
      </c>
      <c r="F56" s="14" t="e">
        <f t="shared" ref="F56:U65" ca="1" si="20">$A56*H.Ar + $B56*H.Se + $C56*H.Ge + $D56*H.Ga</f>
        <v>#N/A</v>
      </c>
      <c r="G56" s="14" t="e">
        <f t="shared" ca="1" si="20"/>
        <v>#N/A</v>
      </c>
      <c r="H56" s="14" t="e">
        <f t="shared" ca="1" si="20"/>
        <v>#N/A</v>
      </c>
      <c r="I56" s="14" t="e">
        <f t="shared" ca="1" si="20"/>
        <v>#N/A</v>
      </c>
      <c r="J56" s="14" t="e">
        <f t="shared" ca="1" si="20"/>
        <v>#N/A</v>
      </c>
      <c r="K56" s="14" t="e">
        <f t="shared" ca="1" si="20"/>
        <v>#N/A</v>
      </c>
      <c r="L56" s="14" t="e">
        <f t="shared" ca="1" si="20"/>
        <v>#N/A</v>
      </c>
      <c r="M56" s="14" t="e">
        <f t="shared" ca="1" si="20"/>
        <v>#N/A</v>
      </c>
      <c r="N56" s="14" t="e">
        <f t="shared" ca="1" si="20"/>
        <v>#N/A</v>
      </c>
      <c r="O56" s="14" t="e">
        <f t="shared" ca="1" si="20"/>
        <v>#N/A</v>
      </c>
      <c r="P56" s="14" t="e">
        <f t="shared" ca="1" si="20"/>
        <v>#N/A</v>
      </c>
      <c r="Q56" s="14" t="e">
        <f t="shared" ca="1" si="20"/>
        <v>#N/A</v>
      </c>
      <c r="R56" s="14" t="e">
        <f t="shared" ca="1" si="20"/>
        <v>#N/A</v>
      </c>
      <c r="S56" s="14" t="e">
        <f t="shared" ca="1" si="20"/>
        <v>#N/A</v>
      </c>
      <c r="T56" s="14" t="e">
        <f t="shared" ca="1" si="20"/>
        <v>#N/A</v>
      </c>
      <c r="U56" s="14" t="e">
        <f t="shared" ca="1" si="20"/>
        <v>#N/A</v>
      </c>
      <c r="V56" s="14" t="e">
        <f t="shared" ca="1" si="18"/>
        <v>#N/A</v>
      </c>
      <c r="W56" s="14" t="e">
        <f t="shared" ca="1" si="18"/>
        <v>#N/A</v>
      </c>
      <c r="X56" s="14" t="e">
        <f t="shared" ca="1" si="18"/>
        <v>#N/A</v>
      </c>
      <c r="Y56" s="14" t="e">
        <f t="shared" ca="1" si="18"/>
        <v>#N/A</v>
      </c>
      <c r="Z56" s="14" t="e">
        <f t="shared" ca="1" si="18"/>
        <v>#N/A</v>
      </c>
      <c r="AA56" s="14" t="e">
        <f t="shared" ca="1" si="18"/>
        <v>#N/A</v>
      </c>
      <c r="AB56" s="14" t="e">
        <f t="shared" ca="1" si="18"/>
        <v>#N/A</v>
      </c>
      <c r="AC56" s="14" t="e">
        <f t="shared" ca="1" si="18"/>
        <v>#N/A</v>
      </c>
      <c r="AD56" s="14" t="e">
        <f t="shared" ca="1" si="18"/>
        <v>#N/A</v>
      </c>
      <c r="AE56" s="14" t="e">
        <f t="shared" ca="1" si="18"/>
        <v>#N/A</v>
      </c>
      <c r="AF56" s="14" t="e">
        <f t="shared" ca="1" si="18"/>
        <v>#N/A</v>
      </c>
      <c r="AG56" s="14" t="e">
        <f t="shared" ca="1" si="18"/>
        <v>#N/A</v>
      </c>
      <c r="AH56" s="14" t="e">
        <f t="shared" ca="1" si="18"/>
        <v>#N/A</v>
      </c>
      <c r="AI56" s="14" t="e">
        <f t="shared" ca="1" si="18"/>
        <v>#N/A</v>
      </c>
      <c r="AJ56" s="14" t="e">
        <f t="shared" ca="1" si="18"/>
        <v>#N/A</v>
      </c>
      <c r="AK56" s="14" t="e">
        <f t="shared" ca="1" si="18"/>
        <v>#N/A</v>
      </c>
      <c r="AL56" s="14" t="e">
        <f t="shared" ca="1" si="18"/>
        <v>#N/A</v>
      </c>
      <c r="AM56" s="14" t="e">
        <f t="shared" ca="1" si="18"/>
        <v>#N/A</v>
      </c>
      <c r="AN56" s="14" t="e">
        <f t="shared" ca="1" si="18"/>
        <v>#N/A</v>
      </c>
      <c r="AO56" s="14" t="e">
        <f t="shared" ca="1" si="18"/>
        <v>#N/A</v>
      </c>
      <c r="AP56" s="14" t="e">
        <f t="shared" ca="1" si="18"/>
        <v>#N/A</v>
      </c>
      <c r="AQ56" s="14" t="e">
        <f t="shared" ca="1" si="18"/>
        <v>#N/A</v>
      </c>
      <c r="AR56" s="14" t="e">
        <f t="shared" ca="1" si="18"/>
        <v>#N/A</v>
      </c>
      <c r="AS56" s="14" t="e">
        <f t="shared" ca="1" si="18"/>
        <v>#N/A</v>
      </c>
      <c r="AT56" s="14" t="e">
        <f t="shared" ca="1" si="18"/>
        <v>#N/A</v>
      </c>
      <c r="AU56" s="14" t="e">
        <f t="shared" ca="1" si="18"/>
        <v>#N/A</v>
      </c>
      <c r="AV56" s="14" t="e">
        <f t="shared" ca="1" si="18"/>
        <v>#N/A</v>
      </c>
      <c r="AW56" s="14" t="e">
        <f t="shared" ca="1" si="18"/>
        <v>#N/A</v>
      </c>
      <c r="AX56" s="14" t="e">
        <f t="shared" ca="1" si="18"/>
        <v>#N/A</v>
      </c>
      <c r="AY56" s="14" t="e">
        <f t="shared" ca="1" si="18"/>
        <v>#N/A</v>
      </c>
      <c r="AZ56" s="14" t="e">
        <f t="shared" ca="1" si="18"/>
        <v>#N/A</v>
      </c>
      <c r="BA56" s="14" t="e">
        <f t="shared" ca="1" si="18"/>
        <v>#N/A</v>
      </c>
      <c r="BB56" s="14" t="e">
        <f t="shared" ca="1" si="18"/>
        <v>#N/A</v>
      </c>
      <c r="BC56" s="14" t="e">
        <f t="shared" ca="1" si="18"/>
        <v>#N/A</v>
      </c>
      <c r="BD56" s="14" t="e">
        <f t="shared" ca="1" si="18"/>
        <v>#N/A</v>
      </c>
      <c r="BE56" s="14" t="e">
        <f t="shared" ca="1" si="18"/>
        <v>#N/A</v>
      </c>
      <c r="BF56" s="14" t="e">
        <f t="shared" ca="1" si="18"/>
        <v>#N/A</v>
      </c>
      <c r="BG56" s="14" t="e">
        <f t="shared" ca="1" si="18"/>
        <v>#N/A</v>
      </c>
      <c r="BH56" s="14" t="e">
        <f t="shared" ca="1" si="18"/>
        <v>#N/A</v>
      </c>
      <c r="BI56" s="14" t="e">
        <f t="shared" ca="1" si="18"/>
        <v>#N/A</v>
      </c>
      <c r="BJ56" s="14" t="e">
        <f t="shared" ca="1" si="18"/>
        <v>#N/A</v>
      </c>
      <c r="BK56" s="14" t="e">
        <f t="shared" ca="1" si="18"/>
        <v>#N/A</v>
      </c>
      <c r="BL56" s="14" t="e">
        <f t="shared" ca="1" si="18"/>
        <v>#N/A</v>
      </c>
      <c r="BM56" s="14" t="e">
        <f t="shared" ca="1" si="18"/>
        <v>#N/A</v>
      </c>
      <c r="BN56" s="14" t="e">
        <f t="shared" ca="1" si="18"/>
        <v>#N/A</v>
      </c>
      <c r="BO56" s="14" t="e">
        <f t="shared" ca="1" si="18"/>
        <v>#N/A</v>
      </c>
      <c r="BP56" s="14" t="e">
        <f t="shared" ca="1" si="18"/>
        <v>#N/A</v>
      </c>
      <c r="BQ56" s="14" t="e">
        <f t="shared" ca="1" si="18"/>
        <v>#N/A</v>
      </c>
      <c r="BR56" s="14" t="e">
        <f t="shared" ca="1" si="18"/>
        <v>#N/A</v>
      </c>
      <c r="BS56" s="98"/>
    </row>
    <row r="57" spans="1:71" ht="21" customHeight="1" outlineLevel="1" thickBot="1" x14ac:dyDescent="0.4">
      <c r="A57" s="5">
        <f t="shared" si="19"/>
        <v>0</v>
      </c>
      <c r="B57" s="5">
        <f t="shared" si="19"/>
        <v>0</v>
      </c>
      <c r="C57" s="5">
        <f t="shared" si="19"/>
        <v>0</v>
      </c>
      <c r="D57" s="5">
        <f t="shared" si="19"/>
        <v>0</v>
      </c>
      <c r="E57" s="6">
        <f t="shared" si="19"/>
        <v>0</v>
      </c>
      <c r="F57" s="14" t="e">
        <f t="shared" ca="1" si="20"/>
        <v>#N/A</v>
      </c>
      <c r="G57" s="14" t="e">
        <f t="shared" ca="1" si="18"/>
        <v>#N/A</v>
      </c>
      <c r="H57" s="14" t="e">
        <f t="shared" ca="1" si="18"/>
        <v>#N/A</v>
      </c>
      <c r="I57" s="14" t="e">
        <f t="shared" ca="1" si="18"/>
        <v>#N/A</v>
      </c>
      <c r="J57" s="14" t="e">
        <f t="shared" ca="1" si="18"/>
        <v>#N/A</v>
      </c>
      <c r="K57" s="14" t="e">
        <f t="shared" ca="1" si="18"/>
        <v>#N/A</v>
      </c>
      <c r="L57" s="14" t="e">
        <f t="shared" ca="1" si="18"/>
        <v>#N/A</v>
      </c>
      <c r="M57" s="14" t="e">
        <f t="shared" ca="1" si="18"/>
        <v>#N/A</v>
      </c>
      <c r="N57" s="14" t="e">
        <f t="shared" ca="1" si="18"/>
        <v>#N/A</v>
      </c>
      <c r="O57" s="14" t="e">
        <f t="shared" ca="1" si="18"/>
        <v>#N/A</v>
      </c>
      <c r="P57" s="14" t="e">
        <f t="shared" ca="1" si="18"/>
        <v>#N/A</v>
      </c>
      <c r="Q57" s="14" t="e">
        <f t="shared" ca="1" si="18"/>
        <v>#N/A</v>
      </c>
      <c r="R57" s="14" t="e">
        <f t="shared" ca="1" si="18"/>
        <v>#N/A</v>
      </c>
      <c r="S57" s="14" t="e">
        <f t="shared" ca="1" si="18"/>
        <v>#N/A</v>
      </c>
      <c r="T57" s="14" t="e">
        <f t="shared" ca="1" si="18"/>
        <v>#N/A</v>
      </c>
      <c r="U57" s="14" t="e">
        <f t="shared" ca="1" si="18"/>
        <v>#N/A</v>
      </c>
      <c r="V57" s="14" t="e">
        <f t="shared" ca="1" si="18"/>
        <v>#N/A</v>
      </c>
      <c r="W57" s="14" t="e">
        <f t="shared" ca="1" si="18"/>
        <v>#N/A</v>
      </c>
      <c r="X57" s="14" t="e">
        <f t="shared" ca="1" si="18"/>
        <v>#N/A</v>
      </c>
      <c r="Y57" s="14" t="e">
        <f t="shared" ca="1" si="18"/>
        <v>#N/A</v>
      </c>
      <c r="Z57" s="14" t="e">
        <f t="shared" ca="1" si="18"/>
        <v>#N/A</v>
      </c>
      <c r="AA57" s="14" t="e">
        <f t="shared" ca="1" si="18"/>
        <v>#N/A</v>
      </c>
      <c r="AB57" s="14" t="e">
        <f t="shared" ca="1" si="18"/>
        <v>#N/A</v>
      </c>
      <c r="AC57" s="14" t="e">
        <f t="shared" ca="1" si="18"/>
        <v>#N/A</v>
      </c>
      <c r="AD57" s="14" t="e">
        <f t="shared" ca="1" si="18"/>
        <v>#N/A</v>
      </c>
      <c r="AE57" s="14" t="e">
        <f t="shared" ca="1" si="18"/>
        <v>#N/A</v>
      </c>
      <c r="AF57" s="14" t="e">
        <f t="shared" ca="1" si="18"/>
        <v>#N/A</v>
      </c>
      <c r="AG57" s="14" t="e">
        <f t="shared" ca="1" si="18"/>
        <v>#N/A</v>
      </c>
      <c r="AH57" s="14" t="e">
        <f t="shared" ca="1" si="18"/>
        <v>#N/A</v>
      </c>
      <c r="AI57" s="14" t="e">
        <f t="shared" ca="1" si="18"/>
        <v>#N/A</v>
      </c>
      <c r="AJ57" s="14" t="e">
        <f t="shared" ca="1" si="18"/>
        <v>#N/A</v>
      </c>
      <c r="AK57" s="14" t="e">
        <f t="shared" ca="1" si="18"/>
        <v>#N/A</v>
      </c>
      <c r="AL57" s="14" t="e">
        <f t="shared" ca="1" si="18"/>
        <v>#N/A</v>
      </c>
      <c r="AM57" s="14" t="e">
        <f t="shared" ca="1" si="18"/>
        <v>#N/A</v>
      </c>
      <c r="AN57" s="14" t="e">
        <f t="shared" ca="1" si="18"/>
        <v>#N/A</v>
      </c>
      <c r="AO57" s="14" t="e">
        <f t="shared" ca="1" si="18"/>
        <v>#N/A</v>
      </c>
      <c r="AP57" s="14" t="e">
        <f t="shared" ca="1" si="18"/>
        <v>#N/A</v>
      </c>
      <c r="AQ57" s="14" t="e">
        <f t="shared" ca="1" si="18"/>
        <v>#N/A</v>
      </c>
      <c r="AR57" s="14" t="e">
        <f t="shared" ca="1" si="18"/>
        <v>#N/A</v>
      </c>
      <c r="AS57" s="14" t="e">
        <f t="shared" ca="1" si="18"/>
        <v>#N/A</v>
      </c>
      <c r="AT57" s="14" t="e">
        <f t="shared" ca="1" si="18"/>
        <v>#N/A</v>
      </c>
      <c r="AU57" s="14" t="e">
        <f t="shared" ca="1" si="18"/>
        <v>#N/A</v>
      </c>
      <c r="AV57" s="14" t="e">
        <f t="shared" ca="1" si="18"/>
        <v>#N/A</v>
      </c>
      <c r="AW57" s="14" t="e">
        <f t="shared" ca="1" si="18"/>
        <v>#N/A</v>
      </c>
      <c r="AX57" s="14" t="e">
        <f t="shared" ca="1" si="18"/>
        <v>#N/A</v>
      </c>
      <c r="AY57" s="14" t="e">
        <f t="shared" ca="1" si="18"/>
        <v>#N/A</v>
      </c>
      <c r="AZ57" s="14" t="e">
        <f t="shared" ca="1" si="18"/>
        <v>#N/A</v>
      </c>
      <c r="BA57" s="14" t="e">
        <f t="shared" ca="1" si="18"/>
        <v>#N/A</v>
      </c>
      <c r="BB57" s="14" t="e">
        <f t="shared" ca="1" si="18"/>
        <v>#N/A</v>
      </c>
      <c r="BC57" s="14" t="e">
        <f t="shared" ca="1" si="18"/>
        <v>#N/A</v>
      </c>
      <c r="BD57" s="14" t="e">
        <f t="shared" ca="1" si="18"/>
        <v>#N/A</v>
      </c>
      <c r="BE57" s="14" t="e">
        <f t="shared" ca="1" si="18"/>
        <v>#N/A</v>
      </c>
      <c r="BF57" s="14" t="e">
        <f t="shared" ca="1" si="18"/>
        <v>#N/A</v>
      </c>
      <c r="BG57" s="14" t="e">
        <f t="shared" ca="1" si="18"/>
        <v>#N/A</v>
      </c>
      <c r="BH57" s="14" t="e">
        <f t="shared" ca="1" si="18"/>
        <v>#N/A</v>
      </c>
      <c r="BI57" s="14" t="e">
        <f t="shared" ca="1" si="18"/>
        <v>#N/A</v>
      </c>
      <c r="BJ57" s="14" t="e">
        <f t="shared" ca="1" si="18"/>
        <v>#N/A</v>
      </c>
      <c r="BK57" s="14" t="e">
        <f t="shared" ca="1" si="18"/>
        <v>#N/A</v>
      </c>
      <c r="BL57" s="14" t="e">
        <f t="shared" ca="1" si="18"/>
        <v>#N/A</v>
      </c>
      <c r="BM57" s="14" t="e">
        <f t="shared" ca="1" si="18"/>
        <v>#N/A</v>
      </c>
      <c r="BN57" s="14" t="e">
        <f t="shared" ca="1" si="18"/>
        <v>#N/A</v>
      </c>
      <c r="BO57" s="14" t="e">
        <f t="shared" ca="1" si="18"/>
        <v>#N/A</v>
      </c>
      <c r="BP57" s="14" t="e">
        <f t="shared" ca="1" si="18"/>
        <v>#N/A</v>
      </c>
      <c r="BQ57" s="14" t="e">
        <f t="shared" ca="1" si="18"/>
        <v>#N/A</v>
      </c>
      <c r="BR57" s="14" t="e">
        <f t="shared" ca="1" si="18"/>
        <v>#N/A</v>
      </c>
      <c r="BS57" s="98"/>
    </row>
    <row r="58" spans="1:71" ht="21" customHeight="1" outlineLevel="1" thickBot="1" x14ac:dyDescent="0.4">
      <c r="A58" s="5">
        <f t="shared" si="19"/>
        <v>0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>
        <f t="shared" si="19"/>
        <v>0</v>
      </c>
      <c r="F58" s="14" t="e">
        <f t="shared" ca="1" si="20"/>
        <v>#N/A</v>
      </c>
      <c r="G58" s="14" t="e">
        <f t="shared" ca="1" si="18"/>
        <v>#N/A</v>
      </c>
      <c r="H58" s="14" t="e">
        <f t="shared" ca="1" si="18"/>
        <v>#N/A</v>
      </c>
      <c r="I58" s="14" t="e">
        <f t="shared" ca="1" si="18"/>
        <v>#N/A</v>
      </c>
      <c r="J58" s="14" t="e">
        <f t="shared" ca="1" si="18"/>
        <v>#N/A</v>
      </c>
      <c r="K58" s="14" t="e">
        <f t="shared" ca="1" si="18"/>
        <v>#N/A</v>
      </c>
      <c r="L58" s="14" t="e">
        <f t="shared" ca="1" si="18"/>
        <v>#N/A</v>
      </c>
      <c r="M58" s="14" t="e">
        <f t="shared" ca="1" si="18"/>
        <v>#N/A</v>
      </c>
      <c r="N58" s="14" t="e">
        <f t="shared" ca="1" si="18"/>
        <v>#N/A</v>
      </c>
      <c r="O58" s="14" t="e">
        <f t="shared" ca="1" si="18"/>
        <v>#N/A</v>
      </c>
      <c r="P58" s="14" t="e">
        <f t="shared" ca="1" si="18"/>
        <v>#N/A</v>
      </c>
      <c r="Q58" s="14" t="e">
        <f t="shared" ca="1" si="18"/>
        <v>#N/A</v>
      </c>
      <c r="R58" s="14" t="e">
        <f t="shared" ca="1" si="18"/>
        <v>#N/A</v>
      </c>
      <c r="S58" s="14" t="e">
        <f t="shared" ca="1" si="18"/>
        <v>#N/A</v>
      </c>
      <c r="T58" s="14" t="e">
        <f t="shared" ca="1" si="18"/>
        <v>#N/A</v>
      </c>
      <c r="U58" s="14" t="e">
        <f t="shared" ca="1" si="18"/>
        <v>#N/A</v>
      </c>
      <c r="V58" s="14" t="e">
        <f t="shared" ca="1" si="18"/>
        <v>#N/A</v>
      </c>
      <c r="W58" s="14" t="e">
        <f t="shared" ca="1" si="18"/>
        <v>#N/A</v>
      </c>
      <c r="X58" s="14" t="e">
        <f t="shared" ca="1" si="18"/>
        <v>#N/A</v>
      </c>
      <c r="Y58" s="14" t="e">
        <f t="shared" ca="1" si="18"/>
        <v>#N/A</v>
      </c>
      <c r="Z58" s="14" t="e">
        <f t="shared" ca="1" si="18"/>
        <v>#N/A</v>
      </c>
      <c r="AA58" s="14" t="e">
        <f t="shared" ca="1" si="18"/>
        <v>#N/A</v>
      </c>
      <c r="AB58" s="14" t="e">
        <f t="shared" ca="1" si="18"/>
        <v>#N/A</v>
      </c>
      <c r="AC58" s="14" t="e">
        <f t="shared" ca="1" si="18"/>
        <v>#N/A</v>
      </c>
      <c r="AD58" s="14" t="e">
        <f t="shared" ca="1" si="18"/>
        <v>#N/A</v>
      </c>
      <c r="AE58" s="14" t="e">
        <f t="shared" ca="1" si="18"/>
        <v>#N/A</v>
      </c>
      <c r="AF58" s="14" t="e">
        <f t="shared" ca="1" si="18"/>
        <v>#N/A</v>
      </c>
      <c r="AG58" s="14" t="e">
        <f t="shared" ca="1" si="18"/>
        <v>#N/A</v>
      </c>
      <c r="AH58" s="14" t="e">
        <f t="shared" ref="G58:BR62" ca="1" si="21">$A58*H.Ar + $B58*H.Se + $C58*H.Ge + $D58*H.Ga</f>
        <v>#N/A</v>
      </c>
      <c r="AI58" s="14" t="e">
        <f t="shared" ca="1" si="21"/>
        <v>#N/A</v>
      </c>
      <c r="AJ58" s="14" t="e">
        <f t="shared" ca="1" si="21"/>
        <v>#N/A</v>
      </c>
      <c r="AK58" s="14" t="e">
        <f t="shared" ca="1" si="21"/>
        <v>#N/A</v>
      </c>
      <c r="AL58" s="14" t="e">
        <f t="shared" ca="1" si="21"/>
        <v>#N/A</v>
      </c>
      <c r="AM58" s="14" t="e">
        <f t="shared" ca="1" si="21"/>
        <v>#N/A</v>
      </c>
      <c r="AN58" s="14" t="e">
        <f t="shared" ca="1" si="21"/>
        <v>#N/A</v>
      </c>
      <c r="AO58" s="14" t="e">
        <f t="shared" ca="1" si="21"/>
        <v>#N/A</v>
      </c>
      <c r="AP58" s="14" t="e">
        <f t="shared" ca="1" si="21"/>
        <v>#N/A</v>
      </c>
      <c r="AQ58" s="14" t="e">
        <f t="shared" ca="1" si="21"/>
        <v>#N/A</v>
      </c>
      <c r="AR58" s="14" t="e">
        <f t="shared" ca="1" si="21"/>
        <v>#N/A</v>
      </c>
      <c r="AS58" s="14" t="e">
        <f t="shared" ca="1" si="21"/>
        <v>#N/A</v>
      </c>
      <c r="AT58" s="14" t="e">
        <f t="shared" ca="1" si="21"/>
        <v>#N/A</v>
      </c>
      <c r="AU58" s="14" t="e">
        <f t="shared" ca="1" si="21"/>
        <v>#N/A</v>
      </c>
      <c r="AV58" s="14" t="e">
        <f t="shared" ca="1" si="21"/>
        <v>#N/A</v>
      </c>
      <c r="AW58" s="14" t="e">
        <f t="shared" ca="1" si="21"/>
        <v>#N/A</v>
      </c>
      <c r="AX58" s="14" t="e">
        <f t="shared" ca="1" si="21"/>
        <v>#N/A</v>
      </c>
      <c r="AY58" s="14" t="e">
        <f t="shared" ca="1" si="21"/>
        <v>#N/A</v>
      </c>
      <c r="AZ58" s="14" t="e">
        <f t="shared" ca="1" si="21"/>
        <v>#N/A</v>
      </c>
      <c r="BA58" s="14" t="e">
        <f t="shared" ca="1" si="21"/>
        <v>#N/A</v>
      </c>
      <c r="BB58" s="14" t="e">
        <f t="shared" ca="1" si="21"/>
        <v>#N/A</v>
      </c>
      <c r="BC58" s="14" t="e">
        <f t="shared" ca="1" si="21"/>
        <v>#N/A</v>
      </c>
      <c r="BD58" s="14" t="e">
        <f t="shared" ca="1" si="21"/>
        <v>#N/A</v>
      </c>
      <c r="BE58" s="14" t="e">
        <f t="shared" ca="1" si="21"/>
        <v>#N/A</v>
      </c>
      <c r="BF58" s="14" t="e">
        <f t="shared" ca="1" si="21"/>
        <v>#N/A</v>
      </c>
      <c r="BG58" s="14" t="e">
        <f t="shared" ca="1" si="21"/>
        <v>#N/A</v>
      </c>
      <c r="BH58" s="14" t="e">
        <f t="shared" ca="1" si="21"/>
        <v>#N/A</v>
      </c>
      <c r="BI58" s="14" t="e">
        <f t="shared" ca="1" si="21"/>
        <v>#N/A</v>
      </c>
      <c r="BJ58" s="14" t="e">
        <f t="shared" ca="1" si="21"/>
        <v>#N/A</v>
      </c>
      <c r="BK58" s="14" t="e">
        <f t="shared" ca="1" si="21"/>
        <v>#N/A</v>
      </c>
      <c r="BL58" s="14" t="e">
        <f t="shared" ca="1" si="21"/>
        <v>#N/A</v>
      </c>
      <c r="BM58" s="14" t="e">
        <f t="shared" ca="1" si="21"/>
        <v>#N/A</v>
      </c>
      <c r="BN58" s="14" t="e">
        <f t="shared" ca="1" si="21"/>
        <v>#N/A</v>
      </c>
      <c r="BO58" s="14" t="e">
        <f t="shared" ca="1" si="21"/>
        <v>#N/A</v>
      </c>
      <c r="BP58" s="14" t="e">
        <f t="shared" ca="1" si="21"/>
        <v>#N/A</v>
      </c>
      <c r="BQ58" s="14" t="e">
        <f t="shared" ca="1" si="21"/>
        <v>#N/A</v>
      </c>
      <c r="BR58" s="14" t="e">
        <f t="shared" ca="1" si="21"/>
        <v>#N/A</v>
      </c>
      <c r="BS58" s="98"/>
    </row>
    <row r="59" spans="1:71" ht="21" customHeight="1" outlineLevel="1" thickBot="1" x14ac:dyDescent="0.4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0</v>
      </c>
      <c r="E59" s="6">
        <f t="shared" si="19"/>
        <v>0</v>
      </c>
      <c r="F59" s="14" t="e">
        <f t="shared" ca="1" si="20"/>
        <v>#N/A</v>
      </c>
      <c r="G59" s="14" t="e">
        <f t="shared" ca="1" si="21"/>
        <v>#N/A</v>
      </c>
      <c r="H59" s="14" t="e">
        <f t="shared" ca="1" si="21"/>
        <v>#N/A</v>
      </c>
      <c r="I59" s="14" t="e">
        <f t="shared" ca="1" si="21"/>
        <v>#N/A</v>
      </c>
      <c r="J59" s="14" t="e">
        <f t="shared" ca="1" si="21"/>
        <v>#N/A</v>
      </c>
      <c r="K59" s="14" t="e">
        <f t="shared" ca="1" si="21"/>
        <v>#N/A</v>
      </c>
      <c r="L59" s="14" t="e">
        <f t="shared" ca="1" si="21"/>
        <v>#N/A</v>
      </c>
      <c r="M59" s="14" t="e">
        <f t="shared" ca="1" si="21"/>
        <v>#N/A</v>
      </c>
      <c r="N59" s="14" t="e">
        <f t="shared" ca="1" si="21"/>
        <v>#N/A</v>
      </c>
      <c r="O59" s="14" t="e">
        <f t="shared" ca="1" si="21"/>
        <v>#N/A</v>
      </c>
      <c r="P59" s="14" t="e">
        <f t="shared" ca="1" si="21"/>
        <v>#N/A</v>
      </c>
      <c r="Q59" s="14" t="e">
        <f t="shared" ca="1" si="21"/>
        <v>#N/A</v>
      </c>
      <c r="R59" s="14" t="e">
        <f t="shared" ca="1" si="21"/>
        <v>#N/A</v>
      </c>
      <c r="S59" s="14" t="e">
        <f t="shared" ca="1" si="21"/>
        <v>#N/A</v>
      </c>
      <c r="T59" s="14" t="e">
        <f t="shared" ca="1" si="21"/>
        <v>#N/A</v>
      </c>
      <c r="U59" s="14" t="e">
        <f t="shared" ca="1" si="21"/>
        <v>#N/A</v>
      </c>
      <c r="V59" s="14" t="e">
        <f t="shared" ca="1" si="21"/>
        <v>#N/A</v>
      </c>
      <c r="W59" s="14" t="e">
        <f t="shared" ca="1" si="21"/>
        <v>#N/A</v>
      </c>
      <c r="X59" s="14" t="e">
        <f t="shared" ca="1" si="21"/>
        <v>#N/A</v>
      </c>
      <c r="Y59" s="14" t="e">
        <f t="shared" ca="1" si="21"/>
        <v>#N/A</v>
      </c>
      <c r="Z59" s="14" t="e">
        <f t="shared" ca="1" si="21"/>
        <v>#N/A</v>
      </c>
      <c r="AA59" s="14" t="e">
        <f t="shared" ca="1" si="21"/>
        <v>#N/A</v>
      </c>
      <c r="AB59" s="14" t="e">
        <f t="shared" ca="1" si="21"/>
        <v>#N/A</v>
      </c>
      <c r="AC59" s="14" t="e">
        <f t="shared" ca="1" si="21"/>
        <v>#N/A</v>
      </c>
      <c r="AD59" s="14" t="e">
        <f t="shared" ca="1" si="21"/>
        <v>#N/A</v>
      </c>
      <c r="AE59" s="14" t="e">
        <f t="shared" ca="1" si="21"/>
        <v>#N/A</v>
      </c>
      <c r="AF59" s="14" t="e">
        <f t="shared" ca="1" si="21"/>
        <v>#N/A</v>
      </c>
      <c r="AG59" s="14" t="e">
        <f t="shared" ca="1" si="21"/>
        <v>#N/A</v>
      </c>
      <c r="AH59" s="14" t="e">
        <f t="shared" ca="1" si="21"/>
        <v>#N/A</v>
      </c>
      <c r="AI59" s="14" t="e">
        <f t="shared" ca="1" si="21"/>
        <v>#N/A</v>
      </c>
      <c r="AJ59" s="14" t="e">
        <f t="shared" ca="1" si="21"/>
        <v>#N/A</v>
      </c>
      <c r="AK59" s="14" t="e">
        <f t="shared" ca="1" si="21"/>
        <v>#N/A</v>
      </c>
      <c r="AL59" s="14" t="e">
        <f t="shared" ca="1" si="21"/>
        <v>#N/A</v>
      </c>
      <c r="AM59" s="14" t="e">
        <f t="shared" ca="1" si="21"/>
        <v>#N/A</v>
      </c>
      <c r="AN59" s="14" t="e">
        <f t="shared" ca="1" si="21"/>
        <v>#N/A</v>
      </c>
      <c r="AO59" s="14" t="e">
        <f t="shared" ca="1" si="21"/>
        <v>#N/A</v>
      </c>
      <c r="AP59" s="14" t="e">
        <f t="shared" ca="1" si="21"/>
        <v>#N/A</v>
      </c>
      <c r="AQ59" s="14" t="e">
        <f t="shared" ca="1" si="21"/>
        <v>#N/A</v>
      </c>
      <c r="AR59" s="14" t="e">
        <f t="shared" ca="1" si="21"/>
        <v>#N/A</v>
      </c>
      <c r="AS59" s="14" t="e">
        <f t="shared" ca="1" si="21"/>
        <v>#N/A</v>
      </c>
      <c r="AT59" s="14" t="e">
        <f t="shared" ca="1" si="21"/>
        <v>#N/A</v>
      </c>
      <c r="AU59" s="14" t="e">
        <f t="shared" ca="1" si="21"/>
        <v>#N/A</v>
      </c>
      <c r="AV59" s="14" t="e">
        <f t="shared" ca="1" si="21"/>
        <v>#N/A</v>
      </c>
      <c r="AW59" s="14" t="e">
        <f t="shared" ca="1" si="21"/>
        <v>#N/A</v>
      </c>
      <c r="AX59" s="14" t="e">
        <f t="shared" ca="1" si="21"/>
        <v>#N/A</v>
      </c>
      <c r="AY59" s="14" t="e">
        <f t="shared" ca="1" si="21"/>
        <v>#N/A</v>
      </c>
      <c r="AZ59" s="14" t="e">
        <f t="shared" ca="1" si="21"/>
        <v>#N/A</v>
      </c>
      <c r="BA59" s="14" t="e">
        <f t="shared" ca="1" si="21"/>
        <v>#N/A</v>
      </c>
      <c r="BB59" s="14" t="e">
        <f t="shared" ca="1" si="21"/>
        <v>#N/A</v>
      </c>
      <c r="BC59" s="14" t="e">
        <f t="shared" ca="1" si="21"/>
        <v>#N/A</v>
      </c>
      <c r="BD59" s="14" t="e">
        <f t="shared" ca="1" si="21"/>
        <v>#N/A</v>
      </c>
      <c r="BE59" s="14" t="e">
        <f t="shared" ca="1" si="21"/>
        <v>#N/A</v>
      </c>
      <c r="BF59" s="14" t="e">
        <f t="shared" ca="1" si="21"/>
        <v>#N/A</v>
      </c>
      <c r="BG59" s="14" t="e">
        <f t="shared" ca="1" si="21"/>
        <v>#N/A</v>
      </c>
      <c r="BH59" s="14" t="e">
        <f t="shared" ca="1" si="21"/>
        <v>#N/A</v>
      </c>
      <c r="BI59" s="14" t="e">
        <f t="shared" ca="1" si="21"/>
        <v>#N/A</v>
      </c>
      <c r="BJ59" s="14" t="e">
        <f t="shared" ca="1" si="21"/>
        <v>#N/A</v>
      </c>
      <c r="BK59" s="14" t="e">
        <f t="shared" ca="1" si="21"/>
        <v>#N/A</v>
      </c>
      <c r="BL59" s="14" t="e">
        <f t="shared" ca="1" si="21"/>
        <v>#N/A</v>
      </c>
      <c r="BM59" s="14" t="e">
        <f t="shared" ca="1" si="21"/>
        <v>#N/A</v>
      </c>
      <c r="BN59" s="14" t="e">
        <f t="shared" ca="1" si="21"/>
        <v>#N/A</v>
      </c>
      <c r="BO59" s="14" t="e">
        <f t="shared" ca="1" si="21"/>
        <v>#N/A</v>
      </c>
      <c r="BP59" s="14" t="e">
        <f t="shared" ca="1" si="21"/>
        <v>#N/A</v>
      </c>
      <c r="BQ59" s="14" t="e">
        <f t="shared" ca="1" si="21"/>
        <v>#N/A</v>
      </c>
      <c r="BR59" s="14" t="e">
        <f t="shared" ca="1" si="21"/>
        <v>#N/A</v>
      </c>
      <c r="BS59" s="98"/>
    </row>
    <row r="60" spans="1:71" ht="21" customHeight="1" outlineLevel="1" thickBot="1" x14ac:dyDescent="0.4">
      <c r="A60" s="5">
        <f t="shared" si="19"/>
        <v>0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>
        <f t="shared" si="19"/>
        <v>0</v>
      </c>
      <c r="F60" s="14" t="e">
        <f t="shared" ca="1" si="20"/>
        <v>#N/A</v>
      </c>
      <c r="G60" s="14" t="e">
        <f t="shared" ca="1" si="21"/>
        <v>#N/A</v>
      </c>
      <c r="H60" s="14" t="e">
        <f t="shared" ca="1" si="21"/>
        <v>#N/A</v>
      </c>
      <c r="I60" s="14" t="e">
        <f t="shared" ca="1" si="21"/>
        <v>#N/A</v>
      </c>
      <c r="J60" s="14" t="e">
        <f t="shared" ca="1" si="21"/>
        <v>#N/A</v>
      </c>
      <c r="K60" s="14" t="e">
        <f t="shared" ca="1" si="21"/>
        <v>#N/A</v>
      </c>
      <c r="L60" s="14" t="e">
        <f t="shared" ca="1" si="21"/>
        <v>#N/A</v>
      </c>
      <c r="M60" s="14" t="e">
        <f t="shared" ca="1" si="21"/>
        <v>#N/A</v>
      </c>
      <c r="N60" s="14" t="e">
        <f t="shared" ca="1" si="21"/>
        <v>#N/A</v>
      </c>
      <c r="O60" s="14" t="e">
        <f t="shared" ca="1" si="21"/>
        <v>#N/A</v>
      </c>
      <c r="P60" s="14" t="e">
        <f t="shared" ca="1" si="21"/>
        <v>#N/A</v>
      </c>
      <c r="Q60" s="14" t="e">
        <f t="shared" ca="1" si="21"/>
        <v>#N/A</v>
      </c>
      <c r="R60" s="14" t="e">
        <f t="shared" ca="1" si="21"/>
        <v>#N/A</v>
      </c>
      <c r="S60" s="14" t="e">
        <f t="shared" ca="1" si="21"/>
        <v>#N/A</v>
      </c>
      <c r="T60" s="14" t="e">
        <f t="shared" ca="1" si="21"/>
        <v>#N/A</v>
      </c>
      <c r="U60" s="14" t="e">
        <f t="shared" ca="1" si="21"/>
        <v>#N/A</v>
      </c>
      <c r="V60" s="14" t="e">
        <f t="shared" ca="1" si="21"/>
        <v>#N/A</v>
      </c>
      <c r="W60" s="14" t="e">
        <f t="shared" ca="1" si="21"/>
        <v>#N/A</v>
      </c>
      <c r="X60" s="14" t="e">
        <f t="shared" ca="1" si="21"/>
        <v>#N/A</v>
      </c>
      <c r="Y60" s="14" t="e">
        <f t="shared" ca="1" si="21"/>
        <v>#N/A</v>
      </c>
      <c r="Z60" s="14" t="e">
        <f t="shared" ca="1" si="21"/>
        <v>#N/A</v>
      </c>
      <c r="AA60" s="14" t="e">
        <f t="shared" ca="1" si="21"/>
        <v>#N/A</v>
      </c>
      <c r="AB60" s="14" t="e">
        <f t="shared" ca="1" si="21"/>
        <v>#N/A</v>
      </c>
      <c r="AC60" s="14" t="e">
        <f t="shared" ca="1" si="21"/>
        <v>#N/A</v>
      </c>
      <c r="AD60" s="14" t="e">
        <f t="shared" ca="1" si="21"/>
        <v>#N/A</v>
      </c>
      <c r="AE60" s="14" t="e">
        <f t="shared" ca="1" si="21"/>
        <v>#N/A</v>
      </c>
      <c r="AF60" s="14" t="e">
        <f t="shared" ca="1" si="21"/>
        <v>#N/A</v>
      </c>
      <c r="AG60" s="14" t="e">
        <f t="shared" ca="1" si="21"/>
        <v>#N/A</v>
      </c>
      <c r="AH60" s="14" t="e">
        <f t="shared" ca="1" si="21"/>
        <v>#N/A</v>
      </c>
      <c r="AI60" s="14" t="e">
        <f t="shared" ca="1" si="21"/>
        <v>#N/A</v>
      </c>
      <c r="AJ60" s="14" t="e">
        <f t="shared" ca="1" si="21"/>
        <v>#N/A</v>
      </c>
      <c r="AK60" s="14" t="e">
        <f t="shared" ca="1" si="21"/>
        <v>#N/A</v>
      </c>
      <c r="AL60" s="14" t="e">
        <f t="shared" ca="1" si="21"/>
        <v>#N/A</v>
      </c>
      <c r="AM60" s="14" t="e">
        <f t="shared" ca="1" si="21"/>
        <v>#N/A</v>
      </c>
      <c r="AN60" s="14" t="e">
        <f t="shared" ca="1" si="21"/>
        <v>#N/A</v>
      </c>
      <c r="AO60" s="14" t="e">
        <f t="shared" ca="1" si="21"/>
        <v>#N/A</v>
      </c>
      <c r="AP60" s="14" t="e">
        <f t="shared" ca="1" si="21"/>
        <v>#N/A</v>
      </c>
      <c r="AQ60" s="14" t="e">
        <f t="shared" ca="1" si="21"/>
        <v>#N/A</v>
      </c>
      <c r="AR60" s="14" t="e">
        <f t="shared" ca="1" si="21"/>
        <v>#N/A</v>
      </c>
      <c r="AS60" s="14" t="e">
        <f t="shared" ca="1" si="21"/>
        <v>#N/A</v>
      </c>
      <c r="AT60" s="14" t="e">
        <f t="shared" ca="1" si="21"/>
        <v>#N/A</v>
      </c>
      <c r="AU60" s="14" t="e">
        <f t="shared" ca="1" si="21"/>
        <v>#N/A</v>
      </c>
      <c r="AV60" s="14" t="e">
        <f t="shared" ca="1" si="21"/>
        <v>#N/A</v>
      </c>
      <c r="AW60" s="14" t="e">
        <f t="shared" ca="1" si="21"/>
        <v>#N/A</v>
      </c>
      <c r="AX60" s="14" t="e">
        <f t="shared" ca="1" si="21"/>
        <v>#N/A</v>
      </c>
      <c r="AY60" s="14" t="e">
        <f t="shared" ca="1" si="21"/>
        <v>#N/A</v>
      </c>
      <c r="AZ60" s="14" t="e">
        <f t="shared" ca="1" si="21"/>
        <v>#N/A</v>
      </c>
      <c r="BA60" s="14" t="e">
        <f t="shared" ca="1" si="21"/>
        <v>#N/A</v>
      </c>
      <c r="BB60" s="14" t="e">
        <f t="shared" ca="1" si="21"/>
        <v>#N/A</v>
      </c>
      <c r="BC60" s="14" t="e">
        <f t="shared" ca="1" si="21"/>
        <v>#N/A</v>
      </c>
      <c r="BD60" s="14" t="e">
        <f t="shared" ca="1" si="21"/>
        <v>#N/A</v>
      </c>
      <c r="BE60" s="14" t="e">
        <f t="shared" ca="1" si="21"/>
        <v>#N/A</v>
      </c>
      <c r="BF60" s="14" t="e">
        <f t="shared" ca="1" si="21"/>
        <v>#N/A</v>
      </c>
      <c r="BG60" s="14" t="e">
        <f t="shared" ca="1" si="21"/>
        <v>#N/A</v>
      </c>
      <c r="BH60" s="14" t="e">
        <f t="shared" ca="1" si="21"/>
        <v>#N/A</v>
      </c>
      <c r="BI60" s="14" t="e">
        <f t="shared" ca="1" si="21"/>
        <v>#N/A</v>
      </c>
      <c r="BJ60" s="14" t="e">
        <f t="shared" ca="1" si="21"/>
        <v>#N/A</v>
      </c>
      <c r="BK60" s="14" t="e">
        <f t="shared" ca="1" si="21"/>
        <v>#N/A</v>
      </c>
      <c r="BL60" s="14" t="e">
        <f t="shared" ca="1" si="21"/>
        <v>#N/A</v>
      </c>
      <c r="BM60" s="14" t="e">
        <f t="shared" ca="1" si="21"/>
        <v>#N/A</v>
      </c>
      <c r="BN60" s="14" t="e">
        <f t="shared" ca="1" si="21"/>
        <v>#N/A</v>
      </c>
      <c r="BO60" s="14" t="e">
        <f t="shared" ca="1" si="21"/>
        <v>#N/A</v>
      </c>
      <c r="BP60" s="14" t="e">
        <f t="shared" ca="1" si="21"/>
        <v>#N/A</v>
      </c>
      <c r="BQ60" s="14" t="e">
        <f t="shared" ca="1" si="21"/>
        <v>#N/A</v>
      </c>
      <c r="BR60" s="14" t="e">
        <f t="shared" ca="1" si="21"/>
        <v>#N/A</v>
      </c>
      <c r="BS60" s="98"/>
    </row>
    <row r="61" spans="1:71" ht="21" customHeight="1" outlineLevel="1" thickBot="1" x14ac:dyDescent="0.4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0</v>
      </c>
      <c r="E61" s="6">
        <f t="shared" si="19"/>
        <v>0</v>
      </c>
      <c r="F61" s="14" t="e">
        <f t="shared" ca="1" si="20"/>
        <v>#N/A</v>
      </c>
      <c r="G61" s="14" t="e">
        <f t="shared" ca="1" si="21"/>
        <v>#N/A</v>
      </c>
      <c r="H61" s="14" t="e">
        <f t="shared" ca="1" si="21"/>
        <v>#N/A</v>
      </c>
      <c r="I61" s="14" t="e">
        <f t="shared" ca="1" si="21"/>
        <v>#N/A</v>
      </c>
      <c r="J61" s="14" t="e">
        <f t="shared" ca="1" si="21"/>
        <v>#N/A</v>
      </c>
      <c r="K61" s="14" t="e">
        <f t="shared" ca="1" si="21"/>
        <v>#N/A</v>
      </c>
      <c r="L61" s="14" t="e">
        <f t="shared" ca="1" si="21"/>
        <v>#N/A</v>
      </c>
      <c r="M61" s="14" t="e">
        <f t="shared" ca="1" si="21"/>
        <v>#N/A</v>
      </c>
      <c r="N61" s="14" t="e">
        <f t="shared" ca="1" si="21"/>
        <v>#N/A</v>
      </c>
      <c r="O61" s="14" t="e">
        <f t="shared" ca="1" si="21"/>
        <v>#N/A</v>
      </c>
      <c r="P61" s="14" t="e">
        <f t="shared" ca="1" si="21"/>
        <v>#N/A</v>
      </c>
      <c r="Q61" s="14" t="e">
        <f t="shared" ca="1" si="21"/>
        <v>#N/A</v>
      </c>
      <c r="R61" s="14" t="e">
        <f t="shared" ca="1" si="21"/>
        <v>#N/A</v>
      </c>
      <c r="S61" s="14" t="e">
        <f t="shared" ca="1" si="21"/>
        <v>#N/A</v>
      </c>
      <c r="T61" s="14" t="e">
        <f t="shared" ca="1" si="21"/>
        <v>#N/A</v>
      </c>
      <c r="U61" s="14" t="e">
        <f t="shared" ca="1" si="21"/>
        <v>#N/A</v>
      </c>
      <c r="V61" s="14" t="e">
        <f t="shared" ca="1" si="21"/>
        <v>#N/A</v>
      </c>
      <c r="W61" s="14" t="e">
        <f t="shared" ca="1" si="21"/>
        <v>#N/A</v>
      </c>
      <c r="X61" s="14" t="e">
        <f t="shared" ca="1" si="21"/>
        <v>#N/A</v>
      </c>
      <c r="Y61" s="14" t="e">
        <f t="shared" ca="1" si="21"/>
        <v>#N/A</v>
      </c>
      <c r="Z61" s="14" t="e">
        <f t="shared" ca="1" si="21"/>
        <v>#N/A</v>
      </c>
      <c r="AA61" s="14" t="e">
        <f t="shared" ca="1" si="21"/>
        <v>#N/A</v>
      </c>
      <c r="AB61" s="14" t="e">
        <f t="shared" ca="1" si="21"/>
        <v>#N/A</v>
      </c>
      <c r="AC61" s="14" t="e">
        <f t="shared" ca="1" si="21"/>
        <v>#N/A</v>
      </c>
      <c r="AD61" s="14" t="e">
        <f t="shared" ca="1" si="21"/>
        <v>#N/A</v>
      </c>
      <c r="AE61" s="14" t="e">
        <f t="shared" ca="1" si="21"/>
        <v>#N/A</v>
      </c>
      <c r="AF61" s="14" t="e">
        <f t="shared" ca="1" si="21"/>
        <v>#N/A</v>
      </c>
      <c r="AG61" s="14" t="e">
        <f t="shared" ca="1" si="21"/>
        <v>#N/A</v>
      </c>
      <c r="AH61" s="14" t="e">
        <f t="shared" ca="1" si="21"/>
        <v>#N/A</v>
      </c>
      <c r="AI61" s="14" t="e">
        <f t="shared" ca="1" si="21"/>
        <v>#N/A</v>
      </c>
      <c r="AJ61" s="14" t="e">
        <f t="shared" ca="1" si="21"/>
        <v>#N/A</v>
      </c>
      <c r="AK61" s="14" t="e">
        <f t="shared" ca="1" si="21"/>
        <v>#N/A</v>
      </c>
      <c r="AL61" s="14" t="e">
        <f t="shared" ca="1" si="21"/>
        <v>#N/A</v>
      </c>
      <c r="AM61" s="14" t="e">
        <f t="shared" ca="1" si="21"/>
        <v>#N/A</v>
      </c>
      <c r="AN61" s="14" t="e">
        <f t="shared" ca="1" si="21"/>
        <v>#N/A</v>
      </c>
      <c r="AO61" s="14" t="e">
        <f t="shared" ca="1" si="21"/>
        <v>#N/A</v>
      </c>
      <c r="AP61" s="14" t="e">
        <f t="shared" ca="1" si="21"/>
        <v>#N/A</v>
      </c>
      <c r="AQ61" s="14" t="e">
        <f t="shared" ca="1" si="21"/>
        <v>#N/A</v>
      </c>
      <c r="AR61" s="14" t="e">
        <f t="shared" ca="1" si="21"/>
        <v>#N/A</v>
      </c>
      <c r="AS61" s="14" t="e">
        <f t="shared" ca="1" si="21"/>
        <v>#N/A</v>
      </c>
      <c r="AT61" s="14" t="e">
        <f t="shared" ca="1" si="21"/>
        <v>#N/A</v>
      </c>
      <c r="AU61" s="14" t="e">
        <f t="shared" ca="1" si="21"/>
        <v>#N/A</v>
      </c>
      <c r="AV61" s="14" t="e">
        <f t="shared" ca="1" si="21"/>
        <v>#N/A</v>
      </c>
      <c r="AW61" s="14" t="e">
        <f t="shared" ca="1" si="21"/>
        <v>#N/A</v>
      </c>
      <c r="AX61" s="14" t="e">
        <f t="shared" ca="1" si="21"/>
        <v>#N/A</v>
      </c>
      <c r="AY61" s="14" t="e">
        <f t="shared" ca="1" si="21"/>
        <v>#N/A</v>
      </c>
      <c r="AZ61" s="14" t="e">
        <f t="shared" ca="1" si="21"/>
        <v>#N/A</v>
      </c>
      <c r="BA61" s="14" t="e">
        <f t="shared" ca="1" si="21"/>
        <v>#N/A</v>
      </c>
      <c r="BB61" s="14" t="e">
        <f t="shared" ca="1" si="21"/>
        <v>#N/A</v>
      </c>
      <c r="BC61" s="14" t="e">
        <f t="shared" ca="1" si="21"/>
        <v>#N/A</v>
      </c>
      <c r="BD61" s="14" t="e">
        <f t="shared" ca="1" si="21"/>
        <v>#N/A</v>
      </c>
      <c r="BE61" s="14" t="e">
        <f t="shared" ca="1" si="21"/>
        <v>#N/A</v>
      </c>
      <c r="BF61" s="14" t="e">
        <f t="shared" ca="1" si="21"/>
        <v>#N/A</v>
      </c>
      <c r="BG61" s="14" t="e">
        <f t="shared" ca="1" si="21"/>
        <v>#N/A</v>
      </c>
      <c r="BH61" s="14" t="e">
        <f t="shared" ca="1" si="21"/>
        <v>#N/A</v>
      </c>
      <c r="BI61" s="14" t="e">
        <f t="shared" ca="1" si="21"/>
        <v>#N/A</v>
      </c>
      <c r="BJ61" s="14" t="e">
        <f t="shared" ca="1" si="21"/>
        <v>#N/A</v>
      </c>
      <c r="BK61" s="14" t="e">
        <f t="shared" ca="1" si="21"/>
        <v>#N/A</v>
      </c>
      <c r="BL61" s="14" t="e">
        <f t="shared" ca="1" si="21"/>
        <v>#N/A</v>
      </c>
      <c r="BM61" s="14" t="e">
        <f t="shared" ca="1" si="21"/>
        <v>#N/A</v>
      </c>
      <c r="BN61" s="14" t="e">
        <f t="shared" ca="1" si="21"/>
        <v>#N/A</v>
      </c>
      <c r="BO61" s="14" t="e">
        <f t="shared" ca="1" si="21"/>
        <v>#N/A</v>
      </c>
      <c r="BP61" s="14" t="e">
        <f t="shared" ca="1" si="21"/>
        <v>#N/A</v>
      </c>
      <c r="BQ61" s="14" t="e">
        <f t="shared" ca="1" si="21"/>
        <v>#N/A</v>
      </c>
      <c r="BR61" s="14" t="e">
        <f t="shared" ca="1" si="21"/>
        <v>#N/A</v>
      </c>
      <c r="BS61" s="98"/>
    </row>
    <row r="62" spans="1:71" ht="21" customHeight="1" outlineLevel="1" thickBot="1" x14ac:dyDescent="0.4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 t="e">
        <f t="shared" ca="1" si="20"/>
        <v>#N/A</v>
      </c>
      <c r="G62" s="14" t="e">
        <f t="shared" ca="1" si="21"/>
        <v>#N/A</v>
      </c>
      <c r="H62" s="14" t="e">
        <f t="shared" ca="1" si="21"/>
        <v>#N/A</v>
      </c>
      <c r="I62" s="14" t="e">
        <f t="shared" ca="1" si="21"/>
        <v>#N/A</v>
      </c>
      <c r="J62" s="14" t="e">
        <f t="shared" ca="1" si="21"/>
        <v>#N/A</v>
      </c>
      <c r="K62" s="14" t="e">
        <f t="shared" ca="1" si="21"/>
        <v>#N/A</v>
      </c>
      <c r="L62" s="14" t="e">
        <f t="shared" ca="1" si="21"/>
        <v>#N/A</v>
      </c>
      <c r="M62" s="14" t="e">
        <f t="shared" ca="1" si="21"/>
        <v>#N/A</v>
      </c>
      <c r="N62" s="14" t="e">
        <f t="shared" ca="1" si="21"/>
        <v>#N/A</v>
      </c>
      <c r="O62" s="14" t="e">
        <f t="shared" ca="1" si="21"/>
        <v>#N/A</v>
      </c>
      <c r="P62" s="14" t="e">
        <f t="shared" ca="1" si="21"/>
        <v>#N/A</v>
      </c>
      <c r="Q62" s="14" t="e">
        <f t="shared" ca="1" si="21"/>
        <v>#N/A</v>
      </c>
      <c r="R62" s="14" t="e">
        <f t="shared" ca="1" si="21"/>
        <v>#N/A</v>
      </c>
      <c r="S62" s="14" t="e">
        <f t="shared" ca="1" si="21"/>
        <v>#N/A</v>
      </c>
      <c r="T62" s="14" t="e">
        <f t="shared" ca="1" si="21"/>
        <v>#N/A</v>
      </c>
      <c r="U62" s="14" t="e">
        <f t="shared" ca="1" si="21"/>
        <v>#N/A</v>
      </c>
      <c r="V62" s="14" t="e">
        <f t="shared" ca="1" si="21"/>
        <v>#N/A</v>
      </c>
      <c r="W62" s="14" t="e">
        <f t="shared" ca="1" si="21"/>
        <v>#N/A</v>
      </c>
      <c r="X62" s="14" t="e">
        <f t="shared" ca="1" si="21"/>
        <v>#N/A</v>
      </c>
      <c r="Y62" s="14" t="e">
        <f t="shared" ca="1" si="21"/>
        <v>#N/A</v>
      </c>
      <c r="Z62" s="14" t="e">
        <f t="shared" ca="1" si="21"/>
        <v>#N/A</v>
      </c>
      <c r="AA62" s="14" t="e">
        <f t="shared" ca="1" si="21"/>
        <v>#N/A</v>
      </c>
      <c r="AB62" s="14" t="e">
        <f t="shared" ca="1" si="21"/>
        <v>#N/A</v>
      </c>
      <c r="AC62" s="14" t="e">
        <f t="shared" ca="1" si="21"/>
        <v>#N/A</v>
      </c>
      <c r="AD62" s="14" t="e">
        <f t="shared" ca="1" si="21"/>
        <v>#N/A</v>
      </c>
      <c r="AE62" s="14" t="e">
        <f t="shared" ca="1" si="21"/>
        <v>#N/A</v>
      </c>
      <c r="AF62" s="14" t="e">
        <f t="shared" ca="1" si="21"/>
        <v>#N/A</v>
      </c>
      <c r="AG62" s="14" t="e">
        <f t="shared" ref="G62:BR66" ca="1" si="22">$A62*H.Ar + $B62*H.Se + $C62*H.Ge + $D62*H.Ga</f>
        <v>#N/A</v>
      </c>
      <c r="AH62" s="14" t="e">
        <f t="shared" ca="1" si="22"/>
        <v>#N/A</v>
      </c>
      <c r="AI62" s="14" t="e">
        <f t="shared" ca="1" si="22"/>
        <v>#N/A</v>
      </c>
      <c r="AJ62" s="14" t="e">
        <f t="shared" ca="1" si="22"/>
        <v>#N/A</v>
      </c>
      <c r="AK62" s="14" t="e">
        <f t="shared" ca="1" si="22"/>
        <v>#N/A</v>
      </c>
      <c r="AL62" s="14" t="e">
        <f t="shared" ca="1" si="22"/>
        <v>#N/A</v>
      </c>
      <c r="AM62" s="14" t="e">
        <f t="shared" ca="1" si="22"/>
        <v>#N/A</v>
      </c>
      <c r="AN62" s="14" t="e">
        <f t="shared" ca="1" si="22"/>
        <v>#N/A</v>
      </c>
      <c r="AO62" s="14" t="e">
        <f t="shared" ca="1" si="22"/>
        <v>#N/A</v>
      </c>
      <c r="AP62" s="14" t="e">
        <f t="shared" ca="1" si="22"/>
        <v>#N/A</v>
      </c>
      <c r="AQ62" s="14" t="e">
        <f t="shared" ca="1" si="22"/>
        <v>#N/A</v>
      </c>
      <c r="AR62" s="14" t="e">
        <f t="shared" ca="1" si="22"/>
        <v>#N/A</v>
      </c>
      <c r="AS62" s="14" t="e">
        <f t="shared" ca="1" si="22"/>
        <v>#N/A</v>
      </c>
      <c r="AT62" s="14" t="e">
        <f t="shared" ca="1" si="22"/>
        <v>#N/A</v>
      </c>
      <c r="AU62" s="14" t="e">
        <f t="shared" ca="1" si="22"/>
        <v>#N/A</v>
      </c>
      <c r="AV62" s="14" t="e">
        <f t="shared" ca="1" si="22"/>
        <v>#N/A</v>
      </c>
      <c r="AW62" s="14" t="e">
        <f t="shared" ca="1" si="22"/>
        <v>#N/A</v>
      </c>
      <c r="AX62" s="14" t="e">
        <f t="shared" ca="1" si="22"/>
        <v>#N/A</v>
      </c>
      <c r="AY62" s="14" t="e">
        <f t="shared" ca="1" si="22"/>
        <v>#N/A</v>
      </c>
      <c r="AZ62" s="14" t="e">
        <f t="shared" ca="1" si="22"/>
        <v>#N/A</v>
      </c>
      <c r="BA62" s="14" t="e">
        <f t="shared" ca="1" si="22"/>
        <v>#N/A</v>
      </c>
      <c r="BB62" s="14" t="e">
        <f t="shared" ca="1" si="22"/>
        <v>#N/A</v>
      </c>
      <c r="BC62" s="14" t="e">
        <f t="shared" ca="1" si="22"/>
        <v>#N/A</v>
      </c>
      <c r="BD62" s="14" t="e">
        <f t="shared" ca="1" si="22"/>
        <v>#N/A</v>
      </c>
      <c r="BE62" s="14" t="e">
        <f t="shared" ca="1" si="22"/>
        <v>#N/A</v>
      </c>
      <c r="BF62" s="14" t="e">
        <f t="shared" ca="1" si="22"/>
        <v>#N/A</v>
      </c>
      <c r="BG62" s="14" t="e">
        <f t="shared" ca="1" si="22"/>
        <v>#N/A</v>
      </c>
      <c r="BH62" s="14" t="e">
        <f t="shared" ca="1" si="22"/>
        <v>#N/A</v>
      </c>
      <c r="BI62" s="14" t="e">
        <f t="shared" ca="1" si="22"/>
        <v>#N/A</v>
      </c>
      <c r="BJ62" s="14" t="e">
        <f t="shared" ca="1" si="22"/>
        <v>#N/A</v>
      </c>
      <c r="BK62" s="14" t="e">
        <f t="shared" ca="1" si="22"/>
        <v>#N/A</v>
      </c>
      <c r="BL62" s="14" t="e">
        <f t="shared" ca="1" si="22"/>
        <v>#N/A</v>
      </c>
      <c r="BM62" s="14" t="e">
        <f t="shared" ca="1" si="22"/>
        <v>#N/A</v>
      </c>
      <c r="BN62" s="14" t="e">
        <f t="shared" ca="1" si="22"/>
        <v>#N/A</v>
      </c>
      <c r="BO62" s="14" t="e">
        <f t="shared" ca="1" si="22"/>
        <v>#N/A</v>
      </c>
      <c r="BP62" s="14" t="e">
        <f t="shared" ca="1" si="22"/>
        <v>#N/A</v>
      </c>
      <c r="BQ62" s="14" t="e">
        <f t="shared" ca="1" si="22"/>
        <v>#N/A</v>
      </c>
      <c r="BR62" s="14" t="e">
        <f t="shared" ca="1" si="22"/>
        <v>#N/A</v>
      </c>
      <c r="BS62" s="98"/>
    </row>
    <row r="63" spans="1:71" ht="21" customHeight="1" outlineLevel="1" thickBot="1" x14ac:dyDescent="0.4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 t="e">
        <f t="shared" ca="1" si="20"/>
        <v>#N/A</v>
      </c>
      <c r="G63" s="14" t="e">
        <f t="shared" ca="1" si="22"/>
        <v>#N/A</v>
      </c>
      <c r="H63" s="14" t="e">
        <f t="shared" ca="1" si="22"/>
        <v>#N/A</v>
      </c>
      <c r="I63" s="14" t="e">
        <f t="shared" ca="1" si="22"/>
        <v>#N/A</v>
      </c>
      <c r="J63" s="14" t="e">
        <f t="shared" ca="1" si="22"/>
        <v>#N/A</v>
      </c>
      <c r="K63" s="14" t="e">
        <f t="shared" ca="1" si="22"/>
        <v>#N/A</v>
      </c>
      <c r="L63" s="14" t="e">
        <f t="shared" ca="1" si="22"/>
        <v>#N/A</v>
      </c>
      <c r="M63" s="14" t="e">
        <f t="shared" ca="1" si="22"/>
        <v>#N/A</v>
      </c>
      <c r="N63" s="14" t="e">
        <f t="shared" ca="1" si="22"/>
        <v>#N/A</v>
      </c>
      <c r="O63" s="14" t="e">
        <f t="shared" ca="1" si="22"/>
        <v>#N/A</v>
      </c>
      <c r="P63" s="14" t="e">
        <f t="shared" ca="1" si="22"/>
        <v>#N/A</v>
      </c>
      <c r="Q63" s="14" t="e">
        <f t="shared" ca="1" si="22"/>
        <v>#N/A</v>
      </c>
      <c r="R63" s="14" t="e">
        <f t="shared" ca="1" si="22"/>
        <v>#N/A</v>
      </c>
      <c r="S63" s="14" t="e">
        <f t="shared" ca="1" si="22"/>
        <v>#N/A</v>
      </c>
      <c r="T63" s="14" t="e">
        <f t="shared" ca="1" si="22"/>
        <v>#N/A</v>
      </c>
      <c r="U63" s="14" t="e">
        <f t="shared" ca="1" si="22"/>
        <v>#N/A</v>
      </c>
      <c r="V63" s="14" t="e">
        <f t="shared" ca="1" si="22"/>
        <v>#N/A</v>
      </c>
      <c r="W63" s="14" t="e">
        <f t="shared" ca="1" si="22"/>
        <v>#N/A</v>
      </c>
      <c r="X63" s="14" t="e">
        <f t="shared" ca="1" si="22"/>
        <v>#N/A</v>
      </c>
      <c r="Y63" s="14" t="e">
        <f t="shared" ca="1" si="22"/>
        <v>#N/A</v>
      </c>
      <c r="Z63" s="14" t="e">
        <f t="shared" ca="1" si="22"/>
        <v>#N/A</v>
      </c>
      <c r="AA63" s="14" t="e">
        <f t="shared" ca="1" si="22"/>
        <v>#N/A</v>
      </c>
      <c r="AB63" s="14" t="e">
        <f t="shared" ca="1" si="22"/>
        <v>#N/A</v>
      </c>
      <c r="AC63" s="14" t="e">
        <f t="shared" ca="1" si="22"/>
        <v>#N/A</v>
      </c>
      <c r="AD63" s="14" t="e">
        <f t="shared" ca="1" si="22"/>
        <v>#N/A</v>
      </c>
      <c r="AE63" s="14" t="e">
        <f t="shared" ca="1" si="22"/>
        <v>#N/A</v>
      </c>
      <c r="AF63" s="14" t="e">
        <f t="shared" ca="1" si="22"/>
        <v>#N/A</v>
      </c>
      <c r="AG63" s="14" t="e">
        <f t="shared" ca="1" si="22"/>
        <v>#N/A</v>
      </c>
      <c r="AH63" s="14" t="e">
        <f t="shared" ca="1" si="22"/>
        <v>#N/A</v>
      </c>
      <c r="AI63" s="14" t="e">
        <f t="shared" ca="1" si="22"/>
        <v>#N/A</v>
      </c>
      <c r="AJ63" s="14" t="e">
        <f t="shared" ca="1" si="22"/>
        <v>#N/A</v>
      </c>
      <c r="AK63" s="14" t="e">
        <f t="shared" ca="1" si="22"/>
        <v>#N/A</v>
      </c>
      <c r="AL63" s="14" t="e">
        <f t="shared" ca="1" si="22"/>
        <v>#N/A</v>
      </c>
      <c r="AM63" s="14" t="e">
        <f t="shared" ca="1" si="22"/>
        <v>#N/A</v>
      </c>
      <c r="AN63" s="14" t="e">
        <f t="shared" ca="1" si="22"/>
        <v>#N/A</v>
      </c>
      <c r="AO63" s="14" t="e">
        <f t="shared" ca="1" si="22"/>
        <v>#N/A</v>
      </c>
      <c r="AP63" s="14" t="e">
        <f t="shared" ca="1" si="22"/>
        <v>#N/A</v>
      </c>
      <c r="AQ63" s="14" t="e">
        <f t="shared" ca="1" si="22"/>
        <v>#N/A</v>
      </c>
      <c r="AR63" s="14" t="e">
        <f t="shared" ca="1" si="22"/>
        <v>#N/A</v>
      </c>
      <c r="AS63" s="14" t="e">
        <f t="shared" ca="1" si="22"/>
        <v>#N/A</v>
      </c>
      <c r="AT63" s="14" t="e">
        <f t="shared" ca="1" si="22"/>
        <v>#N/A</v>
      </c>
      <c r="AU63" s="14" t="e">
        <f t="shared" ca="1" si="22"/>
        <v>#N/A</v>
      </c>
      <c r="AV63" s="14" t="e">
        <f t="shared" ca="1" si="22"/>
        <v>#N/A</v>
      </c>
      <c r="AW63" s="14" t="e">
        <f t="shared" ca="1" si="22"/>
        <v>#N/A</v>
      </c>
      <c r="AX63" s="14" t="e">
        <f t="shared" ca="1" si="22"/>
        <v>#N/A</v>
      </c>
      <c r="AY63" s="14" t="e">
        <f t="shared" ca="1" si="22"/>
        <v>#N/A</v>
      </c>
      <c r="AZ63" s="14" t="e">
        <f t="shared" ca="1" si="22"/>
        <v>#N/A</v>
      </c>
      <c r="BA63" s="14" t="e">
        <f t="shared" ca="1" si="22"/>
        <v>#N/A</v>
      </c>
      <c r="BB63" s="14" t="e">
        <f t="shared" ca="1" si="22"/>
        <v>#N/A</v>
      </c>
      <c r="BC63" s="14" t="e">
        <f t="shared" ca="1" si="22"/>
        <v>#N/A</v>
      </c>
      <c r="BD63" s="14" t="e">
        <f t="shared" ca="1" si="22"/>
        <v>#N/A</v>
      </c>
      <c r="BE63" s="14" t="e">
        <f t="shared" ca="1" si="22"/>
        <v>#N/A</v>
      </c>
      <c r="BF63" s="14" t="e">
        <f t="shared" ca="1" si="22"/>
        <v>#N/A</v>
      </c>
      <c r="BG63" s="14" t="e">
        <f t="shared" ca="1" si="22"/>
        <v>#N/A</v>
      </c>
      <c r="BH63" s="14" t="e">
        <f t="shared" ca="1" si="22"/>
        <v>#N/A</v>
      </c>
      <c r="BI63" s="14" t="e">
        <f t="shared" ca="1" si="22"/>
        <v>#N/A</v>
      </c>
      <c r="BJ63" s="14" t="e">
        <f t="shared" ca="1" si="22"/>
        <v>#N/A</v>
      </c>
      <c r="BK63" s="14" t="e">
        <f t="shared" ca="1" si="22"/>
        <v>#N/A</v>
      </c>
      <c r="BL63" s="14" t="e">
        <f t="shared" ca="1" si="22"/>
        <v>#N/A</v>
      </c>
      <c r="BM63" s="14" t="e">
        <f t="shared" ca="1" si="22"/>
        <v>#N/A</v>
      </c>
      <c r="BN63" s="14" t="e">
        <f t="shared" ca="1" si="22"/>
        <v>#N/A</v>
      </c>
      <c r="BO63" s="14" t="e">
        <f t="shared" ca="1" si="22"/>
        <v>#N/A</v>
      </c>
      <c r="BP63" s="14" t="e">
        <f t="shared" ca="1" si="22"/>
        <v>#N/A</v>
      </c>
      <c r="BQ63" s="14" t="e">
        <f t="shared" ca="1" si="22"/>
        <v>#N/A</v>
      </c>
      <c r="BR63" s="14" t="e">
        <f t="shared" ca="1" si="22"/>
        <v>#N/A</v>
      </c>
      <c r="BS63" s="98"/>
    </row>
    <row r="64" spans="1:71" ht="21" customHeight="1" outlineLevel="1" thickBot="1" x14ac:dyDescent="0.4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 t="e">
        <f t="shared" ca="1" si="20"/>
        <v>#N/A</v>
      </c>
      <c r="G64" s="14" t="e">
        <f t="shared" ca="1" si="22"/>
        <v>#N/A</v>
      </c>
      <c r="H64" s="14" t="e">
        <f t="shared" ca="1" si="22"/>
        <v>#N/A</v>
      </c>
      <c r="I64" s="14" t="e">
        <f t="shared" ca="1" si="22"/>
        <v>#N/A</v>
      </c>
      <c r="J64" s="14" t="e">
        <f t="shared" ca="1" si="22"/>
        <v>#N/A</v>
      </c>
      <c r="K64" s="14" t="e">
        <f t="shared" ca="1" si="22"/>
        <v>#N/A</v>
      </c>
      <c r="L64" s="14" t="e">
        <f t="shared" ca="1" si="22"/>
        <v>#N/A</v>
      </c>
      <c r="M64" s="14" t="e">
        <f t="shared" ca="1" si="22"/>
        <v>#N/A</v>
      </c>
      <c r="N64" s="14" t="e">
        <f t="shared" ca="1" si="22"/>
        <v>#N/A</v>
      </c>
      <c r="O64" s="14" t="e">
        <f t="shared" ca="1" si="22"/>
        <v>#N/A</v>
      </c>
      <c r="P64" s="14" t="e">
        <f t="shared" ca="1" si="22"/>
        <v>#N/A</v>
      </c>
      <c r="Q64" s="14" t="e">
        <f t="shared" ca="1" si="22"/>
        <v>#N/A</v>
      </c>
      <c r="R64" s="14" t="e">
        <f t="shared" ca="1" si="22"/>
        <v>#N/A</v>
      </c>
      <c r="S64" s="14" t="e">
        <f t="shared" ca="1" si="22"/>
        <v>#N/A</v>
      </c>
      <c r="T64" s="14" t="e">
        <f t="shared" ca="1" si="22"/>
        <v>#N/A</v>
      </c>
      <c r="U64" s="14" t="e">
        <f t="shared" ca="1" si="22"/>
        <v>#N/A</v>
      </c>
      <c r="V64" s="14" t="e">
        <f t="shared" ca="1" si="22"/>
        <v>#N/A</v>
      </c>
      <c r="W64" s="14" t="e">
        <f t="shared" ca="1" si="22"/>
        <v>#N/A</v>
      </c>
      <c r="X64" s="14" t="e">
        <f t="shared" ca="1" si="22"/>
        <v>#N/A</v>
      </c>
      <c r="Y64" s="14" t="e">
        <f t="shared" ca="1" si="22"/>
        <v>#N/A</v>
      </c>
      <c r="Z64" s="14" t="e">
        <f t="shared" ca="1" si="22"/>
        <v>#N/A</v>
      </c>
      <c r="AA64" s="14" t="e">
        <f t="shared" ca="1" si="22"/>
        <v>#N/A</v>
      </c>
      <c r="AB64" s="14" t="e">
        <f t="shared" ca="1" si="22"/>
        <v>#N/A</v>
      </c>
      <c r="AC64" s="14" t="e">
        <f t="shared" ca="1" si="22"/>
        <v>#N/A</v>
      </c>
      <c r="AD64" s="14" t="e">
        <f t="shared" ca="1" si="22"/>
        <v>#N/A</v>
      </c>
      <c r="AE64" s="14" t="e">
        <f t="shared" ca="1" si="22"/>
        <v>#N/A</v>
      </c>
      <c r="AF64" s="14" t="e">
        <f t="shared" ca="1" si="22"/>
        <v>#N/A</v>
      </c>
      <c r="AG64" s="14" t="e">
        <f t="shared" ca="1" si="22"/>
        <v>#N/A</v>
      </c>
      <c r="AH64" s="14" t="e">
        <f t="shared" ca="1" si="22"/>
        <v>#N/A</v>
      </c>
      <c r="AI64" s="14" t="e">
        <f t="shared" ca="1" si="22"/>
        <v>#N/A</v>
      </c>
      <c r="AJ64" s="14" t="e">
        <f t="shared" ca="1" si="22"/>
        <v>#N/A</v>
      </c>
      <c r="AK64" s="14" t="e">
        <f t="shared" ca="1" si="22"/>
        <v>#N/A</v>
      </c>
      <c r="AL64" s="14" t="e">
        <f t="shared" ca="1" si="22"/>
        <v>#N/A</v>
      </c>
      <c r="AM64" s="14" t="e">
        <f t="shared" ca="1" si="22"/>
        <v>#N/A</v>
      </c>
      <c r="AN64" s="14" t="e">
        <f t="shared" ca="1" si="22"/>
        <v>#N/A</v>
      </c>
      <c r="AO64" s="14" t="e">
        <f t="shared" ca="1" si="22"/>
        <v>#N/A</v>
      </c>
      <c r="AP64" s="14" t="e">
        <f t="shared" ca="1" si="22"/>
        <v>#N/A</v>
      </c>
      <c r="AQ64" s="14" t="e">
        <f t="shared" ca="1" si="22"/>
        <v>#N/A</v>
      </c>
      <c r="AR64" s="14" t="e">
        <f t="shared" ca="1" si="22"/>
        <v>#N/A</v>
      </c>
      <c r="AS64" s="14" t="e">
        <f t="shared" ca="1" si="22"/>
        <v>#N/A</v>
      </c>
      <c r="AT64" s="14" t="e">
        <f t="shared" ca="1" si="22"/>
        <v>#N/A</v>
      </c>
      <c r="AU64" s="14" t="e">
        <f t="shared" ca="1" si="22"/>
        <v>#N/A</v>
      </c>
      <c r="AV64" s="14" t="e">
        <f t="shared" ca="1" si="22"/>
        <v>#N/A</v>
      </c>
      <c r="AW64" s="14" t="e">
        <f t="shared" ca="1" si="22"/>
        <v>#N/A</v>
      </c>
      <c r="AX64" s="14" t="e">
        <f t="shared" ca="1" si="22"/>
        <v>#N/A</v>
      </c>
      <c r="AY64" s="14" t="e">
        <f t="shared" ca="1" si="22"/>
        <v>#N/A</v>
      </c>
      <c r="AZ64" s="14" t="e">
        <f t="shared" ca="1" si="22"/>
        <v>#N/A</v>
      </c>
      <c r="BA64" s="14" t="e">
        <f t="shared" ca="1" si="22"/>
        <v>#N/A</v>
      </c>
      <c r="BB64" s="14" t="e">
        <f t="shared" ca="1" si="22"/>
        <v>#N/A</v>
      </c>
      <c r="BC64" s="14" t="e">
        <f t="shared" ca="1" si="22"/>
        <v>#N/A</v>
      </c>
      <c r="BD64" s="14" t="e">
        <f t="shared" ca="1" si="22"/>
        <v>#N/A</v>
      </c>
      <c r="BE64" s="14" t="e">
        <f t="shared" ca="1" si="22"/>
        <v>#N/A</v>
      </c>
      <c r="BF64" s="14" t="e">
        <f t="shared" ca="1" si="22"/>
        <v>#N/A</v>
      </c>
      <c r="BG64" s="14" t="e">
        <f t="shared" ca="1" si="22"/>
        <v>#N/A</v>
      </c>
      <c r="BH64" s="14" t="e">
        <f t="shared" ca="1" si="22"/>
        <v>#N/A</v>
      </c>
      <c r="BI64" s="14" t="e">
        <f t="shared" ca="1" si="22"/>
        <v>#N/A</v>
      </c>
      <c r="BJ64" s="14" t="e">
        <f t="shared" ca="1" si="22"/>
        <v>#N/A</v>
      </c>
      <c r="BK64" s="14" t="e">
        <f t="shared" ca="1" si="22"/>
        <v>#N/A</v>
      </c>
      <c r="BL64" s="14" t="e">
        <f t="shared" ca="1" si="22"/>
        <v>#N/A</v>
      </c>
      <c r="BM64" s="14" t="e">
        <f t="shared" ca="1" si="22"/>
        <v>#N/A</v>
      </c>
      <c r="BN64" s="14" t="e">
        <f t="shared" ca="1" si="22"/>
        <v>#N/A</v>
      </c>
      <c r="BO64" s="14" t="e">
        <f t="shared" ca="1" si="22"/>
        <v>#N/A</v>
      </c>
      <c r="BP64" s="14" t="e">
        <f t="shared" ca="1" si="22"/>
        <v>#N/A</v>
      </c>
      <c r="BQ64" s="14" t="e">
        <f t="shared" ca="1" si="22"/>
        <v>#N/A</v>
      </c>
      <c r="BR64" s="14" t="e">
        <f t="shared" ca="1" si="22"/>
        <v>#N/A</v>
      </c>
      <c r="BS64" s="98"/>
    </row>
    <row r="65" spans="1:87" ht="21" customHeight="1" outlineLevel="1" thickBot="1" x14ac:dyDescent="0.4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 t="e">
        <f t="shared" ca="1" si="20"/>
        <v>#N/A</v>
      </c>
      <c r="G65" s="14" t="e">
        <f t="shared" ca="1" si="22"/>
        <v>#N/A</v>
      </c>
      <c r="H65" s="14" t="e">
        <f t="shared" ca="1" si="22"/>
        <v>#N/A</v>
      </c>
      <c r="I65" s="14" t="e">
        <f t="shared" ca="1" si="22"/>
        <v>#N/A</v>
      </c>
      <c r="J65" s="14" t="e">
        <f t="shared" ca="1" si="22"/>
        <v>#N/A</v>
      </c>
      <c r="K65" s="14" t="e">
        <f t="shared" ca="1" si="22"/>
        <v>#N/A</v>
      </c>
      <c r="L65" s="14" t="e">
        <f t="shared" ca="1" si="22"/>
        <v>#N/A</v>
      </c>
      <c r="M65" s="14" t="e">
        <f t="shared" ca="1" si="22"/>
        <v>#N/A</v>
      </c>
      <c r="N65" s="14" t="e">
        <f t="shared" ca="1" si="22"/>
        <v>#N/A</v>
      </c>
      <c r="O65" s="14" t="e">
        <f t="shared" ca="1" si="22"/>
        <v>#N/A</v>
      </c>
      <c r="P65" s="14" t="e">
        <f t="shared" ca="1" si="22"/>
        <v>#N/A</v>
      </c>
      <c r="Q65" s="14" t="e">
        <f t="shared" ca="1" si="22"/>
        <v>#N/A</v>
      </c>
      <c r="R65" s="14" t="e">
        <f t="shared" ca="1" si="22"/>
        <v>#N/A</v>
      </c>
      <c r="S65" s="14" t="e">
        <f t="shared" ca="1" si="22"/>
        <v>#N/A</v>
      </c>
      <c r="T65" s="14" t="e">
        <f t="shared" ca="1" si="22"/>
        <v>#N/A</v>
      </c>
      <c r="U65" s="14" t="e">
        <f t="shared" ca="1" si="22"/>
        <v>#N/A</v>
      </c>
      <c r="V65" s="14" t="e">
        <f t="shared" ca="1" si="22"/>
        <v>#N/A</v>
      </c>
      <c r="W65" s="14" t="e">
        <f t="shared" ca="1" si="22"/>
        <v>#N/A</v>
      </c>
      <c r="X65" s="14" t="e">
        <f t="shared" ca="1" si="22"/>
        <v>#N/A</v>
      </c>
      <c r="Y65" s="14" t="e">
        <f t="shared" ca="1" si="22"/>
        <v>#N/A</v>
      </c>
      <c r="Z65" s="14" t="e">
        <f t="shared" ca="1" si="22"/>
        <v>#N/A</v>
      </c>
      <c r="AA65" s="14" t="e">
        <f t="shared" ca="1" si="22"/>
        <v>#N/A</v>
      </c>
      <c r="AB65" s="14" t="e">
        <f t="shared" ca="1" si="22"/>
        <v>#N/A</v>
      </c>
      <c r="AC65" s="14" t="e">
        <f t="shared" ca="1" si="22"/>
        <v>#N/A</v>
      </c>
      <c r="AD65" s="14" t="e">
        <f t="shared" ca="1" si="22"/>
        <v>#N/A</v>
      </c>
      <c r="AE65" s="14" t="e">
        <f t="shared" ca="1" si="22"/>
        <v>#N/A</v>
      </c>
      <c r="AF65" s="14" t="e">
        <f t="shared" ca="1" si="22"/>
        <v>#N/A</v>
      </c>
      <c r="AG65" s="14" t="e">
        <f t="shared" ca="1" si="22"/>
        <v>#N/A</v>
      </c>
      <c r="AH65" s="14" t="e">
        <f t="shared" ca="1" si="22"/>
        <v>#N/A</v>
      </c>
      <c r="AI65" s="14" t="e">
        <f t="shared" ca="1" si="22"/>
        <v>#N/A</v>
      </c>
      <c r="AJ65" s="14" t="e">
        <f t="shared" ca="1" si="22"/>
        <v>#N/A</v>
      </c>
      <c r="AK65" s="14" t="e">
        <f t="shared" ca="1" si="22"/>
        <v>#N/A</v>
      </c>
      <c r="AL65" s="14" t="e">
        <f t="shared" ca="1" si="22"/>
        <v>#N/A</v>
      </c>
      <c r="AM65" s="14" t="e">
        <f t="shared" ca="1" si="22"/>
        <v>#N/A</v>
      </c>
      <c r="AN65" s="14" t="e">
        <f t="shared" ca="1" si="22"/>
        <v>#N/A</v>
      </c>
      <c r="AO65" s="14" t="e">
        <f t="shared" ca="1" si="22"/>
        <v>#N/A</v>
      </c>
      <c r="AP65" s="14" t="e">
        <f t="shared" ca="1" si="22"/>
        <v>#N/A</v>
      </c>
      <c r="AQ65" s="14" t="e">
        <f t="shared" ca="1" si="22"/>
        <v>#N/A</v>
      </c>
      <c r="AR65" s="14" t="e">
        <f t="shared" ca="1" si="22"/>
        <v>#N/A</v>
      </c>
      <c r="AS65" s="14" t="e">
        <f t="shared" ca="1" si="22"/>
        <v>#N/A</v>
      </c>
      <c r="AT65" s="14" t="e">
        <f t="shared" ca="1" si="22"/>
        <v>#N/A</v>
      </c>
      <c r="AU65" s="14" t="e">
        <f t="shared" ca="1" si="22"/>
        <v>#N/A</v>
      </c>
      <c r="AV65" s="14" t="e">
        <f t="shared" ca="1" si="22"/>
        <v>#N/A</v>
      </c>
      <c r="AW65" s="14" t="e">
        <f t="shared" ca="1" si="22"/>
        <v>#N/A</v>
      </c>
      <c r="AX65" s="14" t="e">
        <f t="shared" ca="1" si="22"/>
        <v>#N/A</v>
      </c>
      <c r="AY65" s="14" t="e">
        <f t="shared" ca="1" si="22"/>
        <v>#N/A</v>
      </c>
      <c r="AZ65" s="14" t="e">
        <f t="shared" ca="1" si="22"/>
        <v>#N/A</v>
      </c>
      <c r="BA65" s="14" t="e">
        <f t="shared" ca="1" si="22"/>
        <v>#N/A</v>
      </c>
      <c r="BB65" s="14" t="e">
        <f t="shared" ca="1" si="22"/>
        <v>#N/A</v>
      </c>
      <c r="BC65" s="14" t="e">
        <f t="shared" ca="1" si="22"/>
        <v>#N/A</v>
      </c>
      <c r="BD65" s="14" t="e">
        <f t="shared" ca="1" si="22"/>
        <v>#N/A</v>
      </c>
      <c r="BE65" s="14" t="e">
        <f t="shared" ca="1" si="22"/>
        <v>#N/A</v>
      </c>
      <c r="BF65" s="14" t="e">
        <f t="shared" ca="1" si="22"/>
        <v>#N/A</v>
      </c>
      <c r="BG65" s="14" t="e">
        <f t="shared" ca="1" si="22"/>
        <v>#N/A</v>
      </c>
      <c r="BH65" s="14" t="e">
        <f t="shared" ca="1" si="22"/>
        <v>#N/A</v>
      </c>
      <c r="BI65" s="14" t="e">
        <f t="shared" ca="1" si="22"/>
        <v>#N/A</v>
      </c>
      <c r="BJ65" s="14" t="e">
        <f t="shared" ca="1" si="22"/>
        <v>#N/A</v>
      </c>
      <c r="BK65" s="14" t="e">
        <f t="shared" ca="1" si="22"/>
        <v>#N/A</v>
      </c>
      <c r="BL65" s="14" t="e">
        <f t="shared" ca="1" si="22"/>
        <v>#N/A</v>
      </c>
      <c r="BM65" s="14" t="e">
        <f t="shared" ca="1" si="22"/>
        <v>#N/A</v>
      </c>
      <c r="BN65" s="14" t="e">
        <f t="shared" ca="1" si="22"/>
        <v>#N/A</v>
      </c>
      <c r="BO65" s="14" t="e">
        <f t="shared" ca="1" si="22"/>
        <v>#N/A</v>
      </c>
      <c r="BP65" s="14" t="e">
        <f t="shared" ca="1" si="22"/>
        <v>#N/A</v>
      </c>
      <c r="BQ65" s="14" t="e">
        <f t="shared" ca="1" si="22"/>
        <v>#N/A</v>
      </c>
      <c r="BR65" s="14" t="e">
        <f t="shared" ca="1" si="22"/>
        <v>#N/A</v>
      </c>
      <c r="BS65" s="98"/>
    </row>
    <row r="66" spans="1:87" ht="21" customHeight="1" outlineLevel="1" thickBot="1" x14ac:dyDescent="0.4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 t="e">
        <f t="shared" ref="F66:U74" ca="1" si="24">$A66*H.Ar + $B66*H.Se + $C66*H.Ge + $D66*H.Ga</f>
        <v>#N/A</v>
      </c>
      <c r="G66" s="14" t="e">
        <f t="shared" ca="1" si="24"/>
        <v>#N/A</v>
      </c>
      <c r="H66" s="14" t="e">
        <f t="shared" ca="1" si="24"/>
        <v>#N/A</v>
      </c>
      <c r="I66" s="14" t="e">
        <f t="shared" ca="1" si="24"/>
        <v>#N/A</v>
      </c>
      <c r="J66" s="14" t="e">
        <f t="shared" ca="1" si="24"/>
        <v>#N/A</v>
      </c>
      <c r="K66" s="14" t="e">
        <f t="shared" ca="1" si="24"/>
        <v>#N/A</v>
      </c>
      <c r="L66" s="14" t="e">
        <f t="shared" ca="1" si="24"/>
        <v>#N/A</v>
      </c>
      <c r="M66" s="14" t="e">
        <f t="shared" ca="1" si="24"/>
        <v>#N/A</v>
      </c>
      <c r="N66" s="14" t="e">
        <f t="shared" ca="1" si="24"/>
        <v>#N/A</v>
      </c>
      <c r="O66" s="14" t="e">
        <f t="shared" ca="1" si="24"/>
        <v>#N/A</v>
      </c>
      <c r="P66" s="14" t="e">
        <f t="shared" ca="1" si="24"/>
        <v>#N/A</v>
      </c>
      <c r="Q66" s="14" t="e">
        <f t="shared" ca="1" si="24"/>
        <v>#N/A</v>
      </c>
      <c r="R66" s="14" t="e">
        <f t="shared" ca="1" si="24"/>
        <v>#N/A</v>
      </c>
      <c r="S66" s="14" t="e">
        <f t="shared" ca="1" si="24"/>
        <v>#N/A</v>
      </c>
      <c r="T66" s="14" t="e">
        <f t="shared" ca="1" si="24"/>
        <v>#N/A</v>
      </c>
      <c r="U66" s="14" t="e">
        <f t="shared" ca="1" si="24"/>
        <v>#N/A</v>
      </c>
      <c r="V66" s="14" t="e">
        <f t="shared" ca="1" si="22"/>
        <v>#N/A</v>
      </c>
      <c r="W66" s="14" t="e">
        <f t="shared" ca="1" si="22"/>
        <v>#N/A</v>
      </c>
      <c r="X66" s="14" t="e">
        <f t="shared" ca="1" si="22"/>
        <v>#N/A</v>
      </c>
      <c r="Y66" s="14" t="e">
        <f t="shared" ca="1" si="22"/>
        <v>#N/A</v>
      </c>
      <c r="Z66" s="14" t="e">
        <f t="shared" ca="1" si="22"/>
        <v>#N/A</v>
      </c>
      <c r="AA66" s="14" t="e">
        <f t="shared" ca="1" si="22"/>
        <v>#N/A</v>
      </c>
      <c r="AB66" s="14" t="e">
        <f t="shared" ca="1" si="22"/>
        <v>#N/A</v>
      </c>
      <c r="AC66" s="14" t="e">
        <f t="shared" ca="1" si="22"/>
        <v>#N/A</v>
      </c>
      <c r="AD66" s="14" t="e">
        <f t="shared" ca="1" si="22"/>
        <v>#N/A</v>
      </c>
      <c r="AE66" s="14" t="e">
        <f t="shared" ca="1" si="22"/>
        <v>#N/A</v>
      </c>
      <c r="AF66" s="14" t="e">
        <f t="shared" ca="1" si="22"/>
        <v>#N/A</v>
      </c>
      <c r="AG66" s="14" t="e">
        <f t="shared" ca="1" si="22"/>
        <v>#N/A</v>
      </c>
      <c r="AH66" s="14" t="e">
        <f t="shared" ca="1" si="22"/>
        <v>#N/A</v>
      </c>
      <c r="AI66" s="14" t="e">
        <f t="shared" ca="1" si="22"/>
        <v>#N/A</v>
      </c>
      <c r="AJ66" s="14" t="e">
        <f t="shared" ca="1" si="22"/>
        <v>#N/A</v>
      </c>
      <c r="AK66" s="14" t="e">
        <f t="shared" ca="1" si="22"/>
        <v>#N/A</v>
      </c>
      <c r="AL66" s="14" t="e">
        <f t="shared" ca="1" si="22"/>
        <v>#N/A</v>
      </c>
      <c r="AM66" s="14" t="e">
        <f t="shared" ca="1" si="22"/>
        <v>#N/A</v>
      </c>
      <c r="AN66" s="14" t="e">
        <f t="shared" ca="1" si="22"/>
        <v>#N/A</v>
      </c>
      <c r="AO66" s="14" t="e">
        <f t="shared" ca="1" si="22"/>
        <v>#N/A</v>
      </c>
      <c r="AP66" s="14" t="e">
        <f t="shared" ca="1" si="22"/>
        <v>#N/A</v>
      </c>
      <c r="AQ66" s="14" t="e">
        <f t="shared" ca="1" si="22"/>
        <v>#N/A</v>
      </c>
      <c r="AR66" s="14" t="e">
        <f t="shared" ca="1" si="22"/>
        <v>#N/A</v>
      </c>
      <c r="AS66" s="14" t="e">
        <f t="shared" ca="1" si="22"/>
        <v>#N/A</v>
      </c>
      <c r="AT66" s="14" t="e">
        <f t="shared" ca="1" si="22"/>
        <v>#N/A</v>
      </c>
      <c r="AU66" s="14" t="e">
        <f t="shared" ref="G66:BR70" ca="1" si="25">$A66*H.Ar + $B66*H.Se + $C66*H.Ge + $D66*H.Ga</f>
        <v>#N/A</v>
      </c>
      <c r="AV66" s="14" t="e">
        <f t="shared" ca="1" si="25"/>
        <v>#N/A</v>
      </c>
      <c r="AW66" s="14" t="e">
        <f t="shared" ca="1" si="25"/>
        <v>#N/A</v>
      </c>
      <c r="AX66" s="14" t="e">
        <f t="shared" ca="1" si="25"/>
        <v>#N/A</v>
      </c>
      <c r="AY66" s="14" t="e">
        <f t="shared" ca="1" si="25"/>
        <v>#N/A</v>
      </c>
      <c r="AZ66" s="14" t="e">
        <f t="shared" ca="1" si="25"/>
        <v>#N/A</v>
      </c>
      <c r="BA66" s="14" t="e">
        <f t="shared" ca="1" si="25"/>
        <v>#N/A</v>
      </c>
      <c r="BB66" s="14" t="e">
        <f t="shared" ca="1" si="25"/>
        <v>#N/A</v>
      </c>
      <c r="BC66" s="14" t="e">
        <f t="shared" ca="1" si="25"/>
        <v>#N/A</v>
      </c>
      <c r="BD66" s="14" t="e">
        <f t="shared" ca="1" si="25"/>
        <v>#N/A</v>
      </c>
      <c r="BE66" s="14" t="e">
        <f t="shared" ca="1" si="25"/>
        <v>#N/A</v>
      </c>
      <c r="BF66" s="14" t="e">
        <f t="shared" ca="1" si="25"/>
        <v>#N/A</v>
      </c>
      <c r="BG66" s="14" t="e">
        <f t="shared" ca="1" si="25"/>
        <v>#N/A</v>
      </c>
      <c r="BH66" s="14" t="e">
        <f t="shared" ca="1" si="25"/>
        <v>#N/A</v>
      </c>
      <c r="BI66" s="14" t="e">
        <f t="shared" ca="1" si="25"/>
        <v>#N/A</v>
      </c>
      <c r="BJ66" s="14" t="e">
        <f t="shared" ca="1" si="25"/>
        <v>#N/A</v>
      </c>
      <c r="BK66" s="14" t="e">
        <f t="shared" ca="1" si="25"/>
        <v>#N/A</v>
      </c>
      <c r="BL66" s="14" t="e">
        <f t="shared" ca="1" si="25"/>
        <v>#N/A</v>
      </c>
      <c r="BM66" s="14" t="e">
        <f t="shared" ca="1" si="25"/>
        <v>#N/A</v>
      </c>
      <c r="BN66" s="14" t="e">
        <f t="shared" ca="1" si="25"/>
        <v>#N/A</v>
      </c>
      <c r="BO66" s="14" t="e">
        <f t="shared" ca="1" si="25"/>
        <v>#N/A</v>
      </c>
      <c r="BP66" s="14" t="e">
        <f t="shared" ca="1" si="25"/>
        <v>#N/A</v>
      </c>
      <c r="BQ66" s="14" t="e">
        <f t="shared" ca="1" si="25"/>
        <v>#N/A</v>
      </c>
      <c r="BR66" s="14" t="e">
        <f t="shared" ca="1" si="25"/>
        <v>#N/A</v>
      </c>
      <c r="BS66" s="98"/>
    </row>
    <row r="67" spans="1:87" ht="21" customHeight="1" outlineLevel="1" thickBot="1" x14ac:dyDescent="0.4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 t="e">
        <f t="shared" ca="1" si="24"/>
        <v>#N/A</v>
      </c>
      <c r="G67" s="14" t="e">
        <f t="shared" ca="1" si="25"/>
        <v>#N/A</v>
      </c>
      <c r="H67" s="14" t="e">
        <f t="shared" ca="1" si="25"/>
        <v>#N/A</v>
      </c>
      <c r="I67" s="14" t="e">
        <f t="shared" ca="1" si="25"/>
        <v>#N/A</v>
      </c>
      <c r="J67" s="14" t="e">
        <f t="shared" ca="1" si="25"/>
        <v>#N/A</v>
      </c>
      <c r="K67" s="14" t="e">
        <f t="shared" ca="1" si="25"/>
        <v>#N/A</v>
      </c>
      <c r="L67" s="14" t="e">
        <f t="shared" ca="1" si="25"/>
        <v>#N/A</v>
      </c>
      <c r="M67" s="14" t="e">
        <f t="shared" ca="1" si="25"/>
        <v>#N/A</v>
      </c>
      <c r="N67" s="14" t="e">
        <f t="shared" ca="1" si="25"/>
        <v>#N/A</v>
      </c>
      <c r="O67" s="14" t="e">
        <f t="shared" ca="1" si="25"/>
        <v>#N/A</v>
      </c>
      <c r="P67" s="14" t="e">
        <f t="shared" ca="1" si="25"/>
        <v>#N/A</v>
      </c>
      <c r="Q67" s="14" t="e">
        <f t="shared" ca="1" si="25"/>
        <v>#N/A</v>
      </c>
      <c r="R67" s="14" t="e">
        <f t="shared" ca="1" si="25"/>
        <v>#N/A</v>
      </c>
      <c r="S67" s="14" t="e">
        <f t="shared" ca="1" si="25"/>
        <v>#N/A</v>
      </c>
      <c r="T67" s="14" t="e">
        <f t="shared" ca="1" si="25"/>
        <v>#N/A</v>
      </c>
      <c r="U67" s="14" t="e">
        <f t="shared" ca="1" si="25"/>
        <v>#N/A</v>
      </c>
      <c r="V67" s="14" t="e">
        <f t="shared" ca="1" si="25"/>
        <v>#N/A</v>
      </c>
      <c r="W67" s="14" t="e">
        <f t="shared" ca="1" si="25"/>
        <v>#N/A</v>
      </c>
      <c r="X67" s="14" t="e">
        <f t="shared" ca="1" si="25"/>
        <v>#N/A</v>
      </c>
      <c r="Y67" s="14" t="e">
        <f t="shared" ca="1" si="25"/>
        <v>#N/A</v>
      </c>
      <c r="Z67" s="14" t="e">
        <f t="shared" ca="1" si="25"/>
        <v>#N/A</v>
      </c>
      <c r="AA67" s="14" t="e">
        <f t="shared" ca="1" si="25"/>
        <v>#N/A</v>
      </c>
      <c r="AB67" s="14" t="e">
        <f t="shared" ca="1" si="25"/>
        <v>#N/A</v>
      </c>
      <c r="AC67" s="14" t="e">
        <f t="shared" ca="1" si="25"/>
        <v>#N/A</v>
      </c>
      <c r="AD67" s="14" t="e">
        <f t="shared" ca="1" si="25"/>
        <v>#N/A</v>
      </c>
      <c r="AE67" s="14" t="e">
        <f t="shared" ca="1" si="25"/>
        <v>#N/A</v>
      </c>
      <c r="AF67" s="14" t="e">
        <f t="shared" ca="1" si="25"/>
        <v>#N/A</v>
      </c>
      <c r="AG67" s="14" t="e">
        <f t="shared" ca="1" si="25"/>
        <v>#N/A</v>
      </c>
      <c r="AH67" s="14" t="e">
        <f t="shared" ca="1" si="25"/>
        <v>#N/A</v>
      </c>
      <c r="AI67" s="14" t="e">
        <f t="shared" ca="1" si="25"/>
        <v>#N/A</v>
      </c>
      <c r="AJ67" s="14" t="e">
        <f t="shared" ca="1" si="25"/>
        <v>#N/A</v>
      </c>
      <c r="AK67" s="14" t="e">
        <f t="shared" ca="1" si="25"/>
        <v>#N/A</v>
      </c>
      <c r="AL67" s="14" t="e">
        <f t="shared" ca="1" si="25"/>
        <v>#N/A</v>
      </c>
      <c r="AM67" s="14" t="e">
        <f t="shared" ca="1" si="25"/>
        <v>#N/A</v>
      </c>
      <c r="AN67" s="14" t="e">
        <f t="shared" ca="1" si="25"/>
        <v>#N/A</v>
      </c>
      <c r="AO67" s="14" t="e">
        <f t="shared" ca="1" si="25"/>
        <v>#N/A</v>
      </c>
      <c r="AP67" s="14" t="e">
        <f t="shared" ca="1" si="25"/>
        <v>#N/A</v>
      </c>
      <c r="AQ67" s="14" t="e">
        <f t="shared" ca="1" si="25"/>
        <v>#N/A</v>
      </c>
      <c r="AR67" s="14" t="e">
        <f t="shared" ca="1" si="25"/>
        <v>#N/A</v>
      </c>
      <c r="AS67" s="14" t="e">
        <f t="shared" ca="1" si="25"/>
        <v>#N/A</v>
      </c>
      <c r="AT67" s="14" t="e">
        <f t="shared" ca="1" si="25"/>
        <v>#N/A</v>
      </c>
      <c r="AU67" s="14" t="e">
        <f t="shared" ca="1" si="25"/>
        <v>#N/A</v>
      </c>
      <c r="AV67" s="14" t="e">
        <f t="shared" ca="1" si="25"/>
        <v>#N/A</v>
      </c>
      <c r="AW67" s="14" t="e">
        <f t="shared" ca="1" si="25"/>
        <v>#N/A</v>
      </c>
      <c r="AX67" s="14" t="e">
        <f t="shared" ca="1" si="25"/>
        <v>#N/A</v>
      </c>
      <c r="AY67" s="14" t="e">
        <f t="shared" ca="1" si="25"/>
        <v>#N/A</v>
      </c>
      <c r="AZ67" s="14" t="e">
        <f t="shared" ca="1" si="25"/>
        <v>#N/A</v>
      </c>
      <c r="BA67" s="14" t="e">
        <f t="shared" ca="1" si="25"/>
        <v>#N/A</v>
      </c>
      <c r="BB67" s="14" t="e">
        <f t="shared" ca="1" si="25"/>
        <v>#N/A</v>
      </c>
      <c r="BC67" s="14" t="e">
        <f t="shared" ca="1" si="25"/>
        <v>#N/A</v>
      </c>
      <c r="BD67" s="14" t="e">
        <f t="shared" ca="1" si="25"/>
        <v>#N/A</v>
      </c>
      <c r="BE67" s="14" t="e">
        <f t="shared" ca="1" si="25"/>
        <v>#N/A</v>
      </c>
      <c r="BF67" s="14" t="e">
        <f t="shared" ca="1" si="25"/>
        <v>#N/A</v>
      </c>
      <c r="BG67" s="14" t="e">
        <f t="shared" ca="1" si="25"/>
        <v>#N/A</v>
      </c>
      <c r="BH67" s="14" t="e">
        <f t="shared" ca="1" si="25"/>
        <v>#N/A</v>
      </c>
      <c r="BI67" s="14" t="e">
        <f t="shared" ca="1" si="25"/>
        <v>#N/A</v>
      </c>
      <c r="BJ67" s="14" t="e">
        <f t="shared" ca="1" si="25"/>
        <v>#N/A</v>
      </c>
      <c r="BK67" s="14" t="e">
        <f t="shared" ca="1" si="25"/>
        <v>#N/A</v>
      </c>
      <c r="BL67" s="14" t="e">
        <f t="shared" ca="1" si="25"/>
        <v>#N/A</v>
      </c>
      <c r="BM67" s="14" t="e">
        <f t="shared" ca="1" si="25"/>
        <v>#N/A</v>
      </c>
      <c r="BN67" s="14" t="e">
        <f t="shared" ca="1" si="25"/>
        <v>#N/A</v>
      </c>
      <c r="BO67" s="14" t="e">
        <f t="shared" ca="1" si="25"/>
        <v>#N/A</v>
      </c>
      <c r="BP67" s="14" t="e">
        <f t="shared" ca="1" si="25"/>
        <v>#N/A</v>
      </c>
      <c r="BQ67" s="14" t="e">
        <f t="shared" ca="1" si="25"/>
        <v>#N/A</v>
      </c>
      <c r="BR67" s="14" t="e">
        <f t="shared" ca="1" si="25"/>
        <v>#N/A</v>
      </c>
      <c r="BS67" s="98"/>
    </row>
    <row r="68" spans="1:87" ht="21" customHeight="1" outlineLevel="1" thickBot="1" x14ac:dyDescent="0.4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 t="e">
        <f t="shared" ca="1" si="24"/>
        <v>#N/A</v>
      </c>
      <c r="G68" s="14" t="e">
        <f t="shared" ca="1" si="25"/>
        <v>#N/A</v>
      </c>
      <c r="H68" s="14" t="e">
        <f t="shared" ca="1" si="25"/>
        <v>#N/A</v>
      </c>
      <c r="I68" s="14" t="e">
        <f t="shared" ca="1" si="25"/>
        <v>#N/A</v>
      </c>
      <c r="J68" s="14" t="e">
        <f t="shared" ca="1" si="25"/>
        <v>#N/A</v>
      </c>
      <c r="K68" s="14" t="e">
        <f t="shared" ca="1" si="25"/>
        <v>#N/A</v>
      </c>
      <c r="L68" s="14" t="e">
        <f t="shared" ca="1" si="25"/>
        <v>#N/A</v>
      </c>
      <c r="M68" s="14" t="e">
        <f t="shared" ca="1" si="25"/>
        <v>#N/A</v>
      </c>
      <c r="N68" s="14" t="e">
        <f t="shared" ca="1" si="25"/>
        <v>#N/A</v>
      </c>
      <c r="O68" s="14" t="e">
        <f t="shared" ca="1" si="25"/>
        <v>#N/A</v>
      </c>
      <c r="P68" s="14" t="e">
        <f t="shared" ca="1" si="25"/>
        <v>#N/A</v>
      </c>
      <c r="Q68" s="14" t="e">
        <f t="shared" ca="1" si="25"/>
        <v>#N/A</v>
      </c>
      <c r="R68" s="14" t="e">
        <f t="shared" ca="1" si="25"/>
        <v>#N/A</v>
      </c>
      <c r="S68" s="14" t="e">
        <f t="shared" ca="1" si="25"/>
        <v>#N/A</v>
      </c>
      <c r="T68" s="14" t="e">
        <f t="shared" ca="1" si="25"/>
        <v>#N/A</v>
      </c>
      <c r="U68" s="14" t="e">
        <f t="shared" ca="1" si="25"/>
        <v>#N/A</v>
      </c>
      <c r="V68" s="14" t="e">
        <f t="shared" ca="1" si="25"/>
        <v>#N/A</v>
      </c>
      <c r="W68" s="14" t="e">
        <f t="shared" ca="1" si="25"/>
        <v>#N/A</v>
      </c>
      <c r="X68" s="14" t="e">
        <f t="shared" ca="1" si="25"/>
        <v>#N/A</v>
      </c>
      <c r="Y68" s="14" t="e">
        <f t="shared" ca="1" si="25"/>
        <v>#N/A</v>
      </c>
      <c r="Z68" s="14" t="e">
        <f t="shared" ca="1" si="25"/>
        <v>#N/A</v>
      </c>
      <c r="AA68" s="14" t="e">
        <f t="shared" ca="1" si="25"/>
        <v>#N/A</v>
      </c>
      <c r="AB68" s="14" t="e">
        <f t="shared" ca="1" si="25"/>
        <v>#N/A</v>
      </c>
      <c r="AC68" s="14" t="e">
        <f t="shared" ca="1" si="25"/>
        <v>#N/A</v>
      </c>
      <c r="AD68" s="14" t="e">
        <f t="shared" ca="1" si="25"/>
        <v>#N/A</v>
      </c>
      <c r="AE68" s="14" t="e">
        <f t="shared" ca="1" si="25"/>
        <v>#N/A</v>
      </c>
      <c r="AF68" s="14" t="e">
        <f t="shared" ca="1" si="25"/>
        <v>#N/A</v>
      </c>
      <c r="AG68" s="14" t="e">
        <f t="shared" ca="1" si="25"/>
        <v>#N/A</v>
      </c>
      <c r="AH68" s="14" t="e">
        <f t="shared" ca="1" si="25"/>
        <v>#N/A</v>
      </c>
      <c r="AI68" s="14" t="e">
        <f t="shared" ca="1" si="25"/>
        <v>#N/A</v>
      </c>
      <c r="AJ68" s="14" t="e">
        <f t="shared" ca="1" si="25"/>
        <v>#N/A</v>
      </c>
      <c r="AK68" s="14" t="e">
        <f t="shared" ca="1" si="25"/>
        <v>#N/A</v>
      </c>
      <c r="AL68" s="14" t="e">
        <f t="shared" ca="1" si="25"/>
        <v>#N/A</v>
      </c>
      <c r="AM68" s="14" t="e">
        <f t="shared" ca="1" si="25"/>
        <v>#N/A</v>
      </c>
      <c r="AN68" s="14" t="e">
        <f t="shared" ca="1" si="25"/>
        <v>#N/A</v>
      </c>
      <c r="AO68" s="14" t="e">
        <f t="shared" ca="1" si="25"/>
        <v>#N/A</v>
      </c>
      <c r="AP68" s="14" t="e">
        <f t="shared" ca="1" si="25"/>
        <v>#N/A</v>
      </c>
      <c r="AQ68" s="14" t="e">
        <f t="shared" ca="1" si="25"/>
        <v>#N/A</v>
      </c>
      <c r="AR68" s="14" t="e">
        <f t="shared" ca="1" si="25"/>
        <v>#N/A</v>
      </c>
      <c r="AS68" s="14" t="e">
        <f t="shared" ca="1" si="25"/>
        <v>#N/A</v>
      </c>
      <c r="AT68" s="14" t="e">
        <f t="shared" ca="1" si="25"/>
        <v>#N/A</v>
      </c>
      <c r="AU68" s="14" t="e">
        <f t="shared" ca="1" si="25"/>
        <v>#N/A</v>
      </c>
      <c r="AV68" s="14" t="e">
        <f t="shared" ca="1" si="25"/>
        <v>#N/A</v>
      </c>
      <c r="AW68" s="14" t="e">
        <f t="shared" ca="1" si="25"/>
        <v>#N/A</v>
      </c>
      <c r="AX68" s="14" t="e">
        <f t="shared" ca="1" si="25"/>
        <v>#N/A</v>
      </c>
      <c r="AY68" s="14" t="e">
        <f t="shared" ca="1" si="25"/>
        <v>#N/A</v>
      </c>
      <c r="AZ68" s="14" t="e">
        <f t="shared" ca="1" si="25"/>
        <v>#N/A</v>
      </c>
      <c r="BA68" s="14" t="e">
        <f t="shared" ca="1" si="25"/>
        <v>#N/A</v>
      </c>
      <c r="BB68" s="14" t="e">
        <f t="shared" ca="1" si="25"/>
        <v>#N/A</v>
      </c>
      <c r="BC68" s="14" t="e">
        <f t="shared" ca="1" si="25"/>
        <v>#N/A</v>
      </c>
      <c r="BD68" s="14" t="e">
        <f t="shared" ca="1" si="25"/>
        <v>#N/A</v>
      </c>
      <c r="BE68" s="14" t="e">
        <f t="shared" ca="1" si="25"/>
        <v>#N/A</v>
      </c>
      <c r="BF68" s="14" t="e">
        <f t="shared" ca="1" si="25"/>
        <v>#N/A</v>
      </c>
      <c r="BG68" s="14" t="e">
        <f t="shared" ca="1" si="25"/>
        <v>#N/A</v>
      </c>
      <c r="BH68" s="14" t="e">
        <f t="shared" ca="1" si="25"/>
        <v>#N/A</v>
      </c>
      <c r="BI68" s="14" t="e">
        <f t="shared" ca="1" si="25"/>
        <v>#N/A</v>
      </c>
      <c r="BJ68" s="14" t="e">
        <f t="shared" ca="1" si="25"/>
        <v>#N/A</v>
      </c>
      <c r="BK68" s="14" t="e">
        <f t="shared" ca="1" si="25"/>
        <v>#N/A</v>
      </c>
      <c r="BL68" s="14" t="e">
        <f t="shared" ca="1" si="25"/>
        <v>#N/A</v>
      </c>
      <c r="BM68" s="14" t="e">
        <f t="shared" ca="1" si="25"/>
        <v>#N/A</v>
      </c>
      <c r="BN68" s="14" t="e">
        <f t="shared" ca="1" si="25"/>
        <v>#N/A</v>
      </c>
      <c r="BO68" s="14" t="e">
        <f t="shared" ca="1" si="25"/>
        <v>#N/A</v>
      </c>
      <c r="BP68" s="14" t="e">
        <f t="shared" ca="1" si="25"/>
        <v>#N/A</v>
      </c>
      <c r="BQ68" s="14" t="e">
        <f t="shared" ca="1" si="25"/>
        <v>#N/A</v>
      </c>
      <c r="BR68" s="14" t="e">
        <f t="shared" ca="1" si="25"/>
        <v>#N/A</v>
      </c>
      <c r="BS68" s="98"/>
    </row>
    <row r="69" spans="1:87" ht="21" customHeight="1" outlineLevel="1" thickBot="1" x14ac:dyDescent="0.4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 t="e">
        <f t="shared" ca="1" si="24"/>
        <v>#N/A</v>
      </c>
      <c r="G69" s="14" t="e">
        <f t="shared" ca="1" si="25"/>
        <v>#N/A</v>
      </c>
      <c r="H69" s="14" t="e">
        <f t="shared" ca="1" si="25"/>
        <v>#N/A</v>
      </c>
      <c r="I69" s="14" t="e">
        <f t="shared" ca="1" si="25"/>
        <v>#N/A</v>
      </c>
      <c r="J69" s="14" t="e">
        <f t="shared" ca="1" si="25"/>
        <v>#N/A</v>
      </c>
      <c r="K69" s="14" t="e">
        <f t="shared" ca="1" si="25"/>
        <v>#N/A</v>
      </c>
      <c r="L69" s="14" t="e">
        <f t="shared" ca="1" si="25"/>
        <v>#N/A</v>
      </c>
      <c r="M69" s="14" t="e">
        <f t="shared" ca="1" si="25"/>
        <v>#N/A</v>
      </c>
      <c r="N69" s="14" t="e">
        <f t="shared" ca="1" si="25"/>
        <v>#N/A</v>
      </c>
      <c r="O69" s="14" t="e">
        <f t="shared" ca="1" si="25"/>
        <v>#N/A</v>
      </c>
      <c r="P69" s="14" t="e">
        <f t="shared" ca="1" si="25"/>
        <v>#N/A</v>
      </c>
      <c r="Q69" s="14" t="e">
        <f t="shared" ca="1" si="25"/>
        <v>#N/A</v>
      </c>
      <c r="R69" s="14" t="e">
        <f t="shared" ca="1" si="25"/>
        <v>#N/A</v>
      </c>
      <c r="S69" s="14" t="e">
        <f t="shared" ca="1" si="25"/>
        <v>#N/A</v>
      </c>
      <c r="T69" s="14" t="e">
        <f t="shared" ca="1" si="25"/>
        <v>#N/A</v>
      </c>
      <c r="U69" s="14" t="e">
        <f t="shared" ca="1" si="25"/>
        <v>#N/A</v>
      </c>
      <c r="V69" s="14" t="e">
        <f t="shared" ca="1" si="25"/>
        <v>#N/A</v>
      </c>
      <c r="W69" s="14" t="e">
        <f t="shared" ca="1" si="25"/>
        <v>#N/A</v>
      </c>
      <c r="X69" s="14" t="e">
        <f t="shared" ca="1" si="25"/>
        <v>#N/A</v>
      </c>
      <c r="Y69" s="14" t="e">
        <f t="shared" ca="1" si="25"/>
        <v>#N/A</v>
      </c>
      <c r="Z69" s="14" t="e">
        <f t="shared" ca="1" si="25"/>
        <v>#N/A</v>
      </c>
      <c r="AA69" s="14" t="e">
        <f t="shared" ca="1" si="25"/>
        <v>#N/A</v>
      </c>
      <c r="AB69" s="14" t="e">
        <f t="shared" ca="1" si="25"/>
        <v>#N/A</v>
      </c>
      <c r="AC69" s="14" t="e">
        <f t="shared" ca="1" si="25"/>
        <v>#N/A</v>
      </c>
      <c r="AD69" s="14" t="e">
        <f t="shared" ca="1" si="25"/>
        <v>#N/A</v>
      </c>
      <c r="AE69" s="14" t="e">
        <f t="shared" ca="1" si="25"/>
        <v>#N/A</v>
      </c>
      <c r="AF69" s="14" t="e">
        <f t="shared" ca="1" si="25"/>
        <v>#N/A</v>
      </c>
      <c r="AG69" s="14" t="e">
        <f t="shared" ca="1" si="25"/>
        <v>#N/A</v>
      </c>
      <c r="AH69" s="14" t="e">
        <f t="shared" ca="1" si="25"/>
        <v>#N/A</v>
      </c>
      <c r="AI69" s="14" t="e">
        <f t="shared" ca="1" si="25"/>
        <v>#N/A</v>
      </c>
      <c r="AJ69" s="14" t="e">
        <f t="shared" ca="1" si="25"/>
        <v>#N/A</v>
      </c>
      <c r="AK69" s="14" t="e">
        <f t="shared" ca="1" si="25"/>
        <v>#N/A</v>
      </c>
      <c r="AL69" s="14" t="e">
        <f t="shared" ca="1" si="25"/>
        <v>#N/A</v>
      </c>
      <c r="AM69" s="14" t="e">
        <f t="shared" ca="1" si="25"/>
        <v>#N/A</v>
      </c>
      <c r="AN69" s="14" t="e">
        <f t="shared" ca="1" si="25"/>
        <v>#N/A</v>
      </c>
      <c r="AO69" s="14" t="e">
        <f t="shared" ca="1" si="25"/>
        <v>#N/A</v>
      </c>
      <c r="AP69" s="14" t="e">
        <f t="shared" ca="1" si="25"/>
        <v>#N/A</v>
      </c>
      <c r="AQ69" s="14" t="e">
        <f t="shared" ca="1" si="25"/>
        <v>#N/A</v>
      </c>
      <c r="AR69" s="14" t="e">
        <f t="shared" ca="1" si="25"/>
        <v>#N/A</v>
      </c>
      <c r="AS69" s="14" t="e">
        <f t="shared" ca="1" si="25"/>
        <v>#N/A</v>
      </c>
      <c r="AT69" s="14" t="e">
        <f t="shared" ca="1" si="25"/>
        <v>#N/A</v>
      </c>
      <c r="AU69" s="14" t="e">
        <f t="shared" ca="1" si="25"/>
        <v>#N/A</v>
      </c>
      <c r="AV69" s="14" t="e">
        <f t="shared" ca="1" si="25"/>
        <v>#N/A</v>
      </c>
      <c r="AW69" s="14" t="e">
        <f t="shared" ca="1" si="25"/>
        <v>#N/A</v>
      </c>
      <c r="AX69" s="14" t="e">
        <f t="shared" ca="1" si="25"/>
        <v>#N/A</v>
      </c>
      <c r="AY69" s="14" t="e">
        <f t="shared" ca="1" si="25"/>
        <v>#N/A</v>
      </c>
      <c r="AZ69" s="14" t="e">
        <f t="shared" ca="1" si="25"/>
        <v>#N/A</v>
      </c>
      <c r="BA69" s="14" t="e">
        <f t="shared" ca="1" si="25"/>
        <v>#N/A</v>
      </c>
      <c r="BB69" s="14" t="e">
        <f t="shared" ca="1" si="25"/>
        <v>#N/A</v>
      </c>
      <c r="BC69" s="14" t="e">
        <f t="shared" ca="1" si="25"/>
        <v>#N/A</v>
      </c>
      <c r="BD69" s="14" t="e">
        <f t="shared" ca="1" si="25"/>
        <v>#N/A</v>
      </c>
      <c r="BE69" s="14" t="e">
        <f t="shared" ca="1" si="25"/>
        <v>#N/A</v>
      </c>
      <c r="BF69" s="14" t="e">
        <f t="shared" ca="1" si="25"/>
        <v>#N/A</v>
      </c>
      <c r="BG69" s="14" t="e">
        <f t="shared" ca="1" si="25"/>
        <v>#N/A</v>
      </c>
      <c r="BH69" s="14" t="e">
        <f t="shared" ca="1" si="25"/>
        <v>#N/A</v>
      </c>
      <c r="BI69" s="14" t="e">
        <f t="shared" ca="1" si="25"/>
        <v>#N/A</v>
      </c>
      <c r="BJ69" s="14" t="e">
        <f t="shared" ca="1" si="25"/>
        <v>#N/A</v>
      </c>
      <c r="BK69" s="14" t="e">
        <f t="shared" ca="1" si="25"/>
        <v>#N/A</v>
      </c>
      <c r="BL69" s="14" t="e">
        <f t="shared" ca="1" si="25"/>
        <v>#N/A</v>
      </c>
      <c r="BM69" s="14" t="e">
        <f t="shared" ca="1" si="25"/>
        <v>#N/A</v>
      </c>
      <c r="BN69" s="14" t="e">
        <f t="shared" ca="1" si="25"/>
        <v>#N/A</v>
      </c>
      <c r="BO69" s="14" t="e">
        <f t="shared" ca="1" si="25"/>
        <v>#N/A</v>
      </c>
      <c r="BP69" s="14" t="e">
        <f t="shared" ca="1" si="25"/>
        <v>#N/A</v>
      </c>
      <c r="BQ69" s="14" t="e">
        <f t="shared" ca="1" si="25"/>
        <v>#N/A</v>
      </c>
      <c r="BR69" s="14" t="e">
        <f t="shared" ca="1" si="25"/>
        <v>#N/A</v>
      </c>
      <c r="BS69" s="98"/>
    </row>
    <row r="70" spans="1:87" ht="21" customHeight="1" outlineLevel="1" thickBot="1" x14ac:dyDescent="0.4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 t="e">
        <f t="shared" ca="1" si="24"/>
        <v>#N/A</v>
      </c>
      <c r="G70" s="14" t="e">
        <f t="shared" ca="1" si="25"/>
        <v>#N/A</v>
      </c>
      <c r="H70" s="14" t="e">
        <f t="shared" ca="1" si="25"/>
        <v>#N/A</v>
      </c>
      <c r="I70" s="14" t="e">
        <f t="shared" ca="1" si="25"/>
        <v>#N/A</v>
      </c>
      <c r="J70" s="14" t="e">
        <f t="shared" ca="1" si="25"/>
        <v>#N/A</v>
      </c>
      <c r="K70" s="14" t="e">
        <f t="shared" ca="1" si="25"/>
        <v>#N/A</v>
      </c>
      <c r="L70" s="14" t="e">
        <f t="shared" ca="1" si="25"/>
        <v>#N/A</v>
      </c>
      <c r="M70" s="14" t="e">
        <f t="shared" ca="1" si="25"/>
        <v>#N/A</v>
      </c>
      <c r="N70" s="14" t="e">
        <f t="shared" ca="1" si="25"/>
        <v>#N/A</v>
      </c>
      <c r="O70" s="14" t="e">
        <f t="shared" ca="1" si="25"/>
        <v>#N/A</v>
      </c>
      <c r="P70" s="14" t="e">
        <f t="shared" ca="1" si="25"/>
        <v>#N/A</v>
      </c>
      <c r="Q70" s="14" t="e">
        <f t="shared" ca="1" si="25"/>
        <v>#N/A</v>
      </c>
      <c r="R70" s="14" t="e">
        <f t="shared" ca="1" si="25"/>
        <v>#N/A</v>
      </c>
      <c r="S70" s="14" t="e">
        <f t="shared" ca="1" si="25"/>
        <v>#N/A</v>
      </c>
      <c r="T70" s="14" t="e">
        <f t="shared" ca="1" si="25"/>
        <v>#N/A</v>
      </c>
      <c r="U70" s="14" t="e">
        <f t="shared" ca="1" si="25"/>
        <v>#N/A</v>
      </c>
      <c r="V70" s="14" t="e">
        <f t="shared" ca="1" si="25"/>
        <v>#N/A</v>
      </c>
      <c r="W70" s="14" t="e">
        <f t="shared" ca="1" si="25"/>
        <v>#N/A</v>
      </c>
      <c r="X70" s="14" t="e">
        <f t="shared" ca="1" si="25"/>
        <v>#N/A</v>
      </c>
      <c r="Y70" s="14" t="e">
        <f t="shared" ca="1" si="25"/>
        <v>#N/A</v>
      </c>
      <c r="Z70" s="14" t="e">
        <f t="shared" ca="1" si="25"/>
        <v>#N/A</v>
      </c>
      <c r="AA70" s="14" t="e">
        <f t="shared" ca="1" si="25"/>
        <v>#N/A</v>
      </c>
      <c r="AB70" s="14" t="e">
        <f t="shared" ca="1" si="25"/>
        <v>#N/A</v>
      </c>
      <c r="AC70" s="14" t="e">
        <f t="shared" ca="1" si="25"/>
        <v>#N/A</v>
      </c>
      <c r="AD70" s="14" t="e">
        <f t="shared" ca="1" si="25"/>
        <v>#N/A</v>
      </c>
      <c r="AE70" s="14" t="e">
        <f t="shared" ca="1" si="25"/>
        <v>#N/A</v>
      </c>
      <c r="AF70" s="14" t="e">
        <f t="shared" ca="1" si="25"/>
        <v>#N/A</v>
      </c>
      <c r="AG70" s="14" t="e">
        <f t="shared" ca="1" si="25"/>
        <v>#N/A</v>
      </c>
      <c r="AH70" s="14" t="e">
        <f t="shared" ca="1" si="25"/>
        <v>#N/A</v>
      </c>
      <c r="AI70" s="14" t="e">
        <f t="shared" ca="1" si="25"/>
        <v>#N/A</v>
      </c>
      <c r="AJ70" s="14" t="e">
        <f t="shared" ca="1" si="25"/>
        <v>#N/A</v>
      </c>
      <c r="AK70" s="14" t="e">
        <f t="shared" ca="1" si="25"/>
        <v>#N/A</v>
      </c>
      <c r="AL70" s="14" t="e">
        <f t="shared" ca="1" si="25"/>
        <v>#N/A</v>
      </c>
      <c r="AM70" s="14" t="e">
        <f t="shared" ca="1" si="25"/>
        <v>#N/A</v>
      </c>
      <c r="AN70" s="14" t="e">
        <f t="shared" ca="1" si="25"/>
        <v>#N/A</v>
      </c>
      <c r="AO70" s="14" t="e">
        <f t="shared" ca="1" si="25"/>
        <v>#N/A</v>
      </c>
      <c r="AP70" s="14" t="e">
        <f t="shared" ca="1" si="25"/>
        <v>#N/A</v>
      </c>
      <c r="AQ70" s="14" t="e">
        <f t="shared" ca="1" si="25"/>
        <v>#N/A</v>
      </c>
      <c r="AR70" s="14" t="e">
        <f t="shared" ca="1" si="25"/>
        <v>#N/A</v>
      </c>
      <c r="AS70" s="14" t="e">
        <f t="shared" ca="1" si="25"/>
        <v>#N/A</v>
      </c>
      <c r="AT70" s="14" t="e">
        <f t="shared" ref="G70:BR74" ca="1" si="26">$A70*H.Ar + $B70*H.Se + $C70*H.Ge + $D70*H.Ga</f>
        <v>#N/A</v>
      </c>
      <c r="AU70" s="14" t="e">
        <f t="shared" ca="1" si="26"/>
        <v>#N/A</v>
      </c>
      <c r="AV70" s="14" t="e">
        <f t="shared" ca="1" si="26"/>
        <v>#N/A</v>
      </c>
      <c r="AW70" s="14" t="e">
        <f t="shared" ca="1" si="26"/>
        <v>#N/A</v>
      </c>
      <c r="AX70" s="14" t="e">
        <f t="shared" ca="1" si="26"/>
        <v>#N/A</v>
      </c>
      <c r="AY70" s="14" t="e">
        <f t="shared" ca="1" si="26"/>
        <v>#N/A</v>
      </c>
      <c r="AZ70" s="14" t="e">
        <f t="shared" ca="1" si="26"/>
        <v>#N/A</v>
      </c>
      <c r="BA70" s="14" t="e">
        <f t="shared" ca="1" si="26"/>
        <v>#N/A</v>
      </c>
      <c r="BB70" s="14" t="e">
        <f t="shared" ca="1" si="26"/>
        <v>#N/A</v>
      </c>
      <c r="BC70" s="14" t="e">
        <f t="shared" ca="1" si="26"/>
        <v>#N/A</v>
      </c>
      <c r="BD70" s="14" t="e">
        <f t="shared" ca="1" si="26"/>
        <v>#N/A</v>
      </c>
      <c r="BE70" s="14" t="e">
        <f t="shared" ca="1" si="26"/>
        <v>#N/A</v>
      </c>
      <c r="BF70" s="14" t="e">
        <f t="shared" ca="1" si="26"/>
        <v>#N/A</v>
      </c>
      <c r="BG70" s="14" t="e">
        <f t="shared" ca="1" si="26"/>
        <v>#N/A</v>
      </c>
      <c r="BH70" s="14" t="e">
        <f t="shared" ca="1" si="26"/>
        <v>#N/A</v>
      </c>
      <c r="BI70" s="14" t="e">
        <f t="shared" ca="1" si="26"/>
        <v>#N/A</v>
      </c>
      <c r="BJ70" s="14" t="e">
        <f t="shared" ca="1" si="26"/>
        <v>#N/A</v>
      </c>
      <c r="BK70" s="14" t="e">
        <f t="shared" ca="1" si="26"/>
        <v>#N/A</v>
      </c>
      <c r="BL70" s="14" t="e">
        <f t="shared" ca="1" si="26"/>
        <v>#N/A</v>
      </c>
      <c r="BM70" s="14" t="e">
        <f t="shared" ca="1" si="26"/>
        <v>#N/A</v>
      </c>
      <c r="BN70" s="14" t="e">
        <f t="shared" ca="1" si="26"/>
        <v>#N/A</v>
      </c>
      <c r="BO70" s="14" t="e">
        <f t="shared" ca="1" si="26"/>
        <v>#N/A</v>
      </c>
      <c r="BP70" s="14" t="e">
        <f t="shared" ca="1" si="26"/>
        <v>#N/A</v>
      </c>
      <c r="BQ70" s="14" t="e">
        <f t="shared" ca="1" si="26"/>
        <v>#N/A</v>
      </c>
      <c r="BR70" s="14" t="e">
        <f t="shared" ca="1" si="26"/>
        <v>#N/A</v>
      </c>
      <c r="BS70" s="98"/>
    </row>
    <row r="71" spans="1:87" ht="21" customHeight="1" outlineLevel="1" thickBot="1" x14ac:dyDescent="0.4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 t="e">
        <f t="shared" ca="1" si="24"/>
        <v>#N/A</v>
      </c>
      <c r="G71" s="14" t="e">
        <f t="shared" ca="1" si="26"/>
        <v>#N/A</v>
      </c>
      <c r="H71" s="14" t="e">
        <f t="shared" ca="1" si="26"/>
        <v>#N/A</v>
      </c>
      <c r="I71" s="14" t="e">
        <f t="shared" ca="1" si="26"/>
        <v>#N/A</v>
      </c>
      <c r="J71" s="14" t="e">
        <f t="shared" ca="1" si="26"/>
        <v>#N/A</v>
      </c>
      <c r="K71" s="14" t="e">
        <f t="shared" ca="1" si="26"/>
        <v>#N/A</v>
      </c>
      <c r="L71" s="14" t="e">
        <f t="shared" ca="1" si="26"/>
        <v>#N/A</v>
      </c>
      <c r="M71" s="14" t="e">
        <f t="shared" ca="1" si="26"/>
        <v>#N/A</v>
      </c>
      <c r="N71" s="14" t="e">
        <f t="shared" ca="1" si="26"/>
        <v>#N/A</v>
      </c>
      <c r="O71" s="14" t="e">
        <f t="shared" ca="1" si="26"/>
        <v>#N/A</v>
      </c>
      <c r="P71" s="14" t="e">
        <f t="shared" ca="1" si="26"/>
        <v>#N/A</v>
      </c>
      <c r="Q71" s="14" t="e">
        <f t="shared" ca="1" si="26"/>
        <v>#N/A</v>
      </c>
      <c r="R71" s="14" t="e">
        <f t="shared" ca="1" si="26"/>
        <v>#N/A</v>
      </c>
      <c r="S71" s="14" t="e">
        <f t="shared" ca="1" si="26"/>
        <v>#N/A</v>
      </c>
      <c r="T71" s="14" t="e">
        <f t="shared" ca="1" si="26"/>
        <v>#N/A</v>
      </c>
      <c r="U71" s="14" t="e">
        <f t="shared" ca="1" si="26"/>
        <v>#N/A</v>
      </c>
      <c r="V71" s="14" t="e">
        <f t="shared" ca="1" si="26"/>
        <v>#N/A</v>
      </c>
      <c r="W71" s="14" t="e">
        <f t="shared" ca="1" si="26"/>
        <v>#N/A</v>
      </c>
      <c r="X71" s="14" t="e">
        <f t="shared" ca="1" si="26"/>
        <v>#N/A</v>
      </c>
      <c r="Y71" s="14" t="e">
        <f t="shared" ca="1" si="26"/>
        <v>#N/A</v>
      </c>
      <c r="Z71" s="14" t="e">
        <f t="shared" ca="1" si="26"/>
        <v>#N/A</v>
      </c>
      <c r="AA71" s="14" t="e">
        <f t="shared" ca="1" si="26"/>
        <v>#N/A</v>
      </c>
      <c r="AB71" s="14" t="e">
        <f t="shared" ca="1" si="26"/>
        <v>#N/A</v>
      </c>
      <c r="AC71" s="14" t="e">
        <f t="shared" ca="1" si="26"/>
        <v>#N/A</v>
      </c>
      <c r="AD71" s="14" t="e">
        <f t="shared" ca="1" si="26"/>
        <v>#N/A</v>
      </c>
      <c r="AE71" s="14" t="e">
        <f t="shared" ca="1" si="26"/>
        <v>#N/A</v>
      </c>
      <c r="AF71" s="14" t="e">
        <f t="shared" ca="1" si="26"/>
        <v>#N/A</v>
      </c>
      <c r="AG71" s="14" t="e">
        <f t="shared" ca="1" si="26"/>
        <v>#N/A</v>
      </c>
      <c r="AH71" s="14" t="e">
        <f t="shared" ca="1" si="26"/>
        <v>#N/A</v>
      </c>
      <c r="AI71" s="14" t="e">
        <f t="shared" ca="1" si="26"/>
        <v>#N/A</v>
      </c>
      <c r="AJ71" s="14" t="e">
        <f t="shared" ca="1" si="26"/>
        <v>#N/A</v>
      </c>
      <c r="AK71" s="14" t="e">
        <f t="shared" ca="1" si="26"/>
        <v>#N/A</v>
      </c>
      <c r="AL71" s="14" t="e">
        <f t="shared" ca="1" si="26"/>
        <v>#N/A</v>
      </c>
      <c r="AM71" s="14" t="e">
        <f t="shared" ca="1" si="26"/>
        <v>#N/A</v>
      </c>
      <c r="AN71" s="14" t="e">
        <f t="shared" ca="1" si="26"/>
        <v>#N/A</v>
      </c>
      <c r="AO71" s="14" t="e">
        <f t="shared" ca="1" si="26"/>
        <v>#N/A</v>
      </c>
      <c r="AP71" s="14" t="e">
        <f t="shared" ca="1" si="26"/>
        <v>#N/A</v>
      </c>
      <c r="AQ71" s="14" t="e">
        <f t="shared" ca="1" si="26"/>
        <v>#N/A</v>
      </c>
      <c r="AR71" s="14" t="e">
        <f t="shared" ca="1" si="26"/>
        <v>#N/A</v>
      </c>
      <c r="AS71" s="14" t="e">
        <f t="shared" ca="1" si="26"/>
        <v>#N/A</v>
      </c>
      <c r="AT71" s="14" t="e">
        <f t="shared" ca="1" si="26"/>
        <v>#N/A</v>
      </c>
      <c r="AU71" s="14" t="e">
        <f t="shared" ca="1" si="26"/>
        <v>#N/A</v>
      </c>
      <c r="AV71" s="14" t="e">
        <f t="shared" ca="1" si="26"/>
        <v>#N/A</v>
      </c>
      <c r="AW71" s="14" t="e">
        <f t="shared" ca="1" si="26"/>
        <v>#N/A</v>
      </c>
      <c r="AX71" s="14" t="e">
        <f t="shared" ca="1" si="26"/>
        <v>#N/A</v>
      </c>
      <c r="AY71" s="14" t="e">
        <f t="shared" ca="1" si="26"/>
        <v>#N/A</v>
      </c>
      <c r="AZ71" s="14" t="e">
        <f t="shared" ca="1" si="26"/>
        <v>#N/A</v>
      </c>
      <c r="BA71" s="14" t="e">
        <f t="shared" ca="1" si="26"/>
        <v>#N/A</v>
      </c>
      <c r="BB71" s="14" t="e">
        <f t="shared" ca="1" si="26"/>
        <v>#N/A</v>
      </c>
      <c r="BC71" s="14" t="e">
        <f t="shared" ca="1" si="26"/>
        <v>#N/A</v>
      </c>
      <c r="BD71" s="14" t="e">
        <f t="shared" ca="1" si="26"/>
        <v>#N/A</v>
      </c>
      <c r="BE71" s="14" t="e">
        <f t="shared" ca="1" si="26"/>
        <v>#N/A</v>
      </c>
      <c r="BF71" s="14" t="e">
        <f t="shared" ca="1" si="26"/>
        <v>#N/A</v>
      </c>
      <c r="BG71" s="14" t="e">
        <f t="shared" ca="1" si="26"/>
        <v>#N/A</v>
      </c>
      <c r="BH71" s="14" t="e">
        <f t="shared" ca="1" si="26"/>
        <v>#N/A</v>
      </c>
      <c r="BI71" s="14" t="e">
        <f t="shared" ca="1" si="26"/>
        <v>#N/A</v>
      </c>
      <c r="BJ71" s="14" t="e">
        <f t="shared" ca="1" si="26"/>
        <v>#N/A</v>
      </c>
      <c r="BK71" s="14" t="e">
        <f t="shared" ca="1" si="26"/>
        <v>#N/A</v>
      </c>
      <c r="BL71" s="14" t="e">
        <f t="shared" ca="1" si="26"/>
        <v>#N/A</v>
      </c>
      <c r="BM71" s="14" t="e">
        <f t="shared" ca="1" si="26"/>
        <v>#N/A</v>
      </c>
      <c r="BN71" s="14" t="e">
        <f t="shared" ca="1" si="26"/>
        <v>#N/A</v>
      </c>
      <c r="BO71" s="14" t="e">
        <f t="shared" ca="1" si="26"/>
        <v>#N/A</v>
      </c>
      <c r="BP71" s="14" t="e">
        <f t="shared" ca="1" si="26"/>
        <v>#N/A</v>
      </c>
      <c r="BQ71" s="14" t="e">
        <f t="shared" ca="1" si="26"/>
        <v>#N/A</v>
      </c>
      <c r="BR71" s="14" t="e">
        <f t="shared" ca="1" si="26"/>
        <v>#N/A</v>
      </c>
      <c r="BS71" s="98"/>
    </row>
    <row r="72" spans="1:87" ht="21" customHeight="1" outlineLevel="1" thickBot="1" x14ac:dyDescent="0.4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 t="e">
        <f t="shared" ca="1" si="24"/>
        <v>#N/A</v>
      </c>
      <c r="G72" s="14" t="e">
        <f t="shared" ca="1" si="26"/>
        <v>#N/A</v>
      </c>
      <c r="H72" s="14" t="e">
        <f t="shared" ca="1" si="26"/>
        <v>#N/A</v>
      </c>
      <c r="I72" s="14" t="e">
        <f t="shared" ca="1" si="26"/>
        <v>#N/A</v>
      </c>
      <c r="J72" s="14" t="e">
        <f t="shared" ca="1" si="26"/>
        <v>#N/A</v>
      </c>
      <c r="K72" s="14" t="e">
        <f t="shared" ca="1" si="26"/>
        <v>#N/A</v>
      </c>
      <c r="L72" s="14" t="e">
        <f t="shared" ca="1" si="26"/>
        <v>#N/A</v>
      </c>
      <c r="M72" s="14" t="e">
        <f t="shared" ca="1" si="26"/>
        <v>#N/A</v>
      </c>
      <c r="N72" s="14" t="e">
        <f t="shared" ca="1" si="26"/>
        <v>#N/A</v>
      </c>
      <c r="O72" s="14" t="e">
        <f t="shared" ca="1" si="26"/>
        <v>#N/A</v>
      </c>
      <c r="P72" s="14" t="e">
        <f t="shared" ca="1" si="26"/>
        <v>#N/A</v>
      </c>
      <c r="Q72" s="14" t="e">
        <f t="shared" ca="1" si="26"/>
        <v>#N/A</v>
      </c>
      <c r="R72" s="14" t="e">
        <f t="shared" ca="1" si="26"/>
        <v>#N/A</v>
      </c>
      <c r="S72" s="14" t="e">
        <f t="shared" ca="1" si="26"/>
        <v>#N/A</v>
      </c>
      <c r="T72" s="14" t="e">
        <f t="shared" ca="1" si="26"/>
        <v>#N/A</v>
      </c>
      <c r="U72" s="14" t="e">
        <f t="shared" ca="1" si="26"/>
        <v>#N/A</v>
      </c>
      <c r="V72" s="14" t="e">
        <f t="shared" ca="1" si="26"/>
        <v>#N/A</v>
      </c>
      <c r="W72" s="14" t="e">
        <f t="shared" ca="1" si="26"/>
        <v>#N/A</v>
      </c>
      <c r="X72" s="14" t="e">
        <f t="shared" ca="1" si="26"/>
        <v>#N/A</v>
      </c>
      <c r="Y72" s="14" t="e">
        <f t="shared" ca="1" si="26"/>
        <v>#N/A</v>
      </c>
      <c r="Z72" s="14" t="e">
        <f t="shared" ca="1" si="26"/>
        <v>#N/A</v>
      </c>
      <c r="AA72" s="14" t="e">
        <f t="shared" ca="1" si="26"/>
        <v>#N/A</v>
      </c>
      <c r="AB72" s="14" t="e">
        <f t="shared" ca="1" si="26"/>
        <v>#N/A</v>
      </c>
      <c r="AC72" s="14" t="e">
        <f t="shared" ca="1" si="26"/>
        <v>#N/A</v>
      </c>
      <c r="AD72" s="14" t="e">
        <f t="shared" ca="1" si="26"/>
        <v>#N/A</v>
      </c>
      <c r="AE72" s="14" t="e">
        <f t="shared" ca="1" si="26"/>
        <v>#N/A</v>
      </c>
      <c r="AF72" s="14" t="e">
        <f t="shared" ca="1" si="26"/>
        <v>#N/A</v>
      </c>
      <c r="AG72" s="14" t="e">
        <f t="shared" ca="1" si="26"/>
        <v>#N/A</v>
      </c>
      <c r="AH72" s="14" t="e">
        <f t="shared" ca="1" si="26"/>
        <v>#N/A</v>
      </c>
      <c r="AI72" s="14" t="e">
        <f t="shared" ca="1" si="26"/>
        <v>#N/A</v>
      </c>
      <c r="AJ72" s="14" t="e">
        <f t="shared" ca="1" si="26"/>
        <v>#N/A</v>
      </c>
      <c r="AK72" s="14" t="e">
        <f t="shared" ca="1" si="26"/>
        <v>#N/A</v>
      </c>
      <c r="AL72" s="14" t="e">
        <f t="shared" ca="1" si="26"/>
        <v>#N/A</v>
      </c>
      <c r="AM72" s="14" t="e">
        <f t="shared" ca="1" si="26"/>
        <v>#N/A</v>
      </c>
      <c r="AN72" s="14" t="e">
        <f t="shared" ca="1" si="26"/>
        <v>#N/A</v>
      </c>
      <c r="AO72" s="14" t="e">
        <f t="shared" ca="1" si="26"/>
        <v>#N/A</v>
      </c>
      <c r="AP72" s="14" t="e">
        <f t="shared" ca="1" si="26"/>
        <v>#N/A</v>
      </c>
      <c r="AQ72" s="14" t="e">
        <f t="shared" ca="1" si="26"/>
        <v>#N/A</v>
      </c>
      <c r="AR72" s="14" t="e">
        <f t="shared" ca="1" si="26"/>
        <v>#N/A</v>
      </c>
      <c r="AS72" s="14" t="e">
        <f t="shared" ca="1" si="26"/>
        <v>#N/A</v>
      </c>
      <c r="AT72" s="14" t="e">
        <f t="shared" ca="1" si="26"/>
        <v>#N/A</v>
      </c>
      <c r="AU72" s="14" t="e">
        <f t="shared" ca="1" si="26"/>
        <v>#N/A</v>
      </c>
      <c r="AV72" s="14" t="e">
        <f t="shared" ca="1" si="26"/>
        <v>#N/A</v>
      </c>
      <c r="AW72" s="14" t="e">
        <f t="shared" ca="1" si="26"/>
        <v>#N/A</v>
      </c>
      <c r="AX72" s="14" t="e">
        <f t="shared" ca="1" si="26"/>
        <v>#N/A</v>
      </c>
      <c r="AY72" s="14" t="e">
        <f t="shared" ca="1" si="26"/>
        <v>#N/A</v>
      </c>
      <c r="AZ72" s="14" t="e">
        <f t="shared" ca="1" si="26"/>
        <v>#N/A</v>
      </c>
      <c r="BA72" s="14" t="e">
        <f t="shared" ca="1" si="26"/>
        <v>#N/A</v>
      </c>
      <c r="BB72" s="14" t="e">
        <f t="shared" ca="1" si="26"/>
        <v>#N/A</v>
      </c>
      <c r="BC72" s="14" t="e">
        <f t="shared" ca="1" si="26"/>
        <v>#N/A</v>
      </c>
      <c r="BD72" s="14" t="e">
        <f t="shared" ca="1" si="26"/>
        <v>#N/A</v>
      </c>
      <c r="BE72" s="14" t="e">
        <f t="shared" ca="1" si="26"/>
        <v>#N/A</v>
      </c>
      <c r="BF72" s="14" t="e">
        <f t="shared" ca="1" si="26"/>
        <v>#N/A</v>
      </c>
      <c r="BG72" s="14" t="e">
        <f t="shared" ca="1" si="26"/>
        <v>#N/A</v>
      </c>
      <c r="BH72" s="14" t="e">
        <f t="shared" ca="1" si="26"/>
        <v>#N/A</v>
      </c>
      <c r="BI72" s="14" t="e">
        <f t="shared" ca="1" si="26"/>
        <v>#N/A</v>
      </c>
      <c r="BJ72" s="14" t="e">
        <f t="shared" ca="1" si="26"/>
        <v>#N/A</v>
      </c>
      <c r="BK72" s="14" t="e">
        <f t="shared" ca="1" si="26"/>
        <v>#N/A</v>
      </c>
      <c r="BL72" s="14" t="e">
        <f t="shared" ca="1" si="26"/>
        <v>#N/A</v>
      </c>
      <c r="BM72" s="14" t="e">
        <f t="shared" ca="1" si="26"/>
        <v>#N/A</v>
      </c>
      <c r="BN72" s="14" t="e">
        <f t="shared" ca="1" si="26"/>
        <v>#N/A</v>
      </c>
      <c r="BO72" s="14" t="e">
        <f t="shared" ca="1" si="26"/>
        <v>#N/A</v>
      </c>
      <c r="BP72" s="14" t="e">
        <f t="shared" ca="1" si="26"/>
        <v>#N/A</v>
      </c>
      <c r="BQ72" s="14" t="e">
        <f t="shared" ca="1" si="26"/>
        <v>#N/A</v>
      </c>
      <c r="BR72" s="14" t="e">
        <f t="shared" ca="1" si="26"/>
        <v>#N/A</v>
      </c>
      <c r="BS72" s="98"/>
    </row>
    <row r="73" spans="1:87" ht="21" customHeight="1" outlineLevel="1" thickBot="1" x14ac:dyDescent="0.4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 t="e">
        <f t="shared" ca="1" si="24"/>
        <v>#N/A</v>
      </c>
      <c r="G73" s="14" t="e">
        <f t="shared" ca="1" si="26"/>
        <v>#N/A</v>
      </c>
      <c r="H73" s="14" t="e">
        <f t="shared" ca="1" si="26"/>
        <v>#N/A</v>
      </c>
      <c r="I73" s="14" t="e">
        <f t="shared" ca="1" si="26"/>
        <v>#N/A</v>
      </c>
      <c r="J73" s="14" t="e">
        <f t="shared" ca="1" si="26"/>
        <v>#N/A</v>
      </c>
      <c r="K73" s="14" t="e">
        <f t="shared" ca="1" si="26"/>
        <v>#N/A</v>
      </c>
      <c r="L73" s="14" t="e">
        <f t="shared" ca="1" si="26"/>
        <v>#N/A</v>
      </c>
      <c r="M73" s="14" t="e">
        <f t="shared" ca="1" si="26"/>
        <v>#N/A</v>
      </c>
      <c r="N73" s="14" t="e">
        <f t="shared" ca="1" si="26"/>
        <v>#N/A</v>
      </c>
      <c r="O73" s="14" t="e">
        <f t="shared" ca="1" si="26"/>
        <v>#N/A</v>
      </c>
      <c r="P73" s="14" t="e">
        <f t="shared" ca="1" si="26"/>
        <v>#N/A</v>
      </c>
      <c r="Q73" s="14" t="e">
        <f t="shared" ca="1" si="26"/>
        <v>#N/A</v>
      </c>
      <c r="R73" s="14" t="e">
        <f t="shared" ca="1" si="26"/>
        <v>#N/A</v>
      </c>
      <c r="S73" s="14" t="e">
        <f t="shared" ca="1" si="26"/>
        <v>#N/A</v>
      </c>
      <c r="T73" s="14" t="e">
        <f t="shared" ca="1" si="26"/>
        <v>#N/A</v>
      </c>
      <c r="U73" s="14" t="e">
        <f t="shared" ca="1" si="26"/>
        <v>#N/A</v>
      </c>
      <c r="V73" s="14" t="e">
        <f t="shared" ca="1" si="26"/>
        <v>#N/A</v>
      </c>
      <c r="W73" s="14" t="e">
        <f t="shared" ca="1" si="26"/>
        <v>#N/A</v>
      </c>
      <c r="X73" s="14" t="e">
        <f t="shared" ca="1" si="26"/>
        <v>#N/A</v>
      </c>
      <c r="Y73" s="14" t="e">
        <f t="shared" ca="1" si="26"/>
        <v>#N/A</v>
      </c>
      <c r="Z73" s="14" t="e">
        <f t="shared" ca="1" si="26"/>
        <v>#N/A</v>
      </c>
      <c r="AA73" s="14" t="e">
        <f t="shared" ca="1" si="26"/>
        <v>#N/A</v>
      </c>
      <c r="AB73" s="14" t="e">
        <f t="shared" ca="1" si="26"/>
        <v>#N/A</v>
      </c>
      <c r="AC73" s="14" t="e">
        <f t="shared" ca="1" si="26"/>
        <v>#N/A</v>
      </c>
      <c r="AD73" s="14" t="e">
        <f t="shared" ca="1" si="26"/>
        <v>#N/A</v>
      </c>
      <c r="AE73" s="14" t="e">
        <f t="shared" ca="1" si="26"/>
        <v>#N/A</v>
      </c>
      <c r="AF73" s="14" t="e">
        <f t="shared" ca="1" si="26"/>
        <v>#N/A</v>
      </c>
      <c r="AG73" s="14" t="e">
        <f t="shared" ca="1" si="26"/>
        <v>#N/A</v>
      </c>
      <c r="AH73" s="14" t="e">
        <f t="shared" ca="1" si="26"/>
        <v>#N/A</v>
      </c>
      <c r="AI73" s="14" t="e">
        <f t="shared" ca="1" si="26"/>
        <v>#N/A</v>
      </c>
      <c r="AJ73" s="14" t="e">
        <f t="shared" ca="1" si="26"/>
        <v>#N/A</v>
      </c>
      <c r="AK73" s="14" t="e">
        <f t="shared" ca="1" si="26"/>
        <v>#N/A</v>
      </c>
      <c r="AL73" s="14" t="e">
        <f t="shared" ca="1" si="26"/>
        <v>#N/A</v>
      </c>
      <c r="AM73" s="14" t="e">
        <f t="shared" ca="1" si="26"/>
        <v>#N/A</v>
      </c>
      <c r="AN73" s="14" t="e">
        <f t="shared" ca="1" si="26"/>
        <v>#N/A</v>
      </c>
      <c r="AO73" s="14" t="e">
        <f t="shared" ca="1" si="26"/>
        <v>#N/A</v>
      </c>
      <c r="AP73" s="14" t="e">
        <f t="shared" ca="1" si="26"/>
        <v>#N/A</v>
      </c>
      <c r="AQ73" s="14" t="e">
        <f t="shared" ca="1" si="26"/>
        <v>#N/A</v>
      </c>
      <c r="AR73" s="14" t="e">
        <f t="shared" ca="1" si="26"/>
        <v>#N/A</v>
      </c>
      <c r="AS73" s="14" t="e">
        <f t="shared" ca="1" si="26"/>
        <v>#N/A</v>
      </c>
      <c r="AT73" s="14" t="e">
        <f t="shared" ca="1" si="26"/>
        <v>#N/A</v>
      </c>
      <c r="AU73" s="14" t="e">
        <f t="shared" ca="1" si="26"/>
        <v>#N/A</v>
      </c>
      <c r="AV73" s="14" t="e">
        <f t="shared" ca="1" si="26"/>
        <v>#N/A</v>
      </c>
      <c r="AW73" s="14" t="e">
        <f t="shared" ca="1" si="26"/>
        <v>#N/A</v>
      </c>
      <c r="AX73" s="14" t="e">
        <f t="shared" ca="1" si="26"/>
        <v>#N/A</v>
      </c>
      <c r="AY73" s="14" t="e">
        <f t="shared" ca="1" si="26"/>
        <v>#N/A</v>
      </c>
      <c r="AZ73" s="14" t="e">
        <f t="shared" ca="1" si="26"/>
        <v>#N/A</v>
      </c>
      <c r="BA73" s="14" t="e">
        <f t="shared" ca="1" si="26"/>
        <v>#N/A</v>
      </c>
      <c r="BB73" s="14" t="e">
        <f t="shared" ca="1" si="26"/>
        <v>#N/A</v>
      </c>
      <c r="BC73" s="14" t="e">
        <f t="shared" ca="1" si="26"/>
        <v>#N/A</v>
      </c>
      <c r="BD73" s="14" t="e">
        <f t="shared" ca="1" si="26"/>
        <v>#N/A</v>
      </c>
      <c r="BE73" s="14" t="e">
        <f t="shared" ca="1" si="26"/>
        <v>#N/A</v>
      </c>
      <c r="BF73" s="14" t="e">
        <f t="shared" ca="1" si="26"/>
        <v>#N/A</v>
      </c>
      <c r="BG73" s="14" t="e">
        <f t="shared" ca="1" si="26"/>
        <v>#N/A</v>
      </c>
      <c r="BH73" s="14" t="e">
        <f t="shared" ca="1" si="26"/>
        <v>#N/A</v>
      </c>
      <c r="BI73" s="14" t="e">
        <f t="shared" ca="1" si="26"/>
        <v>#N/A</v>
      </c>
      <c r="BJ73" s="14" t="e">
        <f t="shared" ca="1" si="26"/>
        <v>#N/A</v>
      </c>
      <c r="BK73" s="14" t="e">
        <f t="shared" ca="1" si="26"/>
        <v>#N/A</v>
      </c>
      <c r="BL73" s="14" t="e">
        <f t="shared" ca="1" si="26"/>
        <v>#N/A</v>
      </c>
      <c r="BM73" s="14" t="e">
        <f t="shared" ca="1" si="26"/>
        <v>#N/A</v>
      </c>
      <c r="BN73" s="14" t="e">
        <f t="shared" ca="1" si="26"/>
        <v>#N/A</v>
      </c>
      <c r="BO73" s="14" t="e">
        <f t="shared" ca="1" si="26"/>
        <v>#N/A</v>
      </c>
      <c r="BP73" s="14" t="e">
        <f t="shared" ca="1" si="26"/>
        <v>#N/A</v>
      </c>
      <c r="BQ73" s="14" t="e">
        <f t="shared" ca="1" si="26"/>
        <v>#N/A</v>
      </c>
      <c r="BR73" s="14" t="e">
        <f t="shared" ca="1" si="26"/>
        <v>#N/A</v>
      </c>
      <c r="BS73" s="98"/>
    </row>
    <row r="74" spans="1:87" ht="21" customHeight="1" outlineLevel="1" thickBot="1" x14ac:dyDescent="0.4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 t="e">
        <f t="shared" ca="1" si="24"/>
        <v>#N/A</v>
      </c>
      <c r="G74" s="14" t="e">
        <f t="shared" ca="1" si="26"/>
        <v>#N/A</v>
      </c>
      <c r="H74" s="14" t="e">
        <f t="shared" ca="1" si="26"/>
        <v>#N/A</v>
      </c>
      <c r="I74" s="14" t="e">
        <f t="shared" ca="1" si="26"/>
        <v>#N/A</v>
      </c>
      <c r="J74" s="14" t="e">
        <f t="shared" ca="1" si="26"/>
        <v>#N/A</v>
      </c>
      <c r="K74" s="14" t="e">
        <f t="shared" ca="1" si="26"/>
        <v>#N/A</v>
      </c>
      <c r="L74" s="14" t="e">
        <f t="shared" ca="1" si="26"/>
        <v>#N/A</v>
      </c>
      <c r="M74" s="14" t="e">
        <f t="shared" ca="1" si="26"/>
        <v>#N/A</v>
      </c>
      <c r="N74" s="14" t="e">
        <f t="shared" ca="1" si="26"/>
        <v>#N/A</v>
      </c>
      <c r="O74" s="14" t="e">
        <f t="shared" ca="1" si="26"/>
        <v>#N/A</v>
      </c>
      <c r="P74" s="14" t="e">
        <f t="shared" ca="1" si="26"/>
        <v>#N/A</v>
      </c>
      <c r="Q74" s="14" t="e">
        <f t="shared" ca="1" si="26"/>
        <v>#N/A</v>
      </c>
      <c r="R74" s="14" t="e">
        <f t="shared" ca="1" si="26"/>
        <v>#N/A</v>
      </c>
      <c r="S74" s="14" t="e">
        <f t="shared" ca="1" si="26"/>
        <v>#N/A</v>
      </c>
      <c r="T74" s="14" t="e">
        <f t="shared" ca="1" si="26"/>
        <v>#N/A</v>
      </c>
      <c r="U74" s="14" t="e">
        <f t="shared" ca="1" si="26"/>
        <v>#N/A</v>
      </c>
      <c r="V74" s="14" t="e">
        <f t="shared" ca="1" si="26"/>
        <v>#N/A</v>
      </c>
      <c r="W74" s="14" t="e">
        <f t="shared" ca="1" si="26"/>
        <v>#N/A</v>
      </c>
      <c r="X74" s="14" t="e">
        <f t="shared" ca="1" si="26"/>
        <v>#N/A</v>
      </c>
      <c r="Y74" s="14" t="e">
        <f t="shared" ca="1" si="26"/>
        <v>#N/A</v>
      </c>
      <c r="Z74" s="14" t="e">
        <f t="shared" ca="1" si="26"/>
        <v>#N/A</v>
      </c>
      <c r="AA74" s="14" t="e">
        <f t="shared" ca="1" si="26"/>
        <v>#N/A</v>
      </c>
      <c r="AB74" s="14" t="e">
        <f t="shared" ca="1" si="26"/>
        <v>#N/A</v>
      </c>
      <c r="AC74" s="14" t="e">
        <f t="shared" ca="1" si="26"/>
        <v>#N/A</v>
      </c>
      <c r="AD74" s="14" t="e">
        <f t="shared" ca="1" si="26"/>
        <v>#N/A</v>
      </c>
      <c r="AE74" s="14" t="e">
        <f t="shared" ca="1" si="26"/>
        <v>#N/A</v>
      </c>
      <c r="AF74" s="14" t="e">
        <f t="shared" ca="1" si="26"/>
        <v>#N/A</v>
      </c>
      <c r="AG74" s="14" t="e">
        <f t="shared" ca="1" si="26"/>
        <v>#N/A</v>
      </c>
      <c r="AH74" s="14" t="e">
        <f t="shared" ca="1" si="26"/>
        <v>#N/A</v>
      </c>
      <c r="AI74" s="14" t="e">
        <f t="shared" ca="1" si="26"/>
        <v>#N/A</v>
      </c>
      <c r="AJ74" s="14" t="e">
        <f t="shared" ca="1" si="26"/>
        <v>#N/A</v>
      </c>
      <c r="AK74" s="14" t="e">
        <f t="shared" ca="1" si="26"/>
        <v>#N/A</v>
      </c>
      <c r="AL74" s="14" t="e">
        <f t="shared" ca="1" si="26"/>
        <v>#N/A</v>
      </c>
      <c r="AM74" s="14" t="e">
        <f t="shared" ca="1" si="26"/>
        <v>#N/A</v>
      </c>
      <c r="AN74" s="14" t="e">
        <f t="shared" ca="1" si="26"/>
        <v>#N/A</v>
      </c>
      <c r="AO74" s="14" t="e">
        <f t="shared" ca="1" si="26"/>
        <v>#N/A</v>
      </c>
      <c r="AP74" s="14" t="e">
        <f t="shared" ca="1" si="26"/>
        <v>#N/A</v>
      </c>
      <c r="AQ74" s="14" t="e">
        <f t="shared" ca="1" si="26"/>
        <v>#N/A</v>
      </c>
      <c r="AR74" s="14" t="e">
        <f t="shared" ca="1" si="26"/>
        <v>#N/A</v>
      </c>
      <c r="AS74" s="14" t="e">
        <f t="shared" ref="AS74:BR74" ca="1" si="27">$A74*H.Ar + $B74*H.Se + $C74*H.Ge + $D74*H.Ga</f>
        <v>#N/A</v>
      </c>
      <c r="AT74" s="14" t="e">
        <f t="shared" ca="1" si="27"/>
        <v>#N/A</v>
      </c>
      <c r="AU74" s="14" t="e">
        <f t="shared" ca="1" si="27"/>
        <v>#N/A</v>
      </c>
      <c r="AV74" s="14" t="e">
        <f t="shared" ca="1" si="27"/>
        <v>#N/A</v>
      </c>
      <c r="AW74" s="14" t="e">
        <f t="shared" ca="1" si="27"/>
        <v>#N/A</v>
      </c>
      <c r="AX74" s="14" t="e">
        <f t="shared" ca="1" si="27"/>
        <v>#N/A</v>
      </c>
      <c r="AY74" s="14" t="e">
        <f t="shared" ca="1" si="27"/>
        <v>#N/A</v>
      </c>
      <c r="AZ74" s="14" t="e">
        <f t="shared" ca="1" si="27"/>
        <v>#N/A</v>
      </c>
      <c r="BA74" s="14" t="e">
        <f t="shared" ca="1" si="27"/>
        <v>#N/A</v>
      </c>
      <c r="BB74" s="14" t="e">
        <f t="shared" ca="1" si="27"/>
        <v>#N/A</v>
      </c>
      <c r="BC74" s="14" t="e">
        <f t="shared" ca="1" si="27"/>
        <v>#N/A</v>
      </c>
      <c r="BD74" s="14" t="e">
        <f t="shared" ca="1" si="27"/>
        <v>#N/A</v>
      </c>
      <c r="BE74" s="14" t="e">
        <f t="shared" ca="1" si="27"/>
        <v>#N/A</v>
      </c>
      <c r="BF74" s="14" t="e">
        <f t="shared" ca="1" si="27"/>
        <v>#N/A</v>
      </c>
      <c r="BG74" s="14" t="e">
        <f t="shared" ca="1" si="27"/>
        <v>#N/A</v>
      </c>
      <c r="BH74" s="14" t="e">
        <f t="shared" ca="1" si="27"/>
        <v>#N/A</v>
      </c>
      <c r="BI74" s="14" t="e">
        <f t="shared" ca="1" si="27"/>
        <v>#N/A</v>
      </c>
      <c r="BJ74" s="14" t="e">
        <f t="shared" ca="1" si="27"/>
        <v>#N/A</v>
      </c>
      <c r="BK74" s="14" t="e">
        <f t="shared" ca="1" si="27"/>
        <v>#N/A</v>
      </c>
      <c r="BL74" s="14" t="e">
        <f t="shared" ca="1" si="27"/>
        <v>#N/A</v>
      </c>
      <c r="BM74" s="14" t="e">
        <f t="shared" ca="1" si="27"/>
        <v>#N/A</v>
      </c>
      <c r="BN74" s="14" t="e">
        <f t="shared" ca="1" si="27"/>
        <v>#N/A</v>
      </c>
      <c r="BO74" s="14" t="e">
        <f t="shared" ca="1" si="27"/>
        <v>#N/A</v>
      </c>
      <c r="BP74" s="14" t="e">
        <f t="shared" ca="1" si="27"/>
        <v>#N/A</v>
      </c>
      <c r="BQ74" s="14" t="e">
        <f t="shared" ca="1" si="27"/>
        <v>#N/A</v>
      </c>
      <c r="BR74" s="14" t="e">
        <f t="shared" ca="1" si="27"/>
        <v>#N/A</v>
      </c>
      <c r="BS74" s="98"/>
    </row>
    <row r="75" spans="1:87" ht="21" customHeight="1" outlineLevel="1" thickBot="1" x14ac:dyDescent="0.4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8"/>
    </row>
    <row r="76" spans="1:87" ht="21" customHeight="1" outlineLevel="1" x14ac:dyDescent="0.35"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</row>
    <row r="77" spans="1:87" ht="21" customHeight="1" x14ac:dyDescent="0.35">
      <c r="G77" s="98"/>
      <c r="H77" s="98"/>
      <c r="I77" s="98"/>
      <c r="J77" s="98"/>
      <c r="K77" s="98"/>
      <c r="L77" s="98"/>
      <c r="M77" s="98"/>
      <c r="N77" s="98"/>
      <c r="O77" s="98"/>
      <c r="P77" s="98"/>
      <c r="Q77" s="98"/>
      <c r="R77" s="98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</row>
    <row r="78" spans="1:87" ht="21" customHeight="1" x14ac:dyDescent="0.4">
      <c r="A78" s="78"/>
      <c r="B78" s="78"/>
      <c r="C78" s="79" t="e">
        <f>E41</f>
        <v>#DIV/0!</v>
      </c>
      <c r="D78" s="65"/>
      <c r="E78" s="64" t="s">
        <v>21</v>
      </c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5"/>
      <c r="AC78" s="65"/>
      <c r="AD78" s="65"/>
      <c r="AE78" s="65"/>
      <c r="AF78" s="65"/>
      <c r="AG78" s="65"/>
      <c r="AH78" s="65"/>
      <c r="AI78" s="65"/>
      <c r="AJ78" s="65"/>
      <c r="AK78" s="65"/>
      <c r="AL78" s="65"/>
      <c r="AM78" s="65"/>
      <c r="AN78" s="65"/>
      <c r="AO78" s="65"/>
      <c r="AP78" s="65"/>
      <c r="AQ78" s="65"/>
      <c r="AR78" s="65"/>
      <c r="AS78" s="65"/>
      <c r="AT78" s="65"/>
      <c r="AU78" s="65"/>
      <c r="AV78" s="65"/>
      <c r="AW78" s="65"/>
      <c r="AX78" s="65"/>
      <c r="AY78" s="65"/>
      <c r="AZ78" s="65"/>
      <c r="BA78" s="65"/>
      <c r="BB78" s="65"/>
      <c r="BC78" s="65"/>
      <c r="BD78" s="65"/>
      <c r="BE78" s="65"/>
      <c r="BF78" s="65"/>
      <c r="BG78" s="65"/>
      <c r="BH78" s="65"/>
      <c r="BI78" s="65"/>
      <c r="BJ78" s="65"/>
      <c r="BK78" s="65"/>
      <c r="BL78" s="65"/>
      <c r="BM78" s="65"/>
      <c r="BN78" s="65"/>
      <c r="BO78" s="65"/>
      <c r="BP78" s="65"/>
      <c r="BQ78" s="65"/>
      <c r="BR78" s="65"/>
      <c r="BS78" s="65"/>
      <c r="BT78" s="65"/>
      <c r="BU78" s="65"/>
      <c r="BV78" s="65"/>
      <c r="BW78" s="65"/>
      <c r="BX78" s="65"/>
      <c r="BY78" s="65"/>
      <c r="BZ78" s="65"/>
      <c r="CA78" s="65"/>
      <c r="CB78" s="65"/>
      <c r="CC78" s="65"/>
      <c r="CD78" s="65"/>
      <c r="CE78" s="65"/>
      <c r="CF78" s="65"/>
      <c r="CG78" s="65"/>
      <c r="CH78" s="65"/>
      <c r="CI78" s="65"/>
    </row>
    <row r="79" spans="1:87" ht="21" hidden="1" customHeight="1" outlineLevel="1" thickTop="1" thickBot="1" x14ac:dyDescent="0.4">
      <c r="A79" s="12" t="s">
        <v>1</v>
      </c>
      <c r="B79" s="2" t="s">
        <v>2</v>
      </c>
      <c r="C79" s="2" t="s">
        <v>3</v>
      </c>
      <c r="D79" s="13" t="s">
        <v>4</v>
      </c>
      <c r="E79" s="3">
        <f t="shared" ref="E79:E109" si="28">E45</f>
        <v>0</v>
      </c>
      <c r="F79" s="3">
        <f t="shared" ref="F79" si="29">F3</f>
        <v>0</v>
      </c>
      <c r="G79" s="3">
        <f t="shared" ref="G79:BR79" si="30">G3</f>
        <v>0</v>
      </c>
      <c r="H79" s="3">
        <f t="shared" si="30"/>
        <v>0</v>
      </c>
      <c r="I79" s="3">
        <f t="shared" si="30"/>
        <v>0</v>
      </c>
      <c r="J79" s="3">
        <f t="shared" si="30"/>
        <v>0</v>
      </c>
      <c r="K79" s="3">
        <f t="shared" si="30"/>
        <v>0</v>
      </c>
      <c r="L79" s="3">
        <f t="shared" si="30"/>
        <v>0</v>
      </c>
      <c r="M79" s="3">
        <f t="shared" si="30"/>
        <v>0</v>
      </c>
      <c r="N79" s="3">
        <f t="shared" si="30"/>
        <v>0</v>
      </c>
      <c r="O79" s="3">
        <f t="shared" si="30"/>
        <v>0</v>
      </c>
      <c r="P79" s="3">
        <f t="shared" si="30"/>
        <v>0</v>
      </c>
      <c r="Q79" s="3">
        <f t="shared" si="30"/>
        <v>0</v>
      </c>
      <c r="R79" s="3">
        <f t="shared" si="30"/>
        <v>0</v>
      </c>
      <c r="S79" s="3">
        <f t="shared" si="30"/>
        <v>0</v>
      </c>
      <c r="T79" s="3">
        <f t="shared" si="30"/>
        <v>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8"/>
    </row>
    <row r="80" spans="1:87" ht="21" hidden="1" customHeight="1" outlineLevel="1" thickTop="1" thickBot="1" x14ac:dyDescent="0.4">
      <c r="A80" s="5">
        <f>A46</f>
        <v>0</v>
      </c>
      <c r="B80" s="5">
        <f t="shared" ref="B80:D80" si="31">B46</f>
        <v>0</v>
      </c>
      <c r="C80" s="5">
        <f t="shared" si="31"/>
        <v>0</v>
      </c>
      <c r="D80" s="5">
        <f t="shared" si="31"/>
        <v>0</v>
      </c>
      <c r="E80" s="6">
        <f t="shared" si="28"/>
        <v>0</v>
      </c>
      <c r="F80" s="14" t="e">
        <f t="shared" ref="F80" si="32">F4*$C$78</f>
        <v>#DIV/0!</v>
      </c>
      <c r="G80" s="14" t="e">
        <f t="shared" ref="G80:BR80" si="33">G4*$C$78</f>
        <v>#DIV/0!</v>
      </c>
      <c r="H80" s="14" t="e">
        <f t="shared" si="33"/>
        <v>#DIV/0!</v>
      </c>
      <c r="I80" s="14" t="e">
        <f t="shared" si="33"/>
        <v>#DIV/0!</v>
      </c>
      <c r="J80" s="14" t="e">
        <f t="shared" si="33"/>
        <v>#DIV/0!</v>
      </c>
      <c r="K80" s="14" t="e">
        <f t="shared" si="33"/>
        <v>#DIV/0!</v>
      </c>
      <c r="L80" s="14" t="e">
        <f t="shared" si="33"/>
        <v>#DIV/0!</v>
      </c>
      <c r="M80" s="14" t="e">
        <f t="shared" si="33"/>
        <v>#DIV/0!</v>
      </c>
      <c r="N80" s="14" t="e">
        <f t="shared" si="33"/>
        <v>#DIV/0!</v>
      </c>
      <c r="O80" s="14" t="e">
        <f t="shared" si="33"/>
        <v>#DIV/0!</v>
      </c>
      <c r="P80" s="14" t="e">
        <f t="shared" si="33"/>
        <v>#DIV/0!</v>
      </c>
      <c r="Q80" s="14" t="e">
        <f t="shared" si="33"/>
        <v>#DIV/0!</v>
      </c>
      <c r="R80" s="14" t="e">
        <f t="shared" si="33"/>
        <v>#DIV/0!</v>
      </c>
      <c r="S80" s="14" t="e">
        <f t="shared" si="33"/>
        <v>#DIV/0!</v>
      </c>
      <c r="T80" s="14" t="e">
        <f t="shared" si="33"/>
        <v>#DIV/0!</v>
      </c>
      <c r="U80" s="14" t="e">
        <f t="shared" si="33"/>
        <v>#DIV/0!</v>
      </c>
      <c r="V80" s="14" t="e">
        <f t="shared" si="33"/>
        <v>#DIV/0!</v>
      </c>
      <c r="W80" s="14" t="e">
        <f t="shared" si="33"/>
        <v>#DIV/0!</v>
      </c>
      <c r="X80" s="14" t="e">
        <f t="shared" si="33"/>
        <v>#DIV/0!</v>
      </c>
      <c r="Y80" s="14" t="e">
        <f t="shared" si="33"/>
        <v>#DIV/0!</v>
      </c>
      <c r="Z80" s="14" t="e">
        <f t="shared" si="33"/>
        <v>#DIV/0!</v>
      </c>
      <c r="AA80" s="14" t="e">
        <f t="shared" si="33"/>
        <v>#DIV/0!</v>
      </c>
      <c r="AB80" s="14" t="e">
        <f t="shared" si="33"/>
        <v>#DIV/0!</v>
      </c>
      <c r="AC80" s="14" t="e">
        <f t="shared" si="33"/>
        <v>#DIV/0!</v>
      </c>
      <c r="AD80" s="14" t="e">
        <f t="shared" si="33"/>
        <v>#DIV/0!</v>
      </c>
      <c r="AE80" s="14" t="e">
        <f t="shared" si="33"/>
        <v>#DIV/0!</v>
      </c>
      <c r="AF80" s="14" t="e">
        <f t="shared" si="33"/>
        <v>#DIV/0!</v>
      </c>
      <c r="AG80" s="14" t="e">
        <f t="shared" si="33"/>
        <v>#DIV/0!</v>
      </c>
      <c r="AH80" s="14" t="e">
        <f t="shared" si="33"/>
        <v>#DIV/0!</v>
      </c>
      <c r="AI80" s="14" t="e">
        <f t="shared" si="33"/>
        <v>#DIV/0!</v>
      </c>
      <c r="AJ80" s="14" t="e">
        <f t="shared" si="33"/>
        <v>#DIV/0!</v>
      </c>
      <c r="AK80" s="14" t="e">
        <f t="shared" si="33"/>
        <v>#DIV/0!</v>
      </c>
      <c r="AL80" s="14" t="e">
        <f t="shared" si="33"/>
        <v>#DIV/0!</v>
      </c>
      <c r="AM80" s="14" t="e">
        <f t="shared" si="33"/>
        <v>#DIV/0!</v>
      </c>
      <c r="AN80" s="14" t="e">
        <f t="shared" si="33"/>
        <v>#DIV/0!</v>
      </c>
      <c r="AO80" s="14" t="e">
        <f t="shared" si="33"/>
        <v>#DIV/0!</v>
      </c>
      <c r="AP80" s="14" t="e">
        <f t="shared" si="33"/>
        <v>#DIV/0!</v>
      </c>
      <c r="AQ80" s="14" t="e">
        <f t="shared" si="33"/>
        <v>#DIV/0!</v>
      </c>
      <c r="AR80" s="14" t="e">
        <f t="shared" si="33"/>
        <v>#DIV/0!</v>
      </c>
      <c r="AS80" s="14" t="e">
        <f t="shared" si="33"/>
        <v>#DIV/0!</v>
      </c>
      <c r="AT80" s="14" t="e">
        <f t="shared" si="33"/>
        <v>#DIV/0!</v>
      </c>
      <c r="AU80" s="14" t="e">
        <f t="shared" si="33"/>
        <v>#DIV/0!</v>
      </c>
      <c r="AV80" s="14" t="e">
        <f t="shared" si="33"/>
        <v>#DIV/0!</v>
      </c>
      <c r="AW80" s="14" t="e">
        <f t="shared" si="33"/>
        <v>#DIV/0!</v>
      </c>
      <c r="AX80" s="14" t="e">
        <f t="shared" si="33"/>
        <v>#DIV/0!</v>
      </c>
      <c r="AY80" s="14" t="e">
        <f t="shared" si="33"/>
        <v>#DIV/0!</v>
      </c>
      <c r="AZ80" s="14" t="e">
        <f t="shared" si="33"/>
        <v>#DIV/0!</v>
      </c>
      <c r="BA80" s="14" t="e">
        <f t="shared" si="33"/>
        <v>#DIV/0!</v>
      </c>
      <c r="BB80" s="14" t="e">
        <f t="shared" si="33"/>
        <v>#DIV/0!</v>
      </c>
      <c r="BC80" s="14" t="e">
        <f t="shared" si="33"/>
        <v>#DIV/0!</v>
      </c>
      <c r="BD80" s="14" t="e">
        <f t="shared" si="33"/>
        <v>#DIV/0!</v>
      </c>
      <c r="BE80" s="14" t="e">
        <f t="shared" si="33"/>
        <v>#DIV/0!</v>
      </c>
      <c r="BF80" s="14" t="e">
        <f t="shared" si="33"/>
        <v>#DIV/0!</v>
      </c>
      <c r="BG80" s="14" t="e">
        <f t="shared" si="33"/>
        <v>#DIV/0!</v>
      </c>
      <c r="BH80" s="14" t="e">
        <f t="shared" si="33"/>
        <v>#DIV/0!</v>
      </c>
      <c r="BI80" s="14" t="e">
        <f t="shared" si="33"/>
        <v>#DIV/0!</v>
      </c>
      <c r="BJ80" s="14" t="e">
        <f t="shared" si="33"/>
        <v>#DIV/0!</v>
      </c>
      <c r="BK80" s="14" t="e">
        <f t="shared" si="33"/>
        <v>#DIV/0!</v>
      </c>
      <c r="BL80" s="14" t="e">
        <f t="shared" si="33"/>
        <v>#DIV/0!</v>
      </c>
      <c r="BM80" s="14" t="e">
        <f t="shared" si="33"/>
        <v>#DIV/0!</v>
      </c>
      <c r="BN80" s="14" t="e">
        <f t="shared" si="33"/>
        <v>#DIV/0!</v>
      </c>
      <c r="BO80" s="14" t="e">
        <f t="shared" si="33"/>
        <v>#DIV/0!</v>
      </c>
      <c r="BP80" s="14" t="e">
        <f t="shared" si="33"/>
        <v>#DIV/0!</v>
      </c>
      <c r="BQ80" s="14" t="e">
        <f t="shared" si="33"/>
        <v>#DIV/0!</v>
      </c>
      <c r="BR80" s="14" t="e">
        <f t="shared" si="33"/>
        <v>#DIV/0!</v>
      </c>
      <c r="BS80" s="98"/>
    </row>
    <row r="81" spans="1:71" ht="21" hidden="1" customHeight="1" outlineLevel="1" thickBot="1" x14ac:dyDescent="0.4">
      <c r="A81" s="5">
        <f t="shared" ref="A81:D96" si="34">A47</f>
        <v>0</v>
      </c>
      <c r="B81" s="5">
        <f t="shared" si="34"/>
        <v>0</v>
      </c>
      <c r="C81" s="5">
        <f t="shared" si="34"/>
        <v>0</v>
      </c>
      <c r="D81" s="5">
        <f t="shared" si="34"/>
        <v>0</v>
      </c>
      <c r="E81" s="6">
        <f t="shared" si="28"/>
        <v>0</v>
      </c>
      <c r="F81" s="14" t="e">
        <f t="shared" ref="F81" si="35">F5*$C$78</f>
        <v>#DIV/0!</v>
      </c>
      <c r="G81" s="14" t="e">
        <f t="shared" ref="G81:BR81" si="36">G5*$C$78</f>
        <v>#DIV/0!</v>
      </c>
      <c r="H81" s="14" t="e">
        <f t="shared" si="36"/>
        <v>#DIV/0!</v>
      </c>
      <c r="I81" s="14" t="e">
        <f t="shared" si="36"/>
        <v>#DIV/0!</v>
      </c>
      <c r="J81" s="14" t="e">
        <f t="shared" si="36"/>
        <v>#DIV/0!</v>
      </c>
      <c r="K81" s="14" t="e">
        <f t="shared" si="36"/>
        <v>#DIV/0!</v>
      </c>
      <c r="L81" s="14" t="e">
        <f t="shared" si="36"/>
        <v>#DIV/0!</v>
      </c>
      <c r="M81" s="14" t="e">
        <f t="shared" si="36"/>
        <v>#DIV/0!</v>
      </c>
      <c r="N81" s="14" t="e">
        <f t="shared" si="36"/>
        <v>#DIV/0!</v>
      </c>
      <c r="O81" s="14" t="e">
        <f t="shared" si="36"/>
        <v>#DIV/0!</v>
      </c>
      <c r="P81" s="14" t="e">
        <f t="shared" si="36"/>
        <v>#DIV/0!</v>
      </c>
      <c r="Q81" s="14" t="e">
        <f t="shared" si="36"/>
        <v>#DIV/0!</v>
      </c>
      <c r="R81" s="14" t="e">
        <f t="shared" si="36"/>
        <v>#DIV/0!</v>
      </c>
      <c r="S81" s="14" t="e">
        <f t="shared" si="36"/>
        <v>#DIV/0!</v>
      </c>
      <c r="T81" s="14" t="e">
        <f t="shared" si="36"/>
        <v>#DIV/0!</v>
      </c>
      <c r="U81" s="14" t="e">
        <f t="shared" si="36"/>
        <v>#DIV/0!</v>
      </c>
      <c r="V81" s="14" t="e">
        <f t="shared" si="36"/>
        <v>#DIV/0!</v>
      </c>
      <c r="W81" s="14" t="e">
        <f t="shared" si="36"/>
        <v>#DIV/0!</v>
      </c>
      <c r="X81" s="14" t="e">
        <f t="shared" si="36"/>
        <v>#DIV/0!</v>
      </c>
      <c r="Y81" s="14" t="e">
        <f t="shared" si="36"/>
        <v>#DIV/0!</v>
      </c>
      <c r="Z81" s="14" t="e">
        <f t="shared" si="36"/>
        <v>#DIV/0!</v>
      </c>
      <c r="AA81" s="14" t="e">
        <f t="shared" si="36"/>
        <v>#DIV/0!</v>
      </c>
      <c r="AB81" s="14" t="e">
        <f t="shared" si="36"/>
        <v>#DIV/0!</v>
      </c>
      <c r="AC81" s="14" t="e">
        <f t="shared" si="36"/>
        <v>#DIV/0!</v>
      </c>
      <c r="AD81" s="14" t="e">
        <f t="shared" si="36"/>
        <v>#DIV/0!</v>
      </c>
      <c r="AE81" s="14" t="e">
        <f t="shared" si="36"/>
        <v>#DIV/0!</v>
      </c>
      <c r="AF81" s="14" t="e">
        <f t="shared" si="36"/>
        <v>#DIV/0!</v>
      </c>
      <c r="AG81" s="14" t="e">
        <f t="shared" si="36"/>
        <v>#DIV/0!</v>
      </c>
      <c r="AH81" s="14" t="e">
        <f t="shared" si="36"/>
        <v>#DIV/0!</v>
      </c>
      <c r="AI81" s="14" t="e">
        <f t="shared" si="36"/>
        <v>#DIV/0!</v>
      </c>
      <c r="AJ81" s="14" t="e">
        <f t="shared" si="36"/>
        <v>#DIV/0!</v>
      </c>
      <c r="AK81" s="14" t="e">
        <f t="shared" si="36"/>
        <v>#DIV/0!</v>
      </c>
      <c r="AL81" s="14" t="e">
        <f t="shared" si="36"/>
        <v>#DIV/0!</v>
      </c>
      <c r="AM81" s="14" t="e">
        <f t="shared" si="36"/>
        <v>#DIV/0!</v>
      </c>
      <c r="AN81" s="14" t="e">
        <f t="shared" si="36"/>
        <v>#DIV/0!</v>
      </c>
      <c r="AO81" s="14" t="e">
        <f t="shared" si="36"/>
        <v>#DIV/0!</v>
      </c>
      <c r="AP81" s="14" t="e">
        <f t="shared" si="36"/>
        <v>#DIV/0!</v>
      </c>
      <c r="AQ81" s="14" t="e">
        <f t="shared" si="36"/>
        <v>#DIV/0!</v>
      </c>
      <c r="AR81" s="14" t="e">
        <f t="shared" si="36"/>
        <v>#DIV/0!</v>
      </c>
      <c r="AS81" s="14" t="e">
        <f t="shared" si="36"/>
        <v>#DIV/0!</v>
      </c>
      <c r="AT81" s="14" t="e">
        <f t="shared" si="36"/>
        <v>#DIV/0!</v>
      </c>
      <c r="AU81" s="14" t="e">
        <f t="shared" si="36"/>
        <v>#DIV/0!</v>
      </c>
      <c r="AV81" s="14" t="e">
        <f t="shared" si="36"/>
        <v>#DIV/0!</v>
      </c>
      <c r="AW81" s="14" t="e">
        <f t="shared" si="36"/>
        <v>#DIV/0!</v>
      </c>
      <c r="AX81" s="14" t="e">
        <f t="shared" si="36"/>
        <v>#DIV/0!</v>
      </c>
      <c r="AY81" s="14" t="e">
        <f t="shared" si="36"/>
        <v>#DIV/0!</v>
      </c>
      <c r="AZ81" s="14" t="e">
        <f t="shared" si="36"/>
        <v>#DIV/0!</v>
      </c>
      <c r="BA81" s="14" t="e">
        <f t="shared" si="36"/>
        <v>#DIV/0!</v>
      </c>
      <c r="BB81" s="14" t="e">
        <f t="shared" si="36"/>
        <v>#DIV/0!</v>
      </c>
      <c r="BC81" s="14" t="e">
        <f t="shared" si="36"/>
        <v>#DIV/0!</v>
      </c>
      <c r="BD81" s="14" t="e">
        <f t="shared" si="36"/>
        <v>#DIV/0!</v>
      </c>
      <c r="BE81" s="14" t="e">
        <f t="shared" si="36"/>
        <v>#DIV/0!</v>
      </c>
      <c r="BF81" s="14" t="e">
        <f t="shared" si="36"/>
        <v>#DIV/0!</v>
      </c>
      <c r="BG81" s="14" t="e">
        <f t="shared" si="36"/>
        <v>#DIV/0!</v>
      </c>
      <c r="BH81" s="14" t="e">
        <f t="shared" si="36"/>
        <v>#DIV/0!</v>
      </c>
      <c r="BI81" s="14" t="e">
        <f t="shared" si="36"/>
        <v>#DIV/0!</v>
      </c>
      <c r="BJ81" s="14" t="e">
        <f t="shared" si="36"/>
        <v>#DIV/0!</v>
      </c>
      <c r="BK81" s="14" t="e">
        <f t="shared" si="36"/>
        <v>#DIV/0!</v>
      </c>
      <c r="BL81" s="14" t="e">
        <f t="shared" si="36"/>
        <v>#DIV/0!</v>
      </c>
      <c r="BM81" s="14" t="e">
        <f t="shared" si="36"/>
        <v>#DIV/0!</v>
      </c>
      <c r="BN81" s="14" t="e">
        <f t="shared" si="36"/>
        <v>#DIV/0!</v>
      </c>
      <c r="BO81" s="14" t="e">
        <f t="shared" si="36"/>
        <v>#DIV/0!</v>
      </c>
      <c r="BP81" s="14" t="e">
        <f t="shared" si="36"/>
        <v>#DIV/0!</v>
      </c>
      <c r="BQ81" s="14" t="e">
        <f t="shared" si="36"/>
        <v>#DIV/0!</v>
      </c>
      <c r="BR81" s="14" t="e">
        <f t="shared" si="36"/>
        <v>#DIV/0!</v>
      </c>
      <c r="BS81" s="98"/>
    </row>
    <row r="82" spans="1:71" ht="21" hidden="1" customHeight="1" outlineLevel="1" thickBot="1" x14ac:dyDescent="0.4">
      <c r="A82" s="5">
        <f t="shared" si="34"/>
        <v>0</v>
      </c>
      <c r="B82" s="5">
        <f t="shared" si="34"/>
        <v>0</v>
      </c>
      <c r="C82" s="5">
        <f t="shared" si="34"/>
        <v>0</v>
      </c>
      <c r="D82" s="5">
        <f t="shared" si="34"/>
        <v>0</v>
      </c>
      <c r="E82" s="6">
        <f t="shared" si="28"/>
        <v>0</v>
      </c>
      <c r="F82" s="14" t="e">
        <f t="shared" ref="F82" si="37">F6*$C$78</f>
        <v>#DIV/0!</v>
      </c>
      <c r="G82" s="14" t="e">
        <f t="shared" ref="G82:BR82" si="38">G6*$C$78</f>
        <v>#DIV/0!</v>
      </c>
      <c r="H82" s="14" t="e">
        <f t="shared" si="38"/>
        <v>#DIV/0!</v>
      </c>
      <c r="I82" s="14" t="e">
        <f t="shared" si="38"/>
        <v>#DIV/0!</v>
      </c>
      <c r="J82" s="14" t="e">
        <f t="shared" si="38"/>
        <v>#DIV/0!</v>
      </c>
      <c r="K82" s="14" t="e">
        <f t="shared" si="38"/>
        <v>#DIV/0!</v>
      </c>
      <c r="L82" s="14" t="e">
        <f t="shared" si="38"/>
        <v>#DIV/0!</v>
      </c>
      <c r="M82" s="14" t="e">
        <f t="shared" si="38"/>
        <v>#DIV/0!</v>
      </c>
      <c r="N82" s="14" t="e">
        <f t="shared" si="38"/>
        <v>#DIV/0!</v>
      </c>
      <c r="O82" s="14" t="e">
        <f t="shared" si="38"/>
        <v>#DIV/0!</v>
      </c>
      <c r="P82" s="14" t="e">
        <f t="shared" si="38"/>
        <v>#DIV/0!</v>
      </c>
      <c r="Q82" s="14" t="e">
        <f t="shared" si="38"/>
        <v>#DIV/0!</v>
      </c>
      <c r="R82" s="14" t="e">
        <f t="shared" si="38"/>
        <v>#DIV/0!</v>
      </c>
      <c r="S82" s="14" t="e">
        <f t="shared" si="38"/>
        <v>#DIV/0!</v>
      </c>
      <c r="T82" s="14" t="e">
        <f t="shared" si="38"/>
        <v>#DIV/0!</v>
      </c>
      <c r="U82" s="14" t="e">
        <f t="shared" si="38"/>
        <v>#DIV/0!</v>
      </c>
      <c r="V82" s="14" t="e">
        <f t="shared" si="38"/>
        <v>#DIV/0!</v>
      </c>
      <c r="W82" s="14" t="e">
        <f t="shared" si="38"/>
        <v>#DIV/0!</v>
      </c>
      <c r="X82" s="14" t="e">
        <f t="shared" si="38"/>
        <v>#DIV/0!</v>
      </c>
      <c r="Y82" s="14" t="e">
        <f t="shared" si="38"/>
        <v>#DIV/0!</v>
      </c>
      <c r="Z82" s="14" t="e">
        <f t="shared" si="38"/>
        <v>#DIV/0!</v>
      </c>
      <c r="AA82" s="14" t="e">
        <f t="shared" si="38"/>
        <v>#DIV/0!</v>
      </c>
      <c r="AB82" s="14" t="e">
        <f t="shared" si="38"/>
        <v>#DIV/0!</v>
      </c>
      <c r="AC82" s="14" t="e">
        <f t="shared" si="38"/>
        <v>#DIV/0!</v>
      </c>
      <c r="AD82" s="14" t="e">
        <f t="shared" si="38"/>
        <v>#DIV/0!</v>
      </c>
      <c r="AE82" s="14" t="e">
        <f t="shared" si="38"/>
        <v>#DIV/0!</v>
      </c>
      <c r="AF82" s="14" t="e">
        <f t="shared" si="38"/>
        <v>#DIV/0!</v>
      </c>
      <c r="AG82" s="14" t="e">
        <f t="shared" si="38"/>
        <v>#DIV/0!</v>
      </c>
      <c r="AH82" s="14" t="e">
        <f t="shared" si="38"/>
        <v>#DIV/0!</v>
      </c>
      <c r="AI82" s="14" t="e">
        <f t="shared" si="38"/>
        <v>#DIV/0!</v>
      </c>
      <c r="AJ82" s="14" t="e">
        <f t="shared" si="38"/>
        <v>#DIV/0!</v>
      </c>
      <c r="AK82" s="14" t="e">
        <f t="shared" si="38"/>
        <v>#DIV/0!</v>
      </c>
      <c r="AL82" s="14" t="e">
        <f t="shared" si="38"/>
        <v>#DIV/0!</v>
      </c>
      <c r="AM82" s="14" t="e">
        <f t="shared" si="38"/>
        <v>#DIV/0!</v>
      </c>
      <c r="AN82" s="14" t="e">
        <f t="shared" si="38"/>
        <v>#DIV/0!</v>
      </c>
      <c r="AO82" s="14" t="e">
        <f t="shared" si="38"/>
        <v>#DIV/0!</v>
      </c>
      <c r="AP82" s="14" t="e">
        <f t="shared" si="38"/>
        <v>#DIV/0!</v>
      </c>
      <c r="AQ82" s="14" t="e">
        <f t="shared" si="38"/>
        <v>#DIV/0!</v>
      </c>
      <c r="AR82" s="14" t="e">
        <f t="shared" si="38"/>
        <v>#DIV/0!</v>
      </c>
      <c r="AS82" s="14" t="e">
        <f t="shared" si="38"/>
        <v>#DIV/0!</v>
      </c>
      <c r="AT82" s="14" t="e">
        <f t="shared" si="38"/>
        <v>#DIV/0!</v>
      </c>
      <c r="AU82" s="14" t="e">
        <f t="shared" si="38"/>
        <v>#DIV/0!</v>
      </c>
      <c r="AV82" s="14" t="e">
        <f t="shared" si="38"/>
        <v>#DIV/0!</v>
      </c>
      <c r="AW82" s="14" t="e">
        <f t="shared" si="38"/>
        <v>#DIV/0!</v>
      </c>
      <c r="AX82" s="14" t="e">
        <f t="shared" si="38"/>
        <v>#DIV/0!</v>
      </c>
      <c r="AY82" s="14" t="e">
        <f t="shared" si="38"/>
        <v>#DIV/0!</v>
      </c>
      <c r="AZ82" s="14" t="e">
        <f t="shared" si="38"/>
        <v>#DIV/0!</v>
      </c>
      <c r="BA82" s="14" t="e">
        <f t="shared" si="38"/>
        <v>#DIV/0!</v>
      </c>
      <c r="BB82" s="14" t="e">
        <f t="shared" si="38"/>
        <v>#DIV/0!</v>
      </c>
      <c r="BC82" s="14" t="e">
        <f t="shared" si="38"/>
        <v>#DIV/0!</v>
      </c>
      <c r="BD82" s="14" t="e">
        <f t="shared" si="38"/>
        <v>#DIV/0!</v>
      </c>
      <c r="BE82" s="14" t="e">
        <f t="shared" si="38"/>
        <v>#DIV/0!</v>
      </c>
      <c r="BF82" s="14" t="e">
        <f t="shared" si="38"/>
        <v>#DIV/0!</v>
      </c>
      <c r="BG82" s="14" t="e">
        <f t="shared" si="38"/>
        <v>#DIV/0!</v>
      </c>
      <c r="BH82" s="14" t="e">
        <f t="shared" si="38"/>
        <v>#DIV/0!</v>
      </c>
      <c r="BI82" s="14" t="e">
        <f t="shared" si="38"/>
        <v>#DIV/0!</v>
      </c>
      <c r="BJ82" s="14" t="e">
        <f t="shared" si="38"/>
        <v>#DIV/0!</v>
      </c>
      <c r="BK82" s="14" t="e">
        <f t="shared" si="38"/>
        <v>#DIV/0!</v>
      </c>
      <c r="BL82" s="14" t="e">
        <f t="shared" si="38"/>
        <v>#DIV/0!</v>
      </c>
      <c r="BM82" s="14" t="e">
        <f t="shared" si="38"/>
        <v>#DIV/0!</v>
      </c>
      <c r="BN82" s="14" t="e">
        <f t="shared" si="38"/>
        <v>#DIV/0!</v>
      </c>
      <c r="BO82" s="14" t="e">
        <f t="shared" si="38"/>
        <v>#DIV/0!</v>
      </c>
      <c r="BP82" s="14" t="e">
        <f t="shared" si="38"/>
        <v>#DIV/0!</v>
      </c>
      <c r="BQ82" s="14" t="e">
        <f t="shared" si="38"/>
        <v>#DIV/0!</v>
      </c>
      <c r="BR82" s="14" t="e">
        <f t="shared" si="38"/>
        <v>#DIV/0!</v>
      </c>
      <c r="BS82" s="98"/>
    </row>
    <row r="83" spans="1:71" ht="21" hidden="1" customHeight="1" outlineLevel="1" thickBot="1" x14ac:dyDescent="0.4">
      <c r="A83" s="5">
        <f t="shared" si="34"/>
        <v>0</v>
      </c>
      <c r="B83" s="5">
        <f t="shared" si="34"/>
        <v>0</v>
      </c>
      <c r="C83" s="5">
        <f t="shared" si="34"/>
        <v>0</v>
      </c>
      <c r="D83" s="5">
        <f t="shared" si="34"/>
        <v>0</v>
      </c>
      <c r="E83" s="6">
        <f t="shared" si="28"/>
        <v>0</v>
      </c>
      <c r="F83" s="14" t="e">
        <f t="shared" ref="F83" si="39">F7*$C$78</f>
        <v>#DIV/0!</v>
      </c>
      <c r="G83" s="14" t="e">
        <f t="shared" ref="G83:BR83" si="40">G7*$C$78</f>
        <v>#DIV/0!</v>
      </c>
      <c r="H83" s="14" t="e">
        <f t="shared" si="40"/>
        <v>#DIV/0!</v>
      </c>
      <c r="I83" s="14" t="e">
        <f t="shared" si="40"/>
        <v>#DIV/0!</v>
      </c>
      <c r="J83" s="14" t="e">
        <f t="shared" si="40"/>
        <v>#DIV/0!</v>
      </c>
      <c r="K83" s="14" t="e">
        <f t="shared" si="40"/>
        <v>#DIV/0!</v>
      </c>
      <c r="L83" s="14" t="e">
        <f t="shared" si="40"/>
        <v>#DIV/0!</v>
      </c>
      <c r="M83" s="14" t="e">
        <f t="shared" si="40"/>
        <v>#DIV/0!</v>
      </c>
      <c r="N83" s="14" t="e">
        <f t="shared" si="40"/>
        <v>#DIV/0!</v>
      </c>
      <c r="O83" s="14" t="e">
        <f t="shared" si="40"/>
        <v>#DIV/0!</v>
      </c>
      <c r="P83" s="14" t="e">
        <f t="shared" si="40"/>
        <v>#DIV/0!</v>
      </c>
      <c r="Q83" s="14" t="e">
        <f t="shared" si="40"/>
        <v>#DIV/0!</v>
      </c>
      <c r="R83" s="14" t="e">
        <f t="shared" si="40"/>
        <v>#DIV/0!</v>
      </c>
      <c r="S83" s="14" t="e">
        <f t="shared" si="40"/>
        <v>#DIV/0!</v>
      </c>
      <c r="T83" s="14" t="e">
        <f t="shared" si="40"/>
        <v>#DIV/0!</v>
      </c>
      <c r="U83" s="14" t="e">
        <f t="shared" si="40"/>
        <v>#DIV/0!</v>
      </c>
      <c r="V83" s="14" t="e">
        <f t="shared" si="40"/>
        <v>#DIV/0!</v>
      </c>
      <c r="W83" s="14" t="e">
        <f t="shared" si="40"/>
        <v>#DIV/0!</v>
      </c>
      <c r="X83" s="14" t="e">
        <f t="shared" si="40"/>
        <v>#DIV/0!</v>
      </c>
      <c r="Y83" s="14" t="e">
        <f t="shared" si="40"/>
        <v>#DIV/0!</v>
      </c>
      <c r="Z83" s="14" t="e">
        <f t="shared" si="40"/>
        <v>#DIV/0!</v>
      </c>
      <c r="AA83" s="14" t="e">
        <f t="shared" si="40"/>
        <v>#DIV/0!</v>
      </c>
      <c r="AB83" s="14" t="e">
        <f t="shared" si="40"/>
        <v>#DIV/0!</v>
      </c>
      <c r="AC83" s="14" t="e">
        <f t="shared" si="40"/>
        <v>#DIV/0!</v>
      </c>
      <c r="AD83" s="14" t="e">
        <f t="shared" si="40"/>
        <v>#DIV/0!</v>
      </c>
      <c r="AE83" s="14" t="e">
        <f t="shared" si="40"/>
        <v>#DIV/0!</v>
      </c>
      <c r="AF83" s="14" t="e">
        <f t="shared" si="40"/>
        <v>#DIV/0!</v>
      </c>
      <c r="AG83" s="14" t="e">
        <f t="shared" si="40"/>
        <v>#DIV/0!</v>
      </c>
      <c r="AH83" s="14" t="e">
        <f t="shared" si="40"/>
        <v>#DIV/0!</v>
      </c>
      <c r="AI83" s="14" t="e">
        <f t="shared" si="40"/>
        <v>#DIV/0!</v>
      </c>
      <c r="AJ83" s="14" t="e">
        <f t="shared" si="40"/>
        <v>#DIV/0!</v>
      </c>
      <c r="AK83" s="14" t="e">
        <f t="shared" si="40"/>
        <v>#DIV/0!</v>
      </c>
      <c r="AL83" s="14" t="e">
        <f t="shared" si="40"/>
        <v>#DIV/0!</v>
      </c>
      <c r="AM83" s="14" t="e">
        <f t="shared" si="40"/>
        <v>#DIV/0!</v>
      </c>
      <c r="AN83" s="14" t="e">
        <f t="shared" si="40"/>
        <v>#DIV/0!</v>
      </c>
      <c r="AO83" s="14" t="e">
        <f t="shared" si="40"/>
        <v>#DIV/0!</v>
      </c>
      <c r="AP83" s="14" t="e">
        <f t="shared" si="40"/>
        <v>#DIV/0!</v>
      </c>
      <c r="AQ83" s="14" t="e">
        <f t="shared" si="40"/>
        <v>#DIV/0!</v>
      </c>
      <c r="AR83" s="14" t="e">
        <f t="shared" si="40"/>
        <v>#DIV/0!</v>
      </c>
      <c r="AS83" s="14" t="e">
        <f t="shared" si="40"/>
        <v>#DIV/0!</v>
      </c>
      <c r="AT83" s="14" t="e">
        <f t="shared" si="40"/>
        <v>#DIV/0!</v>
      </c>
      <c r="AU83" s="14" t="e">
        <f t="shared" si="40"/>
        <v>#DIV/0!</v>
      </c>
      <c r="AV83" s="14" t="e">
        <f t="shared" si="40"/>
        <v>#DIV/0!</v>
      </c>
      <c r="AW83" s="14" t="e">
        <f t="shared" si="40"/>
        <v>#DIV/0!</v>
      </c>
      <c r="AX83" s="14" t="e">
        <f t="shared" si="40"/>
        <v>#DIV/0!</v>
      </c>
      <c r="AY83" s="14" t="e">
        <f t="shared" si="40"/>
        <v>#DIV/0!</v>
      </c>
      <c r="AZ83" s="14" t="e">
        <f t="shared" si="40"/>
        <v>#DIV/0!</v>
      </c>
      <c r="BA83" s="14" t="e">
        <f t="shared" si="40"/>
        <v>#DIV/0!</v>
      </c>
      <c r="BB83" s="14" t="e">
        <f t="shared" si="40"/>
        <v>#DIV/0!</v>
      </c>
      <c r="BC83" s="14" t="e">
        <f t="shared" si="40"/>
        <v>#DIV/0!</v>
      </c>
      <c r="BD83" s="14" t="e">
        <f t="shared" si="40"/>
        <v>#DIV/0!</v>
      </c>
      <c r="BE83" s="14" t="e">
        <f t="shared" si="40"/>
        <v>#DIV/0!</v>
      </c>
      <c r="BF83" s="14" t="e">
        <f t="shared" si="40"/>
        <v>#DIV/0!</v>
      </c>
      <c r="BG83" s="14" t="e">
        <f t="shared" si="40"/>
        <v>#DIV/0!</v>
      </c>
      <c r="BH83" s="14" t="e">
        <f t="shared" si="40"/>
        <v>#DIV/0!</v>
      </c>
      <c r="BI83" s="14" t="e">
        <f t="shared" si="40"/>
        <v>#DIV/0!</v>
      </c>
      <c r="BJ83" s="14" t="e">
        <f t="shared" si="40"/>
        <v>#DIV/0!</v>
      </c>
      <c r="BK83" s="14" t="e">
        <f t="shared" si="40"/>
        <v>#DIV/0!</v>
      </c>
      <c r="BL83" s="14" t="e">
        <f t="shared" si="40"/>
        <v>#DIV/0!</v>
      </c>
      <c r="BM83" s="14" t="e">
        <f t="shared" si="40"/>
        <v>#DIV/0!</v>
      </c>
      <c r="BN83" s="14" t="e">
        <f t="shared" si="40"/>
        <v>#DIV/0!</v>
      </c>
      <c r="BO83" s="14" t="e">
        <f t="shared" si="40"/>
        <v>#DIV/0!</v>
      </c>
      <c r="BP83" s="14" t="e">
        <f t="shared" si="40"/>
        <v>#DIV/0!</v>
      </c>
      <c r="BQ83" s="14" t="e">
        <f t="shared" si="40"/>
        <v>#DIV/0!</v>
      </c>
      <c r="BR83" s="14" t="e">
        <f t="shared" si="40"/>
        <v>#DIV/0!</v>
      </c>
      <c r="BS83" s="98"/>
    </row>
    <row r="84" spans="1:71" ht="21" hidden="1" customHeight="1" outlineLevel="1" thickBot="1" x14ac:dyDescent="0.4">
      <c r="A84" s="5">
        <f t="shared" si="34"/>
        <v>0</v>
      </c>
      <c r="B84" s="5">
        <f t="shared" si="34"/>
        <v>0</v>
      </c>
      <c r="C84" s="5">
        <f t="shared" si="34"/>
        <v>0</v>
      </c>
      <c r="D84" s="5">
        <f t="shared" si="34"/>
        <v>0</v>
      </c>
      <c r="E84" s="6">
        <f t="shared" si="28"/>
        <v>0</v>
      </c>
      <c r="F84" s="14" t="e">
        <f t="shared" ref="F84" si="41">F8*$C$78</f>
        <v>#DIV/0!</v>
      </c>
      <c r="G84" s="14" t="e">
        <f t="shared" ref="G84:BR84" si="42">G8*$C$78</f>
        <v>#DIV/0!</v>
      </c>
      <c r="H84" s="14" t="e">
        <f t="shared" si="42"/>
        <v>#DIV/0!</v>
      </c>
      <c r="I84" s="14" t="e">
        <f t="shared" si="42"/>
        <v>#DIV/0!</v>
      </c>
      <c r="J84" s="14" t="e">
        <f t="shared" si="42"/>
        <v>#DIV/0!</v>
      </c>
      <c r="K84" s="14" t="e">
        <f t="shared" si="42"/>
        <v>#DIV/0!</v>
      </c>
      <c r="L84" s="14" t="e">
        <f t="shared" si="42"/>
        <v>#DIV/0!</v>
      </c>
      <c r="M84" s="14" t="e">
        <f t="shared" si="42"/>
        <v>#DIV/0!</v>
      </c>
      <c r="N84" s="14" t="e">
        <f t="shared" si="42"/>
        <v>#DIV/0!</v>
      </c>
      <c r="O84" s="14" t="e">
        <f t="shared" si="42"/>
        <v>#DIV/0!</v>
      </c>
      <c r="P84" s="14" t="e">
        <f t="shared" si="42"/>
        <v>#DIV/0!</v>
      </c>
      <c r="Q84" s="14" t="e">
        <f t="shared" si="42"/>
        <v>#DIV/0!</v>
      </c>
      <c r="R84" s="14" t="e">
        <f t="shared" si="42"/>
        <v>#DIV/0!</v>
      </c>
      <c r="S84" s="14" t="e">
        <f t="shared" si="42"/>
        <v>#DIV/0!</v>
      </c>
      <c r="T84" s="14" t="e">
        <f t="shared" si="42"/>
        <v>#DIV/0!</v>
      </c>
      <c r="U84" s="14" t="e">
        <f t="shared" si="42"/>
        <v>#DIV/0!</v>
      </c>
      <c r="V84" s="14" t="e">
        <f t="shared" si="42"/>
        <v>#DIV/0!</v>
      </c>
      <c r="W84" s="14" t="e">
        <f t="shared" si="42"/>
        <v>#DIV/0!</v>
      </c>
      <c r="X84" s="14" t="e">
        <f t="shared" si="42"/>
        <v>#DIV/0!</v>
      </c>
      <c r="Y84" s="14" t="e">
        <f t="shared" si="42"/>
        <v>#DIV/0!</v>
      </c>
      <c r="Z84" s="14" t="e">
        <f t="shared" si="42"/>
        <v>#DIV/0!</v>
      </c>
      <c r="AA84" s="14" t="e">
        <f t="shared" si="42"/>
        <v>#DIV/0!</v>
      </c>
      <c r="AB84" s="14" t="e">
        <f t="shared" si="42"/>
        <v>#DIV/0!</v>
      </c>
      <c r="AC84" s="14" t="e">
        <f t="shared" si="42"/>
        <v>#DIV/0!</v>
      </c>
      <c r="AD84" s="14" t="e">
        <f t="shared" si="42"/>
        <v>#DIV/0!</v>
      </c>
      <c r="AE84" s="14" t="e">
        <f t="shared" si="42"/>
        <v>#DIV/0!</v>
      </c>
      <c r="AF84" s="14" t="e">
        <f t="shared" si="42"/>
        <v>#DIV/0!</v>
      </c>
      <c r="AG84" s="14" t="e">
        <f t="shared" si="42"/>
        <v>#DIV/0!</v>
      </c>
      <c r="AH84" s="14" t="e">
        <f t="shared" si="42"/>
        <v>#DIV/0!</v>
      </c>
      <c r="AI84" s="14" t="e">
        <f t="shared" si="42"/>
        <v>#DIV/0!</v>
      </c>
      <c r="AJ84" s="14" t="e">
        <f t="shared" si="42"/>
        <v>#DIV/0!</v>
      </c>
      <c r="AK84" s="14" t="e">
        <f t="shared" si="42"/>
        <v>#DIV/0!</v>
      </c>
      <c r="AL84" s="14" t="e">
        <f t="shared" si="42"/>
        <v>#DIV/0!</v>
      </c>
      <c r="AM84" s="14" t="e">
        <f t="shared" si="42"/>
        <v>#DIV/0!</v>
      </c>
      <c r="AN84" s="14" t="e">
        <f t="shared" si="42"/>
        <v>#DIV/0!</v>
      </c>
      <c r="AO84" s="14" t="e">
        <f t="shared" si="42"/>
        <v>#DIV/0!</v>
      </c>
      <c r="AP84" s="14" t="e">
        <f t="shared" si="42"/>
        <v>#DIV/0!</v>
      </c>
      <c r="AQ84" s="14" t="e">
        <f t="shared" si="42"/>
        <v>#DIV/0!</v>
      </c>
      <c r="AR84" s="14" t="e">
        <f t="shared" si="42"/>
        <v>#DIV/0!</v>
      </c>
      <c r="AS84" s="14" t="e">
        <f t="shared" si="42"/>
        <v>#DIV/0!</v>
      </c>
      <c r="AT84" s="14" t="e">
        <f t="shared" si="42"/>
        <v>#DIV/0!</v>
      </c>
      <c r="AU84" s="14" t="e">
        <f t="shared" si="42"/>
        <v>#DIV/0!</v>
      </c>
      <c r="AV84" s="14" t="e">
        <f t="shared" si="42"/>
        <v>#DIV/0!</v>
      </c>
      <c r="AW84" s="14" t="e">
        <f t="shared" si="42"/>
        <v>#DIV/0!</v>
      </c>
      <c r="AX84" s="14" t="e">
        <f t="shared" si="42"/>
        <v>#DIV/0!</v>
      </c>
      <c r="AY84" s="14" t="e">
        <f t="shared" si="42"/>
        <v>#DIV/0!</v>
      </c>
      <c r="AZ84" s="14" t="e">
        <f t="shared" si="42"/>
        <v>#DIV/0!</v>
      </c>
      <c r="BA84" s="14" t="e">
        <f t="shared" si="42"/>
        <v>#DIV/0!</v>
      </c>
      <c r="BB84" s="14" t="e">
        <f t="shared" si="42"/>
        <v>#DIV/0!</v>
      </c>
      <c r="BC84" s="14" t="e">
        <f t="shared" si="42"/>
        <v>#DIV/0!</v>
      </c>
      <c r="BD84" s="14" t="e">
        <f t="shared" si="42"/>
        <v>#DIV/0!</v>
      </c>
      <c r="BE84" s="14" t="e">
        <f t="shared" si="42"/>
        <v>#DIV/0!</v>
      </c>
      <c r="BF84" s="14" t="e">
        <f t="shared" si="42"/>
        <v>#DIV/0!</v>
      </c>
      <c r="BG84" s="14" t="e">
        <f t="shared" si="42"/>
        <v>#DIV/0!</v>
      </c>
      <c r="BH84" s="14" t="e">
        <f t="shared" si="42"/>
        <v>#DIV/0!</v>
      </c>
      <c r="BI84" s="14" t="e">
        <f t="shared" si="42"/>
        <v>#DIV/0!</v>
      </c>
      <c r="BJ84" s="14" t="e">
        <f t="shared" si="42"/>
        <v>#DIV/0!</v>
      </c>
      <c r="BK84" s="14" t="e">
        <f t="shared" si="42"/>
        <v>#DIV/0!</v>
      </c>
      <c r="BL84" s="14" t="e">
        <f t="shared" si="42"/>
        <v>#DIV/0!</v>
      </c>
      <c r="BM84" s="14" t="e">
        <f t="shared" si="42"/>
        <v>#DIV/0!</v>
      </c>
      <c r="BN84" s="14" t="e">
        <f t="shared" si="42"/>
        <v>#DIV/0!</v>
      </c>
      <c r="BO84" s="14" t="e">
        <f t="shared" si="42"/>
        <v>#DIV/0!</v>
      </c>
      <c r="BP84" s="14" t="e">
        <f t="shared" si="42"/>
        <v>#DIV/0!</v>
      </c>
      <c r="BQ84" s="14" t="e">
        <f t="shared" si="42"/>
        <v>#DIV/0!</v>
      </c>
      <c r="BR84" s="14" t="e">
        <f t="shared" si="42"/>
        <v>#DIV/0!</v>
      </c>
      <c r="BS84" s="98"/>
    </row>
    <row r="85" spans="1:71" ht="21" hidden="1" customHeight="1" outlineLevel="1" thickBot="1" x14ac:dyDescent="0.4">
      <c r="A85" s="5">
        <f t="shared" si="34"/>
        <v>0</v>
      </c>
      <c r="B85" s="5">
        <f t="shared" si="34"/>
        <v>0</v>
      </c>
      <c r="C85" s="5">
        <f t="shared" si="34"/>
        <v>0</v>
      </c>
      <c r="D85" s="5">
        <f t="shared" si="34"/>
        <v>0</v>
      </c>
      <c r="E85" s="6">
        <f t="shared" si="28"/>
        <v>0</v>
      </c>
      <c r="F85" s="14" t="e">
        <f t="shared" ref="F85" si="43">F9*$C$78</f>
        <v>#DIV/0!</v>
      </c>
      <c r="G85" s="14" t="e">
        <f t="shared" ref="G85:BR85" si="44">G9*$C$78</f>
        <v>#DIV/0!</v>
      </c>
      <c r="H85" s="14" t="e">
        <f t="shared" si="44"/>
        <v>#DIV/0!</v>
      </c>
      <c r="I85" s="14" t="e">
        <f t="shared" si="44"/>
        <v>#DIV/0!</v>
      </c>
      <c r="J85" s="14" t="e">
        <f t="shared" si="44"/>
        <v>#DIV/0!</v>
      </c>
      <c r="K85" s="14" t="e">
        <f t="shared" si="44"/>
        <v>#DIV/0!</v>
      </c>
      <c r="L85" s="14" t="e">
        <f t="shared" si="44"/>
        <v>#DIV/0!</v>
      </c>
      <c r="M85" s="14" t="e">
        <f t="shared" si="44"/>
        <v>#DIV/0!</v>
      </c>
      <c r="N85" s="14" t="e">
        <f t="shared" si="44"/>
        <v>#DIV/0!</v>
      </c>
      <c r="O85" s="14" t="e">
        <f t="shared" si="44"/>
        <v>#DIV/0!</v>
      </c>
      <c r="P85" s="14" t="e">
        <f t="shared" si="44"/>
        <v>#DIV/0!</v>
      </c>
      <c r="Q85" s="14" t="e">
        <f t="shared" si="44"/>
        <v>#DIV/0!</v>
      </c>
      <c r="R85" s="14" t="e">
        <f t="shared" si="44"/>
        <v>#DIV/0!</v>
      </c>
      <c r="S85" s="14" t="e">
        <f t="shared" si="44"/>
        <v>#DIV/0!</v>
      </c>
      <c r="T85" s="14" t="e">
        <f t="shared" si="44"/>
        <v>#DIV/0!</v>
      </c>
      <c r="U85" s="14" t="e">
        <f t="shared" si="44"/>
        <v>#DIV/0!</v>
      </c>
      <c r="V85" s="14" t="e">
        <f t="shared" si="44"/>
        <v>#DIV/0!</v>
      </c>
      <c r="W85" s="14" t="e">
        <f t="shared" si="44"/>
        <v>#DIV/0!</v>
      </c>
      <c r="X85" s="14" t="e">
        <f t="shared" si="44"/>
        <v>#DIV/0!</v>
      </c>
      <c r="Y85" s="14" t="e">
        <f t="shared" si="44"/>
        <v>#DIV/0!</v>
      </c>
      <c r="Z85" s="14" t="e">
        <f t="shared" si="44"/>
        <v>#DIV/0!</v>
      </c>
      <c r="AA85" s="14" t="e">
        <f t="shared" si="44"/>
        <v>#DIV/0!</v>
      </c>
      <c r="AB85" s="14" t="e">
        <f t="shared" si="44"/>
        <v>#DIV/0!</v>
      </c>
      <c r="AC85" s="14" t="e">
        <f t="shared" si="44"/>
        <v>#DIV/0!</v>
      </c>
      <c r="AD85" s="14" t="e">
        <f t="shared" si="44"/>
        <v>#DIV/0!</v>
      </c>
      <c r="AE85" s="14" t="e">
        <f t="shared" si="44"/>
        <v>#DIV/0!</v>
      </c>
      <c r="AF85" s="14" t="e">
        <f t="shared" si="44"/>
        <v>#DIV/0!</v>
      </c>
      <c r="AG85" s="14" t="e">
        <f t="shared" si="44"/>
        <v>#DIV/0!</v>
      </c>
      <c r="AH85" s="14" t="e">
        <f t="shared" si="44"/>
        <v>#DIV/0!</v>
      </c>
      <c r="AI85" s="14" t="e">
        <f t="shared" si="44"/>
        <v>#DIV/0!</v>
      </c>
      <c r="AJ85" s="14" t="e">
        <f t="shared" si="44"/>
        <v>#DIV/0!</v>
      </c>
      <c r="AK85" s="14" t="e">
        <f t="shared" si="44"/>
        <v>#DIV/0!</v>
      </c>
      <c r="AL85" s="14" t="e">
        <f t="shared" si="44"/>
        <v>#DIV/0!</v>
      </c>
      <c r="AM85" s="14" t="e">
        <f t="shared" si="44"/>
        <v>#DIV/0!</v>
      </c>
      <c r="AN85" s="14" t="e">
        <f t="shared" si="44"/>
        <v>#DIV/0!</v>
      </c>
      <c r="AO85" s="14" t="e">
        <f t="shared" si="44"/>
        <v>#DIV/0!</v>
      </c>
      <c r="AP85" s="14" t="e">
        <f t="shared" si="44"/>
        <v>#DIV/0!</v>
      </c>
      <c r="AQ85" s="14" t="e">
        <f t="shared" si="44"/>
        <v>#DIV/0!</v>
      </c>
      <c r="AR85" s="14" t="e">
        <f t="shared" si="44"/>
        <v>#DIV/0!</v>
      </c>
      <c r="AS85" s="14" t="e">
        <f t="shared" si="44"/>
        <v>#DIV/0!</v>
      </c>
      <c r="AT85" s="14" t="e">
        <f t="shared" si="44"/>
        <v>#DIV/0!</v>
      </c>
      <c r="AU85" s="14" t="e">
        <f t="shared" si="44"/>
        <v>#DIV/0!</v>
      </c>
      <c r="AV85" s="14" t="e">
        <f t="shared" si="44"/>
        <v>#DIV/0!</v>
      </c>
      <c r="AW85" s="14" t="e">
        <f t="shared" si="44"/>
        <v>#DIV/0!</v>
      </c>
      <c r="AX85" s="14" t="e">
        <f t="shared" si="44"/>
        <v>#DIV/0!</v>
      </c>
      <c r="AY85" s="14" t="e">
        <f t="shared" si="44"/>
        <v>#DIV/0!</v>
      </c>
      <c r="AZ85" s="14" t="e">
        <f t="shared" si="44"/>
        <v>#DIV/0!</v>
      </c>
      <c r="BA85" s="14" t="e">
        <f t="shared" si="44"/>
        <v>#DIV/0!</v>
      </c>
      <c r="BB85" s="14" t="e">
        <f t="shared" si="44"/>
        <v>#DIV/0!</v>
      </c>
      <c r="BC85" s="14" t="e">
        <f t="shared" si="44"/>
        <v>#DIV/0!</v>
      </c>
      <c r="BD85" s="14" t="e">
        <f t="shared" si="44"/>
        <v>#DIV/0!</v>
      </c>
      <c r="BE85" s="14" t="e">
        <f t="shared" si="44"/>
        <v>#DIV/0!</v>
      </c>
      <c r="BF85" s="14" t="e">
        <f t="shared" si="44"/>
        <v>#DIV/0!</v>
      </c>
      <c r="BG85" s="14" t="e">
        <f t="shared" si="44"/>
        <v>#DIV/0!</v>
      </c>
      <c r="BH85" s="14" t="e">
        <f t="shared" si="44"/>
        <v>#DIV/0!</v>
      </c>
      <c r="BI85" s="14" t="e">
        <f t="shared" si="44"/>
        <v>#DIV/0!</v>
      </c>
      <c r="BJ85" s="14" t="e">
        <f t="shared" si="44"/>
        <v>#DIV/0!</v>
      </c>
      <c r="BK85" s="14" t="e">
        <f t="shared" si="44"/>
        <v>#DIV/0!</v>
      </c>
      <c r="BL85" s="14" t="e">
        <f t="shared" si="44"/>
        <v>#DIV/0!</v>
      </c>
      <c r="BM85" s="14" t="e">
        <f t="shared" si="44"/>
        <v>#DIV/0!</v>
      </c>
      <c r="BN85" s="14" t="e">
        <f t="shared" si="44"/>
        <v>#DIV/0!</v>
      </c>
      <c r="BO85" s="14" t="e">
        <f t="shared" si="44"/>
        <v>#DIV/0!</v>
      </c>
      <c r="BP85" s="14" t="e">
        <f t="shared" si="44"/>
        <v>#DIV/0!</v>
      </c>
      <c r="BQ85" s="14" t="e">
        <f t="shared" si="44"/>
        <v>#DIV/0!</v>
      </c>
      <c r="BR85" s="14" t="e">
        <f t="shared" si="44"/>
        <v>#DIV/0!</v>
      </c>
      <c r="BS85" s="98"/>
    </row>
    <row r="86" spans="1:71" ht="21" hidden="1" customHeight="1" outlineLevel="1" thickBot="1" x14ac:dyDescent="0.4">
      <c r="A86" s="5">
        <f t="shared" si="34"/>
        <v>0</v>
      </c>
      <c r="B86" s="5">
        <f t="shared" si="34"/>
        <v>0</v>
      </c>
      <c r="C86" s="5">
        <f t="shared" si="34"/>
        <v>0</v>
      </c>
      <c r="D86" s="5">
        <f t="shared" si="34"/>
        <v>0</v>
      </c>
      <c r="E86" s="6">
        <f t="shared" si="28"/>
        <v>0</v>
      </c>
      <c r="F86" s="14" t="e">
        <f t="shared" ref="F86" si="45">F10*$C$78</f>
        <v>#DIV/0!</v>
      </c>
      <c r="G86" s="14" t="e">
        <f t="shared" ref="G86:BR86" si="46">G10*$C$78</f>
        <v>#DIV/0!</v>
      </c>
      <c r="H86" s="14" t="e">
        <f t="shared" si="46"/>
        <v>#DIV/0!</v>
      </c>
      <c r="I86" s="14" t="e">
        <f t="shared" si="46"/>
        <v>#DIV/0!</v>
      </c>
      <c r="J86" s="14" t="e">
        <f t="shared" si="46"/>
        <v>#DIV/0!</v>
      </c>
      <c r="K86" s="14" t="e">
        <f t="shared" si="46"/>
        <v>#DIV/0!</v>
      </c>
      <c r="L86" s="14" t="e">
        <f t="shared" si="46"/>
        <v>#DIV/0!</v>
      </c>
      <c r="M86" s="14" t="e">
        <f t="shared" si="46"/>
        <v>#DIV/0!</v>
      </c>
      <c r="N86" s="14" t="e">
        <f t="shared" si="46"/>
        <v>#DIV/0!</v>
      </c>
      <c r="O86" s="14" t="e">
        <f t="shared" si="46"/>
        <v>#DIV/0!</v>
      </c>
      <c r="P86" s="14" t="e">
        <f t="shared" si="46"/>
        <v>#DIV/0!</v>
      </c>
      <c r="Q86" s="14" t="e">
        <f t="shared" si="46"/>
        <v>#DIV/0!</v>
      </c>
      <c r="R86" s="14" t="e">
        <f t="shared" si="46"/>
        <v>#DIV/0!</v>
      </c>
      <c r="S86" s="14" t="e">
        <f t="shared" si="46"/>
        <v>#DIV/0!</v>
      </c>
      <c r="T86" s="14" t="e">
        <f t="shared" si="46"/>
        <v>#DIV/0!</v>
      </c>
      <c r="U86" s="14" t="e">
        <f t="shared" si="46"/>
        <v>#DIV/0!</v>
      </c>
      <c r="V86" s="14" t="e">
        <f t="shared" si="46"/>
        <v>#DIV/0!</v>
      </c>
      <c r="W86" s="14" t="e">
        <f t="shared" si="46"/>
        <v>#DIV/0!</v>
      </c>
      <c r="X86" s="14" t="e">
        <f t="shared" si="46"/>
        <v>#DIV/0!</v>
      </c>
      <c r="Y86" s="14" t="e">
        <f t="shared" si="46"/>
        <v>#DIV/0!</v>
      </c>
      <c r="Z86" s="14" t="e">
        <f t="shared" si="46"/>
        <v>#DIV/0!</v>
      </c>
      <c r="AA86" s="14" t="e">
        <f t="shared" si="46"/>
        <v>#DIV/0!</v>
      </c>
      <c r="AB86" s="14" t="e">
        <f t="shared" si="46"/>
        <v>#DIV/0!</v>
      </c>
      <c r="AC86" s="14" t="e">
        <f t="shared" si="46"/>
        <v>#DIV/0!</v>
      </c>
      <c r="AD86" s="14" t="e">
        <f t="shared" si="46"/>
        <v>#DIV/0!</v>
      </c>
      <c r="AE86" s="14" t="e">
        <f t="shared" si="46"/>
        <v>#DIV/0!</v>
      </c>
      <c r="AF86" s="14" t="e">
        <f t="shared" si="46"/>
        <v>#DIV/0!</v>
      </c>
      <c r="AG86" s="14" t="e">
        <f t="shared" si="46"/>
        <v>#DIV/0!</v>
      </c>
      <c r="AH86" s="14" t="e">
        <f t="shared" si="46"/>
        <v>#DIV/0!</v>
      </c>
      <c r="AI86" s="14" t="e">
        <f t="shared" si="46"/>
        <v>#DIV/0!</v>
      </c>
      <c r="AJ86" s="14" t="e">
        <f t="shared" si="46"/>
        <v>#DIV/0!</v>
      </c>
      <c r="AK86" s="14" t="e">
        <f t="shared" si="46"/>
        <v>#DIV/0!</v>
      </c>
      <c r="AL86" s="14" t="e">
        <f t="shared" si="46"/>
        <v>#DIV/0!</v>
      </c>
      <c r="AM86" s="14" t="e">
        <f t="shared" si="46"/>
        <v>#DIV/0!</v>
      </c>
      <c r="AN86" s="14" t="e">
        <f t="shared" si="46"/>
        <v>#DIV/0!</v>
      </c>
      <c r="AO86" s="14" t="e">
        <f t="shared" si="46"/>
        <v>#DIV/0!</v>
      </c>
      <c r="AP86" s="14" t="e">
        <f t="shared" si="46"/>
        <v>#DIV/0!</v>
      </c>
      <c r="AQ86" s="14" t="e">
        <f t="shared" si="46"/>
        <v>#DIV/0!</v>
      </c>
      <c r="AR86" s="14" t="e">
        <f t="shared" si="46"/>
        <v>#DIV/0!</v>
      </c>
      <c r="AS86" s="14" t="e">
        <f t="shared" si="46"/>
        <v>#DIV/0!</v>
      </c>
      <c r="AT86" s="14" t="e">
        <f t="shared" si="46"/>
        <v>#DIV/0!</v>
      </c>
      <c r="AU86" s="14" t="e">
        <f t="shared" si="46"/>
        <v>#DIV/0!</v>
      </c>
      <c r="AV86" s="14" t="e">
        <f t="shared" si="46"/>
        <v>#DIV/0!</v>
      </c>
      <c r="AW86" s="14" t="e">
        <f t="shared" si="46"/>
        <v>#DIV/0!</v>
      </c>
      <c r="AX86" s="14" t="e">
        <f t="shared" si="46"/>
        <v>#DIV/0!</v>
      </c>
      <c r="AY86" s="14" t="e">
        <f t="shared" si="46"/>
        <v>#DIV/0!</v>
      </c>
      <c r="AZ86" s="14" t="e">
        <f t="shared" si="46"/>
        <v>#DIV/0!</v>
      </c>
      <c r="BA86" s="14" t="e">
        <f t="shared" si="46"/>
        <v>#DIV/0!</v>
      </c>
      <c r="BB86" s="14" t="e">
        <f t="shared" si="46"/>
        <v>#DIV/0!</v>
      </c>
      <c r="BC86" s="14" t="e">
        <f t="shared" si="46"/>
        <v>#DIV/0!</v>
      </c>
      <c r="BD86" s="14" t="e">
        <f t="shared" si="46"/>
        <v>#DIV/0!</v>
      </c>
      <c r="BE86" s="14" t="e">
        <f t="shared" si="46"/>
        <v>#DIV/0!</v>
      </c>
      <c r="BF86" s="14" t="e">
        <f t="shared" si="46"/>
        <v>#DIV/0!</v>
      </c>
      <c r="BG86" s="14" t="e">
        <f t="shared" si="46"/>
        <v>#DIV/0!</v>
      </c>
      <c r="BH86" s="14" t="e">
        <f t="shared" si="46"/>
        <v>#DIV/0!</v>
      </c>
      <c r="BI86" s="14" t="e">
        <f t="shared" si="46"/>
        <v>#DIV/0!</v>
      </c>
      <c r="BJ86" s="14" t="e">
        <f t="shared" si="46"/>
        <v>#DIV/0!</v>
      </c>
      <c r="BK86" s="14" t="e">
        <f t="shared" si="46"/>
        <v>#DIV/0!</v>
      </c>
      <c r="BL86" s="14" t="e">
        <f t="shared" si="46"/>
        <v>#DIV/0!</v>
      </c>
      <c r="BM86" s="14" t="e">
        <f t="shared" si="46"/>
        <v>#DIV/0!</v>
      </c>
      <c r="BN86" s="14" t="e">
        <f t="shared" si="46"/>
        <v>#DIV/0!</v>
      </c>
      <c r="BO86" s="14" t="e">
        <f t="shared" si="46"/>
        <v>#DIV/0!</v>
      </c>
      <c r="BP86" s="14" t="e">
        <f t="shared" si="46"/>
        <v>#DIV/0!</v>
      </c>
      <c r="BQ86" s="14" t="e">
        <f t="shared" si="46"/>
        <v>#DIV/0!</v>
      </c>
      <c r="BR86" s="14" t="e">
        <f t="shared" si="46"/>
        <v>#DIV/0!</v>
      </c>
      <c r="BS86" s="98"/>
    </row>
    <row r="87" spans="1:71" ht="21" hidden="1" customHeight="1" outlineLevel="1" thickBot="1" x14ac:dyDescent="0.4">
      <c r="A87" s="5">
        <f t="shared" si="34"/>
        <v>0</v>
      </c>
      <c r="B87" s="5">
        <f t="shared" si="34"/>
        <v>0</v>
      </c>
      <c r="C87" s="5">
        <f t="shared" si="34"/>
        <v>0</v>
      </c>
      <c r="D87" s="5">
        <f t="shared" si="34"/>
        <v>0</v>
      </c>
      <c r="E87" s="6">
        <f t="shared" si="28"/>
        <v>0</v>
      </c>
      <c r="F87" s="14" t="e">
        <f t="shared" ref="F87" si="47">F11*$C$78</f>
        <v>#DIV/0!</v>
      </c>
      <c r="G87" s="14" t="e">
        <f t="shared" ref="G87:BR87" si="48">G11*$C$78</f>
        <v>#DIV/0!</v>
      </c>
      <c r="H87" s="14" t="e">
        <f t="shared" si="48"/>
        <v>#DIV/0!</v>
      </c>
      <c r="I87" s="14" t="e">
        <f t="shared" si="48"/>
        <v>#DIV/0!</v>
      </c>
      <c r="J87" s="14" t="e">
        <f t="shared" si="48"/>
        <v>#DIV/0!</v>
      </c>
      <c r="K87" s="14" t="e">
        <f t="shared" si="48"/>
        <v>#DIV/0!</v>
      </c>
      <c r="L87" s="14" t="e">
        <f t="shared" si="48"/>
        <v>#DIV/0!</v>
      </c>
      <c r="M87" s="14" t="e">
        <f t="shared" si="48"/>
        <v>#DIV/0!</v>
      </c>
      <c r="N87" s="14" t="e">
        <f t="shared" si="48"/>
        <v>#DIV/0!</v>
      </c>
      <c r="O87" s="14" t="e">
        <f t="shared" si="48"/>
        <v>#DIV/0!</v>
      </c>
      <c r="P87" s="14" t="e">
        <f t="shared" si="48"/>
        <v>#DIV/0!</v>
      </c>
      <c r="Q87" s="14" t="e">
        <f t="shared" si="48"/>
        <v>#DIV/0!</v>
      </c>
      <c r="R87" s="14" t="e">
        <f t="shared" si="48"/>
        <v>#DIV/0!</v>
      </c>
      <c r="S87" s="14" t="e">
        <f t="shared" si="48"/>
        <v>#DIV/0!</v>
      </c>
      <c r="T87" s="14" t="e">
        <f t="shared" si="48"/>
        <v>#DIV/0!</v>
      </c>
      <c r="U87" s="14" t="e">
        <f t="shared" si="48"/>
        <v>#DIV/0!</v>
      </c>
      <c r="V87" s="14" t="e">
        <f t="shared" si="48"/>
        <v>#DIV/0!</v>
      </c>
      <c r="W87" s="14" t="e">
        <f t="shared" si="48"/>
        <v>#DIV/0!</v>
      </c>
      <c r="X87" s="14" t="e">
        <f t="shared" si="48"/>
        <v>#DIV/0!</v>
      </c>
      <c r="Y87" s="14" t="e">
        <f t="shared" si="48"/>
        <v>#DIV/0!</v>
      </c>
      <c r="Z87" s="14" t="e">
        <f t="shared" si="48"/>
        <v>#DIV/0!</v>
      </c>
      <c r="AA87" s="14" t="e">
        <f t="shared" si="48"/>
        <v>#DIV/0!</v>
      </c>
      <c r="AB87" s="14" t="e">
        <f t="shared" si="48"/>
        <v>#DIV/0!</v>
      </c>
      <c r="AC87" s="14" t="e">
        <f t="shared" si="48"/>
        <v>#DIV/0!</v>
      </c>
      <c r="AD87" s="14" t="e">
        <f t="shared" si="48"/>
        <v>#DIV/0!</v>
      </c>
      <c r="AE87" s="14" t="e">
        <f t="shared" si="48"/>
        <v>#DIV/0!</v>
      </c>
      <c r="AF87" s="14" t="e">
        <f t="shared" si="48"/>
        <v>#DIV/0!</v>
      </c>
      <c r="AG87" s="14" t="e">
        <f t="shared" si="48"/>
        <v>#DIV/0!</v>
      </c>
      <c r="AH87" s="14" t="e">
        <f t="shared" si="48"/>
        <v>#DIV/0!</v>
      </c>
      <c r="AI87" s="14" t="e">
        <f t="shared" si="48"/>
        <v>#DIV/0!</v>
      </c>
      <c r="AJ87" s="14" t="e">
        <f t="shared" si="48"/>
        <v>#DIV/0!</v>
      </c>
      <c r="AK87" s="14" t="e">
        <f t="shared" si="48"/>
        <v>#DIV/0!</v>
      </c>
      <c r="AL87" s="14" t="e">
        <f t="shared" si="48"/>
        <v>#DIV/0!</v>
      </c>
      <c r="AM87" s="14" t="e">
        <f t="shared" si="48"/>
        <v>#DIV/0!</v>
      </c>
      <c r="AN87" s="14" t="e">
        <f t="shared" si="48"/>
        <v>#DIV/0!</v>
      </c>
      <c r="AO87" s="14" t="e">
        <f t="shared" si="48"/>
        <v>#DIV/0!</v>
      </c>
      <c r="AP87" s="14" t="e">
        <f t="shared" si="48"/>
        <v>#DIV/0!</v>
      </c>
      <c r="AQ87" s="14" t="e">
        <f t="shared" si="48"/>
        <v>#DIV/0!</v>
      </c>
      <c r="AR87" s="14" t="e">
        <f t="shared" si="48"/>
        <v>#DIV/0!</v>
      </c>
      <c r="AS87" s="14" t="e">
        <f t="shared" si="48"/>
        <v>#DIV/0!</v>
      </c>
      <c r="AT87" s="14" t="e">
        <f t="shared" si="48"/>
        <v>#DIV/0!</v>
      </c>
      <c r="AU87" s="14" t="e">
        <f t="shared" si="48"/>
        <v>#DIV/0!</v>
      </c>
      <c r="AV87" s="14" t="e">
        <f t="shared" si="48"/>
        <v>#DIV/0!</v>
      </c>
      <c r="AW87" s="14" t="e">
        <f t="shared" si="48"/>
        <v>#DIV/0!</v>
      </c>
      <c r="AX87" s="14" t="e">
        <f t="shared" si="48"/>
        <v>#DIV/0!</v>
      </c>
      <c r="AY87" s="14" t="e">
        <f t="shared" si="48"/>
        <v>#DIV/0!</v>
      </c>
      <c r="AZ87" s="14" t="e">
        <f t="shared" si="48"/>
        <v>#DIV/0!</v>
      </c>
      <c r="BA87" s="14" t="e">
        <f t="shared" si="48"/>
        <v>#DIV/0!</v>
      </c>
      <c r="BB87" s="14" t="e">
        <f t="shared" si="48"/>
        <v>#DIV/0!</v>
      </c>
      <c r="BC87" s="14" t="e">
        <f t="shared" si="48"/>
        <v>#DIV/0!</v>
      </c>
      <c r="BD87" s="14" t="e">
        <f t="shared" si="48"/>
        <v>#DIV/0!</v>
      </c>
      <c r="BE87" s="14" t="e">
        <f t="shared" si="48"/>
        <v>#DIV/0!</v>
      </c>
      <c r="BF87" s="14" t="e">
        <f t="shared" si="48"/>
        <v>#DIV/0!</v>
      </c>
      <c r="BG87" s="14" t="e">
        <f t="shared" si="48"/>
        <v>#DIV/0!</v>
      </c>
      <c r="BH87" s="14" t="e">
        <f t="shared" si="48"/>
        <v>#DIV/0!</v>
      </c>
      <c r="BI87" s="14" t="e">
        <f t="shared" si="48"/>
        <v>#DIV/0!</v>
      </c>
      <c r="BJ87" s="14" t="e">
        <f t="shared" si="48"/>
        <v>#DIV/0!</v>
      </c>
      <c r="BK87" s="14" t="e">
        <f t="shared" si="48"/>
        <v>#DIV/0!</v>
      </c>
      <c r="BL87" s="14" t="e">
        <f t="shared" si="48"/>
        <v>#DIV/0!</v>
      </c>
      <c r="BM87" s="14" t="e">
        <f t="shared" si="48"/>
        <v>#DIV/0!</v>
      </c>
      <c r="BN87" s="14" t="e">
        <f t="shared" si="48"/>
        <v>#DIV/0!</v>
      </c>
      <c r="BO87" s="14" t="e">
        <f t="shared" si="48"/>
        <v>#DIV/0!</v>
      </c>
      <c r="BP87" s="14" t="e">
        <f t="shared" si="48"/>
        <v>#DIV/0!</v>
      </c>
      <c r="BQ87" s="14" t="e">
        <f t="shared" si="48"/>
        <v>#DIV/0!</v>
      </c>
      <c r="BR87" s="14" t="e">
        <f t="shared" si="48"/>
        <v>#DIV/0!</v>
      </c>
      <c r="BS87" s="98"/>
    </row>
    <row r="88" spans="1:71" ht="21" hidden="1" customHeight="1" outlineLevel="1" thickBot="1" x14ac:dyDescent="0.4">
      <c r="A88" s="5">
        <f t="shared" si="34"/>
        <v>0</v>
      </c>
      <c r="B88" s="5">
        <f t="shared" si="34"/>
        <v>0</v>
      </c>
      <c r="C88" s="5">
        <f t="shared" si="34"/>
        <v>0</v>
      </c>
      <c r="D88" s="5">
        <f t="shared" si="34"/>
        <v>0</v>
      </c>
      <c r="E88" s="6">
        <f t="shared" si="28"/>
        <v>0</v>
      </c>
      <c r="F88" s="14" t="e">
        <f t="shared" ref="F88" si="49">F12*$C$78</f>
        <v>#DIV/0!</v>
      </c>
      <c r="G88" s="14" t="e">
        <f t="shared" ref="G88:BR88" si="50">G12*$C$78</f>
        <v>#DIV/0!</v>
      </c>
      <c r="H88" s="14" t="e">
        <f t="shared" si="50"/>
        <v>#DIV/0!</v>
      </c>
      <c r="I88" s="14" t="e">
        <f t="shared" si="50"/>
        <v>#DIV/0!</v>
      </c>
      <c r="J88" s="14" t="e">
        <f t="shared" si="50"/>
        <v>#DIV/0!</v>
      </c>
      <c r="K88" s="14" t="e">
        <f t="shared" si="50"/>
        <v>#DIV/0!</v>
      </c>
      <c r="L88" s="14" t="e">
        <f t="shared" si="50"/>
        <v>#DIV/0!</v>
      </c>
      <c r="M88" s="14" t="e">
        <f t="shared" si="50"/>
        <v>#DIV/0!</v>
      </c>
      <c r="N88" s="14" t="e">
        <f t="shared" si="50"/>
        <v>#DIV/0!</v>
      </c>
      <c r="O88" s="14" t="e">
        <f t="shared" si="50"/>
        <v>#DIV/0!</v>
      </c>
      <c r="P88" s="14" t="e">
        <f t="shared" si="50"/>
        <v>#DIV/0!</v>
      </c>
      <c r="Q88" s="14" t="e">
        <f t="shared" si="50"/>
        <v>#DIV/0!</v>
      </c>
      <c r="R88" s="14" t="e">
        <f t="shared" si="50"/>
        <v>#DIV/0!</v>
      </c>
      <c r="S88" s="14" t="e">
        <f t="shared" si="50"/>
        <v>#DIV/0!</v>
      </c>
      <c r="T88" s="14" t="e">
        <f t="shared" si="50"/>
        <v>#DIV/0!</v>
      </c>
      <c r="U88" s="14" t="e">
        <f t="shared" si="50"/>
        <v>#DIV/0!</v>
      </c>
      <c r="V88" s="14" t="e">
        <f t="shared" si="50"/>
        <v>#DIV/0!</v>
      </c>
      <c r="W88" s="14" t="e">
        <f t="shared" si="50"/>
        <v>#DIV/0!</v>
      </c>
      <c r="X88" s="14" t="e">
        <f t="shared" si="50"/>
        <v>#DIV/0!</v>
      </c>
      <c r="Y88" s="14" t="e">
        <f t="shared" si="50"/>
        <v>#DIV/0!</v>
      </c>
      <c r="Z88" s="14" t="e">
        <f t="shared" si="50"/>
        <v>#DIV/0!</v>
      </c>
      <c r="AA88" s="14" t="e">
        <f t="shared" si="50"/>
        <v>#DIV/0!</v>
      </c>
      <c r="AB88" s="14" t="e">
        <f t="shared" si="50"/>
        <v>#DIV/0!</v>
      </c>
      <c r="AC88" s="14" t="e">
        <f t="shared" si="50"/>
        <v>#DIV/0!</v>
      </c>
      <c r="AD88" s="14" t="e">
        <f t="shared" si="50"/>
        <v>#DIV/0!</v>
      </c>
      <c r="AE88" s="14" t="e">
        <f t="shared" si="50"/>
        <v>#DIV/0!</v>
      </c>
      <c r="AF88" s="14" t="e">
        <f t="shared" si="50"/>
        <v>#DIV/0!</v>
      </c>
      <c r="AG88" s="14" t="e">
        <f t="shared" si="50"/>
        <v>#DIV/0!</v>
      </c>
      <c r="AH88" s="14" t="e">
        <f t="shared" si="50"/>
        <v>#DIV/0!</v>
      </c>
      <c r="AI88" s="14" t="e">
        <f t="shared" si="50"/>
        <v>#DIV/0!</v>
      </c>
      <c r="AJ88" s="14" t="e">
        <f t="shared" si="50"/>
        <v>#DIV/0!</v>
      </c>
      <c r="AK88" s="14" t="e">
        <f t="shared" si="50"/>
        <v>#DIV/0!</v>
      </c>
      <c r="AL88" s="14" t="e">
        <f t="shared" si="50"/>
        <v>#DIV/0!</v>
      </c>
      <c r="AM88" s="14" t="e">
        <f t="shared" si="50"/>
        <v>#DIV/0!</v>
      </c>
      <c r="AN88" s="14" t="e">
        <f t="shared" si="50"/>
        <v>#DIV/0!</v>
      </c>
      <c r="AO88" s="14" t="e">
        <f t="shared" si="50"/>
        <v>#DIV/0!</v>
      </c>
      <c r="AP88" s="14" t="e">
        <f t="shared" si="50"/>
        <v>#DIV/0!</v>
      </c>
      <c r="AQ88" s="14" t="e">
        <f t="shared" si="50"/>
        <v>#DIV/0!</v>
      </c>
      <c r="AR88" s="14" t="e">
        <f t="shared" si="50"/>
        <v>#DIV/0!</v>
      </c>
      <c r="AS88" s="14" t="e">
        <f t="shared" si="50"/>
        <v>#DIV/0!</v>
      </c>
      <c r="AT88" s="14" t="e">
        <f t="shared" si="50"/>
        <v>#DIV/0!</v>
      </c>
      <c r="AU88" s="14" t="e">
        <f t="shared" si="50"/>
        <v>#DIV/0!</v>
      </c>
      <c r="AV88" s="14" t="e">
        <f t="shared" si="50"/>
        <v>#DIV/0!</v>
      </c>
      <c r="AW88" s="14" t="e">
        <f t="shared" si="50"/>
        <v>#DIV/0!</v>
      </c>
      <c r="AX88" s="14" t="e">
        <f t="shared" si="50"/>
        <v>#DIV/0!</v>
      </c>
      <c r="AY88" s="14" t="e">
        <f t="shared" si="50"/>
        <v>#DIV/0!</v>
      </c>
      <c r="AZ88" s="14" t="e">
        <f t="shared" si="50"/>
        <v>#DIV/0!</v>
      </c>
      <c r="BA88" s="14" t="e">
        <f t="shared" si="50"/>
        <v>#DIV/0!</v>
      </c>
      <c r="BB88" s="14" t="e">
        <f t="shared" si="50"/>
        <v>#DIV/0!</v>
      </c>
      <c r="BC88" s="14" t="e">
        <f t="shared" si="50"/>
        <v>#DIV/0!</v>
      </c>
      <c r="BD88" s="14" t="e">
        <f t="shared" si="50"/>
        <v>#DIV/0!</v>
      </c>
      <c r="BE88" s="14" t="e">
        <f t="shared" si="50"/>
        <v>#DIV/0!</v>
      </c>
      <c r="BF88" s="14" t="e">
        <f t="shared" si="50"/>
        <v>#DIV/0!</v>
      </c>
      <c r="BG88" s="14" t="e">
        <f t="shared" si="50"/>
        <v>#DIV/0!</v>
      </c>
      <c r="BH88" s="14" t="e">
        <f t="shared" si="50"/>
        <v>#DIV/0!</v>
      </c>
      <c r="BI88" s="14" t="e">
        <f t="shared" si="50"/>
        <v>#DIV/0!</v>
      </c>
      <c r="BJ88" s="14" t="e">
        <f t="shared" si="50"/>
        <v>#DIV/0!</v>
      </c>
      <c r="BK88" s="14" t="e">
        <f t="shared" si="50"/>
        <v>#DIV/0!</v>
      </c>
      <c r="BL88" s="14" t="e">
        <f t="shared" si="50"/>
        <v>#DIV/0!</v>
      </c>
      <c r="BM88" s="14" t="e">
        <f t="shared" si="50"/>
        <v>#DIV/0!</v>
      </c>
      <c r="BN88" s="14" t="e">
        <f t="shared" si="50"/>
        <v>#DIV/0!</v>
      </c>
      <c r="BO88" s="14" t="e">
        <f t="shared" si="50"/>
        <v>#DIV/0!</v>
      </c>
      <c r="BP88" s="14" t="e">
        <f t="shared" si="50"/>
        <v>#DIV/0!</v>
      </c>
      <c r="BQ88" s="14" t="e">
        <f t="shared" si="50"/>
        <v>#DIV/0!</v>
      </c>
      <c r="BR88" s="14" t="e">
        <f t="shared" si="50"/>
        <v>#DIV/0!</v>
      </c>
      <c r="BS88" s="98"/>
    </row>
    <row r="89" spans="1:71" ht="21" hidden="1" customHeight="1" outlineLevel="1" thickBot="1" x14ac:dyDescent="0.4">
      <c r="A89" s="5">
        <f t="shared" si="34"/>
        <v>0</v>
      </c>
      <c r="B89" s="5">
        <f t="shared" si="34"/>
        <v>0</v>
      </c>
      <c r="C89" s="5">
        <f t="shared" si="34"/>
        <v>0</v>
      </c>
      <c r="D89" s="5">
        <f t="shared" si="34"/>
        <v>0</v>
      </c>
      <c r="E89" s="6">
        <f t="shared" si="28"/>
        <v>0</v>
      </c>
      <c r="F89" s="14" t="e">
        <f t="shared" ref="F89" si="51">F13*$C$78</f>
        <v>#DIV/0!</v>
      </c>
      <c r="G89" s="14" t="e">
        <f t="shared" ref="G89:BR89" si="52">G13*$C$78</f>
        <v>#DIV/0!</v>
      </c>
      <c r="H89" s="14" t="e">
        <f t="shared" si="52"/>
        <v>#DIV/0!</v>
      </c>
      <c r="I89" s="14" t="e">
        <f t="shared" si="52"/>
        <v>#DIV/0!</v>
      </c>
      <c r="J89" s="14" t="e">
        <f t="shared" si="52"/>
        <v>#DIV/0!</v>
      </c>
      <c r="K89" s="14" t="e">
        <f t="shared" si="52"/>
        <v>#DIV/0!</v>
      </c>
      <c r="L89" s="14" t="e">
        <f t="shared" si="52"/>
        <v>#DIV/0!</v>
      </c>
      <c r="M89" s="14" t="e">
        <f t="shared" si="52"/>
        <v>#DIV/0!</v>
      </c>
      <c r="N89" s="14" t="e">
        <f t="shared" si="52"/>
        <v>#DIV/0!</v>
      </c>
      <c r="O89" s="14" t="e">
        <f t="shared" si="52"/>
        <v>#DIV/0!</v>
      </c>
      <c r="P89" s="14" t="e">
        <f t="shared" si="52"/>
        <v>#DIV/0!</v>
      </c>
      <c r="Q89" s="14" t="e">
        <f t="shared" si="52"/>
        <v>#DIV/0!</v>
      </c>
      <c r="R89" s="14" t="e">
        <f t="shared" si="52"/>
        <v>#DIV/0!</v>
      </c>
      <c r="S89" s="14" t="e">
        <f t="shared" si="52"/>
        <v>#DIV/0!</v>
      </c>
      <c r="T89" s="14" t="e">
        <f t="shared" si="52"/>
        <v>#DIV/0!</v>
      </c>
      <c r="U89" s="14" t="e">
        <f t="shared" si="52"/>
        <v>#DIV/0!</v>
      </c>
      <c r="V89" s="14" t="e">
        <f t="shared" si="52"/>
        <v>#DIV/0!</v>
      </c>
      <c r="W89" s="14" t="e">
        <f t="shared" si="52"/>
        <v>#DIV/0!</v>
      </c>
      <c r="X89" s="14" t="e">
        <f t="shared" si="52"/>
        <v>#DIV/0!</v>
      </c>
      <c r="Y89" s="14" t="e">
        <f t="shared" si="52"/>
        <v>#DIV/0!</v>
      </c>
      <c r="Z89" s="14" t="e">
        <f t="shared" si="52"/>
        <v>#DIV/0!</v>
      </c>
      <c r="AA89" s="14" t="e">
        <f t="shared" si="52"/>
        <v>#DIV/0!</v>
      </c>
      <c r="AB89" s="14" t="e">
        <f t="shared" si="52"/>
        <v>#DIV/0!</v>
      </c>
      <c r="AC89" s="14" t="e">
        <f t="shared" si="52"/>
        <v>#DIV/0!</v>
      </c>
      <c r="AD89" s="14" t="e">
        <f t="shared" si="52"/>
        <v>#DIV/0!</v>
      </c>
      <c r="AE89" s="14" t="e">
        <f t="shared" si="52"/>
        <v>#DIV/0!</v>
      </c>
      <c r="AF89" s="14" t="e">
        <f t="shared" si="52"/>
        <v>#DIV/0!</v>
      </c>
      <c r="AG89" s="14" t="e">
        <f t="shared" si="52"/>
        <v>#DIV/0!</v>
      </c>
      <c r="AH89" s="14" t="e">
        <f t="shared" si="52"/>
        <v>#DIV/0!</v>
      </c>
      <c r="AI89" s="14" t="e">
        <f t="shared" si="52"/>
        <v>#DIV/0!</v>
      </c>
      <c r="AJ89" s="14" t="e">
        <f t="shared" si="52"/>
        <v>#DIV/0!</v>
      </c>
      <c r="AK89" s="14" t="e">
        <f t="shared" si="52"/>
        <v>#DIV/0!</v>
      </c>
      <c r="AL89" s="14" t="e">
        <f t="shared" si="52"/>
        <v>#DIV/0!</v>
      </c>
      <c r="AM89" s="14" t="e">
        <f t="shared" si="52"/>
        <v>#DIV/0!</v>
      </c>
      <c r="AN89" s="14" t="e">
        <f t="shared" si="52"/>
        <v>#DIV/0!</v>
      </c>
      <c r="AO89" s="14" t="e">
        <f t="shared" si="52"/>
        <v>#DIV/0!</v>
      </c>
      <c r="AP89" s="14" t="e">
        <f t="shared" si="52"/>
        <v>#DIV/0!</v>
      </c>
      <c r="AQ89" s="14" t="e">
        <f t="shared" si="52"/>
        <v>#DIV/0!</v>
      </c>
      <c r="AR89" s="14" t="e">
        <f t="shared" si="52"/>
        <v>#DIV/0!</v>
      </c>
      <c r="AS89" s="14" t="e">
        <f t="shared" si="52"/>
        <v>#DIV/0!</v>
      </c>
      <c r="AT89" s="14" t="e">
        <f t="shared" si="52"/>
        <v>#DIV/0!</v>
      </c>
      <c r="AU89" s="14" t="e">
        <f t="shared" si="52"/>
        <v>#DIV/0!</v>
      </c>
      <c r="AV89" s="14" t="e">
        <f t="shared" si="52"/>
        <v>#DIV/0!</v>
      </c>
      <c r="AW89" s="14" t="e">
        <f t="shared" si="52"/>
        <v>#DIV/0!</v>
      </c>
      <c r="AX89" s="14" t="e">
        <f t="shared" si="52"/>
        <v>#DIV/0!</v>
      </c>
      <c r="AY89" s="14" t="e">
        <f t="shared" si="52"/>
        <v>#DIV/0!</v>
      </c>
      <c r="AZ89" s="14" t="e">
        <f t="shared" si="52"/>
        <v>#DIV/0!</v>
      </c>
      <c r="BA89" s="14" t="e">
        <f t="shared" si="52"/>
        <v>#DIV/0!</v>
      </c>
      <c r="BB89" s="14" t="e">
        <f t="shared" si="52"/>
        <v>#DIV/0!</v>
      </c>
      <c r="BC89" s="14" t="e">
        <f t="shared" si="52"/>
        <v>#DIV/0!</v>
      </c>
      <c r="BD89" s="14" t="e">
        <f t="shared" si="52"/>
        <v>#DIV/0!</v>
      </c>
      <c r="BE89" s="14" t="e">
        <f t="shared" si="52"/>
        <v>#DIV/0!</v>
      </c>
      <c r="BF89" s="14" t="e">
        <f t="shared" si="52"/>
        <v>#DIV/0!</v>
      </c>
      <c r="BG89" s="14" t="e">
        <f t="shared" si="52"/>
        <v>#DIV/0!</v>
      </c>
      <c r="BH89" s="14" t="e">
        <f t="shared" si="52"/>
        <v>#DIV/0!</v>
      </c>
      <c r="BI89" s="14" t="e">
        <f t="shared" si="52"/>
        <v>#DIV/0!</v>
      </c>
      <c r="BJ89" s="14" t="e">
        <f t="shared" si="52"/>
        <v>#DIV/0!</v>
      </c>
      <c r="BK89" s="14" t="e">
        <f t="shared" si="52"/>
        <v>#DIV/0!</v>
      </c>
      <c r="BL89" s="14" t="e">
        <f t="shared" si="52"/>
        <v>#DIV/0!</v>
      </c>
      <c r="BM89" s="14" t="e">
        <f t="shared" si="52"/>
        <v>#DIV/0!</v>
      </c>
      <c r="BN89" s="14" t="e">
        <f t="shared" si="52"/>
        <v>#DIV/0!</v>
      </c>
      <c r="BO89" s="14" t="e">
        <f t="shared" si="52"/>
        <v>#DIV/0!</v>
      </c>
      <c r="BP89" s="14" t="e">
        <f t="shared" si="52"/>
        <v>#DIV/0!</v>
      </c>
      <c r="BQ89" s="14" t="e">
        <f t="shared" si="52"/>
        <v>#DIV/0!</v>
      </c>
      <c r="BR89" s="14" t="e">
        <f t="shared" si="52"/>
        <v>#DIV/0!</v>
      </c>
      <c r="BS89" s="98"/>
    </row>
    <row r="90" spans="1:71" ht="21" hidden="1" customHeight="1" outlineLevel="1" thickBot="1" x14ac:dyDescent="0.4">
      <c r="A90" s="5">
        <f t="shared" si="34"/>
        <v>0</v>
      </c>
      <c r="B90" s="5">
        <f t="shared" si="34"/>
        <v>0</v>
      </c>
      <c r="C90" s="5">
        <f t="shared" si="34"/>
        <v>0</v>
      </c>
      <c r="D90" s="5">
        <f t="shared" si="34"/>
        <v>0</v>
      </c>
      <c r="E90" s="6">
        <f t="shared" si="28"/>
        <v>0</v>
      </c>
      <c r="F90" s="14" t="e">
        <f t="shared" ref="F90" si="53">F14*$C$78</f>
        <v>#DIV/0!</v>
      </c>
      <c r="G90" s="14" t="e">
        <f t="shared" ref="G90:BR90" si="54">G14*$C$78</f>
        <v>#DIV/0!</v>
      </c>
      <c r="H90" s="14" t="e">
        <f t="shared" si="54"/>
        <v>#DIV/0!</v>
      </c>
      <c r="I90" s="14" t="e">
        <f t="shared" si="54"/>
        <v>#DIV/0!</v>
      </c>
      <c r="J90" s="14" t="e">
        <f t="shared" si="54"/>
        <v>#DIV/0!</v>
      </c>
      <c r="K90" s="14" t="e">
        <f t="shared" si="54"/>
        <v>#DIV/0!</v>
      </c>
      <c r="L90" s="14" t="e">
        <f t="shared" si="54"/>
        <v>#DIV/0!</v>
      </c>
      <c r="M90" s="14" t="e">
        <f t="shared" si="54"/>
        <v>#DIV/0!</v>
      </c>
      <c r="N90" s="14" t="e">
        <f t="shared" si="54"/>
        <v>#DIV/0!</v>
      </c>
      <c r="O90" s="14" t="e">
        <f t="shared" si="54"/>
        <v>#DIV/0!</v>
      </c>
      <c r="P90" s="14" t="e">
        <f t="shared" si="54"/>
        <v>#DIV/0!</v>
      </c>
      <c r="Q90" s="14" t="e">
        <f t="shared" si="54"/>
        <v>#DIV/0!</v>
      </c>
      <c r="R90" s="14" t="e">
        <f t="shared" si="54"/>
        <v>#DIV/0!</v>
      </c>
      <c r="S90" s="14" t="e">
        <f t="shared" si="54"/>
        <v>#DIV/0!</v>
      </c>
      <c r="T90" s="14" t="e">
        <f t="shared" si="54"/>
        <v>#DIV/0!</v>
      </c>
      <c r="U90" s="14" t="e">
        <f t="shared" si="54"/>
        <v>#DIV/0!</v>
      </c>
      <c r="V90" s="14" t="e">
        <f t="shared" si="54"/>
        <v>#DIV/0!</v>
      </c>
      <c r="W90" s="14" t="e">
        <f t="shared" si="54"/>
        <v>#DIV/0!</v>
      </c>
      <c r="X90" s="14" t="e">
        <f t="shared" si="54"/>
        <v>#DIV/0!</v>
      </c>
      <c r="Y90" s="14" t="e">
        <f t="shared" si="54"/>
        <v>#DIV/0!</v>
      </c>
      <c r="Z90" s="14" t="e">
        <f t="shared" si="54"/>
        <v>#DIV/0!</v>
      </c>
      <c r="AA90" s="14" t="e">
        <f t="shared" si="54"/>
        <v>#DIV/0!</v>
      </c>
      <c r="AB90" s="14" t="e">
        <f t="shared" si="54"/>
        <v>#DIV/0!</v>
      </c>
      <c r="AC90" s="14" t="e">
        <f t="shared" si="54"/>
        <v>#DIV/0!</v>
      </c>
      <c r="AD90" s="14" t="e">
        <f t="shared" si="54"/>
        <v>#DIV/0!</v>
      </c>
      <c r="AE90" s="14" t="e">
        <f t="shared" si="54"/>
        <v>#DIV/0!</v>
      </c>
      <c r="AF90" s="14" t="e">
        <f t="shared" si="54"/>
        <v>#DIV/0!</v>
      </c>
      <c r="AG90" s="14" t="e">
        <f t="shared" si="54"/>
        <v>#DIV/0!</v>
      </c>
      <c r="AH90" s="14" t="e">
        <f t="shared" si="54"/>
        <v>#DIV/0!</v>
      </c>
      <c r="AI90" s="14" t="e">
        <f t="shared" si="54"/>
        <v>#DIV/0!</v>
      </c>
      <c r="AJ90" s="14" t="e">
        <f t="shared" si="54"/>
        <v>#DIV/0!</v>
      </c>
      <c r="AK90" s="14" t="e">
        <f t="shared" si="54"/>
        <v>#DIV/0!</v>
      </c>
      <c r="AL90" s="14" t="e">
        <f t="shared" si="54"/>
        <v>#DIV/0!</v>
      </c>
      <c r="AM90" s="14" t="e">
        <f t="shared" si="54"/>
        <v>#DIV/0!</v>
      </c>
      <c r="AN90" s="14" t="e">
        <f t="shared" si="54"/>
        <v>#DIV/0!</v>
      </c>
      <c r="AO90" s="14" t="e">
        <f t="shared" si="54"/>
        <v>#DIV/0!</v>
      </c>
      <c r="AP90" s="14" t="e">
        <f t="shared" si="54"/>
        <v>#DIV/0!</v>
      </c>
      <c r="AQ90" s="14" t="e">
        <f t="shared" si="54"/>
        <v>#DIV/0!</v>
      </c>
      <c r="AR90" s="14" t="e">
        <f t="shared" si="54"/>
        <v>#DIV/0!</v>
      </c>
      <c r="AS90" s="14" t="e">
        <f t="shared" si="54"/>
        <v>#DIV/0!</v>
      </c>
      <c r="AT90" s="14" t="e">
        <f t="shared" si="54"/>
        <v>#DIV/0!</v>
      </c>
      <c r="AU90" s="14" t="e">
        <f t="shared" si="54"/>
        <v>#DIV/0!</v>
      </c>
      <c r="AV90" s="14" t="e">
        <f t="shared" si="54"/>
        <v>#DIV/0!</v>
      </c>
      <c r="AW90" s="14" t="e">
        <f t="shared" si="54"/>
        <v>#DIV/0!</v>
      </c>
      <c r="AX90" s="14" t="e">
        <f t="shared" si="54"/>
        <v>#DIV/0!</v>
      </c>
      <c r="AY90" s="14" t="e">
        <f t="shared" si="54"/>
        <v>#DIV/0!</v>
      </c>
      <c r="AZ90" s="14" t="e">
        <f t="shared" si="54"/>
        <v>#DIV/0!</v>
      </c>
      <c r="BA90" s="14" t="e">
        <f t="shared" si="54"/>
        <v>#DIV/0!</v>
      </c>
      <c r="BB90" s="14" t="e">
        <f t="shared" si="54"/>
        <v>#DIV/0!</v>
      </c>
      <c r="BC90" s="14" t="e">
        <f t="shared" si="54"/>
        <v>#DIV/0!</v>
      </c>
      <c r="BD90" s="14" t="e">
        <f t="shared" si="54"/>
        <v>#DIV/0!</v>
      </c>
      <c r="BE90" s="14" t="e">
        <f t="shared" si="54"/>
        <v>#DIV/0!</v>
      </c>
      <c r="BF90" s="14" t="e">
        <f t="shared" si="54"/>
        <v>#DIV/0!</v>
      </c>
      <c r="BG90" s="14" t="e">
        <f t="shared" si="54"/>
        <v>#DIV/0!</v>
      </c>
      <c r="BH90" s="14" t="e">
        <f t="shared" si="54"/>
        <v>#DIV/0!</v>
      </c>
      <c r="BI90" s="14" t="e">
        <f t="shared" si="54"/>
        <v>#DIV/0!</v>
      </c>
      <c r="BJ90" s="14" t="e">
        <f t="shared" si="54"/>
        <v>#DIV/0!</v>
      </c>
      <c r="BK90" s="14" t="e">
        <f t="shared" si="54"/>
        <v>#DIV/0!</v>
      </c>
      <c r="BL90" s="14" t="e">
        <f t="shared" si="54"/>
        <v>#DIV/0!</v>
      </c>
      <c r="BM90" s="14" t="e">
        <f t="shared" si="54"/>
        <v>#DIV/0!</v>
      </c>
      <c r="BN90" s="14" t="e">
        <f t="shared" si="54"/>
        <v>#DIV/0!</v>
      </c>
      <c r="BO90" s="14" t="e">
        <f t="shared" si="54"/>
        <v>#DIV/0!</v>
      </c>
      <c r="BP90" s="14" t="e">
        <f t="shared" si="54"/>
        <v>#DIV/0!</v>
      </c>
      <c r="BQ90" s="14" t="e">
        <f t="shared" si="54"/>
        <v>#DIV/0!</v>
      </c>
      <c r="BR90" s="14" t="e">
        <f t="shared" si="54"/>
        <v>#DIV/0!</v>
      </c>
      <c r="BS90" s="98"/>
    </row>
    <row r="91" spans="1:71" ht="21" hidden="1" customHeight="1" outlineLevel="1" thickBot="1" x14ac:dyDescent="0.4">
      <c r="A91" s="5">
        <f t="shared" si="34"/>
        <v>0</v>
      </c>
      <c r="B91" s="5">
        <f t="shared" si="34"/>
        <v>0</v>
      </c>
      <c r="C91" s="5">
        <f t="shared" si="34"/>
        <v>0</v>
      </c>
      <c r="D91" s="5">
        <f t="shared" si="34"/>
        <v>0</v>
      </c>
      <c r="E91" s="6">
        <f t="shared" si="28"/>
        <v>0</v>
      </c>
      <c r="F91" s="14" t="e">
        <f t="shared" ref="F91" si="55">F15*$C$78</f>
        <v>#DIV/0!</v>
      </c>
      <c r="G91" s="14" t="e">
        <f t="shared" ref="G91:BR91" si="56">G15*$C$78</f>
        <v>#DIV/0!</v>
      </c>
      <c r="H91" s="14" t="e">
        <f t="shared" si="56"/>
        <v>#DIV/0!</v>
      </c>
      <c r="I91" s="14" t="e">
        <f t="shared" si="56"/>
        <v>#DIV/0!</v>
      </c>
      <c r="J91" s="14" t="e">
        <f t="shared" si="56"/>
        <v>#DIV/0!</v>
      </c>
      <c r="K91" s="14" t="e">
        <f t="shared" si="56"/>
        <v>#DIV/0!</v>
      </c>
      <c r="L91" s="14" t="e">
        <f t="shared" si="56"/>
        <v>#DIV/0!</v>
      </c>
      <c r="M91" s="14" t="e">
        <f t="shared" si="56"/>
        <v>#DIV/0!</v>
      </c>
      <c r="N91" s="14" t="e">
        <f t="shared" si="56"/>
        <v>#DIV/0!</v>
      </c>
      <c r="O91" s="14" t="e">
        <f t="shared" si="56"/>
        <v>#DIV/0!</v>
      </c>
      <c r="P91" s="14" t="e">
        <f t="shared" si="56"/>
        <v>#DIV/0!</v>
      </c>
      <c r="Q91" s="14" t="e">
        <f t="shared" si="56"/>
        <v>#DIV/0!</v>
      </c>
      <c r="R91" s="14" t="e">
        <f t="shared" si="56"/>
        <v>#DIV/0!</v>
      </c>
      <c r="S91" s="14" t="e">
        <f t="shared" si="56"/>
        <v>#DIV/0!</v>
      </c>
      <c r="T91" s="14" t="e">
        <f t="shared" si="56"/>
        <v>#DIV/0!</v>
      </c>
      <c r="U91" s="14" t="e">
        <f t="shared" si="56"/>
        <v>#DIV/0!</v>
      </c>
      <c r="V91" s="14" t="e">
        <f t="shared" si="56"/>
        <v>#DIV/0!</v>
      </c>
      <c r="W91" s="14" t="e">
        <f t="shared" si="56"/>
        <v>#DIV/0!</v>
      </c>
      <c r="X91" s="14" t="e">
        <f t="shared" si="56"/>
        <v>#DIV/0!</v>
      </c>
      <c r="Y91" s="14" t="e">
        <f t="shared" si="56"/>
        <v>#DIV/0!</v>
      </c>
      <c r="Z91" s="14" t="e">
        <f t="shared" si="56"/>
        <v>#DIV/0!</v>
      </c>
      <c r="AA91" s="14" t="e">
        <f t="shared" si="56"/>
        <v>#DIV/0!</v>
      </c>
      <c r="AB91" s="14" t="e">
        <f t="shared" si="56"/>
        <v>#DIV/0!</v>
      </c>
      <c r="AC91" s="14" t="e">
        <f t="shared" si="56"/>
        <v>#DIV/0!</v>
      </c>
      <c r="AD91" s="14" t="e">
        <f t="shared" si="56"/>
        <v>#DIV/0!</v>
      </c>
      <c r="AE91" s="14" t="e">
        <f t="shared" si="56"/>
        <v>#DIV/0!</v>
      </c>
      <c r="AF91" s="14" t="e">
        <f t="shared" si="56"/>
        <v>#DIV/0!</v>
      </c>
      <c r="AG91" s="14" t="e">
        <f t="shared" si="56"/>
        <v>#DIV/0!</v>
      </c>
      <c r="AH91" s="14" t="e">
        <f t="shared" si="56"/>
        <v>#DIV/0!</v>
      </c>
      <c r="AI91" s="14" t="e">
        <f t="shared" si="56"/>
        <v>#DIV/0!</v>
      </c>
      <c r="AJ91" s="14" t="e">
        <f t="shared" si="56"/>
        <v>#DIV/0!</v>
      </c>
      <c r="AK91" s="14" t="e">
        <f t="shared" si="56"/>
        <v>#DIV/0!</v>
      </c>
      <c r="AL91" s="14" t="e">
        <f t="shared" si="56"/>
        <v>#DIV/0!</v>
      </c>
      <c r="AM91" s="14" t="e">
        <f t="shared" si="56"/>
        <v>#DIV/0!</v>
      </c>
      <c r="AN91" s="14" t="e">
        <f t="shared" si="56"/>
        <v>#DIV/0!</v>
      </c>
      <c r="AO91" s="14" t="e">
        <f t="shared" si="56"/>
        <v>#DIV/0!</v>
      </c>
      <c r="AP91" s="14" t="e">
        <f t="shared" si="56"/>
        <v>#DIV/0!</v>
      </c>
      <c r="AQ91" s="14" t="e">
        <f t="shared" si="56"/>
        <v>#DIV/0!</v>
      </c>
      <c r="AR91" s="14" t="e">
        <f t="shared" si="56"/>
        <v>#DIV/0!</v>
      </c>
      <c r="AS91" s="14" t="e">
        <f t="shared" si="56"/>
        <v>#DIV/0!</v>
      </c>
      <c r="AT91" s="14" t="e">
        <f t="shared" si="56"/>
        <v>#DIV/0!</v>
      </c>
      <c r="AU91" s="14" t="e">
        <f t="shared" si="56"/>
        <v>#DIV/0!</v>
      </c>
      <c r="AV91" s="14" t="e">
        <f t="shared" si="56"/>
        <v>#DIV/0!</v>
      </c>
      <c r="AW91" s="14" t="e">
        <f t="shared" si="56"/>
        <v>#DIV/0!</v>
      </c>
      <c r="AX91" s="14" t="e">
        <f t="shared" si="56"/>
        <v>#DIV/0!</v>
      </c>
      <c r="AY91" s="14" t="e">
        <f t="shared" si="56"/>
        <v>#DIV/0!</v>
      </c>
      <c r="AZ91" s="14" t="e">
        <f t="shared" si="56"/>
        <v>#DIV/0!</v>
      </c>
      <c r="BA91" s="14" t="e">
        <f t="shared" si="56"/>
        <v>#DIV/0!</v>
      </c>
      <c r="BB91" s="14" t="e">
        <f t="shared" si="56"/>
        <v>#DIV/0!</v>
      </c>
      <c r="BC91" s="14" t="e">
        <f t="shared" si="56"/>
        <v>#DIV/0!</v>
      </c>
      <c r="BD91" s="14" t="e">
        <f t="shared" si="56"/>
        <v>#DIV/0!</v>
      </c>
      <c r="BE91" s="14" t="e">
        <f t="shared" si="56"/>
        <v>#DIV/0!</v>
      </c>
      <c r="BF91" s="14" t="e">
        <f t="shared" si="56"/>
        <v>#DIV/0!</v>
      </c>
      <c r="BG91" s="14" t="e">
        <f t="shared" si="56"/>
        <v>#DIV/0!</v>
      </c>
      <c r="BH91" s="14" t="e">
        <f t="shared" si="56"/>
        <v>#DIV/0!</v>
      </c>
      <c r="BI91" s="14" t="e">
        <f t="shared" si="56"/>
        <v>#DIV/0!</v>
      </c>
      <c r="BJ91" s="14" t="e">
        <f t="shared" si="56"/>
        <v>#DIV/0!</v>
      </c>
      <c r="BK91" s="14" t="e">
        <f t="shared" si="56"/>
        <v>#DIV/0!</v>
      </c>
      <c r="BL91" s="14" t="e">
        <f t="shared" si="56"/>
        <v>#DIV/0!</v>
      </c>
      <c r="BM91" s="14" t="e">
        <f t="shared" si="56"/>
        <v>#DIV/0!</v>
      </c>
      <c r="BN91" s="14" t="e">
        <f t="shared" si="56"/>
        <v>#DIV/0!</v>
      </c>
      <c r="BO91" s="14" t="e">
        <f t="shared" si="56"/>
        <v>#DIV/0!</v>
      </c>
      <c r="BP91" s="14" t="e">
        <f t="shared" si="56"/>
        <v>#DIV/0!</v>
      </c>
      <c r="BQ91" s="14" t="e">
        <f t="shared" si="56"/>
        <v>#DIV/0!</v>
      </c>
      <c r="BR91" s="14" t="e">
        <f t="shared" si="56"/>
        <v>#DIV/0!</v>
      </c>
      <c r="BS91" s="98"/>
    </row>
    <row r="92" spans="1:71" ht="21" hidden="1" customHeight="1" outlineLevel="1" thickBot="1" x14ac:dyDescent="0.4">
      <c r="A92" s="5">
        <f t="shared" si="34"/>
        <v>0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>
        <f t="shared" si="28"/>
        <v>0</v>
      </c>
      <c r="F92" s="14" t="e">
        <f t="shared" ref="F92" si="57">F16*$C$78</f>
        <v>#DIV/0!</v>
      </c>
      <c r="G92" s="14" t="e">
        <f t="shared" ref="G92:BR92" si="58">G16*$C$78</f>
        <v>#DIV/0!</v>
      </c>
      <c r="H92" s="14" t="e">
        <f t="shared" si="58"/>
        <v>#DIV/0!</v>
      </c>
      <c r="I92" s="14" t="e">
        <f t="shared" si="58"/>
        <v>#DIV/0!</v>
      </c>
      <c r="J92" s="14" t="e">
        <f t="shared" si="58"/>
        <v>#DIV/0!</v>
      </c>
      <c r="K92" s="14" t="e">
        <f t="shared" si="58"/>
        <v>#DIV/0!</v>
      </c>
      <c r="L92" s="14" t="e">
        <f t="shared" si="58"/>
        <v>#DIV/0!</v>
      </c>
      <c r="M92" s="14" t="e">
        <f t="shared" si="58"/>
        <v>#DIV/0!</v>
      </c>
      <c r="N92" s="14" t="e">
        <f t="shared" si="58"/>
        <v>#DIV/0!</v>
      </c>
      <c r="O92" s="14" t="e">
        <f t="shared" si="58"/>
        <v>#DIV/0!</v>
      </c>
      <c r="P92" s="14" t="e">
        <f t="shared" si="58"/>
        <v>#DIV/0!</v>
      </c>
      <c r="Q92" s="14" t="e">
        <f t="shared" si="58"/>
        <v>#DIV/0!</v>
      </c>
      <c r="R92" s="14" t="e">
        <f t="shared" si="58"/>
        <v>#DIV/0!</v>
      </c>
      <c r="S92" s="14" t="e">
        <f t="shared" si="58"/>
        <v>#DIV/0!</v>
      </c>
      <c r="T92" s="14" t="e">
        <f t="shared" si="58"/>
        <v>#DIV/0!</v>
      </c>
      <c r="U92" s="14" t="e">
        <f t="shared" si="58"/>
        <v>#DIV/0!</v>
      </c>
      <c r="V92" s="14" t="e">
        <f t="shared" si="58"/>
        <v>#DIV/0!</v>
      </c>
      <c r="W92" s="14" t="e">
        <f t="shared" si="58"/>
        <v>#DIV/0!</v>
      </c>
      <c r="X92" s="14" t="e">
        <f t="shared" si="58"/>
        <v>#DIV/0!</v>
      </c>
      <c r="Y92" s="14" t="e">
        <f t="shared" si="58"/>
        <v>#DIV/0!</v>
      </c>
      <c r="Z92" s="14" t="e">
        <f t="shared" si="58"/>
        <v>#DIV/0!</v>
      </c>
      <c r="AA92" s="14" t="e">
        <f t="shared" si="58"/>
        <v>#DIV/0!</v>
      </c>
      <c r="AB92" s="14" t="e">
        <f t="shared" si="58"/>
        <v>#DIV/0!</v>
      </c>
      <c r="AC92" s="14" t="e">
        <f t="shared" si="58"/>
        <v>#DIV/0!</v>
      </c>
      <c r="AD92" s="14" t="e">
        <f t="shared" si="58"/>
        <v>#DIV/0!</v>
      </c>
      <c r="AE92" s="14" t="e">
        <f t="shared" si="58"/>
        <v>#DIV/0!</v>
      </c>
      <c r="AF92" s="14" t="e">
        <f t="shared" si="58"/>
        <v>#DIV/0!</v>
      </c>
      <c r="AG92" s="14" t="e">
        <f t="shared" si="58"/>
        <v>#DIV/0!</v>
      </c>
      <c r="AH92" s="14" t="e">
        <f t="shared" si="58"/>
        <v>#DIV/0!</v>
      </c>
      <c r="AI92" s="14" t="e">
        <f t="shared" si="58"/>
        <v>#DIV/0!</v>
      </c>
      <c r="AJ92" s="14" t="e">
        <f t="shared" si="58"/>
        <v>#DIV/0!</v>
      </c>
      <c r="AK92" s="14" t="e">
        <f t="shared" si="58"/>
        <v>#DIV/0!</v>
      </c>
      <c r="AL92" s="14" t="e">
        <f t="shared" si="58"/>
        <v>#DIV/0!</v>
      </c>
      <c r="AM92" s="14" t="e">
        <f t="shared" si="58"/>
        <v>#DIV/0!</v>
      </c>
      <c r="AN92" s="14" t="e">
        <f t="shared" si="58"/>
        <v>#DIV/0!</v>
      </c>
      <c r="AO92" s="14" t="e">
        <f t="shared" si="58"/>
        <v>#DIV/0!</v>
      </c>
      <c r="AP92" s="14" t="e">
        <f t="shared" si="58"/>
        <v>#DIV/0!</v>
      </c>
      <c r="AQ92" s="14" t="e">
        <f t="shared" si="58"/>
        <v>#DIV/0!</v>
      </c>
      <c r="AR92" s="14" t="e">
        <f t="shared" si="58"/>
        <v>#DIV/0!</v>
      </c>
      <c r="AS92" s="14" t="e">
        <f t="shared" si="58"/>
        <v>#DIV/0!</v>
      </c>
      <c r="AT92" s="14" t="e">
        <f t="shared" si="58"/>
        <v>#DIV/0!</v>
      </c>
      <c r="AU92" s="14" t="e">
        <f t="shared" si="58"/>
        <v>#DIV/0!</v>
      </c>
      <c r="AV92" s="14" t="e">
        <f t="shared" si="58"/>
        <v>#DIV/0!</v>
      </c>
      <c r="AW92" s="14" t="e">
        <f t="shared" si="58"/>
        <v>#DIV/0!</v>
      </c>
      <c r="AX92" s="14" t="e">
        <f t="shared" si="58"/>
        <v>#DIV/0!</v>
      </c>
      <c r="AY92" s="14" t="e">
        <f t="shared" si="58"/>
        <v>#DIV/0!</v>
      </c>
      <c r="AZ92" s="14" t="e">
        <f t="shared" si="58"/>
        <v>#DIV/0!</v>
      </c>
      <c r="BA92" s="14" t="e">
        <f t="shared" si="58"/>
        <v>#DIV/0!</v>
      </c>
      <c r="BB92" s="14" t="e">
        <f t="shared" si="58"/>
        <v>#DIV/0!</v>
      </c>
      <c r="BC92" s="14" t="e">
        <f t="shared" si="58"/>
        <v>#DIV/0!</v>
      </c>
      <c r="BD92" s="14" t="e">
        <f t="shared" si="58"/>
        <v>#DIV/0!</v>
      </c>
      <c r="BE92" s="14" t="e">
        <f t="shared" si="58"/>
        <v>#DIV/0!</v>
      </c>
      <c r="BF92" s="14" t="e">
        <f t="shared" si="58"/>
        <v>#DIV/0!</v>
      </c>
      <c r="BG92" s="14" t="e">
        <f t="shared" si="58"/>
        <v>#DIV/0!</v>
      </c>
      <c r="BH92" s="14" t="e">
        <f t="shared" si="58"/>
        <v>#DIV/0!</v>
      </c>
      <c r="BI92" s="14" t="e">
        <f t="shared" si="58"/>
        <v>#DIV/0!</v>
      </c>
      <c r="BJ92" s="14" t="e">
        <f t="shared" si="58"/>
        <v>#DIV/0!</v>
      </c>
      <c r="BK92" s="14" t="e">
        <f t="shared" si="58"/>
        <v>#DIV/0!</v>
      </c>
      <c r="BL92" s="14" t="e">
        <f t="shared" si="58"/>
        <v>#DIV/0!</v>
      </c>
      <c r="BM92" s="14" t="e">
        <f t="shared" si="58"/>
        <v>#DIV/0!</v>
      </c>
      <c r="BN92" s="14" t="e">
        <f t="shared" si="58"/>
        <v>#DIV/0!</v>
      </c>
      <c r="BO92" s="14" t="e">
        <f t="shared" si="58"/>
        <v>#DIV/0!</v>
      </c>
      <c r="BP92" s="14" t="e">
        <f t="shared" si="58"/>
        <v>#DIV/0!</v>
      </c>
      <c r="BQ92" s="14" t="e">
        <f t="shared" si="58"/>
        <v>#DIV/0!</v>
      </c>
      <c r="BR92" s="14" t="e">
        <f t="shared" si="58"/>
        <v>#DIV/0!</v>
      </c>
      <c r="BS92" s="98"/>
    </row>
    <row r="93" spans="1:71" ht="21" hidden="1" customHeight="1" outlineLevel="1" thickBot="1" x14ac:dyDescent="0.4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0</v>
      </c>
      <c r="E93" s="6">
        <f t="shared" si="28"/>
        <v>0</v>
      </c>
      <c r="F93" s="14" t="e">
        <f t="shared" ref="F93" si="59">F17*$C$78</f>
        <v>#DIV/0!</v>
      </c>
      <c r="G93" s="14" t="e">
        <f t="shared" ref="G93:BR93" si="60">G17*$C$78</f>
        <v>#DIV/0!</v>
      </c>
      <c r="H93" s="14" t="e">
        <f t="shared" si="60"/>
        <v>#DIV/0!</v>
      </c>
      <c r="I93" s="14" t="e">
        <f t="shared" si="60"/>
        <v>#DIV/0!</v>
      </c>
      <c r="J93" s="14" t="e">
        <f t="shared" si="60"/>
        <v>#DIV/0!</v>
      </c>
      <c r="K93" s="14" t="e">
        <f t="shared" si="60"/>
        <v>#DIV/0!</v>
      </c>
      <c r="L93" s="14" t="e">
        <f t="shared" si="60"/>
        <v>#DIV/0!</v>
      </c>
      <c r="M93" s="14" t="e">
        <f t="shared" si="60"/>
        <v>#DIV/0!</v>
      </c>
      <c r="N93" s="14" t="e">
        <f t="shared" si="60"/>
        <v>#DIV/0!</v>
      </c>
      <c r="O93" s="14" t="e">
        <f t="shared" si="60"/>
        <v>#DIV/0!</v>
      </c>
      <c r="P93" s="14" t="e">
        <f t="shared" si="60"/>
        <v>#DIV/0!</v>
      </c>
      <c r="Q93" s="14" t="e">
        <f t="shared" si="60"/>
        <v>#DIV/0!</v>
      </c>
      <c r="R93" s="14" t="e">
        <f t="shared" si="60"/>
        <v>#DIV/0!</v>
      </c>
      <c r="S93" s="14" t="e">
        <f t="shared" si="60"/>
        <v>#DIV/0!</v>
      </c>
      <c r="T93" s="14" t="e">
        <f t="shared" si="60"/>
        <v>#DIV/0!</v>
      </c>
      <c r="U93" s="14" t="e">
        <f t="shared" si="60"/>
        <v>#DIV/0!</v>
      </c>
      <c r="V93" s="14" t="e">
        <f t="shared" si="60"/>
        <v>#DIV/0!</v>
      </c>
      <c r="W93" s="14" t="e">
        <f t="shared" si="60"/>
        <v>#DIV/0!</v>
      </c>
      <c r="X93" s="14" t="e">
        <f t="shared" si="60"/>
        <v>#DIV/0!</v>
      </c>
      <c r="Y93" s="14" t="e">
        <f t="shared" si="60"/>
        <v>#DIV/0!</v>
      </c>
      <c r="Z93" s="14" t="e">
        <f t="shared" si="60"/>
        <v>#DIV/0!</v>
      </c>
      <c r="AA93" s="14" t="e">
        <f t="shared" si="60"/>
        <v>#DIV/0!</v>
      </c>
      <c r="AB93" s="14" t="e">
        <f t="shared" si="60"/>
        <v>#DIV/0!</v>
      </c>
      <c r="AC93" s="14" t="e">
        <f t="shared" si="60"/>
        <v>#DIV/0!</v>
      </c>
      <c r="AD93" s="14" t="e">
        <f t="shared" si="60"/>
        <v>#DIV/0!</v>
      </c>
      <c r="AE93" s="14" t="e">
        <f t="shared" si="60"/>
        <v>#DIV/0!</v>
      </c>
      <c r="AF93" s="14" t="e">
        <f t="shared" si="60"/>
        <v>#DIV/0!</v>
      </c>
      <c r="AG93" s="14" t="e">
        <f t="shared" si="60"/>
        <v>#DIV/0!</v>
      </c>
      <c r="AH93" s="14" t="e">
        <f t="shared" si="60"/>
        <v>#DIV/0!</v>
      </c>
      <c r="AI93" s="14" t="e">
        <f t="shared" si="60"/>
        <v>#DIV/0!</v>
      </c>
      <c r="AJ93" s="14" t="e">
        <f t="shared" si="60"/>
        <v>#DIV/0!</v>
      </c>
      <c r="AK93" s="14" t="e">
        <f t="shared" si="60"/>
        <v>#DIV/0!</v>
      </c>
      <c r="AL93" s="14" t="e">
        <f t="shared" si="60"/>
        <v>#DIV/0!</v>
      </c>
      <c r="AM93" s="14" t="e">
        <f t="shared" si="60"/>
        <v>#DIV/0!</v>
      </c>
      <c r="AN93" s="14" t="e">
        <f t="shared" si="60"/>
        <v>#DIV/0!</v>
      </c>
      <c r="AO93" s="14" t="e">
        <f t="shared" si="60"/>
        <v>#DIV/0!</v>
      </c>
      <c r="AP93" s="14" t="e">
        <f t="shared" si="60"/>
        <v>#DIV/0!</v>
      </c>
      <c r="AQ93" s="14" t="e">
        <f t="shared" si="60"/>
        <v>#DIV/0!</v>
      </c>
      <c r="AR93" s="14" t="e">
        <f t="shared" si="60"/>
        <v>#DIV/0!</v>
      </c>
      <c r="AS93" s="14" t="e">
        <f t="shared" si="60"/>
        <v>#DIV/0!</v>
      </c>
      <c r="AT93" s="14" t="e">
        <f t="shared" si="60"/>
        <v>#DIV/0!</v>
      </c>
      <c r="AU93" s="14" t="e">
        <f t="shared" si="60"/>
        <v>#DIV/0!</v>
      </c>
      <c r="AV93" s="14" t="e">
        <f t="shared" si="60"/>
        <v>#DIV/0!</v>
      </c>
      <c r="AW93" s="14" t="e">
        <f t="shared" si="60"/>
        <v>#DIV/0!</v>
      </c>
      <c r="AX93" s="14" t="e">
        <f t="shared" si="60"/>
        <v>#DIV/0!</v>
      </c>
      <c r="AY93" s="14" t="e">
        <f t="shared" si="60"/>
        <v>#DIV/0!</v>
      </c>
      <c r="AZ93" s="14" t="e">
        <f t="shared" si="60"/>
        <v>#DIV/0!</v>
      </c>
      <c r="BA93" s="14" t="e">
        <f t="shared" si="60"/>
        <v>#DIV/0!</v>
      </c>
      <c r="BB93" s="14" t="e">
        <f t="shared" si="60"/>
        <v>#DIV/0!</v>
      </c>
      <c r="BC93" s="14" t="e">
        <f t="shared" si="60"/>
        <v>#DIV/0!</v>
      </c>
      <c r="BD93" s="14" t="e">
        <f t="shared" si="60"/>
        <v>#DIV/0!</v>
      </c>
      <c r="BE93" s="14" t="e">
        <f t="shared" si="60"/>
        <v>#DIV/0!</v>
      </c>
      <c r="BF93" s="14" t="e">
        <f t="shared" si="60"/>
        <v>#DIV/0!</v>
      </c>
      <c r="BG93" s="14" t="e">
        <f t="shared" si="60"/>
        <v>#DIV/0!</v>
      </c>
      <c r="BH93" s="14" t="e">
        <f t="shared" si="60"/>
        <v>#DIV/0!</v>
      </c>
      <c r="BI93" s="14" t="e">
        <f t="shared" si="60"/>
        <v>#DIV/0!</v>
      </c>
      <c r="BJ93" s="14" t="e">
        <f t="shared" si="60"/>
        <v>#DIV/0!</v>
      </c>
      <c r="BK93" s="14" t="e">
        <f t="shared" si="60"/>
        <v>#DIV/0!</v>
      </c>
      <c r="BL93" s="14" t="e">
        <f t="shared" si="60"/>
        <v>#DIV/0!</v>
      </c>
      <c r="BM93" s="14" t="e">
        <f t="shared" si="60"/>
        <v>#DIV/0!</v>
      </c>
      <c r="BN93" s="14" t="e">
        <f t="shared" si="60"/>
        <v>#DIV/0!</v>
      </c>
      <c r="BO93" s="14" t="e">
        <f t="shared" si="60"/>
        <v>#DIV/0!</v>
      </c>
      <c r="BP93" s="14" t="e">
        <f t="shared" si="60"/>
        <v>#DIV/0!</v>
      </c>
      <c r="BQ93" s="14" t="e">
        <f t="shared" si="60"/>
        <v>#DIV/0!</v>
      </c>
      <c r="BR93" s="14" t="e">
        <f t="shared" si="60"/>
        <v>#DIV/0!</v>
      </c>
      <c r="BS93" s="98"/>
    </row>
    <row r="94" spans="1:71" ht="21" hidden="1" customHeight="1" outlineLevel="1" thickBot="1" x14ac:dyDescent="0.4">
      <c r="A94" s="5">
        <f t="shared" si="34"/>
        <v>0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>
        <f t="shared" si="28"/>
        <v>0</v>
      </c>
      <c r="F94" s="14" t="e">
        <f t="shared" ref="F94" si="61">F18*$C$78</f>
        <v>#DIV/0!</v>
      </c>
      <c r="G94" s="14" t="e">
        <f t="shared" ref="G94:BR94" si="62">G18*$C$78</f>
        <v>#DIV/0!</v>
      </c>
      <c r="H94" s="14" t="e">
        <f t="shared" si="62"/>
        <v>#DIV/0!</v>
      </c>
      <c r="I94" s="14" t="e">
        <f t="shared" si="62"/>
        <v>#DIV/0!</v>
      </c>
      <c r="J94" s="14" t="e">
        <f t="shared" si="62"/>
        <v>#DIV/0!</v>
      </c>
      <c r="K94" s="14" t="e">
        <f t="shared" si="62"/>
        <v>#DIV/0!</v>
      </c>
      <c r="L94" s="14" t="e">
        <f t="shared" si="62"/>
        <v>#DIV/0!</v>
      </c>
      <c r="M94" s="14" t="e">
        <f t="shared" si="62"/>
        <v>#DIV/0!</v>
      </c>
      <c r="N94" s="14" t="e">
        <f t="shared" si="62"/>
        <v>#DIV/0!</v>
      </c>
      <c r="O94" s="14" t="e">
        <f t="shared" si="62"/>
        <v>#DIV/0!</v>
      </c>
      <c r="P94" s="14" t="e">
        <f t="shared" si="62"/>
        <v>#DIV/0!</v>
      </c>
      <c r="Q94" s="14" t="e">
        <f t="shared" si="62"/>
        <v>#DIV/0!</v>
      </c>
      <c r="R94" s="14" t="e">
        <f t="shared" si="62"/>
        <v>#DIV/0!</v>
      </c>
      <c r="S94" s="14" t="e">
        <f t="shared" si="62"/>
        <v>#DIV/0!</v>
      </c>
      <c r="T94" s="14" t="e">
        <f t="shared" si="62"/>
        <v>#DIV/0!</v>
      </c>
      <c r="U94" s="14" t="e">
        <f t="shared" si="62"/>
        <v>#DIV/0!</v>
      </c>
      <c r="V94" s="14" t="e">
        <f t="shared" si="62"/>
        <v>#DIV/0!</v>
      </c>
      <c r="W94" s="14" t="e">
        <f t="shared" si="62"/>
        <v>#DIV/0!</v>
      </c>
      <c r="X94" s="14" t="e">
        <f t="shared" si="62"/>
        <v>#DIV/0!</v>
      </c>
      <c r="Y94" s="14" t="e">
        <f t="shared" si="62"/>
        <v>#DIV/0!</v>
      </c>
      <c r="Z94" s="14" t="e">
        <f t="shared" si="62"/>
        <v>#DIV/0!</v>
      </c>
      <c r="AA94" s="14" t="e">
        <f t="shared" si="62"/>
        <v>#DIV/0!</v>
      </c>
      <c r="AB94" s="14" t="e">
        <f t="shared" si="62"/>
        <v>#DIV/0!</v>
      </c>
      <c r="AC94" s="14" t="e">
        <f t="shared" si="62"/>
        <v>#DIV/0!</v>
      </c>
      <c r="AD94" s="14" t="e">
        <f t="shared" si="62"/>
        <v>#DIV/0!</v>
      </c>
      <c r="AE94" s="14" t="e">
        <f t="shared" si="62"/>
        <v>#DIV/0!</v>
      </c>
      <c r="AF94" s="14" t="e">
        <f t="shared" si="62"/>
        <v>#DIV/0!</v>
      </c>
      <c r="AG94" s="14" t="e">
        <f t="shared" si="62"/>
        <v>#DIV/0!</v>
      </c>
      <c r="AH94" s="14" t="e">
        <f t="shared" si="62"/>
        <v>#DIV/0!</v>
      </c>
      <c r="AI94" s="14" t="e">
        <f t="shared" si="62"/>
        <v>#DIV/0!</v>
      </c>
      <c r="AJ94" s="14" t="e">
        <f t="shared" si="62"/>
        <v>#DIV/0!</v>
      </c>
      <c r="AK94" s="14" t="e">
        <f t="shared" si="62"/>
        <v>#DIV/0!</v>
      </c>
      <c r="AL94" s="14" t="e">
        <f t="shared" si="62"/>
        <v>#DIV/0!</v>
      </c>
      <c r="AM94" s="14" t="e">
        <f t="shared" si="62"/>
        <v>#DIV/0!</v>
      </c>
      <c r="AN94" s="14" t="e">
        <f t="shared" si="62"/>
        <v>#DIV/0!</v>
      </c>
      <c r="AO94" s="14" t="e">
        <f t="shared" si="62"/>
        <v>#DIV/0!</v>
      </c>
      <c r="AP94" s="14" t="e">
        <f t="shared" si="62"/>
        <v>#DIV/0!</v>
      </c>
      <c r="AQ94" s="14" t="e">
        <f t="shared" si="62"/>
        <v>#DIV/0!</v>
      </c>
      <c r="AR94" s="14" t="e">
        <f t="shared" si="62"/>
        <v>#DIV/0!</v>
      </c>
      <c r="AS94" s="14" t="e">
        <f t="shared" si="62"/>
        <v>#DIV/0!</v>
      </c>
      <c r="AT94" s="14" t="e">
        <f t="shared" si="62"/>
        <v>#DIV/0!</v>
      </c>
      <c r="AU94" s="14" t="e">
        <f t="shared" si="62"/>
        <v>#DIV/0!</v>
      </c>
      <c r="AV94" s="14" t="e">
        <f t="shared" si="62"/>
        <v>#DIV/0!</v>
      </c>
      <c r="AW94" s="14" t="e">
        <f t="shared" si="62"/>
        <v>#DIV/0!</v>
      </c>
      <c r="AX94" s="14" t="e">
        <f t="shared" si="62"/>
        <v>#DIV/0!</v>
      </c>
      <c r="AY94" s="14" t="e">
        <f t="shared" si="62"/>
        <v>#DIV/0!</v>
      </c>
      <c r="AZ94" s="14" t="e">
        <f t="shared" si="62"/>
        <v>#DIV/0!</v>
      </c>
      <c r="BA94" s="14" t="e">
        <f t="shared" si="62"/>
        <v>#DIV/0!</v>
      </c>
      <c r="BB94" s="14" t="e">
        <f t="shared" si="62"/>
        <v>#DIV/0!</v>
      </c>
      <c r="BC94" s="14" t="e">
        <f t="shared" si="62"/>
        <v>#DIV/0!</v>
      </c>
      <c r="BD94" s="14" t="e">
        <f t="shared" si="62"/>
        <v>#DIV/0!</v>
      </c>
      <c r="BE94" s="14" t="e">
        <f t="shared" si="62"/>
        <v>#DIV/0!</v>
      </c>
      <c r="BF94" s="14" t="e">
        <f t="shared" si="62"/>
        <v>#DIV/0!</v>
      </c>
      <c r="BG94" s="14" t="e">
        <f t="shared" si="62"/>
        <v>#DIV/0!</v>
      </c>
      <c r="BH94" s="14" t="e">
        <f t="shared" si="62"/>
        <v>#DIV/0!</v>
      </c>
      <c r="BI94" s="14" t="e">
        <f t="shared" si="62"/>
        <v>#DIV/0!</v>
      </c>
      <c r="BJ94" s="14" t="e">
        <f t="shared" si="62"/>
        <v>#DIV/0!</v>
      </c>
      <c r="BK94" s="14" t="e">
        <f t="shared" si="62"/>
        <v>#DIV/0!</v>
      </c>
      <c r="BL94" s="14" t="e">
        <f t="shared" si="62"/>
        <v>#DIV/0!</v>
      </c>
      <c r="BM94" s="14" t="e">
        <f t="shared" si="62"/>
        <v>#DIV/0!</v>
      </c>
      <c r="BN94" s="14" t="e">
        <f t="shared" si="62"/>
        <v>#DIV/0!</v>
      </c>
      <c r="BO94" s="14" t="e">
        <f t="shared" si="62"/>
        <v>#DIV/0!</v>
      </c>
      <c r="BP94" s="14" t="e">
        <f t="shared" si="62"/>
        <v>#DIV/0!</v>
      </c>
      <c r="BQ94" s="14" t="e">
        <f t="shared" si="62"/>
        <v>#DIV/0!</v>
      </c>
      <c r="BR94" s="14" t="e">
        <f t="shared" si="62"/>
        <v>#DIV/0!</v>
      </c>
      <c r="BS94" s="98"/>
    </row>
    <row r="95" spans="1:71" ht="21" hidden="1" customHeight="1" outlineLevel="1" thickBot="1" x14ac:dyDescent="0.4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0</v>
      </c>
      <c r="E95" s="6">
        <f t="shared" si="28"/>
        <v>0</v>
      </c>
      <c r="F95" s="14" t="e">
        <f t="shared" ref="F95" si="63">F19*$C$78</f>
        <v>#DIV/0!</v>
      </c>
      <c r="G95" s="14" t="e">
        <f t="shared" ref="G95:BR95" si="64">G19*$C$78</f>
        <v>#DIV/0!</v>
      </c>
      <c r="H95" s="14" t="e">
        <f t="shared" si="64"/>
        <v>#DIV/0!</v>
      </c>
      <c r="I95" s="14" t="e">
        <f t="shared" si="64"/>
        <v>#DIV/0!</v>
      </c>
      <c r="J95" s="14" t="e">
        <f t="shared" si="64"/>
        <v>#DIV/0!</v>
      </c>
      <c r="K95" s="14" t="e">
        <f t="shared" si="64"/>
        <v>#DIV/0!</v>
      </c>
      <c r="L95" s="14" t="e">
        <f t="shared" si="64"/>
        <v>#DIV/0!</v>
      </c>
      <c r="M95" s="14" t="e">
        <f t="shared" si="64"/>
        <v>#DIV/0!</v>
      </c>
      <c r="N95" s="14" t="e">
        <f t="shared" si="64"/>
        <v>#DIV/0!</v>
      </c>
      <c r="O95" s="14" t="e">
        <f t="shared" si="64"/>
        <v>#DIV/0!</v>
      </c>
      <c r="P95" s="14" t="e">
        <f t="shared" si="64"/>
        <v>#DIV/0!</v>
      </c>
      <c r="Q95" s="14" t="e">
        <f t="shared" si="64"/>
        <v>#DIV/0!</v>
      </c>
      <c r="R95" s="14" t="e">
        <f t="shared" si="64"/>
        <v>#DIV/0!</v>
      </c>
      <c r="S95" s="14" t="e">
        <f t="shared" si="64"/>
        <v>#DIV/0!</v>
      </c>
      <c r="T95" s="14" t="e">
        <f t="shared" si="64"/>
        <v>#DIV/0!</v>
      </c>
      <c r="U95" s="14" t="e">
        <f t="shared" si="64"/>
        <v>#DIV/0!</v>
      </c>
      <c r="V95" s="14" t="e">
        <f t="shared" si="64"/>
        <v>#DIV/0!</v>
      </c>
      <c r="W95" s="14" t="e">
        <f t="shared" si="64"/>
        <v>#DIV/0!</v>
      </c>
      <c r="X95" s="14" t="e">
        <f t="shared" si="64"/>
        <v>#DIV/0!</v>
      </c>
      <c r="Y95" s="14" t="e">
        <f t="shared" si="64"/>
        <v>#DIV/0!</v>
      </c>
      <c r="Z95" s="14" t="e">
        <f t="shared" si="64"/>
        <v>#DIV/0!</v>
      </c>
      <c r="AA95" s="14" t="e">
        <f t="shared" si="64"/>
        <v>#DIV/0!</v>
      </c>
      <c r="AB95" s="14" t="e">
        <f t="shared" si="64"/>
        <v>#DIV/0!</v>
      </c>
      <c r="AC95" s="14" t="e">
        <f t="shared" si="64"/>
        <v>#DIV/0!</v>
      </c>
      <c r="AD95" s="14" t="e">
        <f t="shared" si="64"/>
        <v>#DIV/0!</v>
      </c>
      <c r="AE95" s="14" t="e">
        <f t="shared" si="64"/>
        <v>#DIV/0!</v>
      </c>
      <c r="AF95" s="14" t="e">
        <f t="shared" si="64"/>
        <v>#DIV/0!</v>
      </c>
      <c r="AG95" s="14" t="e">
        <f t="shared" si="64"/>
        <v>#DIV/0!</v>
      </c>
      <c r="AH95" s="14" t="e">
        <f t="shared" si="64"/>
        <v>#DIV/0!</v>
      </c>
      <c r="AI95" s="14" t="e">
        <f t="shared" si="64"/>
        <v>#DIV/0!</v>
      </c>
      <c r="AJ95" s="14" t="e">
        <f t="shared" si="64"/>
        <v>#DIV/0!</v>
      </c>
      <c r="AK95" s="14" t="e">
        <f t="shared" si="64"/>
        <v>#DIV/0!</v>
      </c>
      <c r="AL95" s="14" t="e">
        <f t="shared" si="64"/>
        <v>#DIV/0!</v>
      </c>
      <c r="AM95" s="14" t="e">
        <f t="shared" si="64"/>
        <v>#DIV/0!</v>
      </c>
      <c r="AN95" s="14" t="e">
        <f t="shared" si="64"/>
        <v>#DIV/0!</v>
      </c>
      <c r="AO95" s="14" t="e">
        <f t="shared" si="64"/>
        <v>#DIV/0!</v>
      </c>
      <c r="AP95" s="14" t="e">
        <f t="shared" si="64"/>
        <v>#DIV/0!</v>
      </c>
      <c r="AQ95" s="14" t="e">
        <f t="shared" si="64"/>
        <v>#DIV/0!</v>
      </c>
      <c r="AR95" s="14" t="e">
        <f t="shared" si="64"/>
        <v>#DIV/0!</v>
      </c>
      <c r="AS95" s="14" t="e">
        <f t="shared" si="64"/>
        <v>#DIV/0!</v>
      </c>
      <c r="AT95" s="14" t="e">
        <f t="shared" si="64"/>
        <v>#DIV/0!</v>
      </c>
      <c r="AU95" s="14" t="e">
        <f t="shared" si="64"/>
        <v>#DIV/0!</v>
      </c>
      <c r="AV95" s="14" t="e">
        <f t="shared" si="64"/>
        <v>#DIV/0!</v>
      </c>
      <c r="AW95" s="14" t="e">
        <f t="shared" si="64"/>
        <v>#DIV/0!</v>
      </c>
      <c r="AX95" s="14" t="e">
        <f t="shared" si="64"/>
        <v>#DIV/0!</v>
      </c>
      <c r="AY95" s="14" t="e">
        <f t="shared" si="64"/>
        <v>#DIV/0!</v>
      </c>
      <c r="AZ95" s="14" t="e">
        <f t="shared" si="64"/>
        <v>#DIV/0!</v>
      </c>
      <c r="BA95" s="14" t="e">
        <f t="shared" si="64"/>
        <v>#DIV/0!</v>
      </c>
      <c r="BB95" s="14" t="e">
        <f t="shared" si="64"/>
        <v>#DIV/0!</v>
      </c>
      <c r="BC95" s="14" t="e">
        <f t="shared" si="64"/>
        <v>#DIV/0!</v>
      </c>
      <c r="BD95" s="14" t="e">
        <f t="shared" si="64"/>
        <v>#DIV/0!</v>
      </c>
      <c r="BE95" s="14" t="e">
        <f t="shared" si="64"/>
        <v>#DIV/0!</v>
      </c>
      <c r="BF95" s="14" t="e">
        <f t="shared" si="64"/>
        <v>#DIV/0!</v>
      </c>
      <c r="BG95" s="14" t="e">
        <f t="shared" si="64"/>
        <v>#DIV/0!</v>
      </c>
      <c r="BH95" s="14" t="e">
        <f t="shared" si="64"/>
        <v>#DIV/0!</v>
      </c>
      <c r="BI95" s="14" t="e">
        <f t="shared" si="64"/>
        <v>#DIV/0!</v>
      </c>
      <c r="BJ95" s="14" t="e">
        <f t="shared" si="64"/>
        <v>#DIV/0!</v>
      </c>
      <c r="BK95" s="14" t="e">
        <f t="shared" si="64"/>
        <v>#DIV/0!</v>
      </c>
      <c r="BL95" s="14" t="e">
        <f t="shared" si="64"/>
        <v>#DIV/0!</v>
      </c>
      <c r="BM95" s="14" t="e">
        <f t="shared" si="64"/>
        <v>#DIV/0!</v>
      </c>
      <c r="BN95" s="14" t="e">
        <f t="shared" si="64"/>
        <v>#DIV/0!</v>
      </c>
      <c r="BO95" s="14" t="e">
        <f t="shared" si="64"/>
        <v>#DIV/0!</v>
      </c>
      <c r="BP95" s="14" t="e">
        <f t="shared" si="64"/>
        <v>#DIV/0!</v>
      </c>
      <c r="BQ95" s="14" t="e">
        <f t="shared" si="64"/>
        <v>#DIV/0!</v>
      </c>
      <c r="BR95" s="14" t="e">
        <f t="shared" si="64"/>
        <v>#DIV/0!</v>
      </c>
      <c r="BS95" s="98"/>
    </row>
    <row r="96" spans="1:71" ht="21" hidden="1" customHeight="1" outlineLevel="1" thickBot="1" x14ac:dyDescent="0.4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 t="e">
        <f t="shared" ref="F96" si="65">F20*$C$78</f>
        <v>#DIV/0!</v>
      </c>
      <c r="G96" s="14" t="e">
        <f t="shared" ref="G96:BR96" si="66">G20*$C$78</f>
        <v>#DIV/0!</v>
      </c>
      <c r="H96" s="14" t="e">
        <f t="shared" si="66"/>
        <v>#DIV/0!</v>
      </c>
      <c r="I96" s="14" t="e">
        <f t="shared" si="66"/>
        <v>#DIV/0!</v>
      </c>
      <c r="J96" s="14" t="e">
        <f t="shared" si="66"/>
        <v>#DIV/0!</v>
      </c>
      <c r="K96" s="14" t="e">
        <f t="shared" si="66"/>
        <v>#DIV/0!</v>
      </c>
      <c r="L96" s="14" t="e">
        <f t="shared" si="66"/>
        <v>#DIV/0!</v>
      </c>
      <c r="M96" s="14" t="e">
        <f t="shared" si="66"/>
        <v>#DIV/0!</v>
      </c>
      <c r="N96" s="14" t="e">
        <f t="shared" si="66"/>
        <v>#DIV/0!</v>
      </c>
      <c r="O96" s="14" t="e">
        <f t="shared" si="66"/>
        <v>#DIV/0!</v>
      </c>
      <c r="P96" s="14" t="e">
        <f t="shared" si="66"/>
        <v>#DIV/0!</v>
      </c>
      <c r="Q96" s="14" t="e">
        <f t="shared" si="66"/>
        <v>#DIV/0!</v>
      </c>
      <c r="R96" s="14" t="e">
        <f t="shared" si="66"/>
        <v>#DIV/0!</v>
      </c>
      <c r="S96" s="14" t="e">
        <f t="shared" si="66"/>
        <v>#DIV/0!</v>
      </c>
      <c r="T96" s="14" t="e">
        <f t="shared" si="66"/>
        <v>#DIV/0!</v>
      </c>
      <c r="U96" s="14" t="e">
        <f t="shared" si="66"/>
        <v>#DIV/0!</v>
      </c>
      <c r="V96" s="14" t="e">
        <f t="shared" si="66"/>
        <v>#DIV/0!</v>
      </c>
      <c r="W96" s="14" t="e">
        <f t="shared" si="66"/>
        <v>#DIV/0!</v>
      </c>
      <c r="X96" s="14" t="e">
        <f t="shared" si="66"/>
        <v>#DIV/0!</v>
      </c>
      <c r="Y96" s="14" t="e">
        <f t="shared" si="66"/>
        <v>#DIV/0!</v>
      </c>
      <c r="Z96" s="14" t="e">
        <f t="shared" si="66"/>
        <v>#DIV/0!</v>
      </c>
      <c r="AA96" s="14" t="e">
        <f t="shared" si="66"/>
        <v>#DIV/0!</v>
      </c>
      <c r="AB96" s="14" t="e">
        <f t="shared" si="66"/>
        <v>#DIV/0!</v>
      </c>
      <c r="AC96" s="14" t="e">
        <f t="shared" si="66"/>
        <v>#DIV/0!</v>
      </c>
      <c r="AD96" s="14" t="e">
        <f t="shared" si="66"/>
        <v>#DIV/0!</v>
      </c>
      <c r="AE96" s="14" t="e">
        <f t="shared" si="66"/>
        <v>#DIV/0!</v>
      </c>
      <c r="AF96" s="14" t="e">
        <f t="shared" si="66"/>
        <v>#DIV/0!</v>
      </c>
      <c r="AG96" s="14" t="e">
        <f t="shared" si="66"/>
        <v>#DIV/0!</v>
      </c>
      <c r="AH96" s="14" t="e">
        <f t="shared" si="66"/>
        <v>#DIV/0!</v>
      </c>
      <c r="AI96" s="14" t="e">
        <f t="shared" si="66"/>
        <v>#DIV/0!</v>
      </c>
      <c r="AJ96" s="14" t="e">
        <f t="shared" si="66"/>
        <v>#DIV/0!</v>
      </c>
      <c r="AK96" s="14" t="e">
        <f t="shared" si="66"/>
        <v>#DIV/0!</v>
      </c>
      <c r="AL96" s="14" t="e">
        <f t="shared" si="66"/>
        <v>#DIV/0!</v>
      </c>
      <c r="AM96" s="14" t="e">
        <f t="shared" si="66"/>
        <v>#DIV/0!</v>
      </c>
      <c r="AN96" s="14" t="e">
        <f t="shared" si="66"/>
        <v>#DIV/0!</v>
      </c>
      <c r="AO96" s="14" t="e">
        <f t="shared" si="66"/>
        <v>#DIV/0!</v>
      </c>
      <c r="AP96" s="14" t="e">
        <f t="shared" si="66"/>
        <v>#DIV/0!</v>
      </c>
      <c r="AQ96" s="14" t="e">
        <f t="shared" si="66"/>
        <v>#DIV/0!</v>
      </c>
      <c r="AR96" s="14" t="e">
        <f t="shared" si="66"/>
        <v>#DIV/0!</v>
      </c>
      <c r="AS96" s="14" t="e">
        <f t="shared" si="66"/>
        <v>#DIV/0!</v>
      </c>
      <c r="AT96" s="14" t="e">
        <f t="shared" si="66"/>
        <v>#DIV/0!</v>
      </c>
      <c r="AU96" s="14" t="e">
        <f t="shared" si="66"/>
        <v>#DIV/0!</v>
      </c>
      <c r="AV96" s="14" t="e">
        <f t="shared" si="66"/>
        <v>#DIV/0!</v>
      </c>
      <c r="AW96" s="14" t="e">
        <f t="shared" si="66"/>
        <v>#DIV/0!</v>
      </c>
      <c r="AX96" s="14" t="e">
        <f t="shared" si="66"/>
        <v>#DIV/0!</v>
      </c>
      <c r="AY96" s="14" t="e">
        <f t="shared" si="66"/>
        <v>#DIV/0!</v>
      </c>
      <c r="AZ96" s="14" t="e">
        <f t="shared" si="66"/>
        <v>#DIV/0!</v>
      </c>
      <c r="BA96" s="14" t="e">
        <f t="shared" si="66"/>
        <v>#DIV/0!</v>
      </c>
      <c r="BB96" s="14" t="e">
        <f t="shared" si="66"/>
        <v>#DIV/0!</v>
      </c>
      <c r="BC96" s="14" t="e">
        <f t="shared" si="66"/>
        <v>#DIV/0!</v>
      </c>
      <c r="BD96" s="14" t="e">
        <f t="shared" si="66"/>
        <v>#DIV/0!</v>
      </c>
      <c r="BE96" s="14" t="e">
        <f t="shared" si="66"/>
        <v>#DIV/0!</v>
      </c>
      <c r="BF96" s="14" t="e">
        <f t="shared" si="66"/>
        <v>#DIV/0!</v>
      </c>
      <c r="BG96" s="14" t="e">
        <f t="shared" si="66"/>
        <v>#DIV/0!</v>
      </c>
      <c r="BH96" s="14" t="e">
        <f t="shared" si="66"/>
        <v>#DIV/0!</v>
      </c>
      <c r="BI96" s="14" t="e">
        <f t="shared" si="66"/>
        <v>#DIV/0!</v>
      </c>
      <c r="BJ96" s="14" t="e">
        <f t="shared" si="66"/>
        <v>#DIV/0!</v>
      </c>
      <c r="BK96" s="14" t="e">
        <f t="shared" si="66"/>
        <v>#DIV/0!</v>
      </c>
      <c r="BL96" s="14" t="e">
        <f t="shared" si="66"/>
        <v>#DIV/0!</v>
      </c>
      <c r="BM96" s="14" t="e">
        <f t="shared" si="66"/>
        <v>#DIV/0!</v>
      </c>
      <c r="BN96" s="14" t="e">
        <f t="shared" si="66"/>
        <v>#DIV/0!</v>
      </c>
      <c r="BO96" s="14" t="e">
        <f t="shared" si="66"/>
        <v>#DIV/0!</v>
      </c>
      <c r="BP96" s="14" t="e">
        <f t="shared" si="66"/>
        <v>#DIV/0!</v>
      </c>
      <c r="BQ96" s="14" t="e">
        <f t="shared" si="66"/>
        <v>#DIV/0!</v>
      </c>
      <c r="BR96" s="14" t="e">
        <f t="shared" si="66"/>
        <v>#DIV/0!</v>
      </c>
      <c r="BS96" s="98"/>
    </row>
    <row r="97" spans="1:87" ht="21" hidden="1" customHeight="1" outlineLevel="1" thickBot="1" x14ac:dyDescent="0.4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 t="e">
        <f t="shared" ref="F97" si="68">F21*$C$78</f>
        <v>#DIV/0!</v>
      </c>
      <c r="G97" s="14" t="e">
        <f t="shared" ref="G97:BR97" si="69">G21*$C$78</f>
        <v>#DIV/0!</v>
      </c>
      <c r="H97" s="14" t="e">
        <f t="shared" si="69"/>
        <v>#DIV/0!</v>
      </c>
      <c r="I97" s="14" t="e">
        <f t="shared" si="69"/>
        <v>#DIV/0!</v>
      </c>
      <c r="J97" s="14" t="e">
        <f t="shared" si="69"/>
        <v>#DIV/0!</v>
      </c>
      <c r="K97" s="14" t="e">
        <f t="shared" si="69"/>
        <v>#DIV/0!</v>
      </c>
      <c r="L97" s="14" t="e">
        <f t="shared" si="69"/>
        <v>#DIV/0!</v>
      </c>
      <c r="M97" s="14" t="e">
        <f t="shared" si="69"/>
        <v>#DIV/0!</v>
      </c>
      <c r="N97" s="14" t="e">
        <f t="shared" si="69"/>
        <v>#DIV/0!</v>
      </c>
      <c r="O97" s="14" t="e">
        <f t="shared" si="69"/>
        <v>#DIV/0!</v>
      </c>
      <c r="P97" s="14" t="e">
        <f t="shared" si="69"/>
        <v>#DIV/0!</v>
      </c>
      <c r="Q97" s="14" t="e">
        <f t="shared" si="69"/>
        <v>#DIV/0!</v>
      </c>
      <c r="R97" s="14" t="e">
        <f t="shared" si="69"/>
        <v>#DIV/0!</v>
      </c>
      <c r="S97" s="14" t="e">
        <f t="shared" si="69"/>
        <v>#DIV/0!</v>
      </c>
      <c r="T97" s="14" t="e">
        <f t="shared" si="69"/>
        <v>#DIV/0!</v>
      </c>
      <c r="U97" s="14" t="e">
        <f t="shared" si="69"/>
        <v>#DIV/0!</v>
      </c>
      <c r="V97" s="14" t="e">
        <f t="shared" si="69"/>
        <v>#DIV/0!</v>
      </c>
      <c r="W97" s="14" t="e">
        <f t="shared" si="69"/>
        <v>#DIV/0!</v>
      </c>
      <c r="X97" s="14" t="e">
        <f t="shared" si="69"/>
        <v>#DIV/0!</v>
      </c>
      <c r="Y97" s="14" t="e">
        <f t="shared" si="69"/>
        <v>#DIV/0!</v>
      </c>
      <c r="Z97" s="14" t="e">
        <f t="shared" si="69"/>
        <v>#DIV/0!</v>
      </c>
      <c r="AA97" s="14" t="e">
        <f t="shared" si="69"/>
        <v>#DIV/0!</v>
      </c>
      <c r="AB97" s="14" t="e">
        <f t="shared" si="69"/>
        <v>#DIV/0!</v>
      </c>
      <c r="AC97" s="14" t="e">
        <f t="shared" si="69"/>
        <v>#DIV/0!</v>
      </c>
      <c r="AD97" s="14" t="e">
        <f t="shared" si="69"/>
        <v>#DIV/0!</v>
      </c>
      <c r="AE97" s="14" t="e">
        <f t="shared" si="69"/>
        <v>#DIV/0!</v>
      </c>
      <c r="AF97" s="14" t="e">
        <f t="shared" si="69"/>
        <v>#DIV/0!</v>
      </c>
      <c r="AG97" s="14" t="e">
        <f t="shared" si="69"/>
        <v>#DIV/0!</v>
      </c>
      <c r="AH97" s="14" t="e">
        <f t="shared" si="69"/>
        <v>#DIV/0!</v>
      </c>
      <c r="AI97" s="14" t="e">
        <f t="shared" si="69"/>
        <v>#DIV/0!</v>
      </c>
      <c r="AJ97" s="14" t="e">
        <f t="shared" si="69"/>
        <v>#DIV/0!</v>
      </c>
      <c r="AK97" s="14" t="e">
        <f t="shared" si="69"/>
        <v>#DIV/0!</v>
      </c>
      <c r="AL97" s="14" t="e">
        <f t="shared" si="69"/>
        <v>#DIV/0!</v>
      </c>
      <c r="AM97" s="14" t="e">
        <f t="shared" si="69"/>
        <v>#DIV/0!</v>
      </c>
      <c r="AN97" s="14" t="e">
        <f t="shared" si="69"/>
        <v>#DIV/0!</v>
      </c>
      <c r="AO97" s="14" t="e">
        <f t="shared" si="69"/>
        <v>#DIV/0!</v>
      </c>
      <c r="AP97" s="14" t="e">
        <f t="shared" si="69"/>
        <v>#DIV/0!</v>
      </c>
      <c r="AQ97" s="14" t="e">
        <f t="shared" si="69"/>
        <v>#DIV/0!</v>
      </c>
      <c r="AR97" s="14" t="e">
        <f t="shared" si="69"/>
        <v>#DIV/0!</v>
      </c>
      <c r="AS97" s="14" t="e">
        <f t="shared" si="69"/>
        <v>#DIV/0!</v>
      </c>
      <c r="AT97" s="14" t="e">
        <f t="shared" si="69"/>
        <v>#DIV/0!</v>
      </c>
      <c r="AU97" s="14" t="e">
        <f t="shared" si="69"/>
        <v>#DIV/0!</v>
      </c>
      <c r="AV97" s="14" t="e">
        <f t="shared" si="69"/>
        <v>#DIV/0!</v>
      </c>
      <c r="AW97" s="14" t="e">
        <f t="shared" si="69"/>
        <v>#DIV/0!</v>
      </c>
      <c r="AX97" s="14" t="e">
        <f t="shared" si="69"/>
        <v>#DIV/0!</v>
      </c>
      <c r="AY97" s="14" t="e">
        <f t="shared" si="69"/>
        <v>#DIV/0!</v>
      </c>
      <c r="AZ97" s="14" t="e">
        <f t="shared" si="69"/>
        <v>#DIV/0!</v>
      </c>
      <c r="BA97" s="14" t="e">
        <f t="shared" si="69"/>
        <v>#DIV/0!</v>
      </c>
      <c r="BB97" s="14" t="e">
        <f t="shared" si="69"/>
        <v>#DIV/0!</v>
      </c>
      <c r="BC97" s="14" t="e">
        <f t="shared" si="69"/>
        <v>#DIV/0!</v>
      </c>
      <c r="BD97" s="14" t="e">
        <f t="shared" si="69"/>
        <v>#DIV/0!</v>
      </c>
      <c r="BE97" s="14" t="e">
        <f t="shared" si="69"/>
        <v>#DIV/0!</v>
      </c>
      <c r="BF97" s="14" t="e">
        <f t="shared" si="69"/>
        <v>#DIV/0!</v>
      </c>
      <c r="BG97" s="14" t="e">
        <f t="shared" si="69"/>
        <v>#DIV/0!</v>
      </c>
      <c r="BH97" s="14" t="e">
        <f t="shared" si="69"/>
        <v>#DIV/0!</v>
      </c>
      <c r="BI97" s="14" t="e">
        <f t="shared" si="69"/>
        <v>#DIV/0!</v>
      </c>
      <c r="BJ97" s="14" t="e">
        <f t="shared" si="69"/>
        <v>#DIV/0!</v>
      </c>
      <c r="BK97" s="14" t="e">
        <f t="shared" si="69"/>
        <v>#DIV/0!</v>
      </c>
      <c r="BL97" s="14" t="e">
        <f t="shared" si="69"/>
        <v>#DIV/0!</v>
      </c>
      <c r="BM97" s="14" t="e">
        <f t="shared" si="69"/>
        <v>#DIV/0!</v>
      </c>
      <c r="BN97" s="14" t="e">
        <f t="shared" si="69"/>
        <v>#DIV/0!</v>
      </c>
      <c r="BO97" s="14" t="e">
        <f t="shared" si="69"/>
        <v>#DIV/0!</v>
      </c>
      <c r="BP97" s="14" t="e">
        <f t="shared" si="69"/>
        <v>#DIV/0!</v>
      </c>
      <c r="BQ97" s="14" t="e">
        <f t="shared" si="69"/>
        <v>#DIV/0!</v>
      </c>
      <c r="BR97" s="14" t="e">
        <f t="shared" si="69"/>
        <v>#DIV/0!</v>
      </c>
      <c r="BS97" s="98"/>
    </row>
    <row r="98" spans="1:87" ht="21" hidden="1" customHeight="1" outlineLevel="1" thickBot="1" x14ac:dyDescent="0.4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 t="e">
        <f t="shared" ref="F98" si="70">F22*$C$78</f>
        <v>#DIV/0!</v>
      </c>
      <c r="G98" s="14" t="e">
        <f t="shared" ref="G98:BR98" si="71">G22*$C$78</f>
        <v>#DIV/0!</v>
      </c>
      <c r="H98" s="14" t="e">
        <f t="shared" si="71"/>
        <v>#DIV/0!</v>
      </c>
      <c r="I98" s="14" t="e">
        <f t="shared" si="71"/>
        <v>#DIV/0!</v>
      </c>
      <c r="J98" s="14" t="e">
        <f t="shared" si="71"/>
        <v>#DIV/0!</v>
      </c>
      <c r="K98" s="14" t="e">
        <f t="shared" si="71"/>
        <v>#DIV/0!</v>
      </c>
      <c r="L98" s="14" t="e">
        <f t="shared" si="71"/>
        <v>#DIV/0!</v>
      </c>
      <c r="M98" s="14" t="e">
        <f t="shared" si="71"/>
        <v>#DIV/0!</v>
      </c>
      <c r="N98" s="14" t="e">
        <f t="shared" si="71"/>
        <v>#DIV/0!</v>
      </c>
      <c r="O98" s="14" t="e">
        <f t="shared" si="71"/>
        <v>#DIV/0!</v>
      </c>
      <c r="P98" s="14" t="e">
        <f t="shared" si="71"/>
        <v>#DIV/0!</v>
      </c>
      <c r="Q98" s="14" t="e">
        <f t="shared" si="71"/>
        <v>#DIV/0!</v>
      </c>
      <c r="R98" s="14" t="e">
        <f t="shared" si="71"/>
        <v>#DIV/0!</v>
      </c>
      <c r="S98" s="14" t="e">
        <f t="shared" si="71"/>
        <v>#DIV/0!</v>
      </c>
      <c r="T98" s="14" t="e">
        <f t="shared" si="71"/>
        <v>#DIV/0!</v>
      </c>
      <c r="U98" s="14" t="e">
        <f t="shared" si="71"/>
        <v>#DIV/0!</v>
      </c>
      <c r="V98" s="14" t="e">
        <f t="shared" si="71"/>
        <v>#DIV/0!</v>
      </c>
      <c r="W98" s="14" t="e">
        <f t="shared" si="71"/>
        <v>#DIV/0!</v>
      </c>
      <c r="X98" s="14" t="e">
        <f t="shared" si="71"/>
        <v>#DIV/0!</v>
      </c>
      <c r="Y98" s="14" t="e">
        <f t="shared" si="71"/>
        <v>#DIV/0!</v>
      </c>
      <c r="Z98" s="14" t="e">
        <f t="shared" si="71"/>
        <v>#DIV/0!</v>
      </c>
      <c r="AA98" s="14" t="e">
        <f t="shared" si="71"/>
        <v>#DIV/0!</v>
      </c>
      <c r="AB98" s="14" t="e">
        <f t="shared" si="71"/>
        <v>#DIV/0!</v>
      </c>
      <c r="AC98" s="14" t="e">
        <f t="shared" si="71"/>
        <v>#DIV/0!</v>
      </c>
      <c r="AD98" s="14" t="e">
        <f t="shared" si="71"/>
        <v>#DIV/0!</v>
      </c>
      <c r="AE98" s="14" t="e">
        <f t="shared" si="71"/>
        <v>#DIV/0!</v>
      </c>
      <c r="AF98" s="14" t="e">
        <f t="shared" si="71"/>
        <v>#DIV/0!</v>
      </c>
      <c r="AG98" s="14" t="e">
        <f t="shared" si="71"/>
        <v>#DIV/0!</v>
      </c>
      <c r="AH98" s="14" t="e">
        <f t="shared" si="71"/>
        <v>#DIV/0!</v>
      </c>
      <c r="AI98" s="14" t="e">
        <f t="shared" si="71"/>
        <v>#DIV/0!</v>
      </c>
      <c r="AJ98" s="14" t="e">
        <f t="shared" si="71"/>
        <v>#DIV/0!</v>
      </c>
      <c r="AK98" s="14" t="e">
        <f t="shared" si="71"/>
        <v>#DIV/0!</v>
      </c>
      <c r="AL98" s="14" t="e">
        <f t="shared" si="71"/>
        <v>#DIV/0!</v>
      </c>
      <c r="AM98" s="14" t="e">
        <f t="shared" si="71"/>
        <v>#DIV/0!</v>
      </c>
      <c r="AN98" s="14" t="e">
        <f t="shared" si="71"/>
        <v>#DIV/0!</v>
      </c>
      <c r="AO98" s="14" t="e">
        <f t="shared" si="71"/>
        <v>#DIV/0!</v>
      </c>
      <c r="AP98" s="14" t="e">
        <f t="shared" si="71"/>
        <v>#DIV/0!</v>
      </c>
      <c r="AQ98" s="14" t="e">
        <f t="shared" si="71"/>
        <v>#DIV/0!</v>
      </c>
      <c r="AR98" s="14" t="e">
        <f t="shared" si="71"/>
        <v>#DIV/0!</v>
      </c>
      <c r="AS98" s="14" t="e">
        <f t="shared" si="71"/>
        <v>#DIV/0!</v>
      </c>
      <c r="AT98" s="14" t="e">
        <f t="shared" si="71"/>
        <v>#DIV/0!</v>
      </c>
      <c r="AU98" s="14" t="e">
        <f t="shared" si="71"/>
        <v>#DIV/0!</v>
      </c>
      <c r="AV98" s="14" t="e">
        <f t="shared" si="71"/>
        <v>#DIV/0!</v>
      </c>
      <c r="AW98" s="14" t="e">
        <f t="shared" si="71"/>
        <v>#DIV/0!</v>
      </c>
      <c r="AX98" s="14" t="e">
        <f t="shared" si="71"/>
        <v>#DIV/0!</v>
      </c>
      <c r="AY98" s="14" t="e">
        <f t="shared" si="71"/>
        <v>#DIV/0!</v>
      </c>
      <c r="AZ98" s="14" t="e">
        <f t="shared" si="71"/>
        <v>#DIV/0!</v>
      </c>
      <c r="BA98" s="14" t="e">
        <f t="shared" si="71"/>
        <v>#DIV/0!</v>
      </c>
      <c r="BB98" s="14" t="e">
        <f t="shared" si="71"/>
        <v>#DIV/0!</v>
      </c>
      <c r="BC98" s="14" t="e">
        <f t="shared" si="71"/>
        <v>#DIV/0!</v>
      </c>
      <c r="BD98" s="14" t="e">
        <f t="shared" si="71"/>
        <v>#DIV/0!</v>
      </c>
      <c r="BE98" s="14" t="e">
        <f t="shared" si="71"/>
        <v>#DIV/0!</v>
      </c>
      <c r="BF98" s="14" t="e">
        <f t="shared" si="71"/>
        <v>#DIV/0!</v>
      </c>
      <c r="BG98" s="14" t="e">
        <f t="shared" si="71"/>
        <v>#DIV/0!</v>
      </c>
      <c r="BH98" s="14" t="e">
        <f t="shared" si="71"/>
        <v>#DIV/0!</v>
      </c>
      <c r="BI98" s="14" t="e">
        <f t="shared" si="71"/>
        <v>#DIV/0!</v>
      </c>
      <c r="BJ98" s="14" t="e">
        <f t="shared" si="71"/>
        <v>#DIV/0!</v>
      </c>
      <c r="BK98" s="14" t="e">
        <f t="shared" si="71"/>
        <v>#DIV/0!</v>
      </c>
      <c r="BL98" s="14" t="e">
        <f t="shared" si="71"/>
        <v>#DIV/0!</v>
      </c>
      <c r="BM98" s="14" t="e">
        <f t="shared" si="71"/>
        <v>#DIV/0!</v>
      </c>
      <c r="BN98" s="14" t="e">
        <f t="shared" si="71"/>
        <v>#DIV/0!</v>
      </c>
      <c r="BO98" s="14" t="e">
        <f t="shared" si="71"/>
        <v>#DIV/0!</v>
      </c>
      <c r="BP98" s="14" t="e">
        <f t="shared" si="71"/>
        <v>#DIV/0!</v>
      </c>
      <c r="BQ98" s="14" t="e">
        <f t="shared" si="71"/>
        <v>#DIV/0!</v>
      </c>
      <c r="BR98" s="14" t="e">
        <f t="shared" si="71"/>
        <v>#DIV/0!</v>
      </c>
      <c r="BS98" s="98"/>
    </row>
    <row r="99" spans="1:87" ht="21" hidden="1" customHeight="1" outlineLevel="1" thickBot="1" x14ac:dyDescent="0.4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 t="e">
        <f t="shared" ref="F99" si="72">F23*$C$78</f>
        <v>#DIV/0!</v>
      </c>
      <c r="G99" s="14" t="e">
        <f t="shared" ref="G99:BR99" si="73">G23*$C$78</f>
        <v>#DIV/0!</v>
      </c>
      <c r="H99" s="14" t="e">
        <f t="shared" si="73"/>
        <v>#DIV/0!</v>
      </c>
      <c r="I99" s="14" t="e">
        <f t="shared" si="73"/>
        <v>#DIV/0!</v>
      </c>
      <c r="J99" s="14" t="e">
        <f t="shared" si="73"/>
        <v>#DIV/0!</v>
      </c>
      <c r="K99" s="14" t="e">
        <f t="shared" si="73"/>
        <v>#DIV/0!</v>
      </c>
      <c r="L99" s="14" t="e">
        <f t="shared" si="73"/>
        <v>#DIV/0!</v>
      </c>
      <c r="M99" s="14" t="e">
        <f t="shared" si="73"/>
        <v>#DIV/0!</v>
      </c>
      <c r="N99" s="14" t="e">
        <f t="shared" si="73"/>
        <v>#DIV/0!</v>
      </c>
      <c r="O99" s="14" t="e">
        <f t="shared" si="73"/>
        <v>#DIV/0!</v>
      </c>
      <c r="P99" s="14" t="e">
        <f t="shared" si="73"/>
        <v>#DIV/0!</v>
      </c>
      <c r="Q99" s="14" t="e">
        <f t="shared" si="73"/>
        <v>#DIV/0!</v>
      </c>
      <c r="R99" s="14" t="e">
        <f t="shared" si="73"/>
        <v>#DIV/0!</v>
      </c>
      <c r="S99" s="14" t="e">
        <f t="shared" si="73"/>
        <v>#DIV/0!</v>
      </c>
      <c r="T99" s="14" t="e">
        <f t="shared" si="73"/>
        <v>#DIV/0!</v>
      </c>
      <c r="U99" s="14" t="e">
        <f t="shared" si="73"/>
        <v>#DIV/0!</v>
      </c>
      <c r="V99" s="14" t="e">
        <f t="shared" si="73"/>
        <v>#DIV/0!</v>
      </c>
      <c r="W99" s="14" t="e">
        <f t="shared" si="73"/>
        <v>#DIV/0!</v>
      </c>
      <c r="X99" s="14" t="e">
        <f t="shared" si="73"/>
        <v>#DIV/0!</v>
      </c>
      <c r="Y99" s="14" t="e">
        <f t="shared" si="73"/>
        <v>#DIV/0!</v>
      </c>
      <c r="Z99" s="14" t="e">
        <f t="shared" si="73"/>
        <v>#DIV/0!</v>
      </c>
      <c r="AA99" s="14" t="e">
        <f t="shared" si="73"/>
        <v>#DIV/0!</v>
      </c>
      <c r="AB99" s="14" t="e">
        <f t="shared" si="73"/>
        <v>#DIV/0!</v>
      </c>
      <c r="AC99" s="14" t="e">
        <f t="shared" si="73"/>
        <v>#DIV/0!</v>
      </c>
      <c r="AD99" s="14" t="e">
        <f t="shared" si="73"/>
        <v>#DIV/0!</v>
      </c>
      <c r="AE99" s="14" t="e">
        <f t="shared" si="73"/>
        <v>#DIV/0!</v>
      </c>
      <c r="AF99" s="14" t="e">
        <f t="shared" si="73"/>
        <v>#DIV/0!</v>
      </c>
      <c r="AG99" s="14" t="e">
        <f t="shared" si="73"/>
        <v>#DIV/0!</v>
      </c>
      <c r="AH99" s="14" t="e">
        <f t="shared" si="73"/>
        <v>#DIV/0!</v>
      </c>
      <c r="AI99" s="14" t="e">
        <f t="shared" si="73"/>
        <v>#DIV/0!</v>
      </c>
      <c r="AJ99" s="14" t="e">
        <f t="shared" si="73"/>
        <v>#DIV/0!</v>
      </c>
      <c r="AK99" s="14" t="e">
        <f t="shared" si="73"/>
        <v>#DIV/0!</v>
      </c>
      <c r="AL99" s="14" t="e">
        <f t="shared" si="73"/>
        <v>#DIV/0!</v>
      </c>
      <c r="AM99" s="14" t="e">
        <f t="shared" si="73"/>
        <v>#DIV/0!</v>
      </c>
      <c r="AN99" s="14" t="e">
        <f t="shared" si="73"/>
        <v>#DIV/0!</v>
      </c>
      <c r="AO99" s="14" t="e">
        <f t="shared" si="73"/>
        <v>#DIV/0!</v>
      </c>
      <c r="AP99" s="14" t="e">
        <f t="shared" si="73"/>
        <v>#DIV/0!</v>
      </c>
      <c r="AQ99" s="14" t="e">
        <f t="shared" si="73"/>
        <v>#DIV/0!</v>
      </c>
      <c r="AR99" s="14" t="e">
        <f t="shared" si="73"/>
        <v>#DIV/0!</v>
      </c>
      <c r="AS99" s="14" t="e">
        <f t="shared" si="73"/>
        <v>#DIV/0!</v>
      </c>
      <c r="AT99" s="14" t="e">
        <f t="shared" si="73"/>
        <v>#DIV/0!</v>
      </c>
      <c r="AU99" s="14" t="e">
        <f t="shared" si="73"/>
        <v>#DIV/0!</v>
      </c>
      <c r="AV99" s="14" t="e">
        <f t="shared" si="73"/>
        <v>#DIV/0!</v>
      </c>
      <c r="AW99" s="14" t="e">
        <f t="shared" si="73"/>
        <v>#DIV/0!</v>
      </c>
      <c r="AX99" s="14" t="e">
        <f t="shared" si="73"/>
        <v>#DIV/0!</v>
      </c>
      <c r="AY99" s="14" t="e">
        <f t="shared" si="73"/>
        <v>#DIV/0!</v>
      </c>
      <c r="AZ99" s="14" t="e">
        <f t="shared" si="73"/>
        <v>#DIV/0!</v>
      </c>
      <c r="BA99" s="14" t="e">
        <f t="shared" si="73"/>
        <v>#DIV/0!</v>
      </c>
      <c r="BB99" s="14" t="e">
        <f t="shared" si="73"/>
        <v>#DIV/0!</v>
      </c>
      <c r="BC99" s="14" t="e">
        <f t="shared" si="73"/>
        <v>#DIV/0!</v>
      </c>
      <c r="BD99" s="14" t="e">
        <f t="shared" si="73"/>
        <v>#DIV/0!</v>
      </c>
      <c r="BE99" s="14" t="e">
        <f t="shared" si="73"/>
        <v>#DIV/0!</v>
      </c>
      <c r="BF99" s="14" t="e">
        <f t="shared" si="73"/>
        <v>#DIV/0!</v>
      </c>
      <c r="BG99" s="14" t="e">
        <f t="shared" si="73"/>
        <v>#DIV/0!</v>
      </c>
      <c r="BH99" s="14" t="e">
        <f t="shared" si="73"/>
        <v>#DIV/0!</v>
      </c>
      <c r="BI99" s="14" t="e">
        <f t="shared" si="73"/>
        <v>#DIV/0!</v>
      </c>
      <c r="BJ99" s="14" t="e">
        <f t="shared" si="73"/>
        <v>#DIV/0!</v>
      </c>
      <c r="BK99" s="14" t="e">
        <f t="shared" si="73"/>
        <v>#DIV/0!</v>
      </c>
      <c r="BL99" s="14" t="e">
        <f t="shared" si="73"/>
        <v>#DIV/0!</v>
      </c>
      <c r="BM99" s="14" t="e">
        <f t="shared" si="73"/>
        <v>#DIV/0!</v>
      </c>
      <c r="BN99" s="14" t="e">
        <f t="shared" si="73"/>
        <v>#DIV/0!</v>
      </c>
      <c r="BO99" s="14" t="e">
        <f t="shared" si="73"/>
        <v>#DIV/0!</v>
      </c>
      <c r="BP99" s="14" t="e">
        <f t="shared" si="73"/>
        <v>#DIV/0!</v>
      </c>
      <c r="BQ99" s="14" t="e">
        <f t="shared" si="73"/>
        <v>#DIV/0!</v>
      </c>
      <c r="BR99" s="14" t="e">
        <f t="shared" si="73"/>
        <v>#DIV/0!</v>
      </c>
      <c r="BS99" s="98"/>
    </row>
    <row r="100" spans="1:87" ht="21" hidden="1" customHeight="1" outlineLevel="1" thickBot="1" x14ac:dyDescent="0.4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 t="e">
        <f t="shared" ref="F100" si="74">F24*$C$78</f>
        <v>#DIV/0!</v>
      </c>
      <c r="G100" s="14" t="e">
        <f t="shared" ref="G100:BR100" si="75">G24*$C$78</f>
        <v>#DIV/0!</v>
      </c>
      <c r="H100" s="14" t="e">
        <f t="shared" si="75"/>
        <v>#DIV/0!</v>
      </c>
      <c r="I100" s="14" t="e">
        <f t="shared" si="75"/>
        <v>#DIV/0!</v>
      </c>
      <c r="J100" s="14" t="e">
        <f t="shared" si="75"/>
        <v>#DIV/0!</v>
      </c>
      <c r="K100" s="14" t="e">
        <f t="shared" si="75"/>
        <v>#DIV/0!</v>
      </c>
      <c r="L100" s="14" t="e">
        <f t="shared" si="75"/>
        <v>#DIV/0!</v>
      </c>
      <c r="M100" s="14" t="e">
        <f t="shared" si="75"/>
        <v>#DIV/0!</v>
      </c>
      <c r="N100" s="14" t="e">
        <f t="shared" si="75"/>
        <v>#DIV/0!</v>
      </c>
      <c r="O100" s="14" t="e">
        <f t="shared" si="75"/>
        <v>#DIV/0!</v>
      </c>
      <c r="P100" s="14" t="e">
        <f t="shared" si="75"/>
        <v>#DIV/0!</v>
      </c>
      <c r="Q100" s="14" t="e">
        <f t="shared" si="75"/>
        <v>#DIV/0!</v>
      </c>
      <c r="R100" s="14" t="e">
        <f t="shared" si="75"/>
        <v>#DIV/0!</v>
      </c>
      <c r="S100" s="14" t="e">
        <f t="shared" si="75"/>
        <v>#DIV/0!</v>
      </c>
      <c r="T100" s="14" t="e">
        <f t="shared" si="75"/>
        <v>#DIV/0!</v>
      </c>
      <c r="U100" s="14" t="e">
        <f t="shared" si="75"/>
        <v>#DIV/0!</v>
      </c>
      <c r="V100" s="14" t="e">
        <f t="shared" si="75"/>
        <v>#DIV/0!</v>
      </c>
      <c r="W100" s="14" t="e">
        <f t="shared" si="75"/>
        <v>#DIV/0!</v>
      </c>
      <c r="X100" s="14" t="e">
        <f t="shared" si="75"/>
        <v>#DIV/0!</v>
      </c>
      <c r="Y100" s="14" t="e">
        <f t="shared" si="75"/>
        <v>#DIV/0!</v>
      </c>
      <c r="Z100" s="14" t="e">
        <f t="shared" si="75"/>
        <v>#DIV/0!</v>
      </c>
      <c r="AA100" s="14" t="e">
        <f t="shared" si="75"/>
        <v>#DIV/0!</v>
      </c>
      <c r="AB100" s="14" t="e">
        <f t="shared" si="75"/>
        <v>#DIV/0!</v>
      </c>
      <c r="AC100" s="14" t="e">
        <f t="shared" si="75"/>
        <v>#DIV/0!</v>
      </c>
      <c r="AD100" s="14" t="e">
        <f t="shared" si="75"/>
        <v>#DIV/0!</v>
      </c>
      <c r="AE100" s="14" t="e">
        <f t="shared" si="75"/>
        <v>#DIV/0!</v>
      </c>
      <c r="AF100" s="14" t="e">
        <f t="shared" si="75"/>
        <v>#DIV/0!</v>
      </c>
      <c r="AG100" s="14" t="e">
        <f t="shared" si="75"/>
        <v>#DIV/0!</v>
      </c>
      <c r="AH100" s="14" t="e">
        <f t="shared" si="75"/>
        <v>#DIV/0!</v>
      </c>
      <c r="AI100" s="14" t="e">
        <f t="shared" si="75"/>
        <v>#DIV/0!</v>
      </c>
      <c r="AJ100" s="14" t="e">
        <f t="shared" si="75"/>
        <v>#DIV/0!</v>
      </c>
      <c r="AK100" s="14" t="e">
        <f t="shared" si="75"/>
        <v>#DIV/0!</v>
      </c>
      <c r="AL100" s="14" t="e">
        <f t="shared" si="75"/>
        <v>#DIV/0!</v>
      </c>
      <c r="AM100" s="14" t="e">
        <f t="shared" si="75"/>
        <v>#DIV/0!</v>
      </c>
      <c r="AN100" s="14" t="e">
        <f t="shared" si="75"/>
        <v>#DIV/0!</v>
      </c>
      <c r="AO100" s="14" t="e">
        <f t="shared" si="75"/>
        <v>#DIV/0!</v>
      </c>
      <c r="AP100" s="14" t="e">
        <f t="shared" si="75"/>
        <v>#DIV/0!</v>
      </c>
      <c r="AQ100" s="14" t="e">
        <f t="shared" si="75"/>
        <v>#DIV/0!</v>
      </c>
      <c r="AR100" s="14" t="e">
        <f t="shared" si="75"/>
        <v>#DIV/0!</v>
      </c>
      <c r="AS100" s="14" t="e">
        <f t="shared" si="75"/>
        <v>#DIV/0!</v>
      </c>
      <c r="AT100" s="14" t="e">
        <f t="shared" si="75"/>
        <v>#DIV/0!</v>
      </c>
      <c r="AU100" s="14" t="e">
        <f t="shared" si="75"/>
        <v>#DIV/0!</v>
      </c>
      <c r="AV100" s="14" t="e">
        <f t="shared" si="75"/>
        <v>#DIV/0!</v>
      </c>
      <c r="AW100" s="14" t="e">
        <f t="shared" si="75"/>
        <v>#DIV/0!</v>
      </c>
      <c r="AX100" s="14" t="e">
        <f t="shared" si="75"/>
        <v>#DIV/0!</v>
      </c>
      <c r="AY100" s="14" t="e">
        <f t="shared" si="75"/>
        <v>#DIV/0!</v>
      </c>
      <c r="AZ100" s="14" t="e">
        <f t="shared" si="75"/>
        <v>#DIV/0!</v>
      </c>
      <c r="BA100" s="14" t="e">
        <f t="shared" si="75"/>
        <v>#DIV/0!</v>
      </c>
      <c r="BB100" s="14" t="e">
        <f t="shared" si="75"/>
        <v>#DIV/0!</v>
      </c>
      <c r="BC100" s="14" t="e">
        <f t="shared" si="75"/>
        <v>#DIV/0!</v>
      </c>
      <c r="BD100" s="14" t="e">
        <f t="shared" si="75"/>
        <v>#DIV/0!</v>
      </c>
      <c r="BE100" s="14" t="e">
        <f t="shared" si="75"/>
        <v>#DIV/0!</v>
      </c>
      <c r="BF100" s="14" t="e">
        <f t="shared" si="75"/>
        <v>#DIV/0!</v>
      </c>
      <c r="BG100" s="14" t="e">
        <f t="shared" si="75"/>
        <v>#DIV/0!</v>
      </c>
      <c r="BH100" s="14" t="e">
        <f t="shared" si="75"/>
        <v>#DIV/0!</v>
      </c>
      <c r="BI100" s="14" t="e">
        <f t="shared" si="75"/>
        <v>#DIV/0!</v>
      </c>
      <c r="BJ100" s="14" t="e">
        <f t="shared" si="75"/>
        <v>#DIV/0!</v>
      </c>
      <c r="BK100" s="14" t="e">
        <f t="shared" si="75"/>
        <v>#DIV/0!</v>
      </c>
      <c r="BL100" s="14" t="e">
        <f t="shared" si="75"/>
        <v>#DIV/0!</v>
      </c>
      <c r="BM100" s="14" t="e">
        <f t="shared" si="75"/>
        <v>#DIV/0!</v>
      </c>
      <c r="BN100" s="14" t="e">
        <f t="shared" si="75"/>
        <v>#DIV/0!</v>
      </c>
      <c r="BO100" s="14" t="e">
        <f t="shared" si="75"/>
        <v>#DIV/0!</v>
      </c>
      <c r="BP100" s="14" t="e">
        <f t="shared" si="75"/>
        <v>#DIV/0!</v>
      </c>
      <c r="BQ100" s="14" t="e">
        <f t="shared" si="75"/>
        <v>#DIV/0!</v>
      </c>
      <c r="BR100" s="14" t="e">
        <f t="shared" si="75"/>
        <v>#DIV/0!</v>
      </c>
      <c r="BS100" s="98"/>
    </row>
    <row r="101" spans="1:87" ht="21" hidden="1" customHeight="1" outlineLevel="1" thickBot="1" x14ac:dyDescent="0.4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 t="e">
        <f t="shared" ref="F101" si="76">F25*$C$78</f>
        <v>#DIV/0!</v>
      </c>
      <c r="G101" s="14" t="e">
        <f t="shared" ref="G101:BR101" si="77">G25*$C$78</f>
        <v>#DIV/0!</v>
      </c>
      <c r="H101" s="14" t="e">
        <f t="shared" si="77"/>
        <v>#DIV/0!</v>
      </c>
      <c r="I101" s="14" t="e">
        <f t="shared" si="77"/>
        <v>#DIV/0!</v>
      </c>
      <c r="J101" s="14" t="e">
        <f t="shared" si="77"/>
        <v>#DIV/0!</v>
      </c>
      <c r="K101" s="14" t="e">
        <f t="shared" si="77"/>
        <v>#DIV/0!</v>
      </c>
      <c r="L101" s="14" t="e">
        <f t="shared" si="77"/>
        <v>#DIV/0!</v>
      </c>
      <c r="M101" s="14" t="e">
        <f t="shared" si="77"/>
        <v>#DIV/0!</v>
      </c>
      <c r="N101" s="14" t="e">
        <f t="shared" si="77"/>
        <v>#DIV/0!</v>
      </c>
      <c r="O101" s="14" t="e">
        <f t="shared" si="77"/>
        <v>#DIV/0!</v>
      </c>
      <c r="P101" s="14" t="e">
        <f t="shared" si="77"/>
        <v>#DIV/0!</v>
      </c>
      <c r="Q101" s="14" t="e">
        <f t="shared" si="77"/>
        <v>#DIV/0!</v>
      </c>
      <c r="R101" s="14" t="e">
        <f t="shared" si="77"/>
        <v>#DIV/0!</v>
      </c>
      <c r="S101" s="14" t="e">
        <f t="shared" si="77"/>
        <v>#DIV/0!</v>
      </c>
      <c r="T101" s="14" t="e">
        <f t="shared" si="77"/>
        <v>#DIV/0!</v>
      </c>
      <c r="U101" s="14" t="e">
        <f t="shared" si="77"/>
        <v>#DIV/0!</v>
      </c>
      <c r="V101" s="14" t="e">
        <f t="shared" si="77"/>
        <v>#DIV/0!</v>
      </c>
      <c r="W101" s="14" t="e">
        <f t="shared" si="77"/>
        <v>#DIV/0!</v>
      </c>
      <c r="X101" s="14" t="e">
        <f t="shared" si="77"/>
        <v>#DIV/0!</v>
      </c>
      <c r="Y101" s="14" t="e">
        <f t="shared" si="77"/>
        <v>#DIV/0!</v>
      </c>
      <c r="Z101" s="14" t="e">
        <f t="shared" si="77"/>
        <v>#DIV/0!</v>
      </c>
      <c r="AA101" s="14" t="e">
        <f t="shared" si="77"/>
        <v>#DIV/0!</v>
      </c>
      <c r="AB101" s="14" t="e">
        <f t="shared" si="77"/>
        <v>#DIV/0!</v>
      </c>
      <c r="AC101" s="14" t="e">
        <f t="shared" si="77"/>
        <v>#DIV/0!</v>
      </c>
      <c r="AD101" s="14" t="e">
        <f t="shared" si="77"/>
        <v>#DIV/0!</v>
      </c>
      <c r="AE101" s="14" t="e">
        <f t="shared" si="77"/>
        <v>#DIV/0!</v>
      </c>
      <c r="AF101" s="14" t="e">
        <f t="shared" si="77"/>
        <v>#DIV/0!</v>
      </c>
      <c r="AG101" s="14" t="e">
        <f t="shared" si="77"/>
        <v>#DIV/0!</v>
      </c>
      <c r="AH101" s="14" t="e">
        <f t="shared" si="77"/>
        <v>#DIV/0!</v>
      </c>
      <c r="AI101" s="14" t="e">
        <f t="shared" si="77"/>
        <v>#DIV/0!</v>
      </c>
      <c r="AJ101" s="14" t="e">
        <f t="shared" si="77"/>
        <v>#DIV/0!</v>
      </c>
      <c r="AK101" s="14" t="e">
        <f t="shared" si="77"/>
        <v>#DIV/0!</v>
      </c>
      <c r="AL101" s="14" t="e">
        <f t="shared" si="77"/>
        <v>#DIV/0!</v>
      </c>
      <c r="AM101" s="14" t="e">
        <f t="shared" si="77"/>
        <v>#DIV/0!</v>
      </c>
      <c r="AN101" s="14" t="e">
        <f t="shared" si="77"/>
        <v>#DIV/0!</v>
      </c>
      <c r="AO101" s="14" t="e">
        <f t="shared" si="77"/>
        <v>#DIV/0!</v>
      </c>
      <c r="AP101" s="14" t="e">
        <f t="shared" si="77"/>
        <v>#DIV/0!</v>
      </c>
      <c r="AQ101" s="14" t="e">
        <f t="shared" si="77"/>
        <v>#DIV/0!</v>
      </c>
      <c r="AR101" s="14" t="e">
        <f t="shared" si="77"/>
        <v>#DIV/0!</v>
      </c>
      <c r="AS101" s="14" t="e">
        <f t="shared" si="77"/>
        <v>#DIV/0!</v>
      </c>
      <c r="AT101" s="14" t="e">
        <f t="shared" si="77"/>
        <v>#DIV/0!</v>
      </c>
      <c r="AU101" s="14" t="e">
        <f t="shared" si="77"/>
        <v>#DIV/0!</v>
      </c>
      <c r="AV101" s="14" t="e">
        <f t="shared" si="77"/>
        <v>#DIV/0!</v>
      </c>
      <c r="AW101" s="14" t="e">
        <f t="shared" si="77"/>
        <v>#DIV/0!</v>
      </c>
      <c r="AX101" s="14" t="e">
        <f t="shared" si="77"/>
        <v>#DIV/0!</v>
      </c>
      <c r="AY101" s="14" t="e">
        <f t="shared" si="77"/>
        <v>#DIV/0!</v>
      </c>
      <c r="AZ101" s="14" t="e">
        <f t="shared" si="77"/>
        <v>#DIV/0!</v>
      </c>
      <c r="BA101" s="14" t="e">
        <f t="shared" si="77"/>
        <v>#DIV/0!</v>
      </c>
      <c r="BB101" s="14" t="e">
        <f t="shared" si="77"/>
        <v>#DIV/0!</v>
      </c>
      <c r="BC101" s="14" t="e">
        <f t="shared" si="77"/>
        <v>#DIV/0!</v>
      </c>
      <c r="BD101" s="14" t="e">
        <f t="shared" si="77"/>
        <v>#DIV/0!</v>
      </c>
      <c r="BE101" s="14" t="e">
        <f t="shared" si="77"/>
        <v>#DIV/0!</v>
      </c>
      <c r="BF101" s="14" t="e">
        <f t="shared" si="77"/>
        <v>#DIV/0!</v>
      </c>
      <c r="BG101" s="14" t="e">
        <f t="shared" si="77"/>
        <v>#DIV/0!</v>
      </c>
      <c r="BH101" s="14" t="e">
        <f t="shared" si="77"/>
        <v>#DIV/0!</v>
      </c>
      <c r="BI101" s="14" t="e">
        <f t="shared" si="77"/>
        <v>#DIV/0!</v>
      </c>
      <c r="BJ101" s="14" t="e">
        <f t="shared" si="77"/>
        <v>#DIV/0!</v>
      </c>
      <c r="BK101" s="14" t="e">
        <f t="shared" si="77"/>
        <v>#DIV/0!</v>
      </c>
      <c r="BL101" s="14" t="e">
        <f t="shared" si="77"/>
        <v>#DIV/0!</v>
      </c>
      <c r="BM101" s="14" t="e">
        <f t="shared" si="77"/>
        <v>#DIV/0!</v>
      </c>
      <c r="BN101" s="14" t="e">
        <f t="shared" si="77"/>
        <v>#DIV/0!</v>
      </c>
      <c r="BO101" s="14" t="e">
        <f t="shared" si="77"/>
        <v>#DIV/0!</v>
      </c>
      <c r="BP101" s="14" t="e">
        <f t="shared" si="77"/>
        <v>#DIV/0!</v>
      </c>
      <c r="BQ101" s="14" t="e">
        <f t="shared" si="77"/>
        <v>#DIV/0!</v>
      </c>
      <c r="BR101" s="14" t="e">
        <f t="shared" si="77"/>
        <v>#DIV/0!</v>
      </c>
      <c r="BS101" s="98"/>
    </row>
    <row r="102" spans="1:87" ht="21" hidden="1" customHeight="1" outlineLevel="1" thickBot="1" x14ac:dyDescent="0.4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 t="e">
        <f t="shared" ref="F102" si="78">F26*$C$78</f>
        <v>#DIV/0!</v>
      </c>
      <c r="G102" s="14" t="e">
        <f t="shared" ref="G102:BR102" si="79">G26*$C$78</f>
        <v>#DIV/0!</v>
      </c>
      <c r="H102" s="14" t="e">
        <f t="shared" si="79"/>
        <v>#DIV/0!</v>
      </c>
      <c r="I102" s="14" t="e">
        <f t="shared" si="79"/>
        <v>#DIV/0!</v>
      </c>
      <c r="J102" s="14" t="e">
        <f t="shared" si="79"/>
        <v>#DIV/0!</v>
      </c>
      <c r="K102" s="14" t="e">
        <f t="shared" si="79"/>
        <v>#DIV/0!</v>
      </c>
      <c r="L102" s="14" t="e">
        <f t="shared" si="79"/>
        <v>#DIV/0!</v>
      </c>
      <c r="M102" s="14" t="e">
        <f t="shared" si="79"/>
        <v>#DIV/0!</v>
      </c>
      <c r="N102" s="14" t="e">
        <f t="shared" si="79"/>
        <v>#DIV/0!</v>
      </c>
      <c r="O102" s="14" t="e">
        <f t="shared" si="79"/>
        <v>#DIV/0!</v>
      </c>
      <c r="P102" s="14" t="e">
        <f t="shared" si="79"/>
        <v>#DIV/0!</v>
      </c>
      <c r="Q102" s="14" t="e">
        <f t="shared" si="79"/>
        <v>#DIV/0!</v>
      </c>
      <c r="R102" s="14" t="e">
        <f t="shared" si="79"/>
        <v>#DIV/0!</v>
      </c>
      <c r="S102" s="14" t="e">
        <f t="shared" si="79"/>
        <v>#DIV/0!</v>
      </c>
      <c r="T102" s="14" t="e">
        <f t="shared" si="79"/>
        <v>#DIV/0!</v>
      </c>
      <c r="U102" s="14" t="e">
        <f t="shared" si="79"/>
        <v>#DIV/0!</v>
      </c>
      <c r="V102" s="14" t="e">
        <f t="shared" si="79"/>
        <v>#DIV/0!</v>
      </c>
      <c r="W102" s="14" t="e">
        <f t="shared" si="79"/>
        <v>#DIV/0!</v>
      </c>
      <c r="X102" s="14" t="e">
        <f t="shared" si="79"/>
        <v>#DIV/0!</v>
      </c>
      <c r="Y102" s="14" t="e">
        <f t="shared" si="79"/>
        <v>#DIV/0!</v>
      </c>
      <c r="Z102" s="14" t="e">
        <f t="shared" si="79"/>
        <v>#DIV/0!</v>
      </c>
      <c r="AA102" s="14" t="e">
        <f t="shared" si="79"/>
        <v>#DIV/0!</v>
      </c>
      <c r="AB102" s="14" t="e">
        <f t="shared" si="79"/>
        <v>#DIV/0!</v>
      </c>
      <c r="AC102" s="14" t="e">
        <f t="shared" si="79"/>
        <v>#DIV/0!</v>
      </c>
      <c r="AD102" s="14" t="e">
        <f t="shared" si="79"/>
        <v>#DIV/0!</v>
      </c>
      <c r="AE102" s="14" t="e">
        <f t="shared" si="79"/>
        <v>#DIV/0!</v>
      </c>
      <c r="AF102" s="14" t="e">
        <f t="shared" si="79"/>
        <v>#DIV/0!</v>
      </c>
      <c r="AG102" s="14" t="e">
        <f t="shared" si="79"/>
        <v>#DIV/0!</v>
      </c>
      <c r="AH102" s="14" t="e">
        <f t="shared" si="79"/>
        <v>#DIV/0!</v>
      </c>
      <c r="AI102" s="14" t="e">
        <f t="shared" si="79"/>
        <v>#DIV/0!</v>
      </c>
      <c r="AJ102" s="14" t="e">
        <f t="shared" si="79"/>
        <v>#DIV/0!</v>
      </c>
      <c r="AK102" s="14" t="e">
        <f t="shared" si="79"/>
        <v>#DIV/0!</v>
      </c>
      <c r="AL102" s="14" t="e">
        <f t="shared" si="79"/>
        <v>#DIV/0!</v>
      </c>
      <c r="AM102" s="14" t="e">
        <f t="shared" si="79"/>
        <v>#DIV/0!</v>
      </c>
      <c r="AN102" s="14" t="e">
        <f t="shared" si="79"/>
        <v>#DIV/0!</v>
      </c>
      <c r="AO102" s="14" t="e">
        <f t="shared" si="79"/>
        <v>#DIV/0!</v>
      </c>
      <c r="AP102" s="14" t="e">
        <f t="shared" si="79"/>
        <v>#DIV/0!</v>
      </c>
      <c r="AQ102" s="14" t="e">
        <f t="shared" si="79"/>
        <v>#DIV/0!</v>
      </c>
      <c r="AR102" s="14" t="e">
        <f t="shared" si="79"/>
        <v>#DIV/0!</v>
      </c>
      <c r="AS102" s="14" t="e">
        <f t="shared" si="79"/>
        <v>#DIV/0!</v>
      </c>
      <c r="AT102" s="14" t="e">
        <f t="shared" si="79"/>
        <v>#DIV/0!</v>
      </c>
      <c r="AU102" s="14" t="e">
        <f t="shared" si="79"/>
        <v>#DIV/0!</v>
      </c>
      <c r="AV102" s="14" t="e">
        <f t="shared" si="79"/>
        <v>#DIV/0!</v>
      </c>
      <c r="AW102" s="14" t="e">
        <f t="shared" si="79"/>
        <v>#DIV/0!</v>
      </c>
      <c r="AX102" s="14" t="e">
        <f t="shared" si="79"/>
        <v>#DIV/0!</v>
      </c>
      <c r="AY102" s="14" t="e">
        <f t="shared" si="79"/>
        <v>#DIV/0!</v>
      </c>
      <c r="AZ102" s="14" t="e">
        <f t="shared" si="79"/>
        <v>#DIV/0!</v>
      </c>
      <c r="BA102" s="14" t="e">
        <f t="shared" si="79"/>
        <v>#DIV/0!</v>
      </c>
      <c r="BB102" s="14" t="e">
        <f t="shared" si="79"/>
        <v>#DIV/0!</v>
      </c>
      <c r="BC102" s="14" t="e">
        <f t="shared" si="79"/>
        <v>#DIV/0!</v>
      </c>
      <c r="BD102" s="14" t="e">
        <f t="shared" si="79"/>
        <v>#DIV/0!</v>
      </c>
      <c r="BE102" s="14" t="e">
        <f t="shared" si="79"/>
        <v>#DIV/0!</v>
      </c>
      <c r="BF102" s="14" t="e">
        <f t="shared" si="79"/>
        <v>#DIV/0!</v>
      </c>
      <c r="BG102" s="14" t="e">
        <f t="shared" si="79"/>
        <v>#DIV/0!</v>
      </c>
      <c r="BH102" s="14" t="e">
        <f t="shared" si="79"/>
        <v>#DIV/0!</v>
      </c>
      <c r="BI102" s="14" t="e">
        <f t="shared" si="79"/>
        <v>#DIV/0!</v>
      </c>
      <c r="BJ102" s="14" t="e">
        <f t="shared" si="79"/>
        <v>#DIV/0!</v>
      </c>
      <c r="BK102" s="14" t="e">
        <f t="shared" si="79"/>
        <v>#DIV/0!</v>
      </c>
      <c r="BL102" s="14" t="e">
        <f t="shared" si="79"/>
        <v>#DIV/0!</v>
      </c>
      <c r="BM102" s="14" t="e">
        <f t="shared" si="79"/>
        <v>#DIV/0!</v>
      </c>
      <c r="BN102" s="14" t="e">
        <f t="shared" si="79"/>
        <v>#DIV/0!</v>
      </c>
      <c r="BO102" s="14" t="e">
        <f t="shared" si="79"/>
        <v>#DIV/0!</v>
      </c>
      <c r="BP102" s="14" t="e">
        <f t="shared" si="79"/>
        <v>#DIV/0!</v>
      </c>
      <c r="BQ102" s="14" t="e">
        <f t="shared" si="79"/>
        <v>#DIV/0!</v>
      </c>
      <c r="BR102" s="14" t="e">
        <f t="shared" si="79"/>
        <v>#DIV/0!</v>
      </c>
      <c r="BS102" s="98"/>
    </row>
    <row r="103" spans="1:87" ht="21" hidden="1" customHeight="1" outlineLevel="1" thickBot="1" x14ac:dyDescent="0.4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 t="e">
        <f t="shared" ref="F103" si="80">F27*$C$78</f>
        <v>#DIV/0!</v>
      </c>
      <c r="G103" s="14" t="e">
        <f t="shared" ref="G103:BR103" si="81">G27*$C$78</f>
        <v>#DIV/0!</v>
      </c>
      <c r="H103" s="14" t="e">
        <f t="shared" si="81"/>
        <v>#DIV/0!</v>
      </c>
      <c r="I103" s="14" t="e">
        <f t="shared" si="81"/>
        <v>#DIV/0!</v>
      </c>
      <c r="J103" s="14" t="e">
        <f t="shared" si="81"/>
        <v>#DIV/0!</v>
      </c>
      <c r="K103" s="14" t="e">
        <f t="shared" si="81"/>
        <v>#DIV/0!</v>
      </c>
      <c r="L103" s="14" t="e">
        <f t="shared" si="81"/>
        <v>#DIV/0!</v>
      </c>
      <c r="M103" s="14" t="e">
        <f t="shared" si="81"/>
        <v>#DIV/0!</v>
      </c>
      <c r="N103" s="14" t="e">
        <f t="shared" si="81"/>
        <v>#DIV/0!</v>
      </c>
      <c r="O103" s="14" t="e">
        <f t="shared" si="81"/>
        <v>#DIV/0!</v>
      </c>
      <c r="P103" s="14" t="e">
        <f t="shared" si="81"/>
        <v>#DIV/0!</v>
      </c>
      <c r="Q103" s="14" t="e">
        <f t="shared" si="81"/>
        <v>#DIV/0!</v>
      </c>
      <c r="R103" s="14" t="e">
        <f t="shared" si="81"/>
        <v>#DIV/0!</v>
      </c>
      <c r="S103" s="14" t="e">
        <f t="shared" si="81"/>
        <v>#DIV/0!</v>
      </c>
      <c r="T103" s="14" t="e">
        <f t="shared" si="81"/>
        <v>#DIV/0!</v>
      </c>
      <c r="U103" s="14" t="e">
        <f t="shared" si="81"/>
        <v>#DIV/0!</v>
      </c>
      <c r="V103" s="14" t="e">
        <f t="shared" si="81"/>
        <v>#DIV/0!</v>
      </c>
      <c r="W103" s="14" t="e">
        <f t="shared" si="81"/>
        <v>#DIV/0!</v>
      </c>
      <c r="X103" s="14" t="e">
        <f t="shared" si="81"/>
        <v>#DIV/0!</v>
      </c>
      <c r="Y103" s="14" t="e">
        <f t="shared" si="81"/>
        <v>#DIV/0!</v>
      </c>
      <c r="Z103" s="14" t="e">
        <f t="shared" si="81"/>
        <v>#DIV/0!</v>
      </c>
      <c r="AA103" s="14" t="e">
        <f t="shared" si="81"/>
        <v>#DIV/0!</v>
      </c>
      <c r="AB103" s="14" t="e">
        <f t="shared" si="81"/>
        <v>#DIV/0!</v>
      </c>
      <c r="AC103" s="14" t="e">
        <f t="shared" si="81"/>
        <v>#DIV/0!</v>
      </c>
      <c r="AD103" s="14" t="e">
        <f t="shared" si="81"/>
        <v>#DIV/0!</v>
      </c>
      <c r="AE103" s="14" t="e">
        <f t="shared" si="81"/>
        <v>#DIV/0!</v>
      </c>
      <c r="AF103" s="14" t="e">
        <f t="shared" si="81"/>
        <v>#DIV/0!</v>
      </c>
      <c r="AG103" s="14" t="e">
        <f t="shared" si="81"/>
        <v>#DIV/0!</v>
      </c>
      <c r="AH103" s="14" t="e">
        <f t="shared" si="81"/>
        <v>#DIV/0!</v>
      </c>
      <c r="AI103" s="14" t="e">
        <f t="shared" si="81"/>
        <v>#DIV/0!</v>
      </c>
      <c r="AJ103" s="14" t="e">
        <f t="shared" si="81"/>
        <v>#DIV/0!</v>
      </c>
      <c r="AK103" s="14" t="e">
        <f t="shared" si="81"/>
        <v>#DIV/0!</v>
      </c>
      <c r="AL103" s="14" t="e">
        <f t="shared" si="81"/>
        <v>#DIV/0!</v>
      </c>
      <c r="AM103" s="14" t="e">
        <f t="shared" si="81"/>
        <v>#DIV/0!</v>
      </c>
      <c r="AN103" s="14" t="e">
        <f t="shared" si="81"/>
        <v>#DIV/0!</v>
      </c>
      <c r="AO103" s="14" t="e">
        <f t="shared" si="81"/>
        <v>#DIV/0!</v>
      </c>
      <c r="AP103" s="14" t="e">
        <f t="shared" si="81"/>
        <v>#DIV/0!</v>
      </c>
      <c r="AQ103" s="14" t="e">
        <f t="shared" si="81"/>
        <v>#DIV/0!</v>
      </c>
      <c r="AR103" s="14" t="e">
        <f t="shared" si="81"/>
        <v>#DIV/0!</v>
      </c>
      <c r="AS103" s="14" t="e">
        <f t="shared" si="81"/>
        <v>#DIV/0!</v>
      </c>
      <c r="AT103" s="14" t="e">
        <f t="shared" si="81"/>
        <v>#DIV/0!</v>
      </c>
      <c r="AU103" s="14" t="e">
        <f t="shared" si="81"/>
        <v>#DIV/0!</v>
      </c>
      <c r="AV103" s="14" t="e">
        <f t="shared" si="81"/>
        <v>#DIV/0!</v>
      </c>
      <c r="AW103" s="14" t="e">
        <f t="shared" si="81"/>
        <v>#DIV/0!</v>
      </c>
      <c r="AX103" s="14" t="e">
        <f t="shared" si="81"/>
        <v>#DIV/0!</v>
      </c>
      <c r="AY103" s="14" t="e">
        <f t="shared" si="81"/>
        <v>#DIV/0!</v>
      </c>
      <c r="AZ103" s="14" t="e">
        <f t="shared" si="81"/>
        <v>#DIV/0!</v>
      </c>
      <c r="BA103" s="14" t="e">
        <f t="shared" si="81"/>
        <v>#DIV/0!</v>
      </c>
      <c r="BB103" s="14" t="e">
        <f t="shared" si="81"/>
        <v>#DIV/0!</v>
      </c>
      <c r="BC103" s="14" t="e">
        <f t="shared" si="81"/>
        <v>#DIV/0!</v>
      </c>
      <c r="BD103" s="14" t="e">
        <f t="shared" si="81"/>
        <v>#DIV/0!</v>
      </c>
      <c r="BE103" s="14" t="e">
        <f t="shared" si="81"/>
        <v>#DIV/0!</v>
      </c>
      <c r="BF103" s="14" t="e">
        <f t="shared" si="81"/>
        <v>#DIV/0!</v>
      </c>
      <c r="BG103" s="14" t="e">
        <f t="shared" si="81"/>
        <v>#DIV/0!</v>
      </c>
      <c r="BH103" s="14" t="e">
        <f t="shared" si="81"/>
        <v>#DIV/0!</v>
      </c>
      <c r="BI103" s="14" t="e">
        <f t="shared" si="81"/>
        <v>#DIV/0!</v>
      </c>
      <c r="BJ103" s="14" t="e">
        <f t="shared" si="81"/>
        <v>#DIV/0!</v>
      </c>
      <c r="BK103" s="14" t="e">
        <f t="shared" si="81"/>
        <v>#DIV/0!</v>
      </c>
      <c r="BL103" s="14" t="e">
        <f t="shared" si="81"/>
        <v>#DIV/0!</v>
      </c>
      <c r="BM103" s="14" t="e">
        <f t="shared" si="81"/>
        <v>#DIV/0!</v>
      </c>
      <c r="BN103" s="14" t="e">
        <f t="shared" si="81"/>
        <v>#DIV/0!</v>
      </c>
      <c r="BO103" s="14" t="e">
        <f t="shared" si="81"/>
        <v>#DIV/0!</v>
      </c>
      <c r="BP103" s="14" t="e">
        <f t="shared" si="81"/>
        <v>#DIV/0!</v>
      </c>
      <c r="BQ103" s="14" t="e">
        <f t="shared" si="81"/>
        <v>#DIV/0!</v>
      </c>
      <c r="BR103" s="14" t="e">
        <f t="shared" si="81"/>
        <v>#DIV/0!</v>
      </c>
      <c r="BS103" s="98"/>
    </row>
    <row r="104" spans="1:87" ht="21" hidden="1" customHeight="1" outlineLevel="1" thickBot="1" x14ac:dyDescent="0.4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 t="e">
        <f t="shared" ref="F104" si="82">F28*$C$78</f>
        <v>#DIV/0!</v>
      </c>
      <c r="G104" s="14" t="e">
        <f t="shared" ref="G104:BR104" si="83">G28*$C$78</f>
        <v>#DIV/0!</v>
      </c>
      <c r="H104" s="14" t="e">
        <f t="shared" si="83"/>
        <v>#DIV/0!</v>
      </c>
      <c r="I104" s="14" t="e">
        <f t="shared" si="83"/>
        <v>#DIV/0!</v>
      </c>
      <c r="J104" s="14" t="e">
        <f t="shared" si="83"/>
        <v>#DIV/0!</v>
      </c>
      <c r="K104" s="14" t="e">
        <f t="shared" si="83"/>
        <v>#DIV/0!</v>
      </c>
      <c r="L104" s="14" t="e">
        <f t="shared" si="83"/>
        <v>#DIV/0!</v>
      </c>
      <c r="M104" s="14" t="e">
        <f t="shared" si="83"/>
        <v>#DIV/0!</v>
      </c>
      <c r="N104" s="14" t="e">
        <f t="shared" si="83"/>
        <v>#DIV/0!</v>
      </c>
      <c r="O104" s="14" t="e">
        <f t="shared" si="83"/>
        <v>#DIV/0!</v>
      </c>
      <c r="P104" s="14" t="e">
        <f t="shared" si="83"/>
        <v>#DIV/0!</v>
      </c>
      <c r="Q104" s="14" t="e">
        <f t="shared" si="83"/>
        <v>#DIV/0!</v>
      </c>
      <c r="R104" s="14" t="e">
        <f t="shared" si="83"/>
        <v>#DIV/0!</v>
      </c>
      <c r="S104" s="14" t="e">
        <f t="shared" si="83"/>
        <v>#DIV/0!</v>
      </c>
      <c r="T104" s="14" t="e">
        <f t="shared" si="83"/>
        <v>#DIV/0!</v>
      </c>
      <c r="U104" s="14" t="e">
        <f t="shared" si="83"/>
        <v>#DIV/0!</v>
      </c>
      <c r="V104" s="14" t="e">
        <f t="shared" si="83"/>
        <v>#DIV/0!</v>
      </c>
      <c r="W104" s="14" t="e">
        <f t="shared" si="83"/>
        <v>#DIV/0!</v>
      </c>
      <c r="X104" s="14" t="e">
        <f t="shared" si="83"/>
        <v>#DIV/0!</v>
      </c>
      <c r="Y104" s="14" t="e">
        <f t="shared" si="83"/>
        <v>#DIV/0!</v>
      </c>
      <c r="Z104" s="14" t="e">
        <f t="shared" si="83"/>
        <v>#DIV/0!</v>
      </c>
      <c r="AA104" s="14" t="e">
        <f t="shared" si="83"/>
        <v>#DIV/0!</v>
      </c>
      <c r="AB104" s="14" t="e">
        <f t="shared" si="83"/>
        <v>#DIV/0!</v>
      </c>
      <c r="AC104" s="14" t="e">
        <f t="shared" si="83"/>
        <v>#DIV/0!</v>
      </c>
      <c r="AD104" s="14" t="e">
        <f t="shared" si="83"/>
        <v>#DIV/0!</v>
      </c>
      <c r="AE104" s="14" t="e">
        <f t="shared" si="83"/>
        <v>#DIV/0!</v>
      </c>
      <c r="AF104" s="14" t="e">
        <f t="shared" si="83"/>
        <v>#DIV/0!</v>
      </c>
      <c r="AG104" s="14" t="e">
        <f t="shared" si="83"/>
        <v>#DIV/0!</v>
      </c>
      <c r="AH104" s="14" t="e">
        <f t="shared" si="83"/>
        <v>#DIV/0!</v>
      </c>
      <c r="AI104" s="14" t="e">
        <f t="shared" si="83"/>
        <v>#DIV/0!</v>
      </c>
      <c r="AJ104" s="14" t="e">
        <f t="shared" si="83"/>
        <v>#DIV/0!</v>
      </c>
      <c r="AK104" s="14" t="e">
        <f t="shared" si="83"/>
        <v>#DIV/0!</v>
      </c>
      <c r="AL104" s="14" t="e">
        <f t="shared" si="83"/>
        <v>#DIV/0!</v>
      </c>
      <c r="AM104" s="14" t="e">
        <f t="shared" si="83"/>
        <v>#DIV/0!</v>
      </c>
      <c r="AN104" s="14" t="e">
        <f t="shared" si="83"/>
        <v>#DIV/0!</v>
      </c>
      <c r="AO104" s="14" t="e">
        <f t="shared" si="83"/>
        <v>#DIV/0!</v>
      </c>
      <c r="AP104" s="14" t="e">
        <f t="shared" si="83"/>
        <v>#DIV/0!</v>
      </c>
      <c r="AQ104" s="14" t="e">
        <f t="shared" si="83"/>
        <v>#DIV/0!</v>
      </c>
      <c r="AR104" s="14" t="e">
        <f t="shared" si="83"/>
        <v>#DIV/0!</v>
      </c>
      <c r="AS104" s="14" t="e">
        <f t="shared" si="83"/>
        <v>#DIV/0!</v>
      </c>
      <c r="AT104" s="14" t="e">
        <f t="shared" si="83"/>
        <v>#DIV/0!</v>
      </c>
      <c r="AU104" s="14" t="e">
        <f t="shared" si="83"/>
        <v>#DIV/0!</v>
      </c>
      <c r="AV104" s="14" t="e">
        <f t="shared" si="83"/>
        <v>#DIV/0!</v>
      </c>
      <c r="AW104" s="14" t="e">
        <f t="shared" si="83"/>
        <v>#DIV/0!</v>
      </c>
      <c r="AX104" s="14" t="e">
        <f t="shared" si="83"/>
        <v>#DIV/0!</v>
      </c>
      <c r="AY104" s="14" t="e">
        <f t="shared" si="83"/>
        <v>#DIV/0!</v>
      </c>
      <c r="AZ104" s="14" t="e">
        <f t="shared" si="83"/>
        <v>#DIV/0!</v>
      </c>
      <c r="BA104" s="14" t="e">
        <f t="shared" si="83"/>
        <v>#DIV/0!</v>
      </c>
      <c r="BB104" s="14" t="e">
        <f t="shared" si="83"/>
        <v>#DIV/0!</v>
      </c>
      <c r="BC104" s="14" t="e">
        <f t="shared" si="83"/>
        <v>#DIV/0!</v>
      </c>
      <c r="BD104" s="14" t="e">
        <f t="shared" si="83"/>
        <v>#DIV/0!</v>
      </c>
      <c r="BE104" s="14" t="e">
        <f t="shared" si="83"/>
        <v>#DIV/0!</v>
      </c>
      <c r="BF104" s="14" t="e">
        <f t="shared" si="83"/>
        <v>#DIV/0!</v>
      </c>
      <c r="BG104" s="14" t="e">
        <f t="shared" si="83"/>
        <v>#DIV/0!</v>
      </c>
      <c r="BH104" s="14" t="e">
        <f t="shared" si="83"/>
        <v>#DIV/0!</v>
      </c>
      <c r="BI104" s="14" t="e">
        <f t="shared" si="83"/>
        <v>#DIV/0!</v>
      </c>
      <c r="BJ104" s="14" t="e">
        <f t="shared" si="83"/>
        <v>#DIV/0!</v>
      </c>
      <c r="BK104" s="14" t="e">
        <f t="shared" si="83"/>
        <v>#DIV/0!</v>
      </c>
      <c r="BL104" s="14" t="e">
        <f t="shared" si="83"/>
        <v>#DIV/0!</v>
      </c>
      <c r="BM104" s="14" t="e">
        <f t="shared" si="83"/>
        <v>#DIV/0!</v>
      </c>
      <c r="BN104" s="14" t="e">
        <f t="shared" si="83"/>
        <v>#DIV/0!</v>
      </c>
      <c r="BO104" s="14" t="e">
        <f t="shared" si="83"/>
        <v>#DIV/0!</v>
      </c>
      <c r="BP104" s="14" t="e">
        <f t="shared" si="83"/>
        <v>#DIV/0!</v>
      </c>
      <c r="BQ104" s="14" t="e">
        <f t="shared" si="83"/>
        <v>#DIV/0!</v>
      </c>
      <c r="BR104" s="14" t="e">
        <f t="shared" si="83"/>
        <v>#DIV/0!</v>
      </c>
      <c r="BS104" s="98"/>
    </row>
    <row r="105" spans="1:87" ht="21" hidden="1" customHeight="1" outlineLevel="1" thickBot="1" x14ac:dyDescent="0.4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 t="e">
        <f t="shared" ref="F105" si="84">F29*$C$78</f>
        <v>#DIV/0!</v>
      </c>
      <c r="G105" s="14" t="e">
        <f t="shared" ref="G105:BR105" si="85">G29*$C$78</f>
        <v>#DIV/0!</v>
      </c>
      <c r="H105" s="14" t="e">
        <f t="shared" si="85"/>
        <v>#DIV/0!</v>
      </c>
      <c r="I105" s="14" t="e">
        <f t="shared" si="85"/>
        <v>#DIV/0!</v>
      </c>
      <c r="J105" s="14" t="e">
        <f t="shared" si="85"/>
        <v>#DIV/0!</v>
      </c>
      <c r="K105" s="14" t="e">
        <f t="shared" si="85"/>
        <v>#DIV/0!</v>
      </c>
      <c r="L105" s="14" t="e">
        <f t="shared" si="85"/>
        <v>#DIV/0!</v>
      </c>
      <c r="M105" s="14" t="e">
        <f t="shared" si="85"/>
        <v>#DIV/0!</v>
      </c>
      <c r="N105" s="14" t="e">
        <f t="shared" si="85"/>
        <v>#DIV/0!</v>
      </c>
      <c r="O105" s="14" t="e">
        <f t="shared" si="85"/>
        <v>#DIV/0!</v>
      </c>
      <c r="P105" s="14" t="e">
        <f t="shared" si="85"/>
        <v>#DIV/0!</v>
      </c>
      <c r="Q105" s="14" t="e">
        <f t="shared" si="85"/>
        <v>#DIV/0!</v>
      </c>
      <c r="R105" s="14" t="e">
        <f t="shared" si="85"/>
        <v>#DIV/0!</v>
      </c>
      <c r="S105" s="14" t="e">
        <f t="shared" si="85"/>
        <v>#DIV/0!</v>
      </c>
      <c r="T105" s="14" t="e">
        <f t="shared" si="85"/>
        <v>#DIV/0!</v>
      </c>
      <c r="U105" s="14" t="e">
        <f t="shared" si="85"/>
        <v>#DIV/0!</v>
      </c>
      <c r="V105" s="14" t="e">
        <f t="shared" si="85"/>
        <v>#DIV/0!</v>
      </c>
      <c r="W105" s="14" t="e">
        <f t="shared" si="85"/>
        <v>#DIV/0!</v>
      </c>
      <c r="X105" s="14" t="e">
        <f t="shared" si="85"/>
        <v>#DIV/0!</v>
      </c>
      <c r="Y105" s="14" t="e">
        <f t="shared" si="85"/>
        <v>#DIV/0!</v>
      </c>
      <c r="Z105" s="14" t="e">
        <f t="shared" si="85"/>
        <v>#DIV/0!</v>
      </c>
      <c r="AA105" s="14" t="e">
        <f t="shared" si="85"/>
        <v>#DIV/0!</v>
      </c>
      <c r="AB105" s="14" t="e">
        <f t="shared" si="85"/>
        <v>#DIV/0!</v>
      </c>
      <c r="AC105" s="14" t="e">
        <f t="shared" si="85"/>
        <v>#DIV/0!</v>
      </c>
      <c r="AD105" s="14" t="e">
        <f t="shared" si="85"/>
        <v>#DIV/0!</v>
      </c>
      <c r="AE105" s="14" t="e">
        <f t="shared" si="85"/>
        <v>#DIV/0!</v>
      </c>
      <c r="AF105" s="14" t="e">
        <f t="shared" si="85"/>
        <v>#DIV/0!</v>
      </c>
      <c r="AG105" s="14" t="e">
        <f t="shared" si="85"/>
        <v>#DIV/0!</v>
      </c>
      <c r="AH105" s="14" t="e">
        <f t="shared" si="85"/>
        <v>#DIV/0!</v>
      </c>
      <c r="AI105" s="14" t="e">
        <f t="shared" si="85"/>
        <v>#DIV/0!</v>
      </c>
      <c r="AJ105" s="14" t="e">
        <f t="shared" si="85"/>
        <v>#DIV/0!</v>
      </c>
      <c r="AK105" s="14" t="e">
        <f t="shared" si="85"/>
        <v>#DIV/0!</v>
      </c>
      <c r="AL105" s="14" t="e">
        <f t="shared" si="85"/>
        <v>#DIV/0!</v>
      </c>
      <c r="AM105" s="14" t="e">
        <f t="shared" si="85"/>
        <v>#DIV/0!</v>
      </c>
      <c r="AN105" s="14" t="e">
        <f t="shared" si="85"/>
        <v>#DIV/0!</v>
      </c>
      <c r="AO105" s="14" t="e">
        <f t="shared" si="85"/>
        <v>#DIV/0!</v>
      </c>
      <c r="AP105" s="14" t="e">
        <f t="shared" si="85"/>
        <v>#DIV/0!</v>
      </c>
      <c r="AQ105" s="14" t="e">
        <f t="shared" si="85"/>
        <v>#DIV/0!</v>
      </c>
      <c r="AR105" s="14" t="e">
        <f t="shared" si="85"/>
        <v>#DIV/0!</v>
      </c>
      <c r="AS105" s="14" t="e">
        <f t="shared" si="85"/>
        <v>#DIV/0!</v>
      </c>
      <c r="AT105" s="14" t="e">
        <f t="shared" si="85"/>
        <v>#DIV/0!</v>
      </c>
      <c r="AU105" s="14" t="e">
        <f t="shared" si="85"/>
        <v>#DIV/0!</v>
      </c>
      <c r="AV105" s="14" t="e">
        <f t="shared" si="85"/>
        <v>#DIV/0!</v>
      </c>
      <c r="AW105" s="14" t="e">
        <f t="shared" si="85"/>
        <v>#DIV/0!</v>
      </c>
      <c r="AX105" s="14" t="e">
        <f t="shared" si="85"/>
        <v>#DIV/0!</v>
      </c>
      <c r="AY105" s="14" t="e">
        <f t="shared" si="85"/>
        <v>#DIV/0!</v>
      </c>
      <c r="AZ105" s="14" t="e">
        <f t="shared" si="85"/>
        <v>#DIV/0!</v>
      </c>
      <c r="BA105" s="14" t="e">
        <f t="shared" si="85"/>
        <v>#DIV/0!</v>
      </c>
      <c r="BB105" s="14" t="e">
        <f t="shared" si="85"/>
        <v>#DIV/0!</v>
      </c>
      <c r="BC105" s="14" t="e">
        <f t="shared" si="85"/>
        <v>#DIV/0!</v>
      </c>
      <c r="BD105" s="14" t="e">
        <f t="shared" si="85"/>
        <v>#DIV/0!</v>
      </c>
      <c r="BE105" s="14" t="e">
        <f t="shared" si="85"/>
        <v>#DIV/0!</v>
      </c>
      <c r="BF105" s="14" t="e">
        <f t="shared" si="85"/>
        <v>#DIV/0!</v>
      </c>
      <c r="BG105" s="14" t="e">
        <f t="shared" si="85"/>
        <v>#DIV/0!</v>
      </c>
      <c r="BH105" s="14" t="e">
        <f t="shared" si="85"/>
        <v>#DIV/0!</v>
      </c>
      <c r="BI105" s="14" t="e">
        <f t="shared" si="85"/>
        <v>#DIV/0!</v>
      </c>
      <c r="BJ105" s="14" t="e">
        <f t="shared" si="85"/>
        <v>#DIV/0!</v>
      </c>
      <c r="BK105" s="14" t="e">
        <f t="shared" si="85"/>
        <v>#DIV/0!</v>
      </c>
      <c r="BL105" s="14" t="e">
        <f t="shared" si="85"/>
        <v>#DIV/0!</v>
      </c>
      <c r="BM105" s="14" t="e">
        <f t="shared" si="85"/>
        <v>#DIV/0!</v>
      </c>
      <c r="BN105" s="14" t="e">
        <f t="shared" si="85"/>
        <v>#DIV/0!</v>
      </c>
      <c r="BO105" s="14" t="e">
        <f t="shared" si="85"/>
        <v>#DIV/0!</v>
      </c>
      <c r="BP105" s="14" t="e">
        <f t="shared" si="85"/>
        <v>#DIV/0!</v>
      </c>
      <c r="BQ105" s="14" t="e">
        <f t="shared" si="85"/>
        <v>#DIV/0!</v>
      </c>
      <c r="BR105" s="14" t="e">
        <f t="shared" si="85"/>
        <v>#DIV/0!</v>
      </c>
      <c r="BS105" s="98"/>
    </row>
    <row r="106" spans="1:87" ht="21" hidden="1" customHeight="1" outlineLevel="1" thickBot="1" x14ac:dyDescent="0.4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 t="e">
        <f t="shared" ref="F106" si="86">F30*$C$78</f>
        <v>#DIV/0!</v>
      </c>
      <c r="G106" s="14" t="e">
        <f t="shared" ref="G106:BR106" si="87">G30*$C$78</f>
        <v>#DIV/0!</v>
      </c>
      <c r="H106" s="14" t="e">
        <f t="shared" si="87"/>
        <v>#DIV/0!</v>
      </c>
      <c r="I106" s="14" t="e">
        <f t="shared" si="87"/>
        <v>#DIV/0!</v>
      </c>
      <c r="J106" s="14" t="e">
        <f t="shared" si="87"/>
        <v>#DIV/0!</v>
      </c>
      <c r="K106" s="14" t="e">
        <f t="shared" si="87"/>
        <v>#DIV/0!</v>
      </c>
      <c r="L106" s="14" t="e">
        <f t="shared" si="87"/>
        <v>#DIV/0!</v>
      </c>
      <c r="M106" s="14" t="e">
        <f t="shared" si="87"/>
        <v>#DIV/0!</v>
      </c>
      <c r="N106" s="14" t="e">
        <f t="shared" si="87"/>
        <v>#DIV/0!</v>
      </c>
      <c r="O106" s="14" t="e">
        <f t="shared" si="87"/>
        <v>#DIV/0!</v>
      </c>
      <c r="P106" s="14" t="e">
        <f t="shared" si="87"/>
        <v>#DIV/0!</v>
      </c>
      <c r="Q106" s="14" t="e">
        <f t="shared" si="87"/>
        <v>#DIV/0!</v>
      </c>
      <c r="R106" s="14" t="e">
        <f t="shared" si="87"/>
        <v>#DIV/0!</v>
      </c>
      <c r="S106" s="14" t="e">
        <f t="shared" si="87"/>
        <v>#DIV/0!</v>
      </c>
      <c r="T106" s="14" t="e">
        <f t="shared" si="87"/>
        <v>#DIV/0!</v>
      </c>
      <c r="U106" s="14" t="e">
        <f t="shared" si="87"/>
        <v>#DIV/0!</v>
      </c>
      <c r="V106" s="14" t="e">
        <f t="shared" si="87"/>
        <v>#DIV/0!</v>
      </c>
      <c r="W106" s="14" t="e">
        <f t="shared" si="87"/>
        <v>#DIV/0!</v>
      </c>
      <c r="X106" s="14" t="e">
        <f t="shared" si="87"/>
        <v>#DIV/0!</v>
      </c>
      <c r="Y106" s="14" t="e">
        <f t="shared" si="87"/>
        <v>#DIV/0!</v>
      </c>
      <c r="Z106" s="14" t="e">
        <f t="shared" si="87"/>
        <v>#DIV/0!</v>
      </c>
      <c r="AA106" s="14" t="e">
        <f t="shared" si="87"/>
        <v>#DIV/0!</v>
      </c>
      <c r="AB106" s="14" t="e">
        <f t="shared" si="87"/>
        <v>#DIV/0!</v>
      </c>
      <c r="AC106" s="14" t="e">
        <f t="shared" si="87"/>
        <v>#DIV/0!</v>
      </c>
      <c r="AD106" s="14" t="e">
        <f t="shared" si="87"/>
        <v>#DIV/0!</v>
      </c>
      <c r="AE106" s="14" t="e">
        <f t="shared" si="87"/>
        <v>#DIV/0!</v>
      </c>
      <c r="AF106" s="14" t="e">
        <f t="shared" si="87"/>
        <v>#DIV/0!</v>
      </c>
      <c r="AG106" s="14" t="e">
        <f t="shared" si="87"/>
        <v>#DIV/0!</v>
      </c>
      <c r="AH106" s="14" t="e">
        <f t="shared" si="87"/>
        <v>#DIV/0!</v>
      </c>
      <c r="AI106" s="14" t="e">
        <f t="shared" si="87"/>
        <v>#DIV/0!</v>
      </c>
      <c r="AJ106" s="14" t="e">
        <f t="shared" si="87"/>
        <v>#DIV/0!</v>
      </c>
      <c r="AK106" s="14" t="e">
        <f t="shared" si="87"/>
        <v>#DIV/0!</v>
      </c>
      <c r="AL106" s="14" t="e">
        <f t="shared" si="87"/>
        <v>#DIV/0!</v>
      </c>
      <c r="AM106" s="14" t="e">
        <f t="shared" si="87"/>
        <v>#DIV/0!</v>
      </c>
      <c r="AN106" s="14" t="e">
        <f t="shared" si="87"/>
        <v>#DIV/0!</v>
      </c>
      <c r="AO106" s="14" t="e">
        <f t="shared" si="87"/>
        <v>#DIV/0!</v>
      </c>
      <c r="AP106" s="14" t="e">
        <f t="shared" si="87"/>
        <v>#DIV/0!</v>
      </c>
      <c r="AQ106" s="14" t="e">
        <f t="shared" si="87"/>
        <v>#DIV/0!</v>
      </c>
      <c r="AR106" s="14" t="e">
        <f t="shared" si="87"/>
        <v>#DIV/0!</v>
      </c>
      <c r="AS106" s="14" t="e">
        <f t="shared" si="87"/>
        <v>#DIV/0!</v>
      </c>
      <c r="AT106" s="14" t="e">
        <f t="shared" si="87"/>
        <v>#DIV/0!</v>
      </c>
      <c r="AU106" s="14" t="e">
        <f t="shared" si="87"/>
        <v>#DIV/0!</v>
      </c>
      <c r="AV106" s="14" t="e">
        <f t="shared" si="87"/>
        <v>#DIV/0!</v>
      </c>
      <c r="AW106" s="14" t="e">
        <f t="shared" si="87"/>
        <v>#DIV/0!</v>
      </c>
      <c r="AX106" s="14" t="e">
        <f t="shared" si="87"/>
        <v>#DIV/0!</v>
      </c>
      <c r="AY106" s="14" t="e">
        <f t="shared" si="87"/>
        <v>#DIV/0!</v>
      </c>
      <c r="AZ106" s="14" t="e">
        <f t="shared" si="87"/>
        <v>#DIV/0!</v>
      </c>
      <c r="BA106" s="14" t="e">
        <f t="shared" si="87"/>
        <v>#DIV/0!</v>
      </c>
      <c r="BB106" s="14" t="e">
        <f t="shared" si="87"/>
        <v>#DIV/0!</v>
      </c>
      <c r="BC106" s="14" t="e">
        <f t="shared" si="87"/>
        <v>#DIV/0!</v>
      </c>
      <c r="BD106" s="14" t="e">
        <f t="shared" si="87"/>
        <v>#DIV/0!</v>
      </c>
      <c r="BE106" s="14" t="e">
        <f t="shared" si="87"/>
        <v>#DIV/0!</v>
      </c>
      <c r="BF106" s="14" t="e">
        <f t="shared" si="87"/>
        <v>#DIV/0!</v>
      </c>
      <c r="BG106" s="14" t="e">
        <f t="shared" si="87"/>
        <v>#DIV/0!</v>
      </c>
      <c r="BH106" s="14" t="e">
        <f t="shared" si="87"/>
        <v>#DIV/0!</v>
      </c>
      <c r="BI106" s="14" t="e">
        <f t="shared" si="87"/>
        <v>#DIV/0!</v>
      </c>
      <c r="BJ106" s="14" t="e">
        <f t="shared" si="87"/>
        <v>#DIV/0!</v>
      </c>
      <c r="BK106" s="14" t="e">
        <f t="shared" si="87"/>
        <v>#DIV/0!</v>
      </c>
      <c r="BL106" s="14" t="e">
        <f t="shared" si="87"/>
        <v>#DIV/0!</v>
      </c>
      <c r="BM106" s="14" t="e">
        <f t="shared" si="87"/>
        <v>#DIV/0!</v>
      </c>
      <c r="BN106" s="14" t="e">
        <f t="shared" si="87"/>
        <v>#DIV/0!</v>
      </c>
      <c r="BO106" s="14" t="e">
        <f t="shared" si="87"/>
        <v>#DIV/0!</v>
      </c>
      <c r="BP106" s="14" t="e">
        <f t="shared" si="87"/>
        <v>#DIV/0!</v>
      </c>
      <c r="BQ106" s="14" t="e">
        <f t="shared" si="87"/>
        <v>#DIV/0!</v>
      </c>
      <c r="BR106" s="14" t="e">
        <f t="shared" si="87"/>
        <v>#DIV/0!</v>
      </c>
      <c r="BS106" s="98"/>
    </row>
    <row r="107" spans="1:87" ht="21" hidden="1" customHeight="1" outlineLevel="1" thickBot="1" x14ac:dyDescent="0.4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 t="e">
        <f t="shared" ref="F107" si="88">F31*$C$78</f>
        <v>#DIV/0!</v>
      </c>
      <c r="G107" s="14" t="e">
        <f t="shared" ref="G107:BR107" si="89">G31*$C$78</f>
        <v>#DIV/0!</v>
      </c>
      <c r="H107" s="14" t="e">
        <f t="shared" si="89"/>
        <v>#DIV/0!</v>
      </c>
      <c r="I107" s="14" t="e">
        <f t="shared" si="89"/>
        <v>#DIV/0!</v>
      </c>
      <c r="J107" s="14" t="e">
        <f t="shared" si="89"/>
        <v>#DIV/0!</v>
      </c>
      <c r="K107" s="14" t="e">
        <f t="shared" si="89"/>
        <v>#DIV/0!</v>
      </c>
      <c r="L107" s="14" t="e">
        <f t="shared" si="89"/>
        <v>#DIV/0!</v>
      </c>
      <c r="M107" s="14" t="e">
        <f t="shared" si="89"/>
        <v>#DIV/0!</v>
      </c>
      <c r="N107" s="14" t="e">
        <f t="shared" si="89"/>
        <v>#DIV/0!</v>
      </c>
      <c r="O107" s="14" t="e">
        <f t="shared" si="89"/>
        <v>#DIV/0!</v>
      </c>
      <c r="P107" s="14" t="e">
        <f t="shared" si="89"/>
        <v>#DIV/0!</v>
      </c>
      <c r="Q107" s="14" t="e">
        <f t="shared" si="89"/>
        <v>#DIV/0!</v>
      </c>
      <c r="R107" s="14" t="e">
        <f t="shared" si="89"/>
        <v>#DIV/0!</v>
      </c>
      <c r="S107" s="14" t="e">
        <f t="shared" si="89"/>
        <v>#DIV/0!</v>
      </c>
      <c r="T107" s="14" t="e">
        <f t="shared" si="89"/>
        <v>#DIV/0!</v>
      </c>
      <c r="U107" s="14" t="e">
        <f t="shared" si="89"/>
        <v>#DIV/0!</v>
      </c>
      <c r="V107" s="14" t="e">
        <f t="shared" si="89"/>
        <v>#DIV/0!</v>
      </c>
      <c r="W107" s="14" t="e">
        <f t="shared" si="89"/>
        <v>#DIV/0!</v>
      </c>
      <c r="X107" s="14" t="e">
        <f t="shared" si="89"/>
        <v>#DIV/0!</v>
      </c>
      <c r="Y107" s="14" t="e">
        <f t="shared" si="89"/>
        <v>#DIV/0!</v>
      </c>
      <c r="Z107" s="14" t="e">
        <f t="shared" si="89"/>
        <v>#DIV/0!</v>
      </c>
      <c r="AA107" s="14" t="e">
        <f t="shared" si="89"/>
        <v>#DIV/0!</v>
      </c>
      <c r="AB107" s="14" t="e">
        <f t="shared" si="89"/>
        <v>#DIV/0!</v>
      </c>
      <c r="AC107" s="14" t="e">
        <f t="shared" si="89"/>
        <v>#DIV/0!</v>
      </c>
      <c r="AD107" s="14" t="e">
        <f t="shared" si="89"/>
        <v>#DIV/0!</v>
      </c>
      <c r="AE107" s="14" t="e">
        <f t="shared" si="89"/>
        <v>#DIV/0!</v>
      </c>
      <c r="AF107" s="14" t="e">
        <f t="shared" si="89"/>
        <v>#DIV/0!</v>
      </c>
      <c r="AG107" s="14" t="e">
        <f t="shared" si="89"/>
        <v>#DIV/0!</v>
      </c>
      <c r="AH107" s="14" t="e">
        <f t="shared" si="89"/>
        <v>#DIV/0!</v>
      </c>
      <c r="AI107" s="14" t="e">
        <f t="shared" si="89"/>
        <v>#DIV/0!</v>
      </c>
      <c r="AJ107" s="14" t="e">
        <f t="shared" si="89"/>
        <v>#DIV/0!</v>
      </c>
      <c r="AK107" s="14" t="e">
        <f t="shared" si="89"/>
        <v>#DIV/0!</v>
      </c>
      <c r="AL107" s="14" t="e">
        <f t="shared" si="89"/>
        <v>#DIV/0!</v>
      </c>
      <c r="AM107" s="14" t="e">
        <f t="shared" si="89"/>
        <v>#DIV/0!</v>
      </c>
      <c r="AN107" s="14" t="e">
        <f t="shared" si="89"/>
        <v>#DIV/0!</v>
      </c>
      <c r="AO107" s="14" t="e">
        <f t="shared" si="89"/>
        <v>#DIV/0!</v>
      </c>
      <c r="AP107" s="14" t="e">
        <f t="shared" si="89"/>
        <v>#DIV/0!</v>
      </c>
      <c r="AQ107" s="14" t="e">
        <f t="shared" si="89"/>
        <v>#DIV/0!</v>
      </c>
      <c r="AR107" s="14" t="e">
        <f t="shared" si="89"/>
        <v>#DIV/0!</v>
      </c>
      <c r="AS107" s="14" t="e">
        <f t="shared" si="89"/>
        <v>#DIV/0!</v>
      </c>
      <c r="AT107" s="14" t="e">
        <f t="shared" si="89"/>
        <v>#DIV/0!</v>
      </c>
      <c r="AU107" s="14" t="e">
        <f t="shared" si="89"/>
        <v>#DIV/0!</v>
      </c>
      <c r="AV107" s="14" t="e">
        <f t="shared" si="89"/>
        <v>#DIV/0!</v>
      </c>
      <c r="AW107" s="14" t="e">
        <f t="shared" si="89"/>
        <v>#DIV/0!</v>
      </c>
      <c r="AX107" s="14" t="e">
        <f t="shared" si="89"/>
        <v>#DIV/0!</v>
      </c>
      <c r="AY107" s="14" t="e">
        <f t="shared" si="89"/>
        <v>#DIV/0!</v>
      </c>
      <c r="AZ107" s="14" t="e">
        <f t="shared" si="89"/>
        <v>#DIV/0!</v>
      </c>
      <c r="BA107" s="14" t="e">
        <f t="shared" si="89"/>
        <v>#DIV/0!</v>
      </c>
      <c r="BB107" s="14" t="e">
        <f t="shared" si="89"/>
        <v>#DIV/0!</v>
      </c>
      <c r="BC107" s="14" t="e">
        <f t="shared" si="89"/>
        <v>#DIV/0!</v>
      </c>
      <c r="BD107" s="14" t="e">
        <f t="shared" si="89"/>
        <v>#DIV/0!</v>
      </c>
      <c r="BE107" s="14" t="e">
        <f t="shared" si="89"/>
        <v>#DIV/0!</v>
      </c>
      <c r="BF107" s="14" t="e">
        <f t="shared" si="89"/>
        <v>#DIV/0!</v>
      </c>
      <c r="BG107" s="14" t="e">
        <f t="shared" si="89"/>
        <v>#DIV/0!</v>
      </c>
      <c r="BH107" s="14" t="e">
        <f t="shared" si="89"/>
        <v>#DIV/0!</v>
      </c>
      <c r="BI107" s="14" t="e">
        <f t="shared" si="89"/>
        <v>#DIV/0!</v>
      </c>
      <c r="BJ107" s="14" t="e">
        <f t="shared" si="89"/>
        <v>#DIV/0!</v>
      </c>
      <c r="BK107" s="14" t="e">
        <f t="shared" si="89"/>
        <v>#DIV/0!</v>
      </c>
      <c r="BL107" s="14" t="e">
        <f t="shared" si="89"/>
        <v>#DIV/0!</v>
      </c>
      <c r="BM107" s="14" t="e">
        <f t="shared" si="89"/>
        <v>#DIV/0!</v>
      </c>
      <c r="BN107" s="14" t="e">
        <f t="shared" si="89"/>
        <v>#DIV/0!</v>
      </c>
      <c r="BO107" s="14" t="e">
        <f t="shared" si="89"/>
        <v>#DIV/0!</v>
      </c>
      <c r="BP107" s="14" t="e">
        <f t="shared" si="89"/>
        <v>#DIV/0!</v>
      </c>
      <c r="BQ107" s="14" t="e">
        <f t="shared" si="89"/>
        <v>#DIV/0!</v>
      </c>
      <c r="BR107" s="14" t="e">
        <f t="shared" si="89"/>
        <v>#DIV/0!</v>
      </c>
      <c r="BS107" s="98"/>
    </row>
    <row r="108" spans="1:87" ht="21" hidden="1" customHeight="1" outlineLevel="1" thickBot="1" x14ac:dyDescent="0.4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 t="e">
        <f t="shared" ref="F108" si="90">F32*$C$78</f>
        <v>#DIV/0!</v>
      </c>
      <c r="G108" s="14" t="e">
        <f t="shared" ref="G108:BR108" si="91">G32*$C$78</f>
        <v>#DIV/0!</v>
      </c>
      <c r="H108" s="14" t="e">
        <f t="shared" si="91"/>
        <v>#DIV/0!</v>
      </c>
      <c r="I108" s="14" t="e">
        <f t="shared" si="91"/>
        <v>#DIV/0!</v>
      </c>
      <c r="J108" s="14" t="e">
        <f t="shared" si="91"/>
        <v>#DIV/0!</v>
      </c>
      <c r="K108" s="14" t="e">
        <f t="shared" si="91"/>
        <v>#DIV/0!</v>
      </c>
      <c r="L108" s="14" t="e">
        <f t="shared" si="91"/>
        <v>#DIV/0!</v>
      </c>
      <c r="M108" s="14" t="e">
        <f t="shared" si="91"/>
        <v>#DIV/0!</v>
      </c>
      <c r="N108" s="14" t="e">
        <f t="shared" si="91"/>
        <v>#DIV/0!</v>
      </c>
      <c r="O108" s="14" t="e">
        <f t="shared" si="91"/>
        <v>#DIV/0!</v>
      </c>
      <c r="P108" s="14" t="e">
        <f t="shared" si="91"/>
        <v>#DIV/0!</v>
      </c>
      <c r="Q108" s="14" t="e">
        <f t="shared" si="91"/>
        <v>#DIV/0!</v>
      </c>
      <c r="R108" s="14" t="e">
        <f t="shared" si="91"/>
        <v>#DIV/0!</v>
      </c>
      <c r="S108" s="14" t="e">
        <f t="shared" si="91"/>
        <v>#DIV/0!</v>
      </c>
      <c r="T108" s="14" t="e">
        <f t="shared" si="91"/>
        <v>#DIV/0!</v>
      </c>
      <c r="U108" s="14" t="e">
        <f t="shared" si="91"/>
        <v>#DIV/0!</v>
      </c>
      <c r="V108" s="14" t="e">
        <f t="shared" si="91"/>
        <v>#DIV/0!</v>
      </c>
      <c r="W108" s="14" t="e">
        <f t="shared" si="91"/>
        <v>#DIV/0!</v>
      </c>
      <c r="X108" s="14" t="e">
        <f t="shared" si="91"/>
        <v>#DIV/0!</v>
      </c>
      <c r="Y108" s="14" t="e">
        <f t="shared" si="91"/>
        <v>#DIV/0!</v>
      </c>
      <c r="Z108" s="14" t="e">
        <f t="shared" si="91"/>
        <v>#DIV/0!</v>
      </c>
      <c r="AA108" s="14" t="e">
        <f t="shared" si="91"/>
        <v>#DIV/0!</v>
      </c>
      <c r="AB108" s="14" t="e">
        <f t="shared" si="91"/>
        <v>#DIV/0!</v>
      </c>
      <c r="AC108" s="14" t="e">
        <f t="shared" si="91"/>
        <v>#DIV/0!</v>
      </c>
      <c r="AD108" s="14" t="e">
        <f t="shared" si="91"/>
        <v>#DIV/0!</v>
      </c>
      <c r="AE108" s="14" t="e">
        <f t="shared" si="91"/>
        <v>#DIV/0!</v>
      </c>
      <c r="AF108" s="14" t="e">
        <f t="shared" si="91"/>
        <v>#DIV/0!</v>
      </c>
      <c r="AG108" s="14" t="e">
        <f t="shared" si="91"/>
        <v>#DIV/0!</v>
      </c>
      <c r="AH108" s="14" t="e">
        <f t="shared" si="91"/>
        <v>#DIV/0!</v>
      </c>
      <c r="AI108" s="14" t="e">
        <f t="shared" si="91"/>
        <v>#DIV/0!</v>
      </c>
      <c r="AJ108" s="14" t="e">
        <f t="shared" si="91"/>
        <v>#DIV/0!</v>
      </c>
      <c r="AK108" s="14" t="e">
        <f t="shared" si="91"/>
        <v>#DIV/0!</v>
      </c>
      <c r="AL108" s="14" t="e">
        <f t="shared" si="91"/>
        <v>#DIV/0!</v>
      </c>
      <c r="AM108" s="14" t="e">
        <f t="shared" si="91"/>
        <v>#DIV/0!</v>
      </c>
      <c r="AN108" s="14" t="e">
        <f t="shared" si="91"/>
        <v>#DIV/0!</v>
      </c>
      <c r="AO108" s="14" t="e">
        <f t="shared" si="91"/>
        <v>#DIV/0!</v>
      </c>
      <c r="AP108" s="14" t="e">
        <f t="shared" si="91"/>
        <v>#DIV/0!</v>
      </c>
      <c r="AQ108" s="14" t="e">
        <f t="shared" si="91"/>
        <v>#DIV/0!</v>
      </c>
      <c r="AR108" s="14" t="e">
        <f t="shared" si="91"/>
        <v>#DIV/0!</v>
      </c>
      <c r="AS108" s="14" t="e">
        <f t="shared" si="91"/>
        <v>#DIV/0!</v>
      </c>
      <c r="AT108" s="14" t="e">
        <f t="shared" si="91"/>
        <v>#DIV/0!</v>
      </c>
      <c r="AU108" s="14" t="e">
        <f t="shared" si="91"/>
        <v>#DIV/0!</v>
      </c>
      <c r="AV108" s="14" t="e">
        <f t="shared" si="91"/>
        <v>#DIV/0!</v>
      </c>
      <c r="AW108" s="14" t="e">
        <f t="shared" si="91"/>
        <v>#DIV/0!</v>
      </c>
      <c r="AX108" s="14" t="e">
        <f t="shared" si="91"/>
        <v>#DIV/0!</v>
      </c>
      <c r="AY108" s="14" t="e">
        <f t="shared" si="91"/>
        <v>#DIV/0!</v>
      </c>
      <c r="AZ108" s="14" t="e">
        <f t="shared" si="91"/>
        <v>#DIV/0!</v>
      </c>
      <c r="BA108" s="14" t="e">
        <f t="shared" si="91"/>
        <v>#DIV/0!</v>
      </c>
      <c r="BB108" s="14" t="e">
        <f t="shared" si="91"/>
        <v>#DIV/0!</v>
      </c>
      <c r="BC108" s="14" t="e">
        <f t="shared" si="91"/>
        <v>#DIV/0!</v>
      </c>
      <c r="BD108" s="14" t="e">
        <f t="shared" si="91"/>
        <v>#DIV/0!</v>
      </c>
      <c r="BE108" s="14" t="e">
        <f t="shared" si="91"/>
        <v>#DIV/0!</v>
      </c>
      <c r="BF108" s="14" t="e">
        <f t="shared" si="91"/>
        <v>#DIV/0!</v>
      </c>
      <c r="BG108" s="14" t="e">
        <f t="shared" si="91"/>
        <v>#DIV/0!</v>
      </c>
      <c r="BH108" s="14" t="e">
        <f t="shared" si="91"/>
        <v>#DIV/0!</v>
      </c>
      <c r="BI108" s="14" t="e">
        <f t="shared" si="91"/>
        <v>#DIV/0!</v>
      </c>
      <c r="BJ108" s="14" t="e">
        <f t="shared" si="91"/>
        <v>#DIV/0!</v>
      </c>
      <c r="BK108" s="14" t="e">
        <f t="shared" si="91"/>
        <v>#DIV/0!</v>
      </c>
      <c r="BL108" s="14" t="e">
        <f t="shared" si="91"/>
        <v>#DIV/0!</v>
      </c>
      <c r="BM108" s="14" t="e">
        <f t="shared" si="91"/>
        <v>#DIV/0!</v>
      </c>
      <c r="BN108" s="14" t="e">
        <f t="shared" si="91"/>
        <v>#DIV/0!</v>
      </c>
      <c r="BO108" s="14" t="e">
        <f t="shared" si="91"/>
        <v>#DIV/0!</v>
      </c>
      <c r="BP108" s="14" t="e">
        <f t="shared" si="91"/>
        <v>#DIV/0!</v>
      </c>
      <c r="BQ108" s="14" t="e">
        <f t="shared" si="91"/>
        <v>#DIV/0!</v>
      </c>
      <c r="BR108" s="14" t="e">
        <f t="shared" si="91"/>
        <v>#DIV/0!</v>
      </c>
      <c r="BS108" s="98"/>
    </row>
    <row r="109" spans="1:87" ht="21" hidden="1" customHeight="1" outlineLevel="1" thickBot="1" x14ac:dyDescent="0.4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8"/>
    </row>
    <row r="110" spans="1:87" ht="21" hidden="1" customHeight="1" outlineLevel="1" x14ac:dyDescent="0.35">
      <c r="G110" s="98"/>
      <c r="H110" s="98"/>
      <c r="I110" s="98"/>
      <c r="J110" s="98"/>
      <c r="K110" s="98"/>
      <c r="L110" s="98"/>
      <c r="M110" s="98"/>
      <c r="N110" s="98"/>
      <c r="O110" s="98"/>
      <c r="P110" s="98"/>
      <c r="Q110" s="98"/>
      <c r="R110" s="98"/>
      <c r="S110" s="98"/>
      <c r="T110" s="98"/>
      <c r="U110" s="98"/>
      <c r="V110" s="98"/>
      <c r="W110" s="98"/>
      <c r="X110" s="98"/>
      <c r="Y110" s="98"/>
      <c r="Z110" s="98"/>
      <c r="AA110" s="98"/>
      <c r="AB110" s="98"/>
      <c r="AC110" s="98"/>
      <c r="AD110" s="98"/>
      <c r="AE110" s="98"/>
      <c r="AF110" s="98"/>
      <c r="AG110" s="98"/>
      <c r="AH110" s="98"/>
      <c r="AI110" s="98"/>
      <c r="AJ110" s="98"/>
      <c r="AK110" s="98"/>
      <c r="AL110" s="98"/>
      <c r="AM110" s="98"/>
      <c r="AN110" s="98"/>
      <c r="AO110" s="98"/>
      <c r="AP110" s="98"/>
      <c r="AQ110" s="98"/>
      <c r="AR110" s="98"/>
      <c r="AS110" s="98"/>
      <c r="AT110" s="98"/>
      <c r="AU110" s="98"/>
      <c r="AV110" s="98"/>
      <c r="AW110" s="98"/>
      <c r="AX110" s="98"/>
      <c r="AY110" s="98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98"/>
      <c r="BM110" s="98"/>
      <c r="BN110" s="98"/>
      <c r="BO110" s="98"/>
      <c r="BP110" s="98"/>
      <c r="BQ110" s="98"/>
      <c r="BR110" s="98"/>
    </row>
    <row r="111" spans="1:87" ht="21" customHeight="1" collapsed="1" x14ac:dyDescent="0.35"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</row>
    <row r="112" spans="1:87" ht="21" customHeight="1" thickBot="1" x14ac:dyDescent="0.45">
      <c r="A112" s="65"/>
      <c r="B112" s="65"/>
      <c r="C112" s="65"/>
      <c r="D112" s="65"/>
      <c r="E112" s="64" t="s">
        <v>22</v>
      </c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5"/>
      <c r="AC112" s="65"/>
      <c r="AD112" s="65"/>
      <c r="AE112" s="65"/>
      <c r="AF112" s="65"/>
      <c r="AG112" s="65"/>
      <c r="AH112" s="65"/>
      <c r="AI112" s="65"/>
      <c r="AJ112" s="65"/>
      <c r="AK112" s="65"/>
      <c r="AL112" s="65"/>
      <c r="AM112" s="65"/>
      <c r="AN112" s="65"/>
      <c r="AO112" s="65"/>
      <c r="AP112" s="65"/>
      <c r="AQ112" s="65"/>
      <c r="AR112" s="65"/>
      <c r="AS112" s="65"/>
      <c r="AT112" s="65"/>
      <c r="AU112" s="65"/>
      <c r="AV112" s="65"/>
      <c r="AW112" s="65"/>
      <c r="AX112" s="65"/>
      <c r="AY112" s="65"/>
      <c r="AZ112" s="65"/>
      <c r="BA112" s="65"/>
      <c r="BB112" s="65"/>
      <c r="BC112" s="65"/>
      <c r="BD112" s="65"/>
      <c r="BE112" s="65"/>
      <c r="BF112" s="65"/>
      <c r="BG112" s="65"/>
      <c r="BH112" s="65"/>
      <c r="BI112" s="65"/>
      <c r="BJ112" s="65"/>
      <c r="BK112" s="65"/>
      <c r="BL112" s="65"/>
      <c r="BM112" s="65"/>
      <c r="BN112" s="65"/>
      <c r="BO112" s="65"/>
      <c r="BP112" s="65"/>
      <c r="BQ112" s="65"/>
      <c r="BR112" s="65"/>
      <c r="BS112" s="65"/>
      <c r="BT112" s="65"/>
      <c r="BU112" s="65"/>
      <c r="BV112" s="65"/>
      <c r="BW112" s="65"/>
      <c r="BX112" s="65"/>
      <c r="BY112" s="65"/>
      <c r="BZ112" s="65"/>
      <c r="CA112" s="65"/>
      <c r="CB112" s="65"/>
      <c r="CC112" s="65"/>
      <c r="CD112" s="65"/>
      <c r="CE112" s="65"/>
      <c r="CF112" s="65"/>
      <c r="CG112" s="65"/>
      <c r="CH112" s="65"/>
      <c r="CI112" s="65"/>
    </row>
    <row r="113" spans="1:71" ht="21" customHeight="1" outlineLevel="1" thickTop="1" thickBot="1" x14ac:dyDescent="0.4">
      <c r="A113" s="110"/>
      <c r="B113" s="110"/>
      <c r="C113" s="21" t="s">
        <v>10</v>
      </c>
      <c r="D113" s="15" t="s">
        <v>11</v>
      </c>
      <c r="E113" s="15"/>
      <c r="F113" s="4">
        <f t="shared" ref="F113:AL113" si="92">F3</f>
        <v>0</v>
      </c>
      <c r="G113" s="4">
        <f t="shared" si="92"/>
        <v>0</v>
      </c>
      <c r="H113" s="4">
        <f t="shared" si="92"/>
        <v>0</v>
      </c>
      <c r="I113" s="4">
        <f t="shared" si="92"/>
        <v>0</v>
      </c>
      <c r="J113" s="4">
        <f t="shared" si="92"/>
        <v>0</v>
      </c>
      <c r="K113" s="4">
        <f t="shared" si="92"/>
        <v>0</v>
      </c>
      <c r="L113" s="4">
        <f t="shared" si="92"/>
        <v>0</v>
      </c>
      <c r="M113" s="4">
        <f t="shared" si="92"/>
        <v>0</v>
      </c>
      <c r="N113" s="4">
        <f t="shared" si="92"/>
        <v>0</v>
      </c>
      <c r="O113" s="4">
        <f t="shared" si="92"/>
        <v>0</v>
      </c>
      <c r="P113" s="4">
        <f t="shared" si="92"/>
        <v>0</v>
      </c>
      <c r="Q113" s="4">
        <f t="shared" si="92"/>
        <v>0</v>
      </c>
      <c r="R113" s="4">
        <f t="shared" si="92"/>
        <v>0</v>
      </c>
      <c r="S113" s="4">
        <f t="shared" si="92"/>
        <v>0</v>
      </c>
      <c r="T113" s="4">
        <f t="shared" si="92"/>
        <v>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8"/>
    </row>
    <row r="114" spans="1:71" ht="21" customHeight="1" outlineLevel="1" thickTop="1" thickBot="1" x14ac:dyDescent="0.4">
      <c r="C114" s="22">
        <f>COUNTA(E114:E121)+1</f>
        <v>5</v>
      </c>
      <c r="E114" s="17" t="s">
        <v>31</v>
      </c>
      <c r="F114" s="46" t="e">
        <f t="shared" ref="F114:AL114" si="93">F$113*$B$2*SUMPRODUCT(F$90:F$91,F$56:F$57)/1000</f>
        <v>#DIV/0!</v>
      </c>
      <c r="G114" s="46" t="e">
        <f t="shared" si="93"/>
        <v>#DIV/0!</v>
      </c>
      <c r="H114" s="46" t="e">
        <f t="shared" si="93"/>
        <v>#DIV/0!</v>
      </c>
      <c r="I114" s="46" t="e">
        <f t="shared" si="93"/>
        <v>#DIV/0!</v>
      </c>
      <c r="J114" s="46" t="e">
        <f t="shared" si="93"/>
        <v>#DIV/0!</v>
      </c>
      <c r="K114" s="46" t="e">
        <f t="shared" si="93"/>
        <v>#DIV/0!</v>
      </c>
      <c r="L114" s="46" t="e">
        <f t="shared" si="93"/>
        <v>#DIV/0!</v>
      </c>
      <c r="M114" s="46" t="e">
        <f t="shared" si="93"/>
        <v>#DIV/0!</v>
      </c>
      <c r="N114" s="46" t="e">
        <f t="shared" si="93"/>
        <v>#DIV/0!</v>
      </c>
      <c r="O114" s="46" t="e">
        <f t="shared" si="93"/>
        <v>#DIV/0!</v>
      </c>
      <c r="P114" s="46" t="e">
        <f t="shared" si="93"/>
        <v>#DIV/0!</v>
      </c>
      <c r="Q114" s="46" t="e">
        <f t="shared" si="93"/>
        <v>#DIV/0!</v>
      </c>
      <c r="R114" s="46" t="e">
        <f t="shared" si="93"/>
        <v>#DIV/0!</v>
      </c>
      <c r="S114" s="46" t="e">
        <f t="shared" si="93"/>
        <v>#DIV/0!</v>
      </c>
      <c r="T114" s="46" t="e">
        <f t="shared" si="93"/>
        <v>#DIV/0!</v>
      </c>
      <c r="U114" s="46" t="e">
        <f t="shared" si="93"/>
        <v>#DIV/0!</v>
      </c>
      <c r="V114" s="46" t="e">
        <f t="shared" si="93"/>
        <v>#DIV/0!</v>
      </c>
      <c r="W114" s="46" t="e">
        <f t="shared" si="93"/>
        <v>#DIV/0!</v>
      </c>
      <c r="X114" s="46" t="e">
        <f t="shared" si="93"/>
        <v>#DIV/0!</v>
      </c>
      <c r="Y114" s="46" t="e">
        <f t="shared" si="93"/>
        <v>#DIV/0!</v>
      </c>
      <c r="Z114" s="46" t="e">
        <f t="shared" si="93"/>
        <v>#DIV/0!</v>
      </c>
      <c r="AA114" s="46" t="e">
        <f t="shared" si="93"/>
        <v>#DIV/0!</v>
      </c>
      <c r="AB114" s="46" t="e">
        <f t="shared" si="93"/>
        <v>#DIV/0!</v>
      </c>
      <c r="AC114" s="46" t="e">
        <f t="shared" si="93"/>
        <v>#DIV/0!</v>
      </c>
      <c r="AD114" s="46" t="e">
        <f t="shared" si="93"/>
        <v>#DIV/0!</v>
      </c>
      <c r="AE114" s="46" t="e">
        <f t="shared" si="93"/>
        <v>#DIV/0!</v>
      </c>
      <c r="AF114" s="46" t="e">
        <f t="shared" si="93"/>
        <v>#DIV/0!</v>
      </c>
      <c r="AG114" s="46" t="e">
        <f t="shared" si="93"/>
        <v>#DIV/0!</v>
      </c>
      <c r="AH114" s="46" t="e">
        <f t="shared" si="93"/>
        <v>#DIV/0!</v>
      </c>
      <c r="AI114" s="46" t="e">
        <f t="shared" si="93"/>
        <v>#DIV/0!</v>
      </c>
      <c r="AJ114" s="46" t="e">
        <f t="shared" si="93"/>
        <v>#DIV/0!</v>
      </c>
      <c r="AK114" s="46" t="e">
        <f t="shared" si="93"/>
        <v>#DIV/0!</v>
      </c>
      <c r="AL114" s="46" t="e">
        <f t="shared" si="93"/>
        <v>#DIV/0!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8"/>
    </row>
    <row r="115" spans="1:71" ht="21" customHeight="1" outlineLevel="1" thickBot="1" x14ac:dyDescent="0.4">
      <c r="C115" s="23">
        <f xml:space="preserve"> COUNTIF(F113:AL113,"&lt;&gt;"&amp;0)</f>
        <v>0</v>
      </c>
      <c r="E115" s="17" t="s">
        <v>13</v>
      </c>
      <c r="F115" s="14" t="e">
        <f t="shared" ref="F115:AL115" si="94">F$113*$B$2*SUMPRODUCT(F$87:F$88,F$53:F$54)/1000</f>
        <v>#DIV/0!</v>
      </c>
      <c r="G115" s="14" t="e">
        <f t="shared" si="94"/>
        <v>#DIV/0!</v>
      </c>
      <c r="H115" s="14" t="e">
        <f t="shared" si="94"/>
        <v>#DIV/0!</v>
      </c>
      <c r="I115" s="14" t="e">
        <f t="shared" si="94"/>
        <v>#DIV/0!</v>
      </c>
      <c r="J115" s="14" t="e">
        <f t="shared" si="94"/>
        <v>#DIV/0!</v>
      </c>
      <c r="K115" s="14" t="e">
        <f t="shared" si="94"/>
        <v>#DIV/0!</v>
      </c>
      <c r="L115" s="14" t="e">
        <f t="shared" si="94"/>
        <v>#DIV/0!</v>
      </c>
      <c r="M115" s="14" t="e">
        <f t="shared" si="94"/>
        <v>#DIV/0!</v>
      </c>
      <c r="N115" s="14" t="e">
        <f t="shared" si="94"/>
        <v>#DIV/0!</v>
      </c>
      <c r="O115" s="14" t="e">
        <f t="shared" si="94"/>
        <v>#DIV/0!</v>
      </c>
      <c r="P115" s="14" t="e">
        <f t="shared" si="94"/>
        <v>#DIV/0!</v>
      </c>
      <c r="Q115" s="14" t="e">
        <f t="shared" si="94"/>
        <v>#DIV/0!</v>
      </c>
      <c r="R115" s="14" t="e">
        <f t="shared" si="94"/>
        <v>#DIV/0!</v>
      </c>
      <c r="S115" s="14" t="e">
        <f t="shared" si="94"/>
        <v>#DIV/0!</v>
      </c>
      <c r="T115" s="14" t="e">
        <f t="shared" si="94"/>
        <v>#DIV/0!</v>
      </c>
      <c r="U115" s="14" t="e">
        <f t="shared" si="94"/>
        <v>#DIV/0!</v>
      </c>
      <c r="V115" s="14" t="e">
        <f t="shared" si="94"/>
        <v>#DIV/0!</v>
      </c>
      <c r="W115" s="14" t="e">
        <f t="shared" si="94"/>
        <v>#DIV/0!</v>
      </c>
      <c r="X115" s="14" t="e">
        <f t="shared" si="94"/>
        <v>#DIV/0!</v>
      </c>
      <c r="Y115" s="14" t="e">
        <f t="shared" si="94"/>
        <v>#DIV/0!</v>
      </c>
      <c r="Z115" s="14" t="e">
        <f t="shared" si="94"/>
        <v>#DIV/0!</v>
      </c>
      <c r="AA115" s="14" t="e">
        <f t="shared" si="94"/>
        <v>#DIV/0!</v>
      </c>
      <c r="AB115" s="14" t="e">
        <f t="shared" si="94"/>
        <v>#DIV/0!</v>
      </c>
      <c r="AC115" s="14" t="e">
        <f t="shared" si="94"/>
        <v>#DIV/0!</v>
      </c>
      <c r="AD115" s="14" t="e">
        <f t="shared" si="94"/>
        <v>#DIV/0!</v>
      </c>
      <c r="AE115" s="14" t="e">
        <f t="shared" si="94"/>
        <v>#DIV/0!</v>
      </c>
      <c r="AF115" s="14" t="e">
        <f t="shared" si="94"/>
        <v>#DIV/0!</v>
      </c>
      <c r="AG115" s="14" t="e">
        <f t="shared" si="94"/>
        <v>#DIV/0!</v>
      </c>
      <c r="AH115" s="14" t="e">
        <f t="shared" si="94"/>
        <v>#DIV/0!</v>
      </c>
      <c r="AI115" s="14" t="e">
        <f t="shared" si="94"/>
        <v>#DIV/0!</v>
      </c>
      <c r="AJ115" s="14" t="e">
        <f t="shared" si="94"/>
        <v>#DIV/0!</v>
      </c>
      <c r="AK115" s="14" t="e">
        <f t="shared" si="94"/>
        <v>#DIV/0!</v>
      </c>
      <c r="AL115" s="14" t="e">
        <f t="shared" si="94"/>
        <v>#DIV/0!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8"/>
    </row>
    <row r="116" spans="1:71" ht="21" customHeight="1" outlineLevel="1" thickBot="1" x14ac:dyDescent="0.4">
      <c r="E116" s="17" t="s">
        <v>14</v>
      </c>
      <c r="F116" s="14" t="e">
        <f t="shared" ref="F116:AL116" si="95">F$113*$B$2*SUMPRODUCT(F$87:F$89,F$53:F$55)/1000</f>
        <v>#DIV/0!</v>
      </c>
      <c r="G116" s="14" t="e">
        <f t="shared" si="95"/>
        <v>#DIV/0!</v>
      </c>
      <c r="H116" s="14" t="e">
        <f t="shared" si="95"/>
        <v>#DIV/0!</v>
      </c>
      <c r="I116" s="14" t="e">
        <f t="shared" si="95"/>
        <v>#DIV/0!</v>
      </c>
      <c r="J116" s="14" t="e">
        <f t="shared" si="95"/>
        <v>#DIV/0!</v>
      </c>
      <c r="K116" s="14" t="e">
        <f t="shared" si="95"/>
        <v>#DIV/0!</v>
      </c>
      <c r="L116" s="14" t="e">
        <f t="shared" si="95"/>
        <v>#DIV/0!</v>
      </c>
      <c r="M116" s="14" t="e">
        <f t="shared" si="95"/>
        <v>#DIV/0!</v>
      </c>
      <c r="N116" s="14" t="e">
        <f t="shared" si="95"/>
        <v>#DIV/0!</v>
      </c>
      <c r="O116" s="14" t="e">
        <f t="shared" si="95"/>
        <v>#DIV/0!</v>
      </c>
      <c r="P116" s="14" t="e">
        <f t="shared" si="95"/>
        <v>#DIV/0!</v>
      </c>
      <c r="Q116" s="14" t="e">
        <f t="shared" si="95"/>
        <v>#DIV/0!</v>
      </c>
      <c r="R116" s="14" t="e">
        <f t="shared" si="95"/>
        <v>#DIV/0!</v>
      </c>
      <c r="S116" s="14" t="e">
        <f t="shared" si="95"/>
        <v>#DIV/0!</v>
      </c>
      <c r="T116" s="14" t="e">
        <f t="shared" si="95"/>
        <v>#DIV/0!</v>
      </c>
      <c r="U116" s="14" t="e">
        <f t="shared" si="95"/>
        <v>#DIV/0!</v>
      </c>
      <c r="V116" s="14" t="e">
        <f t="shared" si="95"/>
        <v>#DIV/0!</v>
      </c>
      <c r="W116" s="14" t="e">
        <f t="shared" si="95"/>
        <v>#DIV/0!</v>
      </c>
      <c r="X116" s="14" t="e">
        <f t="shared" si="95"/>
        <v>#DIV/0!</v>
      </c>
      <c r="Y116" s="14" t="e">
        <f t="shared" si="95"/>
        <v>#DIV/0!</v>
      </c>
      <c r="Z116" s="14" t="e">
        <f t="shared" si="95"/>
        <v>#DIV/0!</v>
      </c>
      <c r="AA116" s="14" t="e">
        <f t="shared" si="95"/>
        <v>#DIV/0!</v>
      </c>
      <c r="AB116" s="14" t="e">
        <f t="shared" si="95"/>
        <v>#DIV/0!</v>
      </c>
      <c r="AC116" s="14" t="e">
        <f t="shared" si="95"/>
        <v>#DIV/0!</v>
      </c>
      <c r="AD116" s="14" t="e">
        <f t="shared" si="95"/>
        <v>#DIV/0!</v>
      </c>
      <c r="AE116" s="14" t="e">
        <f t="shared" si="95"/>
        <v>#DIV/0!</v>
      </c>
      <c r="AF116" s="14" t="e">
        <f t="shared" si="95"/>
        <v>#DIV/0!</v>
      </c>
      <c r="AG116" s="14" t="e">
        <f t="shared" si="95"/>
        <v>#DIV/0!</v>
      </c>
      <c r="AH116" s="14" t="e">
        <f t="shared" si="95"/>
        <v>#DIV/0!</v>
      </c>
      <c r="AI116" s="14" t="e">
        <f t="shared" si="95"/>
        <v>#DIV/0!</v>
      </c>
      <c r="AJ116" s="14" t="e">
        <f t="shared" si="95"/>
        <v>#DIV/0!</v>
      </c>
      <c r="AK116" s="14" t="e">
        <f t="shared" si="95"/>
        <v>#DIV/0!</v>
      </c>
      <c r="AL116" s="14" t="e">
        <f t="shared" si="95"/>
        <v>#DIV/0!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8"/>
    </row>
    <row r="117" spans="1:71" ht="21" customHeight="1" outlineLevel="1" thickBot="1" x14ac:dyDescent="0.4">
      <c r="E117" s="17" t="s">
        <v>32</v>
      </c>
      <c r="F117" s="14" t="e">
        <f>F115+F114</f>
        <v>#DIV/0!</v>
      </c>
      <c r="G117" s="14" t="e">
        <f t="shared" ref="G117:AL117" si="96">G115+G114</f>
        <v>#DIV/0!</v>
      </c>
      <c r="H117" s="14" t="e">
        <f t="shared" si="96"/>
        <v>#DIV/0!</v>
      </c>
      <c r="I117" s="14" t="e">
        <f t="shared" si="96"/>
        <v>#DIV/0!</v>
      </c>
      <c r="J117" s="14" t="e">
        <f t="shared" si="96"/>
        <v>#DIV/0!</v>
      </c>
      <c r="K117" s="14" t="e">
        <f t="shared" si="96"/>
        <v>#DIV/0!</v>
      </c>
      <c r="L117" s="14" t="e">
        <f t="shared" si="96"/>
        <v>#DIV/0!</v>
      </c>
      <c r="M117" s="14" t="e">
        <f t="shared" si="96"/>
        <v>#DIV/0!</v>
      </c>
      <c r="N117" s="14" t="e">
        <f t="shared" si="96"/>
        <v>#DIV/0!</v>
      </c>
      <c r="O117" s="14" t="e">
        <f t="shared" si="96"/>
        <v>#DIV/0!</v>
      </c>
      <c r="P117" s="14" t="e">
        <f t="shared" si="96"/>
        <v>#DIV/0!</v>
      </c>
      <c r="Q117" s="14" t="e">
        <f t="shared" si="96"/>
        <v>#DIV/0!</v>
      </c>
      <c r="R117" s="14" t="e">
        <f t="shared" si="96"/>
        <v>#DIV/0!</v>
      </c>
      <c r="S117" s="14" t="e">
        <f t="shared" si="96"/>
        <v>#DIV/0!</v>
      </c>
      <c r="T117" s="14" t="e">
        <f t="shared" si="96"/>
        <v>#DIV/0!</v>
      </c>
      <c r="U117" s="14" t="e">
        <f t="shared" si="96"/>
        <v>#DIV/0!</v>
      </c>
      <c r="V117" s="14" t="e">
        <f t="shared" si="96"/>
        <v>#DIV/0!</v>
      </c>
      <c r="W117" s="14" t="e">
        <f t="shared" si="96"/>
        <v>#DIV/0!</v>
      </c>
      <c r="X117" s="14" t="e">
        <f t="shared" si="96"/>
        <v>#DIV/0!</v>
      </c>
      <c r="Y117" s="14" t="e">
        <f t="shared" si="96"/>
        <v>#DIV/0!</v>
      </c>
      <c r="Z117" s="14" t="e">
        <f t="shared" si="96"/>
        <v>#DIV/0!</v>
      </c>
      <c r="AA117" s="14" t="e">
        <f t="shared" si="96"/>
        <v>#DIV/0!</v>
      </c>
      <c r="AB117" s="14" t="e">
        <f t="shared" si="96"/>
        <v>#DIV/0!</v>
      </c>
      <c r="AC117" s="14" t="e">
        <f t="shared" si="96"/>
        <v>#DIV/0!</v>
      </c>
      <c r="AD117" s="14" t="e">
        <f t="shared" si="96"/>
        <v>#DIV/0!</v>
      </c>
      <c r="AE117" s="14" t="e">
        <f t="shared" si="96"/>
        <v>#DIV/0!</v>
      </c>
      <c r="AF117" s="14" t="e">
        <f t="shared" si="96"/>
        <v>#DIV/0!</v>
      </c>
      <c r="AG117" s="14" t="e">
        <f t="shared" si="96"/>
        <v>#DIV/0!</v>
      </c>
      <c r="AH117" s="14" t="e">
        <f t="shared" si="96"/>
        <v>#DIV/0!</v>
      </c>
      <c r="AI117" s="14" t="e">
        <f t="shared" si="96"/>
        <v>#DIV/0!</v>
      </c>
      <c r="AJ117" s="14" t="e">
        <f t="shared" si="96"/>
        <v>#DIV/0!</v>
      </c>
      <c r="AK117" s="14" t="e">
        <f t="shared" si="96"/>
        <v>#DIV/0!</v>
      </c>
      <c r="AL117" s="14" t="e">
        <f t="shared" si="96"/>
        <v>#DIV/0!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8"/>
    </row>
    <row r="118" spans="1:71" ht="21" customHeight="1" outlineLevel="1" x14ac:dyDescent="0.35">
      <c r="U118" s="47"/>
      <c r="V118" s="47"/>
      <c r="W118" s="47"/>
      <c r="BS118" s="98"/>
    </row>
    <row r="119" spans="1:71" ht="21" customHeight="1" outlineLevel="1" x14ac:dyDescent="0.35">
      <c r="U119" s="47"/>
      <c r="V119" s="47"/>
      <c r="W119" s="47"/>
    </row>
    <row r="120" spans="1:71" ht="21" customHeight="1" outlineLevel="1" x14ac:dyDescent="0.35">
      <c r="U120" s="47"/>
      <c r="V120" s="47"/>
      <c r="W120" s="47"/>
    </row>
    <row r="121" spans="1:71" ht="21" customHeight="1" outlineLevel="1" thickBot="1" x14ac:dyDescent="0.4">
      <c r="U121" s="47"/>
      <c r="V121" s="47"/>
      <c r="W121" s="47"/>
    </row>
    <row r="122" spans="1:71" ht="21" customHeight="1" outlineLevel="1" thickTop="1" thickBot="1" x14ac:dyDescent="0.4">
      <c r="E122" s="4">
        <f t="array" aca="1" ref="E122:BR135" ca="1">OFFSET(E113,0,0,C114,C115+1)</f>
        <v>0</v>
      </c>
      <c r="F122" s="4">
        <f ca="1"/>
        <v>0</v>
      </c>
      <c r="G122" s="4">
        <f ca="1"/>
        <v>0</v>
      </c>
      <c r="H122" s="4">
        <f ca="1"/>
        <v>0</v>
      </c>
      <c r="I122" s="4">
        <f ca="1"/>
        <v>0</v>
      </c>
      <c r="J122" s="4">
        <f ca="1"/>
        <v>0</v>
      </c>
      <c r="K122" s="4">
        <f ca="1"/>
        <v>0</v>
      </c>
      <c r="L122" s="4">
        <f ca="1"/>
        <v>0</v>
      </c>
      <c r="M122" s="4">
        <f ca="1"/>
        <v>0</v>
      </c>
      <c r="N122" s="4">
        <f ca="1"/>
        <v>0</v>
      </c>
      <c r="O122" s="4">
        <f ca="1"/>
        <v>0</v>
      </c>
      <c r="P122" s="4">
        <f ca="1"/>
        <v>0</v>
      </c>
      <c r="Q122" s="4">
        <f ca="1"/>
        <v>0</v>
      </c>
      <c r="R122" s="4">
        <f ca="1"/>
        <v>0</v>
      </c>
      <c r="S122" s="4">
        <f ca="1"/>
        <v>0</v>
      </c>
      <c r="T122" s="20">
        <f ca="1"/>
        <v>0</v>
      </c>
      <c r="U122" s="55">
        <f ca="1"/>
        <v>0</v>
      </c>
      <c r="V122" s="56">
        <f ca="1"/>
        <v>0</v>
      </c>
      <c r="W122" s="58">
        <f ca="1"/>
        <v>0</v>
      </c>
      <c r="X122" s="53">
        <f ca="1"/>
        <v>0</v>
      </c>
      <c r="Y122" s="4">
        <f ca="1"/>
        <v>0</v>
      </c>
      <c r="Z122" s="4">
        <f ca="1"/>
        <v>0</v>
      </c>
      <c r="AA122" s="4">
        <f ca="1"/>
        <v>0</v>
      </c>
      <c r="AB122" s="4">
        <f ca="1"/>
        <v>0</v>
      </c>
      <c r="AC122" s="4">
        <f ca="1"/>
        <v>0</v>
      </c>
      <c r="AD122" s="4">
        <f ca="1"/>
        <v>0</v>
      </c>
      <c r="AE122" s="4">
        <f ca="1"/>
        <v>0</v>
      </c>
      <c r="AF122" s="4">
        <f ca="1"/>
        <v>0</v>
      </c>
      <c r="AG122" s="4">
        <f ca="1"/>
        <v>0</v>
      </c>
      <c r="AH122" s="4">
        <f ca="1"/>
        <v>0</v>
      </c>
      <c r="AI122" s="4">
        <f ca="1"/>
        <v>0</v>
      </c>
      <c r="AJ122" s="4">
        <f ca="1"/>
        <v>0</v>
      </c>
      <c r="AK122" s="4">
        <f ca="1"/>
        <v>0</v>
      </c>
      <c r="AL122" s="4">
        <f ca="1"/>
        <v>0</v>
      </c>
      <c r="AM122" s="4">
        <f ca="1"/>
        <v>0</v>
      </c>
      <c r="AN122" s="4">
        <f ca="1"/>
        <v>0</v>
      </c>
      <c r="AO122" s="4">
        <f ca="1"/>
        <v>0</v>
      </c>
      <c r="AP122" s="4">
        <f ca="1"/>
        <v>0</v>
      </c>
      <c r="AQ122" s="4">
        <f ca="1"/>
        <v>0</v>
      </c>
      <c r="AR122" s="4">
        <f ca="1"/>
        <v>0</v>
      </c>
      <c r="AS122" s="4">
        <f ca="1"/>
        <v>0</v>
      </c>
      <c r="AT122" s="4">
        <f ca="1"/>
        <v>0</v>
      </c>
      <c r="AU122" s="4">
        <f ca="1"/>
        <v>0</v>
      </c>
      <c r="AV122" s="4">
        <f ca="1"/>
        <v>0</v>
      </c>
      <c r="AW122" s="4">
        <f ca="1"/>
        <v>0</v>
      </c>
      <c r="AX122" s="4">
        <f ca="1"/>
        <v>0</v>
      </c>
      <c r="AY122" s="4">
        <f ca="1"/>
        <v>0</v>
      </c>
      <c r="AZ122" s="4">
        <f ca="1"/>
        <v>0</v>
      </c>
      <c r="BA122" s="4">
        <f ca="1"/>
        <v>0</v>
      </c>
      <c r="BB122" s="4">
        <f ca="1"/>
        <v>0</v>
      </c>
      <c r="BC122" s="4">
        <f ca="1"/>
        <v>0</v>
      </c>
      <c r="BD122" s="4">
        <f ca="1"/>
        <v>0</v>
      </c>
      <c r="BE122" s="4">
        <f ca="1"/>
        <v>0</v>
      </c>
      <c r="BF122" s="4">
        <f ca="1"/>
        <v>0</v>
      </c>
      <c r="BG122" s="4">
        <f ca="1"/>
        <v>0</v>
      </c>
      <c r="BH122" s="4">
        <f ca="1"/>
        <v>0</v>
      </c>
      <c r="BI122" s="4">
        <f ca="1"/>
        <v>0</v>
      </c>
      <c r="BJ122" s="4">
        <f ca="1"/>
        <v>0</v>
      </c>
      <c r="BK122" s="4">
        <f ca="1"/>
        <v>0</v>
      </c>
      <c r="BL122" s="4">
        <f ca="1"/>
        <v>0</v>
      </c>
      <c r="BM122" s="4">
        <f ca="1"/>
        <v>0</v>
      </c>
      <c r="BN122" s="4">
        <f ca="1"/>
        <v>0</v>
      </c>
      <c r="BO122" s="4">
        <f ca="1"/>
        <v>0</v>
      </c>
      <c r="BP122" s="4">
        <f ca="1"/>
        <v>0</v>
      </c>
      <c r="BQ122" s="4">
        <f ca="1"/>
        <v>0</v>
      </c>
      <c r="BR122" s="4">
        <f ca="1"/>
        <v>0</v>
      </c>
      <c r="BS122" s="98"/>
    </row>
    <row r="123" spans="1:71" ht="21" customHeight="1" outlineLevel="1" thickTop="1" thickBot="1" x14ac:dyDescent="0.4">
      <c r="E123" s="17" t="str">
        <f ca="1"/>
        <v xml:space="preserve">Расвор: </v>
      </c>
      <c r="F123" s="47" t="str">
        <f ca="1"/>
        <v xml:space="preserve">Расвор: </v>
      </c>
      <c r="G123" s="47" t="str">
        <f ca="1"/>
        <v xml:space="preserve">Расвор: </v>
      </c>
      <c r="H123" s="47" t="str">
        <f ca="1"/>
        <v xml:space="preserve">Расвор: </v>
      </c>
      <c r="I123" s="47" t="str">
        <f ca="1"/>
        <v xml:space="preserve">Расвор: </v>
      </c>
      <c r="J123" s="47" t="str">
        <f ca="1"/>
        <v xml:space="preserve">Расвор: </v>
      </c>
      <c r="K123" s="47" t="str">
        <f ca="1"/>
        <v xml:space="preserve">Расвор: </v>
      </c>
      <c r="L123" s="47" t="str">
        <f ca="1"/>
        <v xml:space="preserve">Расвор: </v>
      </c>
      <c r="M123" s="47" t="str">
        <f ca="1"/>
        <v xml:space="preserve">Расвор: </v>
      </c>
      <c r="N123" s="47" t="str">
        <f ca="1"/>
        <v xml:space="preserve">Расвор: </v>
      </c>
      <c r="O123" s="47" t="str">
        <f ca="1"/>
        <v xml:space="preserve">Расвор: </v>
      </c>
      <c r="P123" s="47" t="str">
        <f ca="1"/>
        <v xml:space="preserve">Расвор: </v>
      </c>
      <c r="Q123" s="47" t="str">
        <f ca="1"/>
        <v xml:space="preserve">Расвор: </v>
      </c>
      <c r="R123" s="47" t="str">
        <f ca="1"/>
        <v xml:space="preserve">Расвор: </v>
      </c>
      <c r="S123" s="47" t="str">
        <f ca="1"/>
        <v xml:space="preserve">Расвор: </v>
      </c>
      <c r="T123" s="47" t="str">
        <f ca="1"/>
        <v xml:space="preserve">Расвор: </v>
      </c>
      <c r="U123" s="47" t="str">
        <f ca="1"/>
        <v xml:space="preserve">Расвор: </v>
      </c>
      <c r="V123" s="47" t="str">
        <f ca="1"/>
        <v xml:space="preserve">Расвор: </v>
      </c>
      <c r="W123" s="47" t="str">
        <f ca="1"/>
        <v xml:space="preserve">Расвор: </v>
      </c>
      <c r="X123" s="47" t="str">
        <f ca="1"/>
        <v xml:space="preserve">Расвор: </v>
      </c>
      <c r="Y123" s="47" t="str">
        <f ca="1"/>
        <v xml:space="preserve">Расвор: </v>
      </c>
      <c r="Z123" s="47" t="str">
        <f ca="1"/>
        <v xml:space="preserve">Расвор: </v>
      </c>
      <c r="AA123" s="47" t="str">
        <f ca="1"/>
        <v xml:space="preserve">Расвор: </v>
      </c>
      <c r="AB123" s="47" t="str">
        <f ca="1"/>
        <v xml:space="preserve">Расвор: </v>
      </c>
      <c r="AC123" s="47" t="str">
        <f ca="1"/>
        <v xml:space="preserve">Расвор: </v>
      </c>
      <c r="AD123" s="47" t="str">
        <f ca="1"/>
        <v xml:space="preserve">Расвор: </v>
      </c>
      <c r="AE123" s="47" t="str">
        <f ca="1"/>
        <v xml:space="preserve">Расвор: </v>
      </c>
      <c r="AF123" s="47" t="str">
        <f ca="1"/>
        <v xml:space="preserve">Расвор: </v>
      </c>
      <c r="AG123" s="47" t="str">
        <f ca="1"/>
        <v xml:space="preserve">Расвор: </v>
      </c>
      <c r="AH123" s="47" t="str">
        <f ca="1"/>
        <v xml:space="preserve">Расвор: </v>
      </c>
      <c r="AI123" s="47" t="str">
        <f ca="1"/>
        <v xml:space="preserve">Расвор: </v>
      </c>
      <c r="AJ123" s="47" t="str">
        <f ca="1"/>
        <v xml:space="preserve">Расвор: </v>
      </c>
      <c r="AK123" s="47" t="str">
        <f ca="1"/>
        <v xml:space="preserve">Расвор: </v>
      </c>
      <c r="AL123" s="47" t="str">
        <f ca="1"/>
        <v xml:space="preserve">Расвор: </v>
      </c>
      <c r="AM123" s="47" t="str">
        <f ca="1"/>
        <v xml:space="preserve">Расвор: </v>
      </c>
      <c r="AN123" s="47" t="str">
        <f ca="1"/>
        <v xml:space="preserve">Расвор: </v>
      </c>
      <c r="AO123" s="47" t="str">
        <f ca="1"/>
        <v xml:space="preserve">Расвор: </v>
      </c>
      <c r="AP123" s="47" t="str">
        <f ca="1"/>
        <v xml:space="preserve">Расвор: </v>
      </c>
      <c r="AQ123" s="47" t="str">
        <f ca="1"/>
        <v xml:space="preserve">Расвор: </v>
      </c>
      <c r="AR123" s="47" t="str">
        <f ca="1"/>
        <v xml:space="preserve">Расвор: </v>
      </c>
      <c r="AS123" s="47" t="str">
        <f ca="1"/>
        <v xml:space="preserve">Расвор: </v>
      </c>
      <c r="AT123" s="47" t="str">
        <f ca="1"/>
        <v xml:space="preserve">Расвор: </v>
      </c>
      <c r="AU123" s="47" t="str">
        <f ca="1"/>
        <v xml:space="preserve">Расвор: </v>
      </c>
      <c r="AV123" s="47" t="str">
        <f ca="1"/>
        <v xml:space="preserve">Расвор: </v>
      </c>
      <c r="AW123" s="47" t="str">
        <f ca="1"/>
        <v xml:space="preserve">Расвор: </v>
      </c>
      <c r="AX123" s="47" t="str">
        <f ca="1"/>
        <v xml:space="preserve">Расвор: </v>
      </c>
      <c r="AY123" s="47" t="str">
        <f ca="1"/>
        <v xml:space="preserve">Расвор: </v>
      </c>
      <c r="AZ123" s="47" t="str">
        <f ca="1"/>
        <v xml:space="preserve">Расвор: </v>
      </c>
      <c r="BA123" s="47" t="str">
        <f ca="1"/>
        <v xml:space="preserve">Расвор: </v>
      </c>
      <c r="BB123" s="47" t="str">
        <f ca="1"/>
        <v xml:space="preserve">Расвор: </v>
      </c>
      <c r="BC123" s="47" t="str">
        <f ca="1"/>
        <v xml:space="preserve">Расвор: </v>
      </c>
      <c r="BD123" s="47" t="str">
        <f ca="1"/>
        <v xml:space="preserve">Расвор: </v>
      </c>
      <c r="BE123" s="47" t="str">
        <f ca="1"/>
        <v xml:space="preserve">Расвор: </v>
      </c>
      <c r="BF123" s="47" t="str">
        <f ca="1"/>
        <v xml:space="preserve">Расвор: </v>
      </c>
      <c r="BG123" s="47" t="str">
        <f ca="1"/>
        <v xml:space="preserve">Расвор: </v>
      </c>
      <c r="BH123" s="47" t="str">
        <f ca="1"/>
        <v xml:space="preserve">Расвор: </v>
      </c>
      <c r="BI123" s="47" t="str">
        <f ca="1"/>
        <v xml:space="preserve">Расвор: </v>
      </c>
      <c r="BJ123" s="47" t="str">
        <f ca="1"/>
        <v xml:space="preserve">Расвор: </v>
      </c>
      <c r="BK123" s="47" t="str">
        <f ca="1"/>
        <v xml:space="preserve">Расвор: </v>
      </c>
      <c r="BL123" s="47" t="str">
        <f ca="1"/>
        <v xml:space="preserve">Расвор: </v>
      </c>
      <c r="BM123" s="47" t="str">
        <f ca="1"/>
        <v xml:space="preserve">Расвор: </v>
      </c>
      <c r="BN123" s="47" t="str">
        <f ca="1"/>
        <v xml:space="preserve">Расвор: </v>
      </c>
      <c r="BO123" s="47" t="str">
        <f ca="1"/>
        <v xml:space="preserve">Расвор: </v>
      </c>
      <c r="BP123" s="47" t="str">
        <f ca="1"/>
        <v xml:space="preserve">Расвор: </v>
      </c>
      <c r="BQ123" s="47" t="str">
        <f ca="1"/>
        <v xml:space="preserve">Расвор: </v>
      </c>
      <c r="BR123" s="47" t="str">
        <f ca="1"/>
        <v xml:space="preserve">Расвор: </v>
      </c>
    </row>
    <row r="124" spans="1:71" ht="21" customHeight="1" outlineLevel="1" thickBot="1" x14ac:dyDescent="0.4">
      <c r="E124" s="17" t="str">
        <f ca="1"/>
        <v xml:space="preserve">Газовая без Ar: </v>
      </c>
      <c r="F124" s="47" t="str">
        <f ca="1"/>
        <v xml:space="preserve">Газовая без Ar: </v>
      </c>
      <c r="G124" s="47" t="str">
        <f ca="1"/>
        <v xml:space="preserve">Газовая без Ar: </v>
      </c>
      <c r="H124" s="47" t="str">
        <f ca="1"/>
        <v xml:space="preserve">Газовая без Ar: </v>
      </c>
      <c r="I124" s="47" t="str">
        <f ca="1"/>
        <v xml:space="preserve">Газовая без Ar: </v>
      </c>
      <c r="J124" s="47" t="str">
        <f ca="1"/>
        <v xml:space="preserve">Газовая без Ar: </v>
      </c>
      <c r="K124" s="47" t="str">
        <f ca="1"/>
        <v xml:space="preserve">Газовая без Ar: </v>
      </c>
      <c r="L124" s="47" t="str">
        <f ca="1"/>
        <v xml:space="preserve">Газовая без Ar: </v>
      </c>
      <c r="M124" s="47" t="str">
        <f ca="1"/>
        <v xml:space="preserve">Газовая без Ar: </v>
      </c>
      <c r="N124" s="47" t="str">
        <f ca="1"/>
        <v xml:space="preserve">Газовая без Ar: </v>
      </c>
      <c r="O124" s="47" t="str">
        <f ca="1"/>
        <v xml:space="preserve">Газовая без Ar: </v>
      </c>
      <c r="P124" s="47" t="str">
        <f ca="1"/>
        <v xml:space="preserve">Газовая без Ar: </v>
      </c>
      <c r="Q124" s="47" t="str">
        <f ca="1"/>
        <v xml:space="preserve">Газовая без Ar: </v>
      </c>
      <c r="R124" s="47" t="str">
        <f ca="1"/>
        <v xml:space="preserve">Газовая без Ar: </v>
      </c>
      <c r="S124" s="47" t="str">
        <f ca="1"/>
        <v xml:space="preserve">Газовая без Ar: </v>
      </c>
      <c r="T124" s="47" t="str">
        <f ca="1"/>
        <v xml:space="preserve">Газовая без Ar: </v>
      </c>
      <c r="U124" s="47" t="str">
        <f ca="1"/>
        <v xml:space="preserve">Газовая без Ar: </v>
      </c>
      <c r="V124" s="47" t="str">
        <f ca="1"/>
        <v xml:space="preserve">Газовая без Ar: </v>
      </c>
      <c r="W124" s="47" t="str">
        <f ca="1"/>
        <v xml:space="preserve">Газовая без Ar: </v>
      </c>
      <c r="X124" s="47" t="str">
        <f ca="1"/>
        <v xml:space="preserve">Газовая без Ar: </v>
      </c>
      <c r="Y124" s="47" t="str">
        <f ca="1"/>
        <v xml:space="preserve">Газовая без Ar: </v>
      </c>
      <c r="Z124" s="47" t="str">
        <f ca="1"/>
        <v xml:space="preserve">Газовая без Ar: </v>
      </c>
      <c r="AA124" s="47" t="str">
        <f ca="1"/>
        <v xml:space="preserve">Газовая без Ar: </v>
      </c>
      <c r="AB124" s="47" t="str">
        <f ca="1"/>
        <v xml:space="preserve">Газовая без Ar: </v>
      </c>
      <c r="AC124" s="47" t="str">
        <f ca="1"/>
        <v xml:space="preserve">Газовая без Ar: </v>
      </c>
      <c r="AD124" s="47" t="str">
        <f ca="1"/>
        <v xml:space="preserve">Газовая без Ar: </v>
      </c>
      <c r="AE124" s="47" t="str">
        <f ca="1"/>
        <v xml:space="preserve">Газовая без Ar: </v>
      </c>
      <c r="AF124" s="47" t="str">
        <f ca="1"/>
        <v xml:space="preserve">Газовая без Ar: </v>
      </c>
      <c r="AG124" s="47" t="str">
        <f ca="1"/>
        <v xml:space="preserve">Газовая без Ar: </v>
      </c>
      <c r="AH124" s="47" t="str">
        <f ca="1"/>
        <v xml:space="preserve">Газовая без Ar: </v>
      </c>
      <c r="AI124" s="47" t="str">
        <f ca="1"/>
        <v xml:space="preserve">Газовая без Ar: </v>
      </c>
      <c r="AJ124" s="47" t="str">
        <f ca="1"/>
        <v xml:space="preserve">Газовая без Ar: </v>
      </c>
      <c r="AK124" s="47" t="str">
        <f ca="1"/>
        <v xml:space="preserve">Газовая без Ar: </v>
      </c>
      <c r="AL124" s="47" t="str">
        <f ca="1"/>
        <v xml:space="preserve">Газовая без Ar: </v>
      </c>
      <c r="AM124" s="47" t="str">
        <f ca="1"/>
        <v xml:space="preserve">Газовая без Ar: </v>
      </c>
      <c r="AN124" s="47" t="str">
        <f ca="1"/>
        <v xml:space="preserve">Газовая без Ar: </v>
      </c>
      <c r="AO124" s="47" t="str">
        <f ca="1"/>
        <v xml:space="preserve">Газовая без Ar: </v>
      </c>
      <c r="AP124" s="47" t="str">
        <f ca="1"/>
        <v xml:space="preserve">Газовая без Ar: </v>
      </c>
      <c r="AQ124" s="47" t="str">
        <f ca="1"/>
        <v xml:space="preserve">Газовая без Ar: </v>
      </c>
      <c r="AR124" s="47" t="str">
        <f ca="1"/>
        <v xml:space="preserve">Газовая без Ar: </v>
      </c>
      <c r="AS124" s="47" t="str">
        <f ca="1"/>
        <v xml:space="preserve">Газовая без Ar: </v>
      </c>
      <c r="AT124" s="47" t="str">
        <f ca="1"/>
        <v xml:space="preserve">Газовая без Ar: </v>
      </c>
      <c r="AU124" s="47" t="str">
        <f ca="1"/>
        <v xml:space="preserve">Газовая без Ar: </v>
      </c>
      <c r="AV124" s="47" t="str">
        <f ca="1"/>
        <v xml:space="preserve">Газовая без Ar: </v>
      </c>
      <c r="AW124" s="47" t="str">
        <f ca="1"/>
        <v xml:space="preserve">Газовая без Ar: </v>
      </c>
      <c r="AX124" s="47" t="str">
        <f ca="1"/>
        <v xml:space="preserve">Газовая без Ar: </v>
      </c>
      <c r="AY124" s="47" t="str">
        <f ca="1"/>
        <v xml:space="preserve">Газовая без Ar: </v>
      </c>
      <c r="AZ124" s="47" t="str">
        <f ca="1"/>
        <v xml:space="preserve">Газовая без Ar: </v>
      </c>
      <c r="BA124" s="47" t="str">
        <f ca="1"/>
        <v xml:space="preserve">Газовая без Ar: </v>
      </c>
      <c r="BB124" s="47" t="str">
        <f ca="1"/>
        <v xml:space="preserve">Газовая без Ar: </v>
      </c>
      <c r="BC124" s="47" t="str">
        <f ca="1"/>
        <v xml:space="preserve">Газовая без Ar: </v>
      </c>
      <c r="BD124" s="47" t="str">
        <f ca="1"/>
        <v xml:space="preserve">Газовая без Ar: </v>
      </c>
      <c r="BE124" s="47" t="str">
        <f ca="1"/>
        <v xml:space="preserve">Газовая без Ar: </v>
      </c>
      <c r="BF124" s="47" t="str">
        <f ca="1"/>
        <v xml:space="preserve">Газовая без Ar: </v>
      </c>
      <c r="BG124" s="47" t="str">
        <f ca="1"/>
        <v xml:space="preserve">Газовая без Ar: </v>
      </c>
      <c r="BH124" s="47" t="str">
        <f ca="1"/>
        <v xml:space="preserve">Газовая без Ar: </v>
      </c>
      <c r="BI124" s="47" t="str">
        <f ca="1"/>
        <v xml:space="preserve">Газовая без Ar: </v>
      </c>
      <c r="BJ124" s="47" t="str">
        <f ca="1"/>
        <v xml:space="preserve">Газовая без Ar: </v>
      </c>
      <c r="BK124" s="47" t="str">
        <f ca="1"/>
        <v xml:space="preserve">Газовая без Ar: </v>
      </c>
      <c r="BL124" s="47" t="str">
        <f ca="1"/>
        <v xml:space="preserve">Газовая без Ar: </v>
      </c>
      <c r="BM124" s="47" t="str">
        <f ca="1"/>
        <v xml:space="preserve">Газовая без Ar: </v>
      </c>
      <c r="BN124" s="47" t="str">
        <f ca="1"/>
        <v xml:space="preserve">Газовая без Ar: </v>
      </c>
      <c r="BO124" s="47" t="str">
        <f ca="1"/>
        <v xml:space="preserve">Газовая без Ar: </v>
      </c>
      <c r="BP124" s="47" t="str">
        <f ca="1"/>
        <v xml:space="preserve">Газовая без Ar: </v>
      </c>
      <c r="BQ124" s="47" t="str">
        <f ca="1"/>
        <v xml:space="preserve">Газовая без Ar: </v>
      </c>
      <c r="BR124" s="47" t="str">
        <f ca="1"/>
        <v xml:space="preserve">Газовая без Ar: </v>
      </c>
    </row>
    <row r="125" spans="1:71" ht="21" customHeight="1" outlineLevel="1" thickBot="1" x14ac:dyDescent="0.4">
      <c r="E125" s="17" t="str">
        <f ca="1"/>
        <v xml:space="preserve">Газовая: </v>
      </c>
      <c r="F125" s="47" t="str">
        <f ca="1"/>
        <v xml:space="preserve">Газовая: </v>
      </c>
      <c r="G125" s="47" t="str">
        <f ca="1"/>
        <v xml:space="preserve">Газовая: </v>
      </c>
      <c r="H125" s="47" t="str">
        <f ca="1"/>
        <v xml:space="preserve">Газовая: </v>
      </c>
      <c r="I125" s="47" t="str">
        <f ca="1"/>
        <v xml:space="preserve">Газовая: </v>
      </c>
      <c r="J125" s="47" t="str">
        <f ca="1"/>
        <v xml:space="preserve">Газовая: </v>
      </c>
      <c r="K125" s="47" t="str">
        <f ca="1"/>
        <v xml:space="preserve">Газовая: </v>
      </c>
      <c r="L125" s="47" t="str">
        <f ca="1"/>
        <v xml:space="preserve">Газовая: </v>
      </c>
      <c r="M125" s="47" t="str">
        <f ca="1"/>
        <v xml:space="preserve">Газовая: </v>
      </c>
      <c r="N125" s="47" t="str">
        <f ca="1"/>
        <v xml:space="preserve">Газовая: </v>
      </c>
      <c r="O125" s="47" t="str">
        <f ca="1"/>
        <v xml:space="preserve">Газовая: </v>
      </c>
      <c r="P125" s="47" t="str">
        <f ca="1"/>
        <v xml:space="preserve">Газовая: </v>
      </c>
      <c r="Q125" s="47" t="str">
        <f ca="1"/>
        <v xml:space="preserve">Газовая: </v>
      </c>
      <c r="R125" s="47" t="str">
        <f ca="1"/>
        <v xml:space="preserve">Газовая: </v>
      </c>
      <c r="S125" s="47" t="str">
        <f ca="1"/>
        <v xml:space="preserve">Газовая: </v>
      </c>
      <c r="T125" s="47" t="str">
        <f ca="1"/>
        <v xml:space="preserve">Газовая: </v>
      </c>
      <c r="U125" s="47" t="str">
        <f ca="1"/>
        <v xml:space="preserve">Газовая: </v>
      </c>
      <c r="V125" s="47" t="str">
        <f ca="1"/>
        <v xml:space="preserve">Газовая: </v>
      </c>
      <c r="W125" s="47" t="str">
        <f ca="1"/>
        <v xml:space="preserve">Газовая: </v>
      </c>
      <c r="X125" s="47" t="str">
        <f ca="1"/>
        <v xml:space="preserve">Газовая: </v>
      </c>
      <c r="Y125" s="47" t="str">
        <f ca="1"/>
        <v xml:space="preserve">Газовая: </v>
      </c>
      <c r="Z125" s="47" t="str">
        <f ca="1"/>
        <v xml:space="preserve">Газовая: </v>
      </c>
      <c r="AA125" s="47" t="str">
        <f ca="1"/>
        <v xml:space="preserve">Газовая: </v>
      </c>
      <c r="AB125" s="47" t="str">
        <f ca="1"/>
        <v xml:space="preserve">Газовая: </v>
      </c>
      <c r="AC125" s="47" t="str">
        <f ca="1"/>
        <v xml:space="preserve">Газовая: </v>
      </c>
      <c r="AD125" s="47" t="str">
        <f ca="1"/>
        <v xml:space="preserve">Газовая: </v>
      </c>
      <c r="AE125" s="47" t="str">
        <f ca="1"/>
        <v xml:space="preserve">Газовая: </v>
      </c>
      <c r="AF125" s="47" t="str">
        <f ca="1"/>
        <v xml:space="preserve">Газовая: </v>
      </c>
      <c r="AG125" s="47" t="str">
        <f ca="1"/>
        <v xml:space="preserve">Газовая: </v>
      </c>
      <c r="AH125" s="47" t="str">
        <f ca="1"/>
        <v xml:space="preserve">Газовая: </v>
      </c>
      <c r="AI125" s="47" t="str">
        <f ca="1"/>
        <v xml:space="preserve">Газовая: </v>
      </c>
      <c r="AJ125" s="47" t="str">
        <f ca="1"/>
        <v xml:space="preserve">Газовая: </v>
      </c>
      <c r="AK125" s="47" t="str">
        <f ca="1"/>
        <v xml:space="preserve">Газовая: </v>
      </c>
      <c r="AL125" s="47" t="str">
        <f ca="1"/>
        <v xml:space="preserve">Газовая: </v>
      </c>
      <c r="AM125" s="47" t="str">
        <f ca="1"/>
        <v xml:space="preserve">Газовая: </v>
      </c>
      <c r="AN125" s="47" t="str">
        <f ca="1"/>
        <v xml:space="preserve">Газовая: </v>
      </c>
      <c r="AO125" s="47" t="str">
        <f ca="1"/>
        <v xml:space="preserve">Газовая: </v>
      </c>
      <c r="AP125" s="47" t="str">
        <f ca="1"/>
        <v xml:space="preserve">Газовая: </v>
      </c>
      <c r="AQ125" s="47" t="str">
        <f ca="1"/>
        <v xml:space="preserve">Газовая: </v>
      </c>
      <c r="AR125" s="47" t="str">
        <f ca="1"/>
        <v xml:space="preserve">Газовая: </v>
      </c>
      <c r="AS125" s="47" t="str">
        <f ca="1"/>
        <v xml:space="preserve">Газовая: </v>
      </c>
      <c r="AT125" s="47" t="str">
        <f ca="1"/>
        <v xml:space="preserve">Газовая: </v>
      </c>
      <c r="AU125" s="47" t="str">
        <f ca="1"/>
        <v xml:space="preserve">Газовая: </v>
      </c>
      <c r="AV125" s="47" t="str">
        <f ca="1"/>
        <v xml:space="preserve">Газовая: </v>
      </c>
      <c r="AW125" s="47" t="str">
        <f ca="1"/>
        <v xml:space="preserve">Газовая: </v>
      </c>
      <c r="AX125" s="47" t="str">
        <f ca="1"/>
        <v xml:space="preserve">Газовая: </v>
      </c>
      <c r="AY125" s="47" t="str">
        <f ca="1"/>
        <v xml:space="preserve">Газовая: </v>
      </c>
      <c r="AZ125" s="47" t="str">
        <f ca="1"/>
        <v xml:space="preserve">Газовая: </v>
      </c>
      <c r="BA125" s="47" t="str">
        <f ca="1"/>
        <v xml:space="preserve">Газовая: </v>
      </c>
      <c r="BB125" s="47" t="str">
        <f ca="1"/>
        <v xml:space="preserve">Газовая: </v>
      </c>
      <c r="BC125" s="47" t="str">
        <f ca="1"/>
        <v xml:space="preserve">Газовая: </v>
      </c>
      <c r="BD125" s="47" t="str">
        <f ca="1"/>
        <v xml:space="preserve">Газовая: </v>
      </c>
      <c r="BE125" s="47" t="str">
        <f ca="1"/>
        <v xml:space="preserve">Газовая: </v>
      </c>
      <c r="BF125" s="47" t="str">
        <f ca="1"/>
        <v xml:space="preserve">Газовая: </v>
      </c>
      <c r="BG125" s="47" t="str">
        <f ca="1"/>
        <v xml:space="preserve">Газовая: </v>
      </c>
      <c r="BH125" s="47" t="str">
        <f ca="1"/>
        <v xml:space="preserve">Газовая: </v>
      </c>
      <c r="BI125" s="47" t="str">
        <f ca="1"/>
        <v xml:space="preserve">Газовая: </v>
      </c>
      <c r="BJ125" s="47" t="str">
        <f ca="1"/>
        <v xml:space="preserve">Газовая: </v>
      </c>
      <c r="BK125" s="47" t="str">
        <f ca="1"/>
        <v xml:space="preserve">Газовая: </v>
      </c>
      <c r="BL125" s="47" t="str">
        <f ca="1"/>
        <v xml:space="preserve">Газовая: </v>
      </c>
      <c r="BM125" s="47" t="str">
        <f ca="1"/>
        <v xml:space="preserve">Газовая: </v>
      </c>
      <c r="BN125" s="47" t="str">
        <f ca="1"/>
        <v xml:space="preserve">Газовая: </v>
      </c>
      <c r="BO125" s="47" t="str">
        <f ca="1"/>
        <v xml:space="preserve">Газовая: </v>
      </c>
      <c r="BP125" s="47" t="str">
        <f ca="1"/>
        <v xml:space="preserve">Газовая: </v>
      </c>
      <c r="BQ125" s="47" t="str">
        <f ca="1"/>
        <v xml:space="preserve">Газовая: </v>
      </c>
      <c r="BR125" s="47" t="str">
        <f ca="1"/>
        <v xml:space="preserve">Газовая: </v>
      </c>
    </row>
    <row r="126" spans="1:71" ht="21" customHeight="1" outlineLevel="1" thickBot="1" x14ac:dyDescent="0.4">
      <c r="E126" s="17" t="str">
        <f ca="1"/>
        <v>Раствор + газовая без Ar</v>
      </c>
      <c r="F126" s="47" t="str">
        <f ca="1"/>
        <v>Раствор + газовая без Ar</v>
      </c>
      <c r="G126" s="47" t="str">
        <f ca="1"/>
        <v>Раствор + газовая без Ar</v>
      </c>
      <c r="H126" s="47" t="str">
        <f ca="1"/>
        <v>Раствор + газовая без Ar</v>
      </c>
      <c r="I126" s="47" t="str">
        <f ca="1"/>
        <v>Раствор + газовая без Ar</v>
      </c>
      <c r="J126" s="47" t="str">
        <f ca="1"/>
        <v>Раствор + газовая без Ar</v>
      </c>
      <c r="K126" s="47" t="str">
        <f ca="1"/>
        <v>Раствор + газовая без Ar</v>
      </c>
      <c r="L126" s="47" t="str">
        <f ca="1"/>
        <v>Раствор + газовая без Ar</v>
      </c>
      <c r="M126" s="47" t="str">
        <f ca="1"/>
        <v>Раствор + газовая без Ar</v>
      </c>
      <c r="N126" s="47" t="str">
        <f ca="1"/>
        <v>Раствор + газовая без Ar</v>
      </c>
      <c r="O126" s="47" t="str">
        <f ca="1"/>
        <v>Раствор + газовая без Ar</v>
      </c>
      <c r="P126" s="47" t="str">
        <f ca="1"/>
        <v>Раствор + газовая без Ar</v>
      </c>
      <c r="Q126" s="47" t="str">
        <f ca="1"/>
        <v>Раствор + газовая без Ar</v>
      </c>
      <c r="R126" s="47" t="str">
        <f ca="1"/>
        <v>Раствор + газовая без Ar</v>
      </c>
      <c r="S126" s="47" t="str">
        <f ca="1"/>
        <v>Раствор + газовая без Ar</v>
      </c>
      <c r="T126" s="47" t="str">
        <f ca="1"/>
        <v>Раствор + газовая без Ar</v>
      </c>
      <c r="U126" s="47" t="str">
        <f ca="1"/>
        <v>Раствор + газовая без Ar</v>
      </c>
      <c r="V126" s="47" t="str">
        <f ca="1"/>
        <v>Раствор + газовая без Ar</v>
      </c>
      <c r="W126" s="47" t="str">
        <f ca="1"/>
        <v>Раствор + газовая без Ar</v>
      </c>
      <c r="X126" s="47" t="str">
        <f ca="1"/>
        <v>Раствор + газовая без Ar</v>
      </c>
      <c r="Y126" s="47" t="str">
        <f ca="1"/>
        <v>Раствор + газовая без Ar</v>
      </c>
      <c r="Z126" s="47" t="str">
        <f ca="1"/>
        <v>Раствор + газовая без Ar</v>
      </c>
      <c r="AA126" s="47" t="str">
        <f ca="1"/>
        <v>Раствор + газовая без Ar</v>
      </c>
      <c r="AB126" s="47" t="str">
        <f ca="1"/>
        <v>Раствор + газовая без Ar</v>
      </c>
      <c r="AC126" s="47" t="str">
        <f ca="1"/>
        <v>Раствор + газовая без Ar</v>
      </c>
      <c r="AD126" s="47" t="str">
        <f ca="1"/>
        <v>Раствор + газовая без Ar</v>
      </c>
      <c r="AE126" s="47" t="str">
        <f ca="1"/>
        <v>Раствор + газовая без Ar</v>
      </c>
      <c r="AF126" s="47" t="str">
        <f ca="1"/>
        <v>Раствор + газовая без Ar</v>
      </c>
      <c r="AG126" s="47" t="str">
        <f ca="1"/>
        <v>Раствор + газовая без Ar</v>
      </c>
      <c r="AH126" s="47" t="str">
        <f ca="1"/>
        <v>Раствор + газовая без Ar</v>
      </c>
      <c r="AI126" s="47" t="str">
        <f ca="1"/>
        <v>Раствор + газовая без Ar</v>
      </c>
      <c r="AJ126" s="47" t="str">
        <f ca="1"/>
        <v>Раствор + газовая без Ar</v>
      </c>
      <c r="AK126" s="47" t="str">
        <f ca="1"/>
        <v>Раствор + газовая без Ar</v>
      </c>
      <c r="AL126" s="47" t="str">
        <f ca="1"/>
        <v>Раствор + газовая без Ar</v>
      </c>
      <c r="AM126" s="47" t="str">
        <f ca="1"/>
        <v>Раствор + газовая без Ar</v>
      </c>
      <c r="AN126" s="47" t="str">
        <f ca="1"/>
        <v>Раствор + газовая без Ar</v>
      </c>
      <c r="AO126" s="47" t="str">
        <f ca="1"/>
        <v>Раствор + газовая без Ar</v>
      </c>
      <c r="AP126" s="47" t="str">
        <f ca="1"/>
        <v>Раствор + газовая без Ar</v>
      </c>
      <c r="AQ126" s="47" t="str">
        <f ca="1"/>
        <v>Раствор + газовая без Ar</v>
      </c>
      <c r="AR126" s="47" t="str">
        <f ca="1"/>
        <v>Раствор + газовая без Ar</v>
      </c>
      <c r="AS126" s="47" t="str">
        <f ca="1"/>
        <v>Раствор + газовая без Ar</v>
      </c>
      <c r="AT126" s="47" t="str">
        <f ca="1"/>
        <v>Раствор + газовая без Ar</v>
      </c>
      <c r="AU126" s="47" t="str">
        <f ca="1"/>
        <v>Раствор + газовая без Ar</v>
      </c>
      <c r="AV126" s="47" t="str">
        <f ca="1"/>
        <v>Раствор + газовая без Ar</v>
      </c>
      <c r="AW126" s="47" t="str">
        <f ca="1"/>
        <v>Раствор + газовая без Ar</v>
      </c>
      <c r="AX126" s="47" t="str">
        <f ca="1"/>
        <v>Раствор + газовая без Ar</v>
      </c>
      <c r="AY126" s="47" t="str">
        <f ca="1"/>
        <v>Раствор + газовая без Ar</v>
      </c>
      <c r="AZ126" s="47" t="str">
        <f ca="1"/>
        <v>Раствор + газовая без Ar</v>
      </c>
      <c r="BA126" s="47" t="str">
        <f ca="1"/>
        <v>Раствор + газовая без Ar</v>
      </c>
      <c r="BB126" s="47" t="str">
        <f ca="1"/>
        <v>Раствор + газовая без Ar</v>
      </c>
      <c r="BC126" s="47" t="str">
        <f ca="1"/>
        <v>Раствор + газовая без Ar</v>
      </c>
      <c r="BD126" s="47" t="str">
        <f ca="1"/>
        <v>Раствор + газовая без Ar</v>
      </c>
      <c r="BE126" s="47" t="str">
        <f ca="1"/>
        <v>Раствор + газовая без Ar</v>
      </c>
      <c r="BF126" s="47" t="str">
        <f ca="1"/>
        <v>Раствор + газовая без Ar</v>
      </c>
      <c r="BG126" s="47" t="str">
        <f ca="1"/>
        <v>Раствор + газовая без Ar</v>
      </c>
      <c r="BH126" s="47" t="str">
        <f ca="1"/>
        <v>Раствор + газовая без Ar</v>
      </c>
      <c r="BI126" s="47" t="str">
        <f ca="1"/>
        <v>Раствор + газовая без Ar</v>
      </c>
      <c r="BJ126" s="47" t="str">
        <f ca="1"/>
        <v>Раствор + газовая без Ar</v>
      </c>
      <c r="BK126" s="47" t="str">
        <f ca="1"/>
        <v>Раствор + газовая без Ar</v>
      </c>
      <c r="BL126" s="47" t="str">
        <f ca="1"/>
        <v>Раствор + газовая без Ar</v>
      </c>
      <c r="BM126" s="47" t="str">
        <f ca="1"/>
        <v>Раствор + газовая без Ar</v>
      </c>
      <c r="BN126" s="47" t="str">
        <f ca="1"/>
        <v>Раствор + газовая без Ar</v>
      </c>
      <c r="BO126" s="47" t="str">
        <f ca="1"/>
        <v>Раствор + газовая без Ar</v>
      </c>
      <c r="BP126" s="47" t="str">
        <f ca="1"/>
        <v>Раствор + газовая без Ar</v>
      </c>
      <c r="BQ126" s="47" t="str">
        <f ca="1"/>
        <v>Раствор + газовая без Ar</v>
      </c>
      <c r="BR126" s="47" t="str">
        <f ca="1"/>
        <v>Раствор + газовая без Ar</v>
      </c>
    </row>
    <row r="127" spans="1:71" ht="21" customHeight="1" outlineLevel="1" thickBot="1" x14ac:dyDescent="0.4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 x14ac:dyDescent="0.4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 x14ac:dyDescent="0.4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 x14ac:dyDescent="0.4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 x14ac:dyDescent="0.4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 x14ac:dyDescent="0.4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 x14ac:dyDescent="0.4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 x14ac:dyDescent="0.4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 x14ac:dyDescent="0.4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 x14ac:dyDescent="0.4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11" priority="189" operator="equal">
      <formula>0</formula>
    </cfRule>
  </conditionalFormatting>
  <conditionalFormatting sqref="A80:D109">
    <cfRule type="cellIs" dxfId="10" priority="188" operator="equal">
      <formula>0</formula>
    </cfRule>
  </conditionalFormatting>
  <conditionalFormatting sqref="A46:D75">
    <cfRule type="cellIs" dxfId="9" priority="141" operator="equal">
      <formula>0</formula>
    </cfRule>
  </conditionalFormatting>
  <conditionalFormatting sqref="B34:B37">
    <cfRule type="cellIs" dxfId="8" priority="93" operator="equal">
      <formula>1</formula>
    </cfRule>
  </conditionalFormatting>
  <conditionalFormatting sqref="F32:BS32">
    <cfRule type="colorScale" priority="92">
      <colorScale>
        <cfvo type="min"/>
        <cfvo type="max"/>
        <color rgb="FFFFEF9C"/>
        <color rgb="FF63BE7B"/>
      </colorScale>
    </cfRule>
  </conditionalFormatting>
  <conditionalFormatting sqref="F31:BS31">
    <cfRule type="colorScale" priority="91">
      <colorScale>
        <cfvo type="min"/>
        <cfvo type="max"/>
        <color rgb="FFFFEF9C"/>
        <color rgb="FF63BE7B"/>
      </colorScale>
    </cfRule>
  </conditionalFormatting>
  <conditionalFormatting sqref="F30:BS30">
    <cfRule type="colorScale" priority="90">
      <colorScale>
        <cfvo type="min"/>
        <cfvo type="max"/>
        <color rgb="FFFFEF9C"/>
        <color rgb="FF63BE7B"/>
      </colorScale>
    </cfRule>
  </conditionalFormatting>
  <conditionalFormatting sqref="BS29">
    <cfRule type="colorScale" priority="89">
      <colorScale>
        <cfvo type="min"/>
        <cfvo type="max"/>
        <color rgb="FFFFEF9C"/>
        <color rgb="FF63BE7B"/>
      </colorScale>
    </cfRule>
  </conditionalFormatting>
  <conditionalFormatting sqref="BS28">
    <cfRule type="colorScale" priority="88">
      <colorScale>
        <cfvo type="min"/>
        <cfvo type="max"/>
        <color rgb="FFFFEF9C"/>
        <color rgb="FF63BE7B"/>
      </colorScale>
    </cfRule>
  </conditionalFormatting>
  <conditionalFormatting sqref="BS27">
    <cfRule type="colorScale" priority="87">
      <colorScale>
        <cfvo type="min"/>
        <cfvo type="max"/>
        <color rgb="FFFFEF9C"/>
        <color rgb="FF63BE7B"/>
      </colorScale>
    </cfRule>
  </conditionalFormatting>
  <conditionalFormatting sqref="BS26">
    <cfRule type="colorScale" priority="86">
      <colorScale>
        <cfvo type="min"/>
        <cfvo type="max"/>
        <color rgb="FFFFEF9C"/>
        <color rgb="FF63BE7B"/>
      </colorScale>
    </cfRule>
  </conditionalFormatting>
  <conditionalFormatting sqref="BS25">
    <cfRule type="colorScale" priority="46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85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84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83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8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81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80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79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78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7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76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75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74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73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7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71">
      <colorScale>
        <cfvo type="min"/>
        <cfvo type="max"/>
        <color rgb="FFFFEF9C"/>
        <color rgb="FF63BE7B"/>
      </colorScale>
    </cfRule>
  </conditionalFormatting>
  <conditionalFormatting sqref="BS9">
    <cfRule type="colorScale" priority="70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9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8">
      <colorScale>
        <cfvo type="min"/>
        <cfvo type="max"/>
        <color rgb="FFFFEF9C"/>
        <color rgb="FF63BE7B"/>
      </colorScale>
    </cfRule>
  </conditionalFormatting>
  <conditionalFormatting sqref="BS4">
    <cfRule type="colorScale" priority="67">
      <colorScale>
        <cfvo type="min"/>
        <cfvo type="max"/>
        <color rgb="FFFFEF9C"/>
        <color rgb="FF63BE7B"/>
      </colorScale>
    </cfRule>
  </conditionalFormatting>
  <conditionalFormatting sqref="BS7">
    <cfRule type="colorScale" priority="64">
      <colorScale>
        <cfvo type="min"/>
        <cfvo type="max"/>
        <color rgb="FFFFEF9C"/>
        <color rgb="FF63BE7B"/>
      </colorScale>
    </cfRule>
  </conditionalFormatting>
  <conditionalFormatting sqref="BS5">
    <cfRule type="colorScale" priority="66">
      <colorScale>
        <cfvo type="min"/>
        <cfvo type="max"/>
        <color rgb="FFFFEF9C"/>
        <color rgb="FF63BE7B"/>
      </colorScale>
    </cfRule>
  </conditionalFormatting>
  <conditionalFormatting sqref="BS6">
    <cfRule type="colorScale" priority="65">
      <colorScale>
        <cfvo type="min"/>
        <cfvo type="max"/>
        <color rgb="FFFFEF9C"/>
        <color rgb="FF63BE7B"/>
      </colorScale>
    </cfRule>
  </conditionalFormatting>
  <conditionalFormatting sqref="BS8">
    <cfRule type="colorScale" priority="63">
      <colorScale>
        <cfvo type="min"/>
        <cfvo type="max"/>
        <color rgb="FFFFEF9C"/>
        <color rgb="FF63BE7B"/>
      </colorScale>
    </cfRule>
  </conditionalFormatting>
  <conditionalFormatting sqref="BS9">
    <cfRule type="colorScale" priority="62">
      <colorScale>
        <cfvo type="min"/>
        <cfvo type="max"/>
        <color rgb="FFFFEF9C"/>
        <color rgb="FF63BE7B"/>
      </colorScale>
    </cfRule>
  </conditionalFormatting>
  <conditionalFormatting sqref="BS10">
    <cfRule type="colorScale" priority="61">
      <colorScale>
        <cfvo type="min"/>
        <cfvo type="max"/>
        <color rgb="FFFFEF9C"/>
        <color rgb="FF63BE7B"/>
      </colorScale>
    </cfRule>
  </conditionalFormatting>
  <conditionalFormatting sqref="BS11">
    <cfRule type="colorScale" priority="60">
      <colorScale>
        <cfvo type="min"/>
        <cfvo type="max"/>
        <color rgb="FFFFEF9C"/>
        <color rgb="FF63BE7B"/>
      </colorScale>
    </cfRule>
  </conditionalFormatting>
  <conditionalFormatting sqref="BS12">
    <cfRule type="colorScale" priority="59">
      <colorScale>
        <cfvo type="min"/>
        <cfvo type="max"/>
        <color rgb="FFFFEF9C"/>
        <color rgb="FF63BE7B"/>
      </colorScale>
    </cfRule>
  </conditionalFormatting>
  <conditionalFormatting sqref="BS13">
    <cfRule type="colorScale" priority="58">
      <colorScale>
        <cfvo type="min"/>
        <cfvo type="max"/>
        <color rgb="FFFFEF9C"/>
        <color rgb="FF63BE7B"/>
      </colorScale>
    </cfRule>
  </conditionalFormatting>
  <conditionalFormatting sqref="BS14">
    <cfRule type="colorScale" priority="57">
      <colorScale>
        <cfvo type="min"/>
        <cfvo type="max"/>
        <color rgb="FFFFEF9C"/>
        <color rgb="FF63BE7B"/>
      </colorScale>
    </cfRule>
  </conditionalFormatting>
  <conditionalFormatting sqref="BS15">
    <cfRule type="colorScale" priority="56">
      <colorScale>
        <cfvo type="min"/>
        <cfvo type="max"/>
        <color rgb="FFFFEF9C"/>
        <color rgb="FF63BE7B"/>
      </colorScale>
    </cfRule>
  </conditionalFormatting>
  <conditionalFormatting sqref="BS16">
    <cfRule type="colorScale" priority="55">
      <colorScale>
        <cfvo type="min"/>
        <cfvo type="max"/>
        <color rgb="FFFFEF9C"/>
        <color rgb="FF63BE7B"/>
      </colorScale>
    </cfRule>
  </conditionalFormatting>
  <conditionalFormatting sqref="BS17">
    <cfRule type="colorScale" priority="54">
      <colorScale>
        <cfvo type="min"/>
        <cfvo type="max"/>
        <color rgb="FFFFEF9C"/>
        <color rgb="FF63BE7B"/>
      </colorScale>
    </cfRule>
  </conditionalFormatting>
  <conditionalFormatting sqref="BS18">
    <cfRule type="colorScale" priority="53">
      <colorScale>
        <cfvo type="min"/>
        <cfvo type="max"/>
        <color rgb="FFFFEF9C"/>
        <color rgb="FF63BE7B"/>
      </colorScale>
    </cfRule>
  </conditionalFormatting>
  <conditionalFormatting sqref="BS19">
    <cfRule type="colorScale" priority="52">
      <colorScale>
        <cfvo type="min"/>
        <cfvo type="max"/>
        <color rgb="FFFFEF9C"/>
        <color rgb="FF63BE7B"/>
      </colorScale>
    </cfRule>
  </conditionalFormatting>
  <conditionalFormatting sqref="BS20">
    <cfRule type="colorScale" priority="51">
      <colorScale>
        <cfvo type="min"/>
        <cfvo type="max"/>
        <color rgb="FFFFEF9C"/>
        <color rgb="FF63BE7B"/>
      </colorScale>
    </cfRule>
  </conditionalFormatting>
  <conditionalFormatting sqref="BS21">
    <cfRule type="colorScale" priority="50">
      <colorScale>
        <cfvo type="min"/>
        <cfvo type="max"/>
        <color rgb="FFFFEF9C"/>
        <color rgb="FF63BE7B"/>
      </colorScale>
    </cfRule>
  </conditionalFormatting>
  <conditionalFormatting sqref="BS22">
    <cfRule type="colorScale" priority="49">
      <colorScale>
        <cfvo type="min"/>
        <cfvo type="max"/>
        <color rgb="FFFFEF9C"/>
        <color rgb="FF63BE7B"/>
      </colorScale>
    </cfRule>
  </conditionalFormatting>
  <conditionalFormatting sqref="BS23">
    <cfRule type="colorScale" priority="48">
      <colorScale>
        <cfvo type="min"/>
        <cfvo type="max"/>
        <color rgb="FFFFEF9C"/>
        <color rgb="FF63BE7B"/>
      </colorScale>
    </cfRule>
  </conditionalFormatting>
  <conditionalFormatting sqref="BS24">
    <cfRule type="colorScale" priority="47">
      <colorScale>
        <cfvo type="min"/>
        <cfvo type="max"/>
        <color rgb="FFFFEF9C"/>
        <color rgb="FF63BE7B"/>
      </colorScale>
    </cfRule>
  </conditionalFormatting>
  <conditionalFormatting sqref="F29:BR29">
    <cfRule type="colorScale" priority="45">
      <colorScale>
        <cfvo type="min"/>
        <cfvo type="max"/>
        <color rgb="FFFFEF9C"/>
        <color rgb="FF63BE7B"/>
      </colorScale>
    </cfRule>
  </conditionalFormatting>
  <conditionalFormatting sqref="F28:BR28">
    <cfRule type="colorScale" priority="44">
      <colorScale>
        <cfvo type="min"/>
        <cfvo type="max"/>
        <color rgb="FFFFEF9C"/>
        <color rgb="FF63BE7B"/>
      </colorScale>
    </cfRule>
  </conditionalFormatting>
  <conditionalFormatting sqref="F27:BR27">
    <cfRule type="colorScale" priority="43">
      <colorScale>
        <cfvo type="min"/>
        <cfvo type="max"/>
        <color rgb="FFFFEF9C"/>
        <color rgb="FF63BE7B"/>
      </colorScale>
    </cfRule>
  </conditionalFormatting>
  <conditionalFormatting sqref="F26:BR26">
    <cfRule type="colorScale" priority="42">
      <colorScale>
        <cfvo type="min"/>
        <cfvo type="max"/>
        <color rgb="FFFFEF9C"/>
        <color rgb="FF63BE7B"/>
      </colorScale>
    </cfRule>
  </conditionalFormatting>
  <conditionalFormatting sqref="F25:BR25">
    <cfRule type="colorScale" priority="2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41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0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39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3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37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36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35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34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3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32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31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30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29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2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27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26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25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4">
      <colorScale>
        <cfvo type="min"/>
        <cfvo type="max"/>
        <color rgb="FFFFEF9C"/>
        <color rgb="FF63BE7B"/>
      </colorScale>
    </cfRule>
  </conditionalFormatting>
  <conditionalFormatting sqref="F4:BR4">
    <cfRule type="colorScale" priority="23">
      <colorScale>
        <cfvo type="min"/>
        <cfvo type="max"/>
        <color rgb="FFFFEF9C"/>
        <color rgb="FF63BE7B"/>
      </colorScale>
    </cfRule>
  </conditionalFormatting>
  <conditionalFormatting sqref="F7:BR7">
    <cfRule type="colorScale" priority="20">
      <colorScale>
        <cfvo type="min"/>
        <cfvo type="max"/>
        <color rgb="FFFFEF9C"/>
        <color rgb="FF63BE7B"/>
      </colorScale>
    </cfRule>
  </conditionalFormatting>
  <conditionalFormatting sqref="F5:BR5">
    <cfRule type="colorScale" priority="22">
      <colorScale>
        <cfvo type="min"/>
        <cfvo type="max"/>
        <color rgb="FFFFEF9C"/>
        <color rgb="FF63BE7B"/>
      </colorScale>
    </cfRule>
  </conditionalFormatting>
  <conditionalFormatting sqref="F6:BR6">
    <cfRule type="colorScale" priority="21">
      <colorScale>
        <cfvo type="min"/>
        <cfvo type="max"/>
        <color rgb="FFFFEF9C"/>
        <color rgb="FF63BE7B"/>
      </colorScale>
    </cfRule>
  </conditionalFormatting>
  <conditionalFormatting sqref="F8:BR8">
    <cfRule type="colorScale" priority="19">
      <colorScale>
        <cfvo type="min"/>
        <cfvo type="max"/>
        <color rgb="FFFFEF9C"/>
        <color rgb="FF63BE7B"/>
      </colorScale>
    </cfRule>
  </conditionalFormatting>
  <conditionalFormatting sqref="F9:BR9">
    <cfRule type="colorScale" priority="18">
      <colorScale>
        <cfvo type="min"/>
        <cfvo type="max"/>
        <color rgb="FFFFEF9C"/>
        <color rgb="FF63BE7B"/>
      </colorScale>
    </cfRule>
  </conditionalFormatting>
  <conditionalFormatting sqref="F10:BR10">
    <cfRule type="colorScale" priority="17">
      <colorScale>
        <cfvo type="min"/>
        <cfvo type="max"/>
        <color rgb="FFFFEF9C"/>
        <color rgb="FF63BE7B"/>
      </colorScale>
    </cfRule>
  </conditionalFormatting>
  <conditionalFormatting sqref="F11:BR11">
    <cfRule type="colorScale" priority="16">
      <colorScale>
        <cfvo type="min"/>
        <cfvo type="max"/>
        <color rgb="FFFFEF9C"/>
        <color rgb="FF63BE7B"/>
      </colorScale>
    </cfRule>
  </conditionalFormatting>
  <conditionalFormatting sqref="F12:BR12">
    <cfRule type="colorScale" priority="15">
      <colorScale>
        <cfvo type="min"/>
        <cfvo type="max"/>
        <color rgb="FFFFEF9C"/>
        <color rgb="FF63BE7B"/>
      </colorScale>
    </cfRule>
  </conditionalFormatting>
  <conditionalFormatting sqref="F13:BR13">
    <cfRule type="colorScale" priority="14">
      <colorScale>
        <cfvo type="min"/>
        <cfvo type="max"/>
        <color rgb="FFFFEF9C"/>
        <color rgb="FF63BE7B"/>
      </colorScale>
    </cfRule>
  </conditionalFormatting>
  <conditionalFormatting sqref="F14:BR14">
    <cfRule type="colorScale" priority="13">
      <colorScale>
        <cfvo type="min"/>
        <cfvo type="max"/>
        <color rgb="FFFFEF9C"/>
        <color rgb="FF63BE7B"/>
      </colorScale>
    </cfRule>
  </conditionalFormatting>
  <conditionalFormatting sqref="F15:BR15">
    <cfRule type="colorScale" priority="12">
      <colorScale>
        <cfvo type="min"/>
        <cfvo type="max"/>
        <color rgb="FFFFEF9C"/>
        <color rgb="FF63BE7B"/>
      </colorScale>
    </cfRule>
  </conditionalFormatting>
  <conditionalFormatting sqref="F16:BR16">
    <cfRule type="colorScale" priority="11">
      <colorScale>
        <cfvo type="min"/>
        <cfvo type="max"/>
        <color rgb="FFFFEF9C"/>
        <color rgb="FF63BE7B"/>
      </colorScale>
    </cfRule>
  </conditionalFormatting>
  <conditionalFormatting sqref="F17:BR17">
    <cfRule type="colorScale" priority="10">
      <colorScale>
        <cfvo type="min"/>
        <cfvo type="max"/>
        <color rgb="FFFFEF9C"/>
        <color rgb="FF63BE7B"/>
      </colorScale>
    </cfRule>
  </conditionalFormatting>
  <conditionalFormatting sqref="F18:BR18">
    <cfRule type="colorScale" priority="9">
      <colorScale>
        <cfvo type="min"/>
        <cfvo type="max"/>
        <color rgb="FFFFEF9C"/>
        <color rgb="FF63BE7B"/>
      </colorScale>
    </cfRule>
  </conditionalFormatting>
  <conditionalFormatting sqref="F19:BR19">
    <cfRule type="colorScale" priority="8">
      <colorScale>
        <cfvo type="min"/>
        <cfvo type="max"/>
        <color rgb="FFFFEF9C"/>
        <color rgb="FF63BE7B"/>
      </colorScale>
    </cfRule>
  </conditionalFormatting>
  <conditionalFormatting sqref="F20:BR20">
    <cfRule type="colorScale" priority="7">
      <colorScale>
        <cfvo type="min"/>
        <cfvo type="max"/>
        <color rgb="FFFFEF9C"/>
        <color rgb="FF63BE7B"/>
      </colorScale>
    </cfRule>
  </conditionalFormatting>
  <conditionalFormatting sqref="F21:BR21">
    <cfRule type="colorScale" priority="6">
      <colorScale>
        <cfvo type="min"/>
        <cfvo type="max"/>
        <color rgb="FFFFEF9C"/>
        <color rgb="FF63BE7B"/>
      </colorScale>
    </cfRule>
  </conditionalFormatting>
  <conditionalFormatting sqref="F22:BR22">
    <cfRule type="colorScale" priority="5">
      <colorScale>
        <cfvo type="min"/>
        <cfvo type="max"/>
        <color rgb="FFFFEF9C"/>
        <color rgb="FF63BE7B"/>
      </colorScale>
    </cfRule>
  </conditionalFormatting>
  <conditionalFormatting sqref="F23:BR23">
    <cfRule type="colorScale" priority="4">
      <colorScale>
        <cfvo type="min"/>
        <cfvo type="max"/>
        <color rgb="FFFFEF9C"/>
        <color rgb="FF63BE7B"/>
      </colorScale>
    </cfRule>
  </conditionalFormatting>
  <conditionalFormatting sqref="F24:BR24">
    <cfRule type="colorScale" priority="3">
      <colorScale>
        <cfvo type="min"/>
        <cfvo type="max"/>
        <color rgb="FFFFEF9C"/>
        <color rgb="FF63BE7B"/>
      </colorScale>
    </cfRule>
  </conditionalFormatting>
  <conditionalFormatting sqref="F33:BR33">
    <cfRule type="cellIs" dxfId="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0271F-9BF9-44F9-AFD1-CCBC36EBCE73}">
  <sheetPr codeName="Лист5">
    <tabColor rgb="FFFFFF00"/>
  </sheetPr>
  <dimension ref="A1:BU195"/>
  <sheetViews>
    <sheetView zoomScale="85" zoomScaleNormal="85" workbookViewId="0">
      <pane ySplit="1" topLeftCell="A2" activePane="bottomLeft" state="frozen"/>
      <selection pane="bottomLeft" activeCell="BW99" sqref="BW99"/>
    </sheetView>
  </sheetViews>
  <sheetFormatPr defaultRowHeight="21" outlineLevelRow="1" x14ac:dyDescent="0.35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 x14ac:dyDescent="0.4">
      <c r="A1" s="32" t="s">
        <v>16</v>
      </c>
      <c r="B1" s="105">
        <v>300</v>
      </c>
      <c r="C1" s="59">
        <v>1000</v>
      </c>
      <c r="D1" s="60" t="s">
        <v>17</v>
      </c>
      <c r="E1" s="61">
        <v>70</v>
      </c>
      <c r="F1" s="34"/>
      <c r="G1" s="34"/>
      <c r="H1" s="34"/>
      <c r="I1" s="34"/>
      <c r="J1" s="34"/>
    </row>
    <row r="2" spans="1:72" ht="23.25" customHeight="1" thickTop="1" thickBot="1" x14ac:dyDescent="0.4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487.9</v>
      </c>
      <c r="G2" s="4">
        <f>IFERROR(FLUID!K45,0)</f>
        <v>504.4</v>
      </c>
      <c r="H2" s="4">
        <f>IFERROR(FLUID!L45,0)</f>
        <v>520.9</v>
      </c>
      <c r="I2" s="4">
        <f>IFERROR(FLUID!M45,0)</f>
        <v>537.5</v>
      </c>
      <c r="J2" s="4">
        <f>IFERROR(FLUID!N45,0)</f>
        <v>603.5</v>
      </c>
      <c r="K2" s="4">
        <f>IFERROR(FLUID!O45,0)</f>
        <v>669.6</v>
      </c>
      <c r="L2" s="4">
        <f>IFERROR(FLUID!P45,0)</f>
        <v>735.7</v>
      </c>
      <c r="M2" s="4">
        <f>IFERROR(FLUID!Q45,0)</f>
        <v>801.8</v>
      </c>
      <c r="N2" s="4">
        <f>IFERROR(FLUID!R45,0)</f>
        <v>867.8</v>
      </c>
      <c r="O2" s="4">
        <f>IFERROR(FLUID!S45,0)</f>
        <v>884.4</v>
      </c>
      <c r="P2" s="4">
        <f>IFERROR(FLUID!T45,0)</f>
        <v>900.9</v>
      </c>
      <c r="Q2" s="4">
        <f>IFERROR(FLUID!U45,0)</f>
        <v>917.4</v>
      </c>
      <c r="R2" s="4">
        <f>IFERROR(FLUID!V45,0)</f>
        <v>933.9</v>
      </c>
      <c r="S2" s="4">
        <f>IFERROR(FLUID!W45,0)</f>
        <v>950.4</v>
      </c>
      <c r="T2" s="4">
        <f>IFERROR(FLUID!X45,0)</f>
        <v>967</v>
      </c>
      <c r="U2" s="4">
        <f>IFERROR(FLUID!Y45,0)</f>
        <v>983.5</v>
      </c>
      <c r="V2" s="4">
        <f>IFERROR(FLUID!Z45,0)</f>
        <v>1000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 x14ac:dyDescent="0.4">
      <c r="A3" s="87" t="str">
        <f>IFERROR(FLUID!E46,0)</f>
        <v>*GaSe2</v>
      </c>
      <c r="B3" s="16">
        <f ca="1">IFERROR(FLUID!F46,0)</f>
        <v>-63.652000000000001</v>
      </c>
      <c r="C3" s="16">
        <f ca="1">IFERROR(FLUID!G46,0)</f>
        <v>-53.995999999999995</v>
      </c>
      <c r="D3" s="16">
        <f ca="1">IFERROR(FLUID!H46,0)</f>
        <v>-49.661999999999999</v>
      </c>
      <c r="E3" s="16">
        <f ca="1">IFERROR(FLUID!I46,0)</f>
        <v>-40.82</v>
      </c>
      <c r="F3" s="16">
        <f ca="1">IFERROR(FLUID!J46,0)</f>
        <v>-39.885999999999996</v>
      </c>
      <c r="G3" s="16">
        <f ca="1">IFERROR(FLUID!K46,0)</f>
        <v>-39.01</v>
      </c>
      <c r="H3" s="16">
        <f ca="1">IFERROR(FLUID!L46,0)</f>
        <v>-38.192</v>
      </c>
      <c r="I3" s="16">
        <f ca="1">IFERROR(FLUID!M46,0)</f>
        <v>-37.43</v>
      </c>
      <c r="J3" s="16">
        <f ca="1">IFERROR(FLUID!N46,0)</f>
        <v>-34.844000000000001</v>
      </c>
      <c r="K3" s="16">
        <f ca="1">IFERROR(FLUID!O46,0)</f>
        <v>-32.792000000000002</v>
      </c>
      <c r="L3" s="16">
        <f ca="1">IFERROR(FLUID!P46,0)</f>
        <v>-31.144000000000002</v>
      </c>
      <c r="M3" s="16">
        <f ca="1">IFERROR(FLUID!Q46,0)</f>
        <v>-29.79</v>
      </c>
      <c r="N3" s="16">
        <f ca="1">IFERROR(FLUID!R46,0)</f>
        <v>-28.661999999999999</v>
      </c>
      <c r="O3" s="16">
        <f ca="1">IFERROR(FLUID!S46,0)</f>
        <v>-28.41</v>
      </c>
      <c r="P3" s="16">
        <f ca="1">IFERROR(FLUID!T46,0)</f>
        <v>-28.169999999999998</v>
      </c>
      <c r="Q3" s="16">
        <f ca="1">IFERROR(FLUID!U46,0)</f>
        <v>-27.936</v>
      </c>
      <c r="R3" s="16">
        <f ca="1">IFERROR(FLUID!V46,0)</f>
        <v>-27.712</v>
      </c>
      <c r="S3" s="16">
        <f ca="1">IFERROR(FLUID!W46,0)</f>
        <v>-27.729999999999997</v>
      </c>
      <c r="T3" s="16">
        <f ca="1">IFERROR(FLUID!X46,0)</f>
        <v>-28.003999999999998</v>
      </c>
      <c r="U3" s="16">
        <f ca="1">IFERROR(FLUID!Y46,0)</f>
        <v>-28.288</v>
      </c>
      <c r="V3" s="16">
        <f ca="1">IFERROR(FLUID!Z46,0)</f>
        <v>-28.571999999999999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 x14ac:dyDescent="0.4">
      <c r="A4" s="87" t="str">
        <f>IFERROR(FLUID!E47,0)</f>
        <v>Se4</v>
      </c>
      <c r="B4" s="16">
        <f ca="1">IFERROR(FLUID!F47,0)</f>
        <v>-23.923999999999999</v>
      </c>
      <c r="C4" s="16">
        <f ca="1">IFERROR(FLUID!G47,0)</f>
        <v>-25.332000000000001</v>
      </c>
      <c r="D4" s="16">
        <f ca="1">IFERROR(FLUID!H47,0)</f>
        <v>-26.884</v>
      </c>
      <c r="E4" s="16">
        <f ca="1">IFERROR(FLUID!I47,0)</f>
        <v>-28.42</v>
      </c>
      <c r="F4" s="16">
        <f ca="1">IFERROR(FLUID!J47,0)</f>
        <v>-28.792000000000002</v>
      </c>
      <c r="G4" s="16">
        <f ca="1">IFERROR(FLUID!K47,0)</f>
        <v>-29.16</v>
      </c>
      <c r="H4" s="16">
        <f ca="1">IFERROR(FLUID!L47,0)</f>
        <v>-29.524000000000001</v>
      </c>
      <c r="I4" s="16">
        <f ca="1">IFERROR(FLUID!M47,0)</f>
        <v>-29.88</v>
      </c>
      <c r="J4" s="16">
        <f ca="1">IFERROR(FLUID!N47,0)</f>
        <v>-31.248000000000001</v>
      </c>
      <c r="K4" s="16">
        <f ca="1">IFERROR(FLUID!O47,0)</f>
        <v>-32.524000000000001</v>
      </c>
      <c r="L4" s="16">
        <f ca="1">IFERROR(FLUID!P47,0)</f>
        <v>-33.688000000000002</v>
      </c>
      <c r="M4" s="16">
        <f ca="1">IFERROR(FLUID!Q47,0)</f>
        <v>-34.6</v>
      </c>
      <c r="N4" s="16">
        <f ca="1">IFERROR(FLUID!R47,0)</f>
        <v>-34.543999999999997</v>
      </c>
      <c r="O4" s="16">
        <f ca="1">IFERROR(FLUID!S47,0)</f>
        <v>-34.28</v>
      </c>
      <c r="P4" s="16">
        <f ca="1">IFERROR(FLUID!T47,0)</f>
        <v>-33.94</v>
      </c>
      <c r="Q4" s="16">
        <f ca="1">IFERROR(FLUID!U47,0)</f>
        <v>-33.552</v>
      </c>
      <c r="R4" s="16">
        <f ca="1">IFERROR(FLUID!V47,0)</f>
        <v>-33.143999999999998</v>
      </c>
      <c r="S4" s="16">
        <f ca="1">IFERROR(FLUID!W47,0)</f>
        <v>-33.08</v>
      </c>
      <c r="T4" s="16">
        <f ca="1">IFERROR(FLUID!X47,0)</f>
        <v>-33.427999999999997</v>
      </c>
      <c r="U4" s="16">
        <f ca="1">IFERROR(FLUID!Y47,0)</f>
        <v>-33.795999999999999</v>
      </c>
      <c r="V4" s="16">
        <f ca="1">IFERROR(FLUID!Z47,0)</f>
        <v>-34.183999999999997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 x14ac:dyDescent="0.4">
      <c r="A5" s="87" t="str">
        <f>IFERROR(FLUID!E48,0)</f>
        <v>Se5</v>
      </c>
      <c r="B5" s="16">
        <f ca="1">IFERROR(FLUID!F48,0)</f>
        <v>-29.905000000000001</v>
      </c>
      <c r="C5" s="16">
        <f ca="1">IFERROR(FLUID!G48,0)</f>
        <v>-31.664999999999999</v>
      </c>
      <c r="D5" s="16">
        <f ca="1">IFERROR(FLUID!H48,0)</f>
        <v>-33.605000000000004</v>
      </c>
      <c r="E5" s="16">
        <f ca="1">IFERROR(FLUID!I48,0)</f>
        <v>-35.525000000000006</v>
      </c>
      <c r="F5" s="16">
        <f ca="1">IFERROR(FLUID!J48,0)</f>
        <v>-35.99</v>
      </c>
      <c r="G5" s="16">
        <f ca="1">IFERROR(FLUID!K48,0)</f>
        <v>-36.450000000000003</v>
      </c>
      <c r="H5" s="16">
        <f ca="1">IFERROR(FLUID!L48,0)</f>
        <v>-36.905000000000001</v>
      </c>
      <c r="I5" s="16">
        <f ca="1">IFERROR(FLUID!M48,0)</f>
        <v>-37.35</v>
      </c>
      <c r="J5" s="16">
        <f ca="1">IFERROR(FLUID!N48,0)</f>
        <v>-39.06</v>
      </c>
      <c r="K5" s="16">
        <f ca="1">IFERROR(FLUID!O48,0)</f>
        <v>-40.655000000000001</v>
      </c>
      <c r="L5" s="16">
        <f ca="1">IFERROR(FLUID!P48,0)</f>
        <v>-42.11</v>
      </c>
      <c r="M5" s="16">
        <f ca="1">IFERROR(FLUID!Q48,0)</f>
        <v>-43.25</v>
      </c>
      <c r="N5" s="16">
        <f ca="1">IFERROR(FLUID!R48,0)</f>
        <v>-43.179999999999993</v>
      </c>
      <c r="O5" s="16">
        <f ca="1">IFERROR(FLUID!S48,0)</f>
        <v>-42.85</v>
      </c>
      <c r="P5" s="16">
        <f ca="1">IFERROR(FLUID!T48,0)</f>
        <v>-42.424999999999997</v>
      </c>
      <c r="Q5" s="16">
        <f ca="1">IFERROR(FLUID!U48,0)</f>
        <v>-41.94</v>
      </c>
      <c r="R5" s="16">
        <f ca="1">IFERROR(FLUID!V48,0)</f>
        <v>-41.43</v>
      </c>
      <c r="S5" s="16">
        <f ca="1">IFERROR(FLUID!W48,0)</f>
        <v>-41.349999999999994</v>
      </c>
      <c r="T5" s="16">
        <f ca="1">IFERROR(FLUID!X48,0)</f>
        <v>-41.784999999999997</v>
      </c>
      <c r="U5" s="16">
        <f ca="1">IFERROR(FLUID!Y48,0)</f>
        <v>-42.244999999999997</v>
      </c>
      <c r="V5" s="16">
        <f ca="1">IFERROR(FLUID!Z48,0)</f>
        <v>-42.73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 x14ac:dyDescent="0.4">
      <c r="A6" s="87" t="str">
        <f>IFERROR(FLUID!E49,0)</f>
        <v>See</v>
      </c>
      <c r="B6" s="16">
        <f ca="1">IFERROR(FLUID!F49,0)</f>
        <v>-5.9809999999999999</v>
      </c>
      <c r="C6" s="16">
        <f ca="1">IFERROR(FLUID!G49,0)</f>
        <v>-6.3330000000000002</v>
      </c>
      <c r="D6" s="16">
        <f ca="1">IFERROR(FLUID!H49,0)</f>
        <v>-6.7210000000000001</v>
      </c>
      <c r="E6" s="16">
        <f ca="1">IFERROR(FLUID!I49,0)</f>
        <v>-7.1050000000000004</v>
      </c>
      <c r="F6" s="16">
        <f ca="1">IFERROR(FLUID!J49,0)</f>
        <v>-7.1980000000000004</v>
      </c>
      <c r="G6" s="16">
        <f ca="1">IFERROR(FLUID!K49,0)</f>
        <v>-7.29</v>
      </c>
      <c r="H6" s="16">
        <f ca="1">IFERROR(FLUID!L49,0)</f>
        <v>-7.3810000000000002</v>
      </c>
      <c r="I6" s="16">
        <f ca="1">IFERROR(FLUID!M49,0)</f>
        <v>-7.47</v>
      </c>
      <c r="J6" s="16">
        <f ca="1">IFERROR(FLUID!N49,0)</f>
        <v>-7.8120000000000003</v>
      </c>
      <c r="K6" s="16">
        <f ca="1">IFERROR(FLUID!O49,0)</f>
        <v>-8.1310000000000002</v>
      </c>
      <c r="L6" s="16">
        <f ca="1">IFERROR(FLUID!P49,0)</f>
        <v>-8.4220000000000006</v>
      </c>
      <c r="M6" s="16">
        <f ca="1">IFERROR(FLUID!Q49,0)</f>
        <v>-8.65</v>
      </c>
      <c r="N6" s="16">
        <f ca="1">IFERROR(FLUID!R49,0)</f>
        <v>-8.6359999999999992</v>
      </c>
      <c r="O6" s="16">
        <f ca="1">IFERROR(FLUID!S49,0)</f>
        <v>-8.57</v>
      </c>
      <c r="P6" s="16">
        <f ca="1">IFERROR(FLUID!T49,0)</f>
        <v>-8.4849999999999994</v>
      </c>
      <c r="Q6" s="16">
        <f ca="1">IFERROR(FLUID!U49,0)</f>
        <v>-8.3879999999999999</v>
      </c>
      <c r="R6" s="16">
        <f ca="1">IFERROR(FLUID!V49,0)</f>
        <v>-8.2859999999999996</v>
      </c>
      <c r="S6" s="16">
        <f ca="1">IFERROR(FLUID!W49,0)</f>
        <v>-8.27</v>
      </c>
      <c r="T6" s="16">
        <f ca="1">IFERROR(FLUID!X49,0)</f>
        <v>-8.3569999999999993</v>
      </c>
      <c r="U6" s="16">
        <f ca="1">IFERROR(FLUID!Y49,0)</f>
        <v>-8.4489999999999998</v>
      </c>
      <c r="V6" s="16">
        <f ca="1">IFERROR(FLUID!Z49,0)</f>
        <v>-8.5459999999999994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 x14ac:dyDescent="0.4">
      <c r="A7" s="87" t="str">
        <f>IFERROR(FLUID!E50,0)</f>
        <v>Se?</v>
      </c>
      <c r="B7" s="16">
        <f ca="1">IFERROR(FLUID!F50,0)</f>
        <v>-5.9809999999999999</v>
      </c>
      <c r="C7" s="16">
        <f ca="1">IFERROR(FLUID!G50,0)</f>
        <v>-6.3330000000000002</v>
      </c>
      <c r="D7" s="16">
        <f ca="1">IFERROR(FLUID!H50,0)</f>
        <v>-6.7210000000000001</v>
      </c>
      <c r="E7" s="16">
        <f ca="1">IFERROR(FLUID!I50,0)</f>
        <v>-7.1050000000000004</v>
      </c>
      <c r="F7" s="16">
        <f ca="1">IFERROR(FLUID!J50,0)</f>
        <v>-7.1980000000000004</v>
      </c>
      <c r="G7" s="16">
        <f ca="1">IFERROR(FLUID!K50,0)</f>
        <v>-7.29</v>
      </c>
      <c r="H7" s="16">
        <f ca="1">IFERROR(FLUID!L50,0)</f>
        <v>-7.3810000000000002</v>
      </c>
      <c r="I7" s="16">
        <f ca="1">IFERROR(FLUID!M50,0)</f>
        <v>-7.47</v>
      </c>
      <c r="J7" s="16">
        <f ca="1">IFERROR(FLUID!N50,0)</f>
        <v>-7.8120000000000003</v>
      </c>
      <c r="K7" s="16">
        <f ca="1">IFERROR(FLUID!O50,0)</f>
        <v>-8.1310000000000002</v>
      </c>
      <c r="L7" s="16">
        <f ca="1">IFERROR(FLUID!P50,0)</f>
        <v>-8.4220000000000006</v>
      </c>
      <c r="M7" s="16">
        <f ca="1">IFERROR(FLUID!Q50,0)</f>
        <v>-8.65</v>
      </c>
      <c r="N7" s="16">
        <f ca="1">IFERROR(FLUID!R50,0)</f>
        <v>-8.6359999999999992</v>
      </c>
      <c r="O7" s="16">
        <f ca="1">IFERROR(FLUID!S50,0)</f>
        <v>-8.57</v>
      </c>
      <c r="P7" s="16">
        <f ca="1">IFERROR(FLUID!T50,0)</f>
        <v>-8.4849999999999994</v>
      </c>
      <c r="Q7" s="16">
        <f ca="1">IFERROR(FLUID!U50,0)</f>
        <v>-8.3879999999999999</v>
      </c>
      <c r="R7" s="16">
        <f ca="1">IFERROR(FLUID!V50,0)</f>
        <v>-8.2859999999999996</v>
      </c>
      <c r="S7" s="16">
        <f ca="1">IFERROR(FLUID!W50,0)</f>
        <v>-8.27</v>
      </c>
      <c r="T7" s="16">
        <f ca="1">IFERROR(FLUID!X50,0)</f>
        <v>-8.3569999999999993</v>
      </c>
      <c r="U7" s="16">
        <f ca="1">IFERROR(FLUID!Y50,0)</f>
        <v>-8.4489999999999998</v>
      </c>
      <c r="V7" s="16">
        <f ca="1">IFERROR(FLUID!Z50,0)</f>
        <v>-8.5459999999999994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 x14ac:dyDescent="0.4">
      <c r="A8" s="87" t="str">
        <f>IFERROR(FLUID!E51,0)</f>
        <v>Se8</v>
      </c>
      <c r="B8" s="16">
        <f ca="1">IFERROR(FLUID!F51,0)</f>
        <v>-47.847999999999999</v>
      </c>
      <c r="C8" s="16">
        <f ca="1">IFERROR(FLUID!G51,0)</f>
        <v>-50.664000000000001</v>
      </c>
      <c r="D8" s="16">
        <f ca="1">IFERROR(FLUID!H51,0)</f>
        <v>-53.768000000000001</v>
      </c>
      <c r="E8" s="16">
        <f ca="1">IFERROR(FLUID!I51,0)</f>
        <v>-56.84</v>
      </c>
      <c r="F8" s="16">
        <f ca="1">IFERROR(FLUID!J51,0)</f>
        <v>-57.584000000000003</v>
      </c>
      <c r="G8" s="16">
        <f ca="1">IFERROR(FLUID!K51,0)</f>
        <v>-58.32</v>
      </c>
      <c r="H8" s="16">
        <f ca="1">IFERROR(FLUID!L51,0)</f>
        <v>-59.048000000000002</v>
      </c>
      <c r="I8" s="16">
        <f ca="1">IFERROR(FLUID!M51,0)</f>
        <v>-59.76</v>
      </c>
      <c r="J8" s="16">
        <f ca="1">IFERROR(FLUID!N51,0)</f>
        <v>-62.496000000000002</v>
      </c>
      <c r="K8" s="16">
        <f ca="1">IFERROR(FLUID!O51,0)</f>
        <v>-65.048000000000002</v>
      </c>
      <c r="L8" s="16">
        <f ca="1">IFERROR(FLUID!P51,0)</f>
        <v>-67.376000000000005</v>
      </c>
      <c r="M8" s="16">
        <f ca="1">IFERROR(FLUID!Q51,0)</f>
        <v>-69.2</v>
      </c>
      <c r="N8" s="16">
        <f ca="1">IFERROR(FLUID!R51,0)</f>
        <v>-69.087999999999994</v>
      </c>
      <c r="O8" s="16">
        <f ca="1">IFERROR(FLUID!S51,0)</f>
        <v>-68.56</v>
      </c>
      <c r="P8" s="16">
        <f ca="1">IFERROR(FLUID!T51,0)</f>
        <v>-67.88</v>
      </c>
      <c r="Q8" s="16">
        <f ca="1">IFERROR(FLUID!U51,0)</f>
        <v>-67.103999999999999</v>
      </c>
      <c r="R8" s="16">
        <f ca="1">IFERROR(FLUID!V51,0)</f>
        <v>-66.287999999999997</v>
      </c>
      <c r="S8" s="16">
        <f ca="1">IFERROR(FLUID!W51,0)</f>
        <v>-66.16</v>
      </c>
      <c r="T8" s="16">
        <f ca="1">IFERROR(FLUID!X51,0)</f>
        <v>-66.855999999999995</v>
      </c>
      <c r="U8" s="16">
        <f ca="1">IFERROR(FLUID!Y51,0)</f>
        <v>-67.591999999999999</v>
      </c>
      <c r="V8" s="16">
        <f ca="1">IFERROR(FLUID!Z51,0)</f>
        <v>-68.367999999999995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 x14ac:dyDescent="0.4">
      <c r="A9" s="87" t="str">
        <f>IFERROR(FLUID!E52,0)</f>
        <v>Se3</v>
      </c>
      <c r="B9" s="16">
        <f ca="1">IFERROR(FLUID!F52,0)</f>
        <v>-17.942999999999998</v>
      </c>
      <c r="C9" s="16">
        <f ca="1">IFERROR(FLUID!G52,0)</f>
        <v>-18.999000000000002</v>
      </c>
      <c r="D9" s="16">
        <f ca="1">IFERROR(FLUID!H52,0)</f>
        <v>-20.163</v>
      </c>
      <c r="E9" s="16">
        <f ca="1">IFERROR(FLUID!I52,0)</f>
        <v>-21.315000000000001</v>
      </c>
      <c r="F9" s="16">
        <f ca="1">IFERROR(FLUID!J52,0)</f>
        <v>-21.594000000000001</v>
      </c>
      <c r="G9" s="16">
        <f ca="1">IFERROR(FLUID!K52,0)</f>
        <v>-21.87</v>
      </c>
      <c r="H9" s="16">
        <f ca="1">IFERROR(FLUID!L52,0)</f>
        <v>-22.143000000000001</v>
      </c>
      <c r="I9" s="16">
        <f ca="1">IFERROR(FLUID!M52,0)</f>
        <v>-22.41</v>
      </c>
      <c r="J9" s="16">
        <f ca="1">IFERROR(FLUID!N52,0)</f>
        <v>-23.436</v>
      </c>
      <c r="K9" s="16">
        <f ca="1">IFERROR(FLUID!O52,0)</f>
        <v>-24.393000000000001</v>
      </c>
      <c r="L9" s="16">
        <f ca="1">IFERROR(FLUID!P52,0)</f>
        <v>-25.266000000000002</v>
      </c>
      <c r="M9" s="16">
        <f ca="1">IFERROR(FLUID!Q52,0)</f>
        <v>-25.950000000000003</v>
      </c>
      <c r="N9" s="16">
        <f ca="1">IFERROR(FLUID!R52,0)</f>
        <v>-25.907999999999998</v>
      </c>
      <c r="O9" s="16">
        <f ca="1">IFERROR(FLUID!S52,0)</f>
        <v>-25.71</v>
      </c>
      <c r="P9" s="16">
        <f ca="1">IFERROR(FLUID!T52,0)</f>
        <v>-25.454999999999998</v>
      </c>
      <c r="Q9" s="16">
        <f ca="1">IFERROR(FLUID!U52,0)</f>
        <v>-25.164000000000001</v>
      </c>
      <c r="R9" s="16">
        <f ca="1">IFERROR(FLUID!V52,0)</f>
        <v>-24.857999999999997</v>
      </c>
      <c r="S9" s="16">
        <f ca="1">IFERROR(FLUID!W52,0)</f>
        <v>-24.81</v>
      </c>
      <c r="T9" s="16">
        <f ca="1">IFERROR(FLUID!X52,0)</f>
        <v>-25.070999999999998</v>
      </c>
      <c r="U9" s="16">
        <f ca="1">IFERROR(FLUID!Y52,0)</f>
        <v>-25.347000000000001</v>
      </c>
      <c r="V9" s="16">
        <f ca="1">IFERROR(FLUID!Z52,0)</f>
        <v>-25.637999999999998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 x14ac:dyDescent="0.4">
      <c r="A10" s="87" t="str">
        <f>IFERROR(FLUID!E53,0)</f>
        <v>Se2</v>
      </c>
      <c r="B10" s="16">
        <f ca="1">IFERROR(FLUID!F53,0)</f>
        <v>-11.962</v>
      </c>
      <c r="C10" s="16">
        <f ca="1">IFERROR(FLUID!G53,0)</f>
        <v>-12.666</v>
      </c>
      <c r="D10" s="16">
        <f ca="1">IFERROR(FLUID!H53,0)</f>
        <v>-13.442</v>
      </c>
      <c r="E10" s="16">
        <f ca="1">IFERROR(FLUID!I53,0)</f>
        <v>-14.21</v>
      </c>
      <c r="F10" s="16">
        <f ca="1">IFERROR(FLUID!J53,0)</f>
        <v>-14.396000000000001</v>
      </c>
      <c r="G10" s="16">
        <f ca="1">IFERROR(FLUID!K53,0)</f>
        <v>-14.58</v>
      </c>
      <c r="H10" s="16">
        <f ca="1">IFERROR(FLUID!L53,0)</f>
        <v>-14.762</v>
      </c>
      <c r="I10" s="16">
        <f ca="1">IFERROR(FLUID!M53,0)</f>
        <v>-14.94</v>
      </c>
      <c r="J10" s="16">
        <f ca="1">IFERROR(FLUID!N53,0)</f>
        <v>-15.624000000000001</v>
      </c>
      <c r="K10" s="16">
        <f ca="1">IFERROR(FLUID!O53,0)</f>
        <v>-16.262</v>
      </c>
      <c r="L10" s="16">
        <f ca="1">IFERROR(FLUID!P53,0)</f>
        <v>-16.844000000000001</v>
      </c>
      <c r="M10" s="16">
        <f ca="1">IFERROR(FLUID!Q53,0)</f>
        <v>-17.3</v>
      </c>
      <c r="N10" s="16">
        <f ca="1">IFERROR(FLUID!R53,0)</f>
        <v>-17.271999999999998</v>
      </c>
      <c r="O10" s="16">
        <f ca="1">IFERROR(FLUID!S53,0)</f>
        <v>-17.14</v>
      </c>
      <c r="P10" s="16">
        <f ca="1">IFERROR(FLUID!T53,0)</f>
        <v>-16.97</v>
      </c>
      <c r="Q10" s="16">
        <f ca="1">IFERROR(FLUID!U53,0)</f>
        <v>-16.776</v>
      </c>
      <c r="R10" s="16">
        <f ca="1">IFERROR(FLUID!V53,0)</f>
        <v>-16.571999999999999</v>
      </c>
      <c r="S10" s="16">
        <f ca="1">IFERROR(FLUID!W53,0)</f>
        <v>-16.54</v>
      </c>
      <c r="T10" s="16">
        <f ca="1">IFERROR(FLUID!X53,0)</f>
        <v>-16.713999999999999</v>
      </c>
      <c r="U10" s="16">
        <f ca="1">IFERROR(FLUID!Y53,0)</f>
        <v>-16.898</v>
      </c>
      <c r="V10" s="16">
        <f ca="1">IFERROR(FLUID!Z53,0)</f>
        <v>-17.091999999999999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 x14ac:dyDescent="0.4">
      <c r="A11" s="87" t="str">
        <f>IFERROR(FLUID!E54,0)</f>
        <v>Ar</v>
      </c>
      <c r="B11" s="16">
        <f ca="1">IFERROR(FLUID!F54,0)</f>
        <v>-18.62</v>
      </c>
      <c r="C11" s="16">
        <f ca="1">IFERROR(FLUID!G54,0)</f>
        <v>-18.63</v>
      </c>
      <c r="D11" s="16">
        <f ca="1">IFERROR(FLUID!H54,0)</f>
        <v>-18.72</v>
      </c>
      <c r="E11" s="16">
        <f ca="1">IFERROR(FLUID!I54,0)</f>
        <v>-18.84</v>
      </c>
      <c r="F11" s="16">
        <f ca="1">IFERROR(FLUID!J54,0)</f>
        <v>-18.87</v>
      </c>
      <c r="G11" s="16">
        <f ca="1">IFERROR(FLUID!K54,0)</f>
        <v>-18.899999999999999</v>
      </c>
      <c r="H11" s="16">
        <f ca="1">IFERROR(FLUID!L54,0)</f>
        <v>-18.940000000000001</v>
      </c>
      <c r="I11" s="16">
        <f ca="1">IFERROR(FLUID!M54,0)</f>
        <v>-18.97</v>
      </c>
      <c r="J11" s="16">
        <f ca="1">IFERROR(FLUID!N54,0)</f>
        <v>-19.11</v>
      </c>
      <c r="K11" s="16">
        <f ca="1">IFERROR(FLUID!O54,0)</f>
        <v>-19.25</v>
      </c>
      <c r="L11" s="16">
        <f ca="1">IFERROR(FLUID!P54,0)</f>
        <v>-19.38</v>
      </c>
      <c r="M11" s="16">
        <f ca="1">IFERROR(FLUID!Q54,0)</f>
        <v>-19.510000000000002</v>
      </c>
      <c r="N11" s="16">
        <f ca="1">IFERROR(FLUID!R54,0)</f>
        <v>-19.66</v>
      </c>
      <c r="O11" s="16">
        <f ca="1">IFERROR(FLUID!S54,0)</f>
        <v>-19.72</v>
      </c>
      <c r="P11" s="16">
        <f ca="1">IFERROR(FLUID!T54,0)</f>
        <v>-19.78</v>
      </c>
      <c r="Q11" s="16">
        <f ca="1">IFERROR(FLUID!U54,0)</f>
        <v>-19.87</v>
      </c>
      <c r="R11" s="16">
        <f ca="1">IFERROR(FLUID!V54,0)</f>
        <v>-19.989999999999998</v>
      </c>
      <c r="S11" s="16">
        <f ca="1">IFERROR(FLUID!W54,0)</f>
        <v>-20.100000000000001</v>
      </c>
      <c r="T11" s="16">
        <f ca="1">IFERROR(FLUID!X54,0)</f>
        <v>-20.149999999999999</v>
      </c>
      <c r="U11" s="16">
        <f ca="1">IFERROR(FLUID!Y54,0)</f>
        <v>-20.2</v>
      </c>
      <c r="V11" s="16">
        <f ca="1">IFERROR(FLUID!Z54,0)</f>
        <v>-20.25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 x14ac:dyDescent="0.4">
      <c r="A12" s="87" t="str">
        <f>IFERROR(FLUID!E55,0)</f>
        <v>Ga2Se</v>
      </c>
      <c r="B12" s="16">
        <f ca="1">IFERROR(FLUID!F55,0)</f>
        <v>-109.36099999999999</v>
      </c>
      <c r="C12" s="16">
        <f ca="1">IFERROR(FLUID!G55,0)</f>
        <v>-88.992999999999995</v>
      </c>
      <c r="D12" s="16">
        <f ca="1">IFERROR(FLUID!H55,0)</f>
        <v>-79.161000000000001</v>
      </c>
      <c r="E12" s="16">
        <f ca="1">IFERROR(FLUID!I55,0)</f>
        <v>-60.325000000000003</v>
      </c>
      <c r="F12" s="16">
        <f ca="1">IFERROR(FLUID!J55,0)</f>
        <v>-58.177999999999997</v>
      </c>
      <c r="G12" s="16">
        <f ca="1">IFERROR(FLUID!K55,0)</f>
        <v>-56.15</v>
      </c>
      <c r="H12" s="16">
        <f ca="1">IFERROR(FLUID!L55,0)</f>
        <v>-54.241</v>
      </c>
      <c r="I12" s="16">
        <f ca="1">IFERROR(FLUID!M55,0)</f>
        <v>-52.449999999999996</v>
      </c>
      <c r="J12" s="16">
        <f ca="1">IFERROR(FLUID!N55,0)</f>
        <v>-46.251999999999995</v>
      </c>
      <c r="K12" s="16">
        <f ca="1">IFERROR(FLUID!O55,0)</f>
        <v>-41.191000000000003</v>
      </c>
      <c r="L12" s="16">
        <f ca="1">IFERROR(FLUID!P55,0)</f>
        <v>-37.022000000000006</v>
      </c>
      <c r="M12" s="16">
        <f ca="1">IFERROR(FLUID!Q55,0)</f>
        <v>-33.630000000000003</v>
      </c>
      <c r="N12" s="16">
        <f ca="1">IFERROR(FLUID!R55,0)</f>
        <v>-31.416</v>
      </c>
      <c r="O12" s="16">
        <f ca="1">IFERROR(FLUID!S55,0)</f>
        <v>-31.11</v>
      </c>
      <c r="P12" s="16">
        <f ca="1">IFERROR(FLUID!T55,0)</f>
        <v>-30.884999999999998</v>
      </c>
      <c r="Q12" s="16">
        <f ca="1">IFERROR(FLUID!U55,0)</f>
        <v>-30.707999999999998</v>
      </c>
      <c r="R12" s="16">
        <f ca="1">IFERROR(FLUID!V55,0)</f>
        <v>-30.566000000000003</v>
      </c>
      <c r="S12" s="16">
        <f ca="1">IFERROR(FLUID!W55,0)</f>
        <v>-30.65</v>
      </c>
      <c r="T12" s="16">
        <f ca="1">IFERROR(FLUID!X55,0)</f>
        <v>-30.936999999999998</v>
      </c>
      <c r="U12" s="16">
        <f ca="1">IFERROR(FLUID!Y55,0)</f>
        <v>-31.228999999999999</v>
      </c>
      <c r="V12" s="16">
        <f ca="1">IFERROR(FLUID!Z55,0)</f>
        <v>-31.506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 x14ac:dyDescent="0.4">
      <c r="A13" s="87" t="str">
        <f>IFERROR(FLUID!E56,0)</f>
        <v>(l)Ga[l]</v>
      </c>
      <c r="B13" s="16">
        <f ca="1">IFERROR(FLUID!F56,0)</f>
        <v>-51.69</v>
      </c>
      <c r="C13" s="16">
        <f ca="1">IFERROR(FLUID!G56,0)</f>
        <v>-41.33</v>
      </c>
      <c r="D13" s="16">
        <f ca="1">IFERROR(FLUID!H56,0)</f>
        <v>-36.22</v>
      </c>
      <c r="E13" s="16">
        <f ca="1">IFERROR(FLUID!I56,0)</f>
        <v>-26.61</v>
      </c>
      <c r="F13" s="16">
        <f ca="1">IFERROR(FLUID!J56,0)</f>
        <v>-25.49</v>
      </c>
      <c r="G13" s="16">
        <f ca="1">IFERROR(FLUID!K56,0)</f>
        <v>-24.43</v>
      </c>
      <c r="H13" s="16">
        <f ca="1">IFERROR(FLUID!L56,0)</f>
        <v>-23.43</v>
      </c>
      <c r="I13" s="16">
        <f ca="1">IFERROR(FLUID!M56,0)</f>
        <v>-22.49</v>
      </c>
      <c r="J13" s="16">
        <f ca="1">IFERROR(FLUID!N56,0)</f>
        <v>-19.22</v>
      </c>
      <c r="K13" s="16">
        <f ca="1">IFERROR(FLUID!O56,0)</f>
        <v>-16.53</v>
      </c>
      <c r="L13" s="16">
        <f ca="1">IFERROR(FLUID!P56,0)</f>
        <v>-14.3</v>
      </c>
      <c r="M13" s="16">
        <f ca="1">IFERROR(FLUID!Q56,0)</f>
        <v>-12.49</v>
      </c>
      <c r="N13" s="16">
        <f ca="1">IFERROR(FLUID!R56,0)</f>
        <v>-11.39</v>
      </c>
      <c r="O13" s="16">
        <f ca="1">IFERROR(FLUID!S56,0)</f>
        <v>-11.27</v>
      </c>
      <c r="P13" s="16">
        <f ca="1">IFERROR(FLUID!T56,0)</f>
        <v>-11.2</v>
      </c>
      <c r="Q13" s="16">
        <f ca="1">IFERROR(FLUID!U56,0)</f>
        <v>-11.16</v>
      </c>
      <c r="R13" s="16">
        <f ca="1">IFERROR(FLUID!V56,0)</f>
        <v>-11.14</v>
      </c>
      <c r="S13" s="16">
        <f ca="1">IFERROR(FLUID!W56,0)</f>
        <v>-11.19</v>
      </c>
      <c r="T13" s="16">
        <f ca="1">IFERROR(FLUID!X56,0)</f>
        <v>-11.29</v>
      </c>
      <c r="U13" s="16">
        <f ca="1">IFERROR(FLUID!Y56,0)</f>
        <v>-11.39</v>
      </c>
      <c r="V13" s="16">
        <f ca="1">IFERROR(FLUID!Z56,0)</f>
        <v>-11.48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 x14ac:dyDescent="0.4">
      <c r="A14" s="87" t="str">
        <f>IFERROR(FLUID!E57,0)</f>
        <v>(1)Ge[l]</v>
      </c>
      <c r="B14" s="16">
        <f ca="1">IFERROR(FLUID!F57,0)</f>
        <v>-27.38</v>
      </c>
      <c r="C14" s="16">
        <f ca="1">IFERROR(FLUID!G57,0)</f>
        <v>-22.79</v>
      </c>
      <c r="D14" s="16">
        <f ca="1">IFERROR(FLUID!H57,0)</f>
        <v>-19.79</v>
      </c>
      <c r="E14" s="16">
        <f ca="1">IFERROR(FLUID!I57,0)</f>
        <v>-17.71</v>
      </c>
      <c r="F14" s="16">
        <f ca="1">IFERROR(FLUID!J57,0)</f>
        <v>-17.28</v>
      </c>
      <c r="G14" s="16">
        <f ca="1">IFERROR(FLUID!K57,0)</f>
        <v>-16.89</v>
      </c>
      <c r="H14" s="16">
        <f ca="1">IFERROR(FLUID!L57,0)</f>
        <v>-16.53</v>
      </c>
      <c r="I14" s="16">
        <f ca="1">IFERROR(FLUID!M57,0)</f>
        <v>-16.190000000000001</v>
      </c>
      <c r="J14" s="16">
        <f ca="1">IFERROR(FLUID!N57,0)</f>
        <v>-15.05</v>
      </c>
      <c r="K14" s="16">
        <f ca="1">IFERROR(FLUID!O57,0)</f>
        <v>-14.18</v>
      </c>
      <c r="L14" s="16">
        <f ca="1">IFERROR(FLUID!P57,0)</f>
        <v>-13.5</v>
      </c>
      <c r="M14" s="16">
        <f ca="1">IFERROR(FLUID!Q57,0)</f>
        <v>-13.02</v>
      </c>
      <c r="N14" s="16">
        <f ca="1">IFERROR(FLUID!R57,0)</f>
        <v>-12.95</v>
      </c>
      <c r="O14" s="16">
        <f ca="1">IFERROR(FLUID!S57,0)</f>
        <v>-13.04</v>
      </c>
      <c r="P14" s="16">
        <f ca="1">IFERROR(FLUID!T57,0)</f>
        <v>-13.16</v>
      </c>
      <c r="Q14" s="16">
        <f ca="1">IFERROR(FLUID!U57,0)</f>
        <v>-13.32</v>
      </c>
      <c r="R14" s="16">
        <f ca="1">IFERROR(FLUID!V57,0)</f>
        <v>-13.51</v>
      </c>
      <c r="S14" s="16">
        <f ca="1">IFERROR(FLUID!W57,0)</f>
        <v>-13.57</v>
      </c>
      <c r="T14" s="16">
        <f ca="1">IFERROR(FLUID!X57,0)</f>
        <v>-13.44</v>
      </c>
      <c r="U14" s="16">
        <f ca="1">IFERROR(FLUID!Y57,0)</f>
        <v>-13.3</v>
      </c>
      <c r="V14" s="16">
        <f ca="1">IFERROR(FLUID!Z57,0)</f>
        <v>-13.16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 x14ac:dyDescent="0.4">
      <c r="A15" s="87" t="str">
        <f>IFERROR(FLUID!E58,0)</f>
        <v>(1)Se[l]</v>
      </c>
      <c r="B15" s="16">
        <f ca="1">IFERROR(FLUID!F58,0)</f>
        <v>-5.9809999999999999</v>
      </c>
      <c r="C15" s="16">
        <f ca="1">IFERROR(FLUID!G58,0)</f>
        <v>-6.3330000000000002</v>
      </c>
      <c r="D15" s="16">
        <f ca="1">IFERROR(FLUID!H58,0)</f>
        <v>-6.7210000000000001</v>
      </c>
      <c r="E15" s="16">
        <f ca="1">IFERROR(FLUID!I58,0)</f>
        <v>-7.1050000000000004</v>
      </c>
      <c r="F15" s="16">
        <f ca="1">IFERROR(FLUID!J58,0)</f>
        <v>-7.1980000000000004</v>
      </c>
      <c r="G15" s="16">
        <f ca="1">IFERROR(FLUID!K58,0)</f>
        <v>-7.29</v>
      </c>
      <c r="H15" s="16">
        <f ca="1">IFERROR(FLUID!L58,0)</f>
        <v>-7.3810000000000002</v>
      </c>
      <c r="I15" s="16">
        <f ca="1">IFERROR(FLUID!M58,0)</f>
        <v>-7.47</v>
      </c>
      <c r="J15" s="16">
        <f ca="1">IFERROR(FLUID!N58,0)</f>
        <v>-7.8120000000000003</v>
      </c>
      <c r="K15" s="16">
        <f ca="1">IFERROR(FLUID!O58,0)</f>
        <v>-8.1310000000000002</v>
      </c>
      <c r="L15" s="16">
        <f ca="1">IFERROR(FLUID!P58,0)</f>
        <v>-8.4220000000000006</v>
      </c>
      <c r="M15" s="16">
        <f ca="1">IFERROR(FLUID!Q58,0)</f>
        <v>-8.65</v>
      </c>
      <c r="N15" s="16">
        <f ca="1">IFERROR(FLUID!R58,0)</f>
        <v>-8.6359999999999992</v>
      </c>
      <c r="O15" s="16">
        <f ca="1">IFERROR(FLUID!S58,0)</f>
        <v>-8.57</v>
      </c>
      <c r="P15" s="16">
        <f ca="1">IFERROR(FLUID!T58,0)</f>
        <v>-8.4849999999999994</v>
      </c>
      <c r="Q15" s="16">
        <f ca="1">IFERROR(FLUID!U58,0)</f>
        <v>-8.3879999999999999</v>
      </c>
      <c r="R15" s="16">
        <f ca="1">IFERROR(FLUID!V58,0)</f>
        <v>-8.2859999999999996</v>
      </c>
      <c r="S15" s="16">
        <f ca="1">IFERROR(FLUID!W58,0)</f>
        <v>-8.27</v>
      </c>
      <c r="T15" s="16">
        <f ca="1">IFERROR(FLUID!X58,0)</f>
        <v>-8.3569999999999993</v>
      </c>
      <c r="U15" s="16">
        <f ca="1">IFERROR(FLUID!Y58,0)</f>
        <v>-8.4489999999999998</v>
      </c>
      <c r="V15" s="16">
        <f ca="1">IFERROR(FLUID!Z58,0)</f>
        <v>-8.5459999999999994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 x14ac:dyDescent="0.4">
      <c r="A16" s="87" t="str">
        <f>IFERROR(FLUID!E59,0)</f>
        <v>(1)GeSe[l]</v>
      </c>
      <c r="B16" s="16">
        <f ca="1">IFERROR(FLUID!F59,0)</f>
        <v>-33.360999999999997</v>
      </c>
      <c r="C16" s="16">
        <f ca="1">IFERROR(FLUID!G59,0)</f>
        <v>-29.122999999999998</v>
      </c>
      <c r="D16" s="16">
        <f ca="1">IFERROR(FLUID!H59,0)</f>
        <v>-26.510999999999999</v>
      </c>
      <c r="E16" s="16">
        <f ca="1">IFERROR(FLUID!I59,0)</f>
        <v>-24.815000000000001</v>
      </c>
      <c r="F16" s="16">
        <f ca="1">IFERROR(FLUID!J59,0)</f>
        <v>-24.478000000000002</v>
      </c>
      <c r="G16" s="16">
        <f ca="1">IFERROR(FLUID!K59,0)</f>
        <v>-24.18</v>
      </c>
      <c r="H16" s="16">
        <f ca="1">IFERROR(FLUID!L59,0)</f>
        <v>-23.911000000000001</v>
      </c>
      <c r="I16" s="16">
        <f ca="1">IFERROR(FLUID!M59,0)</f>
        <v>-23.66</v>
      </c>
      <c r="J16" s="16">
        <f ca="1">IFERROR(FLUID!N59,0)</f>
        <v>-22.862000000000002</v>
      </c>
      <c r="K16" s="16">
        <f ca="1">IFERROR(FLUID!O59,0)</f>
        <v>-22.311</v>
      </c>
      <c r="L16" s="16">
        <f ca="1">IFERROR(FLUID!P59,0)</f>
        <v>-21.922000000000001</v>
      </c>
      <c r="M16" s="16">
        <f ca="1">IFERROR(FLUID!Q59,0)</f>
        <v>-21.67</v>
      </c>
      <c r="N16" s="16">
        <f ca="1">IFERROR(FLUID!R59,0)</f>
        <v>-21.585999999999999</v>
      </c>
      <c r="O16" s="16">
        <f ca="1">IFERROR(FLUID!S59,0)</f>
        <v>-21.61</v>
      </c>
      <c r="P16" s="16">
        <f ca="1">IFERROR(FLUID!T59,0)</f>
        <v>-21.645</v>
      </c>
      <c r="Q16" s="16">
        <f ca="1">IFERROR(FLUID!U59,0)</f>
        <v>-21.707999999999998</v>
      </c>
      <c r="R16" s="16">
        <f ca="1">IFERROR(FLUID!V59,0)</f>
        <v>-21.795999999999999</v>
      </c>
      <c r="S16" s="16">
        <f ca="1">IFERROR(FLUID!W59,0)</f>
        <v>-21.84</v>
      </c>
      <c r="T16" s="16">
        <f ca="1">IFERROR(FLUID!X59,0)</f>
        <v>-21.796999999999997</v>
      </c>
      <c r="U16" s="16">
        <f ca="1">IFERROR(FLUID!Y59,0)</f>
        <v>-21.749000000000002</v>
      </c>
      <c r="V16" s="16">
        <f ca="1">IFERROR(FLUID!Z59,0)</f>
        <v>-21.706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 x14ac:dyDescent="0.4">
      <c r="A17" s="87" t="str">
        <f>IFERROR(FLUID!E60,0)</f>
        <v>H (Ar)</v>
      </c>
      <c r="B17" s="16">
        <f ca="1">IFERROR(FLUID!F60,0)</f>
        <v>-18.62</v>
      </c>
      <c r="C17" s="16">
        <f ca="1">IFERROR(FLUID!G60,0)</f>
        <v>-18.63</v>
      </c>
      <c r="D17" s="16">
        <f ca="1">IFERROR(FLUID!H60,0)</f>
        <v>-18.72</v>
      </c>
      <c r="E17" s="16">
        <f ca="1">IFERROR(FLUID!I60,0)</f>
        <v>-18.84</v>
      </c>
      <c r="F17" s="16">
        <f ca="1">IFERROR(FLUID!J60,0)</f>
        <v>-18.87</v>
      </c>
      <c r="G17" s="16">
        <f ca="1">IFERROR(FLUID!K60,0)</f>
        <v>-18.899999999999999</v>
      </c>
      <c r="H17" s="16">
        <f ca="1">IFERROR(FLUID!L60,0)</f>
        <v>-18.940000000000001</v>
      </c>
      <c r="I17" s="16">
        <f ca="1">IFERROR(FLUID!M60,0)</f>
        <v>-18.97</v>
      </c>
      <c r="J17" s="16">
        <f ca="1">IFERROR(FLUID!N60,0)</f>
        <v>-19.11</v>
      </c>
      <c r="K17" s="16">
        <f ca="1">IFERROR(FLUID!O60,0)</f>
        <v>-19.25</v>
      </c>
      <c r="L17" s="16">
        <f ca="1">IFERROR(FLUID!P60,0)</f>
        <v>-19.38</v>
      </c>
      <c r="M17" s="16">
        <f ca="1">IFERROR(FLUID!Q60,0)</f>
        <v>-19.510000000000002</v>
      </c>
      <c r="N17" s="16">
        <f ca="1">IFERROR(FLUID!R60,0)</f>
        <v>-19.66</v>
      </c>
      <c r="O17" s="16">
        <f ca="1">IFERROR(FLUID!S60,0)</f>
        <v>-19.72</v>
      </c>
      <c r="P17" s="16">
        <f ca="1">IFERROR(FLUID!T60,0)</f>
        <v>-19.78</v>
      </c>
      <c r="Q17" s="16">
        <f ca="1">IFERROR(FLUID!U60,0)</f>
        <v>-19.87</v>
      </c>
      <c r="R17" s="16">
        <f ca="1">IFERROR(FLUID!V60,0)</f>
        <v>-19.989999999999998</v>
      </c>
      <c r="S17" s="16">
        <f ca="1">IFERROR(FLUID!W60,0)</f>
        <v>-20.100000000000001</v>
      </c>
      <c r="T17" s="16">
        <f ca="1">IFERROR(FLUID!X60,0)</f>
        <v>-20.149999999999999</v>
      </c>
      <c r="U17" s="16">
        <f ca="1">IFERROR(FLUID!Y60,0)</f>
        <v>-20.2</v>
      </c>
      <c r="V17" s="16">
        <f ca="1">IFERROR(FLUID!Z60,0)</f>
        <v>-20.25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 x14ac:dyDescent="0.4">
      <c r="A18" s="87" t="str">
        <f>IFERROR(FLUID!E61,0)</f>
        <v>H (Ga)</v>
      </c>
      <c r="B18" s="16">
        <f ca="1">IFERROR(FLUID!F61,0)</f>
        <v>-51.69</v>
      </c>
      <c r="C18" s="16">
        <f ca="1">IFERROR(FLUID!G61,0)</f>
        <v>-41.33</v>
      </c>
      <c r="D18" s="16">
        <f ca="1">IFERROR(FLUID!H61,0)</f>
        <v>-36.22</v>
      </c>
      <c r="E18" s="16">
        <f ca="1">IFERROR(FLUID!I61,0)</f>
        <v>-26.61</v>
      </c>
      <c r="F18" s="16">
        <f ca="1">IFERROR(FLUID!J61,0)</f>
        <v>-25.49</v>
      </c>
      <c r="G18" s="16">
        <f ca="1">IFERROR(FLUID!K61,0)</f>
        <v>-24.43</v>
      </c>
      <c r="H18" s="16">
        <f ca="1">IFERROR(FLUID!L61,0)</f>
        <v>-23.43</v>
      </c>
      <c r="I18" s="16">
        <f ca="1">IFERROR(FLUID!M61,0)</f>
        <v>-22.49</v>
      </c>
      <c r="J18" s="16">
        <f ca="1">IFERROR(FLUID!N61,0)</f>
        <v>-19.22</v>
      </c>
      <c r="K18" s="16">
        <f ca="1">IFERROR(FLUID!O61,0)</f>
        <v>-16.53</v>
      </c>
      <c r="L18" s="16">
        <f ca="1">IFERROR(FLUID!P61,0)</f>
        <v>-14.3</v>
      </c>
      <c r="M18" s="16">
        <f ca="1">IFERROR(FLUID!Q61,0)</f>
        <v>-12.49</v>
      </c>
      <c r="N18" s="16">
        <f ca="1">IFERROR(FLUID!R61,0)</f>
        <v>-11.39</v>
      </c>
      <c r="O18" s="16">
        <f ca="1">IFERROR(FLUID!S61,0)</f>
        <v>-11.27</v>
      </c>
      <c r="P18" s="16">
        <f ca="1">IFERROR(FLUID!T61,0)</f>
        <v>-11.2</v>
      </c>
      <c r="Q18" s="16">
        <f ca="1">IFERROR(FLUID!U61,0)</f>
        <v>-11.16</v>
      </c>
      <c r="R18" s="16">
        <f ca="1">IFERROR(FLUID!V61,0)</f>
        <v>-11.14</v>
      </c>
      <c r="S18" s="16">
        <f ca="1">IFERROR(FLUID!W61,0)</f>
        <v>-11.19</v>
      </c>
      <c r="T18" s="16">
        <f ca="1">IFERROR(FLUID!X61,0)</f>
        <v>-11.29</v>
      </c>
      <c r="U18" s="16">
        <f ca="1">IFERROR(FLUID!Y61,0)</f>
        <v>-11.39</v>
      </c>
      <c r="V18" s="16">
        <f ca="1">IFERROR(FLUID!Z61,0)</f>
        <v>-11.48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 x14ac:dyDescent="0.4">
      <c r="A19" s="87" t="str">
        <f>IFERROR(FLUID!E62,0)</f>
        <v>H (Ge)</v>
      </c>
      <c r="B19" s="16">
        <f ca="1">IFERROR(FLUID!F62,0)</f>
        <v>-27.38</v>
      </c>
      <c r="C19" s="16">
        <f ca="1">IFERROR(FLUID!G62,0)</f>
        <v>-22.79</v>
      </c>
      <c r="D19" s="16">
        <f ca="1">IFERROR(FLUID!H62,0)</f>
        <v>-19.79</v>
      </c>
      <c r="E19" s="16">
        <f ca="1">IFERROR(FLUID!I62,0)</f>
        <v>-17.71</v>
      </c>
      <c r="F19" s="16">
        <f ca="1">IFERROR(FLUID!J62,0)</f>
        <v>-17.28</v>
      </c>
      <c r="G19" s="16">
        <f ca="1">IFERROR(FLUID!K62,0)</f>
        <v>-16.89</v>
      </c>
      <c r="H19" s="16">
        <f ca="1">IFERROR(FLUID!L62,0)</f>
        <v>-16.53</v>
      </c>
      <c r="I19" s="16">
        <f ca="1">IFERROR(FLUID!M62,0)</f>
        <v>-16.190000000000001</v>
      </c>
      <c r="J19" s="16">
        <f ca="1">IFERROR(FLUID!N62,0)</f>
        <v>-15.05</v>
      </c>
      <c r="K19" s="16">
        <f ca="1">IFERROR(FLUID!O62,0)</f>
        <v>-14.18</v>
      </c>
      <c r="L19" s="16">
        <f ca="1">IFERROR(FLUID!P62,0)</f>
        <v>-13.5</v>
      </c>
      <c r="M19" s="16">
        <f ca="1">IFERROR(FLUID!Q62,0)</f>
        <v>-13.02</v>
      </c>
      <c r="N19" s="16">
        <f ca="1">IFERROR(FLUID!R62,0)</f>
        <v>-12.95</v>
      </c>
      <c r="O19" s="16">
        <f ca="1">IFERROR(FLUID!S62,0)</f>
        <v>-13.04</v>
      </c>
      <c r="P19" s="16">
        <f ca="1">IFERROR(FLUID!T62,0)</f>
        <v>-13.16</v>
      </c>
      <c r="Q19" s="16">
        <f ca="1">IFERROR(FLUID!U62,0)</f>
        <v>-13.32</v>
      </c>
      <c r="R19" s="16">
        <f ca="1">IFERROR(FLUID!V62,0)</f>
        <v>-13.51</v>
      </c>
      <c r="S19" s="16">
        <f ca="1">IFERROR(FLUID!W62,0)</f>
        <v>-13.57</v>
      </c>
      <c r="T19" s="16">
        <f ca="1">IFERROR(FLUID!X62,0)</f>
        <v>-13.44</v>
      </c>
      <c r="U19" s="16">
        <f ca="1">IFERROR(FLUID!Y62,0)</f>
        <v>-13.3</v>
      </c>
      <c r="V19" s="16">
        <f ca="1">IFERROR(FLUID!Z62,0)</f>
        <v>-13.16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 x14ac:dyDescent="0.4">
      <c r="A20" s="87" t="str">
        <f>IFERROR(FLUID!E63,0)</f>
        <v>H (Se)</v>
      </c>
      <c r="B20" s="16">
        <f ca="1">IFERROR(FLUID!F63,0)</f>
        <v>-5.9809999999999999</v>
      </c>
      <c r="C20" s="16">
        <f ca="1">IFERROR(FLUID!G63,0)</f>
        <v>-6.3330000000000002</v>
      </c>
      <c r="D20" s="16">
        <f ca="1">IFERROR(FLUID!H63,0)</f>
        <v>-6.7210000000000001</v>
      </c>
      <c r="E20" s="16">
        <f ca="1">IFERROR(FLUID!I63,0)</f>
        <v>-7.1050000000000004</v>
      </c>
      <c r="F20" s="16">
        <f ca="1">IFERROR(FLUID!J63,0)</f>
        <v>-7.1980000000000004</v>
      </c>
      <c r="G20" s="16">
        <f ca="1">IFERROR(FLUID!K63,0)</f>
        <v>-7.29</v>
      </c>
      <c r="H20" s="16">
        <f ca="1">IFERROR(FLUID!L63,0)</f>
        <v>-7.3810000000000002</v>
      </c>
      <c r="I20" s="16">
        <f ca="1">IFERROR(FLUID!M63,0)</f>
        <v>-7.47</v>
      </c>
      <c r="J20" s="16">
        <f ca="1">IFERROR(FLUID!N63,0)</f>
        <v>-7.8120000000000003</v>
      </c>
      <c r="K20" s="16">
        <f ca="1">IFERROR(FLUID!O63,0)</f>
        <v>-8.1310000000000002</v>
      </c>
      <c r="L20" s="16">
        <f ca="1">IFERROR(FLUID!P63,0)</f>
        <v>-8.4220000000000006</v>
      </c>
      <c r="M20" s="16">
        <f ca="1">IFERROR(FLUID!Q63,0)</f>
        <v>-8.65</v>
      </c>
      <c r="N20" s="16">
        <f ca="1">IFERROR(FLUID!R63,0)</f>
        <v>-8.6359999999999992</v>
      </c>
      <c r="O20" s="16">
        <f ca="1">IFERROR(FLUID!S63,0)</f>
        <v>-8.57</v>
      </c>
      <c r="P20" s="16">
        <f ca="1">IFERROR(FLUID!T63,0)</f>
        <v>-8.4849999999999994</v>
      </c>
      <c r="Q20" s="16">
        <f ca="1">IFERROR(FLUID!U63,0)</f>
        <v>-8.3879999999999999</v>
      </c>
      <c r="R20" s="16">
        <f ca="1">IFERROR(FLUID!V63,0)</f>
        <v>-8.2859999999999996</v>
      </c>
      <c r="S20" s="16">
        <f ca="1">IFERROR(FLUID!W63,0)</f>
        <v>-8.27</v>
      </c>
      <c r="T20" s="16">
        <f ca="1">IFERROR(FLUID!X63,0)</f>
        <v>-8.3569999999999993</v>
      </c>
      <c r="U20" s="16">
        <f ca="1">IFERROR(FLUID!Y63,0)</f>
        <v>-8.4489999999999998</v>
      </c>
      <c r="V20" s="16">
        <f ca="1">IFERROR(FLUID!Z63,0)</f>
        <v>-8.5459999999999994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 x14ac:dyDescent="0.4">
      <c r="A21" s="87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 x14ac:dyDescent="0.4">
      <c r="A22" s="87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 x14ac:dyDescent="0.4">
      <c r="A23" s="87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 x14ac:dyDescent="0.4">
      <c r="A24" s="87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 x14ac:dyDescent="0.4">
      <c r="A25" s="87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 x14ac:dyDescent="0.4">
      <c r="A26" s="87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 x14ac:dyDescent="0.4">
      <c r="A27" s="87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 x14ac:dyDescent="0.4">
      <c r="A28" s="87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 x14ac:dyDescent="0.4">
      <c r="A29" s="87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 x14ac:dyDescent="0.4">
      <c r="A30" s="87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 x14ac:dyDescent="0.4">
      <c r="A31" s="87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 x14ac:dyDescent="0.4">
      <c r="A32" s="87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 x14ac:dyDescent="0.4">
      <c r="A33" s="35"/>
      <c r="B33" s="100"/>
      <c r="C33" s="100"/>
      <c r="D33" s="100"/>
      <c r="E33" s="100"/>
      <c r="F33" s="100">
        <f ca="1">IFERROR(AI35,0)</f>
        <v>0</v>
      </c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100"/>
      <c r="AY33" s="100"/>
      <c r="AZ33" s="100"/>
      <c r="BA33" s="100"/>
      <c r="BB33" s="100"/>
      <c r="BC33" s="100"/>
      <c r="BD33" s="100"/>
      <c r="BE33" s="100"/>
      <c r="BF33" s="100"/>
      <c r="BG33" s="100"/>
      <c r="BH33" s="100"/>
      <c r="BI33" s="100"/>
      <c r="BJ33" s="100"/>
      <c r="BK33" s="100"/>
      <c r="BL33" s="100"/>
      <c r="BM33" s="100"/>
      <c r="BN33" s="100"/>
      <c r="BO33" s="100"/>
      <c r="BP33" s="100"/>
      <c r="BQ33" s="100"/>
      <c r="BR33" s="100"/>
      <c r="BS33" s="100"/>
      <c r="BT33" s="100"/>
    </row>
    <row r="34" spans="1:72" ht="22.5" thickTop="1" thickBot="1" x14ac:dyDescent="0.4">
      <c r="A34" s="4" t="s">
        <v>28</v>
      </c>
      <c r="B34" s="4">
        <f>IFERROR(SOLID!F45,0)</f>
        <v>0</v>
      </c>
      <c r="C34" s="4">
        <f>IFERROR(SOLID!G45,0)</f>
        <v>0</v>
      </c>
      <c r="D34" s="4">
        <f>IFERROR(SOLID!H45,0)</f>
        <v>0</v>
      </c>
      <c r="E34" s="4">
        <f>IFERROR(SOLID!I45,0)</f>
        <v>0</v>
      </c>
      <c r="F34" s="4">
        <f>IFERROR(SOLID!J45,0)</f>
        <v>0</v>
      </c>
      <c r="G34" s="4">
        <f>IFERROR(SOLID!K45,0)</f>
        <v>0</v>
      </c>
      <c r="H34" s="4">
        <f>IFERROR(SOLID!L45,0)</f>
        <v>0</v>
      </c>
      <c r="I34" s="4">
        <f>IFERROR(SOLID!M45,0)</f>
        <v>0</v>
      </c>
      <c r="J34" s="4">
        <f>IFERROR(SOLID!N45,0)</f>
        <v>0</v>
      </c>
      <c r="K34" s="4">
        <f>IFERROR(SOLID!O45,0)</f>
        <v>0</v>
      </c>
      <c r="L34" s="4">
        <f>IFERROR(SOLID!P45,0)</f>
        <v>0</v>
      </c>
      <c r="M34" s="4">
        <f>IFERROR(SOLID!Q45,0)</f>
        <v>0</v>
      </c>
      <c r="N34" s="4">
        <f>IFERROR(SOLID!R45,0)</f>
        <v>0</v>
      </c>
      <c r="O34" s="4">
        <f>IFERROR(SOLID!S45,0)</f>
        <v>0</v>
      </c>
      <c r="P34" s="4">
        <f>IFERROR(SOLID!T45,0)</f>
        <v>0</v>
      </c>
      <c r="Q34" s="4">
        <f>IFERROR(SOLID!U45,0)</f>
        <v>0</v>
      </c>
      <c r="R34" s="4">
        <f>IFERROR(SOLID!V45,0)</f>
        <v>0</v>
      </c>
      <c r="S34" s="4">
        <f>IFERROR(SOLID!W45,0)</f>
        <v>0</v>
      </c>
      <c r="T34" s="4">
        <f>IFERROR(SOLID!X45,0)</f>
        <v>0</v>
      </c>
      <c r="U34" s="4">
        <f>IFERROR(SOLID!Y45,0)</f>
        <v>0</v>
      </c>
      <c r="V34" s="4">
        <f>IFERROR(SOLID!Z45,0)</f>
        <v>0</v>
      </c>
      <c r="W34" s="4">
        <f>IFERROR(SOLID!AA45,0)</f>
        <v>0</v>
      </c>
      <c r="X34" s="4">
        <f>IFERROR(SOLID!AB45,0)</f>
        <v>0</v>
      </c>
      <c r="Y34" s="4">
        <f>IFERROR(SOLID!AC45,0)</f>
        <v>0</v>
      </c>
      <c r="Z34" s="4">
        <f>IFERROR(SOLID!AD45,0)</f>
        <v>0</v>
      </c>
      <c r="AA34" s="4">
        <f>IFERROR(SOLID!AE45,0)</f>
        <v>0</v>
      </c>
      <c r="AB34" s="4">
        <f>IFERROR(SOLID!AF45,0)</f>
        <v>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 x14ac:dyDescent="0.4">
      <c r="A35" s="33">
        <f>IFERROR(SOLID!E46,0)</f>
        <v>0</v>
      </c>
      <c r="B35" s="16">
        <f ca="1">IFERROR(SOLID!F46,0)</f>
        <v>0</v>
      </c>
      <c r="C35" s="16">
        <f ca="1">IFERROR(SOLID!G46,0)</f>
        <v>0</v>
      </c>
      <c r="D35" s="16">
        <f ca="1">IFERROR(SOLID!H46,0)</f>
        <v>0</v>
      </c>
      <c r="E35" s="16">
        <f ca="1">IFERROR(SOLID!I46,0)</f>
        <v>0</v>
      </c>
      <c r="F35" s="16">
        <f ca="1">IFERROR(SOLID!J46,0)</f>
        <v>0</v>
      </c>
      <c r="G35" s="16">
        <f ca="1">IFERROR(SOLID!K46,0)</f>
        <v>0</v>
      </c>
      <c r="H35" s="16">
        <f ca="1">IFERROR(SOLID!L46,0)</f>
        <v>0</v>
      </c>
      <c r="I35" s="16">
        <f ca="1">IFERROR(SOLID!M46,0)</f>
        <v>0</v>
      </c>
      <c r="J35" s="16">
        <f ca="1">IFERROR(SOLID!N46,0)</f>
        <v>0</v>
      </c>
      <c r="K35" s="16">
        <f ca="1">IFERROR(SOLID!O46,0)</f>
        <v>0</v>
      </c>
      <c r="L35" s="16">
        <f ca="1">IFERROR(SOLID!P46,0)</f>
        <v>0</v>
      </c>
      <c r="M35" s="16">
        <f ca="1">IFERROR(SOLID!Q46,0)</f>
        <v>0</v>
      </c>
      <c r="N35" s="16">
        <f ca="1">IFERROR(SOLID!R46,0)</f>
        <v>0</v>
      </c>
      <c r="O35" s="16">
        <f ca="1">IFERROR(SOLID!S46,0)</f>
        <v>0</v>
      </c>
      <c r="P35" s="16">
        <f ca="1">IFERROR(SOLID!T46,0)</f>
        <v>0</v>
      </c>
      <c r="Q35" s="16">
        <f ca="1">IFERROR(SOLID!U46,0)</f>
        <v>0</v>
      </c>
      <c r="R35" s="16">
        <f ca="1">IFERROR(SOLID!V46,0)</f>
        <v>0</v>
      </c>
      <c r="S35" s="16">
        <f ca="1">IFERROR(SOLID!W46,0)</f>
        <v>0</v>
      </c>
      <c r="T35" s="16">
        <f ca="1">IFERROR(SOLID!X46,0)</f>
        <v>0</v>
      </c>
      <c r="U35" s="16">
        <f ca="1">IFERROR(SOLID!Y46,0)</f>
        <v>0</v>
      </c>
      <c r="V35" s="16">
        <f ca="1">IFERROR(SOLID!Z46,0)</f>
        <v>0</v>
      </c>
      <c r="W35" s="16">
        <f ca="1">IFERROR(SOLID!AA46,0)</f>
        <v>0</v>
      </c>
      <c r="X35" s="16">
        <f ca="1">IFERROR(SOLID!AB46,0)</f>
        <v>0</v>
      </c>
      <c r="Y35" s="16">
        <f ca="1">IFERROR(SOLID!AC46,0)</f>
        <v>0</v>
      </c>
      <c r="Z35" s="16">
        <f ca="1">IFERROR(SOLID!AD46,0)</f>
        <v>0</v>
      </c>
      <c r="AA35" s="16">
        <f ca="1">IFERROR(SOLID!AE46,0)</f>
        <v>0</v>
      </c>
      <c r="AB35" s="16">
        <f ca="1">IFERROR(SOLID!AF46,0)</f>
        <v>0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 x14ac:dyDescent="0.4">
      <c r="A36" s="33">
        <f>IFERROR(SOLID!E47,0)</f>
        <v>0</v>
      </c>
      <c r="B36" s="16">
        <f ca="1">IFERROR(SOLID!F47,0)</f>
        <v>0</v>
      </c>
      <c r="C36" s="16">
        <f ca="1">IFERROR(SOLID!G47,0)</f>
        <v>0</v>
      </c>
      <c r="D36" s="16">
        <f ca="1">IFERROR(SOLID!H47,0)</f>
        <v>0</v>
      </c>
      <c r="E36" s="16">
        <f ca="1">IFERROR(SOLID!I47,0)</f>
        <v>0</v>
      </c>
      <c r="F36" s="16">
        <f ca="1">IFERROR(SOLID!J47,0)</f>
        <v>0</v>
      </c>
      <c r="G36" s="16">
        <f ca="1">IFERROR(SOLID!K47,0)</f>
        <v>0</v>
      </c>
      <c r="H36" s="16">
        <f ca="1">IFERROR(SOLID!L47,0)</f>
        <v>0</v>
      </c>
      <c r="I36" s="16">
        <f ca="1">IFERROR(SOLID!M47,0)</f>
        <v>0</v>
      </c>
      <c r="J36" s="16">
        <f ca="1">IFERROR(SOLID!N47,0)</f>
        <v>0</v>
      </c>
      <c r="K36" s="16">
        <f ca="1">IFERROR(SOLID!O47,0)</f>
        <v>0</v>
      </c>
      <c r="L36" s="16">
        <f ca="1">IFERROR(SOLID!P47,0)</f>
        <v>0</v>
      </c>
      <c r="M36" s="16">
        <f ca="1">IFERROR(SOLID!Q47,0)</f>
        <v>0</v>
      </c>
      <c r="N36" s="16">
        <f ca="1">IFERROR(SOLID!R47,0)</f>
        <v>0</v>
      </c>
      <c r="O36" s="16">
        <f ca="1">IFERROR(SOLID!S47,0)</f>
        <v>0</v>
      </c>
      <c r="P36" s="16">
        <f ca="1">IFERROR(SOLID!T47,0)</f>
        <v>0</v>
      </c>
      <c r="Q36" s="16">
        <f ca="1">IFERROR(SOLID!U47,0)</f>
        <v>0</v>
      </c>
      <c r="R36" s="16">
        <f ca="1">IFERROR(SOLID!V47,0)</f>
        <v>0</v>
      </c>
      <c r="S36" s="16">
        <f ca="1">IFERROR(SOLID!W47,0)</f>
        <v>0</v>
      </c>
      <c r="T36" s="16">
        <f ca="1">IFERROR(SOLID!X47,0)</f>
        <v>0</v>
      </c>
      <c r="U36" s="16">
        <f ca="1">IFERROR(SOLID!Y47,0)</f>
        <v>0</v>
      </c>
      <c r="V36" s="16">
        <f ca="1">IFERROR(SOLID!Z47,0)</f>
        <v>0</v>
      </c>
      <c r="W36" s="16">
        <f ca="1">IFERROR(SOLID!AA47,0)</f>
        <v>0</v>
      </c>
      <c r="X36" s="16">
        <f ca="1">IFERROR(SOLID!AB47,0)</f>
        <v>0</v>
      </c>
      <c r="Y36" s="16">
        <f ca="1">IFERROR(SOLID!AC47,0)</f>
        <v>0</v>
      </c>
      <c r="Z36" s="16">
        <f ca="1">IFERROR(SOLID!AD47,0)</f>
        <v>0</v>
      </c>
      <c r="AA36" s="16">
        <f ca="1">IFERROR(SOLID!AE47,0)</f>
        <v>0</v>
      </c>
      <c r="AB36" s="16">
        <f ca="1">IFERROR(SOLID!AF47,0)</f>
        <v>0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 x14ac:dyDescent="0.4">
      <c r="A37" s="33">
        <f>IFERROR(SOLID!E48,0)</f>
        <v>0</v>
      </c>
      <c r="B37" s="16">
        <f ca="1">IFERROR(SOLID!F48,0)</f>
        <v>0</v>
      </c>
      <c r="C37" s="16">
        <f ca="1">IFERROR(SOLID!G48,0)</f>
        <v>0</v>
      </c>
      <c r="D37" s="16">
        <f ca="1">IFERROR(SOLID!H48,0)</f>
        <v>0</v>
      </c>
      <c r="E37" s="16">
        <f ca="1">IFERROR(SOLID!I48,0)</f>
        <v>0</v>
      </c>
      <c r="F37" s="16">
        <f ca="1">IFERROR(SOLID!J48,0)</f>
        <v>0</v>
      </c>
      <c r="G37" s="16">
        <f ca="1">IFERROR(SOLID!K48,0)</f>
        <v>0</v>
      </c>
      <c r="H37" s="16">
        <f ca="1">IFERROR(SOLID!L48,0)</f>
        <v>0</v>
      </c>
      <c r="I37" s="16">
        <f ca="1">IFERROR(SOLID!M48,0)</f>
        <v>0</v>
      </c>
      <c r="J37" s="16">
        <f ca="1">IFERROR(SOLID!N48,0)</f>
        <v>0</v>
      </c>
      <c r="K37" s="16">
        <f ca="1">IFERROR(SOLID!O48,0)</f>
        <v>0</v>
      </c>
      <c r="L37" s="16">
        <f ca="1">IFERROR(SOLID!P48,0)</f>
        <v>0</v>
      </c>
      <c r="M37" s="16">
        <f ca="1">IFERROR(SOLID!Q48,0)</f>
        <v>0</v>
      </c>
      <c r="N37" s="16">
        <f ca="1">IFERROR(SOLID!R48,0)</f>
        <v>0</v>
      </c>
      <c r="O37" s="16">
        <f ca="1">IFERROR(SOLID!S48,0)</f>
        <v>0</v>
      </c>
      <c r="P37" s="16">
        <f ca="1">IFERROR(SOLID!T48,0)</f>
        <v>0</v>
      </c>
      <c r="Q37" s="16">
        <f ca="1">IFERROR(SOLID!U48,0)</f>
        <v>0</v>
      </c>
      <c r="R37" s="16">
        <f ca="1">IFERROR(SOLID!V48,0)</f>
        <v>0</v>
      </c>
      <c r="S37" s="16">
        <f ca="1">IFERROR(SOLID!W48,0)</f>
        <v>0</v>
      </c>
      <c r="T37" s="16">
        <f ca="1">IFERROR(SOLID!X48,0)</f>
        <v>0</v>
      </c>
      <c r="U37" s="16">
        <f ca="1">IFERROR(SOLID!Y48,0)</f>
        <v>0</v>
      </c>
      <c r="V37" s="16">
        <f ca="1">IFERROR(SOLID!Z48,0)</f>
        <v>0</v>
      </c>
      <c r="W37" s="16">
        <f ca="1">IFERROR(SOLID!AA48,0)</f>
        <v>0</v>
      </c>
      <c r="X37" s="16">
        <f ca="1">IFERROR(SOLID!AB48,0)</f>
        <v>0</v>
      </c>
      <c r="Y37" s="16">
        <f ca="1">IFERROR(SOLID!AC48,0)</f>
        <v>0</v>
      </c>
      <c r="Z37" s="16">
        <f ca="1">IFERROR(SOLID!AD48,0)</f>
        <v>0</v>
      </c>
      <c r="AA37" s="16">
        <f ca="1">IFERROR(SOLID!AE48,0)</f>
        <v>0</v>
      </c>
      <c r="AB37" s="16">
        <f ca="1">IFERROR(SOLID!AF48,0)</f>
        <v>0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 x14ac:dyDescent="0.4">
      <c r="A38" s="33">
        <f>IFERROR(SOLID!E49,0)</f>
        <v>0</v>
      </c>
      <c r="B38" s="16">
        <f ca="1">IFERROR(SOLID!F49,0)</f>
        <v>0</v>
      </c>
      <c r="C38" s="16">
        <f ca="1">IFERROR(SOLID!G49,0)</f>
        <v>0</v>
      </c>
      <c r="D38" s="16">
        <f ca="1">IFERROR(SOLID!H49,0)</f>
        <v>0</v>
      </c>
      <c r="E38" s="16">
        <f ca="1">IFERROR(SOLID!I49,0)</f>
        <v>0</v>
      </c>
      <c r="F38" s="16">
        <f ca="1">IFERROR(SOLID!J49,0)</f>
        <v>0</v>
      </c>
      <c r="G38" s="16">
        <f ca="1">IFERROR(SOLID!K49,0)</f>
        <v>0</v>
      </c>
      <c r="H38" s="16">
        <f ca="1">IFERROR(SOLID!L49,0)</f>
        <v>0</v>
      </c>
      <c r="I38" s="16">
        <f ca="1">IFERROR(SOLID!M49,0)</f>
        <v>0</v>
      </c>
      <c r="J38" s="16">
        <f ca="1">IFERROR(SOLID!N49,0)</f>
        <v>0</v>
      </c>
      <c r="K38" s="16">
        <f ca="1">IFERROR(SOLID!O49,0)</f>
        <v>0</v>
      </c>
      <c r="L38" s="16">
        <f ca="1">IFERROR(SOLID!P49,0)</f>
        <v>0</v>
      </c>
      <c r="M38" s="16">
        <f ca="1">IFERROR(SOLID!Q49,0)</f>
        <v>0</v>
      </c>
      <c r="N38" s="16">
        <f ca="1">IFERROR(SOLID!R49,0)</f>
        <v>0</v>
      </c>
      <c r="O38" s="16">
        <f ca="1">IFERROR(SOLID!S49,0)</f>
        <v>0</v>
      </c>
      <c r="P38" s="16">
        <f ca="1">IFERROR(SOLID!T49,0)</f>
        <v>0</v>
      </c>
      <c r="Q38" s="16">
        <f ca="1">IFERROR(SOLID!U49,0)</f>
        <v>0</v>
      </c>
      <c r="R38" s="16">
        <f ca="1">IFERROR(SOLID!V49,0)</f>
        <v>0</v>
      </c>
      <c r="S38" s="16">
        <f ca="1">IFERROR(SOLID!W49,0)</f>
        <v>0</v>
      </c>
      <c r="T38" s="16">
        <f ca="1">IFERROR(SOLID!X49,0)</f>
        <v>0</v>
      </c>
      <c r="U38" s="16">
        <f ca="1">IFERROR(SOLID!Y49,0)</f>
        <v>0</v>
      </c>
      <c r="V38" s="16">
        <f ca="1">IFERROR(SOLID!Z49,0)</f>
        <v>0</v>
      </c>
      <c r="W38" s="16">
        <f ca="1">IFERROR(SOLID!AA49,0)</f>
        <v>0</v>
      </c>
      <c r="X38" s="16">
        <f ca="1">IFERROR(SOLID!AB49,0)</f>
        <v>0</v>
      </c>
      <c r="Y38" s="16">
        <f ca="1">IFERROR(SOLID!AC49,0)</f>
        <v>0</v>
      </c>
      <c r="Z38" s="16">
        <f ca="1">IFERROR(SOLID!AD49,0)</f>
        <v>0</v>
      </c>
      <c r="AA38" s="16">
        <f ca="1">IFERROR(SOLID!AE49,0)</f>
        <v>0</v>
      </c>
      <c r="AB38" s="16">
        <f ca="1">IFERROR(SOLID!AF49,0)</f>
        <v>0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 x14ac:dyDescent="0.4">
      <c r="A39" s="33">
        <f>IFERROR(SOLID!E50,0)</f>
        <v>0</v>
      </c>
      <c r="B39" s="16">
        <f ca="1">IFERROR(SOLID!F50,0)</f>
        <v>0</v>
      </c>
      <c r="C39" s="16">
        <f ca="1">IFERROR(SOLID!G50,0)</f>
        <v>0</v>
      </c>
      <c r="D39" s="16">
        <f ca="1">IFERROR(SOLID!H50,0)</f>
        <v>0</v>
      </c>
      <c r="E39" s="16">
        <f ca="1">IFERROR(SOLID!I50,0)</f>
        <v>0</v>
      </c>
      <c r="F39" s="16">
        <f ca="1">IFERROR(SOLID!J50,0)</f>
        <v>0</v>
      </c>
      <c r="G39" s="16">
        <f ca="1">IFERROR(SOLID!K50,0)</f>
        <v>0</v>
      </c>
      <c r="H39" s="16">
        <f ca="1">IFERROR(SOLID!L50,0)</f>
        <v>0</v>
      </c>
      <c r="I39" s="16">
        <f ca="1">IFERROR(SOLID!M50,0)</f>
        <v>0</v>
      </c>
      <c r="J39" s="16">
        <f ca="1">IFERROR(SOLID!N50,0)</f>
        <v>0</v>
      </c>
      <c r="K39" s="16">
        <f ca="1">IFERROR(SOLID!O50,0)</f>
        <v>0</v>
      </c>
      <c r="L39" s="16">
        <f ca="1">IFERROR(SOLID!P50,0)</f>
        <v>0</v>
      </c>
      <c r="M39" s="16">
        <f ca="1">IFERROR(SOLID!Q50,0)</f>
        <v>0</v>
      </c>
      <c r="N39" s="16">
        <f ca="1">IFERROR(SOLID!R50,0)</f>
        <v>0</v>
      </c>
      <c r="O39" s="16">
        <f ca="1">IFERROR(SOLID!S50,0)</f>
        <v>0</v>
      </c>
      <c r="P39" s="16">
        <f ca="1">IFERROR(SOLID!T50,0)</f>
        <v>0</v>
      </c>
      <c r="Q39" s="16">
        <f ca="1">IFERROR(SOLID!U50,0)</f>
        <v>0</v>
      </c>
      <c r="R39" s="16">
        <f ca="1">IFERROR(SOLID!V50,0)</f>
        <v>0</v>
      </c>
      <c r="S39" s="16">
        <f ca="1">IFERROR(SOLID!W50,0)</f>
        <v>0</v>
      </c>
      <c r="T39" s="16">
        <f ca="1">IFERROR(SOLID!X50,0)</f>
        <v>0</v>
      </c>
      <c r="U39" s="16">
        <f ca="1">IFERROR(SOLID!Y50,0)</f>
        <v>0</v>
      </c>
      <c r="V39" s="16">
        <f ca="1">IFERROR(SOLID!Z50,0)</f>
        <v>0</v>
      </c>
      <c r="W39" s="16">
        <f ca="1">IFERROR(SOLID!AA50,0)</f>
        <v>0</v>
      </c>
      <c r="X39" s="16">
        <f ca="1">IFERROR(SOLID!AB50,0)</f>
        <v>0</v>
      </c>
      <c r="Y39" s="16">
        <f ca="1">IFERROR(SOLID!AC50,0)</f>
        <v>0</v>
      </c>
      <c r="Z39" s="16">
        <f ca="1">IFERROR(SOLID!AD50,0)</f>
        <v>0</v>
      </c>
      <c r="AA39" s="16">
        <f ca="1">IFERROR(SOLID!AE50,0)</f>
        <v>0</v>
      </c>
      <c r="AB39" s="16">
        <f ca="1">IFERROR(SOLID!AF50,0)</f>
        <v>0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 x14ac:dyDescent="0.4">
      <c r="A40" s="33">
        <f>IFERROR(SOLID!E51,0)</f>
        <v>0</v>
      </c>
      <c r="B40" s="16">
        <f ca="1">IFERROR(SOLID!F51,0)</f>
        <v>0</v>
      </c>
      <c r="C40" s="16">
        <f ca="1">IFERROR(SOLID!G51,0)</f>
        <v>0</v>
      </c>
      <c r="D40" s="16">
        <f ca="1">IFERROR(SOLID!H51,0)</f>
        <v>0</v>
      </c>
      <c r="E40" s="16">
        <f ca="1">IFERROR(SOLID!I51,0)</f>
        <v>0</v>
      </c>
      <c r="F40" s="16">
        <f ca="1">IFERROR(SOLID!J51,0)</f>
        <v>0</v>
      </c>
      <c r="G40" s="16">
        <f ca="1">IFERROR(SOLID!K51,0)</f>
        <v>0</v>
      </c>
      <c r="H40" s="16">
        <f ca="1">IFERROR(SOLID!L51,0)</f>
        <v>0</v>
      </c>
      <c r="I40" s="16">
        <f ca="1">IFERROR(SOLID!M51,0)</f>
        <v>0</v>
      </c>
      <c r="J40" s="16">
        <f ca="1">IFERROR(SOLID!N51,0)</f>
        <v>0</v>
      </c>
      <c r="K40" s="16">
        <f ca="1">IFERROR(SOLID!O51,0)</f>
        <v>0</v>
      </c>
      <c r="L40" s="16">
        <f ca="1">IFERROR(SOLID!P51,0)</f>
        <v>0</v>
      </c>
      <c r="M40" s="16">
        <f ca="1">IFERROR(SOLID!Q51,0)</f>
        <v>0</v>
      </c>
      <c r="N40" s="16">
        <f ca="1">IFERROR(SOLID!R51,0)</f>
        <v>0</v>
      </c>
      <c r="O40" s="16">
        <f ca="1">IFERROR(SOLID!S51,0)</f>
        <v>0</v>
      </c>
      <c r="P40" s="16">
        <f ca="1">IFERROR(SOLID!T51,0)</f>
        <v>0</v>
      </c>
      <c r="Q40" s="16">
        <f ca="1">IFERROR(SOLID!U51,0)</f>
        <v>0</v>
      </c>
      <c r="R40" s="16">
        <f ca="1">IFERROR(SOLID!V51,0)</f>
        <v>0</v>
      </c>
      <c r="S40" s="16">
        <f ca="1">IFERROR(SOLID!W51,0)</f>
        <v>0</v>
      </c>
      <c r="T40" s="16">
        <f ca="1">IFERROR(SOLID!X51,0)</f>
        <v>0</v>
      </c>
      <c r="U40" s="16">
        <f ca="1">IFERROR(SOLID!Y51,0)</f>
        <v>0</v>
      </c>
      <c r="V40" s="16">
        <f ca="1">IFERROR(SOLID!Z51,0)</f>
        <v>0</v>
      </c>
      <c r="W40" s="16">
        <f ca="1">IFERROR(SOLID!AA51,0)</f>
        <v>0</v>
      </c>
      <c r="X40" s="16">
        <f ca="1">IFERROR(SOLID!AB51,0)</f>
        <v>0</v>
      </c>
      <c r="Y40" s="16">
        <f ca="1">IFERROR(SOLID!AC51,0)</f>
        <v>0</v>
      </c>
      <c r="Z40" s="16">
        <f ca="1">IFERROR(SOLID!AD51,0)</f>
        <v>0</v>
      </c>
      <c r="AA40" s="16">
        <f ca="1">IFERROR(SOLID!AE51,0)</f>
        <v>0</v>
      </c>
      <c r="AB40" s="16">
        <f ca="1">IFERROR(SOLID!AF51,0)</f>
        <v>0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 x14ac:dyDescent="0.4">
      <c r="A41" s="33">
        <f>IFERROR(SOLID!E52,0)</f>
        <v>0</v>
      </c>
      <c r="B41" s="16">
        <f ca="1">IFERROR(SOLID!F52,0)</f>
        <v>0</v>
      </c>
      <c r="C41" s="16">
        <f ca="1">IFERROR(SOLID!G52,0)</f>
        <v>0</v>
      </c>
      <c r="D41" s="16">
        <f ca="1">IFERROR(SOLID!H52,0)</f>
        <v>0</v>
      </c>
      <c r="E41" s="16">
        <f ca="1">IFERROR(SOLID!I52,0)</f>
        <v>0</v>
      </c>
      <c r="F41" s="16">
        <f ca="1">IFERROR(SOLID!J52,0)</f>
        <v>0</v>
      </c>
      <c r="G41" s="16">
        <f ca="1">IFERROR(SOLID!K52,0)</f>
        <v>0</v>
      </c>
      <c r="H41" s="16">
        <f ca="1">IFERROR(SOLID!L52,0)</f>
        <v>0</v>
      </c>
      <c r="I41" s="16">
        <f ca="1">IFERROR(SOLID!M52,0)</f>
        <v>0</v>
      </c>
      <c r="J41" s="16">
        <f ca="1">IFERROR(SOLID!N52,0)</f>
        <v>0</v>
      </c>
      <c r="K41" s="16">
        <f ca="1">IFERROR(SOLID!O52,0)</f>
        <v>0</v>
      </c>
      <c r="L41" s="16">
        <f ca="1">IFERROR(SOLID!P52,0)</f>
        <v>0</v>
      </c>
      <c r="M41" s="16">
        <f ca="1">IFERROR(SOLID!Q52,0)</f>
        <v>0</v>
      </c>
      <c r="N41" s="16">
        <f ca="1">IFERROR(SOLID!R52,0)</f>
        <v>0</v>
      </c>
      <c r="O41" s="16">
        <f ca="1">IFERROR(SOLID!S52,0)</f>
        <v>0</v>
      </c>
      <c r="P41" s="16">
        <f ca="1">IFERROR(SOLID!T52,0)</f>
        <v>0</v>
      </c>
      <c r="Q41" s="16">
        <f ca="1">IFERROR(SOLID!U52,0)</f>
        <v>0</v>
      </c>
      <c r="R41" s="16">
        <f ca="1">IFERROR(SOLID!V52,0)</f>
        <v>0</v>
      </c>
      <c r="S41" s="16">
        <f ca="1">IFERROR(SOLID!W52,0)</f>
        <v>0</v>
      </c>
      <c r="T41" s="16">
        <f ca="1">IFERROR(SOLID!X52,0)</f>
        <v>0</v>
      </c>
      <c r="U41" s="16">
        <f ca="1">IFERROR(SOLID!Y52,0)</f>
        <v>0</v>
      </c>
      <c r="V41" s="16">
        <f ca="1">IFERROR(SOLID!Z52,0)</f>
        <v>0</v>
      </c>
      <c r="W41" s="16">
        <f ca="1">IFERROR(SOLID!AA52,0)</f>
        <v>0</v>
      </c>
      <c r="X41" s="16">
        <f ca="1">IFERROR(SOLID!AB52,0)</f>
        <v>0</v>
      </c>
      <c r="Y41" s="16">
        <f ca="1">IFERROR(SOLID!AC52,0)</f>
        <v>0</v>
      </c>
      <c r="Z41" s="16">
        <f ca="1">IFERROR(SOLID!AD52,0)</f>
        <v>0</v>
      </c>
      <c r="AA41" s="16">
        <f ca="1">IFERROR(SOLID!AE52,0)</f>
        <v>0</v>
      </c>
      <c r="AB41" s="16">
        <f ca="1">IFERROR(SOLID!AF52,0)</f>
        <v>0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 x14ac:dyDescent="0.4">
      <c r="A42" s="33">
        <f>IFERROR(SOLID!E53,0)</f>
        <v>0</v>
      </c>
      <c r="B42" s="16">
        <f ca="1">IFERROR(SOLID!F53,0)</f>
        <v>0</v>
      </c>
      <c r="C42" s="16">
        <f ca="1">IFERROR(SOLID!G53,0)</f>
        <v>0</v>
      </c>
      <c r="D42" s="16">
        <f ca="1">IFERROR(SOLID!H53,0)</f>
        <v>0</v>
      </c>
      <c r="E42" s="16">
        <f ca="1">IFERROR(SOLID!I53,0)</f>
        <v>0</v>
      </c>
      <c r="F42" s="16">
        <f ca="1">IFERROR(SOLID!J53,0)</f>
        <v>0</v>
      </c>
      <c r="G42" s="16">
        <f ca="1">IFERROR(SOLID!K53,0)</f>
        <v>0</v>
      </c>
      <c r="H42" s="16">
        <f ca="1">IFERROR(SOLID!L53,0)</f>
        <v>0</v>
      </c>
      <c r="I42" s="16">
        <f ca="1">IFERROR(SOLID!M53,0)</f>
        <v>0</v>
      </c>
      <c r="J42" s="16">
        <f ca="1">IFERROR(SOLID!N53,0)</f>
        <v>0</v>
      </c>
      <c r="K42" s="16">
        <f ca="1">IFERROR(SOLID!O53,0)</f>
        <v>0</v>
      </c>
      <c r="L42" s="16">
        <f ca="1">IFERROR(SOLID!P53,0)</f>
        <v>0</v>
      </c>
      <c r="M42" s="16">
        <f ca="1">IFERROR(SOLID!Q53,0)</f>
        <v>0</v>
      </c>
      <c r="N42" s="16">
        <f ca="1">IFERROR(SOLID!R53,0)</f>
        <v>0</v>
      </c>
      <c r="O42" s="16">
        <f ca="1">IFERROR(SOLID!S53,0)</f>
        <v>0</v>
      </c>
      <c r="P42" s="16">
        <f ca="1">IFERROR(SOLID!T53,0)</f>
        <v>0</v>
      </c>
      <c r="Q42" s="16">
        <f ca="1">IFERROR(SOLID!U53,0)</f>
        <v>0</v>
      </c>
      <c r="R42" s="16">
        <f ca="1">IFERROR(SOLID!V53,0)</f>
        <v>0</v>
      </c>
      <c r="S42" s="16">
        <f ca="1">IFERROR(SOLID!W53,0)</f>
        <v>0</v>
      </c>
      <c r="T42" s="16">
        <f ca="1">IFERROR(SOLID!X53,0)</f>
        <v>0</v>
      </c>
      <c r="U42" s="16">
        <f ca="1">IFERROR(SOLID!Y53,0)</f>
        <v>0</v>
      </c>
      <c r="V42" s="16">
        <f ca="1">IFERROR(SOLID!Z53,0)</f>
        <v>0</v>
      </c>
      <c r="W42" s="16">
        <f ca="1">IFERROR(SOLID!AA53,0)</f>
        <v>0</v>
      </c>
      <c r="X42" s="16">
        <f ca="1">IFERROR(SOLID!AB53,0)</f>
        <v>0</v>
      </c>
      <c r="Y42" s="16">
        <f ca="1">IFERROR(SOLID!AC53,0)</f>
        <v>0</v>
      </c>
      <c r="Z42" s="16">
        <f ca="1">IFERROR(SOLID!AD53,0)</f>
        <v>0</v>
      </c>
      <c r="AA42" s="16">
        <f ca="1">IFERROR(SOLID!AE53,0)</f>
        <v>0</v>
      </c>
      <c r="AB42" s="16">
        <f ca="1">IFERROR(SOLID!AF53,0)</f>
        <v>0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 x14ac:dyDescent="0.4">
      <c r="A43" s="33">
        <f>IFERROR(SOLID!E54,0)</f>
        <v>0</v>
      </c>
      <c r="B43" s="16">
        <f ca="1">IFERROR(SOLID!F54,0)</f>
        <v>0</v>
      </c>
      <c r="C43" s="16">
        <f ca="1">IFERROR(SOLID!G54,0)</f>
        <v>0</v>
      </c>
      <c r="D43" s="16">
        <f ca="1">IFERROR(SOLID!H54,0)</f>
        <v>0</v>
      </c>
      <c r="E43" s="16">
        <f ca="1">IFERROR(SOLID!I54,0)</f>
        <v>0</v>
      </c>
      <c r="F43" s="16">
        <f ca="1">IFERROR(SOLID!J54,0)</f>
        <v>0</v>
      </c>
      <c r="G43" s="16">
        <f ca="1">IFERROR(SOLID!K54,0)</f>
        <v>0</v>
      </c>
      <c r="H43" s="16">
        <f ca="1">IFERROR(SOLID!L54,0)</f>
        <v>0</v>
      </c>
      <c r="I43" s="16">
        <f ca="1">IFERROR(SOLID!M54,0)</f>
        <v>0</v>
      </c>
      <c r="J43" s="16">
        <f ca="1">IFERROR(SOLID!N54,0)</f>
        <v>0</v>
      </c>
      <c r="K43" s="16">
        <f ca="1">IFERROR(SOLID!O54,0)</f>
        <v>0</v>
      </c>
      <c r="L43" s="16">
        <f ca="1">IFERROR(SOLID!P54,0)</f>
        <v>0</v>
      </c>
      <c r="M43" s="16">
        <f ca="1">IFERROR(SOLID!Q54,0)</f>
        <v>0</v>
      </c>
      <c r="N43" s="16">
        <f ca="1">IFERROR(SOLID!R54,0)</f>
        <v>0</v>
      </c>
      <c r="O43" s="16">
        <f ca="1">IFERROR(SOLID!S54,0)</f>
        <v>0</v>
      </c>
      <c r="P43" s="16">
        <f ca="1">IFERROR(SOLID!T54,0)</f>
        <v>0</v>
      </c>
      <c r="Q43" s="16">
        <f ca="1">IFERROR(SOLID!U54,0)</f>
        <v>0</v>
      </c>
      <c r="R43" s="16">
        <f ca="1">IFERROR(SOLID!V54,0)</f>
        <v>0</v>
      </c>
      <c r="S43" s="16">
        <f ca="1">IFERROR(SOLID!W54,0)</f>
        <v>0</v>
      </c>
      <c r="T43" s="16">
        <f ca="1">IFERROR(SOLID!X54,0)</f>
        <v>0</v>
      </c>
      <c r="U43" s="16">
        <f ca="1">IFERROR(SOLID!Y54,0)</f>
        <v>0</v>
      </c>
      <c r="V43" s="16">
        <f ca="1">IFERROR(SOLID!Z54,0)</f>
        <v>0</v>
      </c>
      <c r="W43" s="16">
        <f ca="1">IFERROR(SOLID!AA54,0)</f>
        <v>0</v>
      </c>
      <c r="X43" s="16">
        <f ca="1">IFERROR(SOLID!AB54,0)</f>
        <v>0</v>
      </c>
      <c r="Y43" s="16">
        <f ca="1">IFERROR(SOLID!AC54,0)</f>
        <v>0</v>
      </c>
      <c r="Z43" s="16">
        <f ca="1">IFERROR(SOLID!AD54,0)</f>
        <v>0</v>
      </c>
      <c r="AA43" s="16">
        <f ca="1">IFERROR(SOLID!AE54,0)</f>
        <v>0</v>
      </c>
      <c r="AB43" s="16">
        <f ca="1">IFERROR(SOLID!AF54,0)</f>
        <v>0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 x14ac:dyDescent="0.4">
      <c r="A44" s="33">
        <f>IFERROR(SOLID!E55,0)</f>
        <v>0</v>
      </c>
      <c r="B44" s="16">
        <f ca="1">IFERROR(SOLID!F55,0)</f>
        <v>0</v>
      </c>
      <c r="C44" s="16">
        <f ca="1">IFERROR(SOLID!G55,0)</f>
        <v>0</v>
      </c>
      <c r="D44" s="16">
        <f ca="1">IFERROR(SOLID!H55,0)</f>
        <v>0</v>
      </c>
      <c r="E44" s="16">
        <f ca="1">IFERROR(SOLID!I55,0)</f>
        <v>0</v>
      </c>
      <c r="F44" s="16">
        <f ca="1">IFERROR(SOLID!J55,0)</f>
        <v>0</v>
      </c>
      <c r="G44" s="16">
        <f ca="1">IFERROR(SOLID!K55,0)</f>
        <v>0</v>
      </c>
      <c r="H44" s="16">
        <f ca="1">IFERROR(SOLID!L55,0)</f>
        <v>0</v>
      </c>
      <c r="I44" s="16">
        <f ca="1">IFERROR(SOLID!M55,0)</f>
        <v>0</v>
      </c>
      <c r="J44" s="16">
        <f ca="1">IFERROR(SOLID!N55,0)</f>
        <v>0</v>
      </c>
      <c r="K44" s="16">
        <f ca="1">IFERROR(SOLID!O55,0)</f>
        <v>0</v>
      </c>
      <c r="L44" s="16">
        <f ca="1">IFERROR(SOLID!P55,0)</f>
        <v>0</v>
      </c>
      <c r="M44" s="16">
        <f ca="1">IFERROR(SOLID!Q55,0)</f>
        <v>0</v>
      </c>
      <c r="N44" s="16">
        <f ca="1">IFERROR(SOLID!R55,0)</f>
        <v>0</v>
      </c>
      <c r="O44" s="16">
        <f ca="1">IFERROR(SOLID!S55,0)</f>
        <v>0</v>
      </c>
      <c r="P44" s="16">
        <f ca="1">IFERROR(SOLID!T55,0)</f>
        <v>0</v>
      </c>
      <c r="Q44" s="16">
        <f ca="1">IFERROR(SOLID!U55,0)</f>
        <v>0</v>
      </c>
      <c r="R44" s="16">
        <f ca="1">IFERROR(SOLID!V55,0)</f>
        <v>0</v>
      </c>
      <c r="S44" s="16">
        <f ca="1">IFERROR(SOLID!W55,0)</f>
        <v>0</v>
      </c>
      <c r="T44" s="16">
        <f ca="1">IFERROR(SOLID!X55,0)</f>
        <v>0</v>
      </c>
      <c r="U44" s="16">
        <f ca="1">IFERROR(SOLID!Y55,0)</f>
        <v>0</v>
      </c>
      <c r="V44" s="16">
        <f ca="1">IFERROR(SOLID!Z55,0)</f>
        <v>0</v>
      </c>
      <c r="W44" s="16">
        <f ca="1">IFERROR(SOLID!AA55,0)</f>
        <v>0</v>
      </c>
      <c r="X44" s="16">
        <f ca="1">IFERROR(SOLID!AB55,0)</f>
        <v>0</v>
      </c>
      <c r="Y44" s="16">
        <f ca="1">IFERROR(SOLID!AC55,0)</f>
        <v>0</v>
      </c>
      <c r="Z44" s="16">
        <f ca="1">IFERROR(SOLID!AD55,0)</f>
        <v>0</v>
      </c>
      <c r="AA44" s="16">
        <f ca="1">IFERROR(SOLID!AE55,0)</f>
        <v>0</v>
      </c>
      <c r="AB44" s="16">
        <f ca="1">IFERROR(SOLID!AF55,0)</f>
        <v>0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 x14ac:dyDescent="0.4">
      <c r="A45" s="33">
        <f>IFERROR(SOLID!E56,0)</f>
        <v>0</v>
      </c>
      <c r="B45" s="16">
        <f ca="1">IFERROR(SOLID!F56,0)</f>
        <v>0</v>
      </c>
      <c r="C45" s="16">
        <f ca="1">IFERROR(SOLID!G56,0)</f>
        <v>0</v>
      </c>
      <c r="D45" s="16">
        <f ca="1">IFERROR(SOLID!H56,0)</f>
        <v>0</v>
      </c>
      <c r="E45" s="16">
        <f ca="1">IFERROR(SOLID!I56,0)</f>
        <v>0</v>
      </c>
      <c r="F45" s="16">
        <f ca="1">IFERROR(SOLID!J56,0)</f>
        <v>0</v>
      </c>
      <c r="G45" s="16">
        <f ca="1">IFERROR(SOLID!K56,0)</f>
        <v>0</v>
      </c>
      <c r="H45" s="16">
        <f ca="1">IFERROR(SOLID!L56,0)</f>
        <v>0</v>
      </c>
      <c r="I45" s="16">
        <f ca="1">IFERROR(SOLID!M56,0)</f>
        <v>0</v>
      </c>
      <c r="J45" s="16">
        <f ca="1">IFERROR(SOLID!N56,0)</f>
        <v>0</v>
      </c>
      <c r="K45" s="16">
        <f ca="1">IFERROR(SOLID!O56,0)</f>
        <v>0</v>
      </c>
      <c r="L45" s="16">
        <f ca="1">IFERROR(SOLID!P56,0)</f>
        <v>0</v>
      </c>
      <c r="M45" s="16">
        <f ca="1">IFERROR(SOLID!Q56,0)</f>
        <v>0</v>
      </c>
      <c r="N45" s="16">
        <f ca="1">IFERROR(SOLID!R56,0)</f>
        <v>0</v>
      </c>
      <c r="O45" s="16">
        <f ca="1">IFERROR(SOLID!S56,0)</f>
        <v>0</v>
      </c>
      <c r="P45" s="16">
        <f ca="1">IFERROR(SOLID!T56,0)</f>
        <v>0</v>
      </c>
      <c r="Q45" s="16">
        <f ca="1">IFERROR(SOLID!U56,0)</f>
        <v>0</v>
      </c>
      <c r="R45" s="16">
        <f ca="1">IFERROR(SOLID!V56,0)</f>
        <v>0</v>
      </c>
      <c r="S45" s="16">
        <f ca="1">IFERROR(SOLID!W56,0)</f>
        <v>0</v>
      </c>
      <c r="T45" s="16">
        <f ca="1">IFERROR(SOLID!X56,0)</f>
        <v>0</v>
      </c>
      <c r="U45" s="16">
        <f ca="1">IFERROR(SOLID!Y56,0)</f>
        <v>0</v>
      </c>
      <c r="V45" s="16">
        <f ca="1">IFERROR(SOLID!Z56,0)</f>
        <v>0</v>
      </c>
      <c r="W45" s="16">
        <f ca="1">IFERROR(SOLID!AA56,0)</f>
        <v>0</v>
      </c>
      <c r="X45" s="16">
        <f ca="1">IFERROR(SOLID!AB56,0)</f>
        <v>0</v>
      </c>
      <c r="Y45" s="16">
        <f ca="1">IFERROR(SOLID!AC56,0)</f>
        <v>0</v>
      </c>
      <c r="Z45" s="16">
        <f ca="1">IFERROR(SOLID!AD56,0)</f>
        <v>0</v>
      </c>
      <c r="AA45" s="16">
        <f ca="1">IFERROR(SOLID!AE56,0)</f>
        <v>0</v>
      </c>
      <c r="AB45" s="16">
        <f ca="1">IFERROR(SOLID!AF56,0)</f>
        <v>0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 x14ac:dyDescent="0.4">
      <c r="A46" s="33">
        <f>IFERROR(SOLID!E57,0)</f>
        <v>0</v>
      </c>
      <c r="B46" s="16">
        <f ca="1">IFERROR(SOLID!F57,0)</f>
        <v>0</v>
      </c>
      <c r="C46" s="16">
        <f ca="1">IFERROR(SOLID!G57,0)</f>
        <v>0</v>
      </c>
      <c r="D46" s="16">
        <f ca="1">IFERROR(SOLID!H57,0)</f>
        <v>0</v>
      </c>
      <c r="E46" s="16">
        <f ca="1">IFERROR(SOLID!I57,0)</f>
        <v>0</v>
      </c>
      <c r="F46" s="16">
        <f ca="1">IFERROR(SOLID!J57,0)</f>
        <v>0</v>
      </c>
      <c r="G46" s="16">
        <f ca="1">IFERROR(SOLID!K57,0)</f>
        <v>0</v>
      </c>
      <c r="H46" s="16">
        <f ca="1">IFERROR(SOLID!L57,0)</f>
        <v>0</v>
      </c>
      <c r="I46" s="16">
        <f ca="1">IFERROR(SOLID!M57,0)</f>
        <v>0</v>
      </c>
      <c r="J46" s="16">
        <f ca="1">IFERROR(SOLID!N57,0)</f>
        <v>0</v>
      </c>
      <c r="K46" s="16">
        <f ca="1">IFERROR(SOLID!O57,0)</f>
        <v>0</v>
      </c>
      <c r="L46" s="16">
        <f ca="1">IFERROR(SOLID!P57,0)</f>
        <v>0</v>
      </c>
      <c r="M46" s="16">
        <f ca="1">IFERROR(SOLID!Q57,0)</f>
        <v>0</v>
      </c>
      <c r="N46" s="16">
        <f ca="1">IFERROR(SOLID!R57,0)</f>
        <v>0</v>
      </c>
      <c r="O46" s="16">
        <f ca="1">IFERROR(SOLID!S57,0)</f>
        <v>0</v>
      </c>
      <c r="P46" s="16">
        <f ca="1">IFERROR(SOLID!T57,0)</f>
        <v>0</v>
      </c>
      <c r="Q46" s="16">
        <f ca="1">IFERROR(SOLID!U57,0)</f>
        <v>0</v>
      </c>
      <c r="R46" s="16">
        <f ca="1">IFERROR(SOLID!V57,0)</f>
        <v>0</v>
      </c>
      <c r="S46" s="16">
        <f ca="1">IFERROR(SOLID!W57,0)</f>
        <v>0</v>
      </c>
      <c r="T46" s="16">
        <f ca="1">IFERROR(SOLID!X57,0)</f>
        <v>0</v>
      </c>
      <c r="U46" s="16">
        <f ca="1">IFERROR(SOLID!Y57,0)</f>
        <v>0</v>
      </c>
      <c r="V46" s="16">
        <f ca="1">IFERROR(SOLID!Z57,0)</f>
        <v>0</v>
      </c>
      <c r="W46" s="16">
        <f ca="1">IFERROR(SOLID!AA57,0)</f>
        <v>0</v>
      </c>
      <c r="X46" s="16">
        <f ca="1">IFERROR(SOLID!AB57,0)</f>
        <v>0</v>
      </c>
      <c r="Y46" s="16">
        <f ca="1">IFERROR(SOLID!AC57,0)</f>
        <v>0</v>
      </c>
      <c r="Z46" s="16">
        <f ca="1">IFERROR(SOLID!AD57,0)</f>
        <v>0</v>
      </c>
      <c r="AA46" s="16">
        <f ca="1">IFERROR(SOLID!AE57,0)</f>
        <v>0</v>
      </c>
      <c r="AB46" s="16">
        <f ca="1">IFERROR(SOLID!AF57,0)</f>
        <v>0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 x14ac:dyDescent="0.4">
      <c r="A47" s="33">
        <f>IFERROR(SOLID!E58,0)</f>
        <v>0</v>
      </c>
      <c r="B47" s="16">
        <f ca="1">IFERROR(SOLID!F58,0)</f>
        <v>0</v>
      </c>
      <c r="C47" s="16">
        <f ca="1">IFERROR(SOLID!G58,0)</f>
        <v>0</v>
      </c>
      <c r="D47" s="16">
        <f ca="1">IFERROR(SOLID!H58,0)</f>
        <v>0</v>
      </c>
      <c r="E47" s="16">
        <f ca="1">IFERROR(SOLID!I58,0)</f>
        <v>0</v>
      </c>
      <c r="F47" s="16">
        <f ca="1">IFERROR(SOLID!J58,0)</f>
        <v>0</v>
      </c>
      <c r="G47" s="16">
        <f ca="1">IFERROR(SOLID!K58,0)</f>
        <v>0</v>
      </c>
      <c r="H47" s="16">
        <f ca="1">IFERROR(SOLID!L58,0)</f>
        <v>0</v>
      </c>
      <c r="I47" s="16">
        <f ca="1">IFERROR(SOLID!M58,0)</f>
        <v>0</v>
      </c>
      <c r="J47" s="16">
        <f ca="1">IFERROR(SOLID!N58,0)</f>
        <v>0</v>
      </c>
      <c r="K47" s="16">
        <f ca="1">IFERROR(SOLID!O58,0)</f>
        <v>0</v>
      </c>
      <c r="L47" s="16">
        <f ca="1">IFERROR(SOLID!P58,0)</f>
        <v>0</v>
      </c>
      <c r="M47" s="16">
        <f ca="1">IFERROR(SOLID!Q58,0)</f>
        <v>0</v>
      </c>
      <c r="N47" s="16">
        <f ca="1">IFERROR(SOLID!R58,0)</f>
        <v>0</v>
      </c>
      <c r="O47" s="16">
        <f ca="1">IFERROR(SOLID!S58,0)</f>
        <v>0</v>
      </c>
      <c r="P47" s="16">
        <f ca="1">IFERROR(SOLID!T58,0)</f>
        <v>0</v>
      </c>
      <c r="Q47" s="16">
        <f ca="1">IFERROR(SOLID!U58,0)</f>
        <v>0</v>
      </c>
      <c r="R47" s="16">
        <f ca="1">IFERROR(SOLID!V58,0)</f>
        <v>0</v>
      </c>
      <c r="S47" s="16">
        <f ca="1">IFERROR(SOLID!W58,0)</f>
        <v>0</v>
      </c>
      <c r="T47" s="16">
        <f ca="1">IFERROR(SOLID!X58,0)</f>
        <v>0</v>
      </c>
      <c r="U47" s="16">
        <f ca="1">IFERROR(SOLID!Y58,0)</f>
        <v>0</v>
      </c>
      <c r="V47" s="16">
        <f ca="1">IFERROR(SOLID!Z58,0)</f>
        <v>0</v>
      </c>
      <c r="W47" s="16">
        <f ca="1">IFERROR(SOLID!AA58,0)</f>
        <v>0</v>
      </c>
      <c r="X47" s="16">
        <f ca="1">IFERROR(SOLID!AB58,0)</f>
        <v>0</v>
      </c>
      <c r="Y47" s="16">
        <f ca="1">IFERROR(SOLID!AC58,0)</f>
        <v>0</v>
      </c>
      <c r="Z47" s="16">
        <f ca="1">IFERROR(SOLID!AD58,0)</f>
        <v>0</v>
      </c>
      <c r="AA47" s="16">
        <f ca="1">IFERROR(SOLID!AE58,0)</f>
        <v>0</v>
      </c>
      <c r="AB47" s="16">
        <f ca="1">IFERROR(SOLID!AF58,0)</f>
        <v>0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 x14ac:dyDescent="0.4">
      <c r="A48" s="33">
        <f>IFERROR(SOLID!E59,0)</f>
        <v>0</v>
      </c>
      <c r="B48" s="16">
        <f ca="1">IFERROR(SOLID!F59,0)</f>
        <v>0</v>
      </c>
      <c r="C48" s="16">
        <f ca="1">IFERROR(SOLID!G59,0)</f>
        <v>0</v>
      </c>
      <c r="D48" s="16">
        <f ca="1">IFERROR(SOLID!H59,0)</f>
        <v>0</v>
      </c>
      <c r="E48" s="16">
        <f ca="1">IFERROR(SOLID!I59,0)</f>
        <v>0</v>
      </c>
      <c r="F48" s="16">
        <f ca="1">IFERROR(SOLID!J59,0)</f>
        <v>0</v>
      </c>
      <c r="G48" s="16">
        <f ca="1">IFERROR(SOLID!K59,0)</f>
        <v>0</v>
      </c>
      <c r="H48" s="16">
        <f ca="1">IFERROR(SOLID!L59,0)</f>
        <v>0</v>
      </c>
      <c r="I48" s="16">
        <f ca="1">IFERROR(SOLID!M59,0)</f>
        <v>0</v>
      </c>
      <c r="J48" s="16">
        <f ca="1">IFERROR(SOLID!N59,0)</f>
        <v>0</v>
      </c>
      <c r="K48" s="16">
        <f ca="1">IFERROR(SOLID!O59,0)</f>
        <v>0</v>
      </c>
      <c r="L48" s="16">
        <f ca="1">IFERROR(SOLID!P59,0)</f>
        <v>0</v>
      </c>
      <c r="M48" s="16">
        <f ca="1">IFERROR(SOLID!Q59,0)</f>
        <v>0</v>
      </c>
      <c r="N48" s="16">
        <f ca="1">IFERROR(SOLID!R59,0)</f>
        <v>0</v>
      </c>
      <c r="O48" s="16">
        <f ca="1">IFERROR(SOLID!S59,0)</f>
        <v>0</v>
      </c>
      <c r="P48" s="16">
        <f ca="1">IFERROR(SOLID!T59,0)</f>
        <v>0</v>
      </c>
      <c r="Q48" s="16">
        <f ca="1">IFERROR(SOLID!U59,0)</f>
        <v>0</v>
      </c>
      <c r="R48" s="16">
        <f ca="1">IFERROR(SOLID!V59,0)</f>
        <v>0</v>
      </c>
      <c r="S48" s="16">
        <f ca="1">IFERROR(SOLID!W59,0)</f>
        <v>0</v>
      </c>
      <c r="T48" s="16">
        <f ca="1">IFERROR(SOLID!X59,0)</f>
        <v>0</v>
      </c>
      <c r="U48" s="16">
        <f ca="1">IFERROR(SOLID!Y59,0)</f>
        <v>0</v>
      </c>
      <c r="V48" s="16">
        <f ca="1">IFERROR(SOLID!Z59,0)</f>
        <v>0</v>
      </c>
      <c r="W48" s="16">
        <f ca="1">IFERROR(SOLID!AA59,0)</f>
        <v>0</v>
      </c>
      <c r="X48" s="16">
        <f ca="1">IFERROR(SOLID!AB59,0)</f>
        <v>0</v>
      </c>
      <c r="Y48" s="16">
        <f ca="1">IFERROR(SOLID!AC59,0)</f>
        <v>0</v>
      </c>
      <c r="Z48" s="16">
        <f ca="1">IFERROR(SOLID!AD59,0)</f>
        <v>0</v>
      </c>
      <c r="AA48" s="16">
        <f ca="1">IFERROR(SOLID!AE59,0)</f>
        <v>0</v>
      </c>
      <c r="AB48" s="16">
        <f ca="1">IFERROR(SOLID!AF59,0)</f>
        <v>0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 x14ac:dyDescent="0.4">
      <c r="A49" s="33">
        <f>IFERROR(SOLID!E60,0)</f>
        <v>0</v>
      </c>
      <c r="B49" s="16">
        <f ca="1">IFERROR(SOLID!F60,0)</f>
        <v>0</v>
      </c>
      <c r="C49" s="16">
        <f ca="1">IFERROR(SOLID!G60,0)</f>
        <v>0</v>
      </c>
      <c r="D49" s="16">
        <f ca="1">IFERROR(SOLID!H60,0)</f>
        <v>0</v>
      </c>
      <c r="E49" s="16">
        <f ca="1">IFERROR(SOLID!I60,0)</f>
        <v>0</v>
      </c>
      <c r="F49" s="16">
        <f ca="1">IFERROR(SOLID!J60,0)</f>
        <v>0</v>
      </c>
      <c r="G49" s="16">
        <f ca="1">IFERROR(SOLID!K60,0)</f>
        <v>0</v>
      </c>
      <c r="H49" s="16">
        <f ca="1">IFERROR(SOLID!L60,0)</f>
        <v>0</v>
      </c>
      <c r="I49" s="16">
        <f ca="1">IFERROR(SOLID!M60,0)</f>
        <v>0</v>
      </c>
      <c r="J49" s="16">
        <f ca="1">IFERROR(SOLID!N60,0)</f>
        <v>0</v>
      </c>
      <c r="K49" s="16">
        <f ca="1">IFERROR(SOLID!O60,0)</f>
        <v>0</v>
      </c>
      <c r="L49" s="16">
        <f ca="1">IFERROR(SOLID!P60,0)</f>
        <v>0</v>
      </c>
      <c r="M49" s="16">
        <f ca="1">IFERROR(SOLID!Q60,0)</f>
        <v>0</v>
      </c>
      <c r="N49" s="16">
        <f ca="1">IFERROR(SOLID!R60,0)</f>
        <v>0</v>
      </c>
      <c r="O49" s="16">
        <f ca="1">IFERROR(SOLID!S60,0)</f>
        <v>0</v>
      </c>
      <c r="P49" s="16">
        <f ca="1">IFERROR(SOLID!T60,0)</f>
        <v>0</v>
      </c>
      <c r="Q49" s="16">
        <f ca="1">IFERROR(SOLID!U60,0)</f>
        <v>0</v>
      </c>
      <c r="R49" s="16">
        <f ca="1">IFERROR(SOLID!V60,0)</f>
        <v>0</v>
      </c>
      <c r="S49" s="16">
        <f ca="1">IFERROR(SOLID!W60,0)</f>
        <v>0</v>
      </c>
      <c r="T49" s="16">
        <f ca="1">IFERROR(SOLID!X60,0)</f>
        <v>0</v>
      </c>
      <c r="U49" s="16">
        <f ca="1">IFERROR(SOLID!Y60,0)</f>
        <v>0</v>
      </c>
      <c r="V49" s="16">
        <f ca="1">IFERROR(SOLID!Z60,0)</f>
        <v>0</v>
      </c>
      <c r="W49" s="16">
        <f ca="1">IFERROR(SOLID!AA60,0)</f>
        <v>0</v>
      </c>
      <c r="X49" s="16">
        <f ca="1">IFERROR(SOLID!AB60,0)</f>
        <v>0</v>
      </c>
      <c r="Y49" s="16">
        <f ca="1">IFERROR(SOLID!AC60,0)</f>
        <v>0</v>
      </c>
      <c r="Z49" s="16">
        <f ca="1">IFERROR(SOLID!AD60,0)</f>
        <v>0</v>
      </c>
      <c r="AA49" s="16">
        <f ca="1">IFERROR(SOLID!AE60,0)</f>
        <v>0</v>
      </c>
      <c r="AB49" s="16">
        <f ca="1">IFERROR(SOLID!AF60,0)</f>
        <v>0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 x14ac:dyDescent="0.4">
      <c r="A50" s="33">
        <f>IFERROR(SOLID!E61,0)</f>
        <v>0</v>
      </c>
      <c r="B50" s="16">
        <f ca="1">IFERROR(SOLID!F61,0)</f>
        <v>0</v>
      </c>
      <c r="C50" s="16">
        <f ca="1">IFERROR(SOLID!G61,0)</f>
        <v>0</v>
      </c>
      <c r="D50" s="16">
        <f ca="1">IFERROR(SOLID!H61,0)</f>
        <v>0</v>
      </c>
      <c r="E50" s="16">
        <f ca="1">IFERROR(SOLID!I61,0)</f>
        <v>0</v>
      </c>
      <c r="F50" s="16">
        <f ca="1">IFERROR(SOLID!J61,0)</f>
        <v>0</v>
      </c>
      <c r="G50" s="16">
        <f ca="1">IFERROR(SOLID!K61,0)</f>
        <v>0</v>
      </c>
      <c r="H50" s="16">
        <f ca="1">IFERROR(SOLID!L61,0)</f>
        <v>0</v>
      </c>
      <c r="I50" s="16">
        <f ca="1">IFERROR(SOLID!M61,0)</f>
        <v>0</v>
      </c>
      <c r="J50" s="16">
        <f ca="1">IFERROR(SOLID!N61,0)</f>
        <v>0</v>
      </c>
      <c r="K50" s="16">
        <f ca="1">IFERROR(SOLID!O61,0)</f>
        <v>0</v>
      </c>
      <c r="L50" s="16">
        <f ca="1">IFERROR(SOLID!P61,0)</f>
        <v>0</v>
      </c>
      <c r="M50" s="16">
        <f ca="1">IFERROR(SOLID!Q61,0)</f>
        <v>0</v>
      </c>
      <c r="N50" s="16">
        <f ca="1">IFERROR(SOLID!R61,0)</f>
        <v>0</v>
      </c>
      <c r="O50" s="16">
        <f ca="1">IFERROR(SOLID!S61,0)</f>
        <v>0</v>
      </c>
      <c r="P50" s="16">
        <f ca="1">IFERROR(SOLID!T61,0)</f>
        <v>0</v>
      </c>
      <c r="Q50" s="16">
        <f ca="1">IFERROR(SOLID!U61,0)</f>
        <v>0</v>
      </c>
      <c r="R50" s="16">
        <f ca="1">IFERROR(SOLID!V61,0)</f>
        <v>0</v>
      </c>
      <c r="S50" s="16">
        <f ca="1">IFERROR(SOLID!W61,0)</f>
        <v>0</v>
      </c>
      <c r="T50" s="16">
        <f ca="1">IFERROR(SOLID!X61,0)</f>
        <v>0</v>
      </c>
      <c r="U50" s="16">
        <f ca="1">IFERROR(SOLID!Y61,0)</f>
        <v>0</v>
      </c>
      <c r="V50" s="16">
        <f ca="1">IFERROR(SOLID!Z61,0)</f>
        <v>0</v>
      </c>
      <c r="W50" s="16">
        <f ca="1">IFERROR(SOLID!AA61,0)</f>
        <v>0</v>
      </c>
      <c r="X50" s="16">
        <f ca="1">IFERROR(SOLID!AB61,0)</f>
        <v>0</v>
      </c>
      <c r="Y50" s="16">
        <f ca="1">IFERROR(SOLID!AC61,0)</f>
        <v>0</v>
      </c>
      <c r="Z50" s="16">
        <f ca="1">IFERROR(SOLID!AD61,0)</f>
        <v>0</v>
      </c>
      <c r="AA50" s="16">
        <f ca="1">IFERROR(SOLID!AE61,0)</f>
        <v>0</v>
      </c>
      <c r="AB50" s="16">
        <f ca="1">IFERROR(SOLID!AF61,0)</f>
        <v>0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 x14ac:dyDescent="0.4">
      <c r="A51" s="33">
        <f>IFERROR(SOLID!E62,0)</f>
        <v>0</v>
      </c>
      <c r="B51" s="16">
        <f ca="1">IFERROR(SOLID!F62,0)</f>
        <v>0</v>
      </c>
      <c r="C51" s="16">
        <f ca="1">IFERROR(SOLID!G62,0)</f>
        <v>0</v>
      </c>
      <c r="D51" s="16">
        <f ca="1">IFERROR(SOLID!H62,0)</f>
        <v>0</v>
      </c>
      <c r="E51" s="16">
        <f ca="1">IFERROR(SOLID!I62,0)</f>
        <v>0</v>
      </c>
      <c r="F51" s="16">
        <f ca="1">IFERROR(SOLID!J62,0)</f>
        <v>0</v>
      </c>
      <c r="G51" s="16">
        <f ca="1">IFERROR(SOLID!K62,0)</f>
        <v>0</v>
      </c>
      <c r="H51" s="16">
        <f ca="1">IFERROR(SOLID!L62,0)</f>
        <v>0</v>
      </c>
      <c r="I51" s="16">
        <f ca="1">IFERROR(SOLID!M62,0)</f>
        <v>0</v>
      </c>
      <c r="J51" s="16">
        <f ca="1">IFERROR(SOLID!N62,0)</f>
        <v>0</v>
      </c>
      <c r="K51" s="16">
        <f ca="1">IFERROR(SOLID!O62,0)</f>
        <v>0</v>
      </c>
      <c r="L51" s="16">
        <f ca="1">IFERROR(SOLID!P62,0)</f>
        <v>0</v>
      </c>
      <c r="M51" s="16">
        <f ca="1">IFERROR(SOLID!Q62,0)</f>
        <v>0</v>
      </c>
      <c r="N51" s="16">
        <f ca="1">IFERROR(SOLID!R62,0)</f>
        <v>0</v>
      </c>
      <c r="O51" s="16">
        <f ca="1">IFERROR(SOLID!S62,0)</f>
        <v>0</v>
      </c>
      <c r="P51" s="16">
        <f ca="1">IFERROR(SOLID!T62,0)</f>
        <v>0</v>
      </c>
      <c r="Q51" s="16">
        <f ca="1">IFERROR(SOLID!U62,0)</f>
        <v>0</v>
      </c>
      <c r="R51" s="16">
        <f ca="1">IFERROR(SOLID!V62,0)</f>
        <v>0</v>
      </c>
      <c r="S51" s="16">
        <f ca="1">IFERROR(SOLID!W62,0)</f>
        <v>0</v>
      </c>
      <c r="T51" s="16">
        <f ca="1">IFERROR(SOLID!X62,0)</f>
        <v>0</v>
      </c>
      <c r="U51" s="16">
        <f ca="1">IFERROR(SOLID!Y62,0)</f>
        <v>0</v>
      </c>
      <c r="V51" s="16">
        <f ca="1">IFERROR(SOLID!Z62,0)</f>
        <v>0</v>
      </c>
      <c r="W51" s="16">
        <f ca="1">IFERROR(SOLID!AA62,0)</f>
        <v>0</v>
      </c>
      <c r="X51" s="16">
        <f ca="1">IFERROR(SOLID!AB62,0)</f>
        <v>0</v>
      </c>
      <c r="Y51" s="16">
        <f ca="1">IFERROR(SOLID!AC62,0)</f>
        <v>0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 x14ac:dyDescent="0.4">
      <c r="A52" s="33">
        <f>IFERROR(SOLID!E63,0)</f>
        <v>0</v>
      </c>
      <c r="B52" s="16">
        <f ca="1">IFERROR(SOLID!F63,0)</f>
        <v>0</v>
      </c>
      <c r="C52" s="16">
        <f ca="1">IFERROR(SOLID!G63,0)</f>
        <v>0</v>
      </c>
      <c r="D52" s="16">
        <f ca="1">IFERROR(SOLID!H63,0)</f>
        <v>0</v>
      </c>
      <c r="E52" s="16">
        <f ca="1">IFERROR(SOLID!I63,0)</f>
        <v>0</v>
      </c>
      <c r="F52" s="16">
        <f ca="1">IFERROR(SOLID!J63,0)</f>
        <v>0</v>
      </c>
      <c r="G52" s="16">
        <f ca="1">IFERROR(SOLID!K63,0)</f>
        <v>0</v>
      </c>
      <c r="H52" s="16">
        <f ca="1">IFERROR(SOLID!L63,0)</f>
        <v>0</v>
      </c>
      <c r="I52" s="16">
        <f ca="1">IFERROR(SOLID!M63,0)</f>
        <v>0</v>
      </c>
      <c r="J52" s="16">
        <f ca="1">IFERROR(SOLID!N63,0)</f>
        <v>0</v>
      </c>
      <c r="K52" s="16">
        <f ca="1">IFERROR(SOLID!O63,0)</f>
        <v>0</v>
      </c>
      <c r="L52" s="16">
        <f ca="1">IFERROR(SOLID!P63,0)</f>
        <v>0</v>
      </c>
      <c r="M52" s="16">
        <f ca="1">IFERROR(SOLID!Q63,0)</f>
        <v>0</v>
      </c>
      <c r="N52" s="16">
        <f ca="1">IFERROR(SOLID!R63,0)</f>
        <v>0</v>
      </c>
      <c r="O52" s="16">
        <f ca="1">IFERROR(SOLID!S63,0)</f>
        <v>0</v>
      </c>
      <c r="P52" s="16">
        <f ca="1">IFERROR(SOLID!T63,0)</f>
        <v>0</v>
      </c>
      <c r="Q52" s="16">
        <f ca="1">IFERROR(SOLID!U63,0)</f>
        <v>0</v>
      </c>
      <c r="R52" s="16">
        <f ca="1">IFERROR(SOLID!V63,0)</f>
        <v>0</v>
      </c>
      <c r="S52" s="16">
        <f ca="1">IFERROR(SOLID!W63,0)</f>
        <v>0</v>
      </c>
      <c r="T52" s="16">
        <f ca="1">IFERROR(SOLID!X63,0)</f>
        <v>0</v>
      </c>
      <c r="U52" s="16">
        <f ca="1">IFERROR(SOLID!Y63,0)</f>
        <v>0</v>
      </c>
      <c r="V52" s="16">
        <f ca="1">IFERROR(SOLID!Z63,0)</f>
        <v>0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 x14ac:dyDescent="0.4">
      <c r="A53" s="33">
        <f>IFERROR(SOLID!E64,0)</f>
        <v>0</v>
      </c>
      <c r="B53" s="16">
        <f ca="1">IFERROR(SOLID!F64,0)</f>
        <v>0</v>
      </c>
      <c r="C53" s="16">
        <f ca="1">IFERROR(SOLID!G64,0)</f>
        <v>0</v>
      </c>
      <c r="D53" s="16">
        <f ca="1">IFERROR(SOLID!H64,0)</f>
        <v>0</v>
      </c>
      <c r="E53" s="16">
        <f ca="1">IFERROR(SOLID!I64,0)</f>
        <v>0</v>
      </c>
      <c r="F53" s="16">
        <f ca="1">IFERROR(SOLID!J64,0)</f>
        <v>0</v>
      </c>
      <c r="G53" s="16">
        <f ca="1">IFERROR(SOLID!K64,0)</f>
        <v>0</v>
      </c>
      <c r="H53" s="16">
        <f ca="1">IFERROR(SOLID!L64,0)</f>
        <v>0</v>
      </c>
      <c r="I53" s="16">
        <f ca="1">IFERROR(SOLID!M64,0)</f>
        <v>0</v>
      </c>
      <c r="J53" s="16">
        <f ca="1">IFERROR(SOLID!N64,0)</f>
        <v>0</v>
      </c>
      <c r="K53" s="16">
        <f ca="1">IFERROR(SOLID!O64,0)</f>
        <v>0</v>
      </c>
      <c r="L53" s="16">
        <f ca="1">IFERROR(SOLID!P64,0)</f>
        <v>0</v>
      </c>
      <c r="M53" s="16">
        <f ca="1">IFERROR(SOLID!Q64,0)</f>
        <v>0</v>
      </c>
      <c r="N53" s="16">
        <f ca="1">IFERROR(SOLID!R64,0)</f>
        <v>0</v>
      </c>
      <c r="O53" s="16">
        <f ca="1">IFERROR(SOLID!S64,0)</f>
        <v>0</v>
      </c>
      <c r="P53" s="16">
        <f ca="1">IFERROR(SOLID!T64,0)</f>
        <v>0</v>
      </c>
      <c r="Q53" s="16">
        <f ca="1">IFERROR(SOLID!U64,0)</f>
        <v>0</v>
      </c>
      <c r="R53" s="16">
        <f ca="1">IFERROR(SOLID!V64,0)</f>
        <v>0</v>
      </c>
      <c r="S53" s="16">
        <f ca="1">IFERROR(SOLID!W64,0)</f>
        <v>0</v>
      </c>
      <c r="T53" s="16">
        <f ca="1">IFERROR(SOLID!X64,0)</f>
        <v>0</v>
      </c>
      <c r="U53" s="16">
        <f ca="1">IFERROR(SOLID!Y64,0)</f>
        <v>0</v>
      </c>
      <c r="V53" s="16">
        <f ca="1">IFERROR(SOLID!Z64,0)</f>
        <v>0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 x14ac:dyDescent="0.4">
      <c r="A54" s="33">
        <f>IFERROR(SOLID!E65,0)</f>
        <v>0</v>
      </c>
      <c r="B54" s="16">
        <f ca="1">IFERROR(SOLID!F65,0)</f>
        <v>0</v>
      </c>
      <c r="C54" s="16">
        <f ca="1">IFERROR(SOLID!G65,0)</f>
        <v>0</v>
      </c>
      <c r="D54" s="16">
        <f ca="1">IFERROR(SOLID!H65,0)</f>
        <v>0</v>
      </c>
      <c r="E54" s="16">
        <f ca="1">IFERROR(SOLID!I65,0)</f>
        <v>0</v>
      </c>
      <c r="F54" s="16">
        <f ca="1">IFERROR(SOLID!J65,0)</f>
        <v>0</v>
      </c>
      <c r="G54" s="16">
        <f ca="1">IFERROR(SOLID!K65,0)</f>
        <v>0</v>
      </c>
      <c r="H54" s="16">
        <f ca="1">IFERROR(SOLID!L65,0)</f>
        <v>0</v>
      </c>
      <c r="I54" s="16">
        <f ca="1">IFERROR(SOLID!M65,0)</f>
        <v>0</v>
      </c>
      <c r="J54" s="16">
        <f ca="1">IFERROR(SOLID!N65,0)</f>
        <v>0</v>
      </c>
      <c r="K54" s="16">
        <f ca="1">IFERROR(SOLID!O65,0)</f>
        <v>0</v>
      </c>
      <c r="L54" s="16">
        <f ca="1">IFERROR(SOLID!P65,0)</f>
        <v>0</v>
      </c>
      <c r="M54" s="16">
        <f ca="1">IFERROR(SOLID!Q65,0)</f>
        <v>0</v>
      </c>
      <c r="N54" s="16">
        <f ca="1">IFERROR(SOLID!R65,0)</f>
        <v>0</v>
      </c>
      <c r="O54" s="16">
        <f ca="1">IFERROR(SOLID!S65,0)</f>
        <v>0</v>
      </c>
      <c r="P54" s="16">
        <f ca="1">IFERROR(SOLID!T65,0)</f>
        <v>0</v>
      </c>
      <c r="Q54" s="16">
        <f ca="1">IFERROR(SOLID!U65,0)</f>
        <v>0</v>
      </c>
      <c r="R54" s="16">
        <f ca="1">IFERROR(SOLID!V65,0)</f>
        <v>0</v>
      </c>
      <c r="S54" s="16">
        <f ca="1">IFERROR(SOLID!W65,0)</f>
        <v>0</v>
      </c>
      <c r="T54" s="16">
        <f ca="1">IFERROR(SOLID!X65,0)</f>
        <v>0</v>
      </c>
      <c r="U54" s="16">
        <f ca="1">IFERROR(SOLID!Y65,0)</f>
        <v>0</v>
      </c>
      <c r="V54" s="16">
        <f ca="1">IFERROR(SOLID!Z65,0)</f>
        <v>0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 x14ac:dyDescent="0.4">
      <c r="A55" s="33">
        <f>IFERROR(SOLID!E66,0)</f>
        <v>0</v>
      </c>
      <c r="B55" s="16">
        <f ca="1">IFERROR(SOLID!F66,0)</f>
        <v>0</v>
      </c>
      <c r="C55" s="16">
        <f ca="1">IFERROR(SOLID!G66,0)</f>
        <v>0</v>
      </c>
      <c r="D55" s="16">
        <f ca="1">IFERROR(SOLID!H66,0)</f>
        <v>0</v>
      </c>
      <c r="E55" s="16">
        <f ca="1">IFERROR(SOLID!I66,0)</f>
        <v>0</v>
      </c>
      <c r="F55" s="16">
        <f ca="1">IFERROR(SOLID!J66,0)</f>
        <v>0</v>
      </c>
      <c r="G55" s="16">
        <f ca="1">IFERROR(SOLID!K66,0)</f>
        <v>0</v>
      </c>
      <c r="H55" s="16">
        <f ca="1">IFERROR(SOLID!L66,0)</f>
        <v>0</v>
      </c>
      <c r="I55" s="16">
        <f ca="1">IFERROR(SOLID!M66,0)</f>
        <v>0</v>
      </c>
      <c r="J55" s="16">
        <f ca="1">IFERROR(SOLID!N66,0)</f>
        <v>0</v>
      </c>
      <c r="K55" s="16">
        <f ca="1">IFERROR(SOLID!O66,0)</f>
        <v>0</v>
      </c>
      <c r="L55" s="16">
        <f ca="1">IFERROR(SOLID!P66,0)</f>
        <v>0</v>
      </c>
      <c r="M55" s="16">
        <f ca="1">IFERROR(SOLID!Q66,0)</f>
        <v>0</v>
      </c>
      <c r="N55" s="16">
        <f ca="1">IFERROR(SOLID!R66,0)</f>
        <v>0</v>
      </c>
      <c r="O55" s="16">
        <f ca="1">IFERROR(SOLID!S66,0)</f>
        <v>0</v>
      </c>
      <c r="P55" s="16">
        <f ca="1">IFERROR(SOLID!T66,0)</f>
        <v>0</v>
      </c>
      <c r="Q55" s="16">
        <f ca="1">IFERROR(SOLID!U66,0)</f>
        <v>0</v>
      </c>
      <c r="R55" s="16">
        <f ca="1">IFERROR(SOLID!V66,0)</f>
        <v>0</v>
      </c>
      <c r="S55" s="16">
        <f ca="1">IFERROR(SOLID!W66,0)</f>
        <v>0</v>
      </c>
      <c r="T55" s="16">
        <f ca="1">IFERROR(SOLID!X66,0)</f>
        <v>0</v>
      </c>
      <c r="U55" s="16">
        <f ca="1">IFERROR(SOLID!Y66,0)</f>
        <v>0</v>
      </c>
      <c r="V55" s="16">
        <f ca="1">IFERROR(SOLID!Z66,0)</f>
        <v>0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 x14ac:dyDescent="0.4">
      <c r="A56" s="33">
        <f>IFERROR(SOLID!E67,0)</f>
        <v>0</v>
      </c>
      <c r="B56" s="16">
        <f ca="1">IFERROR(SOLID!F67,0)</f>
        <v>0</v>
      </c>
      <c r="C56" s="16">
        <f ca="1">IFERROR(SOLID!G67,0)</f>
        <v>0</v>
      </c>
      <c r="D56" s="16">
        <f ca="1">IFERROR(SOLID!H67,0)</f>
        <v>0</v>
      </c>
      <c r="E56" s="16">
        <f ca="1">IFERROR(SOLID!I67,0)</f>
        <v>0</v>
      </c>
      <c r="F56" s="16">
        <f ca="1">IFERROR(SOLID!J67,0)</f>
        <v>0</v>
      </c>
      <c r="G56" s="16">
        <f ca="1">IFERROR(SOLID!K67,0)</f>
        <v>0</v>
      </c>
      <c r="H56" s="16">
        <f ca="1">IFERROR(SOLID!L67,0)</f>
        <v>0</v>
      </c>
      <c r="I56" s="16">
        <f ca="1">IFERROR(SOLID!M67,0)</f>
        <v>0</v>
      </c>
      <c r="J56" s="16">
        <f ca="1">IFERROR(SOLID!N67,0)</f>
        <v>0</v>
      </c>
      <c r="K56" s="16">
        <f ca="1">IFERROR(SOLID!O67,0)</f>
        <v>0</v>
      </c>
      <c r="L56" s="16">
        <f ca="1">IFERROR(SOLID!P67,0)</f>
        <v>0</v>
      </c>
      <c r="M56" s="16">
        <f ca="1">IFERROR(SOLID!Q67,0)</f>
        <v>0</v>
      </c>
      <c r="N56" s="16">
        <f ca="1">IFERROR(SOLID!R67,0)</f>
        <v>0</v>
      </c>
      <c r="O56" s="16">
        <f ca="1">IFERROR(SOLID!S67,0)</f>
        <v>0</v>
      </c>
      <c r="P56" s="16">
        <f ca="1">IFERROR(SOLID!T67,0)</f>
        <v>0</v>
      </c>
      <c r="Q56" s="16">
        <f ca="1">IFERROR(SOLID!U67,0)</f>
        <v>0</v>
      </c>
      <c r="R56" s="16">
        <f ca="1">IFERROR(SOLID!V67,0)</f>
        <v>0</v>
      </c>
      <c r="S56" s="16">
        <f ca="1">IFERROR(SOLID!W67,0)</f>
        <v>0</v>
      </c>
      <c r="T56" s="16">
        <f ca="1">IFERROR(SOLID!X67,0)</f>
        <v>0</v>
      </c>
      <c r="U56" s="16">
        <f ca="1">IFERROR(SOLID!Y67,0)</f>
        <v>0</v>
      </c>
      <c r="V56" s="16">
        <f ca="1">IFERROR(SOLID!Z67,0)</f>
        <v>0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 x14ac:dyDescent="0.4">
      <c r="A57" s="33">
        <f>IFERROR(SOLID!E68,0)</f>
        <v>0</v>
      </c>
      <c r="B57" s="16">
        <f ca="1">IFERROR(SOLID!F68,0)</f>
        <v>0</v>
      </c>
      <c r="C57" s="16">
        <f ca="1">IFERROR(SOLID!G68,0)</f>
        <v>0</v>
      </c>
      <c r="D57" s="16">
        <f ca="1">IFERROR(SOLID!H68,0)</f>
        <v>0</v>
      </c>
      <c r="E57" s="16">
        <f ca="1">IFERROR(SOLID!I68,0)</f>
        <v>0</v>
      </c>
      <c r="F57" s="16">
        <f ca="1">IFERROR(SOLID!J68,0)</f>
        <v>0</v>
      </c>
      <c r="G57" s="16">
        <f ca="1">IFERROR(SOLID!K68,0)</f>
        <v>0</v>
      </c>
      <c r="H57" s="16">
        <f ca="1">IFERROR(SOLID!L68,0)</f>
        <v>0</v>
      </c>
      <c r="I57" s="16">
        <f ca="1">IFERROR(SOLID!M68,0)</f>
        <v>0</v>
      </c>
      <c r="J57" s="16">
        <f ca="1">IFERROR(SOLID!N68,0)</f>
        <v>0</v>
      </c>
      <c r="K57" s="16">
        <f ca="1">IFERROR(SOLID!O68,0)</f>
        <v>0</v>
      </c>
      <c r="L57" s="16">
        <f ca="1">IFERROR(SOLID!P68,0)</f>
        <v>0</v>
      </c>
      <c r="M57" s="16">
        <f ca="1">IFERROR(SOLID!Q68,0)</f>
        <v>0</v>
      </c>
      <c r="N57" s="16">
        <f ca="1">IFERROR(SOLID!R68,0)</f>
        <v>0</v>
      </c>
      <c r="O57" s="16">
        <f ca="1">IFERROR(SOLID!S68,0)</f>
        <v>0</v>
      </c>
      <c r="P57" s="16">
        <f ca="1">IFERROR(SOLID!T68,0)</f>
        <v>0</v>
      </c>
      <c r="Q57" s="16">
        <f ca="1">IFERROR(SOLID!U68,0)</f>
        <v>0</v>
      </c>
      <c r="R57" s="16">
        <f ca="1">IFERROR(SOLID!V68,0)</f>
        <v>0</v>
      </c>
      <c r="S57" s="16">
        <f ca="1">IFERROR(SOLID!W68,0)</f>
        <v>0</v>
      </c>
      <c r="T57" s="16">
        <f ca="1">IFERROR(SOLID!X68,0)</f>
        <v>0</v>
      </c>
      <c r="U57" s="16">
        <f ca="1">IFERROR(SOLID!Y68,0)</f>
        <v>0</v>
      </c>
      <c r="V57" s="16">
        <f ca="1">IFERROR(SOLID!Z68,0)</f>
        <v>0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 x14ac:dyDescent="0.4">
      <c r="A58" s="33">
        <f>IFERROR(SOLID!E69,0)</f>
        <v>0</v>
      </c>
      <c r="B58" s="16">
        <f ca="1">IFERROR(SOLID!F69,0)</f>
        <v>0</v>
      </c>
      <c r="C58" s="16">
        <f ca="1">IFERROR(SOLID!G69,0)</f>
        <v>0</v>
      </c>
      <c r="D58" s="16">
        <f ca="1">IFERROR(SOLID!H69,0)</f>
        <v>0</v>
      </c>
      <c r="E58" s="16">
        <f ca="1">IFERROR(SOLID!I69,0)</f>
        <v>0</v>
      </c>
      <c r="F58" s="16">
        <f ca="1">IFERROR(SOLID!J69,0)</f>
        <v>0</v>
      </c>
      <c r="G58" s="16">
        <f ca="1">IFERROR(SOLID!K69,0)</f>
        <v>0</v>
      </c>
      <c r="H58" s="16">
        <f ca="1">IFERROR(SOLID!L69,0)</f>
        <v>0</v>
      </c>
      <c r="I58" s="16">
        <f ca="1">IFERROR(SOLID!M69,0)</f>
        <v>0</v>
      </c>
      <c r="J58" s="16">
        <f ca="1">IFERROR(SOLID!N69,0)</f>
        <v>0</v>
      </c>
      <c r="K58" s="16">
        <f ca="1">IFERROR(SOLID!O69,0)</f>
        <v>0</v>
      </c>
      <c r="L58" s="16">
        <f ca="1">IFERROR(SOLID!P69,0)</f>
        <v>0</v>
      </c>
      <c r="M58" s="16">
        <f ca="1">IFERROR(SOLID!Q69,0)</f>
        <v>0</v>
      </c>
      <c r="N58" s="16">
        <f ca="1">IFERROR(SOLID!R69,0)</f>
        <v>0</v>
      </c>
      <c r="O58" s="16">
        <f ca="1">IFERROR(SOLID!S69,0)</f>
        <v>0</v>
      </c>
      <c r="P58" s="16">
        <f ca="1">IFERROR(SOLID!T69,0)</f>
        <v>0</v>
      </c>
      <c r="Q58" s="16">
        <f ca="1">IFERROR(SOLID!U69,0)</f>
        <v>0</v>
      </c>
      <c r="R58" s="16">
        <f ca="1">IFERROR(SOLID!V69,0)</f>
        <v>0</v>
      </c>
      <c r="S58" s="16">
        <f ca="1">IFERROR(SOLID!W69,0)</f>
        <v>0</v>
      </c>
      <c r="T58" s="16">
        <f ca="1">IFERROR(SOLID!X69,0)</f>
        <v>0</v>
      </c>
      <c r="U58" s="16">
        <f ca="1">IFERROR(SOLID!Y69,0)</f>
        <v>0</v>
      </c>
      <c r="V58" s="16">
        <f ca="1">IFERROR(SOLID!Z69,0)</f>
        <v>0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 x14ac:dyDescent="0.4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 x14ac:dyDescent="0.4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 x14ac:dyDescent="0.4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 x14ac:dyDescent="0.4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 x14ac:dyDescent="0.4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 x14ac:dyDescent="0.4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 x14ac:dyDescent="0.4">
      <c r="A65" s="35"/>
      <c r="B65" s="100"/>
      <c r="C65" s="100"/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100"/>
      <c r="AC65" s="100"/>
      <c r="AD65" s="100"/>
      <c r="AE65" s="100"/>
      <c r="AF65" s="100"/>
      <c r="AG65" s="100"/>
      <c r="AH65" s="100"/>
      <c r="AI65" s="100"/>
      <c r="AJ65" s="100"/>
      <c r="AK65" s="100"/>
      <c r="AL65" s="100"/>
      <c r="AM65" s="100"/>
      <c r="AN65" s="100"/>
      <c r="AO65" s="100"/>
      <c r="AP65" s="100"/>
      <c r="AQ65" s="100"/>
      <c r="AR65" s="100"/>
      <c r="AS65" s="100"/>
      <c r="AT65" s="100"/>
      <c r="AU65" s="100"/>
      <c r="AV65" s="100"/>
      <c r="AW65" s="100"/>
      <c r="AX65" s="100"/>
      <c r="AY65" s="100"/>
      <c r="AZ65" s="100"/>
      <c r="BA65" s="100"/>
      <c r="BB65" s="100"/>
      <c r="BC65" s="100"/>
      <c r="BD65" s="100"/>
      <c r="BE65" s="100"/>
      <c r="BF65" s="100"/>
      <c r="BG65" s="100"/>
      <c r="BH65" s="100"/>
      <c r="BI65" s="100"/>
      <c r="BJ65" s="100"/>
      <c r="BK65" s="100"/>
      <c r="BL65" s="100"/>
      <c r="BM65" s="100"/>
      <c r="BN65" s="100"/>
      <c r="BO65" s="100"/>
      <c r="BP65" s="100"/>
      <c r="BQ65" s="100"/>
      <c r="BR65" s="100"/>
      <c r="BS65" s="100"/>
      <c r="BT65" s="100"/>
    </row>
    <row r="66" spans="1:73" ht="22.5" thickTop="1" thickBot="1" x14ac:dyDescent="0.4">
      <c r="A66" s="4" t="s">
        <v>29</v>
      </c>
      <c r="B66" s="4">
        <f>IFERROR(ALL!F45,0)</f>
        <v>0</v>
      </c>
      <c r="C66" s="4">
        <f>IFERROR(ALL!G45,0)</f>
        <v>0</v>
      </c>
      <c r="D66" s="4">
        <f>IFERROR(ALL!H45,0)</f>
        <v>0</v>
      </c>
      <c r="E66" s="4">
        <f>IFERROR(ALL!I45,0)</f>
        <v>0</v>
      </c>
      <c r="F66" s="4">
        <f>IFERROR(ALL!J45,0)</f>
        <v>0</v>
      </c>
      <c r="G66" s="4">
        <f>IFERROR(ALL!K45,0)</f>
        <v>0</v>
      </c>
      <c r="H66" s="4">
        <f>IFERROR(ALL!L45,0)</f>
        <v>0</v>
      </c>
      <c r="I66" s="4">
        <f>IFERROR(ALL!M45,0)</f>
        <v>0</v>
      </c>
      <c r="J66" s="4">
        <f>IFERROR(ALL!N45,0)</f>
        <v>0</v>
      </c>
      <c r="K66" s="4">
        <f>IFERROR(ALL!O45,0)</f>
        <v>0</v>
      </c>
      <c r="L66" s="4">
        <f>IFERROR(ALL!P45,0)</f>
        <v>0</v>
      </c>
      <c r="M66" s="4">
        <f>IFERROR(ALL!Q45,0)</f>
        <v>0</v>
      </c>
      <c r="N66" s="4">
        <f>IFERROR(ALL!R45,0)</f>
        <v>0</v>
      </c>
      <c r="O66" s="4">
        <f>IFERROR(ALL!S45,0)</f>
        <v>0</v>
      </c>
      <c r="P66" s="4">
        <f>IFERROR(ALL!T45,0)</f>
        <v>0</v>
      </c>
      <c r="Q66" s="4">
        <f>IFERROR(ALL!U45,0)</f>
        <v>0</v>
      </c>
      <c r="R66" s="4">
        <f>IFERROR(ALL!V45,0)</f>
        <v>0</v>
      </c>
      <c r="S66" s="4">
        <f>IFERROR(ALL!W45,0)</f>
        <v>0</v>
      </c>
      <c r="T66" s="4">
        <f>IFERROR(ALL!X45,0)</f>
        <v>0</v>
      </c>
      <c r="U66" s="4">
        <f>IFERROR(ALL!Y45,0)</f>
        <v>0</v>
      </c>
      <c r="V66" s="4">
        <f>IFERROR(ALL!Z45,0)</f>
        <v>0</v>
      </c>
      <c r="W66" s="4">
        <f>IFERROR(ALL!AA45,0)</f>
        <v>0</v>
      </c>
      <c r="X66" s="4">
        <f>IFERROR(ALL!AB45,0)</f>
        <v>0</v>
      </c>
      <c r="Y66" s="4">
        <f>IFERROR(ALL!AC45,0)</f>
        <v>0</v>
      </c>
      <c r="Z66" s="4">
        <f>IFERROR(ALL!AD45,0)</f>
        <v>0</v>
      </c>
      <c r="AA66" s="4">
        <f>IFERROR(ALL!AE45,0)</f>
        <v>0</v>
      </c>
      <c r="AB66" s="4">
        <f>IFERROR(ALL!AF45,0)</f>
        <v>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 x14ac:dyDescent="0.4">
      <c r="A67" s="87">
        <f>IFERROR(ALL!E46,0)</f>
        <v>0</v>
      </c>
      <c r="B67" s="16">
        <f ca="1">IFERROR(ALL!F46,0)</f>
        <v>0</v>
      </c>
      <c r="C67" s="16">
        <f ca="1">IFERROR(ALL!G46,0)</f>
        <v>0</v>
      </c>
      <c r="D67" s="16">
        <f ca="1">IFERROR(ALL!H46,0)</f>
        <v>0</v>
      </c>
      <c r="E67" s="16">
        <f ca="1">IFERROR(ALL!I46,0)</f>
        <v>0</v>
      </c>
      <c r="F67" s="16">
        <f ca="1">IFERROR(ALL!J46,0)</f>
        <v>0</v>
      </c>
      <c r="G67" s="16">
        <f ca="1">IFERROR(ALL!K46,0)</f>
        <v>0</v>
      </c>
      <c r="H67" s="16">
        <f ca="1">IFERROR(ALL!L46,0)</f>
        <v>0</v>
      </c>
      <c r="I67" s="16">
        <f ca="1">IFERROR(ALL!M46,0)</f>
        <v>0</v>
      </c>
      <c r="J67" s="16">
        <f ca="1">IFERROR(ALL!N46,0)</f>
        <v>0</v>
      </c>
      <c r="K67" s="16">
        <f ca="1">IFERROR(ALL!O46,0)</f>
        <v>0</v>
      </c>
      <c r="L67" s="16">
        <f ca="1">IFERROR(ALL!P46,0)</f>
        <v>0</v>
      </c>
      <c r="M67" s="16">
        <f ca="1">IFERROR(ALL!Q46,0)</f>
        <v>0</v>
      </c>
      <c r="N67" s="16">
        <f ca="1">IFERROR(ALL!R46,0)</f>
        <v>0</v>
      </c>
      <c r="O67" s="16">
        <f ca="1">IFERROR(ALL!S46,0)</f>
        <v>0</v>
      </c>
      <c r="P67" s="16">
        <f ca="1">IFERROR(ALL!T46,0)</f>
        <v>0</v>
      </c>
      <c r="Q67" s="16">
        <f ca="1">IFERROR(ALL!U46,0)</f>
        <v>0</v>
      </c>
      <c r="R67" s="16">
        <f ca="1">IFERROR(ALL!V46,0)</f>
        <v>0</v>
      </c>
      <c r="S67" s="16">
        <f ca="1">IFERROR(ALL!W46,0)</f>
        <v>0</v>
      </c>
      <c r="T67" s="16">
        <f ca="1">IFERROR(ALL!X46,0)</f>
        <v>0</v>
      </c>
      <c r="U67" s="16">
        <f ca="1">IFERROR(ALL!Y46,0)</f>
        <v>0</v>
      </c>
      <c r="V67" s="16">
        <f ca="1">IFERROR(ALL!Z46,0)</f>
        <v>0</v>
      </c>
      <c r="W67" s="16">
        <f ca="1">IFERROR(ALL!AA46,0)</f>
        <v>0</v>
      </c>
      <c r="X67" s="16">
        <f ca="1">IFERROR(ALL!AB46,0)</f>
        <v>0</v>
      </c>
      <c r="Y67" s="16">
        <f ca="1">IFERROR(ALL!AC46,0)</f>
        <v>0</v>
      </c>
      <c r="Z67" s="16">
        <f ca="1">IFERROR(ALL!AD46,0)</f>
        <v>0</v>
      </c>
      <c r="AA67" s="16">
        <f ca="1">IFERROR(ALL!AE46,0)</f>
        <v>0</v>
      </c>
      <c r="AB67" s="16">
        <f ca="1">IFERROR(ALL!AF46,0)</f>
        <v>0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3"/>
    </row>
    <row r="68" spans="1:73" ht="21.75" hidden="1" outlineLevel="1" thickBot="1" x14ac:dyDescent="0.4">
      <c r="A68" s="87">
        <f>IFERROR(ALL!E47,0)</f>
        <v>0</v>
      </c>
      <c r="B68" s="16">
        <f ca="1">IFERROR(ALL!F47,0)</f>
        <v>0</v>
      </c>
      <c r="C68" s="16">
        <f ca="1">IFERROR(ALL!G47,0)</f>
        <v>0</v>
      </c>
      <c r="D68" s="16">
        <f ca="1">IFERROR(ALL!H47,0)</f>
        <v>0</v>
      </c>
      <c r="E68" s="16">
        <f ca="1">IFERROR(ALL!I47,0)</f>
        <v>0</v>
      </c>
      <c r="F68" s="16">
        <f ca="1">IFERROR(ALL!J47,0)</f>
        <v>0</v>
      </c>
      <c r="G68" s="16">
        <f ca="1">IFERROR(ALL!K47,0)</f>
        <v>0</v>
      </c>
      <c r="H68" s="16">
        <f ca="1">IFERROR(ALL!L47,0)</f>
        <v>0</v>
      </c>
      <c r="I68" s="16">
        <f ca="1">IFERROR(ALL!M47,0)</f>
        <v>0</v>
      </c>
      <c r="J68" s="16">
        <f ca="1">IFERROR(ALL!N47,0)</f>
        <v>0</v>
      </c>
      <c r="K68" s="16">
        <f ca="1">IFERROR(ALL!O47,0)</f>
        <v>0</v>
      </c>
      <c r="L68" s="16">
        <f ca="1">IFERROR(ALL!P47,0)</f>
        <v>0</v>
      </c>
      <c r="M68" s="16">
        <f ca="1">IFERROR(ALL!Q47,0)</f>
        <v>0</v>
      </c>
      <c r="N68" s="16">
        <f ca="1">IFERROR(ALL!R47,0)</f>
        <v>0</v>
      </c>
      <c r="O68" s="16">
        <f ca="1">IFERROR(ALL!S47,0)</f>
        <v>0</v>
      </c>
      <c r="P68" s="16">
        <f ca="1">IFERROR(ALL!T47,0)</f>
        <v>0</v>
      </c>
      <c r="Q68" s="16">
        <f ca="1">IFERROR(ALL!U47,0)</f>
        <v>0</v>
      </c>
      <c r="R68" s="16">
        <f ca="1">IFERROR(ALL!V47,0)</f>
        <v>0</v>
      </c>
      <c r="S68" s="16">
        <f ca="1">IFERROR(ALL!W47,0)</f>
        <v>0</v>
      </c>
      <c r="T68" s="16">
        <f ca="1">IFERROR(ALL!X47,0)</f>
        <v>0</v>
      </c>
      <c r="U68" s="16">
        <f ca="1">IFERROR(ALL!Y47,0)</f>
        <v>0</v>
      </c>
      <c r="V68" s="16">
        <f ca="1">IFERROR(ALL!Z47,0)</f>
        <v>0</v>
      </c>
      <c r="W68" s="16">
        <f ca="1">IFERROR(ALL!AA47,0)</f>
        <v>0</v>
      </c>
      <c r="X68" s="16">
        <f ca="1">IFERROR(ALL!AB47,0)</f>
        <v>0</v>
      </c>
      <c r="Y68" s="16">
        <f ca="1">IFERROR(ALL!AC47,0)</f>
        <v>0</v>
      </c>
      <c r="Z68" s="16">
        <f ca="1">IFERROR(ALL!AD47,0)</f>
        <v>0</v>
      </c>
      <c r="AA68" s="16">
        <f ca="1">IFERROR(ALL!AE47,0)</f>
        <v>0</v>
      </c>
      <c r="AB68" s="16">
        <f ca="1">IFERROR(ALL!AF47,0)</f>
        <v>0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3"/>
    </row>
    <row r="69" spans="1:73" ht="21.75" hidden="1" outlineLevel="1" thickBot="1" x14ac:dyDescent="0.4">
      <c r="A69" s="87">
        <f>IFERROR(ALL!E48,0)</f>
        <v>0</v>
      </c>
      <c r="B69" s="16">
        <f ca="1">IFERROR(ALL!F48,0)</f>
        <v>0</v>
      </c>
      <c r="C69" s="16">
        <f ca="1">IFERROR(ALL!G48,0)</f>
        <v>0</v>
      </c>
      <c r="D69" s="16">
        <f ca="1">IFERROR(ALL!H48,0)</f>
        <v>0</v>
      </c>
      <c r="E69" s="16">
        <f ca="1">IFERROR(ALL!I48,0)</f>
        <v>0</v>
      </c>
      <c r="F69" s="16">
        <f ca="1">IFERROR(ALL!J48,0)</f>
        <v>0</v>
      </c>
      <c r="G69" s="16">
        <f ca="1">IFERROR(ALL!K48,0)</f>
        <v>0</v>
      </c>
      <c r="H69" s="16">
        <f ca="1">IFERROR(ALL!L48,0)</f>
        <v>0</v>
      </c>
      <c r="I69" s="16">
        <f ca="1">IFERROR(ALL!M48,0)</f>
        <v>0</v>
      </c>
      <c r="J69" s="16">
        <f ca="1">IFERROR(ALL!N48,0)</f>
        <v>0</v>
      </c>
      <c r="K69" s="16">
        <f ca="1">IFERROR(ALL!O48,0)</f>
        <v>0</v>
      </c>
      <c r="L69" s="16">
        <f ca="1">IFERROR(ALL!P48,0)</f>
        <v>0</v>
      </c>
      <c r="M69" s="16">
        <f ca="1">IFERROR(ALL!Q48,0)</f>
        <v>0</v>
      </c>
      <c r="N69" s="16">
        <f ca="1">IFERROR(ALL!R48,0)</f>
        <v>0</v>
      </c>
      <c r="O69" s="16">
        <f ca="1">IFERROR(ALL!S48,0)</f>
        <v>0</v>
      </c>
      <c r="P69" s="16">
        <f ca="1">IFERROR(ALL!T48,0)</f>
        <v>0</v>
      </c>
      <c r="Q69" s="16">
        <f ca="1">IFERROR(ALL!U48,0)</f>
        <v>0</v>
      </c>
      <c r="R69" s="16">
        <f ca="1">IFERROR(ALL!V48,0)</f>
        <v>0</v>
      </c>
      <c r="S69" s="16">
        <f ca="1">IFERROR(ALL!W48,0)</f>
        <v>0</v>
      </c>
      <c r="T69" s="16">
        <f ca="1">IFERROR(ALL!X48,0)</f>
        <v>0</v>
      </c>
      <c r="U69" s="16">
        <f ca="1">IFERROR(ALL!Y48,0)</f>
        <v>0</v>
      </c>
      <c r="V69" s="16">
        <f ca="1">IFERROR(ALL!Z48,0)</f>
        <v>0</v>
      </c>
      <c r="W69" s="16">
        <f ca="1">IFERROR(ALL!AA48,0)</f>
        <v>0</v>
      </c>
      <c r="X69" s="16">
        <f ca="1">IFERROR(ALL!AB48,0)</f>
        <v>0</v>
      </c>
      <c r="Y69" s="16">
        <f ca="1">IFERROR(ALL!AC48,0)</f>
        <v>0</v>
      </c>
      <c r="Z69" s="16">
        <f ca="1">IFERROR(ALL!AD48,0)</f>
        <v>0</v>
      </c>
      <c r="AA69" s="16">
        <f ca="1">IFERROR(ALL!AE48,0)</f>
        <v>0</v>
      </c>
      <c r="AB69" s="16">
        <f ca="1">IFERROR(ALL!AF48,0)</f>
        <v>0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3"/>
    </row>
    <row r="70" spans="1:73" ht="21.75" hidden="1" outlineLevel="1" thickBot="1" x14ac:dyDescent="0.4">
      <c r="A70" s="87">
        <f>IFERROR(ALL!E49,0)</f>
        <v>0</v>
      </c>
      <c r="B70" s="16">
        <f ca="1">IFERROR(ALL!F49,0)</f>
        <v>0</v>
      </c>
      <c r="C70" s="16">
        <f ca="1">IFERROR(ALL!G49,0)</f>
        <v>0</v>
      </c>
      <c r="D70" s="16">
        <f ca="1">IFERROR(ALL!H49,0)</f>
        <v>0</v>
      </c>
      <c r="E70" s="16">
        <f ca="1">IFERROR(ALL!I49,0)</f>
        <v>0</v>
      </c>
      <c r="F70" s="16">
        <f ca="1">IFERROR(ALL!J49,0)</f>
        <v>0</v>
      </c>
      <c r="G70" s="16">
        <f ca="1">IFERROR(ALL!K49,0)</f>
        <v>0</v>
      </c>
      <c r="H70" s="16">
        <f ca="1">IFERROR(ALL!L49,0)</f>
        <v>0</v>
      </c>
      <c r="I70" s="16">
        <f ca="1">IFERROR(ALL!M49,0)</f>
        <v>0</v>
      </c>
      <c r="J70" s="16">
        <f ca="1">IFERROR(ALL!N49,0)</f>
        <v>0</v>
      </c>
      <c r="K70" s="16">
        <f ca="1">IFERROR(ALL!O49,0)</f>
        <v>0</v>
      </c>
      <c r="L70" s="16">
        <f ca="1">IFERROR(ALL!P49,0)</f>
        <v>0</v>
      </c>
      <c r="M70" s="16">
        <f ca="1">IFERROR(ALL!Q49,0)</f>
        <v>0</v>
      </c>
      <c r="N70" s="16">
        <f ca="1">IFERROR(ALL!R49,0)</f>
        <v>0</v>
      </c>
      <c r="O70" s="16">
        <f ca="1">IFERROR(ALL!S49,0)</f>
        <v>0</v>
      </c>
      <c r="P70" s="16">
        <f ca="1">IFERROR(ALL!T49,0)</f>
        <v>0</v>
      </c>
      <c r="Q70" s="16">
        <f ca="1">IFERROR(ALL!U49,0)</f>
        <v>0</v>
      </c>
      <c r="R70" s="16">
        <f ca="1">IFERROR(ALL!V49,0)</f>
        <v>0</v>
      </c>
      <c r="S70" s="16">
        <f ca="1">IFERROR(ALL!W49,0)</f>
        <v>0</v>
      </c>
      <c r="T70" s="16">
        <f ca="1">IFERROR(ALL!X49,0)</f>
        <v>0</v>
      </c>
      <c r="U70" s="16">
        <f ca="1">IFERROR(ALL!Y49,0)</f>
        <v>0</v>
      </c>
      <c r="V70" s="16">
        <f ca="1">IFERROR(ALL!Z49,0)</f>
        <v>0</v>
      </c>
      <c r="W70" s="16">
        <f ca="1">IFERROR(ALL!AA49,0)</f>
        <v>0</v>
      </c>
      <c r="X70" s="16">
        <f ca="1">IFERROR(ALL!AB49,0)</f>
        <v>0</v>
      </c>
      <c r="Y70" s="16">
        <f ca="1">IFERROR(ALL!AC49,0)</f>
        <v>0</v>
      </c>
      <c r="Z70" s="16">
        <f ca="1">IFERROR(ALL!AD49,0)</f>
        <v>0</v>
      </c>
      <c r="AA70" s="16">
        <f ca="1">IFERROR(ALL!AE49,0)</f>
        <v>0</v>
      </c>
      <c r="AB70" s="16">
        <f ca="1">IFERROR(ALL!AF49,0)</f>
        <v>0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3"/>
    </row>
    <row r="71" spans="1:73" ht="21.75" hidden="1" outlineLevel="1" thickBot="1" x14ac:dyDescent="0.4">
      <c r="A71" s="87">
        <f>IFERROR(ALL!E50,0)</f>
        <v>0</v>
      </c>
      <c r="B71" s="16">
        <f ca="1">IFERROR(ALL!F50,0)</f>
        <v>0</v>
      </c>
      <c r="C71" s="16">
        <f ca="1">IFERROR(ALL!G50,0)</f>
        <v>0</v>
      </c>
      <c r="D71" s="16">
        <f ca="1">IFERROR(ALL!H50,0)</f>
        <v>0</v>
      </c>
      <c r="E71" s="16">
        <f ca="1">IFERROR(ALL!I50,0)</f>
        <v>0</v>
      </c>
      <c r="F71" s="16">
        <f ca="1">IFERROR(ALL!J50,0)</f>
        <v>0</v>
      </c>
      <c r="G71" s="16">
        <f ca="1">IFERROR(ALL!K50,0)</f>
        <v>0</v>
      </c>
      <c r="H71" s="16">
        <f ca="1">IFERROR(ALL!L50,0)</f>
        <v>0</v>
      </c>
      <c r="I71" s="16">
        <f ca="1">IFERROR(ALL!M50,0)</f>
        <v>0</v>
      </c>
      <c r="J71" s="16">
        <f ca="1">IFERROR(ALL!N50,0)</f>
        <v>0</v>
      </c>
      <c r="K71" s="16">
        <f ca="1">IFERROR(ALL!O50,0)</f>
        <v>0</v>
      </c>
      <c r="L71" s="16">
        <f ca="1">IFERROR(ALL!P50,0)</f>
        <v>0</v>
      </c>
      <c r="M71" s="16">
        <f ca="1">IFERROR(ALL!Q50,0)</f>
        <v>0</v>
      </c>
      <c r="N71" s="16">
        <f ca="1">IFERROR(ALL!R50,0)</f>
        <v>0</v>
      </c>
      <c r="O71" s="16">
        <f ca="1">IFERROR(ALL!S50,0)</f>
        <v>0</v>
      </c>
      <c r="P71" s="16">
        <f ca="1">IFERROR(ALL!T50,0)</f>
        <v>0</v>
      </c>
      <c r="Q71" s="16">
        <f ca="1">IFERROR(ALL!U50,0)</f>
        <v>0</v>
      </c>
      <c r="R71" s="16">
        <f ca="1">IFERROR(ALL!V50,0)</f>
        <v>0</v>
      </c>
      <c r="S71" s="16">
        <f ca="1">IFERROR(ALL!W50,0)</f>
        <v>0</v>
      </c>
      <c r="T71" s="16">
        <f ca="1">IFERROR(ALL!X50,0)</f>
        <v>0</v>
      </c>
      <c r="U71" s="16">
        <f ca="1">IFERROR(ALL!Y50,0)</f>
        <v>0</v>
      </c>
      <c r="V71" s="16">
        <f ca="1">IFERROR(ALL!Z50,0)</f>
        <v>0</v>
      </c>
      <c r="W71" s="16">
        <f ca="1">IFERROR(ALL!AA50,0)</f>
        <v>0</v>
      </c>
      <c r="X71" s="16">
        <f ca="1">IFERROR(ALL!AB50,0)</f>
        <v>0</v>
      </c>
      <c r="Y71" s="16">
        <f ca="1">IFERROR(ALL!AC50,0)</f>
        <v>0</v>
      </c>
      <c r="Z71" s="16">
        <f ca="1">IFERROR(ALL!AD50,0)</f>
        <v>0</v>
      </c>
      <c r="AA71" s="16">
        <f ca="1">IFERROR(ALL!AE50,0)</f>
        <v>0</v>
      </c>
      <c r="AB71" s="16">
        <f ca="1">IFERROR(ALL!AF50,0)</f>
        <v>0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3"/>
    </row>
    <row r="72" spans="1:73" ht="21.75" hidden="1" outlineLevel="1" thickBot="1" x14ac:dyDescent="0.4">
      <c r="A72" s="87">
        <f>IFERROR(ALL!E51,0)</f>
        <v>0</v>
      </c>
      <c r="B72" s="16">
        <f ca="1">IFERROR(ALL!F51,0)</f>
        <v>0</v>
      </c>
      <c r="C72" s="16">
        <f ca="1">IFERROR(ALL!G51,0)</f>
        <v>0</v>
      </c>
      <c r="D72" s="16">
        <f ca="1">IFERROR(ALL!H51,0)</f>
        <v>0</v>
      </c>
      <c r="E72" s="16">
        <f ca="1">IFERROR(ALL!I51,0)</f>
        <v>0</v>
      </c>
      <c r="F72" s="16">
        <f ca="1">IFERROR(ALL!J51,0)</f>
        <v>0</v>
      </c>
      <c r="G72" s="16">
        <f ca="1">IFERROR(ALL!K51,0)</f>
        <v>0</v>
      </c>
      <c r="H72" s="16">
        <f ca="1">IFERROR(ALL!L51,0)</f>
        <v>0</v>
      </c>
      <c r="I72" s="16">
        <f ca="1">IFERROR(ALL!M51,0)</f>
        <v>0</v>
      </c>
      <c r="J72" s="16">
        <f ca="1">IFERROR(ALL!N51,0)</f>
        <v>0</v>
      </c>
      <c r="K72" s="16">
        <f ca="1">IFERROR(ALL!O51,0)</f>
        <v>0</v>
      </c>
      <c r="L72" s="16">
        <f ca="1">IFERROR(ALL!P51,0)</f>
        <v>0</v>
      </c>
      <c r="M72" s="16">
        <f ca="1">IFERROR(ALL!Q51,0)</f>
        <v>0</v>
      </c>
      <c r="N72" s="16">
        <f ca="1">IFERROR(ALL!R51,0)</f>
        <v>0</v>
      </c>
      <c r="O72" s="16">
        <f ca="1">IFERROR(ALL!S51,0)</f>
        <v>0</v>
      </c>
      <c r="P72" s="16">
        <f ca="1">IFERROR(ALL!T51,0)</f>
        <v>0</v>
      </c>
      <c r="Q72" s="16">
        <f ca="1">IFERROR(ALL!U51,0)</f>
        <v>0</v>
      </c>
      <c r="R72" s="16">
        <f ca="1">IFERROR(ALL!V51,0)</f>
        <v>0</v>
      </c>
      <c r="S72" s="16">
        <f ca="1">IFERROR(ALL!W51,0)</f>
        <v>0</v>
      </c>
      <c r="T72" s="16">
        <f ca="1">IFERROR(ALL!X51,0)</f>
        <v>0</v>
      </c>
      <c r="U72" s="16">
        <f ca="1">IFERROR(ALL!Y51,0)</f>
        <v>0</v>
      </c>
      <c r="V72" s="16">
        <f ca="1">IFERROR(ALL!Z51,0)</f>
        <v>0</v>
      </c>
      <c r="W72" s="16">
        <f ca="1">IFERROR(ALL!AA51,0)</f>
        <v>0</v>
      </c>
      <c r="X72" s="16">
        <f ca="1">IFERROR(ALL!AB51,0)</f>
        <v>0</v>
      </c>
      <c r="Y72" s="16">
        <f ca="1">IFERROR(ALL!AC51,0)</f>
        <v>0</v>
      </c>
      <c r="Z72" s="16">
        <f ca="1">IFERROR(ALL!AD51,0)</f>
        <v>0</v>
      </c>
      <c r="AA72" s="16">
        <f ca="1">IFERROR(ALL!AE51,0)</f>
        <v>0</v>
      </c>
      <c r="AB72" s="16">
        <f ca="1">IFERROR(ALL!AF51,0)</f>
        <v>0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3"/>
    </row>
    <row r="73" spans="1:73" ht="21.75" hidden="1" outlineLevel="1" thickBot="1" x14ac:dyDescent="0.4">
      <c r="A73" s="87">
        <f>IFERROR(ALL!E52,0)</f>
        <v>0</v>
      </c>
      <c r="B73" s="16">
        <f ca="1">IFERROR(ALL!F52,0)</f>
        <v>0</v>
      </c>
      <c r="C73" s="16">
        <f ca="1">IFERROR(ALL!G52,0)</f>
        <v>0</v>
      </c>
      <c r="D73" s="16">
        <f ca="1">IFERROR(ALL!H52,0)</f>
        <v>0</v>
      </c>
      <c r="E73" s="16">
        <f ca="1">IFERROR(ALL!I52,0)</f>
        <v>0</v>
      </c>
      <c r="F73" s="16">
        <f ca="1">IFERROR(ALL!J52,0)</f>
        <v>0</v>
      </c>
      <c r="G73" s="16">
        <f ca="1">IFERROR(ALL!K52,0)</f>
        <v>0</v>
      </c>
      <c r="H73" s="16">
        <f ca="1">IFERROR(ALL!L52,0)</f>
        <v>0</v>
      </c>
      <c r="I73" s="16">
        <f ca="1">IFERROR(ALL!M52,0)</f>
        <v>0</v>
      </c>
      <c r="J73" s="16">
        <f ca="1">IFERROR(ALL!N52,0)</f>
        <v>0</v>
      </c>
      <c r="K73" s="16">
        <f ca="1">IFERROR(ALL!O52,0)</f>
        <v>0</v>
      </c>
      <c r="L73" s="16">
        <f ca="1">IFERROR(ALL!P52,0)</f>
        <v>0</v>
      </c>
      <c r="M73" s="16">
        <f ca="1">IFERROR(ALL!Q52,0)</f>
        <v>0</v>
      </c>
      <c r="N73" s="16">
        <f ca="1">IFERROR(ALL!R52,0)</f>
        <v>0</v>
      </c>
      <c r="O73" s="16">
        <f ca="1">IFERROR(ALL!S52,0)</f>
        <v>0</v>
      </c>
      <c r="P73" s="16">
        <f ca="1">IFERROR(ALL!T52,0)</f>
        <v>0</v>
      </c>
      <c r="Q73" s="16">
        <f ca="1">IFERROR(ALL!U52,0)</f>
        <v>0</v>
      </c>
      <c r="R73" s="16">
        <f ca="1">IFERROR(ALL!V52,0)</f>
        <v>0</v>
      </c>
      <c r="S73" s="16">
        <f ca="1">IFERROR(ALL!W52,0)</f>
        <v>0</v>
      </c>
      <c r="T73" s="16">
        <f ca="1">IFERROR(ALL!X52,0)</f>
        <v>0</v>
      </c>
      <c r="U73" s="16">
        <f ca="1">IFERROR(ALL!Y52,0)</f>
        <v>0</v>
      </c>
      <c r="V73" s="16">
        <f ca="1">IFERROR(ALL!Z52,0)</f>
        <v>0</v>
      </c>
      <c r="W73" s="16">
        <f ca="1">IFERROR(ALL!AA52,0)</f>
        <v>0</v>
      </c>
      <c r="X73" s="16">
        <f ca="1">IFERROR(ALL!AB52,0)</f>
        <v>0</v>
      </c>
      <c r="Y73" s="16">
        <f ca="1">IFERROR(ALL!AC52,0)</f>
        <v>0</v>
      </c>
      <c r="Z73" s="16">
        <f ca="1">IFERROR(ALL!AD52,0)</f>
        <v>0</v>
      </c>
      <c r="AA73" s="16">
        <f ca="1">IFERROR(ALL!AE52,0)</f>
        <v>0</v>
      </c>
      <c r="AB73" s="16">
        <f ca="1">IFERROR(ALL!AF52,0)</f>
        <v>0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3"/>
    </row>
    <row r="74" spans="1:73" ht="21.75" hidden="1" outlineLevel="1" thickBot="1" x14ac:dyDescent="0.4">
      <c r="A74" s="87">
        <f>IFERROR(ALL!E53,0)</f>
        <v>0</v>
      </c>
      <c r="B74" s="16">
        <f ca="1">IFERROR(ALL!F53,0)</f>
        <v>0</v>
      </c>
      <c r="C74" s="16">
        <f ca="1">IFERROR(ALL!G53,0)</f>
        <v>0</v>
      </c>
      <c r="D74" s="16">
        <f ca="1">IFERROR(ALL!H53,0)</f>
        <v>0</v>
      </c>
      <c r="E74" s="16">
        <f ca="1">IFERROR(ALL!I53,0)</f>
        <v>0</v>
      </c>
      <c r="F74" s="16">
        <f ca="1">IFERROR(ALL!J53,0)</f>
        <v>0</v>
      </c>
      <c r="G74" s="16">
        <f ca="1">IFERROR(ALL!K53,0)</f>
        <v>0</v>
      </c>
      <c r="H74" s="16">
        <f ca="1">IFERROR(ALL!L53,0)</f>
        <v>0</v>
      </c>
      <c r="I74" s="16">
        <f ca="1">IFERROR(ALL!M53,0)</f>
        <v>0</v>
      </c>
      <c r="J74" s="16">
        <f ca="1">IFERROR(ALL!N53,0)</f>
        <v>0</v>
      </c>
      <c r="K74" s="16">
        <f ca="1">IFERROR(ALL!O53,0)</f>
        <v>0</v>
      </c>
      <c r="L74" s="16">
        <f ca="1">IFERROR(ALL!P53,0)</f>
        <v>0</v>
      </c>
      <c r="M74" s="16">
        <f ca="1">IFERROR(ALL!Q53,0)</f>
        <v>0</v>
      </c>
      <c r="N74" s="16">
        <f ca="1">IFERROR(ALL!R53,0)</f>
        <v>0</v>
      </c>
      <c r="O74" s="16">
        <f ca="1">IFERROR(ALL!S53,0)</f>
        <v>0</v>
      </c>
      <c r="P74" s="16">
        <f ca="1">IFERROR(ALL!T53,0)</f>
        <v>0</v>
      </c>
      <c r="Q74" s="16">
        <f ca="1">IFERROR(ALL!U53,0)</f>
        <v>0</v>
      </c>
      <c r="R74" s="16">
        <f ca="1">IFERROR(ALL!V53,0)</f>
        <v>0</v>
      </c>
      <c r="S74" s="16">
        <f ca="1">IFERROR(ALL!W53,0)</f>
        <v>0</v>
      </c>
      <c r="T74" s="16">
        <f ca="1">IFERROR(ALL!X53,0)</f>
        <v>0</v>
      </c>
      <c r="U74" s="16">
        <f ca="1">IFERROR(ALL!Y53,0)</f>
        <v>0</v>
      </c>
      <c r="V74" s="16">
        <f ca="1">IFERROR(ALL!Z53,0)</f>
        <v>0</v>
      </c>
      <c r="W74" s="16">
        <f ca="1">IFERROR(ALL!AA53,0)</f>
        <v>0</v>
      </c>
      <c r="X74" s="16">
        <f ca="1">IFERROR(ALL!AB53,0)</f>
        <v>0</v>
      </c>
      <c r="Y74" s="16">
        <f ca="1">IFERROR(ALL!AC53,0)</f>
        <v>0</v>
      </c>
      <c r="Z74" s="16">
        <f ca="1">IFERROR(ALL!AD53,0)</f>
        <v>0</v>
      </c>
      <c r="AA74" s="16">
        <f ca="1">IFERROR(ALL!AE53,0)</f>
        <v>0</v>
      </c>
      <c r="AB74" s="16">
        <f ca="1">IFERROR(ALL!AF53,0)</f>
        <v>0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3"/>
    </row>
    <row r="75" spans="1:73" ht="21.75" hidden="1" outlineLevel="1" thickBot="1" x14ac:dyDescent="0.4">
      <c r="A75" s="87">
        <f>IFERROR(ALL!E54,0)</f>
        <v>0</v>
      </c>
      <c r="B75" s="16">
        <f ca="1">IFERROR(ALL!F54,0)</f>
        <v>0</v>
      </c>
      <c r="C75" s="16">
        <f ca="1">IFERROR(ALL!G54,0)</f>
        <v>0</v>
      </c>
      <c r="D75" s="16">
        <f ca="1">IFERROR(ALL!H54,0)</f>
        <v>0</v>
      </c>
      <c r="E75" s="16">
        <f ca="1">IFERROR(ALL!I54,0)</f>
        <v>0</v>
      </c>
      <c r="F75" s="16">
        <f ca="1">IFERROR(ALL!J54,0)</f>
        <v>0</v>
      </c>
      <c r="G75" s="16">
        <f ca="1">IFERROR(ALL!K54,0)</f>
        <v>0</v>
      </c>
      <c r="H75" s="16">
        <f ca="1">IFERROR(ALL!L54,0)</f>
        <v>0</v>
      </c>
      <c r="I75" s="16">
        <f ca="1">IFERROR(ALL!M54,0)</f>
        <v>0</v>
      </c>
      <c r="J75" s="16">
        <f ca="1">IFERROR(ALL!N54,0)</f>
        <v>0</v>
      </c>
      <c r="K75" s="16">
        <f ca="1">IFERROR(ALL!O54,0)</f>
        <v>0</v>
      </c>
      <c r="L75" s="16">
        <f ca="1">IFERROR(ALL!P54,0)</f>
        <v>0</v>
      </c>
      <c r="M75" s="16">
        <f ca="1">IFERROR(ALL!Q54,0)</f>
        <v>0</v>
      </c>
      <c r="N75" s="16">
        <f ca="1">IFERROR(ALL!R54,0)</f>
        <v>0</v>
      </c>
      <c r="O75" s="16">
        <f ca="1">IFERROR(ALL!S54,0)</f>
        <v>0</v>
      </c>
      <c r="P75" s="16">
        <f ca="1">IFERROR(ALL!T54,0)</f>
        <v>0</v>
      </c>
      <c r="Q75" s="16">
        <f ca="1">IFERROR(ALL!U54,0)</f>
        <v>0</v>
      </c>
      <c r="R75" s="16">
        <f ca="1">IFERROR(ALL!V54,0)</f>
        <v>0</v>
      </c>
      <c r="S75" s="16">
        <f ca="1">IFERROR(ALL!W54,0)</f>
        <v>0</v>
      </c>
      <c r="T75" s="16">
        <f ca="1">IFERROR(ALL!X54,0)</f>
        <v>0</v>
      </c>
      <c r="U75" s="16">
        <f ca="1">IFERROR(ALL!Y54,0)</f>
        <v>0</v>
      </c>
      <c r="V75" s="16">
        <f ca="1">IFERROR(ALL!Z54,0)</f>
        <v>0</v>
      </c>
      <c r="W75" s="16">
        <f ca="1">IFERROR(ALL!AA54,0)</f>
        <v>0</v>
      </c>
      <c r="X75" s="16">
        <f ca="1">IFERROR(ALL!AB54,0)</f>
        <v>0</v>
      </c>
      <c r="Y75" s="16">
        <f ca="1">IFERROR(ALL!AC54,0)</f>
        <v>0</v>
      </c>
      <c r="Z75" s="16">
        <f ca="1">IFERROR(ALL!AD54,0)</f>
        <v>0</v>
      </c>
      <c r="AA75" s="16">
        <f ca="1">IFERROR(ALL!AE54,0)</f>
        <v>0</v>
      </c>
      <c r="AB75" s="16">
        <f ca="1">IFERROR(ALL!AF54,0)</f>
        <v>0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3"/>
    </row>
    <row r="76" spans="1:73" ht="21.75" hidden="1" outlineLevel="1" thickBot="1" x14ac:dyDescent="0.4">
      <c r="A76" s="87">
        <f>IFERROR(ALL!E55,0)</f>
        <v>0</v>
      </c>
      <c r="B76" s="16">
        <f ca="1">IFERROR(ALL!F55,0)</f>
        <v>0</v>
      </c>
      <c r="C76" s="16">
        <f ca="1">IFERROR(ALL!G55,0)</f>
        <v>0</v>
      </c>
      <c r="D76" s="16">
        <f ca="1">IFERROR(ALL!H55,0)</f>
        <v>0</v>
      </c>
      <c r="E76" s="16">
        <f ca="1">IFERROR(ALL!I55,0)</f>
        <v>0</v>
      </c>
      <c r="F76" s="16">
        <f ca="1">IFERROR(ALL!J55,0)</f>
        <v>0</v>
      </c>
      <c r="G76" s="16">
        <f ca="1">IFERROR(ALL!K55,0)</f>
        <v>0</v>
      </c>
      <c r="H76" s="16">
        <f ca="1">IFERROR(ALL!L55,0)</f>
        <v>0</v>
      </c>
      <c r="I76" s="16">
        <f ca="1">IFERROR(ALL!M55,0)</f>
        <v>0</v>
      </c>
      <c r="J76" s="16">
        <f ca="1">IFERROR(ALL!N55,0)</f>
        <v>0</v>
      </c>
      <c r="K76" s="16">
        <f ca="1">IFERROR(ALL!O55,0)</f>
        <v>0</v>
      </c>
      <c r="L76" s="16">
        <f ca="1">IFERROR(ALL!P55,0)</f>
        <v>0</v>
      </c>
      <c r="M76" s="16">
        <f ca="1">IFERROR(ALL!Q55,0)</f>
        <v>0</v>
      </c>
      <c r="N76" s="16">
        <f ca="1">IFERROR(ALL!R55,0)</f>
        <v>0</v>
      </c>
      <c r="O76" s="16">
        <f ca="1">IFERROR(ALL!S55,0)</f>
        <v>0</v>
      </c>
      <c r="P76" s="16">
        <f ca="1">IFERROR(ALL!T55,0)</f>
        <v>0</v>
      </c>
      <c r="Q76" s="16">
        <f ca="1">IFERROR(ALL!U55,0)</f>
        <v>0</v>
      </c>
      <c r="R76" s="16">
        <f ca="1">IFERROR(ALL!V55,0)</f>
        <v>0</v>
      </c>
      <c r="S76" s="16">
        <f ca="1">IFERROR(ALL!W55,0)</f>
        <v>0</v>
      </c>
      <c r="T76" s="16">
        <f ca="1">IFERROR(ALL!X55,0)</f>
        <v>0</v>
      </c>
      <c r="U76" s="16">
        <f ca="1">IFERROR(ALL!Y55,0)</f>
        <v>0</v>
      </c>
      <c r="V76" s="16">
        <f ca="1">IFERROR(ALL!Z55,0)</f>
        <v>0</v>
      </c>
      <c r="W76" s="16">
        <f ca="1">IFERROR(ALL!AA55,0)</f>
        <v>0</v>
      </c>
      <c r="X76" s="16">
        <f ca="1">IFERROR(ALL!AB55,0)</f>
        <v>0</v>
      </c>
      <c r="Y76" s="16">
        <f ca="1">IFERROR(ALL!AC55,0)</f>
        <v>0</v>
      </c>
      <c r="Z76" s="16">
        <f ca="1">IFERROR(ALL!AD55,0)</f>
        <v>0</v>
      </c>
      <c r="AA76" s="16">
        <f ca="1">IFERROR(ALL!AE55,0)</f>
        <v>0</v>
      </c>
      <c r="AB76" s="16">
        <f ca="1">IFERROR(ALL!AF55,0)</f>
        <v>0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3"/>
    </row>
    <row r="77" spans="1:73" ht="21.75" hidden="1" outlineLevel="1" thickBot="1" x14ac:dyDescent="0.4">
      <c r="A77" s="87">
        <f>IFERROR(ALL!E56,0)</f>
        <v>0</v>
      </c>
      <c r="B77" s="16">
        <f ca="1">IFERROR(ALL!F56,0)</f>
        <v>0</v>
      </c>
      <c r="C77" s="16">
        <f ca="1">IFERROR(ALL!G56,0)</f>
        <v>0</v>
      </c>
      <c r="D77" s="16">
        <f ca="1">IFERROR(ALL!H56,0)</f>
        <v>0</v>
      </c>
      <c r="E77" s="16">
        <f ca="1">IFERROR(ALL!I56,0)</f>
        <v>0</v>
      </c>
      <c r="F77" s="16">
        <f ca="1">IFERROR(ALL!J56,0)</f>
        <v>0</v>
      </c>
      <c r="G77" s="16">
        <f ca="1">IFERROR(ALL!K56,0)</f>
        <v>0</v>
      </c>
      <c r="H77" s="16">
        <f ca="1">IFERROR(ALL!L56,0)</f>
        <v>0</v>
      </c>
      <c r="I77" s="16">
        <f ca="1">IFERROR(ALL!M56,0)</f>
        <v>0</v>
      </c>
      <c r="J77" s="16">
        <f ca="1">IFERROR(ALL!N56,0)</f>
        <v>0</v>
      </c>
      <c r="K77" s="16">
        <f ca="1">IFERROR(ALL!O56,0)</f>
        <v>0</v>
      </c>
      <c r="L77" s="16">
        <f ca="1">IFERROR(ALL!P56,0)</f>
        <v>0</v>
      </c>
      <c r="M77" s="16">
        <f ca="1">IFERROR(ALL!Q56,0)</f>
        <v>0</v>
      </c>
      <c r="N77" s="16">
        <f ca="1">IFERROR(ALL!R56,0)</f>
        <v>0</v>
      </c>
      <c r="O77" s="16">
        <f ca="1">IFERROR(ALL!S56,0)</f>
        <v>0</v>
      </c>
      <c r="P77" s="16">
        <f ca="1">IFERROR(ALL!T56,0)</f>
        <v>0</v>
      </c>
      <c r="Q77" s="16">
        <f ca="1">IFERROR(ALL!U56,0)</f>
        <v>0</v>
      </c>
      <c r="R77" s="16">
        <f ca="1">IFERROR(ALL!V56,0)</f>
        <v>0</v>
      </c>
      <c r="S77" s="16">
        <f ca="1">IFERROR(ALL!W56,0)</f>
        <v>0</v>
      </c>
      <c r="T77" s="16">
        <f ca="1">IFERROR(ALL!X56,0)</f>
        <v>0</v>
      </c>
      <c r="U77" s="16">
        <f ca="1">IFERROR(ALL!Y56,0)</f>
        <v>0</v>
      </c>
      <c r="V77" s="16">
        <f ca="1">IFERROR(ALL!Z56,0)</f>
        <v>0</v>
      </c>
      <c r="W77" s="16">
        <f ca="1">IFERROR(ALL!AA56,0)</f>
        <v>0</v>
      </c>
      <c r="X77" s="16">
        <f ca="1">IFERROR(ALL!AB56,0)</f>
        <v>0</v>
      </c>
      <c r="Y77" s="16">
        <f ca="1">IFERROR(ALL!AC56,0)</f>
        <v>0</v>
      </c>
      <c r="Z77" s="16">
        <f ca="1">IFERROR(ALL!AD56,0)</f>
        <v>0</v>
      </c>
      <c r="AA77" s="16">
        <f ca="1">IFERROR(ALL!AE56,0)</f>
        <v>0</v>
      </c>
      <c r="AB77" s="16">
        <f ca="1">IFERROR(ALL!AF56,0)</f>
        <v>0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3"/>
    </row>
    <row r="78" spans="1:73" ht="21.75" hidden="1" outlineLevel="1" thickBot="1" x14ac:dyDescent="0.4">
      <c r="A78" s="87">
        <f>IFERROR(ALL!E57,0)</f>
        <v>0</v>
      </c>
      <c r="B78" s="16">
        <f ca="1">IFERROR(ALL!F57,0)</f>
        <v>0</v>
      </c>
      <c r="C78" s="16">
        <f ca="1">IFERROR(ALL!G57,0)</f>
        <v>0</v>
      </c>
      <c r="D78" s="16">
        <f ca="1">IFERROR(ALL!H57,0)</f>
        <v>0</v>
      </c>
      <c r="E78" s="16">
        <f ca="1">IFERROR(ALL!I57,0)</f>
        <v>0</v>
      </c>
      <c r="F78" s="16">
        <f ca="1">IFERROR(ALL!J57,0)</f>
        <v>0</v>
      </c>
      <c r="G78" s="16">
        <f ca="1">IFERROR(ALL!K57,0)</f>
        <v>0</v>
      </c>
      <c r="H78" s="16">
        <f ca="1">IFERROR(ALL!L57,0)</f>
        <v>0</v>
      </c>
      <c r="I78" s="16">
        <f ca="1">IFERROR(ALL!M57,0)</f>
        <v>0</v>
      </c>
      <c r="J78" s="16">
        <f ca="1">IFERROR(ALL!N57,0)</f>
        <v>0</v>
      </c>
      <c r="K78" s="16">
        <f ca="1">IFERROR(ALL!O57,0)</f>
        <v>0</v>
      </c>
      <c r="L78" s="16">
        <f ca="1">IFERROR(ALL!P57,0)</f>
        <v>0</v>
      </c>
      <c r="M78" s="16">
        <f ca="1">IFERROR(ALL!Q57,0)</f>
        <v>0</v>
      </c>
      <c r="N78" s="16">
        <f ca="1">IFERROR(ALL!R57,0)</f>
        <v>0</v>
      </c>
      <c r="O78" s="16">
        <f ca="1">IFERROR(ALL!S57,0)</f>
        <v>0</v>
      </c>
      <c r="P78" s="16">
        <f ca="1">IFERROR(ALL!T57,0)</f>
        <v>0</v>
      </c>
      <c r="Q78" s="16">
        <f ca="1">IFERROR(ALL!U57,0)</f>
        <v>0</v>
      </c>
      <c r="R78" s="16">
        <f ca="1">IFERROR(ALL!V57,0)</f>
        <v>0</v>
      </c>
      <c r="S78" s="16">
        <f ca="1">IFERROR(ALL!W57,0)</f>
        <v>0</v>
      </c>
      <c r="T78" s="16">
        <f ca="1">IFERROR(ALL!X57,0)</f>
        <v>0</v>
      </c>
      <c r="U78" s="16">
        <f ca="1">IFERROR(ALL!Y57,0)</f>
        <v>0</v>
      </c>
      <c r="V78" s="16">
        <f ca="1">IFERROR(ALL!Z57,0)</f>
        <v>0</v>
      </c>
      <c r="W78" s="16">
        <f ca="1">IFERROR(ALL!AA57,0)</f>
        <v>0</v>
      </c>
      <c r="X78" s="16">
        <f ca="1">IFERROR(ALL!AB57,0)</f>
        <v>0</v>
      </c>
      <c r="Y78" s="16">
        <f ca="1">IFERROR(ALL!AC57,0)</f>
        <v>0</v>
      </c>
      <c r="Z78" s="16">
        <f ca="1">IFERROR(ALL!AD57,0)</f>
        <v>0</v>
      </c>
      <c r="AA78" s="16">
        <f ca="1">IFERROR(ALL!AE57,0)</f>
        <v>0</v>
      </c>
      <c r="AB78" s="16">
        <f ca="1">IFERROR(ALL!AF57,0)</f>
        <v>0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3"/>
    </row>
    <row r="79" spans="1:73" ht="21.75" hidden="1" outlineLevel="1" thickBot="1" x14ac:dyDescent="0.4">
      <c r="A79" s="87">
        <f>IFERROR(ALL!E58,0)</f>
        <v>0</v>
      </c>
      <c r="B79" s="16">
        <f ca="1">IFERROR(ALL!F58,0)</f>
        <v>0</v>
      </c>
      <c r="C79" s="16">
        <f ca="1">IFERROR(ALL!G58,0)</f>
        <v>0</v>
      </c>
      <c r="D79" s="16">
        <f ca="1">IFERROR(ALL!H58,0)</f>
        <v>0</v>
      </c>
      <c r="E79" s="16">
        <f ca="1">IFERROR(ALL!I58,0)</f>
        <v>0</v>
      </c>
      <c r="F79" s="16">
        <f ca="1">IFERROR(ALL!J58,0)</f>
        <v>0</v>
      </c>
      <c r="G79" s="16">
        <f ca="1">IFERROR(ALL!K58,0)</f>
        <v>0</v>
      </c>
      <c r="H79" s="16">
        <f ca="1">IFERROR(ALL!L58,0)</f>
        <v>0</v>
      </c>
      <c r="I79" s="16">
        <f ca="1">IFERROR(ALL!M58,0)</f>
        <v>0</v>
      </c>
      <c r="J79" s="16">
        <f ca="1">IFERROR(ALL!N58,0)</f>
        <v>0</v>
      </c>
      <c r="K79" s="16">
        <f ca="1">IFERROR(ALL!O58,0)</f>
        <v>0</v>
      </c>
      <c r="L79" s="16">
        <f ca="1">IFERROR(ALL!P58,0)</f>
        <v>0</v>
      </c>
      <c r="M79" s="16">
        <f ca="1">IFERROR(ALL!Q58,0)</f>
        <v>0</v>
      </c>
      <c r="N79" s="16">
        <f ca="1">IFERROR(ALL!R58,0)</f>
        <v>0</v>
      </c>
      <c r="O79" s="16">
        <f ca="1">IFERROR(ALL!S58,0)</f>
        <v>0</v>
      </c>
      <c r="P79" s="16">
        <f ca="1">IFERROR(ALL!T58,0)</f>
        <v>0</v>
      </c>
      <c r="Q79" s="16">
        <f ca="1">IFERROR(ALL!U58,0)</f>
        <v>0</v>
      </c>
      <c r="R79" s="16">
        <f ca="1">IFERROR(ALL!V58,0)</f>
        <v>0</v>
      </c>
      <c r="S79" s="16">
        <f ca="1">IFERROR(ALL!W58,0)</f>
        <v>0</v>
      </c>
      <c r="T79" s="16">
        <f ca="1">IFERROR(ALL!X58,0)</f>
        <v>0</v>
      </c>
      <c r="U79" s="16">
        <f ca="1">IFERROR(ALL!Y58,0)</f>
        <v>0</v>
      </c>
      <c r="V79" s="16">
        <f ca="1">IFERROR(ALL!Z58,0)</f>
        <v>0</v>
      </c>
      <c r="W79" s="16">
        <f ca="1">IFERROR(ALL!AA58,0)</f>
        <v>0</v>
      </c>
      <c r="X79" s="16">
        <f ca="1">IFERROR(ALL!AB58,0)</f>
        <v>0</v>
      </c>
      <c r="Y79" s="16">
        <f ca="1">IFERROR(ALL!AC58,0)</f>
        <v>0</v>
      </c>
      <c r="Z79" s="16">
        <f ca="1">IFERROR(ALL!AD58,0)</f>
        <v>0</v>
      </c>
      <c r="AA79" s="16">
        <f ca="1">IFERROR(ALL!AE58,0)</f>
        <v>0</v>
      </c>
      <c r="AB79" s="16">
        <f ca="1">IFERROR(ALL!AF58,0)</f>
        <v>0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3"/>
    </row>
    <row r="80" spans="1:73" ht="21.75" hidden="1" outlineLevel="1" thickBot="1" x14ac:dyDescent="0.4">
      <c r="A80" s="87">
        <f>IFERROR(ALL!E59,0)</f>
        <v>0</v>
      </c>
      <c r="B80" s="16">
        <f ca="1">IFERROR(ALL!F59,0)</f>
        <v>0</v>
      </c>
      <c r="C80" s="16">
        <f ca="1">IFERROR(ALL!G59,0)</f>
        <v>0</v>
      </c>
      <c r="D80" s="16">
        <f ca="1">IFERROR(ALL!H59,0)</f>
        <v>0</v>
      </c>
      <c r="E80" s="16">
        <f ca="1">IFERROR(ALL!I59,0)</f>
        <v>0</v>
      </c>
      <c r="F80" s="16">
        <f ca="1">IFERROR(ALL!J59,0)</f>
        <v>0</v>
      </c>
      <c r="G80" s="16">
        <f ca="1">IFERROR(ALL!K59,0)</f>
        <v>0</v>
      </c>
      <c r="H80" s="16">
        <f ca="1">IFERROR(ALL!L59,0)</f>
        <v>0</v>
      </c>
      <c r="I80" s="16">
        <f ca="1">IFERROR(ALL!M59,0)</f>
        <v>0</v>
      </c>
      <c r="J80" s="16">
        <f ca="1">IFERROR(ALL!N59,0)</f>
        <v>0</v>
      </c>
      <c r="K80" s="16">
        <f ca="1">IFERROR(ALL!O59,0)</f>
        <v>0</v>
      </c>
      <c r="L80" s="16">
        <f ca="1">IFERROR(ALL!P59,0)</f>
        <v>0</v>
      </c>
      <c r="M80" s="16">
        <f ca="1">IFERROR(ALL!Q59,0)</f>
        <v>0</v>
      </c>
      <c r="N80" s="16">
        <f ca="1">IFERROR(ALL!R59,0)</f>
        <v>0</v>
      </c>
      <c r="O80" s="16">
        <f ca="1">IFERROR(ALL!S59,0)</f>
        <v>0</v>
      </c>
      <c r="P80" s="16">
        <f ca="1">IFERROR(ALL!T59,0)</f>
        <v>0</v>
      </c>
      <c r="Q80" s="16">
        <f ca="1">IFERROR(ALL!U59,0)</f>
        <v>0</v>
      </c>
      <c r="R80" s="16">
        <f ca="1">IFERROR(ALL!V59,0)</f>
        <v>0</v>
      </c>
      <c r="S80" s="16">
        <f ca="1">IFERROR(ALL!W59,0)</f>
        <v>0</v>
      </c>
      <c r="T80" s="16">
        <f ca="1">IFERROR(ALL!X59,0)</f>
        <v>0</v>
      </c>
      <c r="U80" s="16">
        <f ca="1">IFERROR(ALL!Y59,0)</f>
        <v>0</v>
      </c>
      <c r="V80" s="16">
        <f ca="1">IFERROR(ALL!Z59,0)</f>
        <v>0</v>
      </c>
      <c r="W80" s="16">
        <f ca="1">IFERROR(ALL!AA59,0)</f>
        <v>0</v>
      </c>
      <c r="X80" s="16">
        <f ca="1">IFERROR(ALL!AB59,0)</f>
        <v>0</v>
      </c>
      <c r="Y80" s="16">
        <f ca="1">IFERROR(ALL!AC59,0)</f>
        <v>0</v>
      </c>
      <c r="Z80" s="16">
        <f ca="1">IFERROR(ALL!AD59,0)</f>
        <v>0</v>
      </c>
      <c r="AA80" s="16">
        <f ca="1">IFERROR(ALL!AE59,0)</f>
        <v>0</v>
      </c>
      <c r="AB80" s="16">
        <f ca="1">IFERROR(ALL!AF59,0)</f>
        <v>0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3"/>
    </row>
    <row r="81" spans="1:73" ht="21.75" hidden="1" outlineLevel="1" thickBot="1" x14ac:dyDescent="0.4">
      <c r="A81" s="87">
        <f>IFERROR(ALL!E60,0)</f>
        <v>0</v>
      </c>
      <c r="B81" s="16">
        <f ca="1">IFERROR(ALL!F60,0)</f>
        <v>0</v>
      </c>
      <c r="C81" s="16">
        <f ca="1">IFERROR(ALL!G60,0)</f>
        <v>0</v>
      </c>
      <c r="D81" s="16">
        <f ca="1">IFERROR(ALL!H60,0)</f>
        <v>0</v>
      </c>
      <c r="E81" s="16">
        <f ca="1">IFERROR(ALL!I60,0)</f>
        <v>0</v>
      </c>
      <c r="F81" s="16">
        <f ca="1">IFERROR(ALL!J60,0)</f>
        <v>0</v>
      </c>
      <c r="G81" s="16">
        <f ca="1">IFERROR(ALL!K60,0)</f>
        <v>0</v>
      </c>
      <c r="H81" s="16">
        <f ca="1">IFERROR(ALL!L60,0)</f>
        <v>0</v>
      </c>
      <c r="I81" s="16">
        <f ca="1">IFERROR(ALL!M60,0)</f>
        <v>0</v>
      </c>
      <c r="J81" s="16">
        <f ca="1">IFERROR(ALL!N60,0)</f>
        <v>0</v>
      </c>
      <c r="K81" s="16">
        <f ca="1">IFERROR(ALL!O60,0)</f>
        <v>0</v>
      </c>
      <c r="L81" s="16">
        <f ca="1">IFERROR(ALL!P60,0)</f>
        <v>0</v>
      </c>
      <c r="M81" s="16">
        <f ca="1">IFERROR(ALL!Q60,0)</f>
        <v>0</v>
      </c>
      <c r="N81" s="16">
        <f ca="1">IFERROR(ALL!R60,0)</f>
        <v>0</v>
      </c>
      <c r="O81" s="16">
        <f ca="1">IFERROR(ALL!S60,0)</f>
        <v>0</v>
      </c>
      <c r="P81" s="16">
        <f ca="1">IFERROR(ALL!T60,0)</f>
        <v>0</v>
      </c>
      <c r="Q81" s="16">
        <f ca="1">IFERROR(ALL!U60,0)</f>
        <v>0</v>
      </c>
      <c r="R81" s="16">
        <f ca="1">IFERROR(ALL!V60,0)</f>
        <v>0</v>
      </c>
      <c r="S81" s="16">
        <f ca="1">IFERROR(ALL!W60,0)</f>
        <v>0</v>
      </c>
      <c r="T81" s="16">
        <f ca="1">IFERROR(ALL!X60,0)</f>
        <v>0</v>
      </c>
      <c r="U81" s="16">
        <f ca="1">IFERROR(ALL!Y60,0)</f>
        <v>0</v>
      </c>
      <c r="V81" s="16">
        <f ca="1">IFERROR(ALL!Z60,0)</f>
        <v>0</v>
      </c>
      <c r="W81" s="16">
        <f ca="1">IFERROR(ALL!AA60,0)</f>
        <v>0</v>
      </c>
      <c r="X81" s="16">
        <f ca="1">IFERROR(ALL!AB60,0)</f>
        <v>0</v>
      </c>
      <c r="Y81" s="16">
        <f ca="1">IFERROR(ALL!AC60,0)</f>
        <v>0</v>
      </c>
      <c r="Z81" s="16">
        <f ca="1">IFERROR(ALL!AD60,0)</f>
        <v>0</v>
      </c>
      <c r="AA81" s="16">
        <f ca="1">IFERROR(ALL!AE60,0)</f>
        <v>0</v>
      </c>
      <c r="AB81" s="16">
        <f ca="1">IFERROR(ALL!AF60,0)</f>
        <v>0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3"/>
    </row>
    <row r="82" spans="1:73" ht="21.75" hidden="1" outlineLevel="1" thickBot="1" x14ac:dyDescent="0.4">
      <c r="A82" s="87">
        <f>IFERROR(ALL!E61,0)</f>
        <v>0</v>
      </c>
      <c r="B82" s="16">
        <f ca="1">IFERROR(ALL!F61,0)</f>
        <v>0</v>
      </c>
      <c r="C82" s="16">
        <f ca="1">IFERROR(ALL!G61,0)</f>
        <v>0</v>
      </c>
      <c r="D82" s="16">
        <f ca="1">IFERROR(ALL!H61,0)</f>
        <v>0</v>
      </c>
      <c r="E82" s="16">
        <f ca="1">IFERROR(ALL!I61,0)</f>
        <v>0</v>
      </c>
      <c r="F82" s="16">
        <f ca="1">IFERROR(ALL!J61,0)</f>
        <v>0</v>
      </c>
      <c r="G82" s="16">
        <f ca="1">IFERROR(ALL!K61,0)</f>
        <v>0</v>
      </c>
      <c r="H82" s="16">
        <f ca="1">IFERROR(ALL!L61,0)</f>
        <v>0</v>
      </c>
      <c r="I82" s="16">
        <f ca="1">IFERROR(ALL!M61,0)</f>
        <v>0</v>
      </c>
      <c r="J82" s="16">
        <f ca="1">IFERROR(ALL!N61,0)</f>
        <v>0</v>
      </c>
      <c r="K82" s="16">
        <f ca="1">IFERROR(ALL!O61,0)</f>
        <v>0</v>
      </c>
      <c r="L82" s="16">
        <f ca="1">IFERROR(ALL!P61,0)</f>
        <v>0</v>
      </c>
      <c r="M82" s="16">
        <f ca="1">IFERROR(ALL!Q61,0)</f>
        <v>0</v>
      </c>
      <c r="N82" s="16">
        <f ca="1">IFERROR(ALL!R61,0)</f>
        <v>0</v>
      </c>
      <c r="O82" s="16">
        <f ca="1">IFERROR(ALL!S61,0)</f>
        <v>0</v>
      </c>
      <c r="P82" s="16">
        <f ca="1">IFERROR(ALL!T61,0)</f>
        <v>0</v>
      </c>
      <c r="Q82" s="16">
        <f ca="1">IFERROR(ALL!U61,0)</f>
        <v>0</v>
      </c>
      <c r="R82" s="16">
        <f ca="1">IFERROR(ALL!V61,0)</f>
        <v>0</v>
      </c>
      <c r="S82" s="16">
        <f ca="1">IFERROR(ALL!W61,0)</f>
        <v>0</v>
      </c>
      <c r="T82" s="16">
        <f ca="1">IFERROR(ALL!X61,0)</f>
        <v>0</v>
      </c>
      <c r="U82" s="16">
        <f ca="1">IFERROR(ALL!Y61,0)</f>
        <v>0</v>
      </c>
      <c r="V82" s="16">
        <f ca="1">IFERROR(ALL!Z61,0)</f>
        <v>0</v>
      </c>
      <c r="W82" s="16">
        <f ca="1">IFERROR(ALL!AA61,0)</f>
        <v>0</v>
      </c>
      <c r="X82" s="16">
        <f ca="1">IFERROR(ALL!AB61,0)</f>
        <v>0</v>
      </c>
      <c r="Y82" s="16">
        <f ca="1">IFERROR(ALL!AC61,0)</f>
        <v>0</v>
      </c>
      <c r="Z82" s="16">
        <f ca="1">IFERROR(ALL!AD61,0)</f>
        <v>0</v>
      </c>
      <c r="AA82" s="16">
        <f ca="1">IFERROR(ALL!AE61,0)</f>
        <v>0</v>
      </c>
      <c r="AB82" s="16">
        <f ca="1">IFERROR(ALL!AF61,0)</f>
        <v>0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3"/>
    </row>
    <row r="83" spans="1:73" ht="21.75" hidden="1" outlineLevel="1" thickBot="1" x14ac:dyDescent="0.4">
      <c r="A83" s="87">
        <f>IFERROR(ALL!E62,0)</f>
        <v>0</v>
      </c>
      <c r="B83" s="16">
        <f ca="1">IFERROR(ALL!F62,0)</f>
        <v>0</v>
      </c>
      <c r="C83" s="16">
        <f ca="1">IFERROR(ALL!G62,0)</f>
        <v>0</v>
      </c>
      <c r="D83" s="16">
        <f ca="1">IFERROR(ALL!H62,0)</f>
        <v>0</v>
      </c>
      <c r="E83" s="16">
        <f ca="1">IFERROR(ALL!I62,0)</f>
        <v>0</v>
      </c>
      <c r="F83" s="16">
        <f ca="1">IFERROR(ALL!J62,0)</f>
        <v>0</v>
      </c>
      <c r="G83" s="16">
        <f ca="1">IFERROR(ALL!K62,0)</f>
        <v>0</v>
      </c>
      <c r="H83" s="16">
        <f ca="1">IFERROR(ALL!L62,0)</f>
        <v>0</v>
      </c>
      <c r="I83" s="16">
        <f ca="1">IFERROR(ALL!M62,0)</f>
        <v>0</v>
      </c>
      <c r="J83" s="16">
        <f ca="1">IFERROR(ALL!N62,0)</f>
        <v>0</v>
      </c>
      <c r="K83" s="16">
        <f ca="1">IFERROR(ALL!O62,0)</f>
        <v>0</v>
      </c>
      <c r="L83" s="16">
        <f ca="1">IFERROR(ALL!P62,0)</f>
        <v>0</v>
      </c>
      <c r="M83" s="16">
        <f ca="1">IFERROR(ALL!Q62,0)</f>
        <v>0</v>
      </c>
      <c r="N83" s="16">
        <f ca="1">IFERROR(ALL!R62,0)</f>
        <v>0</v>
      </c>
      <c r="O83" s="16">
        <f ca="1">IFERROR(ALL!S62,0)</f>
        <v>0</v>
      </c>
      <c r="P83" s="16">
        <f ca="1">IFERROR(ALL!T62,0)</f>
        <v>0</v>
      </c>
      <c r="Q83" s="16">
        <f ca="1">IFERROR(ALL!U62,0)</f>
        <v>0</v>
      </c>
      <c r="R83" s="16">
        <f ca="1">IFERROR(ALL!V62,0)</f>
        <v>0</v>
      </c>
      <c r="S83" s="16">
        <f ca="1">IFERROR(ALL!W62,0)</f>
        <v>0</v>
      </c>
      <c r="T83" s="16">
        <f ca="1">IFERROR(ALL!X62,0)</f>
        <v>0</v>
      </c>
      <c r="U83" s="16">
        <f ca="1">IFERROR(ALL!Y62,0)</f>
        <v>0</v>
      </c>
      <c r="V83" s="16">
        <f ca="1">IFERROR(ALL!Z62,0)</f>
        <v>0</v>
      </c>
      <c r="W83" s="16">
        <f ca="1">IFERROR(ALL!AA62,0)</f>
        <v>0</v>
      </c>
      <c r="X83" s="16">
        <f ca="1">IFERROR(ALL!AB62,0)</f>
        <v>0</v>
      </c>
      <c r="Y83" s="16">
        <f ca="1">IFERROR(ALL!AC62,0)</f>
        <v>0</v>
      </c>
      <c r="Z83" s="16">
        <f ca="1">IFERROR(ALL!AD62,0)</f>
        <v>0</v>
      </c>
      <c r="AA83" s="16">
        <f ca="1">IFERROR(ALL!AE62,0)</f>
        <v>0</v>
      </c>
      <c r="AB83" s="16">
        <f ca="1">IFERROR(ALL!AF62,0)</f>
        <v>0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3"/>
    </row>
    <row r="84" spans="1:73" ht="21.75" hidden="1" outlineLevel="1" thickBot="1" x14ac:dyDescent="0.4">
      <c r="A84" s="87">
        <f>IFERROR(ALL!E63,0)</f>
        <v>0</v>
      </c>
      <c r="B84" s="16">
        <f ca="1">IFERROR(ALL!F63,0)</f>
        <v>0</v>
      </c>
      <c r="C84" s="16">
        <f ca="1">IFERROR(ALL!G63,0)</f>
        <v>0</v>
      </c>
      <c r="D84" s="16">
        <f ca="1">IFERROR(ALL!H63,0)</f>
        <v>0</v>
      </c>
      <c r="E84" s="16">
        <f ca="1">IFERROR(ALL!I63,0)</f>
        <v>0</v>
      </c>
      <c r="F84" s="16">
        <f ca="1">IFERROR(ALL!J63,0)</f>
        <v>0</v>
      </c>
      <c r="G84" s="16">
        <f ca="1">IFERROR(ALL!K63,0)</f>
        <v>0</v>
      </c>
      <c r="H84" s="16">
        <f ca="1">IFERROR(ALL!L63,0)</f>
        <v>0</v>
      </c>
      <c r="I84" s="16">
        <f ca="1">IFERROR(ALL!M63,0)</f>
        <v>0</v>
      </c>
      <c r="J84" s="16">
        <f ca="1">IFERROR(ALL!N63,0)</f>
        <v>0</v>
      </c>
      <c r="K84" s="16">
        <f ca="1">IFERROR(ALL!O63,0)</f>
        <v>0</v>
      </c>
      <c r="L84" s="16">
        <f ca="1">IFERROR(ALL!P63,0)</f>
        <v>0</v>
      </c>
      <c r="M84" s="16">
        <f ca="1">IFERROR(ALL!Q63,0)</f>
        <v>0</v>
      </c>
      <c r="N84" s="16">
        <f ca="1">IFERROR(ALL!R63,0)</f>
        <v>0</v>
      </c>
      <c r="O84" s="16">
        <f ca="1">IFERROR(ALL!S63,0)</f>
        <v>0</v>
      </c>
      <c r="P84" s="16">
        <f ca="1">IFERROR(ALL!T63,0)</f>
        <v>0</v>
      </c>
      <c r="Q84" s="16">
        <f ca="1">IFERROR(ALL!U63,0)</f>
        <v>0</v>
      </c>
      <c r="R84" s="16">
        <f ca="1">IFERROR(ALL!V63,0)</f>
        <v>0</v>
      </c>
      <c r="S84" s="16">
        <f ca="1">IFERROR(ALL!W63,0)</f>
        <v>0</v>
      </c>
      <c r="T84" s="16">
        <f ca="1">IFERROR(ALL!X63,0)</f>
        <v>0</v>
      </c>
      <c r="U84" s="16">
        <f ca="1">IFERROR(ALL!Y63,0)</f>
        <v>0</v>
      </c>
      <c r="V84" s="16">
        <f ca="1">IFERROR(ALL!Z63,0)</f>
        <v>0</v>
      </c>
      <c r="W84" s="16">
        <f ca="1">IFERROR(ALL!AA63,0)</f>
        <v>0</v>
      </c>
      <c r="X84" s="16">
        <f ca="1">IFERROR(ALL!AB63,0)</f>
        <v>0</v>
      </c>
      <c r="Y84" s="16">
        <f ca="1">IFERROR(ALL!AC63,0)</f>
        <v>0</v>
      </c>
      <c r="Z84" s="16">
        <f ca="1">IFERROR(ALL!AD63,0)</f>
        <v>0</v>
      </c>
      <c r="AA84" s="16">
        <f ca="1">IFERROR(ALL!AE63,0)</f>
        <v>0</v>
      </c>
      <c r="AB84" s="16">
        <f ca="1">IFERROR(ALL!AF63,0)</f>
        <v>0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3"/>
    </row>
    <row r="85" spans="1:73" ht="21.75" hidden="1" outlineLevel="1" thickBot="1" x14ac:dyDescent="0.4">
      <c r="A85" s="87">
        <f>IFERROR(ALL!E64,0)</f>
        <v>0</v>
      </c>
      <c r="B85" s="16">
        <f ca="1">IFERROR(ALL!F64,0)</f>
        <v>0</v>
      </c>
      <c r="C85" s="16">
        <f ca="1">IFERROR(ALL!G64,0)</f>
        <v>0</v>
      </c>
      <c r="D85" s="16">
        <f ca="1">IFERROR(ALL!H64,0)</f>
        <v>0</v>
      </c>
      <c r="E85" s="16">
        <f ca="1">IFERROR(ALL!I64,0)</f>
        <v>0</v>
      </c>
      <c r="F85" s="16">
        <f ca="1">IFERROR(ALL!J64,0)</f>
        <v>0</v>
      </c>
      <c r="G85" s="16">
        <f ca="1">IFERROR(ALL!K64,0)</f>
        <v>0</v>
      </c>
      <c r="H85" s="16">
        <f ca="1">IFERROR(ALL!L64,0)</f>
        <v>0</v>
      </c>
      <c r="I85" s="16">
        <f ca="1">IFERROR(ALL!M64,0)</f>
        <v>0</v>
      </c>
      <c r="J85" s="16">
        <f ca="1">IFERROR(ALL!N64,0)</f>
        <v>0</v>
      </c>
      <c r="K85" s="16">
        <f ca="1">IFERROR(ALL!O64,0)</f>
        <v>0</v>
      </c>
      <c r="L85" s="16">
        <f ca="1">IFERROR(ALL!P64,0)</f>
        <v>0</v>
      </c>
      <c r="M85" s="16">
        <f ca="1">IFERROR(ALL!Q64,0)</f>
        <v>0</v>
      </c>
      <c r="N85" s="16">
        <f ca="1">IFERROR(ALL!R64,0)</f>
        <v>0</v>
      </c>
      <c r="O85" s="16">
        <f ca="1">IFERROR(ALL!S64,0)</f>
        <v>0</v>
      </c>
      <c r="P85" s="16">
        <f ca="1">IFERROR(ALL!T64,0)</f>
        <v>0</v>
      </c>
      <c r="Q85" s="16">
        <f ca="1">IFERROR(ALL!U64,0)</f>
        <v>0</v>
      </c>
      <c r="R85" s="16">
        <f ca="1">IFERROR(ALL!V64,0)</f>
        <v>0</v>
      </c>
      <c r="S85" s="16">
        <f ca="1">IFERROR(ALL!W64,0)</f>
        <v>0</v>
      </c>
      <c r="T85" s="16">
        <f ca="1">IFERROR(ALL!X64,0)</f>
        <v>0</v>
      </c>
      <c r="U85" s="16">
        <f ca="1">IFERROR(ALL!Y64,0)</f>
        <v>0</v>
      </c>
      <c r="V85" s="16">
        <f ca="1">IFERROR(ALL!Z64,0)</f>
        <v>0</v>
      </c>
      <c r="W85" s="16">
        <f ca="1">IFERROR(ALL!AA64,0)</f>
        <v>0</v>
      </c>
      <c r="X85" s="16">
        <f ca="1">IFERROR(ALL!AB64,0)</f>
        <v>0</v>
      </c>
      <c r="Y85" s="16">
        <f ca="1">IFERROR(ALL!AC64,0)</f>
        <v>0</v>
      </c>
      <c r="Z85" s="16">
        <f ca="1">IFERROR(ALL!AD64,0)</f>
        <v>0</v>
      </c>
      <c r="AA85" s="16">
        <f ca="1">IFERROR(ALL!AE64,0)</f>
        <v>0</v>
      </c>
      <c r="AB85" s="16">
        <f ca="1">IFERROR(ALL!AF64,0)</f>
        <v>0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3"/>
    </row>
    <row r="86" spans="1:73" ht="21.75" hidden="1" outlineLevel="1" thickBot="1" x14ac:dyDescent="0.4">
      <c r="A86" s="87">
        <f>IFERROR(ALL!E65,0)</f>
        <v>0</v>
      </c>
      <c r="B86" s="16">
        <f ca="1">IFERROR(ALL!F65,0)</f>
        <v>0</v>
      </c>
      <c r="C86" s="16">
        <f ca="1">IFERROR(ALL!G65,0)</f>
        <v>0</v>
      </c>
      <c r="D86" s="16">
        <f ca="1">IFERROR(ALL!H65,0)</f>
        <v>0</v>
      </c>
      <c r="E86" s="16">
        <f ca="1">IFERROR(ALL!I65,0)</f>
        <v>0</v>
      </c>
      <c r="F86" s="16">
        <f ca="1">IFERROR(ALL!J65,0)</f>
        <v>0</v>
      </c>
      <c r="G86" s="16">
        <f ca="1">IFERROR(ALL!K65,0)</f>
        <v>0</v>
      </c>
      <c r="H86" s="16">
        <f ca="1">IFERROR(ALL!L65,0)</f>
        <v>0</v>
      </c>
      <c r="I86" s="16">
        <f ca="1">IFERROR(ALL!M65,0)</f>
        <v>0</v>
      </c>
      <c r="J86" s="16">
        <f ca="1">IFERROR(ALL!N65,0)</f>
        <v>0</v>
      </c>
      <c r="K86" s="16">
        <f ca="1">IFERROR(ALL!O65,0)</f>
        <v>0</v>
      </c>
      <c r="L86" s="16">
        <f ca="1">IFERROR(ALL!P65,0)</f>
        <v>0</v>
      </c>
      <c r="M86" s="16">
        <f ca="1">IFERROR(ALL!Q65,0)</f>
        <v>0</v>
      </c>
      <c r="N86" s="16">
        <f ca="1">IFERROR(ALL!R65,0)</f>
        <v>0</v>
      </c>
      <c r="O86" s="16">
        <f ca="1">IFERROR(ALL!S65,0)</f>
        <v>0</v>
      </c>
      <c r="P86" s="16">
        <f ca="1">IFERROR(ALL!T65,0)</f>
        <v>0</v>
      </c>
      <c r="Q86" s="16">
        <f ca="1">IFERROR(ALL!U65,0)</f>
        <v>0</v>
      </c>
      <c r="R86" s="16">
        <f ca="1">IFERROR(ALL!V65,0)</f>
        <v>0</v>
      </c>
      <c r="S86" s="16">
        <f ca="1">IFERROR(ALL!W65,0)</f>
        <v>0</v>
      </c>
      <c r="T86" s="16">
        <f ca="1">IFERROR(ALL!X65,0)</f>
        <v>0</v>
      </c>
      <c r="U86" s="16">
        <f ca="1">IFERROR(ALL!Y65,0)</f>
        <v>0</v>
      </c>
      <c r="V86" s="16">
        <f ca="1">IFERROR(ALL!Z65,0)</f>
        <v>0</v>
      </c>
      <c r="W86" s="16">
        <f ca="1">IFERROR(ALL!AA65,0)</f>
        <v>0</v>
      </c>
      <c r="X86" s="16">
        <f ca="1">IFERROR(ALL!AB65,0)</f>
        <v>0</v>
      </c>
      <c r="Y86" s="16">
        <f ca="1">IFERROR(ALL!AC65,0)</f>
        <v>0</v>
      </c>
      <c r="Z86" s="16">
        <f ca="1">IFERROR(ALL!AD65,0)</f>
        <v>0</v>
      </c>
      <c r="AA86" s="16">
        <f ca="1">IFERROR(ALL!AE65,0)</f>
        <v>0</v>
      </c>
      <c r="AB86" s="16">
        <f ca="1">IFERROR(ALL!AF65,0)</f>
        <v>0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3"/>
    </row>
    <row r="87" spans="1:73" ht="21.75" hidden="1" outlineLevel="1" thickBot="1" x14ac:dyDescent="0.4">
      <c r="A87" s="87">
        <f>IFERROR(ALL!E66,0)</f>
        <v>0</v>
      </c>
      <c r="B87" s="16">
        <f ca="1">IFERROR(ALL!F66,0)</f>
        <v>0</v>
      </c>
      <c r="C87" s="16">
        <f ca="1">IFERROR(ALL!G66,0)</f>
        <v>0</v>
      </c>
      <c r="D87" s="16">
        <f ca="1">IFERROR(ALL!H66,0)</f>
        <v>0</v>
      </c>
      <c r="E87" s="16">
        <f ca="1">IFERROR(ALL!I66,0)</f>
        <v>0</v>
      </c>
      <c r="F87" s="16">
        <f ca="1">IFERROR(ALL!J66,0)</f>
        <v>0</v>
      </c>
      <c r="G87" s="16">
        <f ca="1">IFERROR(ALL!K66,0)</f>
        <v>0</v>
      </c>
      <c r="H87" s="16">
        <f ca="1">IFERROR(ALL!L66,0)</f>
        <v>0</v>
      </c>
      <c r="I87" s="16">
        <f ca="1">IFERROR(ALL!M66,0)</f>
        <v>0</v>
      </c>
      <c r="J87" s="16">
        <f ca="1">IFERROR(ALL!N66,0)</f>
        <v>0</v>
      </c>
      <c r="K87" s="16">
        <f ca="1">IFERROR(ALL!O66,0)</f>
        <v>0</v>
      </c>
      <c r="L87" s="16">
        <f ca="1">IFERROR(ALL!P66,0)</f>
        <v>0</v>
      </c>
      <c r="M87" s="16">
        <f ca="1">IFERROR(ALL!Q66,0)</f>
        <v>0</v>
      </c>
      <c r="N87" s="16">
        <f ca="1">IFERROR(ALL!R66,0)</f>
        <v>0</v>
      </c>
      <c r="O87" s="16">
        <f ca="1">IFERROR(ALL!S66,0)</f>
        <v>0</v>
      </c>
      <c r="P87" s="16">
        <f ca="1">IFERROR(ALL!T66,0)</f>
        <v>0</v>
      </c>
      <c r="Q87" s="16">
        <f ca="1">IFERROR(ALL!U66,0)</f>
        <v>0</v>
      </c>
      <c r="R87" s="16">
        <f ca="1">IFERROR(ALL!V66,0)</f>
        <v>0</v>
      </c>
      <c r="S87" s="16">
        <f ca="1">IFERROR(ALL!W66,0)</f>
        <v>0</v>
      </c>
      <c r="T87" s="16">
        <f ca="1">IFERROR(ALL!X66,0)</f>
        <v>0</v>
      </c>
      <c r="U87" s="16">
        <f ca="1">IFERROR(ALL!Y66,0)</f>
        <v>0</v>
      </c>
      <c r="V87" s="16">
        <f ca="1">IFERROR(ALL!Z66,0)</f>
        <v>0</v>
      </c>
      <c r="W87" s="16">
        <f ca="1">IFERROR(ALL!AA66,0)</f>
        <v>0</v>
      </c>
      <c r="X87" s="16">
        <f ca="1">IFERROR(ALL!AB66,0)</f>
        <v>0</v>
      </c>
      <c r="Y87" s="16">
        <f ca="1">IFERROR(ALL!AC66,0)</f>
        <v>0</v>
      </c>
      <c r="Z87" s="16">
        <f ca="1">IFERROR(ALL!AD66,0)</f>
        <v>0</v>
      </c>
      <c r="AA87" s="16">
        <f ca="1">IFERROR(ALL!AE66,0)</f>
        <v>0</v>
      </c>
      <c r="AB87" s="16">
        <f ca="1">IFERROR(ALL!AF66,0)</f>
        <v>0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3"/>
    </row>
    <row r="88" spans="1:73" ht="21.75" hidden="1" outlineLevel="1" thickBot="1" x14ac:dyDescent="0.4">
      <c r="A88" s="87">
        <f>IFERROR(ALL!E67,0)</f>
        <v>0</v>
      </c>
      <c r="B88" s="16">
        <f ca="1">IFERROR(ALL!F67,0)</f>
        <v>0</v>
      </c>
      <c r="C88" s="16">
        <f ca="1">IFERROR(ALL!G67,0)</f>
        <v>0</v>
      </c>
      <c r="D88" s="16">
        <f ca="1">IFERROR(ALL!H67,0)</f>
        <v>0</v>
      </c>
      <c r="E88" s="16">
        <f ca="1">IFERROR(ALL!I67,0)</f>
        <v>0</v>
      </c>
      <c r="F88" s="16">
        <f ca="1">IFERROR(ALL!J67,0)</f>
        <v>0</v>
      </c>
      <c r="G88" s="16">
        <f ca="1">IFERROR(ALL!K67,0)</f>
        <v>0</v>
      </c>
      <c r="H88" s="16">
        <f ca="1">IFERROR(ALL!L67,0)</f>
        <v>0</v>
      </c>
      <c r="I88" s="16">
        <f ca="1">IFERROR(ALL!M67,0)</f>
        <v>0</v>
      </c>
      <c r="J88" s="16">
        <f ca="1">IFERROR(ALL!N67,0)</f>
        <v>0</v>
      </c>
      <c r="K88" s="16">
        <f ca="1">IFERROR(ALL!O67,0)</f>
        <v>0</v>
      </c>
      <c r="L88" s="16">
        <f ca="1">IFERROR(ALL!P67,0)</f>
        <v>0</v>
      </c>
      <c r="M88" s="16">
        <f ca="1">IFERROR(ALL!Q67,0)</f>
        <v>0</v>
      </c>
      <c r="N88" s="16">
        <f ca="1">IFERROR(ALL!R67,0)</f>
        <v>0</v>
      </c>
      <c r="O88" s="16">
        <f ca="1">IFERROR(ALL!S67,0)</f>
        <v>0</v>
      </c>
      <c r="P88" s="16">
        <f ca="1">IFERROR(ALL!T67,0)</f>
        <v>0</v>
      </c>
      <c r="Q88" s="16">
        <f ca="1">IFERROR(ALL!U67,0)</f>
        <v>0</v>
      </c>
      <c r="R88" s="16">
        <f ca="1">IFERROR(ALL!V67,0)</f>
        <v>0</v>
      </c>
      <c r="S88" s="16">
        <f ca="1">IFERROR(ALL!W67,0)</f>
        <v>0</v>
      </c>
      <c r="T88" s="16">
        <f ca="1">IFERROR(ALL!X67,0)</f>
        <v>0</v>
      </c>
      <c r="U88" s="16">
        <f ca="1">IFERROR(ALL!Y67,0)</f>
        <v>0</v>
      </c>
      <c r="V88" s="16">
        <f ca="1">IFERROR(ALL!Z67,0)</f>
        <v>0</v>
      </c>
      <c r="W88" s="16">
        <f ca="1">IFERROR(ALL!AA67,0)</f>
        <v>0</v>
      </c>
      <c r="X88" s="16">
        <f ca="1">IFERROR(ALL!AB67,0)</f>
        <v>0</v>
      </c>
      <c r="Y88" s="16">
        <f ca="1">IFERROR(ALL!AC67,0)</f>
        <v>0</v>
      </c>
      <c r="Z88" s="16">
        <f ca="1">IFERROR(ALL!AD67,0)</f>
        <v>0</v>
      </c>
      <c r="AA88" s="16">
        <f ca="1">IFERROR(ALL!AE67,0)</f>
        <v>0</v>
      </c>
      <c r="AB88" s="16">
        <f ca="1">IFERROR(ALL!AF67,0)</f>
        <v>0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3"/>
    </row>
    <row r="89" spans="1:73" ht="21.75" hidden="1" outlineLevel="1" thickBot="1" x14ac:dyDescent="0.4">
      <c r="A89" s="87">
        <f>IFERROR(ALL!E68,0)</f>
        <v>0</v>
      </c>
      <c r="B89" s="16">
        <f ca="1">IFERROR(ALL!F68,0)</f>
        <v>0</v>
      </c>
      <c r="C89" s="16">
        <f ca="1">IFERROR(ALL!G68,0)</f>
        <v>0</v>
      </c>
      <c r="D89" s="16">
        <f ca="1">IFERROR(ALL!H68,0)</f>
        <v>0</v>
      </c>
      <c r="E89" s="16">
        <f ca="1">IFERROR(ALL!I68,0)</f>
        <v>0</v>
      </c>
      <c r="F89" s="16">
        <f ca="1">IFERROR(ALL!J68,0)</f>
        <v>0</v>
      </c>
      <c r="G89" s="16">
        <f ca="1">IFERROR(ALL!K68,0)</f>
        <v>0</v>
      </c>
      <c r="H89" s="16">
        <f ca="1">IFERROR(ALL!L68,0)</f>
        <v>0</v>
      </c>
      <c r="I89" s="16">
        <f ca="1">IFERROR(ALL!M68,0)</f>
        <v>0</v>
      </c>
      <c r="J89" s="16">
        <f ca="1">IFERROR(ALL!N68,0)</f>
        <v>0</v>
      </c>
      <c r="K89" s="16">
        <f ca="1">IFERROR(ALL!O68,0)</f>
        <v>0</v>
      </c>
      <c r="L89" s="16">
        <f ca="1">IFERROR(ALL!P68,0)</f>
        <v>0</v>
      </c>
      <c r="M89" s="16">
        <f ca="1">IFERROR(ALL!Q68,0)</f>
        <v>0</v>
      </c>
      <c r="N89" s="16">
        <f ca="1">IFERROR(ALL!R68,0)</f>
        <v>0</v>
      </c>
      <c r="O89" s="16">
        <f ca="1">IFERROR(ALL!S68,0)</f>
        <v>0</v>
      </c>
      <c r="P89" s="16">
        <f ca="1">IFERROR(ALL!T68,0)</f>
        <v>0</v>
      </c>
      <c r="Q89" s="16">
        <f ca="1">IFERROR(ALL!U68,0)</f>
        <v>0</v>
      </c>
      <c r="R89" s="16">
        <f ca="1">IFERROR(ALL!V68,0)</f>
        <v>0</v>
      </c>
      <c r="S89" s="16">
        <f ca="1">IFERROR(ALL!W68,0)</f>
        <v>0</v>
      </c>
      <c r="T89" s="16">
        <f ca="1">IFERROR(ALL!X68,0)</f>
        <v>0</v>
      </c>
      <c r="U89" s="16">
        <f ca="1">IFERROR(ALL!Y68,0)</f>
        <v>0</v>
      </c>
      <c r="V89" s="16">
        <f ca="1">IFERROR(ALL!Z68,0)</f>
        <v>0</v>
      </c>
      <c r="W89" s="16">
        <f ca="1">IFERROR(ALL!AA68,0)</f>
        <v>0</v>
      </c>
      <c r="X89" s="16">
        <f ca="1">IFERROR(ALL!AB68,0)</f>
        <v>0</v>
      </c>
      <c r="Y89" s="16">
        <f ca="1">IFERROR(ALL!AC68,0)</f>
        <v>0</v>
      </c>
      <c r="Z89" s="16">
        <f ca="1">IFERROR(ALL!AD68,0)</f>
        <v>0</v>
      </c>
      <c r="AA89" s="16">
        <f ca="1">IFERROR(ALL!AE68,0)</f>
        <v>0</v>
      </c>
      <c r="AB89" s="16">
        <f ca="1">IFERROR(ALL!AF68,0)</f>
        <v>0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3"/>
    </row>
    <row r="90" spans="1:73" ht="21.75" hidden="1" outlineLevel="1" thickBot="1" x14ac:dyDescent="0.4">
      <c r="A90" s="87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3"/>
    </row>
    <row r="91" spans="1:73" ht="21.75" hidden="1" outlineLevel="1" thickBot="1" x14ac:dyDescent="0.4">
      <c r="A91" s="87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3"/>
    </row>
    <row r="92" spans="1:73" ht="21.75" hidden="1" outlineLevel="1" thickBot="1" x14ac:dyDescent="0.4">
      <c r="A92" s="87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3"/>
    </row>
    <row r="93" spans="1:73" ht="21.75" hidden="1" outlineLevel="1" thickBot="1" x14ac:dyDescent="0.4">
      <c r="A93" s="87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3"/>
    </row>
    <row r="94" spans="1:73" ht="21.75" hidden="1" outlineLevel="1" thickBot="1" x14ac:dyDescent="0.4">
      <c r="A94" s="87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3"/>
    </row>
    <row r="95" spans="1:73" ht="21.75" hidden="1" outlineLevel="1" thickBot="1" x14ac:dyDescent="0.4">
      <c r="A95" s="87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3"/>
    </row>
    <row r="96" spans="1:73" ht="21.75" hidden="1" outlineLevel="1" thickBot="1" x14ac:dyDescent="0.4">
      <c r="A96" s="87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3"/>
    </row>
    <row r="97" spans="1:72" ht="21.75" collapsed="1" thickTop="1" x14ac:dyDescent="0.35">
      <c r="A97" s="93"/>
      <c r="B97" s="101"/>
      <c r="C97" s="100"/>
      <c r="D97" s="100"/>
      <c r="E97" s="100"/>
      <c r="F97" s="100"/>
      <c r="G97" s="100"/>
      <c r="H97" s="100"/>
      <c r="I97" s="100"/>
      <c r="J97" s="100"/>
      <c r="K97" s="100"/>
      <c r="L97" s="100"/>
      <c r="M97" s="100"/>
      <c r="N97" s="100"/>
      <c r="O97" s="100"/>
      <c r="P97" s="100"/>
      <c r="Q97" s="100"/>
      <c r="R97" s="100"/>
      <c r="S97" s="100"/>
      <c r="T97" s="100"/>
      <c r="U97" s="100"/>
      <c r="V97" s="100"/>
      <c r="W97" s="100"/>
      <c r="X97" s="100"/>
      <c r="Y97" s="100"/>
      <c r="Z97" s="100"/>
      <c r="AA97" s="100"/>
      <c r="AB97" s="100"/>
      <c r="AC97" s="100"/>
      <c r="AD97" s="100"/>
      <c r="AE97" s="100"/>
      <c r="AF97" s="100"/>
      <c r="AG97" s="100"/>
      <c r="AH97" s="100"/>
      <c r="AI97" s="100"/>
      <c r="AJ97" s="100"/>
      <c r="AK97" s="100"/>
      <c r="AL97" s="100"/>
      <c r="AM97" s="100"/>
      <c r="AN97" s="100"/>
      <c r="AO97" s="100"/>
      <c r="AP97" s="100"/>
      <c r="AQ97" s="100"/>
      <c r="AR97" s="100"/>
      <c r="AS97" s="100"/>
      <c r="AT97" s="100"/>
      <c r="AU97" s="100"/>
      <c r="AV97" s="100"/>
      <c r="AW97" s="100"/>
      <c r="AX97" s="100"/>
      <c r="AY97" s="100"/>
      <c r="AZ97" s="100"/>
      <c r="BA97" s="100"/>
      <c r="BB97" s="100"/>
      <c r="BC97" s="100"/>
      <c r="BD97" s="100"/>
      <c r="BE97" s="100"/>
      <c r="BF97" s="100"/>
      <c r="BG97" s="100"/>
      <c r="BH97" s="100"/>
      <c r="BI97" s="100"/>
      <c r="BJ97" s="100"/>
      <c r="BK97" s="100"/>
      <c r="BL97" s="100"/>
      <c r="BM97" s="100"/>
      <c r="BN97" s="100"/>
      <c r="BO97" s="100"/>
      <c r="BP97" s="100"/>
      <c r="BQ97" s="100"/>
      <c r="BR97" s="100"/>
      <c r="BS97" s="100"/>
      <c r="BT97" s="100"/>
    </row>
    <row r="98" spans="1:72" x14ac:dyDescent="0.35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72" ht="29.25" thickBot="1" x14ac:dyDescent="0.5">
      <c r="A99" s="96" t="s">
        <v>48</v>
      </c>
      <c r="B99" s="94"/>
      <c r="C99" s="95"/>
      <c r="D99" s="95"/>
      <c r="E99" s="95"/>
      <c r="F99" s="94"/>
      <c r="G99" s="94"/>
      <c r="H99" s="94"/>
      <c r="I99" s="94"/>
      <c r="J99" s="94"/>
      <c r="K99" s="94"/>
      <c r="L99" s="94"/>
      <c r="M99" s="94"/>
      <c r="N99" s="94"/>
      <c r="O99" s="94"/>
      <c r="P99" s="94"/>
      <c r="Q99" s="94"/>
      <c r="R99" s="94"/>
      <c r="S99" s="94"/>
      <c r="T99" s="94"/>
      <c r="U99" s="94"/>
      <c r="V99" s="94"/>
      <c r="W99" s="94"/>
      <c r="X99" s="94"/>
      <c r="Y99" s="94"/>
      <c r="Z99" s="94"/>
      <c r="AA99" s="94"/>
      <c r="AB99" s="94"/>
      <c r="AC99" s="94"/>
      <c r="AD99" s="94"/>
      <c r="AE99" s="94"/>
      <c r="AF99" s="94"/>
      <c r="AG99" s="94"/>
      <c r="AH99" s="94"/>
      <c r="AI99" s="94"/>
      <c r="AJ99" s="94"/>
      <c r="AK99" s="94"/>
      <c r="AL99" s="94"/>
      <c r="AM99" s="94"/>
      <c r="AN99" s="94"/>
      <c r="AO99" s="94"/>
      <c r="AP99" s="94"/>
      <c r="AQ99" s="94"/>
      <c r="AR99" s="94"/>
      <c r="AS99" s="94"/>
      <c r="AT99" s="94"/>
      <c r="AU99" s="94"/>
      <c r="AV99" s="94"/>
      <c r="AW99" s="94"/>
      <c r="AX99" s="94"/>
      <c r="AY99" s="94"/>
      <c r="AZ99" s="94"/>
      <c r="BA99" s="94"/>
      <c r="BB99" s="94"/>
      <c r="BC99" s="94"/>
      <c r="BD99" s="94"/>
      <c r="BE99" s="94"/>
      <c r="BF99" s="94"/>
      <c r="BG99" s="94"/>
      <c r="BH99" s="94"/>
      <c r="BI99" s="94"/>
      <c r="BJ99" s="94"/>
      <c r="BK99" s="94"/>
      <c r="BL99" s="94"/>
      <c r="BM99" s="94"/>
      <c r="BN99" s="94"/>
      <c r="BO99" s="94"/>
      <c r="BP99" s="94"/>
      <c r="BQ99" s="94"/>
      <c r="BR99" s="94"/>
      <c r="BS99" s="94"/>
      <c r="BT99" s="94"/>
    </row>
    <row r="100" spans="1:72" ht="22.5" thickTop="1" thickBot="1" x14ac:dyDescent="0.4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</row>
    <row r="101" spans="1:72" ht="22.5" thickTop="1" thickBot="1" x14ac:dyDescent="0.4">
      <c r="A101" s="45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7"/>
      <c r="S101" s="47"/>
      <c r="T101" s="47"/>
      <c r="U101" s="47"/>
      <c r="V101" s="47"/>
      <c r="W101" s="47"/>
      <c r="X101" s="47"/>
      <c r="Y101" s="47"/>
      <c r="Z101" s="47"/>
      <c r="AA101" s="47"/>
      <c r="AB101" s="47"/>
      <c r="AC101" s="47"/>
      <c r="AD101" s="47"/>
      <c r="AE101" s="47"/>
      <c r="AF101" s="47"/>
      <c r="AG101" s="47"/>
      <c r="AH101" s="47"/>
      <c r="AI101" s="47"/>
      <c r="AJ101" s="47"/>
      <c r="AK101" s="47"/>
      <c r="AL101" s="47"/>
      <c r="AM101" s="47"/>
      <c r="AN101" s="47"/>
      <c r="AO101" s="47"/>
      <c r="AP101" s="47"/>
      <c r="AQ101" s="47"/>
      <c r="AR101" s="47"/>
      <c r="AS101" s="47"/>
      <c r="AT101" s="47"/>
      <c r="AU101" s="47"/>
      <c r="AV101" s="47"/>
      <c r="AW101" s="47"/>
      <c r="AX101" s="47"/>
      <c r="AY101" s="47"/>
      <c r="AZ101" s="47"/>
      <c r="BA101" s="47"/>
      <c r="BB101" s="47"/>
      <c r="BC101" s="47"/>
      <c r="BD101" s="47"/>
      <c r="BE101" s="47"/>
      <c r="BF101" s="47"/>
      <c r="BG101" s="47"/>
      <c r="BH101" s="47"/>
      <c r="BI101" s="47"/>
      <c r="BJ101" s="47"/>
      <c r="BK101" s="47"/>
      <c r="BL101" s="47"/>
      <c r="BM101" s="47"/>
      <c r="BN101" s="47"/>
      <c r="BO101" s="47"/>
      <c r="BP101" s="47"/>
      <c r="BS101" s="47"/>
      <c r="BT101" s="47"/>
    </row>
    <row r="102" spans="1:72" ht="21.75" thickBot="1" x14ac:dyDescent="0.4">
      <c r="A102" s="45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7"/>
      <c r="S102" s="47"/>
      <c r="T102" s="47"/>
      <c r="U102" s="47"/>
      <c r="V102" s="47"/>
      <c r="W102" s="47"/>
      <c r="X102" s="47"/>
      <c r="Y102" s="47"/>
      <c r="Z102" s="47"/>
      <c r="AA102" s="47"/>
      <c r="AB102" s="47"/>
      <c r="AC102" s="47"/>
      <c r="AD102" s="47"/>
      <c r="AE102" s="47"/>
      <c r="AF102" s="47"/>
      <c r="AG102" s="47"/>
      <c r="AH102" s="47"/>
      <c r="AI102" s="47"/>
      <c r="AJ102" s="47"/>
      <c r="AK102" s="47"/>
      <c r="AL102" s="47"/>
      <c r="AM102" s="47"/>
      <c r="AN102" s="47"/>
      <c r="AO102" s="47"/>
      <c r="AP102" s="47"/>
      <c r="AQ102" s="47"/>
      <c r="AR102" s="47"/>
      <c r="AS102" s="47"/>
      <c r="AT102" s="47"/>
      <c r="AU102" s="47"/>
      <c r="AV102" s="47"/>
      <c r="AW102" s="47"/>
      <c r="AX102" s="47"/>
      <c r="AY102" s="47"/>
      <c r="AZ102" s="47"/>
      <c r="BA102" s="47"/>
      <c r="BB102" s="47"/>
      <c r="BC102" s="47"/>
      <c r="BD102" s="47"/>
      <c r="BE102" s="47"/>
      <c r="BF102" s="47"/>
      <c r="BG102" s="47"/>
      <c r="BH102" s="47"/>
      <c r="BI102" s="47"/>
      <c r="BJ102" s="47"/>
      <c r="BK102" s="47"/>
      <c r="BL102" s="47"/>
      <c r="BM102" s="47"/>
      <c r="BN102" s="47"/>
      <c r="BO102" s="47"/>
      <c r="BP102" s="47"/>
      <c r="BS102" s="47"/>
      <c r="BT102" s="47"/>
    </row>
    <row r="103" spans="1:72" ht="21.75" thickBot="1" x14ac:dyDescent="0.4">
      <c r="A103" s="45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7"/>
      <c r="S103" s="47"/>
      <c r="T103" s="47"/>
      <c r="U103" s="47"/>
      <c r="V103" s="47"/>
      <c r="W103" s="47"/>
      <c r="X103" s="47"/>
      <c r="Y103" s="47"/>
      <c r="Z103" s="47"/>
      <c r="AA103" s="47"/>
      <c r="AB103" s="47"/>
      <c r="AC103" s="47"/>
      <c r="AD103" s="47"/>
      <c r="AE103" s="47"/>
      <c r="AF103" s="47"/>
      <c r="AG103" s="47"/>
      <c r="AH103" s="47"/>
      <c r="AI103" s="47"/>
      <c r="AJ103" s="47"/>
      <c r="AK103" s="47"/>
      <c r="AL103" s="47"/>
      <c r="AM103" s="47"/>
      <c r="AN103" s="47"/>
      <c r="AO103" s="47"/>
      <c r="AP103" s="47"/>
      <c r="AQ103" s="47"/>
      <c r="AR103" s="47"/>
      <c r="AS103" s="47"/>
      <c r="AT103" s="47"/>
      <c r="AU103" s="47"/>
      <c r="AV103" s="47"/>
      <c r="AW103" s="47"/>
      <c r="AX103" s="47"/>
      <c r="AY103" s="47"/>
      <c r="AZ103" s="47"/>
      <c r="BA103" s="47"/>
      <c r="BB103" s="47"/>
      <c r="BC103" s="47"/>
      <c r="BD103" s="47"/>
      <c r="BE103" s="47"/>
      <c r="BF103" s="47"/>
      <c r="BG103" s="47"/>
      <c r="BH103" s="47"/>
      <c r="BI103" s="47"/>
      <c r="BJ103" s="47"/>
      <c r="BK103" s="47"/>
      <c r="BL103" s="47"/>
      <c r="BM103" s="47"/>
      <c r="BN103" s="47"/>
      <c r="BO103" s="47"/>
      <c r="BP103" s="47"/>
      <c r="BS103" s="47"/>
      <c r="BT103" s="47"/>
    </row>
    <row r="104" spans="1:72" ht="21.75" thickBot="1" x14ac:dyDescent="0.4">
      <c r="A104" s="45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7"/>
      <c r="S104" s="47"/>
      <c r="T104" s="47"/>
      <c r="U104" s="47"/>
      <c r="V104" s="47"/>
      <c r="W104" s="47"/>
      <c r="X104" s="47"/>
      <c r="Y104" s="47"/>
      <c r="Z104" s="47"/>
      <c r="AA104" s="47"/>
      <c r="AB104" s="47"/>
      <c r="AC104" s="47"/>
      <c r="AD104" s="47"/>
      <c r="AE104" s="47"/>
      <c r="AF104" s="47"/>
      <c r="AG104" s="47"/>
      <c r="AH104" s="47"/>
      <c r="AI104" s="47"/>
      <c r="AJ104" s="47"/>
      <c r="AK104" s="47"/>
      <c r="AL104" s="47"/>
      <c r="AM104" s="47"/>
      <c r="AN104" s="47"/>
      <c r="AO104" s="47"/>
      <c r="AP104" s="47"/>
      <c r="AQ104" s="47"/>
      <c r="AR104" s="47"/>
      <c r="AS104" s="47"/>
      <c r="AT104" s="47"/>
      <c r="AU104" s="47"/>
      <c r="AV104" s="47"/>
      <c r="AW104" s="47"/>
      <c r="AX104" s="47"/>
      <c r="AY104" s="47"/>
      <c r="AZ104" s="47"/>
      <c r="BA104" s="47"/>
      <c r="BB104" s="47"/>
      <c r="BC104" s="47"/>
      <c r="BD104" s="47"/>
      <c r="BE104" s="47"/>
      <c r="BF104" s="47"/>
      <c r="BG104" s="47"/>
      <c r="BH104" s="47"/>
      <c r="BI104" s="47"/>
      <c r="BJ104" s="47"/>
      <c r="BK104" s="47"/>
      <c r="BL104" s="47"/>
      <c r="BM104" s="47"/>
      <c r="BN104" s="47"/>
      <c r="BO104" s="47"/>
      <c r="BP104" s="47"/>
      <c r="BS104" s="47"/>
      <c r="BT104" s="47"/>
    </row>
    <row r="105" spans="1:72" ht="21.75" thickBot="1" x14ac:dyDescent="0.4">
      <c r="A105" s="45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  <c r="AA105" s="47"/>
      <c r="AB105" s="47"/>
      <c r="AC105" s="47"/>
      <c r="AD105" s="47"/>
      <c r="AE105" s="47"/>
      <c r="AF105" s="47"/>
      <c r="AG105" s="47"/>
      <c r="AH105" s="47"/>
      <c r="AI105" s="47"/>
      <c r="AJ105" s="47"/>
      <c r="AK105" s="47"/>
      <c r="AL105" s="47"/>
      <c r="AM105" s="47"/>
      <c r="AN105" s="47"/>
      <c r="AO105" s="47"/>
      <c r="AP105" s="47"/>
      <c r="AQ105" s="47"/>
      <c r="AR105" s="47"/>
      <c r="AS105" s="47"/>
      <c r="AT105" s="47"/>
      <c r="AU105" s="47"/>
      <c r="AV105" s="47"/>
      <c r="AW105" s="47"/>
      <c r="AX105" s="47"/>
      <c r="AY105" s="47"/>
      <c r="AZ105" s="47"/>
      <c r="BA105" s="47"/>
      <c r="BB105" s="47"/>
      <c r="BC105" s="47"/>
      <c r="BD105" s="47"/>
      <c r="BE105" s="47"/>
      <c r="BF105" s="47"/>
      <c r="BG105" s="47"/>
      <c r="BH105" s="47"/>
      <c r="BI105" s="47"/>
      <c r="BJ105" s="47"/>
      <c r="BK105" s="47"/>
      <c r="BL105" s="47"/>
      <c r="BM105" s="47"/>
      <c r="BN105" s="47"/>
      <c r="BO105" s="47"/>
      <c r="BP105" s="47"/>
      <c r="BS105" s="47"/>
      <c r="BT105" s="47"/>
    </row>
    <row r="106" spans="1:72" ht="21.75" thickBot="1" x14ac:dyDescent="0.4">
      <c r="A106" s="45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  <c r="AA106" s="47"/>
      <c r="AB106" s="47"/>
      <c r="AC106" s="47"/>
      <c r="AD106" s="47"/>
      <c r="AE106" s="47"/>
      <c r="AF106" s="47"/>
      <c r="AG106" s="47"/>
      <c r="AH106" s="47"/>
      <c r="AI106" s="47"/>
      <c r="AJ106" s="47"/>
      <c r="AK106" s="47"/>
      <c r="AL106" s="47"/>
      <c r="AM106" s="47"/>
      <c r="AN106" s="47"/>
      <c r="AO106" s="47"/>
      <c r="AP106" s="47"/>
      <c r="AQ106" s="47"/>
      <c r="AR106" s="47"/>
      <c r="AS106" s="47"/>
      <c r="AT106" s="47"/>
      <c r="AU106" s="47"/>
      <c r="AV106" s="47"/>
      <c r="AW106" s="47"/>
      <c r="AX106" s="47"/>
      <c r="AY106" s="47"/>
      <c r="AZ106" s="47"/>
      <c r="BA106" s="47"/>
      <c r="BB106" s="47"/>
      <c r="BC106" s="47"/>
      <c r="BD106" s="47"/>
      <c r="BE106" s="47"/>
      <c r="BF106" s="47"/>
      <c r="BG106" s="47"/>
      <c r="BH106" s="47"/>
      <c r="BI106" s="47"/>
      <c r="BJ106" s="47"/>
      <c r="BK106" s="47"/>
      <c r="BL106" s="47"/>
      <c r="BM106" s="47"/>
      <c r="BN106" s="47"/>
      <c r="BO106" s="47"/>
      <c r="BP106" s="47"/>
      <c r="BS106" s="47"/>
      <c r="BT106" s="47"/>
    </row>
    <row r="107" spans="1:72" ht="21.75" thickBot="1" x14ac:dyDescent="0.4">
      <c r="A107" s="45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  <c r="AA107" s="47"/>
      <c r="AB107" s="47"/>
      <c r="AC107" s="47"/>
      <c r="AD107" s="47"/>
      <c r="AE107" s="47"/>
      <c r="AF107" s="47"/>
      <c r="AG107" s="47"/>
      <c r="AH107" s="47"/>
      <c r="AI107" s="47"/>
      <c r="AJ107" s="47"/>
      <c r="AK107" s="47"/>
      <c r="AL107" s="47"/>
      <c r="AM107" s="47"/>
      <c r="AN107" s="47"/>
      <c r="AO107" s="47"/>
      <c r="AP107" s="47"/>
      <c r="AQ107" s="47"/>
      <c r="AR107" s="47"/>
      <c r="AS107" s="47"/>
      <c r="AT107" s="47"/>
      <c r="AU107" s="47"/>
      <c r="AV107" s="47"/>
      <c r="AW107" s="47"/>
      <c r="AX107" s="47"/>
      <c r="AY107" s="47"/>
      <c r="AZ107" s="47"/>
      <c r="BA107" s="47"/>
      <c r="BB107" s="47"/>
      <c r="BC107" s="47"/>
      <c r="BD107" s="47"/>
      <c r="BE107" s="47"/>
      <c r="BF107" s="47"/>
      <c r="BG107" s="47"/>
      <c r="BH107" s="47"/>
      <c r="BI107" s="47"/>
      <c r="BJ107" s="47"/>
      <c r="BK107" s="47"/>
      <c r="BL107" s="47"/>
      <c r="BM107" s="47"/>
      <c r="BN107" s="47"/>
      <c r="BO107" s="47"/>
      <c r="BP107" s="47"/>
      <c r="BS107" s="47"/>
      <c r="BT107" s="47"/>
    </row>
    <row r="108" spans="1:72" ht="21.75" thickBot="1" x14ac:dyDescent="0.4">
      <c r="A108" s="45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  <c r="AA108" s="47"/>
      <c r="AB108" s="47"/>
      <c r="AC108" s="47"/>
      <c r="AD108" s="47"/>
      <c r="AE108" s="47"/>
      <c r="AF108" s="47"/>
      <c r="AG108" s="47"/>
      <c r="AH108" s="47"/>
      <c r="AI108" s="47"/>
      <c r="AJ108" s="47"/>
      <c r="AK108" s="47"/>
      <c r="AL108" s="47"/>
      <c r="AM108" s="47"/>
      <c r="AN108" s="47"/>
      <c r="AO108" s="47"/>
      <c r="AP108" s="47"/>
      <c r="AQ108" s="47"/>
      <c r="AR108" s="47"/>
      <c r="AS108" s="47"/>
      <c r="AT108" s="47"/>
      <c r="AU108" s="47"/>
      <c r="AV108" s="47"/>
      <c r="AW108" s="47"/>
      <c r="AX108" s="47"/>
      <c r="AY108" s="47"/>
      <c r="AZ108" s="47"/>
      <c r="BA108" s="47"/>
      <c r="BB108" s="47"/>
      <c r="BC108" s="47"/>
      <c r="BD108" s="47"/>
      <c r="BE108" s="47"/>
      <c r="BF108" s="47"/>
      <c r="BG108" s="47"/>
      <c r="BH108" s="47"/>
      <c r="BI108" s="47"/>
      <c r="BJ108" s="47"/>
      <c r="BK108" s="47"/>
      <c r="BL108" s="47"/>
      <c r="BM108" s="47"/>
      <c r="BN108" s="47"/>
      <c r="BO108" s="47"/>
      <c r="BP108" s="47"/>
      <c r="BS108" s="47"/>
      <c r="BT108" s="47"/>
    </row>
    <row r="109" spans="1:72" ht="21.75" thickBot="1" x14ac:dyDescent="0.4">
      <c r="A109" s="45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7"/>
      <c r="S109" s="47"/>
      <c r="T109" s="47"/>
      <c r="U109" s="47"/>
      <c r="V109" s="47"/>
      <c r="W109" s="47"/>
      <c r="X109" s="47"/>
      <c r="Y109" s="47"/>
      <c r="Z109" s="47"/>
      <c r="AA109" s="47"/>
      <c r="AB109" s="47"/>
      <c r="AC109" s="47"/>
      <c r="AD109" s="47"/>
      <c r="AE109" s="47"/>
      <c r="AF109" s="47"/>
      <c r="AG109" s="47"/>
      <c r="AH109" s="47"/>
      <c r="AI109" s="47"/>
      <c r="AJ109" s="47"/>
      <c r="AK109" s="47"/>
      <c r="AL109" s="47"/>
      <c r="AM109" s="47"/>
      <c r="AN109" s="47"/>
      <c r="AO109" s="47"/>
      <c r="AP109" s="47"/>
      <c r="AQ109" s="47"/>
      <c r="AR109" s="47"/>
      <c r="AS109" s="47"/>
      <c r="AT109" s="47"/>
      <c r="AU109" s="47"/>
      <c r="AV109" s="47"/>
      <c r="AW109" s="47"/>
      <c r="AX109" s="47"/>
      <c r="AY109" s="47"/>
      <c r="AZ109" s="47"/>
      <c r="BA109" s="47"/>
      <c r="BB109" s="47"/>
      <c r="BC109" s="47"/>
      <c r="BD109" s="47"/>
      <c r="BE109" s="47"/>
      <c r="BF109" s="47"/>
      <c r="BG109" s="47"/>
      <c r="BH109" s="47"/>
      <c r="BI109" s="47"/>
      <c r="BJ109" s="47"/>
      <c r="BK109" s="47"/>
      <c r="BL109" s="47"/>
      <c r="BM109" s="47"/>
      <c r="BN109" s="47"/>
      <c r="BO109" s="47"/>
      <c r="BP109" s="47"/>
      <c r="BS109" s="47"/>
      <c r="BT109" s="47"/>
    </row>
    <row r="110" spans="1:72" ht="21.75" thickBot="1" x14ac:dyDescent="0.4">
      <c r="A110" s="45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7"/>
      <c r="S110" s="47"/>
      <c r="T110" s="47"/>
      <c r="U110" s="47"/>
      <c r="V110" s="47"/>
      <c r="W110" s="47"/>
      <c r="X110" s="47"/>
      <c r="Y110" s="47"/>
      <c r="Z110" s="47"/>
      <c r="AA110" s="47"/>
      <c r="AB110" s="47"/>
      <c r="AC110" s="47"/>
      <c r="AD110" s="47"/>
      <c r="AE110" s="47"/>
      <c r="AF110" s="47"/>
      <c r="AG110" s="47"/>
      <c r="AH110" s="47"/>
      <c r="AI110" s="47"/>
      <c r="AJ110" s="47"/>
      <c r="AK110" s="47"/>
      <c r="AL110" s="47"/>
      <c r="AM110" s="47"/>
      <c r="AN110" s="47"/>
      <c r="AO110" s="47"/>
      <c r="AP110" s="47"/>
      <c r="AQ110" s="47"/>
      <c r="AR110" s="47"/>
      <c r="AS110" s="47"/>
      <c r="AT110" s="47"/>
      <c r="AU110" s="47"/>
      <c r="AV110" s="47"/>
      <c r="AW110" s="47"/>
      <c r="AX110" s="47"/>
      <c r="AY110" s="47"/>
      <c r="AZ110" s="47"/>
      <c r="BA110" s="47"/>
      <c r="BB110" s="47"/>
      <c r="BC110" s="47"/>
      <c r="BD110" s="47"/>
      <c r="BE110" s="47"/>
      <c r="BF110" s="47"/>
      <c r="BG110" s="47"/>
      <c r="BH110" s="47"/>
      <c r="BI110" s="47"/>
      <c r="BJ110" s="47"/>
      <c r="BK110" s="47"/>
      <c r="BL110" s="47"/>
      <c r="BM110" s="47"/>
      <c r="BN110" s="47"/>
      <c r="BO110" s="47"/>
      <c r="BP110" s="47"/>
      <c r="BS110" s="47"/>
      <c r="BT110" s="47"/>
    </row>
    <row r="111" spans="1:72" ht="21.75" thickBot="1" x14ac:dyDescent="0.4">
      <c r="A111" s="45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7"/>
      <c r="S111" s="47"/>
      <c r="T111" s="47"/>
      <c r="U111" s="47"/>
      <c r="V111" s="47"/>
      <c r="W111" s="47"/>
      <c r="X111" s="47"/>
      <c r="Y111" s="47"/>
      <c r="Z111" s="47"/>
      <c r="AA111" s="47"/>
      <c r="AB111" s="47"/>
      <c r="AC111" s="47"/>
      <c r="AD111" s="47"/>
      <c r="AE111" s="47"/>
      <c r="AF111" s="47"/>
      <c r="AG111" s="47"/>
      <c r="AH111" s="47"/>
      <c r="AI111" s="47"/>
      <c r="AJ111" s="47"/>
      <c r="AK111" s="47"/>
      <c r="AL111" s="47"/>
      <c r="AM111" s="47"/>
      <c r="AN111" s="47"/>
      <c r="AO111" s="47"/>
      <c r="AP111" s="47"/>
      <c r="AQ111" s="47"/>
      <c r="AR111" s="47"/>
      <c r="AS111" s="47"/>
      <c r="AT111" s="47"/>
      <c r="AU111" s="47"/>
      <c r="AV111" s="47"/>
      <c r="AW111" s="47"/>
      <c r="AX111" s="47"/>
      <c r="AY111" s="47"/>
      <c r="AZ111" s="47"/>
      <c r="BA111" s="47"/>
      <c r="BB111" s="47"/>
      <c r="BC111" s="47"/>
      <c r="BD111" s="47"/>
      <c r="BE111" s="47"/>
      <c r="BF111" s="47"/>
      <c r="BG111" s="47"/>
      <c r="BH111" s="47"/>
      <c r="BI111" s="47"/>
      <c r="BJ111" s="47"/>
      <c r="BK111" s="47"/>
      <c r="BL111" s="47"/>
      <c r="BM111" s="47"/>
      <c r="BN111" s="47"/>
      <c r="BO111" s="47"/>
      <c r="BP111" s="47"/>
      <c r="BS111" s="47"/>
      <c r="BT111" s="47"/>
    </row>
    <row r="112" spans="1:72" ht="21.75" thickBot="1" x14ac:dyDescent="0.4">
      <c r="A112" s="45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7"/>
      <c r="S112" s="47"/>
      <c r="T112" s="47"/>
      <c r="U112" s="47"/>
      <c r="V112" s="47"/>
      <c r="W112" s="47"/>
      <c r="X112" s="47"/>
      <c r="Y112" s="47"/>
      <c r="Z112" s="47"/>
      <c r="AA112" s="47"/>
      <c r="AB112" s="47"/>
      <c r="AC112" s="47"/>
      <c r="AD112" s="47"/>
      <c r="AE112" s="47"/>
      <c r="AF112" s="47"/>
      <c r="AG112" s="47"/>
      <c r="AH112" s="47"/>
      <c r="AI112" s="47"/>
      <c r="AJ112" s="47"/>
      <c r="AK112" s="47"/>
      <c r="AL112" s="47"/>
      <c r="AM112" s="47"/>
      <c r="AN112" s="47"/>
      <c r="AO112" s="47"/>
      <c r="AP112" s="47"/>
      <c r="AQ112" s="47"/>
      <c r="AR112" s="47"/>
      <c r="AS112" s="47"/>
      <c r="AT112" s="47"/>
      <c r="AU112" s="47"/>
      <c r="AV112" s="47"/>
      <c r="AW112" s="47"/>
      <c r="AX112" s="47"/>
      <c r="AY112" s="47"/>
      <c r="AZ112" s="47"/>
      <c r="BA112" s="47"/>
      <c r="BB112" s="47"/>
      <c r="BC112" s="47"/>
      <c r="BD112" s="47"/>
      <c r="BE112" s="47"/>
      <c r="BF112" s="47"/>
      <c r="BG112" s="47"/>
      <c r="BH112" s="47"/>
      <c r="BI112" s="47"/>
      <c r="BJ112" s="47"/>
      <c r="BK112" s="47"/>
      <c r="BL112" s="47"/>
      <c r="BM112" s="47"/>
      <c r="BN112" s="47"/>
      <c r="BO112" s="47"/>
      <c r="BP112" s="47"/>
      <c r="BS112" s="47"/>
      <c r="BT112" s="47"/>
    </row>
    <row r="113" spans="1:72" ht="21.75" thickBot="1" x14ac:dyDescent="0.4">
      <c r="A113" s="45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7"/>
      <c r="S113" s="47"/>
      <c r="T113" s="47"/>
      <c r="U113" s="47"/>
      <c r="V113" s="47"/>
      <c r="W113" s="47"/>
      <c r="X113" s="47"/>
      <c r="Y113" s="47"/>
      <c r="Z113" s="47"/>
      <c r="AA113" s="47"/>
      <c r="AB113" s="47"/>
      <c r="AC113" s="47"/>
      <c r="AD113" s="47"/>
      <c r="AE113" s="47"/>
      <c r="AF113" s="47"/>
      <c r="AG113" s="47"/>
      <c r="AH113" s="47"/>
      <c r="AI113" s="47"/>
      <c r="AJ113" s="47"/>
      <c r="AK113" s="47"/>
      <c r="AL113" s="47"/>
      <c r="AM113" s="47"/>
      <c r="AN113" s="47"/>
      <c r="AO113" s="47"/>
      <c r="AP113" s="47"/>
      <c r="AQ113" s="47"/>
      <c r="AR113" s="47"/>
      <c r="AS113" s="47"/>
      <c r="AT113" s="47"/>
      <c r="AU113" s="47"/>
      <c r="AV113" s="47"/>
      <c r="AW113" s="47"/>
      <c r="AX113" s="47"/>
      <c r="AY113" s="47"/>
      <c r="AZ113" s="47"/>
      <c r="BA113" s="47"/>
      <c r="BB113" s="47"/>
      <c r="BC113" s="47"/>
      <c r="BD113" s="47"/>
      <c r="BE113" s="47"/>
      <c r="BF113" s="47"/>
      <c r="BG113" s="47"/>
      <c r="BH113" s="47"/>
      <c r="BI113" s="47"/>
      <c r="BJ113" s="47"/>
      <c r="BK113" s="47"/>
      <c r="BL113" s="47"/>
      <c r="BM113" s="47"/>
      <c r="BN113" s="47"/>
      <c r="BO113" s="47"/>
      <c r="BP113" s="47"/>
      <c r="BS113" s="47"/>
      <c r="BT113" s="47"/>
    </row>
    <row r="114" spans="1:72" ht="21.75" thickBot="1" x14ac:dyDescent="0.4">
      <c r="A114" s="45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7"/>
      <c r="S114" s="47"/>
      <c r="T114" s="47"/>
      <c r="U114" s="47"/>
      <c r="V114" s="47"/>
      <c r="W114" s="47"/>
      <c r="X114" s="47"/>
      <c r="Y114" s="47"/>
      <c r="Z114" s="47"/>
      <c r="AA114" s="47"/>
      <c r="AB114" s="47"/>
      <c r="AC114" s="47"/>
      <c r="AD114" s="47"/>
      <c r="AE114" s="47"/>
      <c r="AF114" s="47"/>
      <c r="AG114" s="47"/>
      <c r="AH114" s="47"/>
      <c r="AI114" s="47"/>
      <c r="AJ114" s="47"/>
      <c r="AK114" s="47"/>
      <c r="AL114" s="47"/>
      <c r="AM114" s="47"/>
      <c r="AN114" s="47"/>
      <c r="AO114" s="47"/>
      <c r="AP114" s="47"/>
      <c r="AQ114" s="47"/>
      <c r="AR114" s="47"/>
      <c r="AS114" s="47"/>
      <c r="AT114" s="47"/>
      <c r="AU114" s="47"/>
      <c r="AV114" s="47"/>
      <c r="AW114" s="47"/>
      <c r="AX114" s="47"/>
      <c r="AY114" s="47"/>
      <c r="AZ114" s="47"/>
      <c r="BA114" s="47"/>
      <c r="BB114" s="47"/>
      <c r="BC114" s="47"/>
      <c r="BD114" s="47"/>
      <c r="BE114" s="47"/>
      <c r="BF114" s="47"/>
      <c r="BG114" s="47"/>
      <c r="BH114" s="47"/>
      <c r="BI114" s="47"/>
      <c r="BJ114" s="47"/>
      <c r="BK114" s="47"/>
      <c r="BL114" s="47"/>
      <c r="BM114" s="47"/>
      <c r="BN114" s="47"/>
      <c r="BO114" s="47"/>
      <c r="BP114" s="47"/>
      <c r="BS114" s="47"/>
      <c r="BT114" s="47"/>
    </row>
    <row r="115" spans="1:72" ht="21.75" thickBot="1" x14ac:dyDescent="0.4">
      <c r="A115" s="45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7"/>
      <c r="S115" s="47"/>
      <c r="T115" s="47"/>
      <c r="U115" s="47"/>
      <c r="V115" s="47"/>
      <c r="W115" s="47"/>
      <c r="X115" s="47"/>
      <c r="Y115" s="47"/>
      <c r="Z115" s="47"/>
      <c r="AA115" s="47"/>
      <c r="AB115" s="47"/>
      <c r="AC115" s="47"/>
      <c r="AD115" s="47"/>
      <c r="AE115" s="47"/>
      <c r="AF115" s="47"/>
      <c r="AG115" s="47"/>
      <c r="AH115" s="47"/>
      <c r="AI115" s="47"/>
      <c r="AJ115" s="47"/>
      <c r="AK115" s="47"/>
      <c r="AL115" s="47"/>
      <c r="AM115" s="47"/>
      <c r="AN115" s="47"/>
      <c r="AO115" s="47"/>
      <c r="AP115" s="47"/>
      <c r="AQ115" s="47"/>
      <c r="AR115" s="47"/>
      <c r="AS115" s="47"/>
      <c r="AT115" s="47"/>
      <c r="AU115" s="47"/>
      <c r="AV115" s="47"/>
      <c r="AW115" s="47"/>
      <c r="AX115" s="47"/>
      <c r="AY115" s="47"/>
      <c r="AZ115" s="47"/>
      <c r="BA115" s="47"/>
      <c r="BB115" s="47"/>
      <c r="BC115" s="47"/>
      <c r="BD115" s="47"/>
      <c r="BE115" s="47"/>
      <c r="BF115" s="47"/>
      <c r="BG115" s="47"/>
      <c r="BH115" s="47"/>
      <c r="BI115" s="47"/>
      <c r="BJ115" s="47"/>
      <c r="BK115" s="47"/>
      <c r="BL115" s="47"/>
      <c r="BM115" s="47"/>
      <c r="BN115" s="47"/>
      <c r="BO115" s="47"/>
      <c r="BP115" s="47"/>
      <c r="BS115" s="47"/>
      <c r="BT115" s="47"/>
    </row>
    <row r="116" spans="1:72" ht="21.75" thickBot="1" x14ac:dyDescent="0.4">
      <c r="A116" s="45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7"/>
      <c r="S116" s="47"/>
      <c r="T116" s="47"/>
      <c r="U116" s="47"/>
      <c r="V116" s="47"/>
      <c r="W116" s="47"/>
      <c r="X116" s="47"/>
      <c r="Y116" s="47"/>
      <c r="Z116" s="47"/>
      <c r="AA116" s="47"/>
      <c r="AB116" s="47"/>
      <c r="AC116" s="47"/>
      <c r="AD116" s="47"/>
      <c r="AE116" s="47"/>
      <c r="AF116" s="47"/>
      <c r="AG116" s="47"/>
      <c r="AH116" s="47"/>
      <c r="AI116" s="47"/>
      <c r="AJ116" s="47"/>
      <c r="AK116" s="47"/>
      <c r="AL116" s="47"/>
      <c r="AM116" s="47"/>
      <c r="AN116" s="47"/>
      <c r="AO116" s="47"/>
      <c r="AP116" s="47"/>
      <c r="AQ116" s="47"/>
      <c r="AR116" s="47"/>
      <c r="AS116" s="47"/>
      <c r="AT116" s="47"/>
      <c r="AU116" s="47"/>
      <c r="AV116" s="47"/>
      <c r="AW116" s="47"/>
      <c r="AX116" s="47"/>
      <c r="AY116" s="47"/>
      <c r="AZ116" s="47"/>
      <c r="BA116" s="47"/>
      <c r="BB116" s="47"/>
      <c r="BC116" s="47"/>
      <c r="BD116" s="47"/>
      <c r="BE116" s="47"/>
      <c r="BF116" s="47"/>
      <c r="BG116" s="47"/>
      <c r="BH116" s="47"/>
      <c r="BI116" s="47"/>
      <c r="BJ116" s="47"/>
      <c r="BK116" s="47"/>
      <c r="BL116" s="47"/>
      <c r="BM116" s="47"/>
      <c r="BN116" s="47"/>
      <c r="BO116" s="47"/>
      <c r="BP116" s="47"/>
      <c r="BS116" s="47"/>
      <c r="BT116" s="47"/>
    </row>
    <row r="117" spans="1:72" ht="21.75" thickBot="1" x14ac:dyDescent="0.4">
      <c r="A117" s="45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S117" s="47"/>
      <c r="BT117" s="47"/>
    </row>
    <row r="118" spans="1:72" ht="21.75" thickBot="1" x14ac:dyDescent="0.4">
      <c r="A118" s="45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S118" s="47"/>
      <c r="BT118" s="47"/>
    </row>
    <row r="119" spans="1:72" ht="21.75" thickBot="1" x14ac:dyDescent="0.4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</row>
    <row r="120" spans="1:72" ht="21.75" thickBot="1" x14ac:dyDescent="0.4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</row>
    <row r="121" spans="1:72" ht="21.75" thickBot="1" x14ac:dyDescent="0.4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</row>
    <row r="122" spans="1:72" ht="21.75" thickBot="1" x14ac:dyDescent="0.4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</row>
    <row r="123" spans="1:72" ht="21.75" thickBot="1" x14ac:dyDescent="0.4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</row>
    <row r="124" spans="1:72" ht="21.75" thickBot="1" x14ac:dyDescent="0.4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</row>
    <row r="125" spans="1:72" ht="21.75" thickBot="1" x14ac:dyDescent="0.4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</row>
    <row r="126" spans="1:72" ht="21.75" thickBot="1" x14ac:dyDescent="0.4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</row>
    <row r="127" spans="1:72" ht="21.75" thickBot="1" x14ac:dyDescent="0.4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</row>
    <row r="128" spans="1:72" ht="21.75" thickBot="1" x14ac:dyDescent="0.4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</row>
    <row r="129" spans="1:72" ht="21.75" thickBot="1" x14ac:dyDescent="0.4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</row>
    <row r="132" spans="1:72" ht="22.5" thickTop="1" thickBot="1" x14ac:dyDescent="0.4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</row>
    <row r="133" spans="1:72" ht="22.5" thickTop="1" thickBot="1" x14ac:dyDescent="0.4">
      <c r="A133" s="45"/>
      <c r="D133" s="107"/>
      <c r="E133" s="107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7"/>
      <c r="BB133" s="107"/>
      <c r="BC133" s="107"/>
      <c r="BD133" s="107"/>
      <c r="BE133" s="107"/>
      <c r="BF133" s="107"/>
      <c r="BG133" s="107"/>
      <c r="BH133" s="107"/>
      <c r="BI133" s="107"/>
      <c r="BJ133" s="107"/>
      <c r="BK133" s="107"/>
      <c r="BL133" s="107"/>
      <c r="BM133" s="107"/>
      <c r="BN133" s="107"/>
      <c r="BO133" s="107"/>
      <c r="BP133" s="107"/>
      <c r="BQ133" s="107"/>
      <c r="BR133" s="107"/>
      <c r="BS133" s="107"/>
      <c r="BT133" s="107"/>
    </row>
    <row r="134" spans="1:72" ht="21.75" thickBot="1" x14ac:dyDescent="0.4">
      <c r="A134" s="45"/>
      <c r="D134" s="107"/>
      <c r="E134" s="107"/>
      <c r="F134" s="107"/>
      <c r="G134" s="107"/>
      <c r="H134" s="107"/>
      <c r="I134" s="107"/>
      <c r="J134" s="107"/>
      <c r="K134" s="107"/>
      <c r="L134" s="107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07"/>
      <c r="AL134" s="107"/>
      <c r="AM134" s="107"/>
      <c r="AN134" s="107"/>
      <c r="AO134" s="107"/>
      <c r="AP134" s="107"/>
      <c r="AQ134" s="107"/>
      <c r="AR134" s="107"/>
      <c r="AS134" s="107"/>
      <c r="AT134" s="107"/>
      <c r="AU134" s="107"/>
      <c r="AV134" s="107"/>
      <c r="AW134" s="107"/>
      <c r="AX134" s="107"/>
      <c r="AY134" s="107"/>
      <c r="AZ134" s="107"/>
      <c r="BA134" s="107"/>
      <c r="BB134" s="107"/>
      <c r="BC134" s="107"/>
      <c r="BD134" s="107"/>
      <c r="BE134" s="107"/>
      <c r="BF134" s="107"/>
      <c r="BG134" s="107"/>
      <c r="BH134" s="107"/>
      <c r="BI134" s="107"/>
      <c r="BJ134" s="107"/>
      <c r="BK134" s="107"/>
      <c r="BL134" s="107"/>
      <c r="BM134" s="107"/>
      <c r="BN134" s="107"/>
      <c r="BO134" s="107"/>
      <c r="BP134" s="107"/>
      <c r="BQ134" s="107"/>
      <c r="BR134" s="107"/>
      <c r="BS134" s="107"/>
      <c r="BT134" s="107"/>
    </row>
    <row r="135" spans="1:72" ht="21.75" thickBot="1" x14ac:dyDescent="0.4">
      <c r="A135" s="45"/>
      <c r="D135" s="107"/>
      <c r="E135" s="107"/>
      <c r="F135" s="107"/>
      <c r="G135" s="107"/>
      <c r="H135" s="107"/>
      <c r="I135" s="107"/>
      <c r="J135" s="107"/>
      <c r="K135" s="107"/>
      <c r="L135" s="107"/>
      <c r="M135" s="107"/>
      <c r="N135" s="107"/>
      <c r="O135" s="107"/>
      <c r="P135" s="107"/>
      <c r="Q135" s="107"/>
      <c r="R135" s="107"/>
      <c r="S135" s="107"/>
      <c r="T135" s="107"/>
      <c r="U135" s="107"/>
      <c r="V135" s="107"/>
      <c r="W135" s="107"/>
      <c r="X135" s="107"/>
      <c r="Y135" s="107"/>
      <c r="Z135" s="107"/>
      <c r="AA135" s="107"/>
      <c r="AB135" s="107"/>
      <c r="AC135" s="107"/>
      <c r="AD135" s="107"/>
      <c r="AE135" s="107"/>
      <c r="AF135" s="107"/>
      <c r="AG135" s="107"/>
      <c r="AH135" s="107"/>
      <c r="AI135" s="107"/>
      <c r="AJ135" s="107"/>
      <c r="AK135" s="107"/>
      <c r="AL135" s="107"/>
      <c r="AM135" s="107"/>
      <c r="AN135" s="107"/>
      <c r="AO135" s="107"/>
      <c r="AP135" s="107"/>
      <c r="AQ135" s="107"/>
      <c r="AR135" s="107"/>
      <c r="AS135" s="107"/>
      <c r="AT135" s="107"/>
      <c r="AU135" s="107"/>
      <c r="AV135" s="107"/>
      <c r="AW135" s="107"/>
      <c r="AX135" s="107"/>
      <c r="AY135" s="107"/>
      <c r="AZ135" s="107"/>
      <c r="BA135" s="107"/>
      <c r="BB135" s="107"/>
      <c r="BC135" s="107"/>
      <c r="BD135" s="107"/>
      <c r="BE135" s="107"/>
      <c r="BF135" s="107"/>
      <c r="BG135" s="107"/>
      <c r="BH135" s="107"/>
      <c r="BI135" s="107"/>
      <c r="BJ135" s="107"/>
      <c r="BK135" s="107"/>
      <c r="BL135" s="107"/>
      <c r="BM135" s="107"/>
      <c r="BN135" s="107"/>
      <c r="BO135" s="107"/>
      <c r="BP135" s="107"/>
      <c r="BQ135" s="107"/>
      <c r="BR135" s="107"/>
      <c r="BS135" s="107"/>
      <c r="BT135" s="107"/>
    </row>
    <row r="136" spans="1:72" ht="21.75" thickBot="1" x14ac:dyDescent="0.4">
      <c r="A136" s="45"/>
      <c r="D136" s="107"/>
      <c r="E136" s="107"/>
      <c r="F136" s="107"/>
      <c r="G136" s="107"/>
      <c r="H136" s="107"/>
      <c r="I136" s="107"/>
      <c r="J136" s="107"/>
      <c r="K136" s="107"/>
      <c r="L136" s="107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A136" s="107"/>
      <c r="AB136" s="107"/>
      <c r="AC136" s="107"/>
      <c r="AD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  <c r="AQ136" s="107"/>
      <c r="AR136" s="107"/>
      <c r="AS136" s="107"/>
      <c r="AT136" s="107"/>
      <c r="AU136" s="107"/>
      <c r="AV136" s="107"/>
      <c r="AW136" s="107"/>
      <c r="AX136" s="107"/>
      <c r="AY136" s="107"/>
      <c r="AZ136" s="107"/>
      <c r="BA136" s="107"/>
      <c r="BB136" s="107"/>
      <c r="BC136" s="107"/>
      <c r="BD136" s="107"/>
      <c r="BE136" s="107"/>
      <c r="BF136" s="107"/>
      <c r="BG136" s="107"/>
      <c r="BH136" s="107"/>
      <c r="BI136" s="107"/>
      <c r="BJ136" s="107"/>
      <c r="BK136" s="107"/>
      <c r="BL136" s="107"/>
      <c r="BM136" s="107"/>
      <c r="BN136" s="107"/>
      <c r="BO136" s="107"/>
      <c r="BP136" s="107"/>
      <c r="BQ136" s="107"/>
      <c r="BR136" s="107"/>
      <c r="BS136" s="107"/>
      <c r="BT136" s="107"/>
    </row>
    <row r="137" spans="1:72" ht="21.75" thickBot="1" x14ac:dyDescent="0.4">
      <c r="A137" s="45"/>
      <c r="D137" s="107"/>
      <c r="E137" s="107"/>
      <c r="F137" s="107"/>
      <c r="G137" s="107"/>
      <c r="H137" s="107"/>
      <c r="I137" s="107"/>
      <c r="J137" s="107"/>
      <c r="K137" s="107"/>
      <c r="L137" s="107"/>
      <c r="M137" s="107"/>
      <c r="N137" s="107"/>
      <c r="O137" s="107"/>
      <c r="P137" s="107"/>
      <c r="Q137" s="107"/>
      <c r="R137" s="107"/>
      <c r="S137" s="107"/>
      <c r="T137" s="107"/>
      <c r="U137" s="107"/>
      <c r="V137" s="107"/>
      <c r="W137" s="107"/>
      <c r="X137" s="107"/>
      <c r="Y137" s="107"/>
      <c r="Z137" s="107"/>
      <c r="AA137" s="107"/>
      <c r="AB137" s="107"/>
      <c r="AC137" s="107"/>
      <c r="AD137" s="107"/>
      <c r="AE137" s="107"/>
      <c r="AF137" s="107"/>
      <c r="AG137" s="107"/>
      <c r="AH137" s="107"/>
      <c r="AI137" s="107"/>
      <c r="AJ137" s="107"/>
      <c r="AK137" s="107"/>
      <c r="AL137" s="107"/>
      <c r="AM137" s="107"/>
      <c r="AN137" s="107"/>
      <c r="AO137" s="107"/>
      <c r="AP137" s="107"/>
      <c r="AQ137" s="107"/>
      <c r="AR137" s="107"/>
      <c r="AS137" s="107"/>
      <c r="AT137" s="107"/>
      <c r="AU137" s="107"/>
      <c r="AV137" s="107"/>
      <c r="AW137" s="107"/>
      <c r="AX137" s="107"/>
      <c r="AY137" s="107"/>
      <c r="AZ137" s="107"/>
      <c r="BA137" s="107"/>
      <c r="BB137" s="107"/>
      <c r="BC137" s="107"/>
      <c r="BD137" s="107"/>
      <c r="BE137" s="107"/>
      <c r="BF137" s="107"/>
      <c r="BG137" s="107"/>
      <c r="BH137" s="107"/>
      <c r="BI137" s="107"/>
      <c r="BJ137" s="107"/>
      <c r="BK137" s="107"/>
      <c r="BL137" s="107"/>
      <c r="BM137" s="107"/>
      <c r="BN137" s="107"/>
      <c r="BO137" s="107"/>
      <c r="BP137" s="107"/>
      <c r="BQ137" s="107"/>
      <c r="BR137" s="107"/>
      <c r="BS137" s="107"/>
      <c r="BT137" s="107"/>
    </row>
    <row r="138" spans="1:72" ht="21.75" thickBot="1" x14ac:dyDescent="0.4">
      <c r="A138" s="45"/>
      <c r="D138" s="107"/>
      <c r="E138" s="107"/>
      <c r="F138" s="107"/>
      <c r="G138" s="107"/>
      <c r="H138" s="107"/>
      <c r="I138" s="107"/>
      <c r="J138" s="107"/>
      <c r="K138" s="107"/>
      <c r="L138" s="107"/>
      <c r="M138" s="107"/>
      <c r="N138" s="107"/>
      <c r="O138" s="107"/>
      <c r="P138" s="107"/>
      <c r="Q138" s="107"/>
      <c r="R138" s="107"/>
      <c r="S138" s="107"/>
      <c r="T138" s="107"/>
      <c r="U138" s="107"/>
      <c r="V138" s="107"/>
      <c r="W138" s="107"/>
      <c r="X138" s="107"/>
      <c r="Y138" s="107"/>
      <c r="Z138" s="107"/>
      <c r="AA138" s="107"/>
      <c r="AB138" s="107"/>
      <c r="AC138" s="107"/>
      <c r="AD138" s="107"/>
      <c r="AE138" s="107"/>
      <c r="AF138" s="107"/>
      <c r="AG138" s="107"/>
      <c r="AH138" s="107"/>
      <c r="AI138" s="107"/>
      <c r="AJ138" s="107"/>
      <c r="AK138" s="107"/>
      <c r="AL138" s="107"/>
      <c r="AM138" s="107"/>
      <c r="AN138" s="107"/>
      <c r="AO138" s="107"/>
      <c r="AP138" s="107"/>
      <c r="AQ138" s="107"/>
      <c r="AR138" s="107"/>
      <c r="AS138" s="107"/>
      <c r="AT138" s="107"/>
      <c r="AU138" s="107"/>
      <c r="AV138" s="107"/>
      <c r="AW138" s="107"/>
      <c r="AX138" s="107"/>
      <c r="AY138" s="107"/>
      <c r="AZ138" s="107"/>
      <c r="BA138" s="107"/>
      <c r="BB138" s="107"/>
      <c r="BC138" s="107"/>
      <c r="BD138" s="107"/>
      <c r="BE138" s="107"/>
      <c r="BF138" s="107"/>
      <c r="BG138" s="107"/>
      <c r="BH138" s="107"/>
      <c r="BI138" s="107"/>
      <c r="BJ138" s="107"/>
      <c r="BK138" s="107"/>
      <c r="BL138" s="107"/>
      <c r="BM138" s="107"/>
      <c r="BN138" s="107"/>
      <c r="BO138" s="107"/>
      <c r="BP138" s="107"/>
      <c r="BQ138" s="107"/>
      <c r="BR138" s="107"/>
      <c r="BS138" s="107"/>
      <c r="BT138" s="107"/>
    </row>
    <row r="139" spans="1:72" ht="21.75" thickBot="1" x14ac:dyDescent="0.4">
      <c r="A139" s="45"/>
      <c r="D139" s="107"/>
      <c r="E139" s="107"/>
      <c r="F139" s="107"/>
      <c r="G139" s="107"/>
      <c r="H139" s="107"/>
      <c r="I139" s="107"/>
      <c r="J139" s="107"/>
      <c r="K139" s="107"/>
      <c r="L139" s="107"/>
      <c r="M139" s="107"/>
      <c r="N139" s="107"/>
      <c r="O139" s="107"/>
      <c r="P139" s="107"/>
      <c r="Q139" s="107"/>
      <c r="R139" s="107"/>
      <c r="S139" s="107"/>
      <c r="T139" s="107"/>
      <c r="U139" s="107"/>
      <c r="V139" s="107"/>
      <c r="W139" s="107"/>
      <c r="X139" s="107"/>
      <c r="Y139" s="107"/>
      <c r="Z139" s="107"/>
      <c r="AA139" s="107"/>
      <c r="AB139" s="107"/>
      <c r="AC139" s="107"/>
      <c r="AD139" s="107"/>
      <c r="AE139" s="107"/>
      <c r="AF139" s="107"/>
      <c r="AG139" s="107"/>
      <c r="AH139" s="107"/>
      <c r="AI139" s="107"/>
      <c r="AJ139" s="107"/>
      <c r="AK139" s="107"/>
      <c r="AL139" s="107"/>
      <c r="AM139" s="107"/>
      <c r="AN139" s="107"/>
      <c r="AO139" s="107"/>
      <c r="AP139" s="107"/>
      <c r="AQ139" s="107"/>
      <c r="AR139" s="107"/>
      <c r="AS139" s="107"/>
      <c r="AT139" s="107"/>
      <c r="AU139" s="107"/>
      <c r="AV139" s="107"/>
      <c r="AW139" s="107"/>
      <c r="AX139" s="107"/>
      <c r="AY139" s="107"/>
      <c r="AZ139" s="107"/>
      <c r="BA139" s="107"/>
      <c r="BB139" s="107"/>
      <c r="BC139" s="107"/>
      <c r="BD139" s="107"/>
      <c r="BE139" s="107"/>
      <c r="BF139" s="107"/>
      <c r="BG139" s="107"/>
      <c r="BH139" s="107"/>
      <c r="BI139" s="107"/>
      <c r="BJ139" s="107"/>
      <c r="BK139" s="107"/>
      <c r="BL139" s="107"/>
      <c r="BM139" s="107"/>
      <c r="BN139" s="107"/>
      <c r="BO139" s="107"/>
      <c r="BP139" s="107"/>
      <c r="BQ139" s="107"/>
      <c r="BR139" s="107"/>
      <c r="BS139" s="107"/>
      <c r="BT139" s="107"/>
    </row>
    <row r="140" spans="1:72" ht="21.75" thickBot="1" x14ac:dyDescent="0.4">
      <c r="A140" s="45"/>
      <c r="D140" s="107"/>
      <c r="E140" s="107"/>
      <c r="F140" s="107"/>
      <c r="G140" s="107"/>
      <c r="H140" s="107"/>
      <c r="I140" s="107"/>
      <c r="J140" s="107"/>
      <c r="K140" s="107"/>
      <c r="L140" s="107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  <c r="Y140" s="107"/>
      <c r="Z140" s="107"/>
      <c r="AA140" s="107"/>
      <c r="AB140" s="107"/>
      <c r="AC140" s="107"/>
      <c r="AD140" s="107"/>
      <c r="AE140" s="107"/>
      <c r="AF140" s="107"/>
      <c r="AG140" s="107"/>
      <c r="AH140" s="107"/>
      <c r="AI140" s="107"/>
      <c r="AJ140" s="107"/>
      <c r="AK140" s="107"/>
      <c r="AL140" s="107"/>
      <c r="AM140" s="107"/>
      <c r="AN140" s="107"/>
      <c r="AO140" s="107"/>
      <c r="AP140" s="107"/>
      <c r="AQ140" s="107"/>
      <c r="AR140" s="107"/>
      <c r="AS140" s="107"/>
      <c r="AT140" s="107"/>
      <c r="AU140" s="107"/>
      <c r="AV140" s="107"/>
      <c r="AW140" s="107"/>
      <c r="AX140" s="107"/>
      <c r="AY140" s="107"/>
      <c r="AZ140" s="107"/>
      <c r="BA140" s="107"/>
      <c r="BB140" s="107"/>
      <c r="BC140" s="107"/>
      <c r="BD140" s="107"/>
      <c r="BE140" s="107"/>
      <c r="BF140" s="107"/>
      <c r="BG140" s="107"/>
      <c r="BH140" s="107"/>
      <c r="BI140" s="107"/>
      <c r="BJ140" s="107"/>
      <c r="BK140" s="107"/>
      <c r="BL140" s="107"/>
      <c r="BM140" s="107"/>
      <c r="BN140" s="107"/>
      <c r="BO140" s="107"/>
      <c r="BP140" s="107"/>
      <c r="BQ140" s="107"/>
      <c r="BR140" s="107"/>
      <c r="BS140" s="107"/>
      <c r="BT140" s="107"/>
    </row>
    <row r="141" spans="1:72" ht="21.75" thickBot="1" x14ac:dyDescent="0.4">
      <c r="A141" s="45"/>
      <c r="D141" s="107"/>
      <c r="E141" s="107"/>
      <c r="F141" s="107"/>
      <c r="G141" s="107"/>
      <c r="H141" s="107"/>
      <c r="I141" s="107"/>
      <c r="J141" s="107"/>
      <c r="K141" s="107"/>
      <c r="L141" s="107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  <c r="Y141" s="107"/>
      <c r="Z141" s="107"/>
      <c r="AA141" s="107"/>
      <c r="AB141" s="107"/>
      <c r="AC141" s="107"/>
      <c r="AD141" s="107"/>
      <c r="AE141" s="107"/>
      <c r="AF141" s="107"/>
      <c r="AG141" s="107"/>
      <c r="AH141" s="107"/>
      <c r="AI141" s="107"/>
      <c r="AJ141" s="107"/>
      <c r="AK141" s="107"/>
      <c r="AL141" s="107"/>
      <c r="AM141" s="107"/>
      <c r="AN141" s="107"/>
      <c r="AO141" s="107"/>
      <c r="AP141" s="107"/>
      <c r="AQ141" s="107"/>
      <c r="AR141" s="107"/>
      <c r="AS141" s="107"/>
      <c r="AT141" s="107"/>
      <c r="AU141" s="107"/>
      <c r="AV141" s="107"/>
      <c r="AW141" s="107"/>
      <c r="AX141" s="107"/>
      <c r="AY141" s="107"/>
      <c r="AZ141" s="107"/>
      <c r="BA141" s="107"/>
      <c r="BB141" s="107"/>
      <c r="BC141" s="107"/>
      <c r="BD141" s="107"/>
      <c r="BE141" s="107"/>
      <c r="BF141" s="107"/>
      <c r="BG141" s="107"/>
      <c r="BH141" s="107"/>
      <c r="BI141" s="107"/>
      <c r="BJ141" s="107"/>
      <c r="BK141" s="107"/>
      <c r="BL141" s="107"/>
      <c r="BM141" s="107"/>
      <c r="BN141" s="107"/>
      <c r="BO141" s="107"/>
      <c r="BP141" s="107"/>
      <c r="BQ141" s="107"/>
      <c r="BR141" s="107"/>
      <c r="BS141" s="107"/>
      <c r="BT141" s="107"/>
    </row>
    <row r="142" spans="1:72" ht="21.75" thickBot="1" x14ac:dyDescent="0.4">
      <c r="A142" s="45"/>
      <c r="D142" s="107"/>
      <c r="E142" s="107"/>
      <c r="F142" s="107"/>
      <c r="G142" s="107"/>
      <c r="H142" s="107"/>
      <c r="I142" s="107"/>
      <c r="J142" s="107"/>
      <c r="K142" s="107"/>
      <c r="L142" s="107"/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  <c r="Y142" s="107"/>
      <c r="Z142" s="107"/>
      <c r="AA142" s="107"/>
      <c r="AB142" s="107"/>
      <c r="AC142" s="107"/>
      <c r="AD142" s="107"/>
      <c r="AE142" s="107"/>
      <c r="AF142" s="107"/>
      <c r="AG142" s="107"/>
      <c r="AH142" s="107"/>
      <c r="AI142" s="107"/>
      <c r="AJ142" s="107"/>
      <c r="AK142" s="107"/>
      <c r="AL142" s="107"/>
      <c r="AM142" s="107"/>
      <c r="AN142" s="107"/>
      <c r="AO142" s="107"/>
      <c r="AP142" s="107"/>
      <c r="AQ142" s="107"/>
      <c r="AR142" s="107"/>
      <c r="AS142" s="107"/>
      <c r="AT142" s="107"/>
      <c r="AU142" s="107"/>
      <c r="AV142" s="107"/>
      <c r="AW142" s="107"/>
      <c r="AX142" s="107"/>
      <c r="AY142" s="107"/>
      <c r="AZ142" s="107"/>
      <c r="BA142" s="107"/>
      <c r="BB142" s="107"/>
      <c r="BC142" s="107"/>
      <c r="BD142" s="107"/>
      <c r="BE142" s="107"/>
      <c r="BF142" s="107"/>
      <c r="BG142" s="107"/>
      <c r="BH142" s="107"/>
      <c r="BI142" s="107"/>
      <c r="BJ142" s="107"/>
      <c r="BK142" s="107"/>
      <c r="BL142" s="107"/>
      <c r="BM142" s="107"/>
      <c r="BN142" s="107"/>
      <c r="BO142" s="107"/>
      <c r="BP142" s="107"/>
      <c r="BQ142" s="107"/>
      <c r="BR142" s="107"/>
      <c r="BS142" s="107"/>
      <c r="BT142" s="107"/>
    </row>
    <row r="143" spans="1:72" ht="21.75" thickBot="1" x14ac:dyDescent="0.4">
      <c r="A143" s="45"/>
      <c r="D143" s="107"/>
      <c r="E143" s="107"/>
      <c r="F143" s="107"/>
      <c r="G143" s="107"/>
      <c r="H143" s="107"/>
      <c r="I143" s="107"/>
      <c r="J143" s="107"/>
      <c r="K143" s="107"/>
      <c r="L143" s="107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  <c r="Y143" s="107"/>
      <c r="Z143" s="107"/>
      <c r="AA143" s="107"/>
      <c r="AB143" s="107"/>
      <c r="AC143" s="107"/>
      <c r="AD143" s="107"/>
      <c r="AE143" s="107"/>
      <c r="AF143" s="107"/>
      <c r="AG143" s="107"/>
      <c r="AH143" s="107"/>
      <c r="AI143" s="107"/>
      <c r="AJ143" s="107"/>
      <c r="AK143" s="107"/>
      <c r="AL143" s="107"/>
      <c r="AM143" s="107"/>
      <c r="AN143" s="107"/>
      <c r="AO143" s="107"/>
      <c r="AP143" s="107"/>
      <c r="AQ143" s="107"/>
      <c r="AR143" s="107"/>
      <c r="AS143" s="107"/>
      <c r="AT143" s="107"/>
      <c r="AU143" s="107"/>
      <c r="AV143" s="107"/>
      <c r="AW143" s="107"/>
      <c r="AX143" s="107"/>
      <c r="AY143" s="107"/>
      <c r="AZ143" s="107"/>
      <c r="BA143" s="107"/>
      <c r="BB143" s="107"/>
      <c r="BC143" s="107"/>
      <c r="BD143" s="107"/>
      <c r="BE143" s="107"/>
      <c r="BF143" s="107"/>
      <c r="BG143" s="107"/>
      <c r="BH143" s="107"/>
      <c r="BI143" s="107"/>
      <c r="BJ143" s="107"/>
      <c r="BK143" s="107"/>
      <c r="BL143" s="107"/>
      <c r="BM143" s="107"/>
      <c r="BN143" s="107"/>
      <c r="BO143" s="107"/>
      <c r="BP143" s="107"/>
      <c r="BQ143" s="107"/>
      <c r="BR143" s="107"/>
      <c r="BS143" s="107"/>
      <c r="BT143" s="107"/>
    </row>
    <row r="144" spans="1:72" ht="21.75" thickBot="1" x14ac:dyDescent="0.4">
      <c r="A144" s="45"/>
      <c r="D144" s="107"/>
      <c r="E144" s="107"/>
      <c r="F144" s="107"/>
      <c r="G144" s="107"/>
      <c r="H144" s="107"/>
      <c r="I144" s="107"/>
      <c r="J144" s="107"/>
      <c r="K144" s="107"/>
      <c r="L144" s="107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  <c r="Y144" s="107"/>
      <c r="Z144" s="107"/>
      <c r="AA144" s="107"/>
      <c r="AB144" s="107"/>
      <c r="AC144" s="107"/>
      <c r="AD144" s="107"/>
      <c r="AE144" s="107"/>
      <c r="AF144" s="107"/>
      <c r="AG144" s="107"/>
      <c r="AH144" s="107"/>
      <c r="AI144" s="107"/>
      <c r="AJ144" s="107"/>
      <c r="AK144" s="107"/>
      <c r="AL144" s="107"/>
      <c r="AM144" s="107"/>
      <c r="AN144" s="107"/>
      <c r="AO144" s="107"/>
      <c r="AP144" s="107"/>
      <c r="AQ144" s="107"/>
      <c r="AR144" s="107"/>
      <c r="AS144" s="107"/>
      <c r="AT144" s="107"/>
      <c r="AU144" s="107"/>
      <c r="AV144" s="107"/>
      <c r="AW144" s="107"/>
      <c r="AX144" s="107"/>
      <c r="AY144" s="107"/>
      <c r="AZ144" s="107"/>
      <c r="BA144" s="107"/>
      <c r="BB144" s="107"/>
      <c r="BC144" s="107"/>
      <c r="BD144" s="107"/>
      <c r="BE144" s="107"/>
      <c r="BF144" s="107"/>
      <c r="BG144" s="107"/>
      <c r="BH144" s="107"/>
      <c r="BI144" s="107"/>
      <c r="BJ144" s="107"/>
      <c r="BK144" s="107"/>
      <c r="BL144" s="107"/>
      <c r="BM144" s="107"/>
      <c r="BN144" s="107"/>
      <c r="BO144" s="107"/>
      <c r="BP144" s="107"/>
      <c r="BQ144" s="107"/>
      <c r="BR144" s="107"/>
      <c r="BS144" s="107"/>
      <c r="BT144" s="107"/>
    </row>
    <row r="145" spans="1:72" ht="21.75" thickBot="1" x14ac:dyDescent="0.4">
      <c r="A145" s="45"/>
      <c r="D145" s="107"/>
      <c r="E145" s="107"/>
      <c r="F145" s="107"/>
      <c r="G145" s="107"/>
      <c r="H145" s="107"/>
      <c r="I145" s="107"/>
      <c r="J145" s="107"/>
      <c r="K145" s="107"/>
      <c r="L145" s="107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  <c r="Y145" s="107"/>
      <c r="Z145" s="107"/>
      <c r="AA145" s="107"/>
      <c r="AB145" s="107"/>
      <c r="AC145" s="107"/>
      <c r="AD145" s="107"/>
      <c r="AE145" s="107"/>
      <c r="AF145" s="107"/>
      <c r="AG145" s="107"/>
      <c r="AH145" s="107"/>
      <c r="AI145" s="107"/>
      <c r="AJ145" s="107"/>
      <c r="AK145" s="107"/>
      <c r="AL145" s="107"/>
      <c r="AM145" s="107"/>
      <c r="AN145" s="107"/>
      <c r="AO145" s="107"/>
      <c r="AP145" s="107"/>
      <c r="AQ145" s="107"/>
      <c r="AR145" s="107"/>
      <c r="AS145" s="107"/>
      <c r="AT145" s="107"/>
      <c r="AU145" s="107"/>
      <c r="AV145" s="107"/>
      <c r="AW145" s="107"/>
      <c r="AX145" s="107"/>
      <c r="AY145" s="107"/>
      <c r="AZ145" s="107"/>
      <c r="BA145" s="107"/>
      <c r="BB145" s="107"/>
      <c r="BC145" s="107"/>
      <c r="BD145" s="107"/>
      <c r="BE145" s="107"/>
      <c r="BF145" s="107"/>
      <c r="BG145" s="107"/>
      <c r="BH145" s="107"/>
      <c r="BI145" s="107"/>
      <c r="BJ145" s="107"/>
      <c r="BK145" s="107"/>
      <c r="BL145" s="107"/>
      <c r="BM145" s="107"/>
      <c r="BN145" s="107"/>
      <c r="BO145" s="107"/>
      <c r="BP145" s="107"/>
      <c r="BQ145" s="107"/>
      <c r="BR145" s="107"/>
      <c r="BS145" s="107"/>
      <c r="BT145" s="107"/>
    </row>
    <row r="146" spans="1:72" ht="21.75" thickBot="1" x14ac:dyDescent="0.4">
      <c r="A146" s="45"/>
      <c r="D146" s="107"/>
      <c r="E146" s="107"/>
      <c r="F146" s="107"/>
      <c r="G146" s="107"/>
      <c r="H146" s="107"/>
      <c r="I146" s="107"/>
      <c r="J146" s="107"/>
      <c r="K146" s="107"/>
      <c r="L146" s="107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07"/>
      <c r="Y146" s="107"/>
      <c r="Z146" s="107"/>
      <c r="AA146" s="107"/>
      <c r="AB146" s="107"/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  <c r="AQ146" s="107"/>
      <c r="AR146" s="107"/>
      <c r="AS146" s="107"/>
      <c r="AT146" s="107"/>
      <c r="AU146" s="107"/>
      <c r="AV146" s="107"/>
      <c r="AW146" s="107"/>
      <c r="AX146" s="107"/>
      <c r="AY146" s="107"/>
      <c r="AZ146" s="107"/>
      <c r="BA146" s="107"/>
      <c r="BB146" s="107"/>
      <c r="BC146" s="107"/>
      <c r="BD146" s="107"/>
      <c r="BE146" s="107"/>
      <c r="BF146" s="107"/>
      <c r="BG146" s="107"/>
      <c r="BH146" s="107"/>
      <c r="BI146" s="107"/>
      <c r="BJ146" s="107"/>
      <c r="BK146" s="107"/>
      <c r="BL146" s="107"/>
      <c r="BM146" s="107"/>
      <c r="BN146" s="107"/>
      <c r="BO146" s="107"/>
      <c r="BP146" s="107"/>
      <c r="BQ146" s="107"/>
      <c r="BR146" s="107"/>
      <c r="BS146" s="107"/>
      <c r="BT146" s="107"/>
    </row>
    <row r="147" spans="1:72" ht="21.75" thickBot="1" x14ac:dyDescent="0.4">
      <c r="A147" s="45"/>
      <c r="D147" s="107"/>
      <c r="E147" s="107"/>
      <c r="F147" s="107"/>
      <c r="G147" s="107"/>
      <c r="H147" s="107"/>
      <c r="I147" s="107"/>
      <c r="J147" s="107"/>
      <c r="K147" s="107"/>
      <c r="L147" s="107"/>
      <c r="M147" s="107"/>
      <c r="N147" s="107"/>
      <c r="O147" s="107"/>
      <c r="P147" s="107"/>
      <c r="Q147" s="107"/>
      <c r="R147" s="107"/>
      <c r="S147" s="107"/>
      <c r="T147" s="107"/>
      <c r="U147" s="107"/>
      <c r="V147" s="107"/>
      <c r="W147" s="107"/>
      <c r="X147" s="107"/>
      <c r="Y147" s="107"/>
      <c r="Z147" s="107"/>
      <c r="AA147" s="107"/>
      <c r="AB147" s="107"/>
      <c r="AC147" s="107"/>
      <c r="AD147" s="107"/>
      <c r="AE147" s="107"/>
      <c r="AF147" s="107"/>
      <c r="AG147" s="107"/>
      <c r="AH147" s="107"/>
      <c r="AI147" s="107"/>
      <c r="AJ147" s="107"/>
      <c r="AK147" s="107"/>
      <c r="AL147" s="107"/>
      <c r="AM147" s="107"/>
      <c r="AN147" s="107"/>
      <c r="AO147" s="107"/>
      <c r="AP147" s="107"/>
      <c r="AQ147" s="107"/>
      <c r="AR147" s="107"/>
      <c r="AS147" s="107"/>
      <c r="AT147" s="107"/>
      <c r="AU147" s="107"/>
      <c r="AV147" s="107"/>
      <c r="AW147" s="107"/>
      <c r="AX147" s="107"/>
      <c r="AY147" s="107"/>
      <c r="AZ147" s="107"/>
      <c r="BA147" s="107"/>
      <c r="BB147" s="107"/>
      <c r="BC147" s="107"/>
      <c r="BD147" s="107"/>
      <c r="BE147" s="107"/>
      <c r="BF147" s="107"/>
      <c r="BG147" s="107"/>
      <c r="BH147" s="107"/>
      <c r="BI147" s="107"/>
      <c r="BJ147" s="107"/>
      <c r="BK147" s="107"/>
      <c r="BL147" s="107"/>
      <c r="BM147" s="107"/>
      <c r="BN147" s="107"/>
      <c r="BO147" s="107"/>
      <c r="BP147" s="107"/>
      <c r="BQ147" s="107"/>
      <c r="BR147" s="107"/>
      <c r="BS147" s="107"/>
      <c r="BT147" s="107"/>
    </row>
    <row r="148" spans="1:72" ht="21.75" thickBot="1" x14ac:dyDescent="0.4">
      <c r="A148" s="45"/>
      <c r="D148" s="107"/>
      <c r="E148" s="107"/>
      <c r="F148" s="107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  <c r="AJ148" s="107"/>
      <c r="AK148" s="107"/>
      <c r="AL148" s="107"/>
      <c r="AM148" s="107"/>
      <c r="AN148" s="107"/>
      <c r="AO148" s="107"/>
      <c r="AP148" s="107"/>
      <c r="AQ148" s="107"/>
      <c r="AR148" s="107"/>
      <c r="AS148" s="107"/>
      <c r="AT148" s="107"/>
      <c r="AU148" s="107"/>
      <c r="AV148" s="107"/>
      <c r="AW148" s="107"/>
      <c r="AX148" s="107"/>
      <c r="AY148" s="107"/>
      <c r="AZ148" s="107"/>
      <c r="BA148" s="107"/>
      <c r="BB148" s="107"/>
      <c r="BC148" s="107"/>
      <c r="BD148" s="107"/>
      <c r="BE148" s="107"/>
      <c r="BF148" s="107"/>
      <c r="BG148" s="107"/>
      <c r="BH148" s="107"/>
      <c r="BI148" s="107"/>
      <c r="BJ148" s="107"/>
      <c r="BK148" s="107"/>
      <c r="BL148" s="107"/>
      <c r="BM148" s="107"/>
      <c r="BN148" s="107"/>
      <c r="BO148" s="107"/>
      <c r="BP148" s="107"/>
      <c r="BQ148" s="107"/>
      <c r="BR148" s="107"/>
      <c r="BS148" s="107"/>
      <c r="BT148" s="107"/>
    </row>
    <row r="149" spans="1:72" ht="21.75" thickBot="1" x14ac:dyDescent="0.4">
      <c r="A149" s="45"/>
      <c r="D149" s="107"/>
      <c r="E149" s="107"/>
      <c r="F149" s="107"/>
      <c r="G149" s="107"/>
      <c r="H149" s="107"/>
      <c r="I149" s="107"/>
      <c r="J149" s="107"/>
      <c r="K149" s="107"/>
      <c r="L149" s="107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  <c r="Y149" s="107"/>
      <c r="Z149" s="107"/>
      <c r="AA149" s="107"/>
      <c r="AB149" s="107"/>
      <c r="AC149" s="107"/>
      <c r="AD149" s="107"/>
      <c r="AE149" s="107"/>
      <c r="AF149" s="107"/>
      <c r="AG149" s="107"/>
      <c r="AH149" s="107"/>
      <c r="AI149" s="107"/>
      <c r="AJ149" s="107"/>
      <c r="AK149" s="107"/>
      <c r="AL149" s="107"/>
      <c r="AM149" s="107"/>
      <c r="AN149" s="107"/>
      <c r="AO149" s="107"/>
      <c r="AP149" s="107"/>
      <c r="AQ149" s="107"/>
      <c r="AR149" s="107"/>
      <c r="AS149" s="107"/>
      <c r="AT149" s="107"/>
      <c r="AU149" s="107"/>
      <c r="AV149" s="107"/>
      <c r="AW149" s="107"/>
      <c r="AX149" s="107"/>
      <c r="AY149" s="107"/>
      <c r="AZ149" s="107"/>
      <c r="BA149" s="107"/>
      <c r="BB149" s="107"/>
      <c r="BC149" s="107"/>
      <c r="BD149" s="107"/>
      <c r="BE149" s="107"/>
      <c r="BF149" s="107"/>
      <c r="BG149" s="107"/>
      <c r="BH149" s="107"/>
      <c r="BI149" s="107"/>
      <c r="BJ149" s="107"/>
      <c r="BK149" s="107"/>
      <c r="BL149" s="107"/>
      <c r="BM149" s="107"/>
      <c r="BN149" s="107"/>
      <c r="BO149" s="107"/>
      <c r="BP149" s="107"/>
      <c r="BQ149" s="107"/>
      <c r="BR149" s="107"/>
      <c r="BS149" s="107"/>
      <c r="BT149" s="107"/>
    </row>
    <row r="150" spans="1:72" ht="21.75" thickBot="1" x14ac:dyDescent="0.4">
      <c r="A150" s="45"/>
      <c r="D150" s="107"/>
      <c r="E150" s="107"/>
      <c r="F150" s="107"/>
      <c r="G150" s="107"/>
      <c r="H150" s="107"/>
      <c r="I150" s="107"/>
      <c r="J150" s="107"/>
      <c r="K150" s="107"/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  <c r="Y150" s="107"/>
      <c r="Z150" s="107"/>
      <c r="AA150" s="107"/>
      <c r="AB150" s="107"/>
      <c r="AC150" s="107"/>
      <c r="AD150" s="107"/>
      <c r="AE150" s="107"/>
      <c r="AF150" s="107"/>
      <c r="AG150" s="107"/>
      <c r="AH150" s="107"/>
      <c r="AI150" s="107"/>
      <c r="AJ150" s="107"/>
      <c r="AK150" s="107"/>
      <c r="AL150" s="107"/>
      <c r="AM150" s="107"/>
      <c r="AN150" s="107"/>
      <c r="AO150" s="107"/>
      <c r="AP150" s="107"/>
      <c r="AQ150" s="107"/>
      <c r="AR150" s="107"/>
      <c r="AS150" s="107"/>
      <c r="AT150" s="107"/>
      <c r="AU150" s="107"/>
      <c r="AV150" s="107"/>
      <c r="AW150" s="107"/>
      <c r="AX150" s="107"/>
      <c r="AY150" s="107"/>
      <c r="AZ150" s="107"/>
      <c r="BA150" s="107"/>
      <c r="BB150" s="107"/>
      <c r="BC150" s="107"/>
      <c r="BD150" s="107"/>
      <c r="BE150" s="107"/>
      <c r="BF150" s="107"/>
      <c r="BG150" s="107"/>
      <c r="BH150" s="107"/>
      <c r="BI150" s="107"/>
      <c r="BJ150" s="107"/>
      <c r="BK150" s="107"/>
      <c r="BL150" s="107"/>
      <c r="BM150" s="107"/>
      <c r="BN150" s="107"/>
      <c r="BO150" s="107"/>
      <c r="BP150" s="107"/>
      <c r="BQ150" s="107"/>
      <c r="BR150" s="107"/>
      <c r="BS150" s="107"/>
      <c r="BT150" s="107"/>
    </row>
    <row r="151" spans="1:72" ht="21.75" thickBot="1" x14ac:dyDescent="0.4">
      <c r="A151" s="45"/>
      <c r="D151" s="107"/>
      <c r="E151" s="107"/>
      <c r="F151" s="107"/>
      <c r="G151" s="107"/>
      <c r="H151" s="107"/>
      <c r="I151" s="107"/>
      <c r="J151" s="107"/>
      <c r="K151" s="107"/>
      <c r="L151" s="107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  <c r="Y151" s="107"/>
      <c r="Z151" s="107"/>
      <c r="AA151" s="107"/>
      <c r="AB151" s="107"/>
      <c r="AC151" s="107"/>
      <c r="AD151" s="107"/>
      <c r="AE151" s="107"/>
      <c r="AF151" s="107"/>
      <c r="AG151" s="107"/>
      <c r="AH151" s="107"/>
      <c r="AI151" s="107"/>
      <c r="AJ151" s="107"/>
      <c r="AK151" s="107"/>
      <c r="AL151" s="107"/>
      <c r="AM151" s="107"/>
      <c r="AN151" s="107"/>
      <c r="AO151" s="107"/>
      <c r="AP151" s="107"/>
      <c r="AQ151" s="107"/>
      <c r="AR151" s="107"/>
      <c r="AS151" s="107"/>
      <c r="AT151" s="107"/>
      <c r="AU151" s="107"/>
      <c r="AV151" s="107"/>
      <c r="AW151" s="107"/>
      <c r="AX151" s="107"/>
      <c r="AY151" s="107"/>
      <c r="AZ151" s="107"/>
      <c r="BA151" s="107"/>
      <c r="BB151" s="107"/>
      <c r="BC151" s="107"/>
      <c r="BD151" s="107"/>
      <c r="BE151" s="107"/>
      <c r="BF151" s="107"/>
      <c r="BG151" s="107"/>
      <c r="BH151" s="107"/>
      <c r="BI151" s="107"/>
      <c r="BJ151" s="107"/>
      <c r="BK151" s="107"/>
      <c r="BL151" s="107"/>
      <c r="BM151" s="107"/>
      <c r="BN151" s="107"/>
      <c r="BO151" s="107"/>
      <c r="BP151" s="107"/>
      <c r="BQ151" s="107"/>
      <c r="BR151" s="107"/>
      <c r="BS151" s="107"/>
      <c r="BT151" s="107"/>
    </row>
    <row r="152" spans="1:72" ht="21.75" thickBot="1" x14ac:dyDescent="0.4">
      <c r="A152" s="38"/>
      <c r="D152" s="107"/>
      <c r="E152" s="107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  <c r="Y152" s="107"/>
      <c r="Z152" s="107"/>
      <c r="AA152" s="107"/>
      <c r="AB152" s="107"/>
      <c r="AC152" s="107"/>
      <c r="AD152" s="107"/>
      <c r="AE152" s="107"/>
      <c r="AF152" s="107"/>
      <c r="AG152" s="107"/>
      <c r="AH152" s="107"/>
      <c r="AI152" s="107"/>
      <c r="AJ152" s="107"/>
      <c r="AK152" s="107"/>
      <c r="AL152" s="107"/>
      <c r="AM152" s="107"/>
      <c r="AN152" s="107"/>
      <c r="AO152" s="107"/>
      <c r="AP152" s="107"/>
      <c r="AQ152" s="107"/>
      <c r="AR152" s="107"/>
      <c r="AS152" s="107"/>
      <c r="AT152" s="107"/>
      <c r="AU152" s="107"/>
      <c r="AV152" s="107"/>
      <c r="AW152" s="107"/>
      <c r="AX152" s="107"/>
      <c r="AY152" s="107"/>
      <c r="AZ152" s="107"/>
      <c r="BA152" s="107"/>
      <c r="BB152" s="107"/>
      <c r="BC152" s="107"/>
      <c r="BD152" s="107"/>
      <c r="BE152" s="107"/>
      <c r="BF152" s="107"/>
      <c r="BG152" s="107"/>
      <c r="BH152" s="107"/>
      <c r="BI152" s="107"/>
      <c r="BJ152" s="107"/>
      <c r="BK152" s="107"/>
      <c r="BL152" s="107"/>
      <c r="BM152" s="107"/>
      <c r="BN152" s="107"/>
      <c r="BO152" s="107"/>
      <c r="BP152" s="107"/>
      <c r="BQ152" s="107"/>
      <c r="BR152" s="107"/>
      <c r="BS152" s="107"/>
      <c r="BT152" s="107"/>
    </row>
    <row r="153" spans="1:72" ht="21.75" thickBot="1" x14ac:dyDescent="0.4">
      <c r="A153" s="38"/>
      <c r="D153" s="107"/>
      <c r="E153" s="107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  <c r="Y153" s="107"/>
      <c r="Z153" s="107"/>
      <c r="AA153" s="107"/>
      <c r="AB153" s="107"/>
      <c r="AC153" s="107"/>
      <c r="AD153" s="107"/>
      <c r="AE153" s="107"/>
      <c r="AF153" s="107"/>
      <c r="AG153" s="107"/>
      <c r="AH153" s="107"/>
      <c r="AI153" s="107"/>
      <c r="AJ153" s="107"/>
      <c r="AK153" s="107"/>
      <c r="AL153" s="107"/>
      <c r="AM153" s="107"/>
      <c r="AN153" s="107"/>
      <c r="AO153" s="107"/>
      <c r="AP153" s="107"/>
      <c r="AQ153" s="107"/>
      <c r="AR153" s="107"/>
      <c r="AS153" s="107"/>
      <c r="AT153" s="107"/>
      <c r="AU153" s="107"/>
      <c r="AV153" s="107"/>
      <c r="AW153" s="107"/>
      <c r="AX153" s="107"/>
      <c r="AY153" s="107"/>
      <c r="AZ153" s="107"/>
      <c r="BA153" s="107"/>
      <c r="BB153" s="107"/>
      <c r="BC153" s="107"/>
      <c r="BD153" s="107"/>
      <c r="BE153" s="107"/>
      <c r="BF153" s="107"/>
      <c r="BG153" s="107"/>
      <c r="BH153" s="107"/>
      <c r="BI153" s="107"/>
      <c r="BJ153" s="107"/>
      <c r="BK153" s="107"/>
      <c r="BL153" s="107"/>
      <c r="BM153" s="107"/>
      <c r="BN153" s="107"/>
      <c r="BO153" s="107"/>
      <c r="BP153" s="107"/>
      <c r="BQ153" s="107"/>
      <c r="BR153" s="107"/>
      <c r="BS153" s="107"/>
      <c r="BT153" s="107"/>
    </row>
    <row r="154" spans="1:72" ht="21.75" thickBot="1" x14ac:dyDescent="0.4">
      <c r="A154" s="38"/>
      <c r="D154" s="107"/>
      <c r="E154" s="107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  <c r="Y154" s="107"/>
      <c r="Z154" s="107"/>
      <c r="AA154" s="107"/>
      <c r="AB154" s="107"/>
      <c r="AC154" s="107"/>
      <c r="AD154" s="107"/>
      <c r="AE154" s="107"/>
      <c r="AF154" s="107"/>
      <c r="AG154" s="107"/>
      <c r="AH154" s="107"/>
      <c r="AI154" s="107"/>
      <c r="AJ154" s="107"/>
      <c r="AK154" s="107"/>
      <c r="AL154" s="107"/>
      <c r="AM154" s="107"/>
      <c r="AN154" s="107"/>
      <c r="AO154" s="107"/>
      <c r="AP154" s="107"/>
      <c r="AQ154" s="107"/>
      <c r="AR154" s="107"/>
      <c r="AS154" s="107"/>
      <c r="AT154" s="107"/>
      <c r="AU154" s="107"/>
      <c r="AV154" s="107"/>
      <c r="AW154" s="107"/>
      <c r="AX154" s="107"/>
      <c r="AY154" s="107"/>
      <c r="AZ154" s="107"/>
      <c r="BA154" s="107"/>
      <c r="BB154" s="107"/>
      <c r="BC154" s="107"/>
      <c r="BD154" s="107"/>
      <c r="BE154" s="107"/>
      <c r="BF154" s="107"/>
      <c r="BG154" s="107"/>
      <c r="BH154" s="107"/>
      <c r="BI154" s="107"/>
      <c r="BJ154" s="107"/>
      <c r="BK154" s="107"/>
      <c r="BL154" s="107"/>
      <c r="BM154" s="107"/>
      <c r="BN154" s="107"/>
      <c r="BO154" s="107"/>
      <c r="BP154" s="107"/>
      <c r="BQ154" s="107"/>
      <c r="BR154" s="107"/>
      <c r="BS154" s="107"/>
      <c r="BT154" s="107"/>
    </row>
    <row r="155" spans="1:72" ht="21.75" thickBot="1" x14ac:dyDescent="0.4">
      <c r="A155" s="38"/>
      <c r="D155" s="107"/>
      <c r="E155" s="107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  <c r="Y155" s="107"/>
      <c r="Z155" s="107"/>
      <c r="AA155" s="107"/>
      <c r="AB155" s="107"/>
      <c r="AC155" s="107"/>
      <c r="AD155" s="107"/>
      <c r="AE155" s="107"/>
      <c r="AF155" s="107"/>
      <c r="AG155" s="107"/>
      <c r="AH155" s="107"/>
      <c r="AI155" s="107"/>
      <c r="AJ155" s="107"/>
      <c r="AK155" s="107"/>
      <c r="AL155" s="107"/>
      <c r="AM155" s="107"/>
      <c r="AN155" s="107"/>
      <c r="AO155" s="107"/>
      <c r="AP155" s="107"/>
      <c r="AQ155" s="107"/>
      <c r="AR155" s="107"/>
      <c r="AS155" s="107"/>
      <c r="AT155" s="107"/>
      <c r="AU155" s="107"/>
      <c r="AV155" s="107"/>
      <c r="AW155" s="107"/>
      <c r="AX155" s="107"/>
      <c r="AY155" s="107"/>
      <c r="AZ155" s="107"/>
      <c r="BA155" s="107"/>
      <c r="BB155" s="107"/>
      <c r="BC155" s="107"/>
      <c r="BD155" s="107"/>
      <c r="BE155" s="107"/>
      <c r="BF155" s="107"/>
      <c r="BG155" s="107"/>
      <c r="BH155" s="107"/>
      <c r="BI155" s="107"/>
      <c r="BJ155" s="107"/>
      <c r="BK155" s="107"/>
      <c r="BL155" s="107"/>
      <c r="BM155" s="107"/>
      <c r="BN155" s="107"/>
      <c r="BO155" s="107"/>
      <c r="BP155" s="107"/>
      <c r="BQ155" s="107"/>
      <c r="BR155" s="107"/>
      <c r="BS155" s="107"/>
      <c r="BT155" s="107"/>
    </row>
    <row r="156" spans="1:72" ht="21.75" thickBot="1" x14ac:dyDescent="0.4">
      <c r="A156" s="38"/>
      <c r="D156" s="107"/>
      <c r="E156" s="107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  <c r="Y156" s="107"/>
      <c r="Z156" s="107"/>
      <c r="AA156" s="107"/>
      <c r="AB156" s="107"/>
      <c r="AC156" s="107"/>
      <c r="AD156" s="107"/>
      <c r="AE156" s="107"/>
      <c r="AF156" s="107"/>
      <c r="AG156" s="107"/>
      <c r="AH156" s="107"/>
      <c r="AI156" s="107"/>
      <c r="AJ156" s="107"/>
      <c r="AK156" s="107"/>
      <c r="AL156" s="107"/>
      <c r="AM156" s="107"/>
      <c r="AN156" s="107"/>
      <c r="AO156" s="107"/>
      <c r="AP156" s="107"/>
      <c r="AQ156" s="107"/>
      <c r="AR156" s="107"/>
      <c r="AS156" s="107"/>
      <c r="AT156" s="107"/>
      <c r="AU156" s="107"/>
      <c r="AV156" s="107"/>
      <c r="AW156" s="107"/>
      <c r="AX156" s="107"/>
      <c r="AY156" s="107"/>
      <c r="AZ156" s="107"/>
      <c r="BA156" s="107"/>
      <c r="BB156" s="107"/>
      <c r="BC156" s="107"/>
      <c r="BD156" s="107"/>
      <c r="BE156" s="107"/>
      <c r="BF156" s="107"/>
      <c r="BG156" s="107"/>
      <c r="BH156" s="107"/>
      <c r="BI156" s="107"/>
      <c r="BJ156" s="107"/>
      <c r="BK156" s="107"/>
      <c r="BL156" s="107"/>
      <c r="BM156" s="107"/>
      <c r="BN156" s="107"/>
      <c r="BO156" s="107"/>
      <c r="BP156" s="107"/>
      <c r="BQ156" s="107"/>
      <c r="BR156" s="107"/>
      <c r="BS156" s="107"/>
      <c r="BT156" s="107"/>
    </row>
    <row r="157" spans="1:72" ht="21.75" thickBot="1" x14ac:dyDescent="0.4">
      <c r="A157" s="38"/>
      <c r="D157" s="107"/>
      <c r="E157" s="107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  <c r="Y157" s="107"/>
      <c r="Z157" s="107"/>
      <c r="AA157" s="107"/>
      <c r="AB157" s="107"/>
      <c r="AC157" s="107"/>
      <c r="AD157" s="107"/>
      <c r="AE157" s="107"/>
      <c r="AF157" s="107"/>
      <c r="AG157" s="107"/>
      <c r="AH157" s="107"/>
      <c r="AI157" s="107"/>
      <c r="AJ157" s="107"/>
      <c r="AK157" s="107"/>
      <c r="AL157" s="107"/>
      <c r="AM157" s="107"/>
      <c r="AN157" s="107"/>
      <c r="AO157" s="107"/>
      <c r="AP157" s="107"/>
      <c r="AQ157" s="107"/>
      <c r="AR157" s="107"/>
      <c r="AS157" s="107"/>
      <c r="AT157" s="107"/>
      <c r="AU157" s="107"/>
      <c r="AV157" s="107"/>
      <c r="AW157" s="107"/>
      <c r="AX157" s="107"/>
      <c r="AY157" s="107"/>
      <c r="AZ157" s="107"/>
      <c r="BA157" s="107"/>
      <c r="BB157" s="107"/>
      <c r="BC157" s="107"/>
      <c r="BD157" s="107"/>
      <c r="BE157" s="107"/>
      <c r="BF157" s="107"/>
      <c r="BG157" s="107"/>
      <c r="BH157" s="107"/>
      <c r="BI157" s="107"/>
      <c r="BJ157" s="107"/>
      <c r="BK157" s="107"/>
      <c r="BL157" s="107"/>
      <c r="BM157" s="107"/>
      <c r="BN157" s="107"/>
      <c r="BO157" s="107"/>
      <c r="BP157" s="107"/>
      <c r="BQ157" s="107"/>
      <c r="BR157" s="107"/>
      <c r="BS157" s="107"/>
      <c r="BT157" s="107"/>
    </row>
    <row r="158" spans="1:72" ht="21.75" thickBot="1" x14ac:dyDescent="0.4">
      <c r="A158" s="38"/>
      <c r="D158" s="107"/>
      <c r="E158" s="107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  <c r="Y158" s="107"/>
      <c r="Z158" s="107"/>
      <c r="AA158" s="107"/>
      <c r="AB158" s="107"/>
      <c r="AC158" s="107"/>
      <c r="AD158" s="107"/>
      <c r="AE158" s="107"/>
      <c r="AF158" s="107"/>
      <c r="AG158" s="107"/>
      <c r="AH158" s="107"/>
      <c r="AI158" s="107"/>
      <c r="AJ158" s="107"/>
      <c r="AK158" s="107"/>
      <c r="AL158" s="107"/>
      <c r="AM158" s="107"/>
      <c r="AN158" s="107"/>
      <c r="AO158" s="107"/>
      <c r="AP158" s="107"/>
      <c r="AQ158" s="107"/>
      <c r="AR158" s="107"/>
      <c r="AS158" s="107"/>
      <c r="AT158" s="107"/>
      <c r="AU158" s="107"/>
      <c r="AV158" s="107"/>
      <c r="AW158" s="107"/>
      <c r="AX158" s="107"/>
      <c r="AY158" s="107"/>
      <c r="AZ158" s="107"/>
      <c r="BA158" s="107"/>
      <c r="BB158" s="107"/>
      <c r="BC158" s="107"/>
      <c r="BD158" s="107"/>
      <c r="BE158" s="107"/>
      <c r="BF158" s="107"/>
      <c r="BG158" s="107"/>
      <c r="BH158" s="107"/>
      <c r="BI158" s="107"/>
      <c r="BJ158" s="107"/>
      <c r="BK158" s="107"/>
      <c r="BL158" s="107"/>
      <c r="BM158" s="107"/>
      <c r="BN158" s="107"/>
      <c r="BO158" s="107"/>
      <c r="BP158" s="107"/>
      <c r="BQ158" s="107"/>
      <c r="BR158" s="107"/>
      <c r="BS158" s="107"/>
      <c r="BT158" s="107"/>
    </row>
    <row r="159" spans="1:72" ht="21.75" thickBot="1" x14ac:dyDescent="0.4">
      <c r="A159" s="38"/>
      <c r="D159" s="107"/>
      <c r="E159" s="107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  <c r="Y159" s="107"/>
      <c r="Z159" s="107"/>
      <c r="AA159" s="107"/>
      <c r="AB159" s="107"/>
      <c r="AC159" s="107"/>
      <c r="AD159" s="107"/>
      <c r="AE159" s="107"/>
      <c r="AF159" s="107"/>
      <c r="AG159" s="107"/>
      <c r="AH159" s="107"/>
      <c r="AI159" s="107"/>
      <c r="AJ159" s="107"/>
      <c r="AK159" s="107"/>
      <c r="AL159" s="107"/>
      <c r="AM159" s="107"/>
      <c r="AN159" s="107"/>
      <c r="AO159" s="107"/>
      <c r="AP159" s="107"/>
      <c r="AQ159" s="107"/>
      <c r="AR159" s="107"/>
      <c r="AS159" s="107"/>
      <c r="AT159" s="107"/>
      <c r="AU159" s="107"/>
      <c r="AV159" s="107"/>
      <c r="AW159" s="107"/>
      <c r="AX159" s="107"/>
      <c r="AY159" s="107"/>
      <c r="AZ159" s="107"/>
      <c r="BA159" s="107"/>
      <c r="BB159" s="107"/>
      <c r="BC159" s="107"/>
      <c r="BD159" s="107"/>
      <c r="BE159" s="107"/>
      <c r="BF159" s="107"/>
      <c r="BG159" s="107"/>
      <c r="BH159" s="107"/>
      <c r="BI159" s="107"/>
      <c r="BJ159" s="107"/>
      <c r="BK159" s="107"/>
      <c r="BL159" s="107"/>
      <c r="BM159" s="107"/>
      <c r="BN159" s="107"/>
      <c r="BO159" s="107"/>
      <c r="BP159" s="107"/>
      <c r="BQ159" s="107"/>
      <c r="BR159" s="107"/>
      <c r="BS159" s="107"/>
      <c r="BT159" s="107"/>
    </row>
    <row r="160" spans="1:72" ht="21.75" thickBot="1" x14ac:dyDescent="0.4">
      <c r="A160" s="38"/>
      <c r="D160" s="107"/>
      <c r="E160" s="107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  <c r="Y160" s="107"/>
      <c r="Z160" s="107"/>
      <c r="AA160" s="107"/>
      <c r="AB160" s="107"/>
      <c r="AC160" s="107"/>
      <c r="AD160" s="107"/>
      <c r="AE160" s="107"/>
      <c r="AF160" s="107"/>
      <c r="AG160" s="107"/>
      <c r="AH160" s="107"/>
      <c r="AI160" s="107"/>
      <c r="AJ160" s="107"/>
      <c r="AK160" s="107"/>
      <c r="AL160" s="107"/>
      <c r="AM160" s="107"/>
      <c r="AN160" s="107"/>
      <c r="AO160" s="107"/>
      <c r="AP160" s="107"/>
      <c r="AQ160" s="107"/>
      <c r="AR160" s="107"/>
      <c r="AS160" s="107"/>
      <c r="AT160" s="107"/>
      <c r="AU160" s="107"/>
      <c r="AV160" s="107"/>
      <c r="AW160" s="107"/>
      <c r="AX160" s="107"/>
      <c r="AY160" s="107"/>
      <c r="AZ160" s="107"/>
      <c r="BA160" s="107"/>
      <c r="BB160" s="107"/>
      <c r="BC160" s="107"/>
      <c r="BD160" s="107"/>
      <c r="BE160" s="107"/>
      <c r="BF160" s="107"/>
      <c r="BG160" s="107"/>
      <c r="BH160" s="107"/>
      <c r="BI160" s="107"/>
      <c r="BJ160" s="107"/>
      <c r="BK160" s="107"/>
      <c r="BL160" s="107"/>
      <c r="BM160" s="107"/>
      <c r="BN160" s="107"/>
      <c r="BO160" s="107"/>
      <c r="BP160" s="107"/>
      <c r="BQ160" s="107"/>
      <c r="BR160" s="107"/>
      <c r="BS160" s="107"/>
      <c r="BT160" s="107"/>
    </row>
    <row r="161" spans="1:72" ht="21.75" thickBot="1" x14ac:dyDescent="0.4">
      <c r="A161" s="38"/>
      <c r="D161" s="107"/>
      <c r="E161" s="107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  <c r="Y161" s="107"/>
      <c r="Z161" s="107"/>
      <c r="AA161" s="107"/>
      <c r="AB161" s="107"/>
      <c r="AC161" s="107"/>
      <c r="AD161" s="107"/>
      <c r="AE161" s="107"/>
      <c r="AF161" s="107"/>
      <c r="AG161" s="107"/>
      <c r="AH161" s="107"/>
      <c r="AI161" s="107"/>
      <c r="AJ161" s="107"/>
      <c r="AK161" s="107"/>
      <c r="AL161" s="107"/>
      <c r="AM161" s="107"/>
      <c r="AN161" s="107"/>
      <c r="AO161" s="107"/>
      <c r="AP161" s="107"/>
      <c r="AQ161" s="107"/>
      <c r="AR161" s="107"/>
      <c r="AS161" s="107"/>
      <c r="AT161" s="107"/>
      <c r="AU161" s="107"/>
      <c r="AV161" s="107"/>
      <c r="AW161" s="107"/>
      <c r="AX161" s="107"/>
      <c r="AY161" s="107"/>
      <c r="AZ161" s="107"/>
      <c r="BA161" s="107"/>
      <c r="BB161" s="107"/>
      <c r="BC161" s="107"/>
      <c r="BD161" s="107"/>
      <c r="BE161" s="107"/>
      <c r="BF161" s="107"/>
      <c r="BG161" s="107"/>
      <c r="BH161" s="107"/>
      <c r="BI161" s="107"/>
      <c r="BJ161" s="107"/>
      <c r="BK161" s="107"/>
      <c r="BL161" s="107"/>
      <c r="BM161" s="107"/>
      <c r="BN161" s="107"/>
      <c r="BO161" s="107"/>
      <c r="BP161" s="107"/>
      <c r="BQ161" s="107"/>
      <c r="BR161" s="107"/>
      <c r="BS161" s="107"/>
      <c r="BT161" s="107"/>
    </row>
    <row r="162" spans="1:72" ht="22.5" thickTop="1" thickBot="1" x14ac:dyDescent="0.4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</row>
    <row r="163" spans="1:72" ht="22.5" thickTop="1" thickBot="1" x14ac:dyDescent="0.4"/>
    <row r="164" spans="1:72" ht="22.5" thickTop="1" thickBot="1" x14ac:dyDescent="0.4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</row>
    <row r="165" spans="1:72" ht="22.5" thickTop="1" thickBot="1" x14ac:dyDescent="0.4">
      <c r="A165" s="45"/>
      <c r="D165" s="107"/>
      <c r="E165" s="107"/>
      <c r="F165" s="107"/>
      <c r="G165" s="107"/>
      <c r="H165" s="107"/>
      <c r="I165" s="107"/>
      <c r="J165" s="107"/>
      <c r="K165" s="107"/>
      <c r="L165" s="107"/>
      <c r="M165" s="107"/>
      <c r="N165" s="107"/>
      <c r="O165" s="107"/>
      <c r="P165" s="107"/>
      <c r="Q165" s="107"/>
      <c r="R165" s="107"/>
      <c r="S165" s="107"/>
      <c r="T165" s="107"/>
      <c r="U165" s="107"/>
      <c r="V165" s="107"/>
      <c r="W165" s="107"/>
      <c r="X165" s="107"/>
      <c r="Y165" s="107"/>
      <c r="Z165" s="107"/>
      <c r="AA165" s="107"/>
      <c r="AB165" s="107"/>
      <c r="AC165" s="107"/>
      <c r="AD165" s="107"/>
      <c r="AE165" s="107"/>
      <c r="AF165" s="107"/>
      <c r="AG165" s="107"/>
      <c r="AH165" s="107"/>
      <c r="AI165" s="107"/>
      <c r="AJ165" s="107"/>
      <c r="AK165" s="107"/>
      <c r="AL165" s="107"/>
      <c r="AM165" s="107"/>
      <c r="AN165" s="107"/>
      <c r="AO165" s="107"/>
      <c r="AP165" s="107"/>
      <c r="AQ165" s="107"/>
      <c r="AR165" s="107"/>
      <c r="AS165" s="107"/>
      <c r="AT165" s="107"/>
      <c r="AU165" s="107"/>
      <c r="AV165" s="107"/>
      <c r="AW165" s="107"/>
      <c r="AX165" s="107"/>
      <c r="AY165" s="107"/>
      <c r="AZ165" s="107"/>
      <c r="BA165" s="107"/>
      <c r="BB165" s="107"/>
      <c r="BC165" s="107"/>
      <c r="BD165" s="107"/>
      <c r="BE165" s="107"/>
      <c r="BF165" s="107"/>
      <c r="BG165" s="107"/>
      <c r="BH165" s="107"/>
      <c r="BI165" s="107"/>
      <c r="BJ165" s="107"/>
      <c r="BK165" s="107"/>
      <c r="BL165" s="107"/>
      <c r="BM165" s="107"/>
      <c r="BN165" s="107"/>
      <c r="BO165" s="107"/>
      <c r="BP165" s="107"/>
      <c r="BQ165" s="107"/>
      <c r="BR165" s="107"/>
      <c r="BS165" s="107"/>
      <c r="BT165" s="107"/>
    </row>
    <row r="166" spans="1:72" ht="21.75" thickBot="1" x14ac:dyDescent="0.4">
      <c r="A166" s="45"/>
      <c r="D166" s="107"/>
      <c r="E166" s="107"/>
      <c r="F166" s="107"/>
      <c r="G166" s="107"/>
      <c r="H166" s="107"/>
      <c r="I166" s="107"/>
      <c r="J166" s="107"/>
      <c r="K166" s="107"/>
      <c r="L166" s="107"/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  <c r="Y166" s="107"/>
      <c r="Z166" s="107"/>
      <c r="AA166" s="107"/>
      <c r="AB166" s="107"/>
      <c r="AC166" s="107"/>
      <c r="AD166" s="107"/>
      <c r="AE166" s="107"/>
      <c r="AF166" s="107"/>
      <c r="AG166" s="107"/>
      <c r="AH166" s="107"/>
      <c r="AI166" s="107"/>
      <c r="AJ166" s="107"/>
      <c r="AK166" s="107"/>
      <c r="AL166" s="107"/>
      <c r="AM166" s="107"/>
      <c r="AN166" s="107"/>
      <c r="AO166" s="107"/>
      <c r="AP166" s="107"/>
      <c r="AQ166" s="107"/>
      <c r="AR166" s="107"/>
      <c r="AS166" s="107"/>
      <c r="AT166" s="107"/>
      <c r="AU166" s="107"/>
      <c r="AV166" s="107"/>
      <c r="AW166" s="107"/>
      <c r="AX166" s="107"/>
      <c r="AY166" s="107"/>
      <c r="AZ166" s="107"/>
      <c r="BA166" s="107"/>
      <c r="BB166" s="107"/>
      <c r="BC166" s="107"/>
      <c r="BD166" s="107"/>
      <c r="BE166" s="107"/>
      <c r="BF166" s="107"/>
      <c r="BG166" s="107"/>
      <c r="BH166" s="107"/>
      <c r="BI166" s="107"/>
      <c r="BJ166" s="107"/>
      <c r="BK166" s="107"/>
      <c r="BL166" s="107"/>
      <c r="BM166" s="107"/>
      <c r="BN166" s="107"/>
      <c r="BO166" s="107"/>
      <c r="BP166" s="107"/>
      <c r="BQ166" s="107"/>
      <c r="BR166" s="107"/>
      <c r="BS166" s="107"/>
      <c r="BT166" s="107"/>
    </row>
    <row r="167" spans="1:72" ht="21.75" thickBot="1" x14ac:dyDescent="0.4">
      <c r="A167" s="45"/>
      <c r="D167" s="107"/>
      <c r="E167" s="107"/>
      <c r="F167" s="107"/>
      <c r="G167" s="107"/>
      <c r="H167" s="107"/>
      <c r="I167" s="107"/>
      <c r="J167" s="107"/>
      <c r="K167" s="107"/>
      <c r="L167" s="107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B167" s="107"/>
      <c r="AC167" s="107"/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S167" s="107"/>
      <c r="AT167" s="107"/>
      <c r="AU167" s="107"/>
      <c r="AV167" s="107"/>
      <c r="AW167" s="107"/>
      <c r="AX167" s="107"/>
      <c r="AY167" s="107"/>
      <c r="AZ167" s="107"/>
      <c r="BA167" s="107"/>
      <c r="BB167" s="107"/>
      <c r="BC167" s="107"/>
      <c r="BD167" s="107"/>
      <c r="BE167" s="107"/>
      <c r="BF167" s="107"/>
      <c r="BG167" s="107"/>
      <c r="BH167" s="107"/>
      <c r="BI167" s="107"/>
      <c r="BJ167" s="107"/>
      <c r="BK167" s="107"/>
      <c r="BL167" s="107"/>
      <c r="BM167" s="107"/>
      <c r="BN167" s="107"/>
      <c r="BO167" s="107"/>
      <c r="BP167" s="107"/>
      <c r="BQ167" s="107"/>
      <c r="BR167" s="107"/>
      <c r="BS167" s="107"/>
      <c r="BT167" s="107"/>
    </row>
    <row r="168" spans="1:72" ht="21.75" thickBot="1" x14ac:dyDescent="0.4">
      <c r="A168" s="45"/>
      <c r="D168" s="107"/>
      <c r="E168" s="107"/>
      <c r="F168" s="107"/>
      <c r="G168" s="107"/>
      <c r="H168" s="107"/>
      <c r="I168" s="107"/>
      <c r="J168" s="107"/>
      <c r="K168" s="107"/>
      <c r="L168" s="107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  <c r="Y168" s="107"/>
      <c r="Z168" s="107"/>
      <c r="AA168" s="107"/>
      <c r="AB168" s="107"/>
      <c r="AC168" s="107"/>
      <c r="AD168" s="107"/>
      <c r="AE168" s="107"/>
      <c r="AF168" s="107"/>
      <c r="AG168" s="107"/>
      <c r="AH168" s="107"/>
      <c r="AI168" s="107"/>
      <c r="AJ168" s="107"/>
      <c r="AK168" s="107"/>
      <c r="AL168" s="107"/>
      <c r="AM168" s="107"/>
      <c r="AN168" s="107"/>
      <c r="AO168" s="107"/>
      <c r="AP168" s="107"/>
      <c r="AQ168" s="107"/>
      <c r="AR168" s="107"/>
      <c r="AS168" s="107"/>
      <c r="AT168" s="107"/>
      <c r="AU168" s="107"/>
      <c r="AV168" s="107"/>
      <c r="AW168" s="107"/>
      <c r="AX168" s="107"/>
      <c r="AY168" s="107"/>
      <c r="AZ168" s="107"/>
      <c r="BA168" s="107"/>
      <c r="BB168" s="107"/>
      <c r="BC168" s="107"/>
      <c r="BD168" s="107"/>
      <c r="BE168" s="107"/>
      <c r="BF168" s="107"/>
      <c r="BG168" s="107"/>
      <c r="BH168" s="107"/>
      <c r="BI168" s="107"/>
      <c r="BJ168" s="107"/>
      <c r="BK168" s="107"/>
      <c r="BL168" s="107"/>
      <c r="BM168" s="107"/>
      <c r="BN168" s="107"/>
      <c r="BO168" s="107"/>
      <c r="BP168" s="107"/>
      <c r="BQ168" s="107"/>
      <c r="BR168" s="107"/>
      <c r="BS168" s="107"/>
      <c r="BT168" s="107"/>
    </row>
    <row r="169" spans="1:72" ht="21.75" thickBot="1" x14ac:dyDescent="0.4">
      <c r="A169" s="45"/>
      <c r="D169" s="107"/>
      <c r="E169" s="107"/>
      <c r="F169" s="107"/>
      <c r="G169" s="107"/>
      <c r="H169" s="107"/>
      <c r="I169" s="107"/>
      <c r="J169" s="107"/>
      <c r="K169" s="107"/>
      <c r="L169" s="107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  <c r="Y169" s="107"/>
      <c r="Z169" s="107"/>
      <c r="AA169" s="107"/>
      <c r="AB169" s="107"/>
      <c r="AC169" s="107"/>
      <c r="AD169" s="107"/>
      <c r="AE169" s="107"/>
      <c r="AF169" s="107"/>
      <c r="AG169" s="107"/>
      <c r="AH169" s="107"/>
      <c r="AI169" s="107"/>
      <c r="AJ169" s="107"/>
      <c r="AK169" s="107"/>
      <c r="AL169" s="107"/>
      <c r="AM169" s="107"/>
      <c r="AN169" s="107"/>
      <c r="AO169" s="107"/>
      <c r="AP169" s="107"/>
      <c r="AQ169" s="107"/>
      <c r="AR169" s="107"/>
      <c r="AS169" s="107"/>
      <c r="AT169" s="107"/>
      <c r="AU169" s="107"/>
      <c r="AV169" s="107"/>
      <c r="AW169" s="107"/>
      <c r="AX169" s="107"/>
      <c r="AY169" s="107"/>
      <c r="AZ169" s="107"/>
      <c r="BA169" s="107"/>
      <c r="BB169" s="107"/>
      <c r="BC169" s="107"/>
      <c r="BD169" s="107"/>
      <c r="BE169" s="107"/>
      <c r="BF169" s="107"/>
      <c r="BG169" s="107"/>
      <c r="BH169" s="107"/>
      <c r="BI169" s="107"/>
      <c r="BJ169" s="107"/>
      <c r="BK169" s="107"/>
      <c r="BL169" s="107"/>
      <c r="BM169" s="107"/>
      <c r="BN169" s="107"/>
      <c r="BO169" s="107"/>
      <c r="BP169" s="107"/>
      <c r="BQ169" s="107"/>
      <c r="BR169" s="107"/>
      <c r="BS169" s="107"/>
      <c r="BT169" s="107"/>
    </row>
    <row r="170" spans="1:72" ht="21.75" thickBot="1" x14ac:dyDescent="0.4">
      <c r="A170" s="45"/>
      <c r="D170" s="107"/>
      <c r="E170" s="107"/>
      <c r="F170" s="107"/>
      <c r="G170" s="107"/>
      <c r="H170" s="107"/>
      <c r="I170" s="107"/>
      <c r="J170" s="107"/>
      <c r="K170" s="107"/>
      <c r="L170" s="107"/>
      <c r="M170" s="107"/>
      <c r="N170" s="107"/>
      <c r="O170" s="107"/>
      <c r="P170" s="107"/>
      <c r="Q170" s="107"/>
      <c r="R170" s="107"/>
      <c r="S170" s="107"/>
      <c r="T170" s="107"/>
      <c r="U170" s="107"/>
      <c r="V170" s="107"/>
      <c r="W170" s="107"/>
      <c r="X170" s="107"/>
      <c r="Y170" s="107"/>
      <c r="Z170" s="107"/>
      <c r="AA170" s="107"/>
      <c r="AB170" s="107"/>
      <c r="AC170" s="107"/>
      <c r="AD170" s="107"/>
      <c r="AE170" s="107"/>
      <c r="AF170" s="107"/>
      <c r="AG170" s="107"/>
      <c r="AH170" s="107"/>
      <c r="AI170" s="107"/>
      <c r="AJ170" s="107"/>
      <c r="AK170" s="107"/>
      <c r="AL170" s="107"/>
      <c r="AM170" s="107"/>
      <c r="AN170" s="107"/>
      <c r="AO170" s="107"/>
      <c r="AP170" s="107"/>
      <c r="AQ170" s="107"/>
      <c r="AR170" s="107"/>
      <c r="AS170" s="107"/>
      <c r="AT170" s="107"/>
      <c r="AU170" s="107"/>
      <c r="AV170" s="107"/>
      <c r="AW170" s="107"/>
      <c r="AX170" s="107"/>
      <c r="AY170" s="107"/>
      <c r="AZ170" s="107"/>
      <c r="BA170" s="107"/>
      <c r="BB170" s="107"/>
      <c r="BC170" s="107"/>
      <c r="BD170" s="107"/>
      <c r="BE170" s="107"/>
      <c r="BF170" s="107"/>
      <c r="BG170" s="107"/>
      <c r="BH170" s="107"/>
      <c r="BI170" s="107"/>
      <c r="BJ170" s="107"/>
      <c r="BK170" s="107"/>
      <c r="BL170" s="107"/>
      <c r="BM170" s="107"/>
      <c r="BN170" s="107"/>
      <c r="BO170" s="107"/>
      <c r="BP170" s="107"/>
      <c r="BQ170" s="107"/>
      <c r="BR170" s="107"/>
      <c r="BS170" s="107"/>
      <c r="BT170" s="107"/>
    </row>
    <row r="171" spans="1:72" ht="21.75" thickBot="1" x14ac:dyDescent="0.4">
      <c r="A171" s="45"/>
      <c r="D171" s="107"/>
      <c r="E171" s="107"/>
      <c r="F171" s="10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  <c r="Y171" s="107"/>
      <c r="Z171" s="107"/>
      <c r="AA171" s="107"/>
      <c r="AB171" s="107"/>
      <c r="AC171" s="107"/>
      <c r="AD171" s="107"/>
      <c r="AE171" s="107"/>
      <c r="AF171" s="107"/>
      <c r="AG171" s="107"/>
      <c r="AH171" s="107"/>
      <c r="AI171" s="107"/>
      <c r="AJ171" s="107"/>
      <c r="AK171" s="107"/>
      <c r="AL171" s="107"/>
      <c r="AM171" s="107"/>
      <c r="AN171" s="107"/>
      <c r="AO171" s="107"/>
      <c r="AP171" s="107"/>
      <c r="AQ171" s="107"/>
      <c r="AR171" s="107"/>
      <c r="AS171" s="107"/>
      <c r="AT171" s="107"/>
      <c r="AU171" s="107"/>
      <c r="AV171" s="107"/>
      <c r="AW171" s="107"/>
      <c r="AX171" s="107"/>
      <c r="AY171" s="107"/>
      <c r="AZ171" s="107"/>
      <c r="BA171" s="107"/>
      <c r="BB171" s="107"/>
      <c r="BC171" s="107"/>
      <c r="BD171" s="107"/>
      <c r="BE171" s="107"/>
      <c r="BF171" s="107"/>
      <c r="BG171" s="107"/>
      <c r="BH171" s="107"/>
      <c r="BI171" s="107"/>
      <c r="BJ171" s="107"/>
      <c r="BK171" s="107"/>
      <c r="BL171" s="107"/>
      <c r="BM171" s="107"/>
      <c r="BN171" s="107"/>
      <c r="BO171" s="107"/>
      <c r="BP171" s="107"/>
      <c r="BQ171" s="107"/>
      <c r="BR171" s="107"/>
      <c r="BS171" s="107"/>
      <c r="BT171" s="107"/>
    </row>
    <row r="172" spans="1:72" ht="21.75" thickBot="1" x14ac:dyDescent="0.4">
      <c r="A172" s="45"/>
      <c r="D172" s="107"/>
      <c r="E172" s="107"/>
      <c r="F172" s="107"/>
      <c r="G172" s="107"/>
      <c r="H172" s="107"/>
      <c r="I172" s="107"/>
      <c r="J172" s="107"/>
      <c r="K172" s="107"/>
      <c r="L172" s="107"/>
      <c r="M172" s="107"/>
      <c r="N172" s="107"/>
      <c r="O172" s="107"/>
      <c r="P172" s="107"/>
      <c r="Q172" s="107"/>
      <c r="R172" s="107"/>
      <c r="S172" s="107"/>
      <c r="T172" s="107"/>
      <c r="U172" s="107"/>
      <c r="V172" s="107"/>
      <c r="W172" s="107"/>
      <c r="X172" s="107"/>
      <c r="Y172" s="107"/>
      <c r="Z172" s="107"/>
      <c r="AA172" s="107"/>
      <c r="AB172" s="107"/>
      <c r="AC172" s="107"/>
      <c r="AD172" s="107"/>
      <c r="AE172" s="107"/>
      <c r="AF172" s="107"/>
      <c r="AG172" s="107"/>
      <c r="AH172" s="107"/>
      <c r="AI172" s="107"/>
      <c r="AJ172" s="107"/>
      <c r="AK172" s="107"/>
      <c r="AL172" s="107"/>
      <c r="AM172" s="107"/>
      <c r="AN172" s="107"/>
      <c r="AO172" s="107"/>
      <c r="AP172" s="107"/>
      <c r="AQ172" s="107"/>
      <c r="AR172" s="107"/>
      <c r="AS172" s="107"/>
      <c r="AT172" s="107"/>
      <c r="AU172" s="107"/>
      <c r="AV172" s="107"/>
      <c r="AW172" s="107"/>
      <c r="AX172" s="107"/>
      <c r="AY172" s="107"/>
      <c r="AZ172" s="107"/>
      <c r="BA172" s="107"/>
      <c r="BB172" s="107"/>
      <c r="BC172" s="107"/>
      <c r="BD172" s="107"/>
      <c r="BE172" s="107"/>
      <c r="BF172" s="107"/>
      <c r="BG172" s="107"/>
      <c r="BH172" s="107"/>
      <c r="BI172" s="107"/>
      <c r="BJ172" s="107"/>
      <c r="BK172" s="107"/>
      <c r="BL172" s="107"/>
      <c r="BM172" s="107"/>
      <c r="BN172" s="107"/>
      <c r="BO172" s="107"/>
      <c r="BP172" s="107"/>
      <c r="BQ172" s="107"/>
      <c r="BR172" s="107"/>
      <c r="BS172" s="107"/>
      <c r="BT172" s="107"/>
    </row>
    <row r="173" spans="1:72" ht="21.75" thickBot="1" x14ac:dyDescent="0.4">
      <c r="A173" s="45"/>
      <c r="D173" s="107"/>
      <c r="E173" s="107"/>
      <c r="F173" s="107"/>
      <c r="G173" s="107"/>
      <c r="H173" s="107"/>
      <c r="I173" s="107"/>
      <c r="J173" s="107"/>
      <c r="K173" s="107"/>
      <c r="L173" s="107"/>
      <c r="M173" s="107"/>
      <c r="N173" s="107"/>
      <c r="O173" s="107"/>
      <c r="P173" s="107"/>
      <c r="Q173" s="107"/>
      <c r="R173" s="107"/>
      <c r="S173" s="107"/>
      <c r="T173" s="107"/>
      <c r="U173" s="107"/>
      <c r="V173" s="107"/>
      <c r="W173" s="107"/>
      <c r="X173" s="107"/>
      <c r="Y173" s="107"/>
      <c r="Z173" s="107"/>
      <c r="AA173" s="107"/>
      <c r="AB173" s="107"/>
      <c r="AC173" s="107"/>
      <c r="AD173" s="107"/>
      <c r="AE173" s="107"/>
      <c r="AF173" s="107"/>
      <c r="AG173" s="107"/>
      <c r="AH173" s="107"/>
      <c r="AI173" s="107"/>
      <c r="AJ173" s="107"/>
      <c r="AK173" s="107"/>
      <c r="AL173" s="107"/>
      <c r="AM173" s="107"/>
      <c r="AN173" s="107"/>
      <c r="AO173" s="107"/>
      <c r="AP173" s="107"/>
      <c r="AQ173" s="107"/>
      <c r="AR173" s="107"/>
      <c r="AS173" s="107"/>
      <c r="AT173" s="107"/>
      <c r="AU173" s="107"/>
      <c r="AV173" s="107"/>
      <c r="AW173" s="107"/>
      <c r="AX173" s="107"/>
      <c r="AY173" s="107"/>
      <c r="AZ173" s="107"/>
      <c r="BA173" s="107"/>
      <c r="BB173" s="107"/>
      <c r="BC173" s="107"/>
      <c r="BD173" s="107"/>
      <c r="BE173" s="107"/>
      <c r="BF173" s="107"/>
      <c r="BG173" s="107"/>
      <c r="BH173" s="107"/>
      <c r="BI173" s="107"/>
      <c r="BJ173" s="107"/>
      <c r="BK173" s="107"/>
      <c r="BL173" s="107"/>
      <c r="BM173" s="107"/>
      <c r="BN173" s="107"/>
      <c r="BO173" s="107"/>
      <c r="BP173" s="107"/>
      <c r="BQ173" s="107"/>
      <c r="BR173" s="107"/>
      <c r="BS173" s="107"/>
      <c r="BT173" s="107"/>
    </row>
    <row r="174" spans="1:72" ht="21.75" thickBot="1" x14ac:dyDescent="0.4">
      <c r="A174" s="45"/>
      <c r="D174" s="107"/>
      <c r="E174" s="107"/>
      <c r="F174" s="107"/>
      <c r="G174" s="107"/>
      <c r="H174" s="107"/>
      <c r="I174" s="107"/>
      <c r="J174" s="107"/>
      <c r="K174" s="107"/>
      <c r="L174" s="107"/>
      <c r="M174" s="107"/>
      <c r="N174" s="107"/>
      <c r="O174" s="107"/>
      <c r="P174" s="107"/>
      <c r="Q174" s="107"/>
      <c r="R174" s="107"/>
      <c r="S174" s="107"/>
      <c r="T174" s="107"/>
      <c r="U174" s="107"/>
      <c r="V174" s="107"/>
      <c r="W174" s="107"/>
      <c r="X174" s="107"/>
      <c r="Y174" s="107"/>
      <c r="Z174" s="107"/>
      <c r="AA174" s="107"/>
      <c r="AB174" s="107"/>
      <c r="AC174" s="107"/>
      <c r="AD174" s="107"/>
      <c r="AE174" s="107"/>
      <c r="AF174" s="107"/>
      <c r="AG174" s="107"/>
      <c r="AH174" s="107"/>
      <c r="AI174" s="107"/>
      <c r="AJ174" s="107"/>
      <c r="AK174" s="107"/>
      <c r="AL174" s="107"/>
      <c r="AM174" s="107"/>
      <c r="AN174" s="107"/>
      <c r="AO174" s="107"/>
      <c r="AP174" s="107"/>
      <c r="AQ174" s="107"/>
      <c r="AR174" s="107"/>
      <c r="AS174" s="107"/>
      <c r="AT174" s="107"/>
      <c r="AU174" s="107"/>
      <c r="AV174" s="107"/>
      <c r="AW174" s="107"/>
      <c r="AX174" s="107"/>
      <c r="AY174" s="107"/>
      <c r="AZ174" s="107"/>
      <c r="BA174" s="107"/>
      <c r="BB174" s="107"/>
      <c r="BC174" s="107"/>
      <c r="BD174" s="107"/>
      <c r="BE174" s="107"/>
      <c r="BF174" s="107"/>
      <c r="BG174" s="107"/>
      <c r="BH174" s="107"/>
      <c r="BI174" s="107"/>
      <c r="BJ174" s="107"/>
      <c r="BK174" s="107"/>
      <c r="BL174" s="107"/>
      <c r="BM174" s="107"/>
      <c r="BN174" s="107"/>
      <c r="BO174" s="107"/>
      <c r="BP174" s="107"/>
      <c r="BQ174" s="107"/>
      <c r="BR174" s="107"/>
      <c r="BS174" s="107"/>
      <c r="BT174" s="107"/>
    </row>
    <row r="175" spans="1:72" ht="21.75" thickBot="1" x14ac:dyDescent="0.4">
      <c r="A175" s="45"/>
      <c r="D175" s="107"/>
      <c r="E175" s="107"/>
      <c r="F175" s="107"/>
      <c r="G175" s="107"/>
      <c r="H175" s="107"/>
      <c r="I175" s="107"/>
      <c r="J175" s="107"/>
      <c r="K175" s="107"/>
      <c r="L175" s="107"/>
      <c r="M175" s="107"/>
      <c r="N175" s="107"/>
      <c r="O175" s="107"/>
      <c r="P175" s="107"/>
      <c r="Q175" s="107"/>
      <c r="R175" s="107"/>
      <c r="S175" s="107"/>
      <c r="T175" s="107"/>
      <c r="U175" s="107"/>
      <c r="V175" s="107"/>
      <c r="W175" s="107"/>
      <c r="X175" s="107"/>
      <c r="Y175" s="107"/>
      <c r="Z175" s="107"/>
      <c r="AA175" s="107"/>
      <c r="AB175" s="107"/>
      <c r="AC175" s="107"/>
      <c r="AD175" s="107"/>
      <c r="AE175" s="107"/>
      <c r="AF175" s="107"/>
      <c r="AG175" s="107"/>
      <c r="AH175" s="107"/>
      <c r="AI175" s="107"/>
      <c r="AJ175" s="107"/>
      <c r="AK175" s="107"/>
      <c r="AL175" s="107"/>
      <c r="AM175" s="107"/>
      <c r="AN175" s="107"/>
      <c r="AO175" s="107"/>
      <c r="AP175" s="107"/>
      <c r="AQ175" s="107"/>
      <c r="AR175" s="107"/>
      <c r="AS175" s="107"/>
      <c r="AT175" s="107"/>
      <c r="AU175" s="107"/>
      <c r="AV175" s="107"/>
      <c r="AW175" s="107"/>
      <c r="AX175" s="107"/>
      <c r="AY175" s="107"/>
      <c r="AZ175" s="107"/>
      <c r="BA175" s="107"/>
      <c r="BB175" s="107"/>
      <c r="BC175" s="107"/>
      <c r="BD175" s="107"/>
      <c r="BE175" s="107"/>
      <c r="BF175" s="107"/>
      <c r="BG175" s="107"/>
      <c r="BH175" s="107"/>
      <c r="BI175" s="107"/>
      <c r="BJ175" s="107"/>
      <c r="BK175" s="107"/>
      <c r="BL175" s="107"/>
      <c r="BM175" s="107"/>
      <c r="BN175" s="107"/>
      <c r="BO175" s="107"/>
      <c r="BP175" s="107"/>
      <c r="BQ175" s="107"/>
      <c r="BR175" s="107"/>
      <c r="BS175" s="107"/>
      <c r="BT175" s="107"/>
    </row>
    <row r="176" spans="1:72" ht="21.75" thickBot="1" x14ac:dyDescent="0.4">
      <c r="A176" s="45"/>
      <c r="D176" s="107"/>
      <c r="E176" s="107"/>
      <c r="F176" s="107"/>
      <c r="G176" s="107"/>
      <c r="H176" s="107"/>
      <c r="I176" s="107"/>
      <c r="J176" s="107"/>
      <c r="K176" s="107"/>
      <c r="L176" s="107"/>
      <c r="M176" s="107"/>
      <c r="N176" s="107"/>
      <c r="O176" s="107"/>
      <c r="P176" s="107"/>
      <c r="Q176" s="107"/>
      <c r="R176" s="107"/>
      <c r="S176" s="107"/>
      <c r="T176" s="107"/>
      <c r="U176" s="107"/>
      <c r="V176" s="107"/>
      <c r="W176" s="107"/>
      <c r="X176" s="107"/>
      <c r="Y176" s="107"/>
      <c r="Z176" s="107"/>
      <c r="AA176" s="107"/>
      <c r="AB176" s="107"/>
      <c r="AC176" s="107"/>
      <c r="AD176" s="107"/>
      <c r="AE176" s="107"/>
      <c r="AF176" s="107"/>
      <c r="AG176" s="107"/>
      <c r="AH176" s="107"/>
      <c r="AI176" s="107"/>
      <c r="AJ176" s="107"/>
      <c r="AK176" s="107"/>
      <c r="AL176" s="107"/>
      <c r="AM176" s="107"/>
      <c r="AN176" s="107"/>
      <c r="AO176" s="107"/>
      <c r="AP176" s="107"/>
      <c r="AQ176" s="107"/>
      <c r="AR176" s="107"/>
      <c r="AS176" s="107"/>
      <c r="AT176" s="107"/>
      <c r="AU176" s="107"/>
      <c r="AV176" s="107"/>
      <c r="AW176" s="107"/>
      <c r="AX176" s="107"/>
      <c r="AY176" s="107"/>
      <c r="AZ176" s="107"/>
      <c r="BA176" s="107"/>
      <c r="BB176" s="107"/>
      <c r="BC176" s="107"/>
      <c r="BD176" s="107"/>
      <c r="BE176" s="107"/>
      <c r="BF176" s="107"/>
      <c r="BG176" s="107"/>
      <c r="BH176" s="107"/>
      <c r="BI176" s="107"/>
      <c r="BJ176" s="107"/>
      <c r="BK176" s="107"/>
      <c r="BL176" s="107"/>
      <c r="BM176" s="107"/>
      <c r="BN176" s="107"/>
      <c r="BO176" s="107"/>
      <c r="BP176" s="107"/>
      <c r="BQ176" s="107"/>
      <c r="BR176" s="107"/>
      <c r="BS176" s="107"/>
      <c r="BT176" s="107"/>
    </row>
    <row r="177" spans="1:72" ht="21.75" thickBot="1" x14ac:dyDescent="0.4">
      <c r="A177" s="45"/>
      <c r="D177" s="107"/>
      <c r="E177" s="107"/>
      <c r="F177" s="107"/>
      <c r="G177" s="107"/>
      <c r="H177" s="107"/>
      <c r="I177" s="107"/>
      <c r="J177" s="107"/>
      <c r="K177" s="107"/>
      <c r="L177" s="107"/>
      <c r="M177" s="107"/>
      <c r="N177" s="107"/>
      <c r="O177" s="107"/>
      <c r="P177" s="107"/>
      <c r="Q177" s="107"/>
      <c r="R177" s="107"/>
      <c r="S177" s="107"/>
      <c r="T177" s="107"/>
      <c r="U177" s="107"/>
      <c r="V177" s="107"/>
      <c r="W177" s="107"/>
      <c r="X177" s="107"/>
      <c r="Y177" s="107"/>
      <c r="Z177" s="107"/>
      <c r="AA177" s="107"/>
      <c r="AB177" s="107"/>
      <c r="AC177" s="107"/>
      <c r="AD177" s="107"/>
      <c r="AE177" s="107"/>
      <c r="AF177" s="107"/>
      <c r="AG177" s="107"/>
      <c r="AH177" s="107"/>
      <c r="AI177" s="107"/>
      <c r="AJ177" s="107"/>
      <c r="AK177" s="107"/>
      <c r="AL177" s="107"/>
      <c r="AM177" s="107"/>
      <c r="AN177" s="107"/>
      <c r="AO177" s="107"/>
      <c r="AP177" s="107"/>
      <c r="AQ177" s="107"/>
      <c r="AR177" s="107"/>
      <c r="AS177" s="107"/>
      <c r="AT177" s="107"/>
      <c r="AU177" s="107"/>
      <c r="AV177" s="107"/>
      <c r="AW177" s="107"/>
      <c r="AX177" s="107"/>
      <c r="AY177" s="107"/>
      <c r="AZ177" s="107"/>
      <c r="BA177" s="107"/>
      <c r="BB177" s="107"/>
      <c r="BC177" s="107"/>
      <c r="BD177" s="107"/>
      <c r="BE177" s="107"/>
      <c r="BF177" s="107"/>
      <c r="BG177" s="107"/>
      <c r="BH177" s="107"/>
      <c r="BI177" s="107"/>
      <c r="BJ177" s="107"/>
      <c r="BK177" s="107"/>
      <c r="BL177" s="107"/>
      <c r="BM177" s="107"/>
      <c r="BN177" s="107"/>
      <c r="BO177" s="107"/>
      <c r="BP177" s="107"/>
      <c r="BQ177" s="107"/>
      <c r="BR177" s="107"/>
      <c r="BS177" s="107"/>
      <c r="BT177" s="107"/>
    </row>
    <row r="178" spans="1:72" ht="21.75" thickBot="1" x14ac:dyDescent="0.4">
      <c r="A178" s="45"/>
      <c r="D178" s="107"/>
      <c r="E178" s="107"/>
      <c r="F178" s="107"/>
      <c r="G178" s="107"/>
      <c r="H178" s="107"/>
      <c r="I178" s="107"/>
      <c r="J178" s="107"/>
      <c r="K178" s="107"/>
      <c r="L178" s="107"/>
      <c r="M178" s="107"/>
      <c r="N178" s="107"/>
      <c r="O178" s="107"/>
      <c r="P178" s="107"/>
      <c r="Q178" s="107"/>
      <c r="R178" s="107"/>
      <c r="S178" s="107"/>
      <c r="T178" s="107"/>
      <c r="U178" s="107"/>
      <c r="V178" s="107"/>
      <c r="W178" s="107"/>
      <c r="X178" s="107"/>
      <c r="Y178" s="107"/>
      <c r="Z178" s="107"/>
      <c r="AA178" s="107"/>
      <c r="AB178" s="107"/>
      <c r="AC178" s="107"/>
      <c r="AD178" s="107"/>
      <c r="AE178" s="107"/>
      <c r="AF178" s="107"/>
      <c r="AG178" s="107"/>
      <c r="AH178" s="107"/>
      <c r="AI178" s="107"/>
      <c r="AJ178" s="107"/>
      <c r="AK178" s="107"/>
      <c r="AL178" s="107"/>
      <c r="AM178" s="107"/>
      <c r="AN178" s="107"/>
      <c r="AO178" s="107"/>
      <c r="AP178" s="107"/>
      <c r="AQ178" s="107"/>
      <c r="AR178" s="107"/>
      <c r="AS178" s="107"/>
      <c r="AT178" s="107"/>
      <c r="AU178" s="107"/>
      <c r="AV178" s="107"/>
      <c r="AW178" s="107"/>
      <c r="AX178" s="107"/>
      <c r="AY178" s="107"/>
      <c r="AZ178" s="107"/>
      <c r="BA178" s="107"/>
      <c r="BB178" s="107"/>
      <c r="BC178" s="107"/>
      <c r="BD178" s="107"/>
      <c r="BE178" s="107"/>
      <c r="BF178" s="107"/>
      <c r="BG178" s="107"/>
      <c r="BH178" s="107"/>
      <c r="BI178" s="107"/>
      <c r="BJ178" s="107"/>
      <c r="BK178" s="107"/>
      <c r="BL178" s="107"/>
      <c r="BM178" s="107"/>
      <c r="BN178" s="107"/>
      <c r="BO178" s="107"/>
      <c r="BP178" s="107"/>
      <c r="BQ178" s="107"/>
      <c r="BR178" s="107"/>
      <c r="BS178" s="107"/>
      <c r="BT178" s="107"/>
    </row>
    <row r="179" spans="1:72" ht="21.75" thickBot="1" x14ac:dyDescent="0.4">
      <c r="A179" s="45"/>
      <c r="D179" s="107"/>
      <c r="E179" s="107"/>
      <c r="F179" s="107"/>
      <c r="G179" s="107"/>
      <c r="H179" s="107"/>
      <c r="I179" s="107"/>
      <c r="J179" s="107"/>
      <c r="K179" s="107"/>
      <c r="L179" s="107"/>
      <c r="M179" s="107"/>
      <c r="N179" s="107"/>
      <c r="O179" s="107"/>
      <c r="P179" s="107"/>
      <c r="Q179" s="107"/>
      <c r="R179" s="107"/>
      <c r="S179" s="107"/>
      <c r="T179" s="107"/>
      <c r="U179" s="107"/>
      <c r="V179" s="107"/>
      <c r="W179" s="107"/>
      <c r="X179" s="107"/>
      <c r="Y179" s="107"/>
      <c r="Z179" s="107"/>
      <c r="AA179" s="107"/>
      <c r="AB179" s="107"/>
      <c r="AC179" s="107"/>
      <c r="AD179" s="107"/>
      <c r="AE179" s="107"/>
      <c r="AF179" s="107"/>
      <c r="AG179" s="107"/>
      <c r="AH179" s="107"/>
      <c r="AI179" s="107"/>
      <c r="AJ179" s="107"/>
      <c r="AK179" s="107"/>
      <c r="AL179" s="107"/>
      <c r="AM179" s="107"/>
      <c r="AN179" s="107"/>
      <c r="AO179" s="107"/>
      <c r="AP179" s="107"/>
      <c r="AQ179" s="107"/>
      <c r="AR179" s="107"/>
      <c r="AS179" s="107"/>
      <c r="AT179" s="107"/>
      <c r="AU179" s="107"/>
      <c r="AV179" s="107"/>
      <c r="AW179" s="107"/>
      <c r="AX179" s="107"/>
      <c r="AY179" s="107"/>
      <c r="AZ179" s="107"/>
      <c r="BA179" s="107"/>
      <c r="BB179" s="107"/>
      <c r="BC179" s="107"/>
      <c r="BD179" s="107"/>
      <c r="BE179" s="107"/>
      <c r="BF179" s="107"/>
      <c r="BG179" s="107"/>
      <c r="BH179" s="107"/>
      <c r="BI179" s="107"/>
      <c r="BJ179" s="107"/>
      <c r="BK179" s="107"/>
      <c r="BL179" s="107"/>
      <c r="BM179" s="107"/>
      <c r="BN179" s="107"/>
      <c r="BO179" s="107"/>
      <c r="BP179" s="107"/>
      <c r="BQ179" s="107"/>
      <c r="BR179" s="107"/>
      <c r="BS179" s="107"/>
      <c r="BT179" s="107"/>
    </row>
    <row r="180" spans="1:72" ht="21.75" thickBot="1" x14ac:dyDescent="0.4">
      <c r="A180" s="45"/>
      <c r="D180" s="107"/>
      <c r="E180" s="107"/>
      <c r="F180" s="107"/>
      <c r="G180" s="107"/>
      <c r="H180" s="107"/>
      <c r="I180" s="107"/>
      <c r="J180" s="107"/>
      <c r="K180" s="107"/>
      <c r="L180" s="107"/>
      <c r="M180" s="107"/>
      <c r="N180" s="107"/>
      <c r="O180" s="107"/>
      <c r="P180" s="107"/>
      <c r="Q180" s="107"/>
      <c r="R180" s="107"/>
      <c r="S180" s="107"/>
      <c r="T180" s="107"/>
      <c r="U180" s="107"/>
      <c r="V180" s="107"/>
      <c r="W180" s="107"/>
      <c r="X180" s="107"/>
      <c r="Y180" s="107"/>
      <c r="Z180" s="107"/>
      <c r="AA180" s="107"/>
      <c r="AB180" s="107"/>
      <c r="AC180" s="107"/>
      <c r="AD180" s="107"/>
      <c r="AE180" s="107"/>
      <c r="AF180" s="107"/>
      <c r="AG180" s="107"/>
      <c r="AH180" s="107"/>
      <c r="AI180" s="107"/>
      <c r="AJ180" s="107"/>
      <c r="AK180" s="107"/>
      <c r="AL180" s="107"/>
      <c r="AM180" s="107"/>
      <c r="AN180" s="107"/>
      <c r="AO180" s="107"/>
      <c r="AP180" s="107"/>
      <c r="AQ180" s="107"/>
      <c r="AR180" s="107"/>
      <c r="AS180" s="107"/>
      <c r="AT180" s="107"/>
      <c r="AU180" s="107"/>
      <c r="AV180" s="107"/>
      <c r="AW180" s="107"/>
      <c r="AX180" s="107"/>
      <c r="AY180" s="107"/>
      <c r="AZ180" s="107"/>
      <c r="BA180" s="107"/>
      <c r="BB180" s="107"/>
      <c r="BC180" s="107"/>
      <c r="BD180" s="107"/>
      <c r="BE180" s="107"/>
      <c r="BF180" s="107"/>
      <c r="BG180" s="107"/>
      <c r="BH180" s="107"/>
      <c r="BI180" s="107"/>
      <c r="BJ180" s="107"/>
      <c r="BK180" s="107"/>
      <c r="BL180" s="107"/>
      <c r="BM180" s="107"/>
      <c r="BN180" s="107"/>
      <c r="BO180" s="107"/>
      <c r="BP180" s="107"/>
      <c r="BQ180" s="107"/>
      <c r="BR180" s="107"/>
      <c r="BS180" s="107"/>
      <c r="BT180" s="107"/>
    </row>
    <row r="181" spans="1:72" ht="21.75" thickBot="1" x14ac:dyDescent="0.4">
      <c r="A181" s="45"/>
      <c r="D181" s="107"/>
      <c r="E181" s="107"/>
      <c r="F181" s="107"/>
      <c r="G181" s="107"/>
      <c r="H181" s="107"/>
      <c r="I181" s="107"/>
      <c r="J181" s="107"/>
      <c r="K181" s="107"/>
      <c r="L181" s="107"/>
      <c r="M181" s="107"/>
      <c r="N181" s="107"/>
      <c r="O181" s="107"/>
      <c r="P181" s="107"/>
      <c r="Q181" s="107"/>
      <c r="R181" s="107"/>
      <c r="S181" s="107"/>
      <c r="T181" s="107"/>
      <c r="U181" s="107"/>
      <c r="V181" s="107"/>
      <c r="W181" s="107"/>
      <c r="X181" s="107"/>
      <c r="Y181" s="107"/>
      <c r="Z181" s="107"/>
      <c r="AA181" s="107"/>
      <c r="AB181" s="107"/>
      <c r="AC181" s="107"/>
      <c r="AD181" s="107"/>
      <c r="AE181" s="107"/>
      <c r="AF181" s="107"/>
      <c r="AG181" s="107"/>
      <c r="AH181" s="107"/>
      <c r="AI181" s="107"/>
      <c r="AJ181" s="107"/>
      <c r="AK181" s="107"/>
      <c r="AL181" s="107"/>
      <c r="AM181" s="107"/>
      <c r="AN181" s="107"/>
      <c r="AO181" s="107"/>
      <c r="AP181" s="107"/>
      <c r="AQ181" s="107"/>
      <c r="AR181" s="107"/>
      <c r="AS181" s="107"/>
      <c r="AT181" s="107"/>
      <c r="AU181" s="107"/>
      <c r="AV181" s="107"/>
      <c r="AW181" s="107"/>
      <c r="AX181" s="107"/>
      <c r="AY181" s="107"/>
      <c r="AZ181" s="107"/>
      <c r="BA181" s="107"/>
      <c r="BB181" s="107"/>
      <c r="BC181" s="107"/>
      <c r="BD181" s="107"/>
      <c r="BE181" s="107"/>
      <c r="BF181" s="107"/>
      <c r="BG181" s="107"/>
      <c r="BH181" s="107"/>
      <c r="BI181" s="107"/>
      <c r="BJ181" s="107"/>
      <c r="BK181" s="107"/>
      <c r="BL181" s="107"/>
      <c r="BM181" s="107"/>
      <c r="BN181" s="107"/>
      <c r="BO181" s="107"/>
      <c r="BP181" s="107"/>
      <c r="BQ181" s="107"/>
      <c r="BR181" s="107"/>
      <c r="BS181" s="107"/>
      <c r="BT181" s="107"/>
    </row>
    <row r="182" spans="1:72" ht="21.75" thickBot="1" x14ac:dyDescent="0.4">
      <c r="A182" s="45"/>
      <c r="D182" s="107"/>
      <c r="E182" s="107"/>
      <c r="F182" s="107"/>
      <c r="G182" s="107"/>
      <c r="H182" s="107"/>
      <c r="I182" s="107"/>
      <c r="J182" s="107"/>
      <c r="K182" s="107"/>
      <c r="L182" s="107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  <c r="Y182" s="107"/>
      <c r="Z182" s="107"/>
      <c r="AA182" s="107"/>
      <c r="AB182" s="107"/>
      <c r="AC182" s="107"/>
      <c r="AD182" s="107"/>
      <c r="AE182" s="107"/>
      <c r="AF182" s="107"/>
      <c r="AG182" s="107"/>
      <c r="AH182" s="107"/>
      <c r="AI182" s="107"/>
      <c r="AJ182" s="107"/>
      <c r="AK182" s="107"/>
      <c r="AL182" s="107"/>
      <c r="AM182" s="107"/>
      <c r="AN182" s="107"/>
      <c r="AO182" s="107"/>
      <c r="AP182" s="107"/>
      <c r="AQ182" s="107"/>
      <c r="AR182" s="107"/>
      <c r="AS182" s="107"/>
      <c r="AT182" s="107"/>
      <c r="AU182" s="107"/>
      <c r="AV182" s="107"/>
      <c r="AW182" s="107"/>
      <c r="AX182" s="107"/>
      <c r="AY182" s="107"/>
      <c r="AZ182" s="107"/>
      <c r="BA182" s="107"/>
      <c r="BB182" s="107"/>
      <c r="BC182" s="107"/>
      <c r="BD182" s="107"/>
      <c r="BE182" s="107"/>
      <c r="BF182" s="107"/>
      <c r="BG182" s="107"/>
      <c r="BH182" s="107"/>
      <c r="BI182" s="107"/>
      <c r="BJ182" s="107"/>
      <c r="BK182" s="107"/>
      <c r="BL182" s="107"/>
      <c r="BM182" s="107"/>
      <c r="BN182" s="107"/>
      <c r="BO182" s="107"/>
      <c r="BP182" s="107"/>
      <c r="BQ182" s="107"/>
      <c r="BR182" s="107"/>
      <c r="BS182" s="107"/>
      <c r="BT182" s="107"/>
    </row>
    <row r="183" spans="1:72" ht="21.75" thickBot="1" x14ac:dyDescent="0.4">
      <c r="A183" s="45"/>
      <c r="D183" s="107"/>
      <c r="E183" s="107"/>
      <c r="F183" s="107"/>
      <c r="G183" s="107"/>
      <c r="H183" s="107"/>
      <c r="I183" s="107"/>
      <c r="J183" s="107"/>
      <c r="K183" s="107"/>
      <c r="L183" s="107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  <c r="Y183" s="107"/>
      <c r="Z183" s="107"/>
      <c r="AA183" s="107"/>
      <c r="AB183" s="107"/>
      <c r="AC183" s="107"/>
      <c r="AD183" s="107"/>
      <c r="AE183" s="107"/>
      <c r="AF183" s="107"/>
      <c r="AG183" s="107"/>
      <c r="AH183" s="107"/>
      <c r="AI183" s="107"/>
      <c r="AJ183" s="107"/>
      <c r="AK183" s="107"/>
      <c r="AL183" s="107"/>
      <c r="AM183" s="107"/>
      <c r="AN183" s="107"/>
      <c r="AO183" s="107"/>
      <c r="AP183" s="107"/>
      <c r="AQ183" s="107"/>
      <c r="AR183" s="107"/>
      <c r="AS183" s="107"/>
      <c r="AT183" s="107"/>
      <c r="AU183" s="107"/>
      <c r="AV183" s="107"/>
      <c r="AW183" s="107"/>
      <c r="AX183" s="107"/>
      <c r="AY183" s="107"/>
      <c r="AZ183" s="107"/>
      <c r="BA183" s="107"/>
      <c r="BB183" s="107"/>
      <c r="BC183" s="107"/>
      <c r="BD183" s="107"/>
      <c r="BE183" s="107"/>
      <c r="BF183" s="107"/>
      <c r="BG183" s="107"/>
      <c r="BH183" s="107"/>
      <c r="BI183" s="107"/>
      <c r="BJ183" s="107"/>
      <c r="BK183" s="107"/>
      <c r="BL183" s="107"/>
      <c r="BM183" s="107"/>
      <c r="BN183" s="107"/>
      <c r="BO183" s="107"/>
      <c r="BP183" s="107"/>
      <c r="BQ183" s="107"/>
      <c r="BR183" s="107"/>
      <c r="BS183" s="107"/>
      <c r="BT183" s="107"/>
    </row>
    <row r="184" spans="1:72" ht="21.75" thickBot="1" x14ac:dyDescent="0.4">
      <c r="A184" s="38"/>
      <c r="D184" s="107"/>
      <c r="E184" s="107"/>
      <c r="F184" s="107"/>
      <c r="G184" s="107"/>
      <c r="H184" s="107"/>
      <c r="I184" s="107"/>
      <c r="J184" s="107"/>
      <c r="K184" s="107"/>
      <c r="L184" s="107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  <c r="Y184" s="107"/>
      <c r="Z184" s="107"/>
      <c r="AA184" s="107"/>
      <c r="AB184" s="107"/>
      <c r="AC184" s="107"/>
      <c r="AD184" s="107"/>
      <c r="AE184" s="107"/>
      <c r="AF184" s="107"/>
      <c r="AG184" s="107"/>
      <c r="AH184" s="107"/>
      <c r="AI184" s="107"/>
      <c r="AJ184" s="107"/>
      <c r="AK184" s="107"/>
      <c r="AL184" s="107"/>
      <c r="AM184" s="107"/>
      <c r="AN184" s="107"/>
      <c r="AO184" s="107"/>
      <c r="AP184" s="107"/>
      <c r="AQ184" s="107"/>
      <c r="AR184" s="107"/>
      <c r="AS184" s="107"/>
      <c r="AT184" s="107"/>
      <c r="AU184" s="107"/>
      <c r="AV184" s="107"/>
      <c r="AW184" s="107"/>
      <c r="AX184" s="107"/>
      <c r="AY184" s="107"/>
      <c r="AZ184" s="107"/>
      <c r="BA184" s="107"/>
      <c r="BB184" s="107"/>
      <c r="BC184" s="107"/>
      <c r="BD184" s="107"/>
      <c r="BE184" s="107"/>
      <c r="BF184" s="107"/>
      <c r="BG184" s="107"/>
      <c r="BH184" s="107"/>
      <c r="BI184" s="107"/>
      <c r="BJ184" s="107"/>
      <c r="BK184" s="107"/>
      <c r="BL184" s="107"/>
      <c r="BM184" s="107"/>
      <c r="BN184" s="107"/>
      <c r="BO184" s="107"/>
      <c r="BP184" s="107"/>
      <c r="BQ184" s="107"/>
      <c r="BR184" s="107"/>
      <c r="BS184" s="107"/>
      <c r="BT184" s="107"/>
    </row>
    <row r="185" spans="1:72" ht="21.75" thickBot="1" x14ac:dyDescent="0.4">
      <c r="A185" s="38"/>
      <c r="D185" s="107"/>
      <c r="E185" s="107"/>
      <c r="F185" s="107"/>
      <c r="G185" s="107"/>
      <c r="H185" s="107"/>
      <c r="I185" s="107"/>
      <c r="J185" s="107"/>
      <c r="K185" s="107"/>
      <c r="L185" s="107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  <c r="Y185" s="107"/>
      <c r="Z185" s="107"/>
      <c r="AA185" s="107"/>
      <c r="AB185" s="107"/>
      <c r="AC185" s="107"/>
      <c r="AD185" s="107"/>
      <c r="AE185" s="107"/>
      <c r="AF185" s="107"/>
      <c r="AG185" s="107"/>
      <c r="AH185" s="107"/>
      <c r="AI185" s="107"/>
      <c r="AJ185" s="107"/>
      <c r="AK185" s="107"/>
      <c r="AL185" s="107"/>
      <c r="AM185" s="107"/>
      <c r="AN185" s="107"/>
      <c r="AO185" s="107"/>
      <c r="AP185" s="107"/>
      <c r="AQ185" s="107"/>
      <c r="AR185" s="107"/>
      <c r="AS185" s="107"/>
      <c r="AT185" s="107"/>
      <c r="AU185" s="107"/>
      <c r="AV185" s="107"/>
      <c r="AW185" s="107"/>
      <c r="AX185" s="107"/>
      <c r="AY185" s="107"/>
      <c r="AZ185" s="107"/>
      <c r="BA185" s="107"/>
      <c r="BB185" s="107"/>
      <c r="BC185" s="107"/>
      <c r="BD185" s="107"/>
      <c r="BE185" s="107"/>
      <c r="BF185" s="107"/>
      <c r="BG185" s="107"/>
      <c r="BH185" s="107"/>
      <c r="BI185" s="107"/>
      <c r="BJ185" s="107"/>
      <c r="BK185" s="107"/>
      <c r="BL185" s="107"/>
      <c r="BM185" s="107"/>
      <c r="BN185" s="107"/>
      <c r="BO185" s="107"/>
      <c r="BP185" s="107"/>
      <c r="BQ185" s="107"/>
      <c r="BR185" s="107"/>
      <c r="BS185" s="107"/>
      <c r="BT185" s="107"/>
    </row>
    <row r="186" spans="1:72" ht="21.75" thickBot="1" x14ac:dyDescent="0.4">
      <c r="A186" s="38"/>
      <c r="D186" s="107"/>
      <c r="E186" s="107"/>
      <c r="F186" s="107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  <c r="Y186" s="107"/>
      <c r="Z186" s="107"/>
      <c r="AA186" s="107"/>
      <c r="AB186" s="107"/>
      <c r="AC186" s="107"/>
      <c r="AD186" s="107"/>
      <c r="AE186" s="107"/>
      <c r="AF186" s="107"/>
      <c r="AG186" s="107"/>
      <c r="AH186" s="107"/>
      <c r="AI186" s="107"/>
      <c r="AJ186" s="107"/>
      <c r="AK186" s="107"/>
      <c r="AL186" s="107"/>
      <c r="AM186" s="107"/>
      <c r="AN186" s="107"/>
      <c r="AO186" s="107"/>
      <c r="AP186" s="107"/>
      <c r="AQ186" s="107"/>
      <c r="AR186" s="107"/>
      <c r="AS186" s="107"/>
      <c r="AT186" s="107"/>
      <c r="AU186" s="107"/>
      <c r="AV186" s="107"/>
      <c r="AW186" s="107"/>
      <c r="AX186" s="107"/>
      <c r="AY186" s="107"/>
      <c r="AZ186" s="107"/>
      <c r="BA186" s="107"/>
      <c r="BB186" s="107"/>
      <c r="BC186" s="107"/>
      <c r="BD186" s="107"/>
      <c r="BE186" s="107"/>
      <c r="BF186" s="107"/>
      <c r="BG186" s="107"/>
      <c r="BH186" s="107"/>
      <c r="BI186" s="107"/>
      <c r="BJ186" s="107"/>
      <c r="BK186" s="107"/>
      <c r="BL186" s="107"/>
      <c r="BM186" s="107"/>
      <c r="BN186" s="107"/>
      <c r="BO186" s="107"/>
      <c r="BP186" s="107"/>
      <c r="BQ186" s="107"/>
      <c r="BR186" s="107"/>
      <c r="BS186" s="107"/>
      <c r="BT186" s="107"/>
    </row>
    <row r="187" spans="1:72" ht="21.75" thickBot="1" x14ac:dyDescent="0.4">
      <c r="A187" s="38"/>
      <c r="D187" s="107"/>
      <c r="E187" s="107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  <c r="Y187" s="107"/>
      <c r="Z187" s="107"/>
      <c r="AA187" s="107"/>
      <c r="AB187" s="107"/>
      <c r="AC187" s="107"/>
      <c r="AD187" s="107"/>
      <c r="AE187" s="107"/>
      <c r="AF187" s="107"/>
      <c r="AG187" s="107"/>
      <c r="AH187" s="107"/>
      <c r="AI187" s="107"/>
      <c r="AJ187" s="107"/>
      <c r="AK187" s="107"/>
      <c r="AL187" s="107"/>
      <c r="AM187" s="107"/>
      <c r="AN187" s="107"/>
      <c r="AO187" s="107"/>
      <c r="AP187" s="107"/>
      <c r="AQ187" s="107"/>
      <c r="AR187" s="107"/>
      <c r="AS187" s="107"/>
      <c r="AT187" s="107"/>
      <c r="AU187" s="107"/>
      <c r="AV187" s="107"/>
      <c r="AW187" s="107"/>
      <c r="AX187" s="107"/>
      <c r="AY187" s="107"/>
      <c r="AZ187" s="107"/>
      <c r="BA187" s="107"/>
      <c r="BB187" s="107"/>
      <c r="BC187" s="107"/>
      <c r="BD187" s="107"/>
      <c r="BE187" s="107"/>
      <c r="BF187" s="107"/>
      <c r="BG187" s="107"/>
      <c r="BH187" s="107"/>
      <c r="BI187" s="107"/>
      <c r="BJ187" s="107"/>
      <c r="BK187" s="107"/>
      <c r="BL187" s="107"/>
      <c r="BM187" s="107"/>
      <c r="BN187" s="107"/>
      <c r="BO187" s="107"/>
      <c r="BP187" s="107"/>
      <c r="BQ187" s="107"/>
      <c r="BR187" s="107"/>
      <c r="BS187" s="107"/>
      <c r="BT187" s="107"/>
    </row>
    <row r="188" spans="1:72" ht="21.75" thickBot="1" x14ac:dyDescent="0.4">
      <c r="A188" s="38"/>
      <c r="D188" s="107"/>
      <c r="E188" s="107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  <c r="Y188" s="107"/>
      <c r="Z188" s="107"/>
      <c r="AA188" s="107"/>
      <c r="AB188" s="107"/>
      <c r="AC188" s="107"/>
      <c r="AD188" s="107"/>
      <c r="AE188" s="107"/>
      <c r="AF188" s="107"/>
      <c r="AG188" s="107"/>
      <c r="AH188" s="107"/>
      <c r="AI188" s="107"/>
      <c r="AJ188" s="107"/>
      <c r="AK188" s="107"/>
      <c r="AL188" s="107"/>
      <c r="AM188" s="107"/>
      <c r="AN188" s="107"/>
      <c r="AO188" s="107"/>
      <c r="AP188" s="107"/>
      <c r="AQ188" s="107"/>
      <c r="AR188" s="107"/>
      <c r="AS188" s="107"/>
      <c r="AT188" s="107"/>
      <c r="AU188" s="107"/>
      <c r="AV188" s="107"/>
      <c r="AW188" s="107"/>
      <c r="AX188" s="107"/>
      <c r="AY188" s="107"/>
      <c r="AZ188" s="107"/>
      <c r="BA188" s="107"/>
      <c r="BB188" s="107"/>
      <c r="BC188" s="107"/>
      <c r="BD188" s="107"/>
      <c r="BE188" s="107"/>
      <c r="BF188" s="107"/>
      <c r="BG188" s="107"/>
      <c r="BH188" s="107"/>
      <c r="BI188" s="107"/>
      <c r="BJ188" s="107"/>
      <c r="BK188" s="107"/>
      <c r="BL188" s="107"/>
      <c r="BM188" s="107"/>
      <c r="BN188" s="107"/>
      <c r="BO188" s="107"/>
      <c r="BP188" s="107"/>
      <c r="BQ188" s="107"/>
      <c r="BR188" s="107"/>
      <c r="BS188" s="107"/>
      <c r="BT188" s="107"/>
    </row>
    <row r="189" spans="1:72" ht="21.75" thickBot="1" x14ac:dyDescent="0.4">
      <c r="A189" s="38"/>
      <c r="D189" s="107"/>
      <c r="E189" s="107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  <c r="Y189" s="107"/>
      <c r="Z189" s="107"/>
      <c r="AA189" s="107"/>
      <c r="AB189" s="107"/>
      <c r="AC189" s="107"/>
      <c r="AD189" s="107"/>
      <c r="AE189" s="107"/>
      <c r="AF189" s="107"/>
      <c r="AG189" s="107"/>
      <c r="AH189" s="107"/>
      <c r="AI189" s="107"/>
      <c r="AJ189" s="107"/>
      <c r="AK189" s="107"/>
      <c r="AL189" s="107"/>
      <c r="AM189" s="107"/>
      <c r="AN189" s="107"/>
      <c r="AO189" s="107"/>
      <c r="AP189" s="107"/>
      <c r="AQ189" s="107"/>
      <c r="AR189" s="107"/>
      <c r="AS189" s="107"/>
      <c r="AT189" s="107"/>
      <c r="AU189" s="107"/>
      <c r="AV189" s="107"/>
      <c r="AW189" s="107"/>
      <c r="AX189" s="107"/>
      <c r="AY189" s="107"/>
      <c r="AZ189" s="107"/>
      <c r="BA189" s="107"/>
      <c r="BB189" s="107"/>
      <c r="BC189" s="107"/>
      <c r="BD189" s="107"/>
      <c r="BE189" s="107"/>
      <c r="BF189" s="107"/>
      <c r="BG189" s="107"/>
      <c r="BH189" s="107"/>
      <c r="BI189" s="107"/>
      <c r="BJ189" s="107"/>
      <c r="BK189" s="107"/>
      <c r="BL189" s="107"/>
      <c r="BM189" s="107"/>
      <c r="BN189" s="107"/>
      <c r="BO189" s="107"/>
      <c r="BP189" s="107"/>
      <c r="BQ189" s="107"/>
      <c r="BR189" s="107"/>
      <c r="BS189" s="107"/>
      <c r="BT189" s="107"/>
    </row>
    <row r="190" spans="1:72" ht="21.75" thickBot="1" x14ac:dyDescent="0.4">
      <c r="A190" s="38"/>
      <c r="D190" s="107"/>
      <c r="E190" s="107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  <c r="Y190" s="107"/>
      <c r="Z190" s="107"/>
      <c r="AA190" s="107"/>
      <c r="AB190" s="107"/>
      <c r="AC190" s="107"/>
      <c r="AD190" s="107"/>
      <c r="AE190" s="107"/>
      <c r="AF190" s="107"/>
      <c r="AG190" s="107"/>
      <c r="AH190" s="107"/>
      <c r="AI190" s="107"/>
      <c r="AJ190" s="107"/>
      <c r="AK190" s="107"/>
      <c r="AL190" s="107"/>
      <c r="AM190" s="107"/>
      <c r="AN190" s="107"/>
      <c r="AO190" s="107"/>
      <c r="AP190" s="107"/>
      <c r="AQ190" s="107"/>
      <c r="AR190" s="107"/>
      <c r="AS190" s="107"/>
      <c r="AT190" s="107"/>
      <c r="AU190" s="107"/>
      <c r="AV190" s="107"/>
      <c r="AW190" s="107"/>
      <c r="AX190" s="107"/>
      <c r="AY190" s="107"/>
      <c r="AZ190" s="107"/>
      <c r="BA190" s="107"/>
      <c r="BB190" s="107"/>
      <c r="BC190" s="107"/>
      <c r="BD190" s="107"/>
      <c r="BE190" s="107"/>
      <c r="BF190" s="107"/>
      <c r="BG190" s="107"/>
      <c r="BH190" s="107"/>
      <c r="BI190" s="107"/>
      <c r="BJ190" s="107"/>
      <c r="BK190" s="107"/>
      <c r="BL190" s="107"/>
      <c r="BM190" s="107"/>
      <c r="BN190" s="107"/>
      <c r="BO190" s="107"/>
      <c r="BP190" s="107"/>
      <c r="BQ190" s="107"/>
      <c r="BR190" s="107"/>
      <c r="BS190" s="107"/>
      <c r="BT190" s="107"/>
    </row>
    <row r="191" spans="1:72" ht="21.75" thickBot="1" x14ac:dyDescent="0.4">
      <c r="A191" s="38"/>
      <c r="D191" s="107"/>
      <c r="E191" s="107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  <c r="Y191" s="107"/>
      <c r="Z191" s="107"/>
      <c r="AA191" s="107"/>
      <c r="AB191" s="107"/>
      <c r="AC191" s="107"/>
      <c r="AD191" s="107"/>
      <c r="AE191" s="107"/>
      <c r="AF191" s="107"/>
      <c r="AG191" s="107"/>
      <c r="AH191" s="107"/>
      <c r="AI191" s="107"/>
      <c r="AJ191" s="107"/>
      <c r="AK191" s="107"/>
      <c r="AL191" s="107"/>
      <c r="AM191" s="107"/>
      <c r="AN191" s="107"/>
      <c r="AO191" s="107"/>
      <c r="AP191" s="107"/>
      <c r="AQ191" s="107"/>
      <c r="AR191" s="107"/>
      <c r="AS191" s="107"/>
      <c r="AT191" s="107"/>
      <c r="AU191" s="107"/>
      <c r="AV191" s="107"/>
      <c r="AW191" s="107"/>
      <c r="AX191" s="107"/>
      <c r="AY191" s="107"/>
      <c r="AZ191" s="107"/>
      <c r="BA191" s="107"/>
      <c r="BB191" s="107"/>
      <c r="BC191" s="107"/>
      <c r="BD191" s="107"/>
      <c r="BE191" s="107"/>
      <c r="BF191" s="107"/>
      <c r="BG191" s="107"/>
      <c r="BH191" s="107"/>
      <c r="BI191" s="107"/>
      <c r="BJ191" s="107"/>
      <c r="BK191" s="107"/>
      <c r="BL191" s="107"/>
      <c r="BM191" s="107"/>
      <c r="BN191" s="107"/>
      <c r="BO191" s="107"/>
      <c r="BP191" s="107"/>
      <c r="BQ191" s="107"/>
      <c r="BR191" s="107"/>
      <c r="BS191" s="107"/>
      <c r="BT191" s="107"/>
    </row>
    <row r="192" spans="1:72" ht="21.75" thickBot="1" x14ac:dyDescent="0.4">
      <c r="A192" s="38"/>
      <c r="D192" s="107"/>
      <c r="E192" s="107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  <c r="Y192" s="107"/>
      <c r="Z192" s="107"/>
      <c r="AA192" s="107"/>
      <c r="AB192" s="107"/>
      <c r="AC192" s="107"/>
      <c r="AD192" s="107"/>
      <c r="AE192" s="107"/>
      <c r="AF192" s="107"/>
      <c r="AG192" s="107"/>
      <c r="AH192" s="107"/>
      <c r="AI192" s="107"/>
      <c r="AJ192" s="107"/>
      <c r="AK192" s="107"/>
      <c r="AL192" s="107"/>
      <c r="AM192" s="107"/>
      <c r="AN192" s="107"/>
      <c r="AO192" s="107"/>
      <c r="AP192" s="107"/>
      <c r="AQ192" s="107"/>
      <c r="AR192" s="107"/>
      <c r="AS192" s="107"/>
      <c r="AT192" s="107"/>
      <c r="AU192" s="107"/>
      <c r="AV192" s="107"/>
      <c r="AW192" s="107"/>
      <c r="AX192" s="107"/>
      <c r="AY192" s="107"/>
      <c r="AZ192" s="107"/>
      <c r="BA192" s="107"/>
      <c r="BB192" s="107"/>
      <c r="BC192" s="107"/>
      <c r="BD192" s="107"/>
      <c r="BE192" s="107"/>
      <c r="BF192" s="107"/>
      <c r="BG192" s="107"/>
      <c r="BH192" s="107"/>
      <c r="BI192" s="107"/>
      <c r="BJ192" s="107"/>
      <c r="BK192" s="107"/>
      <c r="BL192" s="107"/>
      <c r="BM192" s="107"/>
      <c r="BN192" s="107"/>
      <c r="BO192" s="107"/>
      <c r="BP192" s="107"/>
      <c r="BQ192" s="107"/>
      <c r="BR192" s="107"/>
      <c r="BS192" s="107"/>
      <c r="BT192" s="107"/>
    </row>
    <row r="193" spans="1:72" ht="21.75" thickBot="1" x14ac:dyDescent="0.4">
      <c r="A193" s="38"/>
      <c r="D193" s="107"/>
      <c r="E193" s="107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  <c r="Y193" s="107"/>
      <c r="Z193" s="107"/>
      <c r="AA193" s="107"/>
      <c r="AB193" s="107"/>
      <c r="AC193" s="107"/>
      <c r="AD193" s="107"/>
      <c r="AE193" s="107"/>
      <c r="AF193" s="107"/>
      <c r="AG193" s="107"/>
      <c r="AH193" s="107"/>
      <c r="AI193" s="107"/>
      <c r="AJ193" s="107"/>
      <c r="AK193" s="107"/>
      <c r="AL193" s="107"/>
      <c r="AM193" s="107"/>
      <c r="AN193" s="107"/>
      <c r="AO193" s="107"/>
      <c r="AP193" s="107"/>
      <c r="AQ193" s="107"/>
      <c r="AR193" s="107"/>
      <c r="AS193" s="107"/>
      <c r="AT193" s="107"/>
      <c r="AU193" s="107"/>
      <c r="AV193" s="107"/>
      <c r="AW193" s="107"/>
      <c r="AX193" s="107"/>
      <c r="AY193" s="107"/>
      <c r="AZ193" s="107"/>
      <c r="BA193" s="107"/>
      <c r="BB193" s="107"/>
      <c r="BC193" s="107"/>
      <c r="BD193" s="107"/>
      <c r="BE193" s="107"/>
      <c r="BF193" s="107"/>
      <c r="BG193" s="107"/>
      <c r="BH193" s="107"/>
      <c r="BI193" s="107"/>
      <c r="BJ193" s="107"/>
      <c r="BK193" s="107"/>
      <c r="BL193" s="107"/>
      <c r="BM193" s="107"/>
      <c r="BN193" s="107"/>
      <c r="BO193" s="107"/>
      <c r="BP193" s="107"/>
      <c r="BQ193" s="107"/>
      <c r="BR193" s="107"/>
      <c r="BS193" s="107"/>
      <c r="BT193" s="107"/>
    </row>
    <row r="194" spans="1:72" ht="22.5" thickTop="1" thickBot="1" x14ac:dyDescent="0.4">
      <c r="A194" s="4" t="s">
        <v>49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  <c r="G194" s="4">
        <v>0</v>
      </c>
      <c r="H194" s="4">
        <v>0</v>
      </c>
      <c r="I194" s="4">
        <v>0</v>
      </c>
      <c r="J194" s="4">
        <v>0</v>
      </c>
      <c r="K194" s="4">
        <v>0</v>
      </c>
      <c r="L194" s="4">
        <v>0</v>
      </c>
      <c r="M194" s="4">
        <v>0</v>
      </c>
      <c r="N194" s="4">
        <v>0</v>
      </c>
      <c r="O194" s="4">
        <v>0</v>
      </c>
      <c r="P194" s="4">
        <v>0</v>
      </c>
      <c r="Q194" s="4">
        <v>0</v>
      </c>
      <c r="R194" s="4">
        <v>0</v>
      </c>
      <c r="S194" s="4">
        <v>0</v>
      </c>
      <c r="T194" s="4">
        <v>0</v>
      </c>
      <c r="U194" s="4">
        <v>0</v>
      </c>
      <c r="V194" s="4">
        <v>0</v>
      </c>
      <c r="W194" s="4">
        <v>0</v>
      </c>
      <c r="X194" s="4">
        <v>0</v>
      </c>
      <c r="Y194" s="4">
        <v>0</v>
      </c>
      <c r="Z194" s="4">
        <v>0</v>
      </c>
      <c r="AA194" s="4">
        <v>0</v>
      </c>
      <c r="AB194" s="4">
        <v>0</v>
      </c>
      <c r="AC194" s="4">
        <v>0</v>
      </c>
      <c r="AD194" s="4">
        <v>0</v>
      </c>
      <c r="AE194" s="4">
        <v>0</v>
      </c>
      <c r="AF194" s="4">
        <v>0</v>
      </c>
      <c r="AG194" s="4">
        <v>0</v>
      </c>
      <c r="AH194" s="4">
        <v>0</v>
      </c>
      <c r="AI194" s="4">
        <v>0</v>
      </c>
      <c r="AJ194" s="4">
        <v>0</v>
      </c>
      <c r="AK194" s="4">
        <v>0</v>
      </c>
      <c r="AL194" s="4">
        <v>0</v>
      </c>
      <c r="AM194" s="4">
        <v>0</v>
      </c>
      <c r="AN194" s="4">
        <v>0</v>
      </c>
      <c r="AO194" s="4">
        <v>0</v>
      </c>
      <c r="AP194" s="4">
        <v>0</v>
      </c>
      <c r="AQ194" s="4">
        <v>0</v>
      </c>
      <c r="AR194" s="4">
        <v>0</v>
      </c>
      <c r="AS194" s="4">
        <v>0</v>
      </c>
      <c r="AT194" s="4">
        <v>0</v>
      </c>
      <c r="AU194" s="4">
        <v>0</v>
      </c>
      <c r="AV194" s="4">
        <v>0</v>
      </c>
      <c r="AW194" s="4">
        <v>0</v>
      </c>
      <c r="AX194" s="4">
        <v>0</v>
      </c>
      <c r="AY194" s="4">
        <v>0</v>
      </c>
      <c r="AZ194" s="4">
        <v>0</v>
      </c>
      <c r="BA194" s="4">
        <v>0</v>
      </c>
      <c r="BB194" s="4">
        <v>0</v>
      </c>
      <c r="BC194" s="4">
        <v>0</v>
      </c>
      <c r="BD194" s="4">
        <v>0</v>
      </c>
      <c r="BE194" s="4">
        <v>0</v>
      </c>
      <c r="BF194" s="4">
        <v>0</v>
      </c>
      <c r="BG194" s="4">
        <v>0</v>
      </c>
      <c r="BH194" s="4">
        <v>0</v>
      </c>
      <c r="BI194" s="4">
        <v>0</v>
      </c>
      <c r="BJ194" s="4">
        <v>0</v>
      </c>
      <c r="BK194" s="4">
        <v>0</v>
      </c>
      <c r="BL194" s="4">
        <v>0</v>
      </c>
      <c r="BM194" s="4">
        <v>0</v>
      </c>
      <c r="BN194" s="4">
        <v>0</v>
      </c>
      <c r="BO194" s="4">
        <v>0</v>
      </c>
      <c r="BP194" s="4">
        <v>0</v>
      </c>
      <c r="BQ194" s="4">
        <v>0</v>
      </c>
      <c r="BR194" s="4">
        <v>0</v>
      </c>
      <c r="BS194" s="4">
        <v>0</v>
      </c>
      <c r="BT194" s="4">
        <v>0</v>
      </c>
    </row>
    <row r="195" spans="1:72" ht="21.75" thickTop="1" x14ac:dyDescent="0.35"/>
  </sheetData>
  <conditionalFormatting sqref="A101:BT129">
    <cfRule type="cellIs" dxfId="6" priority="3" operator="equal">
      <formula>0</formula>
    </cfRule>
  </conditionalFormatting>
  <conditionalFormatting sqref="A133:BT161">
    <cfRule type="cellIs" dxfId="5" priority="2" operator="equal">
      <formula>0</formula>
    </cfRule>
  </conditionalFormatting>
  <conditionalFormatting sqref="A165:BT193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Evaluating_Python">
                <anchor moveWithCells="1" sizeWithCells="1">
                  <from>
                    <xdr:col>71</xdr:col>
                    <xdr:colOff>104775</xdr:colOff>
                    <xdr:row>0</xdr:row>
                    <xdr:rowOff>47625</xdr:rowOff>
                  </from>
                  <to>
                    <xdr:col>73</xdr:col>
                    <xdr:colOff>800100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584EB-B102-4E30-9FD0-71DDD5E53F8D}">
  <sheetPr codeName="Лист7">
    <tabColor theme="1" tint="4.9989318521683403E-2"/>
  </sheetPr>
  <dimension ref="A1:BT163"/>
  <sheetViews>
    <sheetView zoomScale="85" zoomScaleNormal="85" workbookViewId="0">
      <pane ySplit="1" topLeftCell="A142" activePane="bottomLeft" state="frozen"/>
      <selection pane="bottomLeft" activeCell="BW166" sqref="BW166"/>
    </sheetView>
  </sheetViews>
  <sheetFormatPr defaultRowHeight="21" outlineLevelRow="1" x14ac:dyDescent="0.35"/>
  <cols>
    <col min="1" max="1" width="13.81640625" style="91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 x14ac:dyDescent="0.4">
      <c r="A1" s="89" t="s">
        <v>16</v>
      </c>
      <c r="B1" s="36">
        <v>300</v>
      </c>
      <c r="C1" s="59">
        <v>1000</v>
      </c>
      <c r="D1" s="60" t="s">
        <v>17</v>
      </c>
      <c r="E1" s="61">
        <v>70</v>
      </c>
    </row>
    <row r="2" spans="1:72" ht="23.25" customHeight="1" thickTop="1" thickBot="1" x14ac:dyDescent="0.4">
      <c r="A2" s="90" t="s">
        <v>27</v>
      </c>
      <c r="B2" s="62">
        <f>FLUID!F3</f>
        <v>273.10000000000002</v>
      </c>
      <c r="C2" s="62">
        <f>FLUID!G3</f>
        <v>339.2</v>
      </c>
      <c r="D2" s="62">
        <f>FLUID!H3</f>
        <v>405.3</v>
      </c>
      <c r="E2" s="62">
        <f>FLUID!I3</f>
        <v>471.4</v>
      </c>
      <c r="F2" s="62">
        <f>FLUID!J3</f>
        <v>487.9</v>
      </c>
      <c r="G2" s="62">
        <f>FLUID!K3</f>
        <v>504.4</v>
      </c>
      <c r="H2" s="62">
        <f>FLUID!L3</f>
        <v>520.9</v>
      </c>
      <c r="I2" s="62">
        <f>FLUID!M3</f>
        <v>537.5</v>
      </c>
      <c r="J2" s="62">
        <f>FLUID!N3</f>
        <v>603.5</v>
      </c>
      <c r="K2" s="62">
        <f>FLUID!O3</f>
        <v>669.6</v>
      </c>
      <c r="L2" s="62">
        <f>FLUID!P3</f>
        <v>735.7</v>
      </c>
      <c r="M2" s="62">
        <f>FLUID!Q3</f>
        <v>801.8</v>
      </c>
      <c r="N2" s="62">
        <f>FLUID!R3</f>
        <v>867.8</v>
      </c>
      <c r="O2" s="62">
        <f>FLUID!S3</f>
        <v>884.4</v>
      </c>
      <c r="P2" s="62">
        <f>FLUID!T3</f>
        <v>900.9</v>
      </c>
      <c r="Q2" s="62">
        <f>FLUID!U3</f>
        <v>917.4</v>
      </c>
      <c r="R2" s="62">
        <f>FLUID!V3</f>
        <v>933.9</v>
      </c>
      <c r="S2" s="62">
        <f>FLUID!W3</f>
        <v>950.4</v>
      </c>
      <c r="T2" s="62">
        <f>FLUID!X3</f>
        <v>967</v>
      </c>
      <c r="U2" s="62">
        <f>FLUID!Y3</f>
        <v>983.5</v>
      </c>
      <c r="V2" s="62">
        <f>FLUID!Z3</f>
        <v>1000</v>
      </c>
      <c r="W2" s="62">
        <f>FLUID!AA3</f>
        <v>0</v>
      </c>
      <c r="X2" s="62">
        <f>FLUID!AB3</f>
        <v>0</v>
      </c>
      <c r="Y2" s="62">
        <f>FLUID!AC3</f>
        <v>0</v>
      </c>
      <c r="Z2" s="62">
        <f>FLUID!AD3</f>
        <v>0</v>
      </c>
      <c r="AA2" s="62">
        <f>FLUID!AE3</f>
        <v>0</v>
      </c>
      <c r="AB2" s="62">
        <f>FLUID!AF3</f>
        <v>0</v>
      </c>
      <c r="AC2" s="62">
        <f>FLUID!AG3</f>
        <v>0</v>
      </c>
      <c r="AD2" s="62">
        <f>FLUID!AH3</f>
        <v>0</v>
      </c>
      <c r="AE2" s="62">
        <f>FLUID!AI3</f>
        <v>0</v>
      </c>
      <c r="AF2" s="62">
        <f>FLUID!AJ3</f>
        <v>0</v>
      </c>
      <c r="AG2" s="62">
        <f>FLUID!AK3</f>
        <v>0</v>
      </c>
      <c r="AH2" s="62">
        <f>FLUID!AL3</f>
        <v>0</v>
      </c>
      <c r="AI2" s="62">
        <f>FLUID!BT3</f>
        <v>0</v>
      </c>
      <c r="AJ2" s="62">
        <f>FLUID!BU3</f>
        <v>0</v>
      </c>
      <c r="AK2" s="62">
        <f>FLUID!BV3</f>
        <v>0</v>
      </c>
      <c r="AL2" s="62">
        <f>FLUID!BW3</f>
        <v>0</v>
      </c>
      <c r="AM2" s="62">
        <f>FLUID!BX3</f>
        <v>0</v>
      </c>
      <c r="AN2" s="62">
        <f>FLUID!BY3</f>
        <v>0</v>
      </c>
      <c r="AO2" s="62">
        <f>FLUID!BZ3</f>
        <v>0</v>
      </c>
      <c r="AP2" s="62">
        <f>FLUID!CA3</f>
        <v>0</v>
      </c>
      <c r="AQ2" s="62">
        <f>FLUID!CB3</f>
        <v>0</v>
      </c>
      <c r="AR2" s="62">
        <f>FLUID!CC3</f>
        <v>0</v>
      </c>
      <c r="AS2" s="62">
        <f>FLUID!CD3</f>
        <v>0</v>
      </c>
      <c r="AT2" s="62">
        <f>FLUID!CE3</f>
        <v>0</v>
      </c>
      <c r="AU2" s="62">
        <f>FLUID!CF3</f>
        <v>0</v>
      </c>
      <c r="AV2" s="62">
        <f>FLUID!CG3</f>
        <v>0</v>
      </c>
      <c r="AW2" s="62">
        <f>FLUID!CH3</f>
        <v>0</v>
      </c>
      <c r="AX2" s="62">
        <f>FLUID!CI3</f>
        <v>0</v>
      </c>
      <c r="AY2" s="62">
        <f>FLUID!CJ3</f>
        <v>0</v>
      </c>
      <c r="AZ2" s="62">
        <f>FLUID!CK3</f>
        <v>0</v>
      </c>
      <c r="BA2" s="62">
        <f>FLUID!CL3</f>
        <v>0</v>
      </c>
      <c r="BB2" s="62">
        <f>FLUID!CM3</f>
        <v>0</v>
      </c>
      <c r="BC2" s="62">
        <f>FLUID!CN3</f>
        <v>0</v>
      </c>
      <c r="BD2" s="62">
        <f>FLUID!CO3</f>
        <v>0</v>
      </c>
      <c r="BE2" s="62">
        <f>FLUID!CP3</f>
        <v>0</v>
      </c>
      <c r="BF2" s="62">
        <f>FLUID!CQ3</f>
        <v>0</v>
      </c>
      <c r="BG2" s="62">
        <f>FLUID!CR3</f>
        <v>0</v>
      </c>
      <c r="BH2" s="62">
        <f>FLUID!CS3</f>
        <v>0</v>
      </c>
      <c r="BI2" s="62">
        <f>FLUID!CT3</f>
        <v>0</v>
      </c>
      <c r="BJ2" s="62">
        <f>FLUID!CU3</f>
        <v>0</v>
      </c>
      <c r="BK2" s="62">
        <f>FLUID!CV3</f>
        <v>0</v>
      </c>
      <c r="BL2" s="62">
        <f>FLUID!CW3</f>
        <v>0</v>
      </c>
      <c r="BM2" s="62">
        <f>FLUID!CX3</f>
        <v>0</v>
      </c>
      <c r="BN2" s="62">
        <f>FLUID!CY3</f>
        <v>0</v>
      </c>
      <c r="BO2" s="62">
        <f>FLUID!CZ3</f>
        <v>0</v>
      </c>
      <c r="BP2" s="62">
        <f>FLUID!DA3</f>
        <v>0</v>
      </c>
      <c r="BQ2" s="62"/>
      <c r="BR2" s="62"/>
      <c r="BS2" s="62">
        <f>FLUID!DB3</f>
        <v>0</v>
      </c>
      <c r="BT2" s="62">
        <f>FLUID!DC3</f>
        <v>0</v>
      </c>
    </row>
    <row r="3" spans="1:72" ht="22.5" hidden="1" outlineLevel="1" thickTop="1" thickBot="1" x14ac:dyDescent="0.4">
      <c r="A3" s="87" t="str">
        <f>FLUID!E4</f>
        <v>*GaSe2</v>
      </c>
      <c r="B3" s="16">
        <f>FLUID!F4</f>
        <v>0.12</v>
      </c>
      <c r="C3" s="16">
        <f>FLUID!G4</f>
        <v>0.12</v>
      </c>
      <c r="D3" s="16">
        <f>FLUID!H4</f>
        <v>0.12</v>
      </c>
      <c r="E3" s="16">
        <f>FLUID!I4</f>
        <v>0.12</v>
      </c>
      <c r="F3" s="16">
        <f>FLUID!J4</f>
        <v>0.12</v>
      </c>
      <c r="G3" s="16">
        <f>FLUID!K4</f>
        <v>0.12</v>
      </c>
      <c r="H3" s="16">
        <f>FLUID!L4</f>
        <v>0.12</v>
      </c>
      <c r="I3" s="16">
        <f>FLUID!M4</f>
        <v>0.12</v>
      </c>
      <c r="J3" s="16">
        <f>FLUID!N4</f>
        <v>0.12</v>
      </c>
      <c r="K3" s="16">
        <f>FLUID!O4</f>
        <v>0.11998</v>
      </c>
      <c r="L3" s="16">
        <f>FLUID!P4</f>
        <v>0.1198</v>
      </c>
      <c r="M3" s="16">
        <f>FLUID!Q4</f>
        <v>0.11821</v>
      </c>
      <c r="N3" s="16">
        <f>FLUID!R4</f>
        <v>0.10592</v>
      </c>
      <c r="O3" s="16">
        <f>FLUID!S4</f>
        <v>9.7253999999999993E-2</v>
      </c>
      <c r="P3" s="16">
        <f>FLUID!T4</f>
        <v>8.3881999999999998E-2</v>
      </c>
      <c r="Q3" s="16">
        <f>FLUID!U4</f>
        <v>6.2925999999999996E-2</v>
      </c>
      <c r="R3" s="16">
        <f>FLUID!V4</f>
        <v>2.8313999999999999E-2</v>
      </c>
      <c r="S3" s="16">
        <f>FLUID!W4</f>
        <v>1.0257E-7</v>
      </c>
      <c r="T3" s="16">
        <f>FLUID!X4</f>
        <v>1.3949E-9</v>
      </c>
      <c r="U3" s="16">
        <f>FLUID!Y4</f>
        <v>9.0929000000000007E-15</v>
      </c>
      <c r="V3" s="16">
        <f>FLUID!Z4</f>
        <v>1.0178999999999999E-20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 x14ac:dyDescent="0.4">
      <c r="A4" s="87" t="str">
        <f>FLUID!E5</f>
        <v>Se4</v>
      </c>
      <c r="B4" s="16">
        <f>FLUID!F5</f>
        <v>1.7062999999999999E-25</v>
      </c>
      <c r="C4" s="16">
        <f>FLUID!G5</f>
        <v>6.4390999999999996E-20</v>
      </c>
      <c r="D4" s="16">
        <f>FLUID!H5</f>
        <v>2.7195000000000001E-16</v>
      </c>
      <c r="E4" s="16">
        <f>FLUID!I5</f>
        <v>9.0839999999999995E-14</v>
      </c>
      <c r="F4" s="16">
        <f>FLUID!J5</f>
        <v>2.9633999999999998E-13</v>
      </c>
      <c r="G4" s="16">
        <f>FLUID!K5</f>
        <v>8.872E-13</v>
      </c>
      <c r="H4" s="16">
        <f>FLUID!L5</f>
        <v>2.4587E-12</v>
      </c>
      <c r="I4" s="16">
        <f>FLUID!M5</f>
        <v>6.3545999999999996E-12</v>
      </c>
      <c r="J4" s="16">
        <f>FLUID!N5</f>
        <v>1.5921999999999999E-10</v>
      </c>
      <c r="K4" s="16">
        <f>FLUID!O5</f>
        <v>1.9685E-9</v>
      </c>
      <c r="L4" s="16">
        <f>FLUID!P5</f>
        <v>1.4981E-8</v>
      </c>
      <c r="M4" s="16">
        <f>FLUID!Q5</f>
        <v>9.3776000000000005E-8</v>
      </c>
      <c r="N4" s="16">
        <f>FLUID!R5</f>
        <v>1.1023E-6</v>
      </c>
      <c r="O4" s="16">
        <f>FLUID!S5</f>
        <v>2.5386000000000001E-6</v>
      </c>
      <c r="P4" s="16">
        <f>FLUID!T5</f>
        <v>6.2793000000000002E-6</v>
      </c>
      <c r="Q4" s="16">
        <f>FLUID!U5</f>
        <v>1.6388999999999998E-5</v>
      </c>
      <c r="R4" s="16">
        <f>FLUID!V5</f>
        <v>4.4832E-5</v>
      </c>
      <c r="S4" s="16">
        <f>FLUID!W5</f>
        <v>8.4475999999999996E-5</v>
      </c>
      <c r="T4" s="16">
        <f>FLUID!X5</f>
        <v>9.7503999999999993E-5</v>
      </c>
      <c r="U4" s="16">
        <f>FLUID!Y5</f>
        <v>1.0922E-4</v>
      </c>
      <c r="V4" s="16">
        <f>FLUID!Z5</f>
        <v>1.1868E-4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 x14ac:dyDescent="0.4">
      <c r="A5" s="87" t="str">
        <f>FLUID!E6</f>
        <v>Se5</v>
      </c>
      <c r="B5" s="16">
        <f>FLUID!F6</f>
        <v>1.3665999999999999E-22</v>
      </c>
      <c r="C5" s="16">
        <f>FLUID!G6</f>
        <v>1.6874000000000001E-17</v>
      </c>
      <c r="D5" s="16">
        <f>FLUID!H6</f>
        <v>3.1826000000000002E-14</v>
      </c>
      <c r="E5" s="16">
        <f>FLUID!I6</f>
        <v>5.7530000000000002E-12</v>
      </c>
      <c r="F5" s="16">
        <f>FLUID!J6</f>
        <v>1.6452E-11</v>
      </c>
      <c r="G5" s="16">
        <f>FLUID!K6</f>
        <v>4.3490000000000003E-11</v>
      </c>
      <c r="H5" s="16">
        <f>FLUID!L6</f>
        <v>1.0712E-10</v>
      </c>
      <c r="I5" s="16">
        <f>FLUID!M6</f>
        <v>2.4757E-10</v>
      </c>
      <c r="J5" s="16">
        <f>FLUID!N6</f>
        <v>4.1769000000000003E-9</v>
      </c>
      <c r="K5" s="16">
        <f>FLUID!O6</f>
        <v>3.7166999999999998E-8</v>
      </c>
      <c r="L5" s="16">
        <f>FLUID!P6</f>
        <v>2.1525E-7</v>
      </c>
      <c r="M5" s="16">
        <f>FLUID!Q6</f>
        <v>1.1147999999999999E-6</v>
      </c>
      <c r="N5" s="16">
        <f>FLUID!R6</f>
        <v>1.3984E-5</v>
      </c>
      <c r="O5" s="16">
        <f>FLUID!S6</f>
        <v>3.4897000000000001E-5</v>
      </c>
      <c r="P5" s="16">
        <f>FLUID!T6</f>
        <v>9.5345000000000003E-5</v>
      </c>
      <c r="Q5" s="16">
        <f>FLUID!U6</f>
        <v>2.7830999999999998E-4</v>
      </c>
      <c r="R5" s="16">
        <f>FLUID!V6</f>
        <v>8.5696000000000004E-4</v>
      </c>
      <c r="S5" s="16">
        <f>FLUID!W6</f>
        <v>1.6666000000000001E-3</v>
      </c>
      <c r="T5" s="16">
        <f>FLUID!X6</f>
        <v>1.792E-3</v>
      </c>
      <c r="U5" s="16">
        <f>FLUID!Y6</f>
        <v>1.8621E-3</v>
      </c>
      <c r="V5" s="16">
        <f>FLUID!Z6</f>
        <v>1.869E-3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 x14ac:dyDescent="0.4">
      <c r="A6" s="87" t="str">
        <f>FLUID!E7</f>
        <v>See</v>
      </c>
      <c r="B6" s="16">
        <f>FLUID!F7</f>
        <v>1.4556E-20</v>
      </c>
      <c r="C6" s="16">
        <f>FLUID!G7</f>
        <v>2.5885000000000001E-16</v>
      </c>
      <c r="D6" s="16">
        <f>FLUID!H7</f>
        <v>1.2484E-13</v>
      </c>
      <c r="E6" s="16">
        <f>FLUID!I7</f>
        <v>8.1561999999999995E-12</v>
      </c>
      <c r="F6" s="16">
        <f>FLUID!J7</f>
        <v>1.8798000000000001E-11</v>
      </c>
      <c r="G6" s="16">
        <f>FLUID!K7</f>
        <v>4.0557E-11</v>
      </c>
      <c r="H6" s="16">
        <f>FLUID!L7</f>
        <v>8.2476E-11</v>
      </c>
      <c r="I6" s="16">
        <f>FLUID!M7</f>
        <v>1.5904E-10</v>
      </c>
      <c r="J6" s="16">
        <f>FLUID!N7</f>
        <v>1.4217E-9</v>
      </c>
      <c r="K6" s="16">
        <f>FLUID!O7</f>
        <v>7.5082999999999998E-9</v>
      </c>
      <c r="L6" s="16">
        <f>FLUID!P7</f>
        <v>2.8237E-8</v>
      </c>
      <c r="M6" s="16">
        <f>FLUID!Q7</f>
        <v>1.0597E-7</v>
      </c>
      <c r="N6" s="16">
        <f>FLUID!R7</f>
        <v>1.2673999999999999E-6</v>
      </c>
      <c r="O6" s="16">
        <f>FLUID!S7</f>
        <v>3.3405999999999998E-6</v>
      </c>
      <c r="P6" s="16">
        <f>FLUID!T7</f>
        <v>9.8360000000000004E-6</v>
      </c>
      <c r="Q6" s="16">
        <f>FLUID!U7</f>
        <v>3.1356000000000003E-5</v>
      </c>
      <c r="R6" s="16">
        <f>FLUID!V7</f>
        <v>1.0622E-4</v>
      </c>
      <c r="S6" s="16">
        <f>FLUID!W7</f>
        <v>2.0854000000000001E-4</v>
      </c>
      <c r="T6" s="16">
        <f>FLUID!X7</f>
        <v>2.0446E-4</v>
      </c>
      <c r="U6" s="16">
        <f>FLUID!Y7</f>
        <v>1.9307999999999999E-4</v>
      </c>
      <c r="V6" s="16">
        <f>FLUID!Z7</f>
        <v>1.7545000000000001E-4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 x14ac:dyDescent="0.4">
      <c r="A7" s="87" t="str">
        <f>FLUID!E8</f>
        <v>Se?</v>
      </c>
      <c r="B7" s="16">
        <f>FLUID!F8</f>
        <v>3.4647999999999998E-22</v>
      </c>
      <c r="C7" s="16">
        <f>FLUID!G8</f>
        <v>1.0778999999999999E-17</v>
      </c>
      <c r="D7" s="16">
        <f>FLUID!H8</f>
        <v>7.1349E-15</v>
      </c>
      <c r="E7" s="16">
        <f>FLUID!I8</f>
        <v>5.6384000000000005E-13</v>
      </c>
      <c r="F7" s="16">
        <f>FLUID!J8</f>
        <v>1.3457E-12</v>
      </c>
      <c r="G7" s="16">
        <f>FLUID!K8</f>
        <v>2.9952E-12</v>
      </c>
      <c r="H7" s="16">
        <f>FLUID!L8</f>
        <v>6.2623999999999996E-12</v>
      </c>
      <c r="I7" s="16">
        <f>FLUID!M8</f>
        <v>1.2379E-11</v>
      </c>
      <c r="J7" s="16">
        <f>FLUID!N8</f>
        <v>1.1931E-10</v>
      </c>
      <c r="K7" s="16">
        <f>FLUID!O8</f>
        <v>6.6117E-10</v>
      </c>
      <c r="L7" s="16">
        <f>FLUID!P8</f>
        <v>2.5766E-9</v>
      </c>
      <c r="M7" s="16">
        <f>FLUID!Q8</f>
        <v>1.035E-8</v>
      </c>
      <c r="N7" s="16">
        <f>FLUID!R8</f>
        <v>1.6427E-7</v>
      </c>
      <c r="O7" s="16">
        <f>FLUID!S8</f>
        <v>4.9292999999999995E-7</v>
      </c>
      <c r="P7" s="16">
        <f>FLUID!T8</f>
        <v>1.6812000000000001E-6</v>
      </c>
      <c r="Q7" s="16">
        <f>FLUID!U8</f>
        <v>6.2747000000000002E-6</v>
      </c>
      <c r="R7" s="16">
        <f>FLUID!V8</f>
        <v>2.5007999999999998E-5</v>
      </c>
      <c r="S7" s="16">
        <f>FLUID!W8</f>
        <v>5.2883999999999997E-5</v>
      </c>
      <c r="T7" s="16">
        <f>FLUID!X8</f>
        <v>5.0330000000000001E-5</v>
      </c>
      <c r="U7" s="16">
        <f>FLUID!Y8</f>
        <v>4.5880000000000001E-5</v>
      </c>
      <c r="V7" s="16">
        <f>FLUID!Z8</f>
        <v>4.002E-5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 x14ac:dyDescent="0.4">
      <c r="A8" s="87" t="str">
        <f>FLUID!E9</f>
        <v>Se8</v>
      </c>
      <c r="B8" s="16">
        <f>FLUID!F9</f>
        <v>1.7277E-24</v>
      </c>
      <c r="C8" s="16">
        <f>FLUID!G9</f>
        <v>8.4076000000000004E-20</v>
      </c>
      <c r="D8" s="16">
        <f>FLUID!H9</f>
        <v>7.0900999999999996E-17</v>
      </c>
      <c r="E8" s="16">
        <f>FLUID!I9</f>
        <v>6.4263999999999997E-15</v>
      </c>
      <c r="F8" s="16">
        <f>FLUID!J9</f>
        <v>1.571E-14</v>
      </c>
      <c r="G8" s="16">
        <f>FLUID!K9</f>
        <v>3.5702999999999998E-14</v>
      </c>
      <c r="H8" s="16">
        <f>FLUID!L9</f>
        <v>7.6016000000000001E-14</v>
      </c>
      <c r="I8" s="16">
        <f>FLUID!M9</f>
        <v>1.5265000000000001E-13</v>
      </c>
      <c r="J8" s="16">
        <f>FLUID!N9</f>
        <v>1.5378999999999999E-12</v>
      </c>
      <c r="K8" s="16">
        <f>FLUID!O9</f>
        <v>8.7243000000000007E-12</v>
      </c>
      <c r="L8" s="16">
        <f>FLUID!P9</f>
        <v>3.4524999999999998E-11</v>
      </c>
      <c r="M8" s="16">
        <f>FLUID!Q9</f>
        <v>1.4596000000000001E-10</v>
      </c>
      <c r="N8" s="16">
        <f>FLUID!R9</f>
        <v>3.0306999999999999E-9</v>
      </c>
      <c r="O8" s="16">
        <f>FLUID!S9</f>
        <v>1.0320000000000001E-8</v>
      </c>
      <c r="P8" s="16">
        <f>FLUID!T9</f>
        <v>4.0644000000000003E-8</v>
      </c>
      <c r="Q8" s="16">
        <f>FLUID!U9</f>
        <v>1.7707000000000001E-7</v>
      </c>
      <c r="R8" s="16">
        <f>FLUID!V9</f>
        <v>8.2790000000000005E-7</v>
      </c>
      <c r="S8" s="16">
        <f>FLUID!W9</f>
        <v>1.8805E-6</v>
      </c>
      <c r="T8" s="16">
        <f>FLUID!X9</f>
        <v>1.7325999999999999E-6</v>
      </c>
      <c r="U8" s="16">
        <f>FLUID!Y9</f>
        <v>1.5206999999999999E-6</v>
      </c>
      <c r="V8" s="16">
        <f>FLUID!Z9</f>
        <v>1.2700999999999999E-6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 x14ac:dyDescent="0.4">
      <c r="A9" s="87" t="str">
        <f>FLUID!E10</f>
        <v>Se3</v>
      </c>
      <c r="B9" s="16">
        <f>FLUID!F10</f>
        <v>5.8454000000000003E-27</v>
      </c>
      <c r="C9" s="16">
        <f>FLUID!G10</f>
        <v>8.8488999999999999E-21</v>
      </c>
      <c r="D9" s="16">
        <f>FLUID!H10</f>
        <v>1.0158E-16</v>
      </c>
      <c r="E9" s="16">
        <f>FLUID!I10</f>
        <v>7.2468E-14</v>
      </c>
      <c r="F9" s="16">
        <f>FLUID!J10</f>
        <v>2.7808000000000001E-13</v>
      </c>
      <c r="G9" s="16">
        <f>FLUID!K10</f>
        <v>9.7049000000000004E-13</v>
      </c>
      <c r="H9" s="16">
        <f>FLUID!L10</f>
        <v>3.1093000000000001E-12</v>
      </c>
      <c r="I9" s="16">
        <f>FLUID!M10</f>
        <v>9.2203999999999998E-12</v>
      </c>
      <c r="J9" s="16">
        <f>FLUID!N10</f>
        <v>3.7529999999999999E-10</v>
      </c>
      <c r="K9" s="16">
        <f>FLUID!O10</f>
        <v>6.9360999999999997E-9</v>
      </c>
      <c r="L9" s="16">
        <f>FLUID!P10</f>
        <v>7.3721000000000002E-8</v>
      </c>
      <c r="M9" s="16">
        <f>FLUID!Q10</f>
        <v>5.8714999999999996E-7</v>
      </c>
      <c r="N9" s="16">
        <f>FLUID!R10</f>
        <v>6.7583000000000002E-6</v>
      </c>
      <c r="O9" s="16">
        <f>FLUID!S10</f>
        <v>1.4508000000000001E-5</v>
      </c>
      <c r="P9" s="16">
        <f>FLUID!T10</f>
        <v>3.2805999999999997E-5</v>
      </c>
      <c r="Q9" s="16">
        <f>FLUID!U10</f>
        <v>7.7281999999999996E-5</v>
      </c>
      <c r="R9" s="16">
        <f>FLUID!V10</f>
        <v>1.8950999999999999E-4</v>
      </c>
      <c r="S9" s="16">
        <f>FLUID!W10</f>
        <v>3.4900000000000003E-4</v>
      </c>
      <c r="T9" s="16">
        <f>FLUID!X10</f>
        <v>4.3608999999999998E-4</v>
      </c>
      <c r="U9" s="16">
        <f>FLUID!Y10</f>
        <v>5.3089999999999995E-4</v>
      </c>
      <c r="V9" s="16">
        <f>FLUID!Z10</f>
        <v>6.2951999999999995E-4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 x14ac:dyDescent="0.4">
      <c r="A10" s="87" t="str">
        <f>FLUID!E11</f>
        <v>Se2</v>
      </c>
      <c r="B10" s="16">
        <f>FLUID!F11</f>
        <v>2.9333999999999998E-21</v>
      </c>
      <c r="C10" s="16">
        <f>FLUID!G11</f>
        <v>3.4644000000000001E-16</v>
      </c>
      <c r="D10" s="16">
        <f>FLUID!H11</f>
        <v>7.8729999999999999E-13</v>
      </c>
      <c r="E10" s="16">
        <f>FLUID!I11</f>
        <v>1.8659E-10</v>
      </c>
      <c r="F10" s="16">
        <f>FLUID!J11</f>
        <v>5.7399999999999998E-10</v>
      </c>
      <c r="G10" s="16">
        <f>FLUID!K11</f>
        <v>1.6337000000000001E-9</v>
      </c>
      <c r="H10" s="16">
        <f>FLUID!L11</f>
        <v>4.3346999999999999E-9</v>
      </c>
      <c r="I10" s="16">
        <f>FLUID!M11</f>
        <v>1.0794000000000001E-8</v>
      </c>
      <c r="J10" s="16">
        <f>FLUID!N11</f>
        <v>2.4466000000000002E-7</v>
      </c>
      <c r="K10" s="16">
        <f>FLUID!O11</f>
        <v>2.8889E-6</v>
      </c>
      <c r="L10" s="16">
        <f>FLUID!P11</f>
        <v>2.1503000000000001E-5</v>
      </c>
      <c r="M10" s="16">
        <f>FLUID!Q11</f>
        <v>1.2313E-4</v>
      </c>
      <c r="N10" s="16">
        <f>FLUID!R11</f>
        <v>8.5946999999999998E-4</v>
      </c>
      <c r="O10" s="16">
        <f>FLUID!S11</f>
        <v>1.5439E-3</v>
      </c>
      <c r="P10" s="16">
        <f>FLUID!T11</f>
        <v>2.8768000000000001E-3</v>
      </c>
      <c r="Q10" s="16">
        <f>FLUID!U11</f>
        <v>5.5357999999999996E-3</v>
      </c>
      <c r="R10" s="16">
        <f>FLUID!V11</f>
        <v>1.1055000000000001E-2</v>
      </c>
      <c r="S10" s="16">
        <f>FLUID!W11</f>
        <v>1.814E-2</v>
      </c>
      <c r="T10" s="16">
        <f>FLUID!X11</f>
        <v>2.2447999999999999E-2</v>
      </c>
      <c r="U10" s="16">
        <f>FLUID!Y11</f>
        <v>2.7255000000000001E-2</v>
      </c>
      <c r="V10" s="16">
        <f>FLUID!Z11</f>
        <v>3.2462999999999999E-2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 x14ac:dyDescent="0.4">
      <c r="A11" s="87" t="str">
        <f>FLUID!E12</f>
        <v>Ar</v>
      </c>
      <c r="B11" s="16">
        <f>FLUID!F12</f>
        <v>0.2</v>
      </c>
      <c r="C11" s="16">
        <f>FLUID!G12</f>
        <v>0.2</v>
      </c>
      <c r="D11" s="16">
        <f>FLUID!H12</f>
        <v>0.2</v>
      </c>
      <c r="E11" s="16">
        <f>FLUID!I12</f>
        <v>0.2</v>
      </c>
      <c r="F11" s="16">
        <f>FLUID!J12</f>
        <v>0.2</v>
      </c>
      <c r="G11" s="16">
        <f>FLUID!K12</f>
        <v>0.2</v>
      </c>
      <c r="H11" s="16">
        <f>FLUID!L12</f>
        <v>0.2</v>
      </c>
      <c r="I11" s="16">
        <f>FLUID!M12</f>
        <v>0.2</v>
      </c>
      <c r="J11" s="16">
        <f>FLUID!N12</f>
        <v>0.2</v>
      </c>
      <c r="K11" s="16">
        <f>FLUID!O12</f>
        <v>0.2</v>
      </c>
      <c r="L11" s="16">
        <f>FLUID!P12</f>
        <v>0.2</v>
      </c>
      <c r="M11" s="16">
        <f>FLUID!Q12</f>
        <v>0.2</v>
      </c>
      <c r="N11" s="16">
        <f>FLUID!R12</f>
        <v>0.2</v>
      </c>
      <c r="O11" s="16">
        <f>FLUID!S12</f>
        <v>0.2</v>
      </c>
      <c r="P11" s="16">
        <f>FLUID!T12</f>
        <v>0.2</v>
      </c>
      <c r="Q11" s="16">
        <f>FLUID!U12</f>
        <v>0.2</v>
      </c>
      <c r="R11" s="16">
        <f>FLUID!V12</f>
        <v>0.2</v>
      </c>
      <c r="S11" s="16">
        <f>FLUID!W12</f>
        <v>0.2</v>
      </c>
      <c r="T11" s="16">
        <f>FLUID!X12</f>
        <v>0.2</v>
      </c>
      <c r="U11" s="16">
        <f>FLUID!Y12</f>
        <v>0.2</v>
      </c>
      <c r="V11" s="16">
        <f>FLUID!Z12</f>
        <v>0.2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 x14ac:dyDescent="0.4">
      <c r="A12" s="87" t="str">
        <f>FLUID!E13</f>
        <v>Ga2Se</v>
      </c>
      <c r="B12" s="16">
        <f>FLUID!F13</f>
        <v>0</v>
      </c>
      <c r="C12" s="16">
        <f>FLUID!G13</f>
        <v>0</v>
      </c>
      <c r="D12" s="16">
        <f>FLUID!H13</f>
        <v>1.3333E-31</v>
      </c>
      <c r="E12" s="16">
        <f>FLUID!I13</f>
        <v>1.5226000000000001E-21</v>
      </c>
      <c r="F12" s="16">
        <f>FLUID!J13</f>
        <v>3.3132999999999999E-20</v>
      </c>
      <c r="G12" s="16">
        <f>FLUID!K13</f>
        <v>5.9656999999999998E-19</v>
      </c>
      <c r="H12" s="16">
        <f>FLUID!L13</f>
        <v>9.0484000000000003E-18</v>
      </c>
      <c r="I12" s="16">
        <f>FLUID!M13</f>
        <v>1.1741999999999999E-16</v>
      </c>
      <c r="J12" s="16">
        <f>FLUID!N13</f>
        <v>9.0167000000000003E-13</v>
      </c>
      <c r="K12" s="16">
        <f>FLUID!O13</f>
        <v>1.3494999999999999E-9</v>
      </c>
      <c r="L12" s="16">
        <f>FLUID!P13</f>
        <v>5.9680000000000005E-7</v>
      </c>
      <c r="M12" s="16">
        <f>FLUID!Q13</f>
        <v>9.2739999999999996E-5</v>
      </c>
      <c r="N12" s="16">
        <f>FLUID!R13</f>
        <v>3.6976999999999999E-3</v>
      </c>
      <c r="O12" s="16">
        <f>FLUID!S13</f>
        <v>7.1799000000000003E-3</v>
      </c>
      <c r="P12" s="16">
        <f>FLUID!T13</f>
        <v>1.2964E-2</v>
      </c>
      <c r="Q12" s="16">
        <f>FLUID!U13</f>
        <v>2.2429000000000001E-2</v>
      </c>
      <c r="R12" s="16">
        <f>FLUID!V13</f>
        <v>3.8482000000000002E-2</v>
      </c>
      <c r="S12" s="16">
        <f>FLUID!W13</f>
        <v>5.2121000000000001E-2</v>
      </c>
      <c r="T12" s="16">
        <f>FLUID!X13</f>
        <v>5.2750999999999999E-2</v>
      </c>
      <c r="U12" s="16">
        <f>FLUID!Y13</f>
        <v>5.3317000000000003E-2</v>
      </c>
      <c r="V12" s="16">
        <f>FLUID!Z13</f>
        <v>5.3823000000000003E-2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 x14ac:dyDescent="0.4">
      <c r="A13" s="87" t="str">
        <f>FLUID!E14</f>
        <v>(l)Ga[l]</v>
      </c>
      <c r="B13" s="16">
        <f>FLUID!F14</f>
        <v>9.1088999999999999E-22</v>
      </c>
      <c r="C13" s="16">
        <f>FLUID!G14</f>
        <v>4.6906E-17</v>
      </c>
      <c r="D13" s="16">
        <f>FLUID!H14</f>
        <v>1.2080000000000001E-14</v>
      </c>
      <c r="E13" s="16">
        <f>FLUID!I14</f>
        <v>2.6651999999999998E-10</v>
      </c>
      <c r="F13" s="16">
        <f>FLUID!J14</f>
        <v>9.0158E-10</v>
      </c>
      <c r="G13" s="16">
        <f>FLUID!K14</f>
        <v>2.8396E-9</v>
      </c>
      <c r="H13" s="16">
        <f>FLUID!L14</f>
        <v>8.3817999999999993E-9</v>
      </c>
      <c r="I13" s="16">
        <f>FLUID!M14</f>
        <v>2.3323E-8</v>
      </c>
      <c r="J13" s="16">
        <f>FLUID!N14</f>
        <v>8.5089000000000002E-7</v>
      </c>
      <c r="K13" s="16">
        <f>FLUID!O14</f>
        <v>1.6614999999999999E-5</v>
      </c>
      <c r="L13" s="16">
        <f>FLUID!P14</f>
        <v>2.0236000000000001E-4</v>
      </c>
      <c r="M13" s="16">
        <f>FLUID!Q14</f>
        <v>1.6069000000000001E-3</v>
      </c>
      <c r="N13" s="16">
        <f>FLUID!R14</f>
        <v>6.6831E-3</v>
      </c>
      <c r="O13" s="16">
        <f>FLUID!S14</f>
        <v>8.3858000000000005E-3</v>
      </c>
      <c r="P13" s="16">
        <f>FLUID!T14</f>
        <v>1.0189999999999999E-2</v>
      </c>
      <c r="Q13" s="16">
        <f>FLUID!U14</f>
        <v>1.2215E-2</v>
      </c>
      <c r="R13" s="16">
        <f>FLUID!V14</f>
        <v>1.4723E-2</v>
      </c>
      <c r="S13" s="16">
        <f>FLUID!W14</f>
        <v>1.5758000000000001E-2</v>
      </c>
      <c r="T13" s="16">
        <f>FLUID!X14</f>
        <v>1.4499E-2</v>
      </c>
      <c r="U13" s="16">
        <f>FLUID!Y14</f>
        <v>1.3365999999999999E-2</v>
      </c>
      <c r="V13" s="16">
        <f>FLUID!Z14</f>
        <v>1.2354E-2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 x14ac:dyDescent="0.4">
      <c r="A14" s="87" t="str">
        <f>FLUID!E15</f>
        <v>(1)Ge[l]</v>
      </c>
      <c r="B14" s="16">
        <f>FLUID!F15</f>
        <v>5.9123000000000002E-17</v>
      </c>
      <c r="C14" s="16">
        <f>FLUID!G15</f>
        <v>1.2347999999999999E-13</v>
      </c>
      <c r="D14" s="16">
        <f>FLUID!H15</f>
        <v>2.1607999999999999E-11</v>
      </c>
      <c r="E14" s="16">
        <f>FLUID!I15</f>
        <v>8.9288000000000002E-10</v>
      </c>
      <c r="F14" s="16">
        <f>FLUID!J15</f>
        <v>1.9342999999999998E-9</v>
      </c>
      <c r="G14" s="16">
        <f>FLUID!K15</f>
        <v>3.9836000000000002E-9</v>
      </c>
      <c r="H14" s="16">
        <f>FLUID!L15</f>
        <v>7.8359999999999998E-9</v>
      </c>
      <c r="I14" s="16">
        <f>FLUID!M15</f>
        <v>1.4785E-8</v>
      </c>
      <c r="J14" s="16">
        <f>FLUID!N15</f>
        <v>1.3222E-7</v>
      </c>
      <c r="K14" s="16">
        <f>FLUID!O15</f>
        <v>7.6532999999999998E-7</v>
      </c>
      <c r="L14" s="16">
        <f>FLUID!P15</f>
        <v>3.2049999999999998E-6</v>
      </c>
      <c r="M14" s="16">
        <f>FLUID!Q15</f>
        <v>1.0098999999999999E-5</v>
      </c>
      <c r="N14" s="16">
        <f>FLUID!R15</f>
        <v>2.1146999999999999E-5</v>
      </c>
      <c r="O14" s="16">
        <f>FLUID!S15</f>
        <v>2.3388999999999999E-5</v>
      </c>
      <c r="P14" s="16">
        <f>FLUID!T15</f>
        <v>2.5198000000000002E-5</v>
      </c>
      <c r="Q14" s="16">
        <f>FLUID!U15</f>
        <v>2.6633999999999999E-5</v>
      </c>
      <c r="R14" s="16">
        <f>FLUID!V15</f>
        <v>2.7792000000000001E-5</v>
      </c>
      <c r="S14" s="16">
        <f>FLUID!W15</f>
        <v>3.1439000000000002E-5</v>
      </c>
      <c r="T14" s="16">
        <f>FLUID!X15</f>
        <v>3.9180000000000001E-5</v>
      </c>
      <c r="U14" s="16">
        <f>FLUID!Y15</f>
        <v>4.8766E-5</v>
      </c>
      <c r="V14" s="16">
        <f>FLUID!Z15</f>
        <v>6.0649000000000002E-5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 x14ac:dyDescent="0.4">
      <c r="A15" s="87" t="str">
        <f>FLUID!E16</f>
        <v>(1)Se[l]</v>
      </c>
      <c r="B15" s="16">
        <f>FLUID!F16</f>
        <v>0.04</v>
      </c>
      <c r="C15" s="16">
        <f>FLUID!G16</f>
        <v>0.04</v>
      </c>
      <c r="D15" s="16">
        <f>FLUID!H16</f>
        <v>0.04</v>
      </c>
      <c r="E15" s="16">
        <f>FLUID!I16</f>
        <v>0.04</v>
      </c>
      <c r="F15" s="16">
        <f>FLUID!J16</f>
        <v>0.04</v>
      </c>
      <c r="G15" s="16">
        <f>FLUID!K16</f>
        <v>0.04</v>
      </c>
      <c r="H15" s="16">
        <f>FLUID!L16</f>
        <v>0.04</v>
      </c>
      <c r="I15" s="16">
        <f>FLUID!M16</f>
        <v>0.04</v>
      </c>
      <c r="J15" s="16">
        <f>FLUID!N16</f>
        <v>4.0001000000000002E-2</v>
      </c>
      <c r="K15" s="16">
        <f>FLUID!O16</f>
        <v>4.0028000000000001E-2</v>
      </c>
      <c r="L15" s="16">
        <f>FLUID!P16</f>
        <v>4.0364999999999998E-2</v>
      </c>
      <c r="M15" s="16">
        <f>FLUID!Q16</f>
        <v>4.3247000000000001E-2</v>
      </c>
      <c r="N15" s="16">
        <f>FLUID!R16</f>
        <v>6.2658000000000005E-2</v>
      </c>
      <c r="O15" s="16">
        <f>FLUID!S16</f>
        <v>7.4995000000000006E-2</v>
      </c>
      <c r="P15" s="16">
        <f>FLUID!T16</f>
        <v>9.2871999999999996E-2</v>
      </c>
      <c r="Q15" s="16">
        <f>FLUID!U16</f>
        <v>0.11874999999999999</v>
      </c>
      <c r="R15" s="16">
        <f>FLUID!V16</f>
        <v>0.15695999999999999</v>
      </c>
      <c r="S15" s="16">
        <f>FLUID!W16</f>
        <v>0.18028</v>
      </c>
      <c r="T15" s="16">
        <f>FLUID!X16</f>
        <v>0.17014000000000001</v>
      </c>
      <c r="U15" s="16">
        <f>FLUID!Y16</f>
        <v>0.15939</v>
      </c>
      <c r="V15" s="16">
        <f>FLUID!Z16</f>
        <v>0.14826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 x14ac:dyDescent="0.4">
      <c r="A16" s="87" t="str">
        <f>FLUID!E17</f>
        <v>(1)GeSe[l]</v>
      </c>
      <c r="B16" s="16">
        <f>FLUID!F17</f>
        <v>0.2</v>
      </c>
      <c r="C16" s="16">
        <f>FLUID!G17</f>
        <v>0.2</v>
      </c>
      <c r="D16" s="16">
        <f>FLUID!H17</f>
        <v>0.2</v>
      </c>
      <c r="E16" s="16">
        <f>FLUID!I17</f>
        <v>0.2</v>
      </c>
      <c r="F16" s="16">
        <f>FLUID!J17</f>
        <v>0.2</v>
      </c>
      <c r="G16" s="16">
        <f>FLUID!K17</f>
        <v>0.2</v>
      </c>
      <c r="H16" s="16">
        <f>FLUID!L17</f>
        <v>0.2</v>
      </c>
      <c r="I16" s="16">
        <f>FLUID!M17</f>
        <v>0.2</v>
      </c>
      <c r="J16" s="16">
        <f>FLUID!N17</f>
        <v>0.2</v>
      </c>
      <c r="K16" s="16">
        <f>FLUID!O17</f>
        <v>0.2</v>
      </c>
      <c r="L16" s="16">
        <f>FLUID!P17</f>
        <v>0.2</v>
      </c>
      <c r="M16" s="16">
        <f>FLUID!Q17</f>
        <v>0.19999</v>
      </c>
      <c r="N16" s="16">
        <f>FLUID!R17</f>
        <v>0.19997999999999999</v>
      </c>
      <c r="O16" s="16">
        <f>FLUID!S17</f>
        <v>0.19997999999999999</v>
      </c>
      <c r="P16" s="16">
        <f>FLUID!T17</f>
        <v>0.19997000000000001</v>
      </c>
      <c r="Q16" s="16">
        <f>FLUID!U17</f>
        <v>0.19997000000000001</v>
      </c>
      <c r="R16" s="16">
        <f>FLUID!V17</f>
        <v>0.19997000000000001</v>
      </c>
      <c r="S16" s="16">
        <f>FLUID!W17</f>
        <v>0.19997000000000001</v>
      </c>
      <c r="T16" s="16">
        <f>FLUID!X17</f>
        <v>0.19996</v>
      </c>
      <c r="U16" s="16">
        <f>FLUID!Y17</f>
        <v>0.19994999999999999</v>
      </c>
      <c r="V16" s="16">
        <f>FLUID!Z17</f>
        <v>0.19994000000000001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 x14ac:dyDescent="0.4">
      <c r="A17" s="87" t="str">
        <f>FLUID!E18</f>
        <v>H (Ar)</v>
      </c>
      <c r="B17" s="16">
        <f>FLUID!F18</f>
        <v>-18.62</v>
      </c>
      <c r="C17" s="16">
        <f>FLUID!G18</f>
        <v>-18.63</v>
      </c>
      <c r="D17" s="16">
        <f>FLUID!H18</f>
        <v>-18.72</v>
      </c>
      <c r="E17" s="16">
        <f>FLUID!I18</f>
        <v>-18.84</v>
      </c>
      <c r="F17" s="16">
        <f>FLUID!J18</f>
        <v>-18.87</v>
      </c>
      <c r="G17" s="16">
        <f>FLUID!K18</f>
        <v>-18.899999999999999</v>
      </c>
      <c r="H17" s="16">
        <f>FLUID!L18</f>
        <v>-18.940000000000001</v>
      </c>
      <c r="I17" s="16">
        <f>FLUID!M18</f>
        <v>-18.97</v>
      </c>
      <c r="J17" s="16">
        <f>FLUID!N18</f>
        <v>-19.11</v>
      </c>
      <c r="K17" s="16">
        <f>FLUID!O18</f>
        <v>-19.25</v>
      </c>
      <c r="L17" s="16">
        <f>FLUID!P18</f>
        <v>-19.38</v>
      </c>
      <c r="M17" s="16">
        <f>FLUID!Q18</f>
        <v>-19.510000000000002</v>
      </c>
      <c r="N17" s="16">
        <f>FLUID!R18</f>
        <v>-19.66</v>
      </c>
      <c r="O17" s="16">
        <f>FLUID!S18</f>
        <v>-19.72</v>
      </c>
      <c r="P17" s="16">
        <f>FLUID!T18</f>
        <v>-19.78</v>
      </c>
      <c r="Q17" s="16">
        <f>FLUID!U18</f>
        <v>-19.87</v>
      </c>
      <c r="R17" s="16">
        <f>FLUID!V18</f>
        <v>-19.989999999999998</v>
      </c>
      <c r="S17" s="16">
        <f>FLUID!W18</f>
        <v>-20.100000000000001</v>
      </c>
      <c r="T17" s="16">
        <f>FLUID!X18</f>
        <v>-20.149999999999999</v>
      </c>
      <c r="U17" s="16">
        <f>FLUID!Y18</f>
        <v>-20.2</v>
      </c>
      <c r="V17" s="16">
        <f>FLUID!Z18</f>
        <v>-20.25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 x14ac:dyDescent="0.4">
      <c r="A18" s="87" t="str">
        <f>FLUID!E19</f>
        <v>H (Ga)</v>
      </c>
      <c r="B18" s="16">
        <f>FLUID!F19</f>
        <v>-51.69</v>
      </c>
      <c r="C18" s="16">
        <f>FLUID!G19</f>
        <v>-41.33</v>
      </c>
      <c r="D18" s="16">
        <f>FLUID!H19</f>
        <v>-36.22</v>
      </c>
      <c r="E18" s="16">
        <f>FLUID!I19</f>
        <v>-26.61</v>
      </c>
      <c r="F18" s="16">
        <f>FLUID!J19</f>
        <v>-25.49</v>
      </c>
      <c r="G18" s="16">
        <f>FLUID!K19</f>
        <v>-24.43</v>
      </c>
      <c r="H18" s="16">
        <f>FLUID!L19</f>
        <v>-23.43</v>
      </c>
      <c r="I18" s="16">
        <f>FLUID!M19</f>
        <v>-22.49</v>
      </c>
      <c r="J18" s="16">
        <f>FLUID!N19</f>
        <v>-19.22</v>
      </c>
      <c r="K18" s="16">
        <f>FLUID!O19</f>
        <v>-16.53</v>
      </c>
      <c r="L18" s="16">
        <f>FLUID!P19</f>
        <v>-14.3</v>
      </c>
      <c r="M18" s="16">
        <f>FLUID!Q19</f>
        <v>-12.49</v>
      </c>
      <c r="N18" s="16">
        <f>FLUID!R19</f>
        <v>-11.39</v>
      </c>
      <c r="O18" s="16">
        <f>FLUID!S19</f>
        <v>-11.27</v>
      </c>
      <c r="P18" s="16">
        <f>FLUID!T19</f>
        <v>-11.2</v>
      </c>
      <c r="Q18" s="16">
        <f>FLUID!U19</f>
        <v>-11.16</v>
      </c>
      <c r="R18" s="16">
        <f>FLUID!V19</f>
        <v>-11.14</v>
      </c>
      <c r="S18" s="16">
        <f>FLUID!W19</f>
        <v>-11.19</v>
      </c>
      <c r="T18" s="16">
        <f>FLUID!X19</f>
        <v>-11.29</v>
      </c>
      <c r="U18" s="16">
        <f>FLUID!Y19</f>
        <v>-11.39</v>
      </c>
      <c r="V18" s="16">
        <f>FLUID!Z19</f>
        <v>-11.48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 x14ac:dyDescent="0.4">
      <c r="A19" s="87" t="str">
        <f>FLUID!E20</f>
        <v>H (Ge)</v>
      </c>
      <c r="B19" s="16">
        <f>FLUID!F20</f>
        <v>-27.38</v>
      </c>
      <c r="C19" s="16">
        <f>FLUID!G20</f>
        <v>-22.79</v>
      </c>
      <c r="D19" s="16">
        <f>FLUID!H20</f>
        <v>-19.79</v>
      </c>
      <c r="E19" s="16">
        <f>FLUID!I20</f>
        <v>-17.71</v>
      </c>
      <c r="F19" s="16">
        <f>FLUID!J20</f>
        <v>-17.28</v>
      </c>
      <c r="G19" s="16">
        <f>FLUID!K20</f>
        <v>-16.89</v>
      </c>
      <c r="H19" s="16">
        <f>FLUID!L20</f>
        <v>-16.53</v>
      </c>
      <c r="I19" s="16">
        <f>FLUID!M20</f>
        <v>-16.190000000000001</v>
      </c>
      <c r="J19" s="16">
        <f>FLUID!N20</f>
        <v>-15.05</v>
      </c>
      <c r="K19" s="16">
        <f>FLUID!O20</f>
        <v>-14.18</v>
      </c>
      <c r="L19" s="16">
        <f>FLUID!P20</f>
        <v>-13.5</v>
      </c>
      <c r="M19" s="16">
        <f>FLUID!Q20</f>
        <v>-13.02</v>
      </c>
      <c r="N19" s="16">
        <f>FLUID!R20</f>
        <v>-12.95</v>
      </c>
      <c r="O19" s="16">
        <f>FLUID!S20</f>
        <v>-13.04</v>
      </c>
      <c r="P19" s="16">
        <f>FLUID!T20</f>
        <v>-13.16</v>
      </c>
      <c r="Q19" s="16">
        <f>FLUID!U20</f>
        <v>-13.32</v>
      </c>
      <c r="R19" s="16">
        <f>FLUID!V20</f>
        <v>-13.51</v>
      </c>
      <c r="S19" s="16">
        <f>FLUID!W20</f>
        <v>-13.57</v>
      </c>
      <c r="T19" s="16">
        <f>FLUID!X20</f>
        <v>-13.44</v>
      </c>
      <c r="U19" s="16">
        <f>FLUID!Y20</f>
        <v>-13.3</v>
      </c>
      <c r="V19" s="16">
        <f>FLUID!Z20</f>
        <v>-13.16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 x14ac:dyDescent="0.4">
      <c r="A20" s="87" t="str">
        <f>FLUID!E21</f>
        <v>H (Se)</v>
      </c>
      <c r="B20" s="16">
        <f>FLUID!F21</f>
        <v>-5.9809999999999999</v>
      </c>
      <c r="C20" s="16">
        <f>FLUID!G21</f>
        <v>-6.3330000000000002</v>
      </c>
      <c r="D20" s="16">
        <f>FLUID!H21</f>
        <v>-6.7210000000000001</v>
      </c>
      <c r="E20" s="16">
        <f>FLUID!I21</f>
        <v>-7.1050000000000004</v>
      </c>
      <c r="F20" s="16">
        <f>FLUID!J21</f>
        <v>-7.1980000000000004</v>
      </c>
      <c r="G20" s="16">
        <f>FLUID!K21</f>
        <v>-7.29</v>
      </c>
      <c r="H20" s="16">
        <f>FLUID!L21</f>
        <v>-7.3810000000000002</v>
      </c>
      <c r="I20" s="16">
        <f>FLUID!M21</f>
        <v>-7.47</v>
      </c>
      <c r="J20" s="16">
        <f>FLUID!N21</f>
        <v>-7.8120000000000003</v>
      </c>
      <c r="K20" s="16">
        <f>FLUID!O21</f>
        <v>-8.1310000000000002</v>
      </c>
      <c r="L20" s="16">
        <f>FLUID!P21</f>
        <v>-8.4220000000000006</v>
      </c>
      <c r="M20" s="16">
        <f>FLUID!Q21</f>
        <v>-8.65</v>
      </c>
      <c r="N20" s="16">
        <f>FLUID!R21</f>
        <v>-8.6359999999999992</v>
      </c>
      <c r="O20" s="16">
        <f>FLUID!S21</f>
        <v>-8.57</v>
      </c>
      <c r="P20" s="16">
        <f>FLUID!T21</f>
        <v>-8.4849999999999994</v>
      </c>
      <c r="Q20" s="16">
        <f>FLUID!U21</f>
        <v>-8.3879999999999999</v>
      </c>
      <c r="R20" s="16">
        <f>FLUID!V21</f>
        <v>-8.2859999999999996</v>
      </c>
      <c r="S20" s="16">
        <f>FLUID!W21</f>
        <v>-8.27</v>
      </c>
      <c r="T20" s="16">
        <f>FLUID!X21</f>
        <v>-8.3569999999999993</v>
      </c>
      <c r="U20" s="16">
        <f>FLUID!Y21</f>
        <v>-8.4489999999999998</v>
      </c>
      <c r="V20" s="16">
        <f>FLUID!Z21</f>
        <v>-8.5459999999999994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 x14ac:dyDescent="0.4">
      <c r="A21" s="87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 x14ac:dyDescent="0.4">
      <c r="A22" s="87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 x14ac:dyDescent="0.4">
      <c r="A23" s="87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 x14ac:dyDescent="0.4">
      <c r="A24" s="87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 x14ac:dyDescent="0.4">
      <c r="A25" s="87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 x14ac:dyDescent="0.4">
      <c r="A26" s="87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 x14ac:dyDescent="0.4">
      <c r="A27" s="87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 x14ac:dyDescent="0.4">
      <c r="A28" s="87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 x14ac:dyDescent="0.4">
      <c r="A29" s="87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 x14ac:dyDescent="0.4">
      <c r="A30" s="87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 x14ac:dyDescent="0.4">
      <c r="A31" s="87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 x14ac:dyDescent="0.4">
      <c r="A32" s="87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1</v>
      </c>
      <c r="N32" s="16">
        <f>FLUID!R33</f>
        <v>1</v>
      </c>
      <c r="O32" s="16">
        <f>FLUID!S33</f>
        <v>1</v>
      </c>
      <c r="P32" s="16">
        <f>FLUID!T33</f>
        <v>1</v>
      </c>
      <c r="Q32" s="16">
        <f>FLUID!U33</f>
        <v>1</v>
      </c>
      <c r="R32" s="16">
        <f>FLUID!V33</f>
        <v>1</v>
      </c>
      <c r="S32" s="16">
        <f>FLUID!W33</f>
        <v>1</v>
      </c>
      <c r="T32" s="16">
        <f>FLUID!X33</f>
        <v>1</v>
      </c>
      <c r="U32" s="16">
        <f>FLUID!Y33</f>
        <v>1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 x14ac:dyDescent="0.4"/>
    <row r="34" spans="1:72" ht="22.5" thickTop="1" thickBot="1" x14ac:dyDescent="0.4">
      <c r="A34" s="90" t="s">
        <v>28</v>
      </c>
      <c r="B34" s="62">
        <f>IFERROR(SOLID!F3,0)</f>
        <v>0</v>
      </c>
      <c r="C34" s="62">
        <f>IFERROR(SOLID!G3,0)</f>
        <v>0</v>
      </c>
      <c r="D34" s="62">
        <f>IFERROR(SOLID!H3,0)</f>
        <v>0</v>
      </c>
      <c r="E34" s="62">
        <f>IFERROR(SOLID!I3,0)</f>
        <v>0</v>
      </c>
      <c r="F34" s="62">
        <f>IFERROR(SOLID!J3,0)</f>
        <v>0</v>
      </c>
      <c r="G34" s="62">
        <f>IFERROR(SOLID!K3,0)</f>
        <v>0</v>
      </c>
      <c r="H34" s="62">
        <f>IFERROR(SOLID!L3,0)</f>
        <v>0</v>
      </c>
      <c r="I34" s="62">
        <f>IFERROR(SOLID!M3,0)</f>
        <v>0</v>
      </c>
      <c r="J34" s="62">
        <f>IFERROR(SOLID!N3,0)</f>
        <v>0</v>
      </c>
      <c r="K34" s="62">
        <f>IFERROR(SOLID!O3,0)</f>
        <v>0</v>
      </c>
      <c r="L34" s="62">
        <f>IFERROR(SOLID!P3,0)</f>
        <v>0</v>
      </c>
      <c r="M34" s="62">
        <f>IFERROR(SOLID!Q3,0)</f>
        <v>0</v>
      </c>
      <c r="N34" s="62">
        <f>IFERROR(SOLID!R3,0)</f>
        <v>0</v>
      </c>
      <c r="O34" s="62">
        <f>IFERROR(SOLID!S3,0)</f>
        <v>0</v>
      </c>
      <c r="P34" s="62">
        <f>IFERROR(SOLID!T3,0)</f>
        <v>0</v>
      </c>
      <c r="Q34" s="62">
        <f>IFERROR(SOLID!U3,0)</f>
        <v>0</v>
      </c>
      <c r="R34" s="62">
        <f>IFERROR(SOLID!V3,0)</f>
        <v>0</v>
      </c>
      <c r="S34" s="62">
        <f>IFERROR(SOLID!W3,0)</f>
        <v>0</v>
      </c>
      <c r="T34" s="62">
        <f>IFERROR(SOLID!X3,0)</f>
        <v>0</v>
      </c>
      <c r="U34" s="62">
        <f>IFERROR(SOLID!Y3,0)</f>
        <v>0</v>
      </c>
      <c r="V34" s="62">
        <f>IFERROR(SOLID!Z3,0)</f>
        <v>0</v>
      </c>
      <c r="W34" s="62">
        <f>IFERROR(SOLID!AA3,0)</f>
        <v>0</v>
      </c>
      <c r="X34" s="62">
        <f>IFERROR(SOLID!AB3,0)</f>
        <v>0</v>
      </c>
      <c r="Y34" s="62">
        <f>IFERROR(SOLID!AC3,0)</f>
        <v>0</v>
      </c>
      <c r="Z34" s="62">
        <f>IFERROR(SOLID!AD3,0)</f>
        <v>0</v>
      </c>
      <c r="AA34" s="62">
        <f>IFERROR(SOLID!AE3,0)</f>
        <v>0</v>
      </c>
      <c r="AB34" s="62">
        <f>IFERROR(SOLID!AF3,0)</f>
        <v>0</v>
      </c>
      <c r="AC34" s="62">
        <f>IFERROR(SOLID!AG3,0)</f>
        <v>0</v>
      </c>
      <c r="AD34" s="62">
        <f>IFERROR(SOLID!AH3,0)</f>
        <v>0</v>
      </c>
      <c r="AE34" s="62">
        <f>IFERROR(SOLID!AI3,0)</f>
        <v>0</v>
      </c>
      <c r="AF34" s="62">
        <f>IFERROR(SOLID!AJ3,0)</f>
        <v>0</v>
      </c>
      <c r="AG34" s="62">
        <f>IFERROR(SOLID!AK3,0)</f>
        <v>0</v>
      </c>
      <c r="AH34" s="62">
        <f>IFERROR(SOLID!AL3,0)</f>
        <v>0</v>
      </c>
      <c r="AI34" s="62">
        <f>IFERROR(SOLID!AM3,0)</f>
        <v>0</v>
      </c>
      <c r="AJ34" s="62">
        <f>IFERROR(SOLID!AN3,0)</f>
        <v>0</v>
      </c>
      <c r="AK34" s="62">
        <f>IFERROR(SOLID!AO3,0)</f>
        <v>0</v>
      </c>
      <c r="AL34" s="62">
        <f>IFERROR(SOLID!AP3,0)</f>
        <v>0</v>
      </c>
      <c r="AM34" s="62">
        <f>IFERROR(SOLID!AQ3,0)</f>
        <v>0</v>
      </c>
      <c r="AN34" s="62">
        <f>IFERROR(SOLID!AR3,0)</f>
        <v>0</v>
      </c>
      <c r="AO34" s="62">
        <f>IFERROR(SOLID!AS3,0)</f>
        <v>0</v>
      </c>
      <c r="AP34" s="62">
        <f>IFERROR(SOLID!AT3,0)</f>
        <v>0</v>
      </c>
      <c r="AQ34" s="62">
        <f>IFERROR(SOLID!AU3,0)</f>
        <v>0</v>
      </c>
      <c r="AR34" s="62">
        <f>IFERROR(SOLID!AV3,0)</f>
        <v>0</v>
      </c>
      <c r="AS34" s="62">
        <f>IFERROR(SOLID!AW3,0)</f>
        <v>0</v>
      </c>
      <c r="AT34" s="62">
        <f>IFERROR(SOLID!AX3,0)</f>
        <v>0</v>
      </c>
      <c r="AU34" s="62">
        <f>IFERROR(SOLID!AY3,0)</f>
        <v>0</v>
      </c>
      <c r="AV34" s="62">
        <f>IFERROR(SOLID!AZ3,0)</f>
        <v>0</v>
      </c>
      <c r="AW34" s="62">
        <f>IFERROR(SOLID!BA3,0)</f>
        <v>0</v>
      </c>
      <c r="AX34" s="62">
        <f>IFERROR(SOLID!BB3,0)</f>
        <v>0</v>
      </c>
      <c r="AY34" s="62">
        <f>IFERROR(SOLID!BC3,0)</f>
        <v>0</v>
      </c>
      <c r="AZ34" s="62">
        <f>IFERROR(SOLID!BD3,0)</f>
        <v>0</v>
      </c>
      <c r="BA34" s="62">
        <f>IFERROR(SOLID!BE3,0)</f>
        <v>0</v>
      </c>
      <c r="BB34" s="62">
        <f>IFERROR(SOLID!BF3,0)</f>
        <v>0</v>
      </c>
      <c r="BC34" s="62">
        <f>IFERROR(SOLID!BG3,0)</f>
        <v>0</v>
      </c>
      <c r="BD34" s="62">
        <f>IFERROR(SOLID!BH3,0)</f>
        <v>0</v>
      </c>
      <c r="BE34" s="62">
        <f>IFERROR(SOLID!BI3,0)</f>
        <v>0</v>
      </c>
      <c r="BF34" s="62">
        <f>IFERROR(SOLID!BJ3,0)</f>
        <v>0</v>
      </c>
      <c r="BG34" s="62">
        <f>IFERROR(SOLID!BK3,0)</f>
        <v>0</v>
      </c>
      <c r="BH34" s="62">
        <f>IFERROR(SOLID!BL3,0)</f>
        <v>0</v>
      </c>
      <c r="BI34" s="62">
        <f>IFERROR(SOLID!BM3,0)</f>
        <v>0</v>
      </c>
      <c r="BJ34" s="62">
        <f>IFERROR(SOLID!BN3,0)</f>
        <v>0</v>
      </c>
      <c r="BK34" s="62">
        <f>IFERROR(SOLID!BO3,0)</f>
        <v>0</v>
      </c>
      <c r="BL34" s="62">
        <f>IFERROR(SOLID!BP3,0)</f>
        <v>0</v>
      </c>
      <c r="BM34" s="62">
        <f>IFERROR(SOLID!BQ3,0)</f>
        <v>0</v>
      </c>
      <c r="BN34" s="62">
        <f>IFERROR(SOLID!BR3,0)</f>
        <v>0</v>
      </c>
      <c r="BO34" s="62">
        <f>IFERROR(SOLID!BS3,0)</f>
        <v>0</v>
      </c>
      <c r="BP34" s="62">
        <f>IFERROR(SOLID!BT3,0)</f>
        <v>0</v>
      </c>
      <c r="BQ34" s="62">
        <f>IFERROR(SOLID!BU3,0)</f>
        <v>0</v>
      </c>
      <c r="BR34" s="62">
        <f>IFERROR(SOLID!BV3,0)</f>
        <v>0</v>
      </c>
      <c r="BS34" s="62">
        <f>IFERROR(SOLID!BW3,0)</f>
        <v>0</v>
      </c>
      <c r="BT34" s="62">
        <f>IFERROR(SOLID!BX3,0)</f>
        <v>0</v>
      </c>
    </row>
    <row r="35" spans="1:72" ht="22.5" hidden="1" outlineLevel="1" thickTop="1" thickBot="1" x14ac:dyDescent="0.4">
      <c r="A35" s="87">
        <f>IFERROR(SOLID!E4,0)</f>
        <v>0</v>
      </c>
      <c r="B35" s="16">
        <f>IFERROR(SOLID!F4,0)</f>
        <v>0</v>
      </c>
      <c r="C35" s="16">
        <f>IFERROR(SOLID!G4,0)</f>
        <v>0</v>
      </c>
      <c r="D35" s="16">
        <f>IFERROR(SOLID!H4,0)</f>
        <v>0</v>
      </c>
      <c r="E35" s="16">
        <f>IFERROR(SOLID!I4,0)</f>
        <v>0</v>
      </c>
      <c r="F35" s="16">
        <f>IFERROR(SOLID!J4,0)</f>
        <v>0</v>
      </c>
      <c r="G35" s="16">
        <f>IFERROR(SOLID!K4,0)</f>
        <v>0</v>
      </c>
      <c r="H35" s="16">
        <f>IFERROR(SOLID!L4,0)</f>
        <v>0</v>
      </c>
      <c r="I35" s="16">
        <f>IFERROR(SOLID!M4,0)</f>
        <v>0</v>
      </c>
      <c r="J35" s="16">
        <f>IFERROR(SOLID!N4,0)</f>
        <v>0</v>
      </c>
      <c r="K35" s="16">
        <f>IFERROR(SOLID!O4,0)</f>
        <v>0</v>
      </c>
      <c r="L35" s="16">
        <f>IFERROR(SOLID!P4,0)</f>
        <v>0</v>
      </c>
      <c r="M35" s="16">
        <f>IFERROR(SOLID!Q4,0)</f>
        <v>0</v>
      </c>
      <c r="N35" s="16">
        <f>IFERROR(SOLID!R4,0)</f>
        <v>0</v>
      </c>
      <c r="O35" s="16">
        <f>IFERROR(SOLID!S4,0)</f>
        <v>0</v>
      </c>
      <c r="P35" s="16">
        <f>IFERROR(SOLID!T4,0)</f>
        <v>0</v>
      </c>
      <c r="Q35" s="16">
        <f>IFERROR(SOLID!U4,0)</f>
        <v>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 x14ac:dyDescent="0.4">
      <c r="A36" s="87">
        <f>IFERROR(SOLID!E5,0)</f>
        <v>0</v>
      </c>
      <c r="B36" s="16">
        <f>IFERROR(SOLID!F5,0)</f>
        <v>0</v>
      </c>
      <c r="C36" s="16">
        <f>IFERROR(SOLID!G5,0)</f>
        <v>0</v>
      </c>
      <c r="D36" s="16">
        <f>IFERROR(SOLID!H5,0)</f>
        <v>0</v>
      </c>
      <c r="E36" s="16">
        <f>IFERROR(SOLID!I5,0)</f>
        <v>0</v>
      </c>
      <c r="F36" s="16">
        <f>IFERROR(SOLID!J5,0)</f>
        <v>0</v>
      </c>
      <c r="G36" s="16">
        <f>IFERROR(SOLID!K5,0)</f>
        <v>0</v>
      </c>
      <c r="H36" s="16">
        <f>IFERROR(SOLID!L5,0)</f>
        <v>0</v>
      </c>
      <c r="I36" s="16">
        <f>IFERROR(SOLID!M5,0)</f>
        <v>0</v>
      </c>
      <c r="J36" s="16">
        <f>IFERROR(SOLID!N5,0)</f>
        <v>0</v>
      </c>
      <c r="K36" s="16">
        <f>IFERROR(SOLID!O5,0)</f>
        <v>0</v>
      </c>
      <c r="L36" s="16">
        <f>IFERROR(SOLID!P5,0)</f>
        <v>0</v>
      </c>
      <c r="M36" s="16">
        <f>IFERROR(SOLID!Q5,0)</f>
        <v>0</v>
      </c>
      <c r="N36" s="16">
        <f>IFERROR(SOLID!R5,0)</f>
        <v>0</v>
      </c>
      <c r="O36" s="16">
        <f>IFERROR(SOLID!S5,0)</f>
        <v>0</v>
      </c>
      <c r="P36" s="16">
        <f>IFERROR(SOLID!T5,0)</f>
        <v>0</v>
      </c>
      <c r="Q36" s="16">
        <f>IFERROR(SOLID!U5,0)</f>
        <v>0</v>
      </c>
      <c r="R36" s="16">
        <f>IFERROR(SOLID!V5,0)</f>
        <v>0</v>
      </c>
      <c r="S36" s="16">
        <f>IFERROR(SOLID!W5,0)</f>
        <v>0</v>
      </c>
      <c r="T36" s="16">
        <f>IFERROR(SOLID!X5,0)</f>
        <v>0</v>
      </c>
      <c r="U36" s="16">
        <f>IFERROR(SOLID!Y5,0)</f>
        <v>0</v>
      </c>
      <c r="V36" s="16">
        <f>IFERROR(SOLID!Z5,0)</f>
        <v>0</v>
      </c>
      <c r="W36" s="16">
        <f>IFERROR(SOLID!AA5,0)</f>
        <v>0</v>
      </c>
      <c r="X36" s="16">
        <f>IFERROR(SOLID!AB5,0)</f>
        <v>0</v>
      </c>
      <c r="Y36" s="16">
        <f>IFERROR(SOLID!AC5,0)</f>
        <v>0</v>
      </c>
      <c r="Z36" s="16">
        <f>IFERROR(SOLID!AD5,0)</f>
        <v>0</v>
      </c>
      <c r="AA36" s="16">
        <f>IFERROR(SOLID!AE5,0)</f>
        <v>0</v>
      </c>
      <c r="AB36" s="16">
        <f>IFERROR(SOLID!AF5,0)</f>
        <v>0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 x14ac:dyDescent="0.4">
      <c r="A37" s="87">
        <f>IFERROR(SOLID!E6,0)</f>
        <v>0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0</v>
      </c>
      <c r="I37" s="16">
        <f>IFERROR(SOLID!M6,0)</f>
        <v>0</v>
      </c>
      <c r="J37" s="16">
        <f>IFERROR(SOLID!N6,0)</f>
        <v>0</v>
      </c>
      <c r="K37" s="16">
        <f>IFERROR(SOLID!O6,0)</f>
        <v>0</v>
      </c>
      <c r="L37" s="16">
        <f>IFERROR(SOLID!P6,0)</f>
        <v>0</v>
      </c>
      <c r="M37" s="16">
        <f>IFERROR(SOLID!Q6,0)</f>
        <v>0</v>
      </c>
      <c r="N37" s="16">
        <f>IFERROR(SOLID!R6,0)</f>
        <v>0</v>
      </c>
      <c r="O37" s="16">
        <f>IFERROR(SOLID!S6,0)</f>
        <v>0</v>
      </c>
      <c r="P37" s="16">
        <f>IFERROR(SOLID!T6,0)</f>
        <v>0</v>
      </c>
      <c r="Q37" s="16">
        <f>IFERROR(SOLID!U6,0)</f>
        <v>0</v>
      </c>
      <c r="R37" s="16">
        <f>IFERROR(SOLID!V6,0)</f>
        <v>0</v>
      </c>
      <c r="S37" s="16">
        <f>IFERROR(SOLID!W6,0)</f>
        <v>0</v>
      </c>
      <c r="T37" s="16">
        <f>IFERROR(SOLID!X6,0)</f>
        <v>0</v>
      </c>
      <c r="U37" s="16">
        <f>IFERROR(SOLID!Y6,0)</f>
        <v>0</v>
      </c>
      <c r="V37" s="16">
        <f>IFERROR(SOLID!Z6,0)</f>
        <v>0</v>
      </c>
      <c r="W37" s="16">
        <f>IFERROR(SOLID!AA6,0)</f>
        <v>0</v>
      </c>
      <c r="X37" s="16">
        <f>IFERROR(SOLID!AB6,0)</f>
        <v>0</v>
      </c>
      <c r="Y37" s="16">
        <f>IFERROR(SOLID!AC6,0)</f>
        <v>0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 x14ac:dyDescent="0.4">
      <c r="A38" s="87">
        <f>IFERROR(SOLID!E7,0)</f>
        <v>0</v>
      </c>
      <c r="B38" s="16">
        <f>IFERROR(SOLID!F7,0)</f>
        <v>0</v>
      </c>
      <c r="C38" s="16">
        <f>IFERROR(SOLID!G7,0)</f>
        <v>0</v>
      </c>
      <c r="D38" s="16">
        <f>IFERROR(SOLID!H7,0)</f>
        <v>0</v>
      </c>
      <c r="E38" s="16">
        <f>IFERROR(SOLID!I7,0)</f>
        <v>0</v>
      </c>
      <c r="F38" s="16">
        <f>IFERROR(SOLID!J7,0)</f>
        <v>0</v>
      </c>
      <c r="G38" s="16">
        <f>IFERROR(SOLID!K7,0)</f>
        <v>0</v>
      </c>
      <c r="H38" s="16">
        <f>IFERROR(SOLID!L7,0)</f>
        <v>0</v>
      </c>
      <c r="I38" s="16">
        <f>IFERROR(SOLID!M7,0)</f>
        <v>0</v>
      </c>
      <c r="J38" s="16">
        <f>IFERROR(SOLID!N7,0)</f>
        <v>0</v>
      </c>
      <c r="K38" s="16">
        <f>IFERROR(SOLID!O7,0)</f>
        <v>0</v>
      </c>
      <c r="L38" s="16">
        <f>IFERROR(SOLID!P7,0)</f>
        <v>0</v>
      </c>
      <c r="M38" s="16">
        <f>IFERROR(SOLID!Q7,0)</f>
        <v>0</v>
      </c>
      <c r="N38" s="16">
        <f>IFERROR(SOLID!R7,0)</f>
        <v>0</v>
      </c>
      <c r="O38" s="16">
        <f>IFERROR(SOLID!S7,0)</f>
        <v>0</v>
      </c>
      <c r="P38" s="16">
        <f>IFERROR(SOLID!T7,0)</f>
        <v>0</v>
      </c>
      <c r="Q38" s="16">
        <f>IFERROR(SOLID!U7,0)</f>
        <v>0</v>
      </c>
      <c r="R38" s="16">
        <f>IFERROR(SOLID!V7,0)</f>
        <v>0</v>
      </c>
      <c r="S38" s="16">
        <f>IFERROR(SOLID!W7,0)</f>
        <v>0</v>
      </c>
      <c r="T38" s="16">
        <f>IFERROR(SOLID!X7,0)</f>
        <v>0</v>
      </c>
      <c r="U38" s="16">
        <f>IFERROR(SOLID!Y7,0)</f>
        <v>0</v>
      </c>
      <c r="V38" s="16">
        <f>IFERROR(SOLID!Z7,0)</f>
        <v>0</v>
      </c>
      <c r="W38" s="16">
        <f>IFERROR(SOLID!AA7,0)</f>
        <v>0</v>
      </c>
      <c r="X38" s="16">
        <f>IFERROR(SOLID!AB7,0)</f>
        <v>0</v>
      </c>
      <c r="Y38" s="16">
        <f>IFERROR(SOLID!AC7,0)</f>
        <v>0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 x14ac:dyDescent="0.4">
      <c r="A39" s="87">
        <f>IFERROR(SOLID!E8,0)</f>
        <v>0</v>
      </c>
      <c r="B39" s="16">
        <f>IFERROR(SOLID!F8,0)</f>
        <v>0</v>
      </c>
      <c r="C39" s="16">
        <f>IFERROR(SOLID!G8,0)</f>
        <v>0</v>
      </c>
      <c r="D39" s="16">
        <f>IFERROR(SOLID!H8,0)</f>
        <v>0</v>
      </c>
      <c r="E39" s="16">
        <f>IFERROR(SOLID!I8,0)</f>
        <v>0</v>
      </c>
      <c r="F39" s="16">
        <f>IFERROR(SOLID!J8,0)</f>
        <v>0</v>
      </c>
      <c r="G39" s="16">
        <f>IFERROR(SOLID!K8,0)</f>
        <v>0</v>
      </c>
      <c r="H39" s="16">
        <f>IFERROR(SOLID!L8,0)</f>
        <v>0</v>
      </c>
      <c r="I39" s="16">
        <f>IFERROR(SOLID!M8,0)</f>
        <v>0</v>
      </c>
      <c r="J39" s="16">
        <f>IFERROR(SOLID!N8,0)</f>
        <v>0</v>
      </c>
      <c r="K39" s="16">
        <f>IFERROR(SOLID!O8,0)</f>
        <v>0</v>
      </c>
      <c r="L39" s="16">
        <f>IFERROR(SOLID!P8,0)</f>
        <v>0</v>
      </c>
      <c r="M39" s="16">
        <f>IFERROR(SOLID!Q8,0)</f>
        <v>0</v>
      </c>
      <c r="N39" s="16">
        <f>IFERROR(SOLID!R8,0)</f>
        <v>0</v>
      </c>
      <c r="O39" s="16">
        <f>IFERROR(SOLID!S8,0)</f>
        <v>0</v>
      </c>
      <c r="P39" s="16">
        <f>IFERROR(SOLID!T8,0)</f>
        <v>0</v>
      </c>
      <c r="Q39" s="16">
        <f>IFERROR(SOLID!U8,0)</f>
        <v>0</v>
      </c>
      <c r="R39" s="16">
        <f>IFERROR(SOLID!V8,0)</f>
        <v>0</v>
      </c>
      <c r="S39" s="16">
        <f>IFERROR(SOLID!W8,0)</f>
        <v>0</v>
      </c>
      <c r="T39" s="16">
        <f>IFERROR(SOLID!X8,0)</f>
        <v>0</v>
      </c>
      <c r="U39" s="16">
        <f>IFERROR(SOLID!Y8,0)</f>
        <v>0</v>
      </c>
      <c r="V39" s="16">
        <f>IFERROR(SOLID!Z8,0)</f>
        <v>0</v>
      </c>
      <c r="W39" s="16">
        <f>IFERROR(SOLID!AA8,0)</f>
        <v>0</v>
      </c>
      <c r="X39" s="16">
        <f>IFERROR(SOLID!AB8,0)</f>
        <v>0</v>
      </c>
      <c r="Y39" s="16">
        <f>IFERROR(SOLID!AC8,0)</f>
        <v>0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 x14ac:dyDescent="0.4">
      <c r="A40" s="87">
        <f>IFERROR(SOLID!E9,0)</f>
        <v>0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0</v>
      </c>
      <c r="F40" s="16">
        <f>IFERROR(SOLID!J9,0)</f>
        <v>0</v>
      </c>
      <c r="G40" s="16">
        <f>IFERROR(SOLID!K9,0)</f>
        <v>0</v>
      </c>
      <c r="H40" s="16">
        <f>IFERROR(SOLID!L9,0)</f>
        <v>0</v>
      </c>
      <c r="I40" s="16">
        <f>IFERROR(SOLID!M9,0)</f>
        <v>0</v>
      </c>
      <c r="J40" s="16">
        <f>IFERROR(SOLID!N9,0)</f>
        <v>0</v>
      </c>
      <c r="K40" s="16">
        <f>IFERROR(SOLID!O9,0)</f>
        <v>0</v>
      </c>
      <c r="L40" s="16">
        <f>IFERROR(SOLID!P9,0)</f>
        <v>0</v>
      </c>
      <c r="M40" s="16">
        <f>IFERROR(SOLID!Q9,0)</f>
        <v>0</v>
      </c>
      <c r="N40" s="16">
        <f>IFERROR(SOLID!R9,0)</f>
        <v>0</v>
      </c>
      <c r="O40" s="16">
        <f>IFERROR(SOLID!S9,0)</f>
        <v>0</v>
      </c>
      <c r="P40" s="16">
        <f>IFERROR(SOLID!T9,0)</f>
        <v>0</v>
      </c>
      <c r="Q40" s="16">
        <f>IFERROR(SOLID!U9,0)</f>
        <v>0</v>
      </c>
      <c r="R40" s="16">
        <f>IFERROR(SOLID!V9,0)</f>
        <v>0</v>
      </c>
      <c r="S40" s="16">
        <f>IFERROR(SOLID!W9,0)</f>
        <v>0</v>
      </c>
      <c r="T40" s="16">
        <f>IFERROR(SOLID!X9,0)</f>
        <v>0</v>
      </c>
      <c r="U40" s="16">
        <f>IFERROR(SOLID!Y9,0)</f>
        <v>0</v>
      </c>
      <c r="V40" s="16">
        <f>IFERROR(SOLID!Z9,0)</f>
        <v>0</v>
      </c>
      <c r="W40" s="16">
        <f>IFERROR(SOLID!AA9,0)</f>
        <v>0</v>
      </c>
      <c r="X40" s="16">
        <f>IFERROR(SOLID!AB9,0)</f>
        <v>0</v>
      </c>
      <c r="Y40" s="16">
        <f>IFERROR(SOLID!AC9,0)</f>
        <v>0</v>
      </c>
      <c r="Z40" s="16">
        <f>IFERROR(SOLID!AD9,0)</f>
        <v>0</v>
      </c>
      <c r="AA40" s="16">
        <f>IFERROR(SOLID!AE9,0)</f>
        <v>0</v>
      </c>
      <c r="AB40" s="16">
        <f>IFERROR(SOLID!AF9,0)</f>
        <v>0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 x14ac:dyDescent="0.4">
      <c r="A41" s="87">
        <f>IFERROR(SOLID!E10,0)</f>
        <v>0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0</v>
      </c>
      <c r="F41" s="16">
        <f>IFERROR(SOLID!J10,0)</f>
        <v>0</v>
      </c>
      <c r="G41" s="16">
        <f>IFERROR(SOLID!K10,0)</f>
        <v>0</v>
      </c>
      <c r="H41" s="16">
        <f>IFERROR(SOLID!L10,0)</f>
        <v>0</v>
      </c>
      <c r="I41" s="16">
        <f>IFERROR(SOLID!M10,0)</f>
        <v>0</v>
      </c>
      <c r="J41" s="16">
        <f>IFERROR(SOLID!N10,0)</f>
        <v>0</v>
      </c>
      <c r="K41" s="16">
        <f>IFERROR(SOLID!O10,0)</f>
        <v>0</v>
      </c>
      <c r="L41" s="16">
        <f>IFERROR(SOLID!P10,0)</f>
        <v>0</v>
      </c>
      <c r="M41" s="16">
        <f>IFERROR(SOLID!Q10,0)</f>
        <v>0</v>
      </c>
      <c r="N41" s="16">
        <f>IFERROR(SOLID!R10,0)</f>
        <v>0</v>
      </c>
      <c r="O41" s="16">
        <f>IFERROR(SOLID!S10,0)</f>
        <v>0</v>
      </c>
      <c r="P41" s="16">
        <f>IFERROR(SOLID!T10,0)</f>
        <v>0</v>
      </c>
      <c r="Q41" s="16">
        <f>IFERROR(SOLID!U10,0)</f>
        <v>0</v>
      </c>
      <c r="R41" s="16">
        <f>IFERROR(SOLID!V10,0)</f>
        <v>0</v>
      </c>
      <c r="S41" s="16">
        <f>IFERROR(SOLID!W10,0)</f>
        <v>0</v>
      </c>
      <c r="T41" s="16">
        <f>IFERROR(SOLID!X10,0)</f>
        <v>0</v>
      </c>
      <c r="U41" s="16">
        <f>IFERROR(SOLID!Y10,0)</f>
        <v>0</v>
      </c>
      <c r="V41" s="16">
        <f>IFERROR(SOLID!Z10,0)</f>
        <v>0</v>
      </c>
      <c r="W41" s="16">
        <f>IFERROR(SOLID!AA10,0)</f>
        <v>0</v>
      </c>
      <c r="X41" s="16">
        <f>IFERROR(SOLID!AB10,0)</f>
        <v>0</v>
      </c>
      <c r="Y41" s="16">
        <f>IFERROR(SOLID!AC10,0)</f>
        <v>0</v>
      </c>
      <c r="Z41" s="16">
        <f>IFERROR(SOLID!AD10,0)</f>
        <v>0</v>
      </c>
      <c r="AA41" s="16">
        <f>IFERROR(SOLID!AE10,0)</f>
        <v>0</v>
      </c>
      <c r="AB41" s="16">
        <f>IFERROR(SOLID!AF10,0)</f>
        <v>0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 x14ac:dyDescent="0.4">
      <c r="A42" s="87">
        <f>IFERROR(SOLID!E11,0)</f>
        <v>0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0</v>
      </c>
      <c r="F42" s="16">
        <f>IFERROR(SOLID!J11,0)</f>
        <v>0</v>
      </c>
      <c r="G42" s="16">
        <f>IFERROR(SOLID!K11,0)</f>
        <v>0</v>
      </c>
      <c r="H42" s="16">
        <f>IFERROR(SOLID!L11,0)</f>
        <v>0</v>
      </c>
      <c r="I42" s="16">
        <f>IFERROR(SOLID!M11,0)</f>
        <v>0</v>
      </c>
      <c r="J42" s="16">
        <f>IFERROR(SOLID!N11,0)</f>
        <v>0</v>
      </c>
      <c r="K42" s="16">
        <f>IFERROR(SOLID!O11,0)</f>
        <v>0</v>
      </c>
      <c r="L42" s="16">
        <f>IFERROR(SOLID!P11,0)</f>
        <v>0</v>
      </c>
      <c r="M42" s="16">
        <f>IFERROR(SOLID!Q11,0)</f>
        <v>0</v>
      </c>
      <c r="N42" s="16">
        <f>IFERROR(SOLID!R11,0)</f>
        <v>0</v>
      </c>
      <c r="O42" s="16">
        <f>IFERROR(SOLID!S11,0)</f>
        <v>0</v>
      </c>
      <c r="P42" s="16">
        <f>IFERROR(SOLID!T11,0)</f>
        <v>0</v>
      </c>
      <c r="Q42" s="16">
        <f>IFERROR(SOLID!U11,0)</f>
        <v>0</v>
      </c>
      <c r="R42" s="16">
        <f>IFERROR(SOLID!V11,0)</f>
        <v>0</v>
      </c>
      <c r="S42" s="16">
        <f>IFERROR(SOLID!W11,0)</f>
        <v>0</v>
      </c>
      <c r="T42" s="16">
        <f>IFERROR(SOLID!X11,0)</f>
        <v>0</v>
      </c>
      <c r="U42" s="16">
        <f>IFERROR(SOLID!Y11,0)</f>
        <v>0</v>
      </c>
      <c r="V42" s="16">
        <f>IFERROR(SOLID!Z11,0)</f>
        <v>0</v>
      </c>
      <c r="W42" s="16">
        <f>IFERROR(SOLID!AA11,0)</f>
        <v>0</v>
      </c>
      <c r="X42" s="16">
        <f>IFERROR(SOLID!AB11,0)</f>
        <v>0</v>
      </c>
      <c r="Y42" s="16">
        <f>IFERROR(SOLID!AC11,0)</f>
        <v>0</v>
      </c>
      <c r="Z42" s="16">
        <f>IFERROR(SOLID!AD11,0)</f>
        <v>0</v>
      </c>
      <c r="AA42" s="16">
        <f>IFERROR(SOLID!AE11,0)</f>
        <v>0</v>
      </c>
      <c r="AB42" s="16">
        <f>IFERROR(SOLID!AF11,0)</f>
        <v>0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 x14ac:dyDescent="0.4">
      <c r="A43" s="87">
        <f>IFERROR(SOLID!E12,0)</f>
        <v>0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0</v>
      </c>
      <c r="F43" s="16">
        <f>IFERROR(SOLID!J12,0)</f>
        <v>0</v>
      </c>
      <c r="G43" s="16">
        <f>IFERROR(SOLID!K12,0)</f>
        <v>0</v>
      </c>
      <c r="H43" s="16">
        <f>IFERROR(SOLID!L12,0)</f>
        <v>0</v>
      </c>
      <c r="I43" s="16">
        <f>IFERROR(SOLID!M12,0)</f>
        <v>0</v>
      </c>
      <c r="J43" s="16">
        <f>IFERROR(SOLID!N12,0)</f>
        <v>0</v>
      </c>
      <c r="K43" s="16">
        <f>IFERROR(SOLID!O12,0)</f>
        <v>0</v>
      </c>
      <c r="L43" s="16">
        <f>IFERROR(SOLID!P12,0)</f>
        <v>0</v>
      </c>
      <c r="M43" s="16">
        <f>IFERROR(SOLID!Q12,0)</f>
        <v>0</v>
      </c>
      <c r="N43" s="16">
        <f>IFERROR(SOLID!R12,0)</f>
        <v>0</v>
      </c>
      <c r="O43" s="16">
        <f>IFERROR(SOLID!S12,0)</f>
        <v>0</v>
      </c>
      <c r="P43" s="16">
        <f>IFERROR(SOLID!T12,0)</f>
        <v>0</v>
      </c>
      <c r="Q43" s="16">
        <f>IFERROR(SOLID!U12,0)</f>
        <v>0</v>
      </c>
      <c r="R43" s="16">
        <f>IFERROR(SOLID!V12,0)</f>
        <v>0</v>
      </c>
      <c r="S43" s="16">
        <f>IFERROR(SOLID!W12,0)</f>
        <v>0</v>
      </c>
      <c r="T43" s="16">
        <f>IFERROR(SOLID!X12,0)</f>
        <v>0</v>
      </c>
      <c r="U43" s="16">
        <f>IFERROR(SOLID!Y12,0)</f>
        <v>0</v>
      </c>
      <c r="V43" s="16">
        <f>IFERROR(SOLID!Z12,0)</f>
        <v>0</v>
      </c>
      <c r="W43" s="16">
        <f>IFERROR(SOLID!AA12,0)</f>
        <v>0</v>
      </c>
      <c r="X43" s="16">
        <f>IFERROR(SOLID!AB12,0)</f>
        <v>0</v>
      </c>
      <c r="Y43" s="16">
        <f>IFERROR(SOLID!AC12,0)</f>
        <v>0</v>
      </c>
      <c r="Z43" s="16">
        <f>IFERROR(SOLID!AD12,0)</f>
        <v>0</v>
      </c>
      <c r="AA43" s="16">
        <f>IFERROR(SOLID!AE12,0)</f>
        <v>0</v>
      </c>
      <c r="AB43" s="16">
        <f>IFERROR(SOLID!AF12,0)</f>
        <v>0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 x14ac:dyDescent="0.4">
      <c r="A44" s="87">
        <f>IFERROR(SOLID!E13,0)</f>
        <v>0</v>
      </c>
      <c r="B44" s="16">
        <f>IFERROR(SOLID!F13,0)</f>
        <v>0</v>
      </c>
      <c r="C44" s="16">
        <f>IFERROR(SOLID!G13,0)</f>
        <v>0</v>
      </c>
      <c r="D44" s="16">
        <f>IFERROR(SOLID!H13,0)</f>
        <v>0</v>
      </c>
      <c r="E44" s="16">
        <f>IFERROR(SOLID!I13,0)</f>
        <v>0</v>
      </c>
      <c r="F44" s="16">
        <f>IFERROR(SOLID!J13,0)</f>
        <v>0</v>
      </c>
      <c r="G44" s="16">
        <f>IFERROR(SOLID!K13,0)</f>
        <v>0</v>
      </c>
      <c r="H44" s="16">
        <f>IFERROR(SOLID!L13,0)</f>
        <v>0</v>
      </c>
      <c r="I44" s="16">
        <f>IFERROR(SOLID!M13,0)</f>
        <v>0</v>
      </c>
      <c r="J44" s="16">
        <f>IFERROR(SOLID!N13,0)</f>
        <v>0</v>
      </c>
      <c r="K44" s="16">
        <f>IFERROR(SOLID!O13,0)</f>
        <v>0</v>
      </c>
      <c r="L44" s="16">
        <f>IFERROR(SOLID!P13,0)</f>
        <v>0</v>
      </c>
      <c r="M44" s="16">
        <f>IFERROR(SOLID!Q13,0)</f>
        <v>0</v>
      </c>
      <c r="N44" s="16">
        <f>IFERROR(SOLID!R13,0)</f>
        <v>0</v>
      </c>
      <c r="O44" s="16">
        <f>IFERROR(SOLID!S13,0)</f>
        <v>0</v>
      </c>
      <c r="P44" s="16">
        <f>IFERROR(SOLID!T13,0)</f>
        <v>0</v>
      </c>
      <c r="Q44" s="16">
        <f>IFERROR(SOLID!U13,0)</f>
        <v>0</v>
      </c>
      <c r="R44" s="16">
        <f>IFERROR(SOLID!V13,0)</f>
        <v>0</v>
      </c>
      <c r="S44" s="16">
        <f>IFERROR(SOLID!W13,0)</f>
        <v>0</v>
      </c>
      <c r="T44" s="16">
        <f>IFERROR(SOLID!X13,0)</f>
        <v>0</v>
      </c>
      <c r="U44" s="16">
        <f>IFERROR(SOLID!Y13,0)</f>
        <v>0</v>
      </c>
      <c r="V44" s="16">
        <f>IFERROR(SOLID!Z13,0)</f>
        <v>0</v>
      </c>
      <c r="W44" s="16">
        <f>IFERROR(SOLID!AA13,0)</f>
        <v>0</v>
      </c>
      <c r="X44" s="16">
        <f>IFERROR(SOLID!AB13,0)</f>
        <v>0</v>
      </c>
      <c r="Y44" s="16">
        <f>IFERROR(SOLID!AC13,0)</f>
        <v>0</v>
      </c>
      <c r="Z44" s="16">
        <f>IFERROR(SOLID!AD13,0)</f>
        <v>0</v>
      </c>
      <c r="AA44" s="16">
        <f>IFERROR(SOLID!AE13,0)</f>
        <v>0</v>
      </c>
      <c r="AB44" s="16">
        <f>IFERROR(SOLID!AF13,0)</f>
        <v>0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 x14ac:dyDescent="0.4">
      <c r="A45" s="87">
        <f>IFERROR(SOLID!E14,0)</f>
        <v>0</v>
      </c>
      <c r="B45" s="16">
        <f>IFERROR(SOLID!F14,0)</f>
        <v>0</v>
      </c>
      <c r="C45" s="16">
        <f>IFERROR(SOLID!G14,0)</f>
        <v>0</v>
      </c>
      <c r="D45" s="16">
        <f>IFERROR(SOLID!H14,0)</f>
        <v>0</v>
      </c>
      <c r="E45" s="16">
        <f>IFERROR(SOLID!I14,0)</f>
        <v>0</v>
      </c>
      <c r="F45" s="16">
        <f>IFERROR(SOLID!J14,0)</f>
        <v>0</v>
      </c>
      <c r="G45" s="16">
        <f>IFERROR(SOLID!K14,0)</f>
        <v>0</v>
      </c>
      <c r="H45" s="16">
        <f>IFERROR(SOLID!L14,0)</f>
        <v>0</v>
      </c>
      <c r="I45" s="16">
        <f>IFERROR(SOLID!M14,0)</f>
        <v>0</v>
      </c>
      <c r="J45" s="16">
        <f>IFERROR(SOLID!N14,0)</f>
        <v>0</v>
      </c>
      <c r="K45" s="16">
        <f>IFERROR(SOLID!O14,0)</f>
        <v>0</v>
      </c>
      <c r="L45" s="16">
        <f>IFERROR(SOLID!P14,0)</f>
        <v>0</v>
      </c>
      <c r="M45" s="16">
        <f>IFERROR(SOLID!Q14,0)</f>
        <v>0</v>
      </c>
      <c r="N45" s="16">
        <f>IFERROR(SOLID!R14,0)</f>
        <v>0</v>
      </c>
      <c r="O45" s="16">
        <f>IFERROR(SOLID!S14,0)</f>
        <v>0</v>
      </c>
      <c r="P45" s="16">
        <f>IFERROR(SOLID!T14,0)</f>
        <v>0</v>
      </c>
      <c r="Q45" s="16">
        <f>IFERROR(SOLID!U14,0)</f>
        <v>0</v>
      </c>
      <c r="R45" s="16">
        <f>IFERROR(SOLID!V14,0)</f>
        <v>0</v>
      </c>
      <c r="S45" s="16">
        <f>IFERROR(SOLID!W14,0)</f>
        <v>0</v>
      </c>
      <c r="T45" s="16">
        <f>IFERROR(SOLID!X14,0)</f>
        <v>0</v>
      </c>
      <c r="U45" s="16">
        <f>IFERROR(SOLID!Y14,0)</f>
        <v>0</v>
      </c>
      <c r="V45" s="16">
        <f>IFERROR(SOLID!Z14,0)</f>
        <v>0</v>
      </c>
      <c r="W45" s="16">
        <f>IFERROR(SOLID!AA14,0)</f>
        <v>0</v>
      </c>
      <c r="X45" s="16">
        <f>IFERROR(SOLID!AB14,0)</f>
        <v>0</v>
      </c>
      <c r="Y45" s="16">
        <f>IFERROR(SOLID!AC14,0)</f>
        <v>0</v>
      </c>
      <c r="Z45" s="16">
        <f>IFERROR(SOLID!AD14,0)</f>
        <v>0</v>
      </c>
      <c r="AA45" s="16">
        <f>IFERROR(SOLID!AE14,0)</f>
        <v>0</v>
      </c>
      <c r="AB45" s="16">
        <f>IFERROR(SOLID!AF14,0)</f>
        <v>0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 x14ac:dyDescent="0.4">
      <c r="A46" s="87">
        <f>IFERROR(SOLID!E15,0)</f>
        <v>0</v>
      </c>
      <c r="B46" s="16">
        <f>IFERROR(SOLID!F15,0)</f>
        <v>0</v>
      </c>
      <c r="C46" s="16">
        <f>IFERROR(SOLID!G15,0)</f>
        <v>0</v>
      </c>
      <c r="D46" s="16">
        <f>IFERROR(SOLID!H15,0)</f>
        <v>0</v>
      </c>
      <c r="E46" s="16">
        <f>IFERROR(SOLID!I15,0)</f>
        <v>0</v>
      </c>
      <c r="F46" s="16">
        <f>IFERROR(SOLID!J15,0)</f>
        <v>0</v>
      </c>
      <c r="G46" s="16">
        <f>IFERROR(SOLID!K15,0)</f>
        <v>0</v>
      </c>
      <c r="H46" s="16">
        <f>IFERROR(SOLID!L15,0)</f>
        <v>0</v>
      </c>
      <c r="I46" s="16">
        <f>IFERROR(SOLID!M15,0)</f>
        <v>0</v>
      </c>
      <c r="J46" s="16">
        <f>IFERROR(SOLID!N15,0)</f>
        <v>0</v>
      </c>
      <c r="K46" s="16">
        <f>IFERROR(SOLID!O15,0)</f>
        <v>0</v>
      </c>
      <c r="L46" s="16">
        <f>IFERROR(SOLID!P15,0)</f>
        <v>0</v>
      </c>
      <c r="M46" s="16">
        <f>IFERROR(SOLID!Q15,0)</f>
        <v>0</v>
      </c>
      <c r="N46" s="16">
        <f>IFERROR(SOLID!R15,0)</f>
        <v>0</v>
      </c>
      <c r="O46" s="16">
        <f>IFERROR(SOLID!S15,0)</f>
        <v>0</v>
      </c>
      <c r="P46" s="16">
        <f>IFERROR(SOLID!T15,0)</f>
        <v>0</v>
      </c>
      <c r="Q46" s="16">
        <f>IFERROR(SOLID!U15,0)</f>
        <v>0</v>
      </c>
      <c r="R46" s="16">
        <f>IFERROR(SOLID!V15,0)</f>
        <v>0</v>
      </c>
      <c r="S46" s="16">
        <f>IFERROR(SOLID!W15,0)</f>
        <v>0</v>
      </c>
      <c r="T46" s="16">
        <f>IFERROR(SOLID!X15,0)</f>
        <v>0</v>
      </c>
      <c r="U46" s="16">
        <f>IFERROR(SOLID!Y15,0)</f>
        <v>0</v>
      </c>
      <c r="V46" s="16">
        <f>IFERROR(SOLID!Z15,0)</f>
        <v>0</v>
      </c>
      <c r="W46" s="16">
        <f>IFERROR(SOLID!AA15,0)</f>
        <v>0</v>
      </c>
      <c r="X46" s="16">
        <f>IFERROR(SOLID!AB15,0)</f>
        <v>0</v>
      </c>
      <c r="Y46" s="16">
        <f>IFERROR(SOLID!AC15,0)</f>
        <v>0</v>
      </c>
      <c r="Z46" s="16">
        <f>IFERROR(SOLID!AD15,0)</f>
        <v>0</v>
      </c>
      <c r="AA46" s="16">
        <f>IFERROR(SOLID!AE15,0)</f>
        <v>0</v>
      </c>
      <c r="AB46" s="16">
        <f>IFERROR(SOLID!AF15,0)</f>
        <v>0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 x14ac:dyDescent="0.4">
      <c r="A47" s="87">
        <f>IFERROR(SOLID!E16,0)</f>
        <v>0</v>
      </c>
      <c r="B47" s="16">
        <f>IFERROR(SOLID!F16,0)</f>
        <v>0</v>
      </c>
      <c r="C47" s="16">
        <f>IFERROR(SOLID!G16,0)</f>
        <v>0</v>
      </c>
      <c r="D47" s="16">
        <f>IFERROR(SOLID!H16,0)</f>
        <v>0</v>
      </c>
      <c r="E47" s="16">
        <f>IFERROR(SOLID!I16,0)</f>
        <v>0</v>
      </c>
      <c r="F47" s="16">
        <f>IFERROR(SOLID!J16,0)</f>
        <v>0</v>
      </c>
      <c r="G47" s="16">
        <f>IFERROR(SOLID!K16,0)</f>
        <v>0</v>
      </c>
      <c r="H47" s="16">
        <f>IFERROR(SOLID!L16,0)</f>
        <v>0</v>
      </c>
      <c r="I47" s="16">
        <f>IFERROR(SOLID!M16,0)</f>
        <v>0</v>
      </c>
      <c r="J47" s="16">
        <f>IFERROR(SOLID!N16,0)</f>
        <v>0</v>
      </c>
      <c r="K47" s="16">
        <f>IFERROR(SOLID!O16,0)</f>
        <v>0</v>
      </c>
      <c r="L47" s="16">
        <f>IFERROR(SOLID!P16,0)</f>
        <v>0</v>
      </c>
      <c r="M47" s="16">
        <f>IFERROR(SOLID!Q16,0)</f>
        <v>0</v>
      </c>
      <c r="N47" s="16">
        <f>IFERROR(SOLID!R16,0)</f>
        <v>0</v>
      </c>
      <c r="O47" s="16">
        <f>IFERROR(SOLID!S16,0)</f>
        <v>0</v>
      </c>
      <c r="P47" s="16">
        <f>IFERROR(SOLID!T16,0)</f>
        <v>0</v>
      </c>
      <c r="Q47" s="16">
        <f>IFERROR(SOLID!U16,0)</f>
        <v>0</v>
      </c>
      <c r="R47" s="16">
        <f>IFERROR(SOLID!V16,0)</f>
        <v>0</v>
      </c>
      <c r="S47" s="16">
        <f>IFERROR(SOLID!W16,0)</f>
        <v>0</v>
      </c>
      <c r="T47" s="16">
        <f>IFERROR(SOLID!X16,0)</f>
        <v>0</v>
      </c>
      <c r="U47" s="16">
        <f>IFERROR(SOLID!Y16,0)</f>
        <v>0</v>
      </c>
      <c r="V47" s="16">
        <f>IFERROR(SOLID!Z16,0)</f>
        <v>0</v>
      </c>
      <c r="W47" s="16">
        <f>IFERROR(SOLID!AA16,0)</f>
        <v>0</v>
      </c>
      <c r="X47" s="16">
        <f>IFERROR(SOLID!AB16,0)</f>
        <v>0</v>
      </c>
      <c r="Y47" s="16">
        <f>IFERROR(SOLID!AC16,0)</f>
        <v>0</v>
      </c>
      <c r="Z47" s="16">
        <f>IFERROR(SOLID!AD16,0)</f>
        <v>0</v>
      </c>
      <c r="AA47" s="16">
        <f>IFERROR(SOLID!AE16,0)</f>
        <v>0</v>
      </c>
      <c r="AB47" s="16">
        <f>IFERROR(SOLID!AF16,0)</f>
        <v>0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 x14ac:dyDescent="0.4">
      <c r="A48" s="87">
        <f>IFERROR(SOLID!E17,0)</f>
        <v>0</v>
      </c>
      <c r="B48" s="16">
        <f>IFERROR(SOLID!F17,0)</f>
        <v>0</v>
      </c>
      <c r="C48" s="16">
        <f>IFERROR(SOLID!G17,0)</f>
        <v>0</v>
      </c>
      <c r="D48" s="16">
        <f>IFERROR(SOLID!H17,0)</f>
        <v>0</v>
      </c>
      <c r="E48" s="16">
        <f>IFERROR(SOLID!I17,0)</f>
        <v>0</v>
      </c>
      <c r="F48" s="16">
        <f>IFERROR(SOLID!J17,0)</f>
        <v>0</v>
      </c>
      <c r="G48" s="16">
        <f>IFERROR(SOLID!K17,0)</f>
        <v>0</v>
      </c>
      <c r="H48" s="16">
        <f>IFERROR(SOLID!L17,0)</f>
        <v>0</v>
      </c>
      <c r="I48" s="16">
        <f>IFERROR(SOLID!M17,0)</f>
        <v>0</v>
      </c>
      <c r="J48" s="16">
        <f>IFERROR(SOLID!N17,0)</f>
        <v>0</v>
      </c>
      <c r="K48" s="16">
        <f>IFERROR(SOLID!O17,0)</f>
        <v>0</v>
      </c>
      <c r="L48" s="16">
        <f>IFERROR(SOLID!P17,0)</f>
        <v>0</v>
      </c>
      <c r="M48" s="16">
        <f>IFERROR(SOLID!Q17,0)</f>
        <v>0</v>
      </c>
      <c r="N48" s="16">
        <f>IFERROR(SOLID!R17,0)</f>
        <v>0</v>
      </c>
      <c r="O48" s="16">
        <f>IFERROR(SOLID!S17,0)</f>
        <v>0</v>
      </c>
      <c r="P48" s="16">
        <f>IFERROR(SOLID!T17,0)</f>
        <v>0</v>
      </c>
      <c r="Q48" s="16">
        <f>IFERROR(SOLID!U17,0)</f>
        <v>0</v>
      </c>
      <c r="R48" s="16">
        <f>IFERROR(SOLID!V17,0)</f>
        <v>0</v>
      </c>
      <c r="S48" s="16">
        <f>IFERROR(SOLID!W17,0)</f>
        <v>0</v>
      </c>
      <c r="T48" s="16">
        <f>IFERROR(SOLID!X17,0)</f>
        <v>0</v>
      </c>
      <c r="U48" s="16">
        <f>IFERROR(SOLID!Y17,0)</f>
        <v>0</v>
      </c>
      <c r="V48" s="16">
        <f>IFERROR(SOLID!Z17,0)</f>
        <v>0</v>
      </c>
      <c r="W48" s="16">
        <f>IFERROR(SOLID!AA17,0)</f>
        <v>0</v>
      </c>
      <c r="X48" s="16">
        <f>IFERROR(SOLID!AB17,0)</f>
        <v>0</v>
      </c>
      <c r="Y48" s="16">
        <f>IFERROR(SOLID!AC17,0)</f>
        <v>0</v>
      </c>
      <c r="Z48" s="16">
        <f>IFERROR(SOLID!AD17,0)</f>
        <v>0</v>
      </c>
      <c r="AA48" s="16">
        <f>IFERROR(SOLID!AE17,0)</f>
        <v>0</v>
      </c>
      <c r="AB48" s="16">
        <f>IFERROR(SOLID!AF17,0)</f>
        <v>0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 x14ac:dyDescent="0.4">
      <c r="A49" s="87">
        <f>IFERROR(SOLID!E18,0)</f>
        <v>0</v>
      </c>
      <c r="B49" s="16">
        <f>IFERROR(SOLID!F18,0)</f>
        <v>0</v>
      </c>
      <c r="C49" s="16">
        <f>IFERROR(SOLID!G18,0)</f>
        <v>0</v>
      </c>
      <c r="D49" s="16">
        <f>IFERROR(SOLID!H18,0)</f>
        <v>0</v>
      </c>
      <c r="E49" s="16">
        <f>IFERROR(SOLID!I18,0)</f>
        <v>0</v>
      </c>
      <c r="F49" s="16">
        <f>IFERROR(SOLID!J18,0)</f>
        <v>0</v>
      </c>
      <c r="G49" s="16">
        <f>IFERROR(SOLID!K18,0)</f>
        <v>0</v>
      </c>
      <c r="H49" s="16">
        <f>IFERROR(SOLID!L18,0)</f>
        <v>0</v>
      </c>
      <c r="I49" s="16">
        <f>IFERROR(SOLID!M18,0)</f>
        <v>0</v>
      </c>
      <c r="J49" s="16">
        <f>IFERROR(SOLID!N18,0)</f>
        <v>0</v>
      </c>
      <c r="K49" s="16">
        <f>IFERROR(SOLID!O18,0)</f>
        <v>0</v>
      </c>
      <c r="L49" s="16">
        <f>IFERROR(SOLID!P18,0)</f>
        <v>0</v>
      </c>
      <c r="M49" s="16">
        <f>IFERROR(SOLID!Q18,0)</f>
        <v>0</v>
      </c>
      <c r="N49" s="16">
        <f>IFERROR(SOLID!R18,0)</f>
        <v>0</v>
      </c>
      <c r="O49" s="16">
        <f>IFERROR(SOLID!S18,0)</f>
        <v>0</v>
      </c>
      <c r="P49" s="16">
        <f>IFERROR(SOLID!T18,0)</f>
        <v>0</v>
      </c>
      <c r="Q49" s="16">
        <f>IFERROR(SOLID!U18,0)</f>
        <v>0</v>
      </c>
      <c r="R49" s="16">
        <f>IFERROR(SOLID!V18,0)</f>
        <v>0</v>
      </c>
      <c r="S49" s="16">
        <f>IFERROR(SOLID!W18,0)</f>
        <v>0</v>
      </c>
      <c r="T49" s="16">
        <f>IFERROR(SOLID!X18,0)</f>
        <v>0</v>
      </c>
      <c r="U49" s="16">
        <f>IFERROR(SOLID!Y18,0)</f>
        <v>0</v>
      </c>
      <c r="V49" s="16">
        <f>IFERROR(SOLID!Z18,0)</f>
        <v>0</v>
      </c>
      <c r="W49" s="16">
        <f>IFERROR(SOLID!AA18,0)</f>
        <v>0</v>
      </c>
      <c r="X49" s="16">
        <f>IFERROR(SOLID!AB18,0)</f>
        <v>0</v>
      </c>
      <c r="Y49" s="16">
        <f>IFERROR(SOLID!AC18,0)</f>
        <v>0</v>
      </c>
      <c r="Z49" s="16">
        <f>IFERROR(SOLID!AD18,0)</f>
        <v>0</v>
      </c>
      <c r="AA49" s="16">
        <f>IFERROR(SOLID!AE18,0)</f>
        <v>0</v>
      </c>
      <c r="AB49" s="16">
        <f>IFERROR(SOLID!AF18,0)</f>
        <v>0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 x14ac:dyDescent="0.4">
      <c r="A50" s="87">
        <f>IFERROR(SOLID!E19,0)</f>
        <v>0</v>
      </c>
      <c r="B50" s="16">
        <f>IFERROR(SOLID!F19,0)</f>
        <v>0</v>
      </c>
      <c r="C50" s="16">
        <f>IFERROR(SOLID!G19,0)</f>
        <v>0</v>
      </c>
      <c r="D50" s="16">
        <f>IFERROR(SOLID!H19,0)</f>
        <v>0</v>
      </c>
      <c r="E50" s="16">
        <f>IFERROR(SOLID!I19,0)</f>
        <v>0</v>
      </c>
      <c r="F50" s="16">
        <f>IFERROR(SOLID!J19,0)</f>
        <v>0</v>
      </c>
      <c r="G50" s="16">
        <f>IFERROR(SOLID!K19,0)</f>
        <v>0</v>
      </c>
      <c r="H50" s="16">
        <f>IFERROR(SOLID!L19,0)</f>
        <v>0</v>
      </c>
      <c r="I50" s="16">
        <f>IFERROR(SOLID!M19,0)</f>
        <v>0</v>
      </c>
      <c r="J50" s="16">
        <f>IFERROR(SOLID!N19,0)</f>
        <v>0</v>
      </c>
      <c r="K50" s="16">
        <f>IFERROR(SOLID!O19,0)</f>
        <v>0</v>
      </c>
      <c r="L50" s="16">
        <f>IFERROR(SOLID!P19,0)</f>
        <v>0</v>
      </c>
      <c r="M50" s="16">
        <f>IFERROR(SOLID!Q19,0)</f>
        <v>0</v>
      </c>
      <c r="N50" s="16">
        <f>IFERROR(SOLID!R19,0)</f>
        <v>0</v>
      </c>
      <c r="O50" s="16">
        <f>IFERROR(SOLID!S19,0)</f>
        <v>0</v>
      </c>
      <c r="P50" s="16">
        <f>IFERROR(SOLID!T19,0)</f>
        <v>0</v>
      </c>
      <c r="Q50" s="16">
        <f>IFERROR(SOLID!U19,0)</f>
        <v>0</v>
      </c>
      <c r="R50" s="16">
        <f>IFERROR(SOLID!V19,0)</f>
        <v>0</v>
      </c>
      <c r="S50" s="16">
        <f>IFERROR(SOLID!W19,0)</f>
        <v>0</v>
      </c>
      <c r="T50" s="16">
        <f>IFERROR(SOLID!X19,0)</f>
        <v>0</v>
      </c>
      <c r="U50" s="16">
        <f>IFERROR(SOLID!Y19,0)</f>
        <v>0</v>
      </c>
      <c r="V50" s="16">
        <f>IFERROR(SOLID!Z19,0)</f>
        <v>0</v>
      </c>
      <c r="W50" s="16">
        <f>IFERROR(SOLID!AA19,0)</f>
        <v>0</v>
      </c>
      <c r="X50" s="16">
        <f>IFERROR(SOLID!AB19,0)</f>
        <v>0</v>
      </c>
      <c r="Y50" s="16">
        <f>IFERROR(SOLID!AC19,0)</f>
        <v>0</v>
      </c>
      <c r="Z50" s="16">
        <f>IFERROR(SOLID!AD19,0)</f>
        <v>0</v>
      </c>
      <c r="AA50" s="16">
        <f>IFERROR(SOLID!AE19,0)</f>
        <v>0</v>
      </c>
      <c r="AB50" s="16">
        <f>IFERROR(SOLID!AF19,0)</f>
        <v>0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 x14ac:dyDescent="0.4">
      <c r="A51" s="87">
        <f>IFERROR(SOLID!E20,0)</f>
        <v>0</v>
      </c>
      <c r="B51" s="16">
        <f>IFERROR(SOLID!F20,0)</f>
        <v>0</v>
      </c>
      <c r="C51" s="16">
        <f>IFERROR(SOLID!G20,0)</f>
        <v>0</v>
      </c>
      <c r="D51" s="16">
        <f>IFERROR(SOLID!H20,0)</f>
        <v>0</v>
      </c>
      <c r="E51" s="16">
        <f>IFERROR(SOLID!I20,0)</f>
        <v>0</v>
      </c>
      <c r="F51" s="16">
        <f>IFERROR(SOLID!J20,0)</f>
        <v>0</v>
      </c>
      <c r="G51" s="16">
        <f>IFERROR(SOLID!K20,0)</f>
        <v>0</v>
      </c>
      <c r="H51" s="16">
        <f>IFERROR(SOLID!L20,0)</f>
        <v>0</v>
      </c>
      <c r="I51" s="16">
        <f>IFERROR(SOLID!M20,0)</f>
        <v>0</v>
      </c>
      <c r="J51" s="16">
        <f>IFERROR(SOLID!N20,0)</f>
        <v>0</v>
      </c>
      <c r="K51" s="16">
        <f>IFERROR(SOLID!O20,0)</f>
        <v>0</v>
      </c>
      <c r="L51" s="16">
        <f>IFERROR(SOLID!P20,0)</f>
        <v>0</v>
      </c>
      <c r="M51" s="16">
        <f>IFERROR(SOLID!Q20,0)</f>
        <v>0</v>
      </c>
      <c r="N51" s="16">
        <f>IFERROR(SOLID!R20,0)</f>
        <v>0</v>
      </c>
      <c r="O51" s="16">
        <f>IFERROR(SOLID!S20,0)</f>
        <v>0</v>
      </c>
      <c r="P51" s="16">
        <f>IFERROR(SOLID!T20,0)</f>
        <v>0</v>
      </c>
      <c r="Q51" s="16">
        <f>IFERROR(SOLID!U20,0)</f>
        <v>0</v>
      </c>
      <c r="R51" s="16">
        <f>IFERROR(SOLID!V20,0)</f>
        <v>0</v>
      </c>
      <c r="S51" s="16">
        <f>IFERROR(SOLID!W20,0)</f>
        <v>0</v>
      </c>
      <c r="T51" s="16">
        <f>IFERROR(SOLID!X20,0)</f>
        <v>0</v>
      </c>
      <c r="U51" s="16">
        <f>IFERROR(SOLID!Y20,0)</f>
        <v>0</v>
      </c>
      <c r="V51" s="16">
        <f>IFERROR(SOLID!Z20,0)</f>
        <v>0</v>
      </c>
      <c r="W51" s="16">
        <f>IFERROR(SOLID!AA20,0)</f>
        <v>0</v>
      </c>
      <c r="X51" s="16">
        <f>IFERROR(SOLID!AB20,0)</f>
        <v>0</v>
      </c>
      <c r="Y51" s="16">
        <f>IFERROR(SOLID!AC20,0)</f>
        <v>0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 x14ac:dyDescent="0.4">
      <c r="A52" s="87">
        <f>IFERROR(SOLID!E21,0)</f>
        <v>0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0</v>
      </c>
      <c r="G52" s="16">
        <f>IFERROR(SOLID!K21,0)</f>
        <v>0</v>
      </c>
      <c r="H52" s="16">
        <f>IFERROR(SOLID!L21,0)</f>
        <v>0</v>
      </c>
      <c r="I52" s="16">
        <f>IFERROR(SOLID!M21,0)</f>
        <v>0</v>
      </c>
      <c r="J52" s="16">
        <f>IFERROR(SOLID!N21,0)</f>
        <v>0</v>
      </c>
      <c r="K52" s="16">
        <f>IFERROR(SOLID!O21,0)</f>
        <v>0</v>
      </c>
      <c r="L52" s="16">
        <f>IFERROR(SOLID!P21,0)</f>
        <v>0</v>
      </c>
      <c r="M52" s="16">
        <f>IFERROR(SOLID!Q21,0)</f>
        <v>0</v>
      </c>
      <c r="N52" s="16">
        <f>IFERROR(SOLID!R21,0)</f>
        <v>0</v>
      </c>
      <c r="O52" s="16">
        <f>IFERROR(SOLID!S21,0)</f>
        <v>0</v>
      </c>
      <c r="P52" s="16">
        <f>IFERROR(SOLID!T21,0)</f>
        <v>0</v>
      </c>
      <c r="Q52" s="16">
        <f>IFERROR(SOLID!U21,0)</f>
        <v>0</v>
      </c>
      <c r="R52" s="16">
        <f>IFERROR(SOLID!V21,0)</f>
        <v>0</v>
      </c>
      <c r="S52" s="16">
        <f>IFERROR(SOLID!W21,0)</f>
        <v>0</v>
      </c>
      <c r="T52" s="16">
        <f>IFERROR(SOLID!X21,0)</f>
        <v>0</v>
      </c>
      <c r="U52" s="16">
        <f>IFERROR(SOLID!Y21,0)</f>
        <v>0</v>
      </c>
      <c r="V52" s="16">
        <f>IFERROR(SOLID!Z21,0)</f>
        <v>0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 x14ac:dyDescent="0.4">
      <c r="A53" s="87">
        <f>IFERROR(SOLID!E22,0)</f>
        <v>0</v>
      </c>
      <c r="B53" s="16">
        <f>IFERROR(SOLID!F22,0)</f>
        <v>0</v>
      </c>
      <c r="C53" s="16">
        <f>IFERROR(SOLID!G22,0)</f>
        <v>0</v>
      </c>
      <c r="D53" s="16">
        <f>IFERROR(SOLID!H22,0)</f>
        <v>0</v>
      </c>
      <c r="E53" s="16">
        <f>IFERROR(SOLID!I22,0)</f>
        <v>0</v>
      </c>
      <c r="F53" s="16">
        <f>IFERROR(SOLID!J22,0)</f>
        <v>0</v>
      </c>
      <c r="G53" s="16">
        <f>IFERROR(SOLID!K22,0)</f>
        <v>0</v>
      </c>
      <c r="H53" s="16">
        <f>IFERROR(SOLID!L22,0)</f>
        <v>0</v>
      </c>
      <c r="I53" s="16">
        <f>IFERROR(SOLID!M22,0)</f>
        <v>0</v>
      </c>
      <c r="J53" s="16">
        <f>IFERROR(SOLID!N22,0)</f>
        <v>0</v>
      </c>
      <c r="K53" s="16">
        <f>IFERROR(SOLID!O22,0)</f>
        <v>0</v>
      </c>
      <c r="L53" s="16">
        <f>IFERROR(SOLID!P22,0)</f>
        <v>0</v>
      </c>
      <c r="M53" s="16">
        <f>IFERROR(SOLID!Q22,0)</f>
        <v>0</v>
      </c>
      <c r="N53" s="16">
        <f>IFERROR(SOLID!R22,0)</f>
        <v>0</v>
      </c>
      <c r="O53" s="16">
        <f>IFERROR(SOLID!S22,0)</f>
        <v>0</v>
      </c>
      <c r="P53" s="16">
        <f>IFERROR(SOLID!T22,0)</f>
        <v>0</v>
      </c>
      <c r="Q53" s="16">
        <f>IFERROR(SOLID!U22,0)</f>
        <v>0</v>
      </c>
      <c r="R53" s="16">
        <f>IFERROR(SOLID!V22,0)</f>
        <v>0</v>
      </c>
      <c r="S53" s="16">
        <f>IFERROR(SOLID!W22,0)</f>
        <v>0</v>
      </c>
      <c r="T53" s="16">
        <f>IFERROR(SOLID!X22,0)</f>
        <v>0</v>
      </c>
      <c r="U53" s="16">
        <f>IFERROR(SOLID!Y22,0)</f>
        <v>0</v>
      </c>
      <c r="V53" s="16">
        <f>IFERROR(SOLID!Z22,0)</f>
        <v>0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 x14ac:dyDescent="0.4">
      <c r="A54" s="87">
        <f>IFERROR(SOLID!E23,0)</f>
        <v>0</v>
      </c>
      <c r="B54" s="16">
        <f>IFERROR(SOLID!F23,0)</f>
        <v>0</v>
      </c>
      <c r="C54" s="16">
        <f>IFERROR(SOLID!G23,0)</f>
        <v>0</v>
      </c>
      <c r="D54" s="16">
        <f>IFERROR(SOLID!H23,0)</f>
        <v>0</v>
      </c>
      <c r="E54" s="16">
        <f>IFERROR(SOLID!I23,0)</f>
        <v>0</v>
      </c>
      <c r="F54" s="16">
        <f>IFERROR(SOLID!J23,0)</f>
        <v>0</v>
      </c>
      <c r="G54" s="16">
        <f>IFERROR(SOLID!K23,0)</f>
        <v>0</v>
      </c>
      <c r="H54" s="16">
        <f>IFERROR(SOLID!L23,0)</f>
        <v>0</v>
      </c>
      <c r="I54" s="16">
        <f>IFERROR(SOLID!M23,0)</f>
        <v>0</v>
      </c>
      <c r="J54" s="16">
        <f>IFERROR(SOLID!N23,0)</f>
        <v>0</v>
      </c>
      <c r="K54" s="16">
        <f>IFERROR(SOLID!O23,0)</f>
        <v>0</v>
      </c>
      <c r="L54" s="16">
        <f>IFERROR(SOLID!P23,0)</f>
        <v>0</v>
      </c>
      <c r="M54" s="16">
        <f>IFERROR(SOLID!Q23,0)</f>
        <v>0</v>
      </c>
      <c r="N54" s="16">
        <f>IFERROR(SOLID!R23,0)</f>
        <v>0</v>
      </c>
      <c r="O54" s="16">
        <f>IFERROR(SOLID!S23,0)</f>
        <v>0</v>
      </c>
      <c r="P54" s="16">
        <f>IFERROR(SOLID!T23,0)</f>
        <v>0</v>
      </c>
      <c r="Q54" s="16">
        <f>IFERROR(SOLID!U23,0)</f>
        <v>0</v>
      </c>
      <c r="R54" s="16">
        <f>IFERROR(SOLID!V23,0)</f>
        <v>0</v>
      </c>
      <c r="S54" s="16">
        <f>IFERROR(SOLID!W23,0)</f>
        <v>0</v>
      </c>
      <c r="T54" s="16">
        <f>IFERROR(SOLID!X23,0)</f>
        <v>0</v>
      </c>
      <c r="U54" s="16">
        <f>IFERROR(SOLID!Y23,0)</f>
        <v>0</v>
      </c>
      <c r="V54" s="16">
        <f>IFERROR(SOLID!Z23,0)</f>
        <v>0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 x14ac:dyDescent="0.4">
      <c r="A55" s="87">
        <f>IFERROR(SOLID!E24,0)</f>
        <v>0</v>
      </c>
      <c r="B55" s="16">
        <f>IFERROR(SOLID!F24,0)</f>
        <v>0</v>
      </c>
      <c r="C55" s="16">
        <f>IFERROR(SOLID!G24,0)</f>
        <v>0</v>
      </c>
      <c r="D55" s="16">
        <f>IFERROR(SOLID!H24,0)</f>
        <v>0</v>
      </c>
      <c r="E55" s="16">
        <f>IFERROR(SOLID!I24,0)</f>
        <v>0</v>
      </c>
      <c r="F55" s="16">
        <f>IFERROR(SOLID!J24,0)</f>
        <v>0</v>
      </c>
      <c r="G55" s="16">
        <f>IFERROR(SOLID!K24,0)</f>
        <v>0</v>
      </c>
      <c r="H55" s="16">
        <f>IFERROR(SOLID!L24,0)</f>
        <v>0</v>
      </c>
      <c r="I55" s="16">
        <f>IFERROR(SOLID!M24,0)</f>
        <v>0</v>
      </c>
      <c r="J55" s="16">
        <f>IFERROR(SOLID!N24,0)</f>
        <v>0</v>
      </c>
      <c r="K55" s="16">
        <f>IFERROR(SOLID!O24,0)</f>
        <v>0</v>
      </c>
      <c r="L55" s="16">
        <f>IFERROR(SOLID!P24,0)</f>
        <v>0</v>
      </c>
      <c r="M55" s="16">
        <f>IFERROR(SOLID!Q24,0)</f>
        <v>0</v>
      </c>
      <c r="N55" s="16">
        <f>IFERROR(SOLID!R24,0)</f>
        <v>0</v>
      </c>
      <c r="O55" s="16">
        <f>IFERROR(SOLID!S24,0)</f>
        <v>0</v>
      </c>
      <c r="P55" s="16">
        <f>IFERROR(SOLID!T24,0)</f>
        <v>0</v>
      </c>
      <c r="Q55" s="16">
        <f>IFERROR(SOLID!U24,0)</f>
        <v>0</v>
      </c>
      <c r="R55" s="16">
        <f>IFERROR(SOLID!V24,0)</f>
        <v>0</v>
      </c>
      <c r="S55" s="16">
        <f>IFERROR(SOLID!W24,0)</f>
        <v>0</v>
      </c>
      <c r="T55" s="16">
        <f>IFERROR(SOLID!X24,0)</f>
        <v>0</v>
      </c>
      <c r="U55" s="16">
        <f>IFERROR(SOLID!Y24,0)</f>
        <v>0</v>
      </c>
      <c r="V55" s="16">
        <f>IFERROR(SOLID!Z24,0)</f>
        <v>0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 x14ac:dyDescent="0.4">
      <c r="A56" s="87">
        <f>IFERROR(SOLID!E25,0)</f>
        <v>0</v>
      </c>
      <c r="B56" s="16">
        <f>IFERROR(SOLID!F25,0)</f>
        <v>0</v>
      </c>
      <c r="C56" s="16">
        <f>IFERROR(SOLID!G25,0)</f>
        <v>0</v>
      </c>
      <c r="D56" s="16">
        <f>IFERROR(SOLID!H25,0)</f>
        <v>0</v>
      </c>
      <c r="E56" s="16">
        <f>IFERROR(SOLID!I25,0)</f>
        <v>0</v>
      </c>
      <c r="F56" s="16">
        <f>IFERROR(SOLID!J25,0)</f>
        <v>0</v>
      </c>
      <c r="G56" s="16">
        <f>IFERROR(SOLID!K25,0)</f>
        <v>0</v>
      </c>
      <c r="H56" s="16">
        <f>IFERROR(SOLID!L25,0)</f>
        <v>0</v>
      </c>
      <c r="I56" s="16">
        <f>IFERROR(SOLID!M25,0)</f>
        <v>0</v>
      </c>
      <c r="J56" s="16">
        <f>IFERROR(SOLID!N25,0)</f>
        <v>0</v>
      </c>
      <c r="K56" s="16">
        <f>IFERROR(SOLID!O25,0)</f>
        <v>0</v>
      </c>
      <c r="L56" s="16">
        <f>IFERROR(SOLID!P25,0)</f>
        <v>0</v>
      </c>
      <c r="M56" s="16">
        <f>IFERROR(SOLID!Q25,0)</f>
        <v>0</v>
      </c>
      <c r="N56" s="16">
        <f>IFERROR(SOLID!R25,0)</f>
        <v>0</v>
      </c>
      <c r="O56" s="16">
        <f>IFERROR(SOLID!S25,0)</f>
        <v>0</v>
      </c>
      <c r="P56" s="16">
        <f>IFERROR(SOLID!T25,0)</f>
        <v>0</v>
      </c>
      <c r="Q56" s="16">
        <f>IFERROR(SOLID!U25,0)</f>
        <v>0</v>
      </c>
      <c r="R56" s="16">
        <f>IFERROR(SOLID!V25,0)</f>
        <v>0</v>
      </c>
      <c r="S56" s="16">
        <f>IFERROR(SOLID!W25,0)</f>
        <v>0</v>
      </c>
      <c r="T56" s="16">
        <f>IFERROR(SOLID!X25,0)</f>
        <v>0</v>
      </c>
      <c r="U56" s="16">
        <f>IFERROR(SOLID!Y25,0)</f>
        <v>0</v>
      </c>
      <c r="V56" s="16">
        <f>IFERROR(SOLID!Z25,0)</f>
        <v>0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 x14ac:dyDescent="0.4">
      <c r="A57" s="87">
        <f>IFERROR(SOLID!E26,0)</f>
        <v>0</v>
      </c>
      <c r="B57" s="16">
        <f>IFERROR(SOLID!F26,0)</f>
        <v>0</v>
      </c>
      <c r="C57" s="16">
        <f>IFERROR(SOLID!G26,0)</f>
        <v>0</v>
      </c>
      <c r="D57" s="16">
        <f>IFERROR(SOLID!H26,0)</f>
        <v>0</v>
      </c>
      <c r="E57" s="16">
        <f>IFERROR(SOLID!I26,0)</f>
        <v>0</v>
      </c>
      <c r="F57" s="16">
        <f>IFERROR(SOLID!J26,0)</f>
        <v>0</v>
      </c>
      <c r="G57" s="16">
        <f>IFERROR(SOLID!K26,0)</f>
        <v>0</v>
      </c>
      <c r="H57" s="16">
        <f>IFERROR(SOLID!L26,0)</f>
        <v>0</v>
      </c>
      <c r="I57" s="16">
        <f>IFERROR(SOLID!M26,0)</f>
        <v>0</v>
      </c>
      <c r="J57" s="16">
        <f>IFERROR(SOLID!N26,0)</f>
        <v>0</v>
      </c>
      <c r="K57" s="16">
        <f>IFERROR(SOLID!O26,0)</f>
        <v>0</v>
      </c>
      <c r="L57" s="16">
        <f>IFERROR(SOLID!P26,0)</f>
        <v>0</v>
      </c>
      <c r="M57" s="16">
        <f>IFERROR(SOLID!Q26,0)</f>
        <v>0</v>
      </c>
      <c r="N57" s="16">
        <f>IFERROR(SOLID!R26,0)</f>
        <v>0</v>
      </c>
      <c r="O57" s="16">
        <f>IFERROR(SOLID!S26,0)</f>
        <v>0</v>
      </c>
      <c r="P57" s="16">
        <f>IFERROR(SOLID!T26,0)</f>
        <v>0</v>
      </c>
      <c r="Q57" s="16">
        <f>IFERROR(SOLID!U26,0)</f>
        <v>0</v>
      </c>
      <c r="R57" s="16">
        <f>IFERROR(SOLID!V26,0)</f>
        <v>0</v>
      </c>
      <c r="S57" s="16">
        <f>IFERROR(SOLID!W26,0)</f>
        <v>0</v>
      </c>
      <c r="T57" s="16">
        <f>IFERROR(SOLID!X26,0)</f>
        <v>0</v>
      </c>
      <c r="U57" s="16">
        <f>IFERROR(SOLID!Y26,0)</f>
        <v>0</v>
      </c>
      <c r="V57" s="16">
        <f>IFERROR(SOLID!Z26,0)</f>
        <v>0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 x14ac:dyDescent="0.4">
      <c r="A58" s="87">
        <f>IFERROR(SOLID!E27,0)</f>
        <v>0</v>
      </c>
      <c r="B58" s="16">
        <f>IFERROR(SOLID!F27,0)</f>
        <v>0</v>
      </c>
      <c r="C58" s="16">
        <f>IFERROR(SOLID!G27,0)</f>
        <v>0</v>
      </c>
      <c r="D58" s="16">
        <f>IFERROR(SOLID!H27,0)</f>
        <v>0</v>
      </c>
      <c r="E58" s="16">
        <f>IFERROR(SOLID!I27,0)</f>
        <v>0</v>
      </c>
      <c r="F58" s="16">
        <f>IFERROR(SOLID!J27,0)</f>
        <v>0</v>
      </c>
      <c r="G58" s="16">
        <f>IFERROR(SOLID!K27,0)</f>
        <v>0</v>
      </c>
      <c r="H58" s="16">
        <f>IFERROR(SOLID!L27,0)</f>
        <v>0</v>
      </c>
      <c r="I58" s="16">
        <f>IFERROR(SOLID!M27,0)</f>
        <v>0</v>
      </c>
      <c r="J58" s="16">
        <f>IFERROR(SOLID!N27,0)</f>
        <v>0</v>
      </c>
      <c r="K58" s="16">
        <f>IFERROR(SOLID!O27,0)</f>
        <v>0</v>
      </c>
      <c r="L58" s="16">
        <f>IFERROR(SOLID!P27,0)</f>
        <v>0</v>
      </c>
      <c r="M58" s="16">
        <f>IFERROR(SOLID!Q27,0)</f>
        <v>0</v>
      </c>
      <c r="N58" s="16">
        <f>IFERROR(SOLID!R27,0)</f>
        <v>0</v>
      </c>
      <c r="O58" s="16">
        <f>IFERROR(SOLID!S27,0)</f>
        <v>0</v>
      </c>
      <c r="P58" s="16">
        <f>IFERROR(SOLID!T27,0)</f>
        <v>0</v>
      </c>
      <c r="Q58" s="16">
        <f>IFERROR(SOLID!U27,0)</f>
        <v>0</v>
      </c>
      <c r="R58" s="16">
        <f>IFERROR(SOLID!V27,0)</f>
        <v>0</v>
      </c>
      <c r="S58" s="16">
        <f>IFERROR(SOLID!W27,0)</f>
        <v>0</v>
      </c>
      <c r="T58" s="16">
        <f>IFERROR(SOLID!X27,0)</f>
        <v>0</v>
      </c>
      <c r="U58" s="16">
        <f>IFERROR(SOLID!Y27,0)</f>
        <v>0</v>
      </c>
      <c r="V58" s="16">
        <f>IFERROR(SOLID!Z27,0)</f>
        <v>0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 x14ac:dyDescent="0.4">
      <c r="A59" s="87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 x14ac:dyDescent="0.4">
      <c r="A60" s="87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 x14ac:dyDescent="0.4">
      <c r="A61" s="87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 x14ac:dyDescent="0.4">
      <c r="A62" s="87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 x14ac:dyDescent="0.4">
      <c r="A63" s="87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 x14ac:dyDescent="0.4">
      <c r="A64" s="87">
        <f>IFERROR(SOLID!E33,0)</f>
        <v>1</v>
      </c>
      <c r="B64" s="16">
        <f>IFERROR(SOLID!F33,0)</f>
        <v>0</v>
      </c>
      <c r="C64" s="16">
        <f>IFERROR(SOLID!G33,0)</f>
        <v>0</v>
      </c>
      <c r="D64" s="16">
        <f>IFERROR(SOLID!H33,0)</f>
        <v>0</v>
      </c>
      <c r="E64" s="16">
        <f>IFERROR(SOLID!I33,0)</f>
        <v>0</v>
      </c>
      <c r="F64" s="16">
        <f>IFERROR(SOLID!J33,0)</f>
        <v>0</v>
      </c>
      <c r="G64" s="16">
        <f>IFERROR(SOLID!K33,0)</f>
        <v>0</v>
      </c>
      <c r="H64" s="16">
        <f>IFERROR(SOLID!L33,0)</f>
        <v>0</v>
      </c>
      <c r="I64" s="16">
        <f>IFERROR(SOLID!M33,0)</f>
        <v>0</v>
      </c>
      <c r="J64" s="16">
        <f>IFERROR(SOLID!N33,0)</f>
        <v>0</v>
      </c>
      <c r="K64" s="16">
        <f>IFERROR(SOLID!O33,0)</f>
        <v>0</v>
      </c>
      <c r="L64" s="16">
        <f>IFERROR(SOLID!P33,0)</f>
        <v>0</v>
      </c>
      <c r="M64" s="16">
        <f>IFERROR(SOLID!Q33,0)</f>
        <v>0</v>
      </c>
      <c r="N64" s="16">
        <f>IFERROR(SOLID!R33,0)</f>
        <v>0</v>
      </c>
      <c r="O64" s="16">
        <f>IFERROR(SOLID!S33,0)</f>
        <v>0</v>
      </c>
      <c r="P64" s="16">
        <f>IFERROR(SOLID!T33,0)</f>
        <v>0</v>
      </c>
      <c r="Q64" s="16">
        <f>IFERROR(SOLID!U33,0)</f>
        <v>0</v>
      </c>
      <c r="R64" s="16">
        <f>IFERROR(SOLID!V33,0)</f>
        <v>0</v>
      </c>
      <c r="S64" s="16">
        <f>IFERROR(SOLID!W33,0)</f>
        <v>0</v>
      </c>
      <c r="T64" s="16">
        <f>IFERROR(SOLID!X33,0)</f>
        <v>0</v>
      </c>
      <c r="U64" s="16">
        <f>IFERROR(SOLID!Y33,0)</f>
        <v>0</v>
      </c>
      <c r="V64" s="16">
        <f>IFERROR(SOLID!Z33,0)</f>
        <v>0</v>
      </c>
      <c r="W64" s="16">
        <f>IFERROR(SOLID!AA33,0)</f>
        <v>0</v>
      </c>
      <c r="X64" s="16">
        <f>IFERROR(SOLID!AB33,0)</f>
        <v>0</v>
      </c>
      <c r="Y64" s="16">
        <f>IFERROR(SOLID!AC33,0)</f>
        <v>0</v>
      </c>
      <c r="Z64" s="16">
        <f>IFERROR(SOLID!AD33,0)</f>
        <v>0</v>
      </c>
      <c r="AA64" s="16">
        <f>IFERROR(SOLID!AE33,0)</f>
        <v>0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 x14ac:dyDescent="0.4"/>
    <row r="66" spans="1:72" ht="22.5" thickTop="1" thickBot="1" x14ac:dyDescent="0.4">
      <c r="A66" s="90" t="s">
        <v>29</v>
      </c>
      <c r="B66" s="62">
        <f>IFERROR(ALL!F3,0)</f>
        <v>0</v>
      </c>
      <c r="C66" s="62">
        <f>IFERROR(ALL!G3,0)</f>
        <v>0</v>
      </c>
      <c r="D66" s="62">
        <f>IFERROR(ALL!H3,0)</f>
        <v>0</v>
      </c>
      <c r="E66" s="62">
        <f>IFERROR(ALL!I3,0)</f>
        <v>0</v>
      </c>
      <c r="F66" s="62">
        <f>IFERROR(ALL!J3,0)</f>
        <v>0</v>
      </c>
      <c r="G66" s="62">
        <f>IFERROR(ALL!K3,0)</f>
        <v>0</v>
      </c>
      <c r="H66" s="62">
        <f>IFERROR(ALL!L3,0)</f>
        <v>0</v>
      </c>
      <c r="I66" s="62">
        <f>IFERROR(ALL!M3,0)</f>
        <v>0</v>
      </c>
      <c r="J66" s="62">
        <f>IFERROR(ALL!N3,0)</f>
        <v>0</v>
      </c>
      <c r="K66" s="62">
        <f>IFERROR(ALL!O3,0)</f>
        <v>0</v>
      </c>
      <c r="L66" s="62">
        <f>IFERROR(ALL!P3,0)</f>
        <v>0</v>
      </c>
      <c r="M66" s="62">
        <f>IFERROR(ALL!Q3,0)</f>
        <v>0</v>
      </c>
      <c r="N66" s="62">
        <f>IFERROR(ALL!R3,0)</f>
        <v>0</v>
      </c>
      <c r="O66" s="62">
        <f>IFERROR(ALL!S3,0)</f>
        <v>0</v>
      </c>
      <c r="P66" s="62">
        <f>IFERROR(ALL!T3,0)</f>
        <v>0</v>
      </c>
      <c r="Q66" s="62">
        <f>IFERROR(ALL!U3,0)</f>
        <v>0</v>
      </c>
      <c r="R66" s="62">
        <f>IFERROR(ALL!V3,0)</f>
        <v>0</v>
      </c>
      <c r="S66" s="62">
        <f>IFERROR(ALL!W3,0)</f>
        <v>0</v>
      </c>
      <c r="T66" s="62">
        <f>IFERROR(ALL!X3,0)</f>
        <v>0</v>
      </c>
      <c r="U66" s="62">
        <f>IFERROR(ALL!Y3,0)</f>
        <v>0</v>
      </c>
      <c r="V66" s="62">
        <f>IFERROR(ALL!Z3,0)</f>
        <v>0</v>
      </c>
      <c r="W66" s="62">
        <f>IFERROR(ALL!AA3,0)</f>
        <v>0</v>
      </c>
      <c r="X66" s="62">
        <f>IFERROR(ALL!AB3,0)</f>
        <v>0</v>
      </c>
      <c r="Y66" s="62">
        <f>IFERROR(ALL!AC3,0)</f>
        <v>0</v>
      </c>
      <c r="Z66" s="62">
        <f>IFERROR(ALL!AD3,0)</f>
        <v>0</v>
      </c>
      <c r="AA66" s="62">
        <f>IFERROR(ALL!AE3,0)</f>
        <v>0</v>
      </c>
      <c r="AB66" s="62">
        <f>IFERROR(ALL!AF3,0)</f>
        <v>0</v>
      </c>
      <c r="AC66" s="62">
        <f>IFERROR(ALL!AG3,0)</f>
        <v>0</v>
      </c>
      <c r="AD66" s="62">
        <f>IFERROR(ALL!AH3,0)</f>
        <v>0</v>
      </c>
      <c r="AE66" s="62">
        <f>IFERROR(ALL!AI3,0)</f>
        <v>0</v>
      </c>
      <c r="AF66" s="62">
        <f>IFERROR(ALL!AJ3,0)</f>
        <v>0</v>
      </c>
      <c r="AG66" s="62">
        <f>IFERROR(ALL!AK3,0)</f>
        <v>0</v>
      </c>
      <c r="AH66" s="62">
        <f>IFERROR(ALL!AL3,0)</f>
        <v>0</v>
      </c>
      <c r="AI66" s="62">
        <f>IFERROR(ALL!AM3,0)</f>
        <v>0</v>
      </c>
      <c r="AJ66" s="62">
        <f>IFERROR(ALL!AN3,0)</f>
        <v>0</v>
      </c>
      <c r="AK66" s="62">
        <f>IFERROR(ALL!AO3,0)</f>
        <v>0</v>
      </c>
      <c r="AL66" s="62">
        <f>IFERROR(ALL!AP3,0)</f>
        <v>0</v>
      </c>
      <c r="AM66" s="62">
        <f>IFERROR(ALL!AQ3,0)</f>
        <v>0</v>
      </c>
      <c r="AN66" s="62">
        <f>IFERROR(ALL!AR3,0)</f>
        <v>0</v>
      </c>
      <c r="AO66" s="62">
        <f>IFERROR(ALL!AS3,0)</f>
        <v>0</v>
      </c>
      <c r="AP66" s="62">
        <f>IFERROR(ALL!AT3,0)</f>
        <v>0</v>
      </c>
      <c r="AQ66" s="62">
        <f>IFERROR(ALL!AU3,0)</f>
        <v>0</v>
      </c>
      <c r="AR66" s="62">
        <f>IFERROR(ALL!AV3,0)</f>
        <v>0</v>
      </c>
      <c r="AS66" s="62">
        <f>IFERROR(ALL!AW3,0)</f>
        <v>0</v>
      </c>
      <c r="AT66" s="62">
        <f>IFERROR(ALL!AX3,0)</f>
        <v>0</v>
      </c>
      <c r="AU66" s="62">
        <f>IFERROR(ALL!AY3,0)</f>
        <v>0</v>
      </c>
      <c r="AV66" s="62">
        <f>IFERROR(ALL!AZ3,0)</f>
        <v>0</v>
      </c>
      <c r="AW66" s="62">
        <f>IFERROR(ALL!BA3,0)</f>
        <v>0</v>
      </c>
      <c r="AX66" s="62">
        <f>IFERROR(ALL!BB3,0)</f>
        <v>0</v>
      </c>
      <c r="AY66" s="62">
        <f>IFERROR(ALL!BC3,0)</f>
        <v>0</v>
      </c>
      <c r="AZ66" s="62">
        <f>IFERROR(ALL!BD3,0)</f>
        <v>0</v>
      </c>
      <c r="BA66" s="62">
        <f>IFERROR(ALL!BE3,0)</f>
        <v>0</v>
      </c>
      <c r="BB66" s="62">
        <f>IFERROR(ALL!BF3,0)</f>
        <v>0</v>
      </c>
      <c r="BC66" s="62">
        <f>IFERROR(ALL!BG3,0)</f>
        <v>0</v>
      </c>
      <c r="BD66" s="62">
        <f>IFERROR(ALL!BH3,0)</f>
        <v>0</v>
      </c>
      <c r="BE66" s="62">
        <f>IFERROR(ALL!BI3,0)</f>
        <v>0</v>
      </c>
      <c r="BF66" s="62">
        <f>IFERROR(ALL!BJ3,0)</f>
        <v>0</v>
      </c>
      <c r="BG66" s="62">
        <f>IFERROR(ALL!BK3,0)</f>
        <v>0</v>
      </c>
      <c r="BH66" s="62">
        <f>IFERROR(ALL!BL3,0)</f>
        <v>0</v>
      </c>
      <c r="BI66" s="62">
        <f>IFERROR(ALL!BM3,0)</f>
        <v>0</v>
      </c>
      <c r="BJ66" s="62">
        <f>IFERROR(ALL!BN3,0)</f>
        <v>0</v>
      </c>
      <c r="BK66" s="62">
        <f>IFERROR(ALL!BO3,0)</f>
        <v>0</v>
      </c>
      <c r="BL66" s="62">
        <f>IFERROR(ALL!BP3,0)</f>
        <v>0</v>
      </c>
      <c r="BM66" s="62">
        <f>IFERROR(ALL!BQ3,0)</f>
        <v>0</v>
      </c>
      <c r="BN66" s="62">
        <f>IFERROR(ALL!BR3,0)</f>
        <v>0</v>
      </c>
      <c r="BO66" s="62">
        <f>IFERROR(ALL!BS3,0)</f>
        <v>0</v>
      </c>
      <c r="BP66" s="62">
        <f>IFERROR(ALL!BT3,0)</f>
        <v>0</v>
      </c>
      <c r="BQ66" s="62">
        <f>IFERROR(ALL!BU3,0)</f>
        <v>0</v>
      </c>
      <c r="BR66" s="62">
        <f>IFERROR(ALL!BV3,0)</f>
        <v>0</v>
      </c>
      <c r="BS66" s="62">
        <f>IFERROR(ALL!BW3,0)</f>
        <v>0</v>
      </c>
      <c r="BT66" s="62">
        <f>IFERROR(ALL!BX3,0)</f>
        <v>0</v>
      </c>
    </row>
    <row r="67" spans="1:72" ht="22.5" hidden="1" outlineLevel="1" thickTop="1" thickBot="1" x14ac:dyDescent="0.4">
      <c r="A67" s="87">
        <f>ALL!E4</f>
        <v>0</v>
      </c>
      <c r="B67" s="16">
        <f>IFERROR(ALL!F4,0)</f>
        <v>0</v>
      </c>
      <c r="C67" s="16">
        <f>IFERROR(ALL!G4,0)</f>
        <v>0</v>
      </c>
      <c r="D67" s="16">
        <f>IFERROR(ALL!H4,0)</f>
        <v>0</v>
      </c>
      <c r="E67" s="16">
        <f>IFERROR(ALL!I4,0)</f>
        <v>0</v>
      </c>
      <c r="F67" s="16">
        <f>IFERROR(ALL!J4,0)</f>
        <v>0</v>
      </c>
      <c r="G67" s="16">
        <f>IFERROR(ALL!K4,0)</f>
        <v>0</v>
      </c>
      <c r="H67" s="16">
        <f>IFERROR(ALL!L4,0)</f>
        <v>0</v>
      </c>
      <c r="I67" s="16">
        <f>IFERROR(ALL!M4,0)</f>
        <v>0</v>
      </c>
      <c r="J67" s="16">
        <f>IFERROR(ALL!N4,0)</f>
        <v>0</v>
      </c>
      <c r="K67" s="16">
        <f>IFERROR(ALL!O4,0)</f>
        <v>0</v>
      </c>
      <c r="L67" s="16">
        <f>IFERROR(ALL!P4,0)</f>
        <v>0</v>
      </c>
      <c r="M67" s="16">
        <f>IFERROR(ALL!Q4,0)</f>
        <v>0</v>
      </c>
      <c r="N67" s="16">
        <f>IFERROR(ALL!R4,0)</f>
        <v>0</v>
      </c>
      <c r="O67" s="16">
        <f>IFERROR(ALL!S4,0)</f>
        <v>0</v>
      </c>
      <c r="P67" s="16">
        <f>IFERROR(ALL!T4,0)</f>
        <v>0</v>
      </c>
      <c r="Q67" s="16">
        <f>IFERROR(ALL!U4,0)</f>
        <v>0</v>
      </c>
      <c r="R67" s="16">
        <f>IFERROR(ALL!V4,0)</f>
        <v>0</v>
      </c>
      <c r="S67" s="16">
        <f>IFERROR(ALL!W4,0)</f>
        <v>0</v>
      </c>
      <c r="T67" s="16">
        <f>IFERROR(ALL!X4,0)</f>
        <v>0</v>
      </c>
      <c r="U67" s="16">
        <f>IFERROR(ALL!Y4,0)</f>
        <v>0</v>
      </c>
      <c r="V67" s="16">
        <f>IFERROR(ALL!Z4,0)</f>
        <v>0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 x14ac:dyDescent="0.4">
      <c r="A68" s="87">
        <f>ALL!E5</f>
        <v>0</v>
      </c>
      <c r="B68" s="16">
        <f>IFERROR(ALL!F5,0)</f>
        <v>0</v>
      </c>
      <c r="C68" s="16">
        <f>IFERROR(ALL!G5,0)</f>
        <v>0</v>
      </c>
      <c r="D68" s="16">
        <f>IFERROR(ALL!H5,0)</f>
        <v>0</v>
      </c>
      <c r="E68" s="16">
        <f>IFERROR(ALL!I5,0)</f>
        <v>0</v>
      </c>
      <c r="F68" s="16">
        <f>IFERROR(ALL!J5,0)</f>
        <v>0</v>
      </c>
      <c r="G68" s="16">
        <f>IFERROR(ALL!K5,0)</f>
        <v>0</v>
      </c>
      <c r="H68" s="16">
        <f>IFERROR(ALL!L5,0)</f>
        <v>0</v>
      </c>
      <c r="I68" s="16">
        <f>IFERROR(ALL!M5,0)</f>
        <v>0</v>
      </c>
      <c r="J68" s="16">
        <f>IFERROR(ALL!N5,0)</f>
        <v>0</v>
      </c>
      <c r="K68" s="16">
        <f>IFERROR(ALL!O5,0)</f>
        <v>0</v>
      </c>
      <c r="L68" s="16">
        <f>IFERROR(ALL!P5,0)</f>
        <v>0</v>
      </c>
      <c r="M68" s="16">
        <f>IFERROR(ALL!Q5,0)</f>
        <v>0</v>
      </c>
      <c r="N68" s="16">
        <f>IFERROR(ALL!R5,0)</f>
        <v>0</v>
      </c>
      <c r="O68" s="16">
        <f>IFERROR(ALL!S5,0)</f>
        <v>0</v>
      </c>
      <c r="P68" s="16">
        <f>IFERROR(ALL!T5,0)</f>
        <v>0</v>
      </c>
      <c r="Q68" s="16">
        <f>IFERROR(ALL!U5,0)</f>
        <v>0</v>
      </c>
      <c r="R68" s="16">
        <f>IFERROR(ALL!V5,0)</f>
        <v>0</v>
      </c>
      <c r="S68" s="16">
        <f>IFERROR(ALL!W5,0)</f>
        <v>0</v>
      </c>
      <c r="T68" s="16">
        <f>IFERROR(ALL!X5,0)</f>
        <v>0</v>
      </c>
      <c r="U68" s="16">
        <f>IFERROR(ALL!Y5,0)</f>
        <v>0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 x14ac:dyDescent="0.4">
      <c r="A69" s="87">
        <f>ALL!E6</f>
        <v>0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0</v>
      </c>
      <c r="I69" s="16">
        <f>IFERROR(ALL!M6,0)</f>
        <v>0</v>
      </c>
      <c r="J69" s="16">
        <f>IFERROR(ALL!N6,0)</f>
        <v>0</v>
      </c>
      <c r="K69" s="16">
        <f>IFERROR(ALL!O6,0)</f>
        <v>0</v>
      </c>
      <c r="L69" s="16">
        <f>IFERROR(ALL!P6,0)</f>
        <v>0</v>
      </c>
      <c r="M69" s="16">
        <f>IFERROR(ALL!Q6,0)</f>
        <v>0</v>
      </c>
      <c r="N69" s="16">
        <f>IFERROR(ALL!R6,0)</f>
        <v>0</v>
      </c>
      <c r="O69" s="16">
        <f>IFERROR(ALL!S6,0)</f>
        <v>0</v>
      </c>
      <c r="P69" s="16">
        <f>IFERROR(ALL!T6,0)</f>
        <v>0</v>
      </c>
      <c r="Q69" s="16">
        <f>IFERROR(ALL!U6,0)</f>
        <v>0</v>
      </c>
      <c r="R69" s="16">
        <f>IFERROR(ALL!V6,0)</f>
        <v>0</v>
      </c>
      <c r="S69" s="16">
        <f>IFERROR(ALL!W6,0)</f>
        <v>0</v>
      </c>
      <c r="T69" s="16">
        <f>IFERROR(ALL!X6,0)</f>
        <v>0</v>
      </c>
      <c r="U69" s="16">
        <f>IFERROR(ALL!Y6,0)</f>
        <v>0</v>
      </c>
      <c r="V69" s="16">
        <f>IFERROR(ALL!Z6,0)</f>
        <v>0</v>
      </c>
      <c r="W69" s="16">
        <f>IFERROR(ALL!AA6,0)</f>
        <v>0</v>
      </c>
      <c r="X69" s="16">
        <f>IFERROR(ALL!AB6,0)</f>
        <v>0</v>
      </c>
      <c r="Y69" s="16">
        <f>IFERROR(ALL!AC6,0)</f>
        <v>0</v>
      </c>
      <c r="Z69" s="16">
        <f>IFERROR(ALL!AD6,0)</f>
        <v>0</v>
      </c>
      <c r="AA69" s="16">
        <f>IFERROR(ALL!AE6,0)</f>
        <v>0</v>
      </c>
      <c r="AB69" s="16">
        <f>IFERROR(ALL!AF6,0)</f>
        <v>0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 x14ac:dyDescent="0.4">
      <c r="A70" s="87">
        <f>ALL!E7</f>
        <v>0</v>
      </c>
      <c r="B70" s="16">
        <f>IFERROR(ALL!F7,0)</f>
        <v>0</v>
      </c>
      <c r="C70" s="16">
        <f>IFERROR(ALL!G7,0)</f>
        <v>0</v>
      </c>
      <c r="D70" s="16">
        <f>IFERROR(ALL!H7,0)</f>
        <v>0</v>
      </c>
      <c r="E70" s="16">
        <f>IFERROR(ALL!I7,0)</f>
        <v>0</v>
      </c>
      <c r="F70" s="16">
        <f>IFERROR(ALL!J7,0)</f>
        <v>0</v>
      </c>
      <c r="G70" s="16">
        <f>IFERROR(ALL!K7,0)</f>
        <v>0</v>
      </c>
      <c r="H70" s="16">
        <f>IFERROR(ALL!L7,0)</f>
        <v>0</v>
      </c>
      <c r="I70" s="16">
        <f>IFERROR(ALL!M7,0)</f>
        <v>0</v>
      </c>
      <c r="J70" s="16">
        <f>IFERROR(ALL!N7,0)</f>
        <v>0</v>
      </c>
      <c r="K70" s="16">
        <f>IFERROR(ALL!O7,0)</f>
        <v>0</v>
      </c>
      <c r="L70" s="16">
        <f>IFERROR(ALL!P7,0)</f>
        <v>0</v>
      </c>
      <c r="M70" s="16">
        <f>IFERROR(ALL!Q7,0)</f>
        <v>0</v>
      </c>
      <c r="N70" s="16">
        <f>IFERROR(ALL!R7,0)</f>
        <v>0</v>
      </c>
      <c r="O70" s="16">
        <f>IFERROR(ALL!S7,0)</f>
        <v>0</v>
      </c>
      <c r="P70" s="16">
        <f>IFERROR(ALL!T7,0)</f>
        <v>0</v>
      </c>
      <c r="Q70" s="16">
        <f>IFERROR(ALL!U7,0)</f>
        <v>0</v>
      </c>
      <c r="R70" s="16">
        <f>IFERROR(ALL!V7,0)</f>
        <v>0</v>
      </c>
      <c r="S70" s="16">
        <f>IFERROR(ALL!W7,0)</f>
        <v>0</v>
      </c>
      <c r="T70" s="16">
        <f>IFERROR(ALL!X7,0)</f>
        <v>0</v>
      </c>
      <c r="U70" s="16">
        <f>IFERROR(ALL!Y7,0)</f>
        <v>0</v>
      </c>
      <c r="V70" s="16">
        <f>IFERROR(ALL!Z7,0)</f>
        <v>0</v>
      </c>
      <c r="W70" s="16">
        <f>IFERROR(ALL!AA7,0)</f>
        <v>0</v>
      </c>
      <c r="X70" s="16">
        <f>IFERROR(ALL!AB7,0)</f>
        <v>0</v>
      </c>
      <c r="Y70" s="16">
        <f>IFERROR(ALL!AC7,0)</f>
        <v>0</v>
      </c>
      <c r="Z70" s="16">
        <f>IFERROR(ALL!AD7,0)</f>
        <v>0</v>
      </c>
      <c r="AA70" s="16">
        <f>IFERROR(ALL!AE7,0)</f>
        <v>0</v>
      </c>
      <c r="AB70" s="16">
        <f>IFERROR(ALL!AF7,0)</f>
        <v>0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 x14ac:dyDescent="0.4">
      <c r="A71" s="87">
        <f>ALL!E8</f>
        <v>0</v>
      </c>
      <c r="B71" s="16">
        <f>IFERROR(ALL!F8,0)</f>
        <v>0</v>
      </c>
      <c r="C71" s="16">
        <f>IFERROR(ALL!G8,0)</f>
        <v>0</v>
      </c>
      <c r="D71" s="16">
        <f>IFERROR(ALL!H8,0)</f>
        <v>0</v>
      </c>
      <c r="E71" s="16">
        <f>IFERROR(ALL!I8,0)</f>
        <v>0</v>
      </c>
      <c r="F71" s="16">
        <f>IFERROR(ALL!J8,0)</f>
        <v>0</v>
      </c>
      <c r="G71" s="16">
        <f>IFERROR(ALL!K8,0)</f>
        <v>0</v>
      </c>
      <c r="H71" s="16">
        <f>IFERROR(ALL!L8,0)</f>
        <v>0</v>
      </c>
      <c r="I71" s="16">
        <f>IFERROR(ALL!M8,0)</f>
        <v>0</v>
      </c>
      <c r="J71" s="16">
        <f>IFERROR(ALL!N8,0)</f>
        <v>0</v>
      </c>
      <c r="K71" s="16">
        <f>IFERROR(ALL!O8,0)</f>
        <v>0</v>
      </c>
      <c r="L71" s="16">
        <f>IFERROR(ALL!P8,0)</f>
        <v>0</v>
      </c>
      <c r="M71" s="16">
        <f>IFERROR(ALL!Q8,0)</f>
        <v>0</v>
      </c>
      <c r="N71" s="16">
        <f>IFERROR(ALL!R8,0)</f>
        <v>0</v>
      </c>
      <c r="O71" s="16">
        <f>IFERROR(ALL!S8,0)</f>
        <v>0</v>
      </c>
      <c r="P71" s="16">
        <f>IFERROR(ALL!T8,0)</f>
        <v>0</v>
      </c>
      <c r="Q71" s="16">
        <f>IFERROR(ALL!U8,0)</f>
        <v>0</v>
      </c>
      <c r="R71" s="16">
        <f>IFERROR(ALL!V8,0)</f>
        <v>0</v>
      </c>
      <c r="S71" s="16">
        <f>IFERROR(ALL!W8,0)</f>
        <v>0</v>
      </c>
      <c r="T71" s="16">
        <f>IFERROR(ALL!X8,0)</f>
        <v>0</v>
      </c>
      <c r="U71" s="16">
        <f>IFERROR(ALL!Y8,0)</f>
        <v>0</v>
      </c>
      <c r="V71" s="16">
        <f>IFERROR(ALL!Z8,0)</f>
        <v>0</v>
      </c>
      <c r="W71" s="16">
        <f>IFERROR(ALL!AA8,0)</f>
        <v>0</v>
      </c>
      <c r="X71" s="16">
        <f>IFERROR(ALL!AB8,0)</f>
        <v>0</v>
      </c>
      <c r="Y71" s="16">
        <f>IFERROR(ALL!AC8,0)</f>
        <v>0</v>
      </c>
      <c r="Z71" s="16">
        <f>IFERROR(ALL!AD8,0)</f>
        <v>0</v>
      </c>
      <c r="AA71" s="16">
        <f>IFERROR(ALL!AE8,0)</f>
        <v>0</v>
      </c>
      <c r="AB71" s="16">
        <f>IFERROR(ALL!AF8,0)</f>
        <v>0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 x14ac:dyDescent="0.4">
      <c r="A72" s="87">
        <f>ALL!E9</f>
        <v>0</v>
      </c>
      <c r="B72" s="16">
        <f>IFERROR(ALL!F9,0)</f>
        <v>0</v>
      </c>
      <c r="C72" s="16">
        <f>IFERROR(ALL!G9,0)</f>
        <v>0</v>
      </c>
      <c r="D72" s="16">
        <f>IFERROR(ALL!H9,0)</f>
        <v>0</v>
      </c>
      <c r="E72" s="16">
        <f>IFERROR(ALL!I9,0)</f>
        <v>0</v>
      </c>
      <c r="F72" s="16">
        <f>IFERROR(ALL!J9,0)</f>
        <v>0</v>
      </c>
      <c r="G72" s="16">
        <f>IFERROR(ALL!K9,0)</f>
        <v>0</v>
      </c>
      <c r="H72" s="16">
        <f>IFERROR(ALL!L9,0)</f>
        <v>0</v>
      </c>
      <c r="I72" s="16">
        <f>IFERROR(ALL!M9,0)</f>
        <v>0</v>
      </c>
      <c r="J72" s="16">
        <f>IFERROR(ALL!N9,0)</f>
        <v>0</v>
      </c>
      <c r="K72" s="16">
        <f>IFERROR(ALL!O9,0)</f>
        <v>0</v>
      </c>
      <c r="L72" s="16">
        <f>IFERROR(ALL!P9,0)</f>
        <v>0</v>
      </c>
      <c r="M72" s="16">
        <f>IFERROR(ALL!Q9,0)</f>
        <v>0</v>
      </c>
      <c r="N72" s="16">
        <f>IFERROR(ALL!R9,0)</f>
        <v>0</v>
      </c>
      <c r="O72" s="16">
        <f>IFERROR(ALL!S9,0)</f>
        <v>0</v>
      </c>
      <c r="P72" s="16">
        <f>IFERROR(ALL!T9,0)</f>
        <v>0</v>
      </c>
      <c r="Q72" s="16">
        <f>IFERROR(ALL!U9,0)</f>
        <v>0</v>
      </c>
      <c r="R72" s="16">
        <f>IFERROR(ALL!V9,0)</f>
        <v>0</v>
      </c>
      <c r="S72" s="16">
        <f>IFERROR(ALL!W9,0)</f>
        <v>0</v>
      </c>
      <c r="T72" s="16">
        <f>IFERROR(ALL!X9,0)</f>
        <v>0</v>
      </c>
      <c r="U72" s="16">
        <f>IFERROR(ALL!Y9,0)</f>
        <v>0</v>
      </c>
      <c r="V72" s="16">
        <f>IFERROR(ALL!Z9,0)</f>
        <v>0</v>
      </c>
      <c r="W72" s="16">
        <f>IFERROR(ALL!AA9,0)</f>
        <v>0</v>
      </c>
      <c r="X72" s="16">
        <f>IFERROR(ALL!AB9,0)</f>
        <v>0</v>
      </c>
      <c r="Y72" s="16">
        <f>IFERROR(ALL!AC9,0)</f>
        <v>0</v>
      </c>
      <c r="Z72" s="16">
        <f>IFERROR(ALL!AD9,0)</f>
        <v>0</v>
      </c>
      <c r="AA72" s="16">
        <f>IFERROR(ALL!AE9,0)</f>
        <v>0</v>
      </c>
      <c r="AB72" s="16">
        <f>IFERROR(ALL!AF9,0)</f>
        <v>0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 x14ac:dyDescent="0.4">
      <c r="A73" s="87">
        <f>ALL!E10</f>
        <v>0</v>
      </c>
      <c r="B73" s="16">
        <f>IFERROR(ALL!F10,0)</f>
        <v>0</v>
      </c>
      <c r="C73" s="16">
        <f>IFERROR(ALL!G10,0)</f>
        <v>0</v>
      </c>
      <c r="D73" s="16">
        <f>IFERROR(ALL!H10,0)</f>
        <v>0</v>
      </c>
      <c r="E73" s="16">
        <f>IFERROR(ALL!I10,0)</f>
        <v>0</v>
      </c>
      <c r="F73" s="16">
        <f>IFERROR(ALL!J10,0)</f>
        <v>0</v>
      </c>
      <c r="G73" s="16">
        <f>IFERROR(ALL!K10,0)</f>
        <v>0</v>
      </c>
      <c r="H73" s="16">
        <f>IFERROR(ALL!L10,0)</f>
        <v>0</v>
      </c>
      <c r="I73" s="16">
        <f>IFERROR(ALL!M10,0)</f>
        <v>0</v>
      </c>
      <c r="J73" s="16">
        <f>IFERROR(ALL!N10,0)</f>
        <v>0</v>
      </c>
      <c r="K73" s="16">
        <f>IFERROR(ALL!O10,0)</f>
        <v>0</v>
      </c>
      <c r="L73" s="16">
        <f>IFERROR(ALL!P10,0)</f>
        <v>0</v>
      </c>
      <c r="M73" s="16">
        <f>IFERROR(ALL!Q10,0)</f>
        <v>0</v>
      </c>
      <c r="N73" s="16">
        <f>IFERROR(ALL!R10,0)</f>
        <v>0</v>
      </c>
      <c r="O73" s="16">
        <f>IFERROR(ALL!S10,0)</f>
        <v>0</v>
      </c>
      <c r="P73" s="16">
        <f>IFERROR(ALL!T10,0)</f>
        <v>0</v>
      </c>
      <c r="Q73" s="16">
        <f>IFERROR(ALL!U10,0)</f>
        <v>0</v>
      </c>
      <c r="R73" s="16">
        <f>IFERROR(ALL!V10,0)</f>
        <v>0</v>
      </c>
      <c r="S73" s="16">
        <f>IFERROR(ALL!W10,0)</f>
        <v>0</v>
      </c>
      <c r="T73" s="16">
        <f>IFERROR(ALL!X10,0)</f>
        <v>0</v>
      </c>
      <c r="U73" s="16">
        <f>IFERROR(ALL!Y10,0)</f>
        <v>0</v>
      </c>
      <c r="V73" s="16">
        <f>IFERROR(ALL!Z10,0)</f>
        <v>0</v>
      </c>
      <c r="W73" s="16">
        <f>IFERROR(ALL!AA10,0)</f>
        <v>0</v>
      </c>
      <c r="X73" s="16">
        <f>IFERROR(ALL!AB10,0)</f>
        <v>0</v>
      </c>
      <c r="Y73" s="16">
        <f>IFERROR(ALL!AC10,0)</f>
        <v>0</v>
      </c>
      <c r="Z73" s="16">
        <f>IFERROR(ALL!AD10,0)</f>
        <v>0</v>
      </c>
      <c r="AA73" s="16">
        <f>IFERROR(ALL!AE10,0)</f>
        <v>0</v>
      </c>
      <c r="AB73" s="16">
        <f>IFERROR(ALL!AF10,0)</f>
        <v>0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 x14ac:dyDescent="0.4">
      <c r="A74" s="87">
        <f>ALL!E11</f>
        <v>0</v>
      </c>
      <c r="B74" s="16">
        <f>IFERROR(ALL!F11,0)</f>
        <v>0</v>
      </c>
      <c r="C74" s="16">
        <f>IFERROR(ALL!G11,0)</f>
        <v>0</v>
      </c>
      <c r="D74" s="16">
        <f>IFERROR(ALL!H11,0)</f>
        <v>0</v>
      </c>
      <c r="E74" s="16">
        <f>IFERROR(ALL!I11,0)</f>
        <v>0</v>
      </c>
      <c r="F74" s="16">
        <f>IFERROR(ALL!J11,0)</f>
        <v>0</v>
      </c>
      <c r="G74" s="16">
        <f>IFERROR(ALL!K11,0)</f>
        <v>0</v>
      </c>
      <c r="H74" s="16">
        <f>IFERROR(ALL!L11,0)</f>
        <v>0</v>
      </c>
      <c r="I74" s="16">
        <f>IFERROR(ALL!M11,0)</f>
        <v>0</v>
      </c>
      <c r="J74" s="16">
        <f>IFERROR(ALL!N11,0)</f>
        <v>0</v>
      </c>
      <c r="K74" s="16">
        <f>IFERROR(ALL!O11,0)</f>
        <v>0</v>
      </c>
      <c r="L74" s="16">
        <f>IFERROR(ALL!P11,0)</f>
        <v>0</v>
      </c>
      <c r="M74" s="16">
        <f>IFERROR(ALL!Q11,0)</f>
        <v>0</v>
      </c>
      <c r="N74" s="16">
        <f>IFERROR(ALL!R11,0)</f>
        <v>0</v>
      </c>
      <c r="O74" s="16">
        <f>IFERROR(ALL!S11,0)</f>
        <v>0</v>
      </c>
      <c r="P74" s="16">
        <f>IFERROR(ALL!T11,0)</f>
        <v>0</v>
      </c>
      <c r="Q74" s="16">
        <f>IFERROR(ALL!U11,0)</f>
        <v>0</v>
      </c>
      <c r="R74" s="16">
        <f>IFERROR(ALL!V11,0)</f>
        <v>0</v>
      </c>
      <c r="S74" s="16">
        <f>IFERROR(ALL!W11,0)</f>
        <v>0</v>
      </c>
      <c r="T74" s="16">
        <f>IFERROR(ALL!X11,0)</f>
        <v>0</v>
      </c>
      <c r="U74" s="16">
        <f>IFERROR(ALL!Y11,0)</f>
        <v>0</v>
      </c>
      <c r="V74" s="16">
        <f>IFERROR(ALL!Z11,0)</f>
        <v>0</v>
      </c>
      <c r="W74" s="16">
        <f>IFERROR(ALL!AA11,0)</f>
        <v>0</v>
      </c>
      <c r="X74" s="16">
        <f>IFERROR(ALL!AB11,0)</f>
        <v>0</v>
      </c>
      <c r="Y74" s="16">
        <f>IFERROR(ALL!AC11,0)</f>
        <v>0</v>
      </c>
      <c r="Z74" s="16">
        <f>IFERROR(ALL!AD11,0)</f>
        <v>0</v>
      </c>
      <c r="AA74" s="16">
        <f>IFERROR(ALL!AE11,0)</f>
        <v>0</v>
      </c>
      <c r="AB74" s="16">
        <f>IFERROR(ALL!AF11,0)</f>
        <v>0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 x14ac:dyDescent="0.4">
      <c r="A75" s="87">
        <f>ALL!E12</f>
        <v>0</v>
      </c>
      <c r="B75" s="16">
        <f>IFERROR(ALL!F12,0)</f>
        <v>0</v>
      </c>
      <c r="C75" s="16">
        <f>IFERROR(ALL!G12,0)</f>
        <v>0</v>
      </c>
      <c r="D75" s="16">
        <f>IFERROR(ALL!H12,0)</f>
        <v>0</v>
      </c>
      <c r="E75" s="16">
        <f>IFERROR(ALL!I12,0)</f>
        <v>0</v>
      </c>
      <c r="F75" s="16">
        <f>IFERROR(ALL!J12,0)</f>
        <v>0</v>
      </c>
      <c r="G75" s="16">
        <f>IFERROR(ALL!K12,0)</f>
        <v>0</v>
      </c>
      <c r="H75" s="16">
        <f>IFERROR(ALL!L12,0)</f>
        <v>0</v>
      </c>
      <c r="I75" s="16">
        <f>IFERROR(ALL!M12,0)</f>
        <v>0</v>
      </c>
      <c r="J75" s="16">
        <f>IFERROR(ALL!N12,0)</f>
        <v>0</v>
      </c>
      <c r="K75" s="16">
        <f>IFERROR(ALL!O12,0)</f>
        <v>0</v>
      </c>
      <c r="L75" s="16">
        <f>IFERROR(ALL!P12,0)</f>
        <v>0</v>
      </c>
      <c r="M75" s="16">
        <f>IFERROR(ALL!Q12,0)</f>
        <v>0</v>
      </c>
      <c r="N75" s="16">
        <f>IFERROR(ALL!R12,0)</f>
        <v>0</v>
      </c>
      <c r="O75" s="16">
        <f>IFERROR(ALL!S12,0)</f>
        <v>0</v>
      </c>
      <c r="P75" s="16">
        <f>IFERROR(ALL!T12,0)</f>
        <v>0</v>
      </c>
      <c r="Q75" s="16">
        <f>IFERROR(ALL!U12,0)</f>
        <v>0</v>
      </c>
      <c r="R75" s="16">
        <f>IFERROR(ALL!V12,0)</f>
        <v>0</v>
      </c>
      <c r="S75" s="16">
        <f>IFERROR(ALL!W12,0)</f>
        <v>0</v>
      </c>
      <c r="T75" s="16">
        <f>IFERROR(ALL!X12,0)</f>
        <v>0</v>
      </c>
      <c r="U75" s="16">
        <f>IFERROR(ALL!Y12,0)</f>
        <v>0</v>
      </c>
      <c r="V75" s="16">
        <f>IFERROR(ALL!Z12,0)</f>
        <v>0</v>
      </c>
      <c r="W75" s="16">
        <f>IFERROR(ALL!AA12,0)</f>
        <v>0</v>
      </c>
      <c r="X75" s="16">
        <f>IFERROR(ALL!AB12,0)</f>
        <v>0</v>
      </c>
      <c r="Y75" s="16">
        <f>IFERROR(ALL!AC12,0)</f>
        <v>0</v>
      </c>
      <c r="Z75" s="16">
        <f>IFERROR(ALL!AD12,0)</f>
        <v>0</v>
      </c>
      <c r="AA75" s="16">
        <f>IFERROR(ALL!AE12,0)</f>
        <v>0</v>
      </c>
      <c r="AB75" s="16">
        <f>IFERROR(ALL!AF12,0)</f>
        <v>0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 x14ac:dyDescent="0.4">
      <c r="A76" s="87">
        <f>ALL!E13</f>
        <v>0</v>
      </c>
      <c r="B76" s="16">
        <f>IFERROR(ALL!F13,0)</f>
        <v>0</v>
      </c>
      <c r="C76" s="16">
        <f>IFERROR(ALL!G13,0)</f>
        <v>0</v>
      </c>
      <c r="D76" s="16">
        <f>IFERROR(ALL!H13,0)</f>
        <v>0</v>
      </c>
      <c r="E76" s="16">
        <f>IFERROR(ALL!I13,0)</f>
        <v>0</v>
      </c>
      <c r="F76" s="16">
        <f>IFERROR(ALL!J13,0)</f>
        <v>0</v>
      </c>
      <c r="G76" s="16">
        <f>IFERROR(ALL!K13,0)</f>
        <v>0</v>
      </c>
      <c r="H76" s="16">
        <f>IFERROR(ALL!L13,0)</f>
        <v>0</v>
      </c>
      <c r="I76" s="16">
        <f>IFERROR(ALL!M13,0)</f>
        <v>0</v>
      </c>
      <c r="J76" s="16">
        <f>IFERROR(ALL!N13,0)</f>
        <v>0</v>
      </c>
      <c r="K76" s="16">
        <f>IFERROR(ALL!O13,0)</f>
        <v>0</v>
      </c>
      <c r="L76" s="16">
        <f>IFERROR(ALL!P13,0)</f>
        <v>0</v>
      </c>
      <c r="M76" s="16">
        <f>IFERROR(ALL!Q13,0)</f>
        <v>0</v>
      </c>
      <c r="N76" s="16">
        <f>IFERROR(ALL!R13,0)</f>
        <v>0</v>
      </c>
      <c r="O76" s="16">
        <f>IFERROR(ALL!S13,0)</f>
        <v>0</v>
      </c>
      <c r="P76" s="16">
        <f>IFERROR(ALL!T13,0)</f>
        <v>0</v>
      </c>
      <c r="Q76" s="16">
        <f>IFERROR(ALL!U13,0)</f>
        <v>0</v>
      </c>
      <c r="R76" s="16">
        <f>IFERROR(ALL!V13,0)</f>
        <v>0</v>
      </c>
      <c r="S76" s="16">
        <f>IFERROR(ALL!W13,0)</f>
        <v>0</v>
      </c>
      <c r="T76" s="16">
        <f>IFERROR(ALL!X13,0)</f>
        <v>0</v>
      </c>
      <c r="U76" s="16">
        <f>IFERROR(ALL!Y13,0)</f>
        <v>0</v>
      </c>
      <c r="V76" s="16">
        <f>IFERROR(ALL!Z13,0)</f>
        <v>0</v>
      </c>
      <c r="W76" s="16">
        <f>IFERROR(ALL!AA13,0)</f>
        <v>0</v>
      </c>
      <c r="X76" s="16">
        <f>IFERROR(ALL!AB13,0)</f>
        <v>0</v>
      </c>
      <c r="Y76" s="16">
        <f>IFERROR(ALL!AC13,0)</f>
        <v>0</v>
      </c>
      <c r="Z76" s="16">
        <f>IFERROR(ALL!AD13,0)</f>
        <v>0</v>
      </c>
      <c r="AA76" s="16">
        <f>IFERROR(ALL!AE13,0)</f>
        <v>0</v>
      </c>
      <c r="AB76" s="16">
        <f>IFERROR(ALL!AF13,0)</f>
        <v>0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 x14ac:dyDescent="0.4">
      <c r="A77" s="87">
        <f>ALL!E14</f>
        <v>0</v>
      </c>
      <c r="B77" s="16">
        <f>IFERROR(ALL!F14,0)</f>
        <v>0</v>
      </c>
      <c r="C77" s="16">
        <f>IFERROR(ALL!G14,0)</f>
        <v>0</v>
      </c>
      <c r="D77" s="16">
        <f>IFERROR(ALL!H14,0)</f>
        <v>0</v>
      </c>
      <c r="E77" s="16">
        <f>IFERROR(ALL!I14,0)</f>
        <v>0</v>
      </c>
      <c r="F77" s="16">
        <f>IFERROR(ALL!J14,0)</f>
        <v>0</v>
      </c>
      <c r="G77" s="16">
        <f>IFERROR(ALL!K14,0)</f>
        <v>0</v>
      </c>
      <c r="H77" s="16">
        <f>IFERROR(ALL!L14,0)</f>
        <v>0</v>
      </c>
      <c r="I77" s="16">
        <f>IFERROR(ALL!M14,0)</f>
        <v>0</v>
      </c>
      <c r="J77" s="16">
        <f>IFERROR(ALL!N14,0)</f>
        <v>0</v>
      </c>
      <c r="K77" s="16">
        <f>IFERROR(ALL!O14,0)</f>
        <v>0</v>
      </c>
      <c r="L77" s="16">
        <f>IFERROR(ALL!P14,0)</f>
        <v>0</v>
      </c>
      <c r="M77" s="16">
        <f>IFERROR(ALL!Q14,0)</f>
        <v>0</v>
      </c>
      <c r="N77" s="16">
        <f>IFERROR(ALL!R14,0)</f>
        <v>0</v>
      </c>
      <c r="O77" s="16">
        <f>IFERROR(ALL!S14,0)</f>
        <v>0</v>
      </c>
      <c r="P77" s="16">
        <f>IFERROR(ALL!T14,0)</f>
        <v>0</v>
      </c>
      <c r="Q77" s="16">
        <f>IFERROR(ALL!U14,0)</f>
        <v>0</v>
      </c>
      <c r="R77" s="16">
        <f>IFERROR(ALL!V14,0)</f>
        <v>0</v>
      </c>
      <c r="S77" s="16">
        <f>IFERROR(ALL!W14,0)</f>
        <v>0</v>
      </c>
      <c r="T77" s="16">
        <f>IFERROR(ALL!X14,0)</f>
        <v>0</v>
      </c>
      <c r="U77" s="16">
        <f>IFERROR(ALL!Y14,0)</f>
        <v>0</v>
      </c>
      <c r="V77" s="16">
        <f>IFERROR(ALL!Z14,0)</f>
        <v>0</v>
      </c>
      <c r="W77" s="16">
        <f>IFERROR(ALL!AA14,0)</f>
        <v>0</v>
      </c>
      <c r="X77" s="16">
        <f>IFERROR(ALL!AB14,0)</f>
        <v>0</v>
      </c>
      <c r="Y77" s="16">
        <f>IFERROR(ALL!AC14,0)</f>
        <v>0</v>
      </c>
      <c r="Z77" s="16">
        <f>IFERROR(ALL!AD14,0)</f>
        <v>0</v>
      </c>
      <c r="AA77" s="16">
        <f>IFERROR(ALL!AE14,0)</f>
        <v>0</v>
      </c>
      <c r="AB77" s="16">
        <f>IFERROR(ALL!AF14,0)</f>
        <v>0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 x14ac:dyDescent="0.4">
      <c r="A78" s="87">
        <f>ALL!E15</f>
        <v>0</v>
      </c>
      <c r="B78" s="16">
        <f>IFERROR(ALL!F15,0)</f>
        <v>0</v>
      </c>
      <c r="C78" s="16">
        <f>IFERROR(ALL!G15,0)</f>
        <v>0</v>
      </c>
      <c r="D78" s="16">
        <f>IFERROR(ALL!H15,0)</f>
        <v>0</v>
      </c>
      <c r="E78" s="16">
        <f>IFERROR(ALL!I15,0)</f>
        <v>0</v>
      </c>
      <c r="F78" s="16">
        <f>IFERROR(ALL!J15,0)</f>
        <v>0</v>
      </c>
      <c r="G78" s="16">
        <f>IFERROR(ALL!K15,0)</f>
        <v>0</v>
      </c>
      <c r="H78" s="16">
        <f>IFERROR(ALL!L15,0)</f>
        <v>0</v>
      </c>
      <c r="I78" s="16">
        <f>IFERROR(ALL!M15,0)</f>
        <v>0</v>
      </c>
      <c r="J78" s="16">
        <f>IFERROR(ALL!N15,0)</f>
        <v>0</v>
      </c>
      <c r="K78" s="16">
        <f>IFERROR(ALL!O15,0)</f>
        <v>0</v>
      </c>
      <c r="L78" s="16">
        <f>IFERROR(ALL!P15,0)</f>
        <v>0</v>
      </c>
      <c r="M78" s="16">
        <f>IFERROR(ALL!Q15,0)</f>
        <v>0</v>
      </c>
      <c r="N78" s="16">
        <f>IFERROR(ALL!R15,0)</f>
        <v>0</v>
      </c>
      <c r="O78" s="16">
        <f>IFERROR(ALL!S15,0)</f>
        <v>0</v>
      </c>
      <c r="P78" s="16">
        <f>IFERROR(ALL!T15,0)</f>
        <v>0</v>
      </c>
      <c r="Q78" s="16">
        <f>IFERROR(ALL!U15,0)</f>
        <v>0</v>
      </c>
      <c r="R78" s="16">
        <f>IFERROR(ALL!V15,0)</f>
        <v>0</v>
      </c>
      <c r="S78" s="16">
        <f>IFERROR(ALL!W15,0)</f>
        <v>0</v>
      </c>
      <c r="T78" s="16">
        <f>IFERROR(ALL!X15,0)</f>
        <v>0</v>
      </c>
      <c r="U78" s="16">
        <f>IFERROR(ALL!Y15,0)</f>
        <v>0</v>
      </c>
      <c r="V78" s="16">
        <f>IFERROR(ALL!Z15,0)</f>
        <v>0</v>
      </c>
      <c r="W78" s="16">
        <f>IFERROR(ALL!AA15,0)</f>
        <v>0</v>
      </c>
      <c r="X78" s="16">
        <f>IFERROR(ALL!AB15,0)</f>
        <v>0</v>
      </c>
      <c r="Y78" s="16">
        <f>IFERROR(ALL!AC15,0)</f>
        <v>0</v>
      </c>
      <c r="Z78" s="16">
        <f>IFERROR(ALL!AD15,0)</f>
        <v>0</v>
      </c>
      <c r="AA78" s="16">
        <f>IFERROR(ALL!AE15,0)</f>
        <v>0</v>
      </c>
      <c r="AB78" s="16">
        <f>IFERROR(ALL!AF15,0)</f>
        <v>0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 x14ac:dyDescent="0.4">
      <c r="A79" s="87">
        <f>ALL!E16</f>
        <v>0</v>
      </c>
      <c r="B79" s="16">
        <f>IFERROR(ALL!F16,0)</f>
        <v>0</v>
      </c>
      <c r="C79" s="16">
        <f>IFERROR(ALL!G16,0)</f>
        <v>0</v>
      </c>
      <c r="D79" s="16">
        <f>IFERROR(ALL!H16,0)</f>
        <v>0</v>
      </c>
      <c r="E79" s="16">
        <f>IFERROR(ALL!I16,0)</f>
        <v>0</v>
      </c>
      <c r="F79" s="16">
        <f>IFERROR(ALL!J16,0)</f>
        <v>0</v>
      </c>
      <c r="G79" s="16">
        <f>IFERROR(ALL!K16,0)</f>
        <v>0</v>
      </c>
      <c r="H79" s="16">
        <f>IFERROR(ALL!L16,0)</f>
        <v>0</v>
      </c>
      <c r="I79" s="16">
        <f>IFERROR(ALL!M16,0)</f>
        <v>0</v>
      </c>
      <c r="J79" s="16">
        <f>IFERROR(ALL!N16,0)</f>
        <v>0</v>
      </c>
      <c r="K79" s="16">
        <f>IFERROR(ALL!O16,0)</f>
        <v>0</v>
      </c>
      <c r="L79" s="16">
        <f>IFERROR(ALL!P16,0)</f>
        <v>0</v>
      </c>
      <c r="M79" s="16">
        <f>IFERROR(ALL!Q16,0)</f>
        <v>0</v>
      </c>
      <c r="N79" s="16">
        <f>IFERROR(ALL!R16,0)</f>
        <v>0</v>
      </c>
      <c r="O79" s="16">
        <f>IFERROR(ALL!S16,0)</f>
        <v>0</v>
      </c>
      <c r="P79" s="16">
        <f>IFERROR(ALL!T16,0)</f>
        <v>0</v>
      </c>
      <c r="Q79" s="16">
        <f>IFERROR(ALL!U16,0)</f>
        <v>0</v>
      </c>
      <c r="R79" s="16">
        <f>IFERROR(ALL!V16,0)</f>
        <v>0</v>
      </c>
      <c r="S79" s="16">
        <f>IFERROR(ALL!W16,0)</f>
        <v>0</v>
      </c>
      <c r="T79" s="16">
        <f>IFERROR(ALL!X16,0)</f>
        <v>0</v>
      </c>
      <c r="U79" s="16">
        <f>IFERROR(ALL!Y16,0)</f>
        <v>0</v>
      </c>
      <c r="V79" s="16">
        <f>IFERROR(ALL!Z16,0)</f>
        <v>0</v>
      </c>
      <c r="W79" s="16">
        <f>IFERROR(ALL!AA16,0)</f>
        <v>0</v>
      </c>
      <c r="X79" s="16">
        <f>IFERROR(ALL!AB16,0)</f>
        <v>0</v>
      </c>
      <c r="Y79" s="16">
        <f>IFERROR(ALL!AC16,0)</f>
        <v>0</v>
      </c>
      <c r="Z79" s="16">
        <f>IFERROR(ALL!AD16,0)</f>
        <v>0</v>
      </c>
      <c r="AA79" s="16">
        <f>IFERROR(ALL!AE16,0)</f>
        <v>0</v>
      </c>
      <c r="AB79" s="16">
        <f>IFERROR(ALL!AF16,0)</f>
        <v>0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 x14ac:dyDescent="0.4">
      <c r="A80" s="87">
        <f>ALL!E17</f>
        <v>0</v>
      </c>
      <c r="B80" s="16">
        <f>IFERROR(ALL!F17,0)</f>
        <v>0</v>
      </c>
      <c r="C80" s="16">
        <f>IFERROR(ALL!G17,0)</f>
        <v>0</v>
      </c>
      <c r="D80" s="16">
        <f>IFERROR(ALL!H17,0)</f>
        <v>0</v>
      </c>
      <c r="E80" s="16">
        <f>IFERROR(ALL!I17,0)</f>
        <v>0</v>
      </c>
      <c r="F80" s="16">
        <f>IFERROR(ALL!J17,0)</f>
        <v>0</v>
      </c>
      <c r="G80" s="16">
        <f>IFERROR(ALL!K17,0)</f>
        <v>0</v>
      </c>
      <c r="H80" s="16">
        <f>IFERROR(ALL!L17,0)</f>
        <v>0</v>
      </c>
      <c r="I80" s="16">
        <f>IFERROR(ALL!M17,0)</f>
        <v>0</v>
      </c>
      <c r="J80" s="16">
        <f>IFERROR(ALL!N17,0)</f>
        <v>0</v>
      </c>
      <c r="K80" s="16">
        <f>IFERROR(ALL!O17,0)</f>
        <v>0</v>
      </c>
      <c r="L80" s="16">
        <f>IFERROR(ALL!P17,0)</f>
        <v>0</v>
      </c>
      <c r="M80" s="16">
        <f>IFERROR(ALL!Q17,0)</f>
        <v>0</v>
      </c>
      <c r="N80" s="16">
        <f>IFERROR(ALL!R17,0)</f>
        <v>0</v>
      </c>
      <c r="O80" s="16">
        <f>IFERROR(ALL!S17,0)</f>
        <v>0</v>
      </c>
      <c r="P80" s="16">
        <f>IFERROR(ALL!T17,0)</f>
        <v>0</v>
      </c>
      <c r="Q80" s="16">
        <f>IFERROR(ALL!U17,0)</f>
        <v>0</v>
      </c>
      <c r="R80" s="16">
        <f>IFERROR(ALL!V17,0)</f>
        <v>0</v>
      </c>
      <c r="S80" s="16">
        <f>IFERROR(ALL!W17,0)</f>
        <v>0</v>
      </c>
      <c r="T80" s="16">
        <f>IFERROR(ALL!X17,0)</f>
        <v>0</v>
      </c>
      <c r="U80" s="16">
        <f>IFERROR(ALL!Y17,0)</f>
        <v>0</v>
      </c>
      <c r="V80" s="16">
        <f>IFERROR(ALL!Z17,0)</f>
        <v>0</v>
      </c>
      <c r="W80" s="16">
        <f>IFERROR(ALL!AA17,0)</f>
        <v>0</v>
      </c>
      <c r="X80" s="16">
        <f>IFERROR(ALL!AB17,0)</f>
        <v>0</v>
      </c>
      <c r="Y80" s="16">
        <f>IFERROR(ALL!AC17,0)</f>
        <v>0</v>
      </c>
      <c r="Z80" s="16">
        <f>IFERROR(ALL!AD17,0)</f>
        <v>0</v>
      </c>
      <c r="AA80" s="16">
        <f>IFERROR(ALL!AE17,0)</f>
        <v>0</v>
      </c>
      <c r="AB80" s="16">
        <f>IFERROR(ALL!AF17,0)</f>
        <v>0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 x14ac:dyDescent="0.4">
      <c r="A81" s="87">
        <f>ALL!E18</f>
        <v>0</v>
      </c>
      <c r="B81" s="16">
        <f>IFERROR(ALL!F18,0)</f>
        <v>0</v>
      </c>
      <c r="C81" s="16">
        <f>IFERROR(ALL!G18,0)</f>
        <v>0</v>
      </c>
      <c r="D81" s="16">
        <f>IFERROR(ALL!H18,0)</f>
        <v>0</v>
      </c>
      <c r="E81" s="16">
        <f>IFERROR(ALL!I18,0)</f>
        <v>0</v>
      </c>
      <c r="F81" s="16">
        <f>IFERROR(ALL!J18,0)</f>
        <v>0</v>
      </c>
      <c r="G81" s="16">
        <f>IFERROR(ALL!K18,0)</f>
        <v>0</v>
      </c>
      <c r="H81" s="16">
        <f>IFERROR(ALL!L18,0)</f>
        <v>0</v>
      </c>
      <c r="I81" s="16">
        <f>IFERROR(ALL!M18,0)</f>
        <v>0</v>
      </c>
      <c r="J81" s="16">
        <f>IFERROR(ALL!N18,0)</f>
        <v>0</v>
      </c>
      <c r="K81" s="16">
        <f>IFERROR(ALL!O18,0)</f>
        <v>0</v>
      </c>
      <c r="L81" s="16">
        <f>IFERROR(ALL!P18,0)</f>
        <v>0</v>
      </c>
      <c r="M81" s="16">
        <f>IFERROR(ALL!Q18,0)</f>
        <v>0</v>
      </c>
      <c r="N81" s="16">
        <f>IFERROR(ALL!R18,0)</f>
        <v>0</v>
      </c>
      <c r="O81" s="16">
        <f>IFERROR(ALL!S18,0)</f>
        <v>0</v>
      </c>
      <c r="P81" s="16">
        <f>IFERROR(ALL!T18,0)</f>
        <v>0</v>
      </c>
      <c r="Q81" s="16">
        <f>IFERROR(ALL!U18,0)</f>
        <v>0</v>
      </c>
      <c r="R81" s="16">
        <f>IFERROR(ALL!V18,0)</f>
        <v>0</v>
      </c>
      <c r="S81" s="16">
        <f>IFERROR(ALL!W18,0)</f>
        <v>0</v>
      </c>
      <c r="T81" s="16">
        <f>IFERROR(ALL!X18,0)</f>
        <v>0</v>
      </c>
      <c r="U81" s="16">
        <f>IFERROR(ALL!Y18,0)</f>
        <v>0</v>
      </c>
      <c r="V81" s="16">
        <f>IFERROR(ALL!Z18,0)</f>
        <v>0</v>
      </c>
      <c r="W81" s="16">
        <f>IFERROR(ALL!AA18,0)</f>
        <v>0</v>
      </c>
      <c r="X81" s="16">
        <f>IFERROR(ALL!AB18,0)</f>
        <v>0</v>
      </c>
      <c r="Y81" s="16">
        <f>IFERROR(ALL!AC18,0)</f>
        <v>0</v>
      </c>
      <c r="Z81" s="16">
        <f>IFERROR(ALL!AD18,0)</f>
        <v>0</v>
      </c>
      <c r="AA81" s="16">
        <f>IFERROR(ALL!AE18,0)</f>
        <v>0</v>
      </c>
      <c r="AB81" s="16">
        <f>IFERROR(ALL!AF18,0)</f>
        <v>0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 x14ac:dyDescent="0.4">
      <c r="A82" s="87">
        <f>ALL!E19</f>
        <v>0</v>
      </c>
      <c r="B82" s="16">
        <f>IFERROR(ALL!F19,0)</f>
        <v>0</v>
      </c>
      <c r="C82" s="16">
        <f>IFERROR(ALL!G19,0)</f>
        <v>0</v>
      </c>
      <c r="D82" s="16">
        <f>IFERROR(ALL!H19,0)</f>
        <v>0</v>
      </c>
      <c r="E82" s="16">
        <f>IFERROR(ALL!I19,0)</f>
        <v>0</v>
      </c>
      <c r="F82" s="16">
        <f>IFERROR(ALL!J19,0)</f>
        <v>0</v>
      </c>
      <c r="G82" s="16">
        <f>IFERROR(ALL!K19,0)</f>
        <v>0</v>
      </c>
      <c r="H82" s="16">
        <f>IFERROR(ALL!L19,0)</f>
        <v>0</v>
      </c>
      <c r="I82" s="16">
        <f>IFERROR(ALL!M19,0)</f>
        <v>0</v>
      </c>
      <c r="J82" s="16">
        <f>IFERROR(ALL!N19,0)</f>
        <v>0</v>
      </c>
      <c r="K82" s="16">
        <f>IFERROR(ALL!O19,0)</f>
        <v>0</v>
      </c>
      <c r="L82" s="16">
        <f>IFERROR(ALL!P19,0)</f>
        <v>0</v>
      </c>
      <c r="M82" s="16">
        <f>IFERROR(ALL!Q19,0)</f>
        <v>0</v>
      </c>
      <c r="N82" s="16">
        <f>IFERROR(ALL!R19,0)</f>
        <v>0</v>
      </c>
      <c r="O82" s="16">
        <f>IFERROR(ALL!S19,0)</f>
        <v>0</v>
      </c>
      <c r="P82" s="16">
        <f>IFERROR(ALL!T19,0)</f>
        <v>0</v>
      </c>
      <c r="Q82" s="16">
        <f>IFERROR(ALL!U19,0)</f>
        <v>0</v>
      </c>
      <c r="R82" s="16">
        <f>IFERROR(ALL!V19,0)</f>
        <v>0</v>
      </c>
      <c r="S82" s="16">
        <f>IFERROR(ALL!W19,0)</f>
        <v>0</v>
      </c>
      <c r="T82" s="16">
        <f>IFERROR(ALL!X19,0)</f>
        <v>0</v>
      </c>
      <c r="U82" s="16">
        <f>IFERROR(ALL!Y19,0)</f>
        <v>0</v>
      </c>
      <c r="V82" s="16">
        <f>IFERROR(ALL!Z19,0)</f>
        <v>0</v>
      </c>
      <c r="W82" s="16">
        <f>IFERROR(ALL!AA19,0)</f>
        <v>0</v>
      </c>
      <c r="X82" s="16">
        <f>IFERROR(ALL!AB19,0)</f>
        <v>0</v>
      </c>
      <c r="Y82" s="16">
        <f>IFERROR(ALL!AC19,0)</f>
        <v>0</v>
      </c>
      <c r="Z82" s="16">
        <f>IFERROR(ALL!AD19,0)</f>
        <v>0</v>
      </c>
      <c r="AA82" s="16">
        <f>IFERROR(ALL!AE19,0)</f>
        <v>0</v>
      </c>
      <c r="AB82" s="16">
        <f>IFERROR(ALL!AF19,0)</f>
        <v>0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 x14ac:dyDescent="0.4">
      <c r="A83" s="87">
        <f>ALL!E20</f>
        <v>0</v>
      </c>
      <c r="B83" s="16">
        <f>IFERROR(ALL!F20,0)</f>
        <v>0</v>
      </c>
      <c r="C83" s="16">
        <f>IFERROR(ALL!G20,0)</f>
        <v>0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0</v>
      </c>
      <c r="J83" s="16">
        <f>IFERROR(ALL!N20,0)</f>
        <v>0</v>
      </c>
      <c r="K83" s="16">
        <f>IFERROR(ALL!O20,0)</f>
        <v>0</v>
      </c>
      <c r="L83" s="16">
        <f>IFERROR(ALL!P20,0)</f>
        <v>0</v>
      </c>
      <c r="M83" s="16">
        <f>IFERROR(ALL!Q20,0)</f>
        <v>0</v>
      </c>
      <c r="N83" s="16">
        <f>IFERROR(ALL!R20,0)</f>
        <v>0</v>
      </c>
      <c r="O83" s="16">
        <f>IFERROR(ALL!S20,0)</f>
        <v>0</v>
      </c>
      <c r="P83" s="16">
        <f>IFERROR(ALL!T20,0)</f>
        <v>0</v>
      </c>
      <c r="Q83" s="16">
        <f>IFERROR(ALL!U20,0)</f>
        <v>0</v>
      </c>
      <c r="R83" s="16">
        <f>IFERROR(ALL!V20,0)</f>
        <v>0</v>
      </c>
      <c r="S83" s="16">
        <f>IFERROR(ALL!W20,0)</f>
        <v>0</v>
      </c>
      <c r="T83" s="16">
        <f>IFERROR(ALL!X20,0)</f>
        <v>0</v>
      </c>
      <c r="U83" s="16">
        <f>IFERROR(ALL!Y20,0)</f>
        <v>0</v>
      </c>
      <c r="V83" s="16">
        <f>IFERROR(ALL!Z20,0)</f>
        <v>0</v>
      </c>
      <c r="W83" s="16">
        <f>IFERROR(ALL!AA20,0)</f>
        <v>0</v>
      </c>
      <c r="X83" s="16">
        <f>IFERROR(ALL!AB20,0)</f>
        <v>0</v>
      </c>
      <c r="Y83" s="16">
        <f>IFERROR(ALL!AC20,0)</f>
        <v>0</v>
      </c>
      <c r="Z83" s="16">
        <f>IFERROR(ALL!AD20,0)</f>
        <v>0</v>
      </c>
      <c r="AA83" s="16">
        <f>IFERROR(ALL!AE20,0)</f>
        <v>0</v>
      </c>
      <c r="AB83" s="16">
        <f>IFERROR(ALL!AF20,0)</f>
        <v>0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 x14ac:dyDescent="0.4">
      <c r="A84" s="87">
        <f>ALL!E21</f>
        <v>0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0</v>
      </c>
      <c r="J84" s="16">
        <f>IFERROR(ALL!N21,0)</f>
        <v>0</v>
      </c>
      <c r="K84" s="16">
        <f>IFERROR(ALL!O21,0)</f>
        <v>0</v>
      </c>
      <c r="L84" s="16">
        <f>IFERROR(ALL!P21,0)</f>
        <v>0</v>
      </c>
      <c r="M84" s="16">
        <f>IFERROR(ALL!Q21,0)</f>
        <v>0</v>
      </c>
      <c r="N84" s="16">
        <f>IFERROR(ALL!R21,0)</f>
        <v>0</v>
      </c>
      <c r="O84" s="16">
        <f>IFERROR(ALL!S21,0)</f>
        <v>0</v>
      </c>
      <c r="P84" s="16">
        <f>IFERROR(ALL!T21,0)</f>
        <v>0</v>
      </c>
      <c r="Q84" s="16">
        <f>IFERROR(ALL!U21,0)</f>
        <v>0</v>
      </c>
      <c r="R84" s="16">
        <f>IFERROR(ALL!V21,0)</f>
        <v>0</v>
      </c>
      <c r="S84" s="16">
        <f>IFERROR(ALL!W21,0)</f>
        <v>0</v>
      </c>
      <c r="T84" s="16">
        <f>IFERROR(ALL!X21,0)</f>
        <v>0</v>
      </c>
      <c r="U84" s="16">
        <f>IFERROR(ALL!Y21,0)</f>
        <v>0</v>
      </c>
      <c r="V84" s="16">
        <f>IFERROR(ALL!Z21,0)</f>
        <v>0</v>
      </c>
      <c r="W84" s="16">
        <f>IFERROR(ALL!AA21,0)</f>
        <v>0</v>
      </c>
      <c r="X84" s="16">
        <f>IFERROR(ALL!AB21,0)</f>
        <v>0</v>
      </c>
      <c r="Y84" s="16">
        <f>IFERROR(ALL!AC21,0)</f>
        <v>0</v>
      </c>
      <c r="Z84" s="16">
        <f>IFERROR(ALL!AD21,0)</f>
        <v>0</v>
      </c>
      <c r="AA84" s="16">
        <f>IFERROR(ALL!AE21,0)</f>
        <v>0</v>
      </c>
      <c r="AB84" s="16">
        <f>IFERROR(ALL!AF21,0)</f>
        <v>0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 x14ac:dyDescent="0.4">
      <c r="A85" s="87">
        <f>ALL!E22</f>
        <v>0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0</v>
      </c>
      <c r="J85" s="16">
        <f>IFERROR(ALL!N22,0)</f>
        <v>0</v>
      </c>
      <c r="K85" s="16">
        <f>IFERROR(ALL!O22,0)</f>
        <v>0</v>
      </c>
      <c r="L85" s="16">
        <f>IFERROR(ALL!P22,0)</f>
        <v>0</v>
      </c>
      <c r="M85" s="16">
        <f>IFERROR(ALL!Q22,0)</f>
        <v>0</v>
      </c>
      <c r="N85" s="16">
        <f>IFERROR(ALL!R22,0)</f>
        <v>0</v>
      </c>
      <c r="O85" s="16">
        <f>IFERROR(ALL!S22,0)</f>
        <v>0</v>
      </c>
      <c r="P85" s="16">
        <f>IFERROR(ALL!T22,0)</f>
        <v>0</v>
      </c>
      <c r="Q85" s="16">
        <f>IFERROR(ALL!U22,0)</f>
        <v>0</v>
      </c>
      <c r="R85" s="16">
        <f>IFERROR(ALL!V22,0)</f>
        <v>0</v>
      </c>
      <c r="S85" s="16">
        <f>IFERROR(ALL!W22,0)</f>
        <v>0</v>
      </c>
      <c r="T85" s="16">
        <f>IFERROR(ALL!X22,0)</f>
        <v>0</v>
      </c>
      <c r="U85" s="16">
        <f>IFERROR(ALL!Y22,0)</f>
        <v>0</v>
      </c>
      <c r="V85" s="16">
        <f>IFERROR(ALL!Z22,0)</f>
        <v>0</v>
      </c>
      <c r="W85" s="16">
        <f>IFERROR(ALL!AA22,0)</f>
        <v>0</v>
      </c>
      <c r="X85" s="16">
        <f>IFERROR(ALL!AB22,0)</f>
        <v>0</v>
      </c>
      <c r="Y85" s="16">
        <f>IFERROR(ALL!AC22,0)</f>
        <v>0</v>
      </c>
      <c r="Z85" s="16">
        <f>IFERROR(ALL!AD22,0)</f>
        <v>0</v>
      </c>
      <c r="AA85" s="16">
        <f>IFERROR(ALL!AE22,0)</f>
        <v>0</v>
      </c>
      <c r="AB85" s="16">
        <f>IFERROR(ALL!AF22,0)</f>
        <v>0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 x14ac:dyDescent="0.4">
      <c r="A86" s="87">
        <f>ALL!E23</f>
        <v>0</v>
      </c>
      <c r="B86" s="16">
        <f>IFERROR(ALL!F23,0)</f>
        <v>0</v>
      </c>
      <c r="C86" s="16">
        <f>IFERROR(ALL!G23,0)</f>
        <v>0</v>
      </c>
      <c r="D86" s="16">
        <f>IFERROR(ALL!H23,0)</f>
        <v>0</v>
      </c>
      <c r="E86" s="16">
        <f>IFERROR(ALL!I23,0)</f>
        <v>0</v>
      </c>
      <c r="F86" s="16">
        <f>IFERROR(ALL!J23,0)</f>
        <v>0</v>
      </c>
      <c r="G86" s="16">
        <f>IFERROR(ALL!K23,0)</f>
        <v>0</v>
      </c>
      <c r="H86" s="16">
        <f>IFERROR(ALL!L23,0)</f>
        <v>0</v>
      </c>
      <c r="I86" s="16">
        <f>IFERROR(ALL!M23,0)</f>
        <v>0</v>
      </c>
      <c r="J86" s="16">
        <f>IFERROR(ALL!N23,0)</f>
        <v>0</v>
      </c>
      <c r="K86" s="16">
        <f>IFERROR(ALL!O23,0)</f>
        <v>0</v>
      </c>
      <c r="L86" s="16">
        <f>IFERROR(ALL!P23,0)</f>
        <v>0</v>
      </c>
      <c r="M86" s="16">
        <f>IFERROR(ALL!Q23,0)</f>
        <v>0</v>
      </c>
      <c r="N86" s="16">
        <f>IFERROR(ALL!R23,0)</f>
        <v>0</v>
      </c>
      <c r="O86" s="16">
        <f>IFERROR(ALL!S23,0)</f>
        <v>0</v>
      </c>
      <c r="P86" s="16">
        <f>IFERROR(ALL!T23,0)</f>
        <v>0</v>
      </c>
      <c r="Q86" s="16">
        <f>IFERROR(ALL!U23,0)</f>
        <v>0</v>
      </c>
      <c r="R86" s="16">
        <f>IFERROR(ALL!V23,0)</f>
        <v>0</v>
      </c>
      <c r="S86" s="16">
        <f>IFERROR(ALL!W23,0)</f>
        <v>0</v>
      </c>
      <c r="T86" s="16">
        <f>IFERROR(ALL!X23,0)</f>
        <v>0</v>
      </c>
      <c r="U86" s="16">
        <f>IFERROR(ALL!Y23,0)</f>
        <v>0</v>
      </c>
      <c r="V86" s="16">
        <f>IFERROR(ALL!Z23,0)</f>
        <v>0</v>
      </c>
      <c r="W86" s="16">
        <f>IFERROR(ALL!AA23,0)</f>
        <v>0</v>
      </c>
      <c r="X86" s="16">
        <f>IFERROR(ALL!AB23,0)</f>
        <v>0</v>
      </c>
      <c r="Y86" s="16">
        <f>IFERROR(ALL!AC23,0)</f>
        <v>0</v>
      </c>
      <c r="Z86" s="16">
        <f>IFERROR(ALL!AD23,0)</f>
        <v>0</v>
      </c>
      <c r="AA86" s="16">
        <f>IFERROR(ALL!AE23,0)</f>
        <v>0</v>
      </c>
      <c r="AB86" s="16">
        <f>IFERROR(ALL!AF23,0)</f>
        <v>0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 x14ac:dyDescent="0.4">
      <c r="A87" s="87">
        <f>ALL!E24</f>
        <v>0</v>
      </c>
      <c r="B87" s="16">
        <f>IFERROR(ALL!F24,0)</f>
        <v>0</v>
      </c>
      <c r="C87" s="16">
        <f>IFERROR(ALL!G24,0)</f>
        <v>0</v>
      </c>
      <c r="D87" s="16">
        <f>IFERROR(ALL!H24,0)</f>
        <v>0</v>
      </c>
      <c r="E87" s="16">
        <f>IFERROR(ALL!I24,0)</f>
        <v>0</v>
      </c>
      <c r="F87" s="16">
        <f>IFERROR(ALL!J24,0)</f>
        <v>0</v>
      </c>
      <c r="G87" s="16">
        <f>IFERROR(ALL!K24,0)</f>
        <v>0</v>
      </c>
      <c r="H87" s="16">
        <f>IFERROR(ALL!L24,0)</f>
        <v>0</v>
      </c>
      <c r="I87" s="16">
        <f>IFERROR(ALL!M24,0)</f>
        <v>0</v>
      </c>
      <c r="J87" s="16">
        <f>IFERROR(ALL!N24,0)</f>
        <v>0</v>
      </c>
      <c r="K87" s="16">
        <f>IFERROR(ALL!O24,0)</f>
        <v>0</v>
      </c>
      <c r="L87" s="16">
        <f>IFERROR(ALL!P24,0)</f>
        <v>0</v>
      </c>
      <c r="M87" s="16">
        <f>IFERROR(ALL!Q24,0)</f>
        <v>0</v>
      </c>
      <c r="N87" s="16">
        <f>IFERROR(ALL!R24,0)</f>
        <v>0</v>
      </c>
      <c r="O87" s="16">
        <f>IFERROR(ALL!S24,0)</f>
        <v>0</v>
      </c>
      <c r="P87" s="16">
        <f>IFERROR(ALL!T24,0)</f>
        <v>0</v>
      </c>
      <c r="Q87" s="16">
        <f>IFERROR(ALL!U24,0)</f>
        <v>0</v>
      </c>
      <c r="R87" s="16">
        <f>IFERROR(ALL!V24,0)</f>
        <v>0</v>
      </c>
      <c r="S87" s="16">
        <f>IFERROR(ALL!W24,0)</f>
        <v>0</v>
      </c>
      <c r="T87" s="16">
        <f>IFERROR(ALL!X24,0)</f>
        <v>0</v>
      </c>
      <c r="U87" s="16">
        <f>IFERROR(ALL!Y24,0)</f>
        <v>0</v>
      </c>
      <c r="V87" s="16">
        <f>IFERROR(ALL!Z24,0)</f>
        <v>0</v>
      </c>
      <c r="W87" s="16">
        <f>IFERROR(ALL!AA24,0)</f>
        <v>0</v>
      </c>
      <c r="X87" s="16">
        <f>IFERROR(ALL!AB24,0)</f>
        <v>0</v>
      </c>
      <c r="Y87" s="16">
        <f>IFERROR(ALL!AC24,0)</f>
        <v>0</v>
      </c>
      <c r="Z87" s="16">
        <f>IFERROR(ALL!AD24,0)</f>
        <v>0</v>
      </c>
      <c r="AA87" s="16">
        <f>IFERROR(ALL!AE24,0)</f>
        <v>0</v>
      </c>
      <c r="AB87" s="16">
        <f>IFERROR(ALL!AF24,0)</f>
        <v>0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 x14ac:dyDescent="0.4">
      <c r="A88" s="87">
        <f>ALL!E25</f>
        <v>0</v>
      </c>
      <c r="B88" s="16">
        <f>IFERROR(ALL!F25,0)</f>
        <v>0</v>
      </c>
      <c r="C88" s="16">
        <f>IFERROR(ALL!G25,0)</f>
        <v>0</v>
      </c>
      <c r="D88" s="16">
        <f>IFERROR(ALL!H25,0)</f>
        <v>0</v>
      </c>
      <c r="E88" s="16">
        <f>IFERROR(ALL!I25,0)</f>
        <v>0</v>
      </c>
      <c r="F88" s="16">
        <f>IFERROR(ALL!J25,0)</f>
        <v>0</v>
      </c>
      <c r="G88" s="16">
        <f>IFERROR(ALL!K25,0)</f>
        <v>0</v>
      </c>
      <c r="H88" s="16">
        <f>IFERROR(ALL!L25,0)</f>
        <v>0</v>
      </c>
      <c r="I88" s="16">
        <f>IFERROR(ALL!M25,0)</f>
        <v>0</v>
      </c>
      <c r="J88" s="16">
        <f>IFERROR(ALL!N25,0)</f>
        <v>0</v>
      </c>
      <c r="K88" s="16">
        <f>IFERROR(ALL!O25,0)</f>
        <v>0</v>
      </c>
      <c r="L88" s="16">
        <f>IFERROR(ALL!P25,0)</f>
        <v>0</v>
      </c>
      <c r="M88" s="16">
        <f>IFERROR(ALL!Q25,0)</f>
        <v>0</v>
      </c>
      <c r="N88" s="16">
        <f>IFERROR(ALL!R25,0)</f>
        <v>0</v>
      </c>
      <c r="O88" s="16">
        <f>IFERROR(ALL!S25,0)</f>
        <v>0</v>
      </c>
      <c r="P88" s="16">
        <f>IFERROR(ALL!T25,0)</f>
        <v>0</v>
      </c>
      <c r="Q88" s="16">
        <f>IFERROR(ALL!U25,0)</f>
        <v>0</v>
      </c>
      <c r="R88" s="16">
        <f>IFERROR(ALL!V25,0)</f>
        <v>0</v>
      </c>
      <c r="S88" s="16">
        <f>IFERROR(ALL!W25,0)</f>
        <v>0</v>
      </c>
      <c r="T88" s="16">
        <f>IFERROR(ALL!X25,0)</f>
        <v>0</v>
      </c>
      <c r="U88" s="16">
        <f>IFERROR(ALL!Y25,0)</f>
        <v>0</v>
      </c>
      <c r="V88" s="16">
        <f>IFERROR(ALL!Z25,0)</f>
        <v>0</v>
      </c>
      <c r="W88" s="16">
        <f>IFERROR(ALL!AA25,0)</f>
        <v>0</v>
      </c>
      <c r="X88" s="16">
        <f>IFERROR(ALL!AB25,0)</f>
        <v>0</v>
      </c>
      <c r="Y88" s="16">
        <f>IFERROR(ALL!AC25,0)</f>
        <v>0</v>
      </c>
      <c r="Z88" s="16">
        <f>IFERROR(ALL!AD25,0)</f>
        <v>0</v>
      </c>
      <c r="AA88" s="16">
        <f>IFERROR(ALL!AE25,0)</f>
        <v>0</v>
      </c>
      <c r="AB88" s="16">
        <f>IFERROR(ALL!AF25,0)</f>
        <v>0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 x14ac:dyDescent="0.4">
      <c r="A89" s="87">
        <f>ALL!E26</f>
        <v>0</v>
      </c>
      <c r="B89" s="16">
        <f>IFERROR(ALL!F26,0)</f>
        <v>0</v>
      </c>
      <c r="C89" s="16">
        <f>IFERROR(ALL!G26,0)</f>
        <v>0</v>
      </c>
      <c r="D89" s="16">
        <f>IFERROR(ALL!H26,0)</f>
        <v>0</v>
      </c>
      <c r="E89" s="16">
        <f>IFERROR(ALL!I26,0)</f>
        <v>0</v>
      </c>
      <c r="F89" s="16">
        <f>IFERROR(ALL!J26,0)</f>
        <v>0</v>
      </c>
      <c r="G89" s="16">
        <f>IFERROR(ALL!K26,0)</f>
        <v>0</v>
      </c>
      <c r="H89" s="16">
        <f>IFERROR(ALL!L26,0)</f>
        <v>0</v>
      </c>
      <c r="I89" s="16">
        <f>IFERROR(ALL!M26,0)</f>
        <v>0</v>
      </c>
      <c r="J89" s="16">
        <f>IFERROR(ALL!N26,0)</f>
        <v>0</v>
      </c>
      <c r="K89" s="16">
        <f>IFERROR(ALL!O26,0)</f>
        <v>0</v>
      </c>
      <c r="L89" s="16">
        <f>IFERROR(ALL!P26,0)</f>
        <v>0</v>
      </c>
      <c r="M89" s="16">
        <f>IFERROR(ALL!Q26,0)</f>
        <v>0</v>
      </c>
      <c r="N89" s="16">
        <f>IFERROR(ALL!R26,0)</f>
        <v>0</v>
      </c>
      <c r="O89" s="16">
        <f>IFERROR(ALL!S26,0)</f>
        <v>0</v>
      </c>
      <c r="P89" s="16">
        <f>IFERROR(ALL!T26,0)</f>
        <v>0</v>
      </c>
      <c r="Q89" s="16">
        <f>IFERROR(ALL!U26,0)</f>
        <v>0</v>
      </c>
      <c r="R89" s="16">
        <f>IFERROR(ALL!V26,0)</f>
        <v>0</v>
      </c>
      <c r="S89" s="16">
        <f>IFERROR(ALL!W26,0)</f>
        <v>0</v>
      </c>
      <c r="T89" s="16">
        <f>IFERROR(ALL!X26,0)</f>
        <v>0</v>
      </c>
      <c r="U89" s="16">
        <f>IFERROR(ALL!Y26,0)</f>
        <v>0</v>
      </c>
      <c r="V89" s="16">
        <f>IFERROR(ALL!Z26,0)</f>
        <v>0</v>
      </c>
      <c r="W89" s="16">
        <f>IFERROR(ALL!AA26,0)</f>
        <v>0</v>
      </c>
      <c r="X89" s="16">
        <f>IFERROR(ALL!AB26,0)</f>
        <v>0</v>
      </c>
      <c r="Y89" s="16">
        <f>IFERROR(ALL!AC26,0)</f>
        <v>0</v>
      </c>
      <c r="Z89" s="16">
        <f>IFERROR(ALL!AD26,0)</f>
        <v>0</v>
      </c>
      <c r="AA89" s="16">
        <f>IFERROR(ALL!AE26,0)</f>
        <v>0</v>
      </c>
      <c r="AB89" s="16">
        <f>IFERROR(ALL!AF26,0)</f>
        <v>0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 x14ac:dyDescent="0.4">
      <c r="A90" s="87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 x14ac:dyDescent="0.4">
      <c r="A91" s="87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 x14ac:dyDescent="0.4">
      <c r="A92" s="87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 x14ac:dyDescent="0.4">
      <c r="A93" s="87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 x14ac:dyDescent="0.4">
      <c r="A94" s="87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 x14ac:dyDescent="0.4">
      <c r="A95" s="87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 x14ac:dyDescent="0.4">
      <c r="A96" s="87">
        <f>ALL!E33</f>
        <v>1</v>
      </c>
      <c r="B96" s="16">
        <f>IFERROR(ALL!F33,0)</f>
        <v>0</v>
      </c>
      <c r="C96" s="16">
        <f>IFERROR(ALL!G33,0)</f>
        <v>0</v>
      </c>
      <c r="D96" s="16">
        <f>IFERROR(ALL!H33,0)</f>
        <v>0</v>
      </c>
      <c r="E96" s="16">
        <f>IFERROR(ALL!I33,0)</f>
        <v>0</v>
      </c>
      <c r="F96" s="16">
        <f>IFERROR(ALL!J33,0)</f>
        <v>0</v>
      </c>
      <c r="G96" s="16">
        <f>IFERROR(ALL!K33,0)</f>
        <v>0</v>
      </c>
      <c r="H96" s="16">
        <f>IFERROR(ALL!L33,0)</f>
        <v>0</v>
      </c>
      <c r="I96" s="16">
        <f>IFERROR(ALL!M33,0)</f>
        <v>0</v>
      </c>
      <c r="J96" s="16">
        <f>IFERROR(ALL!N33,0)</f>
        <v>0</v>
      </c>
      <c r="K96" s="16">
        <f>IFERROR(ALL!O33,0)</f>
        <v>0</v>
      </c>
      <c r="L96" s="16">
        <f>IFERROR(ALL!P33,0)</f>
        <v>0</v>
      </c>
      <c r="M96" s="16">
        <f>IFERROR(ALL!Q33,0)</f>
        <v>0</v>
      </c>
      <c r="N96" s="16">
        <f>IFERROR(ALL!R33,0)</f>
        <v>0</v>
      </c>
      <c r="O96" s="16">
        <f>IFERROR(ALL!S33,0)</f>
        <v>0</v>
      </c>
      <c r="P96" s="16">
        <f>IFERROR(ALL!T33,0)</f>
        <v>0</v>
      </c>
      <c r="Q96" s="16">
        <f>IFERROR(ALL!U33,0)</f>
        <v>0</v>
      </c>
      <c r="R96" s="16">
        <f>IFERROR(ALL!V33,0)</f>
        <v>0</v>
      </c>
      <c r="S96" s="16">
        <f>IFERROR(ALL!W33,0)</f>
        <v>0</v>
      </c>
      <c r="T96" s="16">
        <f>IFERROR(ALL!X33,0)</f>
        <v>0</v>
      </c>
      <c r="U96" s="16">
        <f>IFERROR(ALL!Y33,0)</f>
        <v>0</v>
      </c>
      <c r="V96" s="16">
        <f>IFERROR(ALL!Z33,0)</f>
        <v>0</v>
      </c>
      <c r="W96" s="16">
        <f>IFERROR(ALL!AA33,0)</f>
        <v>0</v>
      </c>
      <c r="X96" s="16">
        <f>IFERROR(ALL!AB33,0)</f>
        <v>0</v>
      </c>
      <c r="Y96" s="16">
        <f>IFERROR(ALL!AC33,0)</f>
        <v>0</v>
      </c>
      <c r="Z96" s="16">
        <f>IFERROR(ALL!AD33,0)</f>
        <v>0</v>
      </c>
      <c r="AA96" s="16">
        <f>IFERROR(ALL!AE33,0)</f>
        <v>0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72" ht="21.75" collapsed="1" thickTop="1" x14ac:dyDescent="0.35">
      <c r="A97" s="93"/>
      <c r="B97" s="93"/>
    </row>
    <row r="98" spans="1:72" x14ac:dyDescent="0.35">
      <c r="A98" s="47"/>
      <c r="B98" s="47"/>
    </row>
    <row r="99" spans="1:72" ht="21.75" thickBot="1" x14ac:dyDescent="0.4">
      <c r="A99" s="47"/>
      <c r="B99" s="47"/>
    </row>
    <row r="100" spans="1:72" ht="22.5" thickTop="1" thickBot="1" x14ac:dyDescent="0.4">
      <c r="A100" s="90"/>
      <c r="B100" s="62"/>
      <c r="C100" s="62"/>
      <c r="D100" s="62"/>
      <c r="E100" s="62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  <c r="AC100" s="62"/>
      <c r="AD100" s="62"/>
      <c r="AE100" s="62"/>
      <c r="AF100" s="62"/>
      <c r="AG100" s="62"/>
      <c r="AH100" s="62"/>
      <c r="AI100" s="62"/>
      <c r="AJ100" s="62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</row>
    <row r="101" spans="1:72" ht="22.5" thickTop="1" thickBot="1" x14ac:dyDescent="0.4">
      <c r="A101" s="87"/>
    </row>
    <row r="102" spans="1:72" ht="21.75" thickBot="1" x14ac:dyDescent="0.4">
      <c r="A102" s="87"/>
    </row>
    <row r="103" spans="1:72" ht="21.75" thickBot="1" x14ac:dyDescent="0.4">
      <c r="A103" s="87"/>
    </row>
    <row r="104" spans="1:72" ht="21.75" thickBot="1" x14ac:dyDescent="0.4">
      <c r="A104" s="87"/>
    </row>
    <row r="105" spans="1:72" ht="21.75" thickBot="1" x14ac:dyDescent="0.4">
      <c r="A105" s="87"/>
    </row>
    <row r="106" spans="1:72" ht="21.75" thickBot="1" x14ac:dyDescent="0.4">
      <c r="A106" s="87"/>
    </row>
    <row r="107" spans="1:72" ht="21.75" thickBot="1" x14ac:dyDescent="0.4">
      <c r="A107" s="87"/>
    </row>
    <row r="108" spans="1:72" ht="21.75" thickBot="1" x14ac:dyDescent="0.4">
      <c r="A108" s="87"/>
    </row>
    <row r="109" spans="1:72" ht="21.75" thickBot="1" x14ac:dyDescent="0.4">
      <c r="A109" s="87"/>
    </row>
    <row r="110" spans="1:72" ht="21.75" thickBot="1" x14ac:dyDescent="0.4">
      <c r="A110" s="87"/>
    </row>
    <row r="111" spans="1:72" ht="21.75" thickBot="1" x14ac:dyDescent="0.4">
      <c r="A111" s="87"/>
    </row>
    <row r="112" spans="1:72" ht="21.75" thickBot="1" x14ac:dyDescent="0.4">
      <c r="A112" s="87"/>
    </row>
    <row r="113" spans="1:1" ht="21.75" thickBot="1" x14ac:dyDescent="0.4">
      <c r="A113" s="87"/>
    </row>
    <row r="114" spans="1:1" ht="21.75" thickBot="1" x14ac:dyDescent="0.4">
      <c r="A114" s="87"/>
    </row>
    <row r="115" spans="1:1" ht="21.75" thickBot="1" x14ac:dyDescent="0.4">
      <c r="A115" s="87"/>
    </row>
    <row r="116" spans="1:1" ht="21.75" thickBot="1" x14ac:dyDescent="0.4">
      <c r="A116" s="87"/>
    </row>
    <row r="117" spans="1:1" ht="21.75" thickBot="1" x14ac:dyDescent="0.4">
      <c r="A117" s="87"/>
    </row>
    <row r="118" spans="1:1" ht="21.75" thickBot="1" x14ac:dyDescent="0.4">
      <c r="A118" s="87"/>
    </row>
    <row r="119" spans="1:1" ht="21.75" thickBot="1" x14ac:dyDescent="0.4">
      <c r="A119" s="87"/>
    </row>
    <row r="120" spans="1:1" ht="21.75" thickBot="1" x14ac:dyDescent="0.4">
      <c r="A120" s="92"/>
    </row>
    <row r="121" spans="1:1" ht="21.75" thickBot="1" x14ac:dyDescent="0.4">
      <c r="A121" s="92"/>
    </row>
    <row r="122" spans="1:1" ht="21.75" thickBot="1" x14ac:dyDescent="0.4">
      <c r="A122" s="92"/>
    </row>
    <row r="123" spans="1:1" ht="21.75" thickBot="1" x14ac:dyDescent="0.4">
      <c r="A123" s="92"/>
    </row>
    <row r="124" spans="1:1" ht="21.75" thickBot="1" x14ac:dyDescent="0.4">
      <c r="A124" s="92"/>
    </row>
    <row r="125" spans="1:1" ht="21.75" thickBot="1" x14ac:dyDescent="0.4">
      <c r="A125" s="92"/>
    </row>
    <row r="126" spans="1:1" ht="21.75" thickBot="1" x14ac:dyDescent="0.4">
      <c r="A126" s="92"/>
    </row>
    <row r="127" spans="1:1" ht="21.75" thickBot="1" x14ac:dyDescent="0.4">
      <c r="A127" s="92"/>
    </row>
    <row r="128" spans="1:1" ht="21.75" thickBot="1" x14ac:dyDescent="0.4">
      <c r="A128" s="92"/>
    </row>
    <row r="129" spans="1:72" ht="21.75" thickBot="1" x14ac:dyDescent="0.4">
      <c r="A129" s="92"/>
    </row>
    <row r="130" spans="1:72" ht="22.5" thickTop="1" thickBot="1" x14ac:dyDescent="0.4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</row>
    <row r="131" spans="1:72" ht="22.5" thickTop="1" thickBot="1" x14ac:dyDescent="0.4"/>
    <row r="132" spans="1:72" ht="22.5" thickTop="1" thickBot="1" x14ac:dyDescent="0.4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</row>
    <row r="133" spans="1:72" ht="22.5" thickTop="1" thickBot="1" x14ac:dyDescent="0.4">
      <c r="A133" s="87"/>
    </row>
    <row r="134" spans="1:72" ht="21.75" thickBot="1" x14ac:dyDescent="0.4">
      <c r="A134" s="87"/>
    </row>
    <row r="135" spans="1:72" ht="21.75" thickBot="1" x14ac:dyDescent="0.4">
      <c r="A135" s="87"/>
    </row>
    <row r="136" spans="1:72" ht="21.75" thickBot="1" x14ac:dyDescent="0.4">
      <c r="A136" s="87"/>
    </row>
    <row r="137" spans="1:72" ht="21.75" thickBot="1" x14ac:dyDescent="0.4">
      <c r="A137" s="87"/>
    </row>
    <row r="138" spans="1:72" ht="21.75" thickBot="1" x14ac:dyDescent="0.4">
      <c r="A138" s="87"/>
    </row>
    <row r="139" spans="1:72" ht="21.75" thickBot="1" x14ac:dyDescent="0.4">
      <c r="A139" s="87"/>
    </row>
    <row r="140" spans="1:72" ht="21.75" thickBot="1" x14ac:dyDescent="0.4">
      <c r="A140" s="87"/>
    </row>
    <row r="141" spans="1:72" ht="21.75" thickBot="1" x14ac:dyDescent="0.4">
      <c r="A141" s="87"/>
    </row>
    <row r="142" spans="1:72" ht="21.75" thickBot="1" x14ac:dyDescent="0.4">
      <c r="A142" s="87"/>
    </row>
    <row r="143" spans="1:72" ht="21.75" thickBot="1" x14ac:dyDescent="0.4">
      <c r="A143" s="87"/>
    </row>
    <row r="144" spans="1:72" ht="21.75" thickBot="1" x14ac:dyDescent="0.4">
      <c r="A144" s="87"/>
    </row>
    <row r="145" spans="1:1" ht="21.75" thickBot="1" x14ac:dyDescent="0.4">
      <c r="A145" s="87"/>
    </row>
    <row r="146" spans="1:1" ht="21.75" thickBot="1" x14ac:dyDescent="0.4">
      <c r="A146" s="87"/>
    </row>
    <row r="147" spans="1:1" ht="21.75" thickBot="1" x14ac:dyDescent="0.4">
      <c r="A147" s="87"/>
    </row>
    <row r="148" spans="1:1" ht="21.75" thickBot="1" x14ac:dyDescent="0.4">
      <c r="A148" s="87"/>
    </row>
    <row r="149" spans="1:1" ht="21.75" thickBot="1" x14ac:dyDescent="0.4">
      <c r="A149" s="87"/>
    </row>
    <row r="150" spans="1:1" ht="21.75" thickBot="1" x14ac:dyDescent="0.4">
      <c r="A150" s="87"/>
    </row>
    <row r="151" spans="1:1" ht="21.75" thickBot="1" x14ac:dyDescent="0.4">
      <c r="A151" s="87"/>
    </row>
    <row r="152" spans="1:1" ht="21.75" thickBot="1" x14ac:dyDescent="0.4">
      <c r="A152" s="87"/>
    </row>
    <row r="153" spans="1:1" ht="21.75" thickBot="1" x14ac:dyDescent="0.4">
      <c r="A153" s="87"/>
    </row>
    <row r="154" spans="1:1" ht="21.75" thickBot="1" x14ac:dyDescent="0.4">
      <c r="A154" s="87"/>
    </row>
    <row r="155" spans="1:1" ht="21.75" thickBot="1" x14ac:dyDescent="0.4">
      <c r="A155" s="87"/>
    </row>
    <row r="156" spans="1:1" ht="21.75" thickBot="1" x14ac:dyDescent="0.4">
      <c r="A156" s="87"/>
    </row>
    <row r="157" spans="1:1" ht="21.75" thickBot="1" x14ac:dyDescent="0.4">
      <c r="A157" s="87"/>
    </row>
    <row r="158" spans="1:1" ht="21.75" thickBot="1" x14ac:dyDescent="0.4">
      <c r="A158" s="87"/>
    </row>
    <row r="159" spans="1:1" ht="21.75" thickBot="1" x14ac:dyDescent="0.4">
      <c r="A159" s="87"/>
    </row>
    <row r="160" spans="1:1" ht="21.75" thickBot="1" x14ac:dyDescent="0.4">
      <c r="A160" s="87"/>
    </row>
    <row r="161" spans="1:72" ht="21.75" thickBot="1" x14ac:dyDescent="0.4">
      <c r="A161" s="87"/>
    </row>
    <row r="162" spans="1:72" ht="22.5" thickTop="1" thickBot="1" x14ac:dyDescent="0.4">
      <c r="A162" s="4" t="s">
        <v>49</v>
      </c>
      <c r="B162" s="4">
        <v>0</v>
      </c>
      <c r="C162" s="4">
        <v>0</v>
      </c>
      <c r="D162" s="4">
        <v>0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0</v>
      </c>
      <c r="U162" s="4">
        <v>0</v>
      </c>
      <c r="V162" s="4">
        <v>0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0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0</v>
      </c>
      <c r="AJ162" s="4">
        <v>0</v>
      </c>
      <c r="AK162" s="4">
        <v>0</v>
      </c>
      <c r="AL162" s="4">
        <v>0</v>
      </c>
      <c r="AM162" s="4">
        <v>0</v>
      </c>
      <c r="AN162" s="4">
        <v>0</v>
      </c>
      <c r="AO162" s="4">
        <v>0</v>
      </c>
      <c r="AP162" s="4">
        <v>0</v>
      </c>
      <c r="AQ162" s="4">
        <v>0</v>
      </c>
      <c r="AR162" s="4">
        <v>0</v>
      </c>
      <c r="AS162" s="4">
        <v>0</v>
      </c>
      <c r="AT162" s="4">
        <v>0</v>
      </c>
      <c r="AU162" s="4">
        <v>0</v>
      </c>
      <c r="AV162" s="4">
        <v>0</v>
      </c>
      <c r="AW162" s="4">
        <v>0</v>
      </c>
      <c r="AX162" s="4">
        <v>0</v>
      </c>
      <c r="AY162" s="4">
        <v>0</v>
      </c>
      <c r="AZ162" s="4">
        <v>0</v>
      </c>
      <c r="BA162" s="4">
        <v>0</v>
      </c>
      <c r="BB162" s="4">
        <v>0</v>
      </c>
      <c r="BC162" s="4">
        <v>0</v>
      </c>
      <c r="BD162" s="4">
        <v>0</v>
      </c>
      <c r="BE162" s="4">
        <v>0</v>
      </c>
      <c r="BF162" s="4">
        <v>0</v>
      </c>
      <c r="BG162" s="4">
        <v>0</v>
      </c>
      <c r="BH162" s="4">
        <v>0</v>
      </c>
      <c r="BI162" s="4">
        <v>0</v>
      </c>
      <c r="BJ162" s="4">
        <v>0</v>
      </c>
      <c r="BK162" s="4">
        <v>0</v>
      </c>
      <c r="BL162" s="4">
        <v>0</v>
      </c>
      <c r="BM162" s="4">
        <v>0</v>
      </c>
      <c r="BN162" s="4">
        <v>0</v>
      </c>
      <c r="BO162" s="4">
        <v>0</v>
      </c>
      <c r="BP162" s="4">
        <v>0</v>
      </c>
      <c r="BQ162" s="4">
        <v>0</v>
      </c>
      <c r="BR162" s="4">
        <v>0</v>
      </c>
      <c r="BS162" s="4">
        <v>0</v>
      </c>
      <c r="BT162" s="4">
        <v>0</v>
      </c>
    </row>
    <row r="163" spans="1:72" ht="21.75" thickTop="1" x14ac:dyDescent="0.35"/>
  </sheetData>
  <conditionalFormatting sqref="B101:BT129">
    <cfRule type="cellIs" dxfId="3" priority="3" operator="equal">
      <formula>0</formula>
    </cfRule>
  </conditionalFormatting>
  <conditionalFormatting sqref="B133:BT160">
    <cfRule type="cellIs" dxfId="2" priority="2" operator="equal">
      <formula>0</formula>
    </cfRule>
  </conditionalFormatting>
  <conditionalFormatting sqref="B161:BT161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valuating_Python">
                <anchor moveWithCells="1" sizeWithCells="1">
                  <from>
                    <xdr:col>4</xdr:col>
                    <xdr:colOff>447675</xdr:colOff>
                    <xdr:row>0</xdr:row>
                    <xdr:rowOff>47625</xdr:rowOff>
                  </from>
                  <to>
                    <xdr:col>73</xdr:col>
                    <xdr:colOff>819150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E14FF-35CA-4718-83C3-F5F9B7E0B30A}">
  <sheetPr codeName="Лист6"/>
  <dimension ref="A1:L22"/>
  <sheetViews>
    <sheetView workbookViewId="0">
      <pane xSplit="1" topLeftCell="B1" activePane="topRight" state="frozen"/>
      <selection pane="topRight" activeCell="A22" sqref="A22"/>
    </sheetView>
  </sheetViews>
  <sheetFormatPr defaultRowHeight="21" x14ac:dyDescent="0.35"/>
  <cols>
    <col min="1" max="1" width="4.81640625" customWidth="1"/>
  </cols>
  <sheetData>
    <row r="1" spans="1:12" ht="28.5" x14ac:dyDescent="0.45">
      <c r="A1" s="42">
        <v>0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</row>
    <row r="2" spans="1:12" ht="21.75" customHeight="1" x14ac:dyDescent="0.35">
      <c r="A2" s="43" t="s">
        <v>30</v>
      </c>
      <c r="B2" s="50"/>
      <c r="C2" s="48"/>
      <c r="D2" s="48"/>
      <c r="E2" s="48"/>
      <c r="F2" s="48"/>
      <c r="G2" s="48"/>
      <c r="H2" s="48"/>
      <c r="I2" s="48"/>
      <c r="J2" s="48"/>
      <c r="K2" s="48"/>
      <c r="L2" s="48"/>
    </row>
    <row r="3" spans="1:12" x14ac:dyDescent="0.35">
      <c r="B3" s="49"/>
      <c r="C3" s="48"/>
      <c r="D3" s="48"/>
      <c r="E3" s="48"/>
      <c r="F3" s="49"/>
      <c r="G3" s="48"/>
      <c r="H3" s="48"/>
      <c r="I3" s="48"/>
      <c r="J3" s="49"/>
      <c r="K3" s="48"/>
      <c r="L3" s="48"/>
    </row>
    <row r="4" spans="1:12" x14ac:dyDescent="0.35">
      <c r="B4" s="50"/>
      <c r="C4" s="48"/>
      <c r="D4" s="48"/>
      <c r="E4" s="48"/>
      <c r="F4" s="48"/>
      <c r="G4" s="48"/>
      <c r="H4" s="48"/>
      <c r="I4" s="48"/>
      <c r="J4" s="48"/>
      <c r="K4" s="48"/>
      <c r="L4" s="48"/>
    </row>
    <row r="5" spans="1:12" x14ac:dyDescent="0.35">
      <c r="B5" s="49"/>
      <c r="C5" s="48"/>
      <c r="D5" s="48"/>
      <c r="E5" s="48"/>
      <c r="F5" s="49"/>
      <c r="G5" s="48"/>
      <c r="H5" s="48"/>
      <c r="I5" s="48"/>
      <c r="J5" s="49"/>
      <c r="K5" s="48"/>
      <c r="L5" s="48"/>
    </row>
    <row r="6" spans="1:12" x14ac:dyDescent="0.35">
      <c r="B6" s="50"/>
      <c r="C6" s="48"/>
      <c r="D6" s="48"/>
      <c r="E6" s="48"/>
      <c r="F6" s="48"/>
      <c r="G6" s="48"/>
      <c r="H6" s="48"/>
      <c r="I6" s="48"/>
      <c r="J6" s="48"/>
      <c r="K6" s="48"/>
      <c r="L6" s="48"/>
    </row>
    <row r="7" spans="1:12" x14ac:dyDescent="0.35">
      <c r="B7" s="49"/>
      <c r="C7" s="48"/>
      <c r="D7" s="48"/>
      <c r="E7" s="48"/>
      <c r="F7" s="48"/>
      <c r="G7" s="48"/>
      <c r="H7" s="48"/>
      <c r="I7" s="48"/>
      <c r="J7" s="49"/>
      <c r="K7" s="48"/>
      <c r="L7" s="48"/>
    </row>
    <row r="8" spans="1:12" x14ac:dyDescent="0.35">
      <c r="B8" s="50"/>
      <c r="C8" s="48"/>
      <c r="D8" s="48"/>
      <c r="E8" s="48"/>
      <c r="F8" s="48"/>
      <c r="G8" s="48"/>
      <c r="H8" s="48"/>
      <c r="I8" s="48"/>
      <c r="J8" s="48"/>
      <c r="K8" s="48"/>
      <c r="L8" s="48"/>
    </row>
    <row r="9" spans="1:12" x14ac:dyDescent="0.35">
      <c r="B9" s="50"/>
      <c r="C9" s="48"/>
      <c r="D9" s="48"/>
      <c r="E9" s="48"/>
      <c r="F9" s="48"/>
      <c r="G9" s="48"/>
      <c r="H9" s="48"/>
      <c r="I9" s="48"/>
      <c r="J9" s="49"/>
      <c r="K9" s="48"/>
      <c r="L9" s="48"/>
    </row>
    <row r="10" spans="1:12" x14ac:dyDescent="0.35">
      <c r="B10" s="49"/>
      <c r="C10" s="48"/>
      <c r="D10" s="48"/>
      <c r="E10" s="48"/>
      <c r="F10" s="48"/>
      <c r="G10" s="48"/>
      <c r="H10" s="48"/>
      <c r="I10" s="48"/>
      <c r="J10" s="48"/>
      <c r="K10" s="48"/>
      <c r="L10" s="48"/>
    </row>
    <row r="11" spans="1:12" x14ac:dyDescent="0.35">
      <c r="B11" s="50"/>
      <c r="C11" s="48"/>
      <c r="D11" s="48"/>
      <c r="E11" s="48"/>
      <c r="F11" s="48"/>
      <c r="G11" s="48"/>
      <c r="H11" s="48"/>
      <c r="I11" s="48"/>
      <c r="J11" s="49"/>
      <c r="K11" s="48"/>
      <c r="L11" s="48"/>
    </row>
    <row r="12" spans="1:12" x14ac:dyDescent="0.35">
      <c r="B12" s="49"/>
      <c r="C12" s="48"/>
      <c r="D12" s="48"/>
      <c r="E12" s="48"/>
      <c r="F12" s="48"/>
      <c r="G12" s="48"/>
      <c r="H12" s="48"/>
      <c r="I12" s="48"/>
      <c r="J12" s="48"/>
      <c r="K12" s="48"/>
      <c r="L12" s="48"/>
    </row>
    <row r="13" spans="1:12" x14ac:dyDescent="0.35">
      <c r="B13" s="50"/>
      <c r="C13" s="48"/>
      <c r="D13" s="48"/>
      <c r="E13" s="48"/>
      <c r="F13" s="49"/>
      <c r="G13" s="48"/>
      <c r="H13" s="48"/>
      <c r="I13" s="48"/>
      <c r="J13" s="49"/>
      <c r="K13" s="48"/>
      <c r="L13" s="48"/>
    </row>
    <row r="14" spans="1:12" x14ac:dyDescent="0.35">
      <c r="B14" s="49"/>
      <c r="C14" s="48"/>
      <c r="D14" s="48"/>
      <c r="E14" s="48"/>
      <c r="F14" s="48"/>
      <c r="G14" s="48"/>
      <c r="H14" s="48"/>
      <c r="I14" s="48"/>
      <c r="J14" s="48"/>
      <c r="K14" s="48"/>
      <c r="L14" s="48"/>
    </row>
    <row r="15" spans="1:12" x14ac:dyDescent="0.35">
      <c r="B15" s="50"/>
      <c r="C15" s="48"/>
      <c r="D15" s="48"/>
      <c r="E15" s="48"/>
      <c r="F15" s="48"/>
      <c r="G15" s="48"/>
      <c r="H15" s="48"/>
      <c r="I15" s="48"/>
      <c r="J15" s="49"/>
      <c r="K15" s="48"/>
      <c r="L15" s="48"/>
    </row>
    <row r="16" spans="1:12" x14ac:dyDescent="0.35">
      <c r="B16" s="50"/>
      <c r="C16" s="48"/>
      <c r="D16" s="48"/>
      <c r="E16" s="48"/>
      <c r="F16" s="48"/>
      <c r="G16" s="48"/>
      <c r="H16" s="48"/>
      <c r="I16" s="48"/>
      <c r="J16" s="48"/>
      <c r="K16" s="48"/>
      <c r="L16" s="48"/>
    </row>
    <row r="17" spans="1:12" x14ac:dyDescent="0.35">
      <c r="B17" s="49"/>
      <c r="C17" s="48"/>
      <c r="D17" s="48"/>
      <c r="E17" s="48"/>
      <c r="F17" s="49"/>
      <c r="G17" s="48"/>
      <c r="H17" s="48"/>
      <c r="I17" s="48"/>
      <c r="J17" s="49"/>
      <c r="K17" s="48"/>
      <c r="L17" s="48"/>
    </row>
    <row r="18" spans="1:12" x14ac:dyDescent="0.35">
      <c r="B18" s="50"/>
      <c r="C18" s="48"/>
      <c r="D18" s="48"/>
      <c r="E18" s="48"/>
      <c r="F18" s="48"/>
      <c r="G18" s="48"/>
      <c r="H18" s="48"/>
      <c r="I18" s="48"/>
      <c r="J18" s="48"/>
      <c r="K18" s="48"/>
      <c r="L18" s="48"/>
    </row>
    <row r="19" spans="1:12" x14ac:dyDescent="0.35">
      <c r="B19" s="50"/>
      <c r="C19" s="48"/>
      <c r="D19" s="48"/>
      <c r="E19" s="48"/>
      <c r="F19" s="49"/>
      <c r="G19" s="48"/>
      <c r="H19" s="48"/>
      <c r="I19" s="48"/>
      <c r="J19" s="49"/>
      <c r="K19" s="48"/>
      <c r="L19" s="48"/>
    </row>
    <row r="20" spans="1:12" x14ac:dyDescent="0.35">
      <c r="B20" s="49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2" spans="1:12" x14ac:dyDescent="0.35">
      <c r="A22" t="e">
        <f>$A$1:$AZ$21</f>
        <v>#VALUE!</v>
      </c>
    </row>
  </sheetData>
  <conditionalFormatting sqref="A1:Z1 A21 A2:L20">
    <cfRule type="expression" dxfId="0" priority="1">
      <formula>ISNUMBER(A1)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orting_data">
                <anchor moveWithCells="1" sizeWithCells="1">
                  <from>
                    <xdr:col>0</xdr:col>
                    <xdr:colOff>28575</xdr:colOff>
                    <xdr:row>2</xdr:row>
                    <xdr:rowOff>47625</xdr:rowOff>
                  </from>
                  <to>
                    <xdr:col>0</xdr:col>
                    <xdr:colOff>419100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12</vt:i4>
      </vt:variant>
    </vt:vector>
  </HeadingPairs>
  <TitlesOfParts>
    <vt:vector size="20" baseType="lpstr">
      <vt:lpstr>Values</vt:lpstr>
      <vt:lpstr>ALL</vt:lpstr>
      <vt:lpstr>FLUID</vt:lpstr>
      <vt:lpstr>dfluid1</vt:lpstr>
      <vt:lpstr>SOLID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2021-02-28T18:39:35Z</dcterms:created>
  <dcterms:modified xsi:type="dcterms:W3CDTF">2021-04-12T11:22:25Z</dcterms:modified>
</cp:coreProperties>
</file>