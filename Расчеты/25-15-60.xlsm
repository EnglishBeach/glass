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1E2E67B8-DD85-4609-A608-765BA3559AB7}" xr6:coauthVersionLast="46" xr6:coauthVersionMax="46" xr10:uidLastSave="{00000000-0000-0000-0000-000000000000}"/>
  <bookViews>
    <workbookView xWindow="28680" yWindow="-120" windowWidth="29040" windowHeight="15990" firstSheet="9" activeTab="9" xr2:uid="{0302BE19-1FF7-41F7-880F-6539212B9FEB}"/>
  </bookViews>
  <sheets>
    <sheet name="Values" sheetId="2" r:id="rId1"/>
    <sheet name="ALL" sheetId="4" r:id="rId2"/>
    <sheet name="dall" sheetId="20" r:id="rId3"/>
    <sheet name="Лист1" sheetId="21" r:id="rId4"/>
    <sheet name="FLUID" sheetId="11" r:id="rId5"/>
    <sheet name="dfluid1" sheetId="18" r:id="rId6"/>
    <sheet name="SOLID" sheetId="12" r:id="rId7"/>
    <sheet name="dsolid" sheetId="15" r:id="rId8"/>
    <sheet name="Gibbs-EVAL" sheetId="8" r:id="rId9"/>
    <sheet name="Mass-EVAL" sheetId="14" r:id="rId10"/>
    <sheet name="data" sheetId="7" r:id="rId11"/>
  </sheets>
  <functionGroups builtInGroupCount="19"/>
  <definedNames>
    <definedName name="H.Ar" localSheetId="1">ALL!$F$34:$BR$34</definedName>
    <definedName name="H.Ar" localSheetId="4">FLUID!$F$34:$BR$34</definedName>
    <definedName name="H.Ar" localSheetId="6">SOLID!$F$34:$BR$34</definedName>
    <definedName name="H.Ga" localSheetId="1">ALL!$F$35:$BR$35</definedName>
    <definedName name="H.Ga" localSheetId="4">FLUID!$F$35:$BR$35</definedName>
    <definedName name="H.Ga" localSheetId="6">SOLID!$F$35:$BR$35</definedName>
    <definedName name="H.Ge" localSheetId="1">ALL!$F$36:$BR$36</definedName>
    <definedName name="H.Ge" localSheetId="4">FLUID!$F$36:$BR$36</definedName>
    <definedName name="H.Ge" localSheetId="6">SOLID!$F$36:$BR$36</definedName>
    <definedName name="H.Se" localSheetId="1">ALL!$F$37:$BR$37</definedName>
    <definedName name="H.Se" localSheetId="4">FLUID!$F$37:$BR$37</definedName>
    <definedName name="H.Se" localSheetId="6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 l="1"/>
  <c r="BO13" i="8"/>
  <c r="BP13" i="8"/>
  <c r="BQ13" i="8"/>
  <c r="BR13" i="8"/>
  <c r="BS13" i="8"/>
  <c r="BT13" i="8"/>
  <c r="BO14" i="8"/>
  <c r="BP14" i="8"/>
  <c r="BQ14" i="8"/>
  <c r="BR14" i="8"/>
  <c r="BS14" i="8"/>
  <c r="BT14" i="8"/>
  <c r="A96" i="8" l="1"/>
  <c r="BO66" i="8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A3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N34" i="8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G35" i="12" l="1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86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107" i="11"/>
  <c r="F90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F88" i="11" l="1"/>
  <c r="F89" i="11"/>
  <c r="F84" i="11"/>
  <c r="F91" i="11"/>
  <c r="F95" i="11"/>
  <c r="F100" i="11"/>
  <c r="BE41" i="12"/>
  <c r="F81" i="11"/>
  <c r="F98" i="11"/>
  <c r="F85" i="11"/>
  <c r="F106" i="11"/>
  <c r="F108" i="11"/>
  <c r="F83" i="11"/>
  <c r="F80" i="11"/>
  <c r="F92" i="11"/>
  <c r="F82" i="11"/>
  <c r="F93" i="11"/>
  <c r="F87" i="11"/>
  <c r="AP41" i="12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E116" i="4" s="1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116" i="4" s="1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H114" i="4" s="1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N115" i="4" s="1"/>
  <c r="V100" i="4"/>
  <c r="V115" i="4" s="1"/>
  <c r="AD100" i="4"/>
  <c r="AL100" i="4"/>
  <c r="AT100" i="4"/>
  <c r="BB100" i="4"/>
  <c r="BJ100" i="4"/>
  <c r="BJ115" i="4" s="1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M115" i="4" s="1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J114" i="4" s="1"/>
  <c r="U92" i="4"/>
  <c r="U114" i="4" s="1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X115" i="4" s="1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I115" i="4" s="1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D114" i="4" s="1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J115" i="4" s="1"/>
  <c r="R100" i="4"/>
  <c r="Z100" i="4"/>
  <c r="Z115" i="4" s="1"/>
  <c r="AH100" i="4"/>
  <c r="AP100" i="4"/>
  <c r="AX100" i="4"/>
  <c r="BF100" i="4"/>
  <c r="BN100" i="4"/>
  <c r="J101" i="4"/>
  <c r="R101" i="4"/>
  <c r="Z101" i="4"/>
  <c r="AK82" i="4"/>
  <c r="AK116" i="4" s="1"/>
  <c r="BM84" i="4"/>
  <c r="BM85" i="4"/>
  <c r="BM86" i="4"/>
  <c r="BM87" i="4"/>
  <c r="BM88" i="4"/>
  <c r="AY89" i="4"/>
  <c r="S90" i="4"/>
  <c r="S114" i="4" s="1"/>
  <c r="AY90" i="4"/>
  <c r="S91" i="4"/>
  <c r="AK91" i="4"/>
  <c r="AV91" i="4"/>
  <c r="BF91" i="4"/>
  <c r="BQ91" i="4"/>
  <c r="P92" i="4"/>
  <c r="P114" i="4" s="1"/>
  <c r="Z92" i="4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L114" i="4" s="1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BG100" i="4"/>
  <c r="K101" i="4"/>
  <c r="X101" i="4"/>
  <c r="AH101" i="4"/>
  <c r="AP101" i="4"/>
  <c r="AX101" i="4"/>
  <c r="AX115" i="4" s="1"/>
  <c r="BF101" i="4"/>
  <c r="BF115" i="4" s="1"/>
  <c r="BN101" i="4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T115" i="4" s="1"/>
  <c r="AQ100" i="4"/>
  <c r="AQ115" i="4" s="1"/>
  <c r="BH100" i="4"/>
  <c r="BH115" i="4" s="1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BI115" i="4" s="1"/>
  <c r="M101" i="4"/>
  <c r="AB101" i="4"/>
  <c r="AJ101" i="4"/>
  <c r="AR101" i="4"/>
  <c r="AZ101" i="4"/>
  <c r="BH101" i="4"/>
  <c r="BP101" i="4"/>
  <c r="BP115" i="4" s="1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AS115" i="4" s="1"/>
  <c r="BK100" i="4"/>
  <c r="BK115" i="4" s="1"/>
  <c r="O101" i="4"/>
  <c r="O115" i="4" s="1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D115" i="4" s="1"/>
  <c r="AL101" i="4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AF101" i="4"/>
  <c r="AN101" i="4"/>
  <c r="AN115" i="4" s="1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BB114" i="4"/>
  <c r="BJ114" i="4"/>
  <c r="AT115" i="4"/>
  <c r="AM116" i="4"/>
  <c r="AU116" i="4"/>
  <c r="BC116" i="4"/>
  <c r="BC114" i="4"/>
  <c r="BK114" i="4"/>
  <c r="AN116" i="4"/>
  <c r="BD116" i="4"/>
  <c r="BL114" i="4"/>
  <c r="AW116" i="4"/>
  <c r="BM116" i="4"/>
  <c r="BF116" i="4"/>
  <c r="BN116" i="4"/>
  <c r="AX114" i="4"/>
  <c r="BN114" i="4"/>
  <c r="AP115" i="4"/>
  <c r="AY116" i="4"/>
  <c r="BG116" i="4"/>
  <c r="BO116" i="4"/>
  <c r="AR116" i="4"/>
  <c r="AZ116" i="4"/>
  <c r="BH116" i="4"/>
  <c r="BP116" i="4"/>
  <c r="BH114" i="4"/>
  <c r="BP114" i="4"/>
  <c r="BI116" i="4"/>
  <c r="AS116" i="4"/>
  <c r="BN115" i="4"/>
  <c r="AS114" i="4"/>
  <c r="AY115" i="4"/>
  <c r="AZ115" i="4"/>
  <c r="BA115" i="4"/>
  <c r="BQ115" i="4"/>
  <c r="BB115" i="4"/>
  <c r="BC115" i="4"/>
  <c r="BL115" i="4"/>
  <c r="BA116" i="4"/>
  <c r="W116" i="4"/>
  <c r="AE116" i="4"/>
  <c r="G114" i="4"/>
  <c r="W114" i="4"/>
  <c r="H116" i="4"/>
  <c r="P116" i="4"/>
  <c r="X116" i="4"/>
  <c r="AF116" i="4"/>
  <c r="H115" i="4"/>
  <c r="P115" i="4"/>
  <c r="I116" i="4"/>
  <c r="Q116" i="4"/>
  <c r="Y116" i="4"/>
  <c r="AG116" i="4"/>
  <c r="J116" i="4"/>
  <c r="R116" i="4"/>
  <c r="Z116" i="4"/>
  <c r="Z114" i="4"/>
  <c r="K116" i="4"/>
  <c r="S116" i="4"/>
  <c r="AA114" i="4"/>
  <c r="K115" i="4"/>
  <c r="AA115" i="4"/>
  <c r="L116" i="4"/>
  <c r="L114" i="4"/>
  <c r="T114" i="4"/>
  <c r="AB114" i="4"/>
  <c r="AB115" i="4"/>
  <c r="U116" i="4"/>
  <c r="G115" i="4"/>
  <c r="U115" i="4"/>
  <c r="AG115" i="4"/>
  <c r="AC116" i="4"/>
  <c r="AC114" i="4"/>
  <c r="W115" i="4"/>
  <c r="AI115" i="4"/>
  <c r="AL116" i="4"/>
  <c r="Y115" i="4"/>
  <c r="AL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BE115" i="4" l="1"/>
  <c r="AV115" i="4"/>
  <c r="BO115" i="4"/>
  <c r="AC115" i="4"/>
  <c r="M115" i="4"/>
  <c r="BE114" i="4"/>
  <c r="AK115" i="4"/>
  <c r="AH115" i="4"/>
  <c r="AM114" i="4"/>
  <c r="AM119" i="4" s="1"/>
  <c r="N114" i="4"/>
  <c r="AR114" i="4"/>
  <c r="AR119" i="4" s="1"/>
  <c r="G116" i="4"/>
  <c r="V116" i="4"/>
  <c r="AB116" i="4"/>
  <c r="AB118" i="4" s="1"/>
  <c r="AI116" i="4"/>
  <c r="AP116" i="4"/>
  <c r="AP118" i="4" s="1"/>
  <c r="S115" i="4"/>
  <c r="AT114" i="4"/>
  <c r="AH114" i="4"/>
  <c r="AQ114" i="4"/>
  <c r="AD116" i="4"/>
  <c r="AD118" i="4" s="1"/>
  <c r="R114" i="4"/>
  <c r="R117" i="4" s="1"/>
  <c r="AE114" i="4"/>
  <c r="AE117" i="4" s="1"/>
  <c r="AK114" i="4"/>
  <c r="AK119" i="4" s="1"/>
  <c r="AS119" i="4"/>
  <c r="M116" i="4"/>
  <c r="Q115" i="4"/>
  <c r="Q118" i="4" s="1"/>
  <c r="AV114" i="4"/>
  <c r="AI114" i="4"/>
  <c r="AI117" i="4" s="1"/>
  <c r="AU115" i="4"/>
  <c r="AU118" i="4" s="1"/>
  <c r="AU114" i="4"/>
  <c r="K114" i="4"/>
  <c r="K119" i="4" s="1"/>
  <c r="BF114" i="4"/>
  <c r="BF119" i="4" s="1"/>
  <c r="V114" i="4"/>
  <c r="BQ114" i="4"/>
  <c r="BQ119" i="4" s="1"/>
  <c r="AZ114" i="4"/>
  <c r="AZ119" i="4" s="1"/>
  <c r="O116" i="4"/>
  <c r="O118" i="4" s="1"/>
  <c r="AJ116" i="4"/>
  <c r="AJ118" i="4" s="1"/>
  <c r="AQ116" i="4"/>
  <c r="AQ118" i="4" s="1"/>
  <c r="AX116" i="4"/>
  <c r="AX117" i="4" s="1"/>
  <c r="BL116" i="4"/>
  <c r="BL118" i="4" s="1"/>
  <c r="BM114" i="4"/>
  <c r="BM117" i="4" s="1"/>
  <c r="AF115" i="4"/>
  <c r="AF118" i="4" s="1"/>
  <c r="BR115" i="4"/>
  <c r="BR118" i="4" s="1"/>
  <c r="BK116" i="4"/>
  <c r="BK117" i="4" s="1"/>
  <c r="T116" i="4"/>
  <c r="T118" i="4" s="1"/>
  <c r="BE119" i="4"/>
  <c r="BJ118" i="4"/>
  <c r="BP119" i="4"/>
  <c r="BH119" i="4"/>
  <c r="BC119" i="4"/>
  <c r="BJ119" i="4"/>
  <c r="BB119" i="4"/>
  <c r="BD119" i="4"/>
  <c r="AT119" i="4"/>
  <c r="BN119" i="4"/>
  <c r="P119" i="4"/>
  <c r="BO114" i="4"/>
  <c r="BO119" i="4" s="1"/>
  <c r="R115" i="4"/>
  <c r="BM115" i="4"/>
  <c r="BM118" i="4" s="1"/>
  <c r="AP114" i="4"/>
  <c r="AP119" i="4" s="1"/>
  <c r="L119" i="4"/>
  <c r="M114" i="4"/>
  <c r="AO114" i="4"/>
  <c r="AF114" i="4"/>
  <c r="Q114" i="4"/>
  <c r="AA116" i="4"/>
  <c r="AA119" i="4" s="1"/>
  <c r="AH116" i="4"/>
  <c r="AO116" i="4"/>
  <c r="AO118" i="4" s="1"/>
  <c r="I114" i="4"/>
  <c r="I119" i="4" s="1"/>
  <c r="AD114" i="4"/>
  <c r="AN114" i="4"/>
  <c r="AN119" i="4" s="1"/>
  <c r="O114" i="4"/>
  <c r="AY114" i="4"/>
  <c r="AY119" i="4" s="1"/>
  <c r="Y114" i="4"/>
  <c r="Y119" i="4" s="1"/>
  <c r="BG114" i="4"/>
  <c r="BG119" i="4" s="1"/>
  <c r="AJ114" i="4"/>
  <c r="AW114" i="4"/>
  <c r="AW119" i="4" s="1"/>
  <c r="AE115" i="4"/>
  <c r="BI114" i="4"/>
  <c r="BI119" i="4" s="1"/>
  <c r="AV116" i="4"/>
  <c r="AL119" i="4"/>
  <c r="BR114" i="4"/>
  <c r="AG114" i="4"/>
  <c r="AG119" i="4" s="1"/>
  <c r="AB119" i="4"/>
  <c r="J119" i="4"/>
  <c r="X114" i="4"/>
  <c r="X119" i="4" s="1"/>
  <c r="BA114" i="4"/>
  <c r="BA119" i="4" s="1"/>
  <c r="N116" i="4"/>
  <c r="N117" i="4" s="1"/>
  <c r="AC119" i="4"/>
  <c r="W119" i="4"/>
  <c r="U119" i="4"/>
  <c r="H119" i="4"/>
  <c r="G119" i="4"/>
  <c r="Z119" i="4"/>
  <c r="S119" i="4"/>
  <c r="BA118" i="4"/>
  <c r="BQ118" i="4"/>
  <c r="AR118" i="4"/>
  <c r="AR117" i="4"/>
  <c r="AY118" i="4"/>
  <c r="BF118" i="4"/>
  <c r="BE118" i="4"/>
  <c r="BE117" i="4"/>
  <c r="AS118" i="4"/>
  <c r="AS117" i="4"/>
  <c r="AW118" i="4"/>
  <c r="BD118" i="4"/>
  <c r="BD117" i="4"/>
  <c r="BC118" i="4"/>
  <c r="BC117" i="4"/>
  <c r="BP117" i="4"/>
  <c r="BP118" i="4"/>
  <c r="AN118" i="4"/>
  <c r="BJ117" i="4"/>
  <c r="BI118" i="4"/>
  <c r="BH117" i="4"/>
  <c r="BH118" i="4"/>
  <c r="BO118" i="4"/>
  <c r="AM118" i="4"/>
  <c r="AM117" i="4"/>
  <c r="BB117" i="4"/>
  <c r="BB118" i="4"/>
  <c r="AZ118" i="4"/>
  <c r="BG118" i="4"/>
  <c r="BN118" i="4"/>
  <c r="BN117" i="4"/>
  <c r="AT118" i="4"/>
  <c r="AT117" i="4"/>
  <c r="J117" i="4"/>
  <c r="J118" i="4"/>
  <c r="L118" i="4"/>
  <c r="L117" i="4"/>
  <c r="AI118" i="4"/>
  <c r="U117" i="4"/>
  <c r="U118" i="4"/>
  <c r="AC118" i="4"/>
  <c r="AC117" i="4"/>
  <c r="X118" i="4"/>
  <c r="AK118" i="4"/>
  <c r="S117" i="4"/>
  <c r="S118" i="4"/>
  <c r="P117" i="4"/>
  <c r="P118" i="4"/>
  <c r="V118" i="4"/>
  <c r="K118" i="4"/>
  <c r="AG118" i="4"/>
  <c r="H118" i="4"/>
  <c r="H117" i="4"/>
  <c r="Y118" i="4"/>
  <c r="W117" i="4"/>
  <c r="W118" i="4"/>
  <c r="Z117" i="4"/>
  <c r="Z118" i="4"/>
  <c r="AL117" i="4"/>
  <c r="AL118" i="4"/>
  <c r="AB117" i="4"/>
  <c r="I118" i="4"/>
  <c r="G118" i="4"/>
  <c r="G117" i="4"/>
  <c r="F115" i="4"/>
  <c r="F116" i="4"/>
  <c r="F114" i="4"/>
  <c r="AK117" i="4" l="1"/>
  <c r="V117" i="4"/>
  <c r="M118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<sst xmlns="http://schemas.openxmlformats.org/spreadsheetml/2006/main" count="394" uniqueCount="116">
  <si>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</si>
  <si>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</si>
  <si>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</si>
  <si>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</si>
  <si>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</si>
  <si>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</si>
  <si>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</si>
  <si>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</si>
  <si>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</si>
  <si>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</si>
  <si>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</si>
  <si>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</si>
  <si>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</si>
  <si>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</si>
  <si>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</si>
  <si>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</si>
  <si>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</si>
  <si>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</si>
  <si>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</si>
  <si>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</si>
  <si>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</si>
  <si>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</si>
  <si>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</si>
  <si>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</si>
  <si>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</si>
  <si>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</si>
  <si>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</si>
  <si>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</si>
  <si>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</si>
  <si>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</si>
  <si>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</si>
  <si>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</si>
  <si>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</si>
  <si>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</si>
  <si>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</si>
  <si>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</si>
  <si>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</si>
  <si>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</si>
  <si>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</si>
  <si>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</si>
  <si>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</si>
  <si>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</si>
  <si>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</si>
  <si>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</si>
  <si>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</si>
  <si>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</si>
  <si>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</si>
  <si>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</si>
  <si>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</si>
  <si>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*Se[M]</t>
  </si>
  <si>
    <t>*Ge</t>
  </si>
  <si>
    <t>*GaSe</t>
  </si>
  <si>
    <t>p(Ar)</t>
  </si>
  <si>
    <t>p(Ge)</t>
  </si>
  <si>
    <t>Vapor</t>
  </si>
  <si>
    <t>Solution #1</t>
  </si>
  <si>
    <t>(2)Ga[l]</t>
  </si>
  <si>
    <t>(l)Ge</t>
  </si>
  <si>
    <t>(l)Ga</t>
  </si>
  <si>
    <t>(2)Ge[l]</t>
  </si>
  <si>
    <t>Solution #2</t>
  </si>
  <si>
    <t>(l)Se[l]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</si>
  <si>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</si>
  <si>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</si>
  <si>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</si>
  <si>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</si>
  <si>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</si>
  <si>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p(Ga)</t>
  </si>
  <si>
    <t>p(Se)</t>
  </si>
  <si>
    <t>*Ga[l]</t>
  </si>
  <si>
    <t>(l)GaSe</t>
  </si>
  <si>
    <t>H(Ar)</t>
  </si>
  <si>
    <t>Temperature,K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</si>
  <si>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</si>
  <si>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(DGeSeCU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</si>
  <si>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</si>
  <si>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</si>
  <si>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end</t>
  </si>
  <si>
    <t>GeSe</t>
  </si>
  <si>
    <t>(l)GeSe</t>
  </si>
  <si>
    <t>(l)Se[A]</t>
  </si>
  <si>
    <t>(l)SeLMJ</t>
  </si>
  <si>
    <t>(l)Se[R]</t>
  </si>
  <si>
    <t>(l)Se</t>
  </si>
  <si>
    <r>
      <t>(l)GeSe</t>
    </r>
    <r>
      <rPr>
        <vertAlign val="subscript"/>
        <sz val="7.5"/>
        <rFont val="Arial"/>
        <family val="2"/>
        <charset val="204"/>
      </rPr>
      <t>2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</si>
  <si>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Se3</t>
    </r>
  </si>
  <si>
    <t>(DGaSe</t>
  </si>
  <si>
    <t>B(Ga)</t>
  </si>
  <si>
    <t>Convergence</t>
  </si>
  <si>
    <t>*GeSe2</t>
  </si>
  <si>
    <t>Ga2Se</t>
  </si>
  <si>
    <t>(l)GeSe2</t>
  </si>
  <si>
    <t>(l)Ga2Se3</t>
  </si>
  <si>
    <t>(l)Ga2Se</t>
  </si>
  <si>
    <t>(l)Se[M]</t>
  </si>
  <si>
    <t>Se?</t>
  </si>
  <si>
    <t>(l)Ga[l]</t>
  </si>
  <si>
    <t>(l)Ge[l]</t>
  </si>
  <si>
    <t>jXAr)</t>
  </si>
  <si>
    <t>B(Se)</t>
  </si>
  <si>
    <r>
      <t>Se</t>
    </r>
    <r>
      <rPr>
        <vertAlign val="subscript"/>
        <sz val="7.5"/>
        <rFont val="Arial"/>
        <family val="2"/>
        <charset val="204"/>
      </rPr>
      <t>e</t>
    </r>
  </si>
  <si>
    <r>
      <t>Se</t>
    </r>
    <r>
      <rPr>
        <vertAlign val="subscript"/>
        <sz val="7.5"/>
        <rFont val="Arial"/>
        <family val="2"/>
        <charset val="204"/>
      </rPr>
      <t>8</t>
    </r>
  </si>
  <si>
    <t>Se3</t>
  </si>
  <si>
    <t>Se4</t>
  </si>
  <si>
    <t>Se5</t>
  </si>
  <si>
    <t>See</t>
  </si>
  <si>
    <t>Se8</t>
  </si>
  <si>
    <t>Se2</t>
  </si>
  <si>
    <t>(1)GeSe[l]</t>
  </si>
  <si>
    <t>*Ge[l]</t>
  </si>
  <si>
    <t>(DGaEU</t>
  </si>
  <si>
    <t>(DGeSeEU</t>
  </si>
  <si>
    <t>(l)GeElJ</t>
  </si>
  <si>
    <t>B(Ge)</t>
  </si>
  <si>
    <t>*Ga2Se3</t>
  </si>
  <si>
    <t>(1)Ga[l]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</si>
</sst>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70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0" borderId="0" xfId="0" applyNumberFormat="1" applyFont="1"/>
    <xf numFmtId="164" fontId="29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0" fillId="0" borderId="0" xfId="0" applyFont="1"/>
    <xf numFmtId="0" fontId="0" fillId="0" borderId="0" xfId="0"/>
    <xf numFmtId="0" fontId="31" fillId="0" borderId="31" xfId="9" applyNumberFormat="1" applyFont="1" applyFill="1" applyBorder="1" applyAlignment="1" applyProtection="1">
      <alignment horizontal="left" vertical="top"/>
    </xf>
    <xf numFmtId="0" fontId="31" fillId="0" borderId="31" xfId="9" applyNumberFormat="1" applyFont="1" applyFill="1" applyBorder="1" applyAlignment="1" applyProtection="1">
      <alignment horizontal="right" vertical="top"/>
    </xf>
    <xf numFmtId="0" fontId="31" fillId="0" borderId="10" xfId="9" applyNumberFormat="1" applyFont="1" applyFill="1" applyBorder="1" applyAlignment="1" applyProtection="1">
      <alignment horizontal="left" vertical="top"/>
    </xf>
    <xf numFmtId="0" fontId="31" fillId="0" borderId="24" xfId="9" applyNumberFormat="1" applyFont="1" applyFill="1" applyBorder="1" applyAlignment="1" applyProtection="1">
      <alignment horizontal="left"/>
    </xf>
    <xf numFmtId="0" fontId="31" fillId="0" borderId="31" xfId="9" applyNumberFormat="1" applyFont="1" applyFill="1" applyBorder="1" applyAlignment="1" applyProtection="1">
      <alignment horizontal="left"/>
    </xf>
    <xf numFmtId="0" fontId="31" fillId="0" borderId="31" xfId="9" applyNumberFormat="1" applyFont="1" applyFill="1" applyBorder="1" applyAlignment="1" applyProtection="1">
      <alignment horizontal="left" vertical="top" indent="3"/>
    </xf>
    <xf numFmtId="11" fontId="31" fillId="0" borderId="24" xfId="9" applyNumberFormat="1" applyFont="1" applyFill="1" applyBorder="1" applyAlignment="1" applyProtection="1">
      <alignment horizontal="justify"/>
    </xf>
    <xf numFmtId="11" fontId="31" fillId="0" borderId="31" xfId="9" applyNumberFormat="1" applyFont="1" applyFill="1" applyBorder="1" applyAlignment="1" applyProtection="1">
      <alignment horizontal="justify" vertical="top"/>
    </xf>
    <xf numFmtId="11" fontId="31" fillId="0" borderId="31" xfId="9" applyNumberFormat="1" applyFont="1" applyFill="1" applyBorder="1" applyAlignment="1" applyProtection="1">
      <alignment horizontal="justify"/>
    </xf>
    <xf numFmtId="11" fontId="31" fillId="0" borderId="10" xfId="9" applyNumberFormat="1" applyFont="1" applyFill="1" applyBorder="1" applyAlignment="1" applyProtection="1">
      <alignment horizontal="justify" vertical="top"/>
    </xf>
    <xf numFmtId="0" fontId="31" fillId="0" borderId="31" xfId="10" applyNumberFormat="1" applyFont="1" applyFill="1" applyBorder="1" applyAlignment="1" applyProtection="1">
      <alignment horizontal="left" vertical="top"/>
    </xf>
    <xf numFmtId="0" fontId="31" fillId="0" borderId="31" xfId="10" applyNumberFormat="1" applyFont="1" applyFill="1" applyBorder="1" applyAlignment="1" applyProtection="1">
      <alignment horizontal="left"/>
    </xf>
    <xf numFmtId="0" fontId="31" fillId="0" borderId="24" xfId="10" applyNumberFormat="1" applyFont="1" applyFill="1" applyBorder="1" applyAlignment="1" applyProtection="1">
      <alignment horizontal="left"/>
    </xf>
    <xf numFmtId="0" fontId="31" fillId="0" borderId="31" xfId="10" applyNumberFormat="1" applyFont="1" applyFill="1" applyBorder="1" applyAlignment="1" applyProtection="1">
      <alignment horizontal="center"/>
    </xf>
    <xf numFmtId="0" fontId="31" fillId="0" borderId="10" xfId="10" applyNumberFormat="1" applyFont="1" applyFill="1" applyBorder="1" applyAlignment="1" applyProtection="1">
      <alignment horizontal="left" vertical="top"/>
    </xf>
    <xf numFmtId="0" fontId="31" fillId="0" borderId="31" xfId="10" applyNumberFormat="1" applyFont="1" applyFill="1" applyBorder="1" applyAlignment="1" applyProtection="1">
      <alignment horizontal="right"/>
    </xf>
    <xf numFmtId="11" fontId="31" fillId="0" borderId="24" xfId="10" applyNumberFormat="1" applyFont="1" applyFill="1" applyBorder="1" applyAlignment="1" applyProtection="1">
      <alignment horizontal="center"/>
    </xf>
    <xf numFmtId="11" fontId="31" fillId="0" borderId="24" xfId="10" applyNumberFormat="1" applyFont="1" applyFill="1" applyBorder="1" applyAlignment="1" applyProtection="1">
      <alignment horizontal="justify"/>
    </xf>
    <xf numFmtId="11" fontId="31" fillId="0" borderId="31" xfId="10" applyNumberFormat="1" applyFont="1" applyFill="1" applyBorder="1" applyAlignment="1" applyProtection="1">
      <alignment horizontal="center" vertical="top"/>
    </xf>
    <xf numFmtId="11" fontId="31" fillId="0" borderId="31" xfId="10" applyNumberFormat="1" applyFont="1" applyFill="1" applyBorder="1" applyAlignment="1" applyProtection="1">
      <alignment horizontal="justify" vertical="top"/>
    </xf>
    <xf numFmtId="11" fontId="31" fillId="0" borderId="31" xfId="10" applyNumberFormat="1" applyFont="1" applyFill="1" applyBorder="1" applyAlignment="1" applyProtection="1">
      <alignment horizontal="center"/>
    </xf>
    <xf numFmtId="11" fontId="31" fillId="0" borderId="31" xfId="10" applyNumberFormat="1" applyFont="1" applyFill="1" applyBorder="1" applyAlignment="1" applyProtection="1">
      <alignment horizontal="justify"/>
    </xf>
    <xf numFmtId="11" fontId="31" fillId="0" borderId="10" xfId="10" applyNumberFormat="1" applyFont="1" applyFill="1" applyBorder="1" applyAlignment="1" applyProtection="1">
      <alignment horizontal="center" vertical="top"/>
    </xf>
    <xf numFmtId="11" fontId="31" fillId="0" borderId="10" xfId="10" applyNumberFormat="1" applyFont="1" applyFill="1" applyBorder="1" applyAlignment="1" applyProtection="1">
      <alignment horizontal="justify" vertical="top"/>
    </xf>
    <xf numFmtId="0" fontId="2" fillId="4" borderId="0" xfId="5" applyAlignment="1">
      <alignment horizontal="left" vertical="center"/>
    </xf>
    <xf numFmtId="0" fontId="31" fillId="0" borderId="26" xfId="11" applyNumberFormat="1" applyFont="1" applyFill="1" applyBorder="1" applyAlignment="1" applyProtection="1">
      <alignment horizontal="left" vertical="top"/>
    </xf>
    <xf numFmtId="0" fontId="31" fillId="0" borderId="31" xfId="11" applyNumberFormat="1" applyFont="1" applyFill="1" applyBorder="1" applyAlignment="1" applyProtection="1">
      <alignment horizontal="center" vertical="top"/>
    </xf>
    <xf numFmtId="0" fontId="31" fillId="0" borderId="31" xfId="11" applyNumberFormat="1" applyFont="1" applyFill="1" applyBorder="1" applyAlignment="1" applyProtection="1">
      <alignment horizontal="right" vertical="top"/>
    </xf>
    <xf numFmtId="0" fontId="31" fillId="0" borderId="34" xfId="11" applyNumberFormat="1" applyFont="1" applyFill="1" applyBorder="1" applyAlignment="1" applyProtection="1">
      <alignment horizontal="left"/>
    </xf>
    <xf numFmtId="0" fontId="31" fillId="0" borderId="26" xfId="11" applyNumberFormat="1" applyFont="1" applyFill="1" applyBorder="1" applyAlignment="1" applyProtection="1">
      <alignment horizontal="left"/>
    </xf>
    <xf numFmtId="11" fontId="31" fillId="0" borderId="24" xfId="11" applyNumberFormat="1" applyFont="1" applyFill="1" applyBorder="1" applyAlignment="1" applyProtection="1">
      <alignment horizontal="center"/>
    </xf>
    <xf numFmtId="11" fontId="31" fillId="0" borderId="24" xfId="11" applyNumberFormat="1" applyFont="1" applyFill="1" applyBorder="1" applyAlignment="1" applyProtection="1">
      <alignment horizontal="justify"/>
    </xf>
    <xf numFmtId="11" fontId="31" fillId="0" borderId="31" xfId="11" applyNumberFormat="1" applyFont="1" applyFill="1" applyBorder="1" applyAlignment="1" applyProtection="1">
      <alignment horizontal="center" vertical="top"/>
    </xf>
    <xf numFmtId="11" fontId="31" fillId="0" borderId="31" xfId="11" applyNumberFormat="1" applyFont="1" applyFill="1" applyBorder="1" applyAlignment="1" applyProtection="1">
      <alignment horizontal="justify" vertical="top"/>
    </xf>
    <xf numFmtId="11" fontId="31" fillId="0" borderId="31" xfId="11" applyNumberFormat="1" applyFont="1" applyFill="1" applyBorder="1" applyAlignment="1" applyProtection="1">
      <alignment horizontal="center"/>
    </xf>
    <xf numFmtId="11" fontId="31" fillId="0" borderId="31" xfId="11" applyNumberFormat="1" applyFont="1" applyFill="1" applyBorder="1" applyAlignment="1" applyProtection="1">
      <alignment horizontal="justify"/>
    </xf>
    <xf numFmtId="0" fontId="31" fillId="0" borderId="31" xfId="12" applyNumberFormat="1" applyFont="1" applyFill="1" applyBorder="1" applyAlignment="1" applyProtection="1">
      <alignment horizontal="left" vertical="top"/>
    </xf>
    <xf numFmtId="0" fontId="31" fillId="0" borderId="31" xfId="12" applyNumberFormat="1" applyFont="1" applyFill="1" applyBorder="1" applyAlignment="1" applyProtection="1">
      <alignment horizontal="justify" vertical="top"/>
    </xf>
    <xf numFmtId="0" fontId="31" fillId="0" borderId="31" xfId="12" applyNumberFormat="1" applyFont="1" applyFill="1" applyBorder="1" applyAlignment="1" applyProtection="1">
      <alignment horizontal="left" vertical="top" indent="3"/>
    </xf>
    <xf numFmtId="0" fontId="31" fillId="0" borderId="31" xfId="12" applyNumberFormat="1" applyFont="1" applyFill="1" applyBorder="1" applyAlignment="1" applyProtection="1">
      <alignment horizontal="right" vertical="top"/>
    </xf>
    <xf numFmtId="0" fontId="31" fillId="0" borderId="10" xfId="12" applyNumberFormat="1" applyFont="1" applyFill="1" applyBorder="1" applyAlignment="1" applyProtection="1">
      <alignment horizontal="left" vertical="top"/>
    </xf>
    <xf numFmtId="0" fontId="31" fillId="0" borderId="24" xfId="12" applyNumberFormat="1" applyFont="1" applyFill="1" applyBorder="1" applyAlignment="1" applyProtection="1">
      <alignment horizontal="left"/>
    </xf>
    <xf numFmtId="0" fontId="31" fillId="0" borderId="31" xfId="12" applyNumberFormat="1" applyFont="1" applyFill="1" applyBorder="1" applyAlignment="1" applyProtection="1">
      <alignment horizontal="left"/>
    </xf>
    <xf numFmtId="0" fontId="31" fillId="0" borderId="31" xfId="9" applyNumberFormat="1" applyFont="1" applyFill="1" applyBorder="1" applyAlignment="1" applyProtection="1">
      <alignment horizontal="justify" vertical="top"/>
    </xf>
    <xf numFmtId="11" fontId="31" fillId="0" borderId="24" xfId="9" applyNumberFormat="1" applyFont="1" applyFill="1" applyBorder="1" applyAlignment="1" applyProtection="1">
      <alignment horizontal="left"/>
    </xf>
    <xf numFmtId="11" fontId="31" fillId="0" borderId="31" xfId="9" applyNumberFormat="1" applyFont="1" applyFill="1" applyBorder="1" applyAlignment="1" applyProtection="1">
      <alignment horizontal="left" vertical="top"/>
    </xf>
    <xf numFmtId="11" fontId="31" fillId="0" borderId="31" xfId="9" applyNumberFormat="1" applyFont="1" applyFill="1" applyBorder="1" applyAlignment="1" applyProtection="1">
      <alignment horizontal="left"/>
    </xf>
    <xf numFmtId="11" fontId="31" fillId="0" borderId="10" xfId="9" applyNumberFormat="1" applyFont="1" applyFill="1" applyBorder="1" applyAlignment="1" applyProtection="1">
      <alignment horizontal="left" vertical="top"/>
    </xf>
    <xf numFmtId="11" fontId="31" fillId="0" borderId="24" xfId="12" applyNumberFormat="1" applyFont="1" applyFill="1" applyBorder="1" applyAlignment="1" applyProtection="1">
      <alignment horizontal="justify"/>
    </xf>
    <xf numFmtId="11" fontId="31" fillId="0" borderId="24" xfId="12" applyNumberFormat="1" applyFont="1" applyFill="1" applyBorder="1" applyAlignment="1" applyProtection="1">
      <alignment horizontal="left"/>
    </xf>
    <xf numFmtId="11" fontId="31" fillId="0" borderId="31" xfId="12" applyNumberFormat="1" applyFont="1" applyFill="1" applyBorder="1" applyAlignment="1" applyProtection="1">
      <alignment horizontal="justify" vertical="top"/>
    </xf>
    <xf numFmtId="11" fontId="31" fillId="0" borderId="31" xfId="12" applyNumberFormat="1" applyFont="1" applyFill="1" applyBorder="1" applyAlignment="1" applyProtection="1">
      <alignment horizontal="left" vertical="top"/>
    </xf>
    <xf numFmtId="11" fontId="31" fillId="0" borderId="31" xfId="12" applyNumberFormat="1" applyFont="1" applyFill="1" applyBorder="1" applyAlignment="1" applyProtection="1">
      <alignment horizontal="justify"/>
    </xf>
    <xf numFmtId="11" fontId="31" fillId="0" borderId="31" xfId="12" applyNumberFormat="1" applyFont="1" applyFill="1" applyBorder="1" applyAlignment="1" applyProtection="1">
      <alignment horizontal="left"/>
    </xf>
    <xf numFmtId="11" fontId="31" fillId="0" borderId="10" xfId="12" applyNumberFormat="1" applyFont="1" applyFill="1" applyBorder="1" applyAlignment="1" applyProtection="1">
      <alignment horizontal="justify" vertical="top"/>
    </xf>
    <xf numFmtId="11" fontId="31" fillId="0" borderId="10" xfId="12" applyNumberFormat="1" applyFont="1" applyFill="1" applyBorder="1" applyAlignment="1" applyProtection="1">
      <alignment horizontal="left" vertical="top"/>
    </xf>
    <xf numFmtId="0" fontId="31" fillId="0" borderId="31" xfId="10" applyNumberFormat="1" applyFont="1" applyFill="1" applyBorder="1" applyAlignment="1" applyProtection="1">
      <alignment horizontal="left" indent="4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13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ll" xfId="12" xr:uid="{98335CC5-93A7-416F-9D93-730A7D9B33AE}"/>
    <cellStyle name="Обычный_dfluid1" xfId="10" xr:uid="{AB236CEF-867D-4E19-BDF9-CFFABB19E250}"/>
    <cellStyle name="Обычный_dsolid" xfId="11" xr:uid="{5ACCF6EB-5BA3-432C-816F-5019C339153B}"/>
    <cellStyle name="Обычный_Лист1" xfId="9" xr:uid="{558E9AFF-95A1-4CD5-A784-F1AA712F998D}"/>
    <cellStyle name="Форм" xfId="4" xr:uid="{810E17FE-2F7B-4E62-B173-29B9F2A26C86}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>
                  <c:v>884.4</c:v>
                </c:pt>
                <c:pt idx="23">
                  <c:v>900.9</c:v>
                </c:pt>
                <c:pt idx="24">
                  <c:v>917.4</c:v>
                </c:pt>
                <c:pt idx="25">
                  <c:v>933.9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5.6890999999999997E-2</c:v>
                </c:pt>
                <c:pt idx="1">
                  <c:v>6.0013999999999998E-2</c:v>
                </c:pt>
                <c:pt idx="2">
                  <c:v>6.7182000000000006E-2</c:v>
                </c:pt>
                <c:pt idx="3">
                  <c:v>7.8593999999999997E-2</c:v>
                </c:pt>
                <c:pt idx="4">
                  <c:v>9.1024999999999995E-2</c:v>
                </c:pt>
                <c:pt idx="5">
                  <c:v>7.9388E-2</c:v>
                </c:pt>
                <c:pt idx="6">
                  <c:v>9.0358999999999995E-2</c:v>
                </c:pt>
                <c:pt idx="7">
                  <c:v>9.8905000000000007E-2</c:v>
                </c:pt>
                <c:pt idx="8">
                  <c:v>0.10381</c:v>
                </c:pt>
                <c:pt idx="9">
                  <c:v>8.1042000000000003E-2</c:v>
                </c:pt>
                <c:pt idx="10">
                  <c:v>5.9419E-2</c:v>
                </c:pt>
                <c:pt idx="11">
                  <c:v>3.7888999999999999E-2</c:v>
                </c:pt>
                <c:pt idx="12">
                  <c:v>2.1876E-2</c:v>
                </c:pt>
                <c:pt idx="13">
                  <c:v>1.1953999999999999E-2</c:v>
                </c:pt>
                <c:pt idx="14">
                  <c:v>6.3936000000000002E-3</c:v>
                </c:pt>
                <c:pt idx="15">
                  <c:v>3.4253E-3</c:v>
                </c:pt>
                <c:pt idx="16">
                  <c:v>1.8648E-3</c:v>
                </c:pt>
                <c:pt idx="17">
                  <c:v>1.0388999999999999E-3</c:v>
                </c:pt>
                <c:pt idx="18">
                  <c:v>1.2572000000000001E-4</c:v>
                </c:pt>
                <c:pt idx="19">
                  <c:v>2.0253000000000001E-5</c:v>
                </c:pt>
                <c:pt idx="20">
                  <c:v>4.0493000000000003E-6</c:v>
                </c:pt>
                <c:pt idx="21">
                  <c:v>9.3162000000000003E-7</c:v>
                </c:pt>
                <c:pt idx="22">
                  <c:v>6.5809000000000004E-7</c:v>
                </c:pt>
                <c:pt idx="23">
                  <c:v>4.6945000000000001E-7</c:v>
                </c:pt>
                <c:pt idx="24">
                  <c:v>3.3807000000000001E-7</c:v>
                </c:pt>
                <c:pt idx="25">
                  <c:v>2.4555999999999998E-7</c:v>
                </c:pt>
                <c:pt idx="26">
                  <c:v>7.3405000000000001E-8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9.5786000000000003E-32</c:v>
                </c:pt>
                <c:pt idx="10">
                  <c:v>7.6323999999999999E-30</c:v>
                </c:pt>
                <c:pt idx="11">
                  <c:v>4.2617000000000002E-28</c:v>
                </c:pt>
                <c:pt idx="12">
                  <c:v>1.8622999999999999E-26</c:v>
                </c:pt>
                <c:pt idx="13">
                  <c:v>6.6245000000000001E-25</c:v>
                </c:pt>
                <c:pt idx="14">
                  <c:v>1.8928999999999999E-23</c:v>
                </c:pt>
                <c:pt idx="15">
                  <c:v>4.2502999999999997E-22</c:v>
                </c:pt>
                <c:pt idx="16">
                  <c:v>7.4691000000000006E-21</c:v>
                </c:pt>
                <c:pt idx="17">
                  <c:v>1.0479E-19</c:v>
                </c:pt>
                <c:pt idx="18">
                  <c:v>8.1084999999999995E-16</c:v>
                </c:pt>
                <c:pt idx="19">
                  <c:v>1.1342999999999999E-12</c:v>
                </c:pt>
                <c:pt idx="20">
                  <c:v>3.2051000000000001E-10</c:v>
                </c:pt>
                <c:pt idx="21">
                  <c:v>7.4021000000000003E-9</c:v>
                </c:pt>
                <c:pt idx="22">
                  <c:v>1.0564E-8</c:v>
                </c:pt>
                <c:pt idx="23">
                  <c:v>1.3380999999999999E-8</c:v>
                </c:pt>
                <c:pt idx="24">
                  <c:v>1.5594999999999998E-8</c:v>
                </c:pt>
                <c:pt idx="25">
                  <c:v>1.7211000000000001E-8</c:v>
                </c:pt>
                <c:pt idx="26">
                  <c:v>1.9883E-8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4.1823000000000003E-9</c:v>
                      </c:pt>
                      <c:pt idx="1">
                        <c:v>3.5658999999999999E-9</c:v>
                      </c:pt>
                      <c:pt idx="2">
                        <c:v>1.105E-9</c:v>
                      </c:pt>
                      <c:pt idx="3">
                        <c:v>9.1435000000000005E-11</c:v>
                      </c:pt>
                      <c:pt idx="4">
                        <c:v>3.1193E-14</c:v>
                      </c:pt>
                      <c:pt idx="5">
                        <c:v>5.4287000000000001E-11</c:v>
                      </c:pt>
                      <c:pt idx="6">
                        <c:v>4.4297000000000002E-14</c:v>
                      </c:pt>
                      <c:pt idx="7">
                        <c:v>5.4128000000000001E-20</c:v>
                      </c:pt>
                      <c:pt idx="8">
                        <c:v>4.0770000000000003E-26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9.4120000000000004E-31</c:v>
                      </c:pt>
                      <c:pt idx="2">
                        <c:v>3.2174000000000001E-19</c:v>
                      </c:pt>
                      <c:pt idx="3">
                        <c:v>3.6182000000000001E-12</c:v>
                      </c:pt>
                      <c:pt idx="4">
                        <c:v>7.9805000000000005E-10</c:v>
                      </c:pt>
                      <c:pt idx="5">
                        <c:v>6.2844999999999997E-12</c:v>
                      </c:pt>
                      <c:pt idx="6">
                        <c:v>7.0559000000000004E-10</c:v>
                      </c:pt>
                      <c:pt idx="7">
                        <c:v>1.179E-9</c:v>
                      </c:pt>
                      <c:pt idx="8">
                        <c:v>2.4076999999999999E-9</c:v>
                      </c:pt>
                      <c:pt idx="9">
                        <c:v>3.8363999999999997E-9</c:v>
                      </c:pt>
                      <c:pt idx="10">
                        <c:v>4.3593999999999996E-9</c:v>
                      </c:pt>
                      <c:pt idx="11">
                        <c:v>7.6769999999999999E-9</c:v>
                      </c:pt>
                      <c:pt idx="12">
                        <c:v>6.4545E-9</c:v>
                      </c:pt>
                      <c:pt idx="13">
                        <c:v>8.5846000000000003E-9</c:v>
                      </c:pt>
                      <c:pt idx="14">
                        <c:v>8.3344000000000005E-9</c:v>
                      </c:pt>
                      <c:pt idx="15">
                        <c:v>1.2420999999999999E-8</c:v>
                      </c:pt>
                      <c:pt idx="16">
                        <c:v>1.6213999999999999E-8</c:v>
                      </c:pt>
                      <c:pt idx="17">
                        <c:v>1.0381E-8</c:v>
                      </c:pt>
                      <c:pt idx="18">
                        <c:v>1.5279000000000001E-8</c:v>
                      </c:pt>
                      <c:pt idx="19">
                        <c:v>1.6630999999999999E-8</c:v>
                      </c:pt>
                      <c:pt idx="20">
                        <c:v>1.8374E-8</c:v>
                      </c:pt>
                      <c:pt idx="21">
                        <c:v>2.1967000000000001E-8</c:v>
                      </c:pt>
                      <c:pt idx="22">
                        <c:v>1.8927000000000001E-8</c:v>
                      </c:pt>
                      <c:pt idx="23">
                        <c:v>1.9089999999999999E-9</c:v>
                      </c:pt>
                      <c:pt idx="24">
                        <c:v>1.0988E-10</c:v>
                      </c:pt>
                      <c:pt idx="25">
                        <c:v>1.0156E-11</c:v>
                      </c:pt>
                      <c:pt idx="26">
                        <c:v>1.9516E-16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9.7596000000000002E-2</c:v>
                      </c:pt>
                      <c:pt idx="1">
                        <c:v>9.1974E-2</c:v>
                      </c:pt>
                      <c:pt idx="2">
                        <c:v>7.9069E-2</c:v>
                      </c:pt>
                      <c:pt idx="3">
                        <c:v>5.8520000000000003E-2</c:v>
                      </c:pt>
                      <c:pt idx="4">
                        <c:v>3.6125999999999998E-2</c:v>
                      </c:pt>
                      <c:pt idx="5">
                        <c:v>5.7002999999999998E-2</c:v>
                      </c:pt>
                      <c:pt idx="6">
                        <c:v>3.7092E-2</c:v>
                      </c:pt>
                      <c:pt idx="7">
                        <c:v>2.1264999999999999E-2</c:v>
                      </c:pt>
                      <c:pt idx="8">
                        <c:v>1.1269E-2</c:v>
                      </c:pt>
                      <c:pt idx="9">
                        <c:v>9.7707999999999997E-6</c:v>
                      </c:pt>
                      <c:pt idx="10">
                        <c:v>4.8648000000000004E-6</c:v>
                      </c:pt>
                      <c:pt idx="11">
                        <c:v>2.2141000000000001E-6</c:v>
                      </c:pt>
                      <c:pt idx="12">
                        <c:v>8.8602999999999995E-7</c:v>
                      </c:pt>
                      <c:pt idx="13">
                        <c:v>3.178E-7</c:v>
                      </c:pt>
                      <c:pt idx="14">
                        <c:v>1.0694E-7</c:v>
                      </c:pt>
                      <c:pt idx="15">
                        <c:v>3.5210999999999997E-8</c:v>
                      </c:pt>
                      <c:pt idx="16">
                        <c:v>1.1662E-8</c:v>
                      </c:pt>
                      <c:pt idx="17">
                        <c:v>3.9443999999999997E-9</c:v>
                      </c:pt>
                      <c:pt idx="18">
                        <c:v>6.8974000000000004E-11</c:v>
                      </c:pt>
                      <c:pt idx="19">
                        <c:v>1.8893E-12</c:v>
                      </c:pt>
                      <c:pt idx="20">
                        <c:v>7.7871999999999994E-14</c:v>
                      </c:pt>
                      <c:pt idx="21">
                        <c:v>4.5578E-15</c:v>
                      </c:pt>
                      <c:pt idx="22">
                        <c:v>2.3075999999999999E-15</c:v>
                      </c:pt>
                      <c:pt idx="23">
                        <c:v>1.1769000000000001E-15</c:v>
                      </c:pt>
                      <c:pt idx="24">
                        <c:v>6.0503999999999997E-16</c:v>
                      </c:pt>
                      <c:pt idx="25">
                        <c:v>3.1379999999999999E-16</c:v>
                      </c:pt>
                      <c:pt idx="26">
                        <c:v>2.5028E-17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4.5512999999999998E-2</c:v>
                      </c:pt>
                      <c:pt idx="1">
                        <c:v>4.8011999999999999E-2</c:v>
                      </c:pt>
                      <c:pt idx="2">
                        <c:v>5.3748999999999998E-2</c:v>
                      </c:pt>
                      <c:pt idx="3">
                        <c:v>6.2883999999999995E-2</c:v>
                      </c:pt>
                      <c:pt idx="4">
                        <c:v>7.2843000000000005E-2</c:v>
                      </c:pt>
                      <c:pt idx="5">
                        <c:v>6.3576999999999995E-2</c:v>
                      </c:pt>
                      <c:pt idx="6">
                        <c:v>7.2458999999999996E-2</c:v>
                      </c:pt>
                      <c:pt idx="7">
                        <c:v>7.9570000000000002E-2</c:v>
                      </c:pt>
                      <c:pt idx="8">
                        <c:v>8.4186999999999998E-2</c:v>
                      </c:pt>
                      <c:pt idx="9">
                        <c:v>9.0769000000000002E-2</c:v>
                      </c:pt>
                      <c:pt idx="10">
                        <c:v>8.4641999999999995E-2</c:v>
                      </c:pt>
                      <c:pt idx="11">
                        <c:v>6.9443000000000005E-2</c:v>
                      </c:pt>
                      <c:pt idx="12">
                        <c:v>4.9264000000000002E-2</c:v>
                      </c:pt>
                      <c:pt idx="13">
                        <c:v>3.1146E-2</c:v>
                      </c:pt>
                      <c:pt idx="14">
                        <c:v>1.8366E-2</c:v>
                      </c:pt>
                      <c:pt idx="15">
                        <c:v>1.0496999999999999E-2</c:v>
                      </c:pt>
                      <c:pt idx="16">
                        <c:v>5.9607000000000002E-3</c:v>
                      </c:pt>
                      <c:pt idx="17">
                        <c:v>3.4093000000000001E-3</c:v>
                      </c:pt>
                      <c:pt idx="18">
                        <c:v>4.2591999999999999E-4</c:v>
                      </c:pt>
                      <c:pt idx="19">
                        <c:v>6.8961000000000006E-5</c:v>
                      </c:pt>
                      <c:pt idx="20">
                        <c:v>1.4127E-5</c:v>
                      </c:pt>
                      <c:pt idx="21">
                        <c:v>3.5306000000000001E-6</c:v>
                      </c:pt>
                      <c:pt idx="22">
                        <c:v>2.5401999999999998E-6</c:v>
                      </c:pt>
                      <c:pt idx="23">
                        <c:v>1.8363000000000001E-6</c:v>
                      </c:pt>
                      <c:pt idx="24">
                        <c:v>1.3339000000000001E-6</c:v>
                      </c:pt>
                      <c:pt idx="25">
                        <c:v>9.7419999999999992E-7</c:v>
                      </c:pt>
                      <c:pt idx="26">
                        <c:v>2.9329E-7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1.1710999999999999E-7</c:v>
                      </c:pt>
                      <c:pt idx="1">
                        <c:v>2.5674000000000001E-7</c:v>
                      </c:pt>
                      <c:pt idx="2">
                        <c:v>6.4908000000000004E-7</c:v>
                      </c:pt>
                      <c:pt idx="3">
                        <c:v>1.9657999999999999E-6</c:v>
                      </c:pt>
                      <c:pt idx="4">
                        <c:v>6.6646999999999999E-6</c:v>
                      </c:pt>
                      <c:pt idx="5">
                        <c:v>3.1909999999999998E-5</c:v>
                      </c:pt>
                      <c:pt idx="6">
                        <c:v>9.0048000000000002E-5</c:v>
                      </c:pt>
                      <c:pt idx="7">
                        <c:v>2.5982000000000002E-4</c:v>
                      </c:pt>
                      <c:pt idx="8">
                        <c:v>7.3362999999999998E-4</c:v>
                      </c:pt>
                      <c:pt idx="9">
                        <c:v>2.8178999999999999E-2</c:v>
                      </c:pt>
                      <c:pt idx="10">
                        <c:v>5.5932999999999997E-2</c:v>
                      </c:pt>
                      <c:pt idx="11">
                        <c:v>9.2665999999999998E-2</c:v>
                      </c:pt>
                      <c:pt idx="12">
                        <c:v>0.12886</c:v>
                      </c:pt>
                      <c:pt idx="13">
                        <c:v>0.15690000000000001</c:v>
                      </c:pt>
                      <c:pt idx="14">
                        <c:v>0.17524000000000001</c:v>
                      </c:pt>
                      <c:pt idx="15">
                        <c:v>0.18608</c:v>
                      </c:pt>
                      <c:pt idx="16">
                        <c:v>0.19217000000000001</c:v>
                      </c:pt>
                      <c:pt idx="17">
                        <c:v>0.19555</c:v>
                      </c:pt>
                      <c:pt idx="18">
                        <c:v>0.19944999999999999</c:v>
                      </c:pt>
                      <c:pt idx="19">
                        <c:v>0.19991</c:v>
                      </c:pt>
                      <c:pt idx="20">
                        <c:v>0.19997999999999999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5.9998999999999997E-2</c:v>
                      </c:pt>
                      <c:pt idx="1">
                        <c:v>5.9998000000000003E-2</c:v>
                      </c:pt>
                      <c:pt idx="2">
                        <c:v>5.9996000000000001E-2</c:v>
                      </c:pt>
                      <c:pt idx="3">
                        <c:v>5.9991000000000003E-2</c:v>
                      </c:pt>
                      <c:pt idx="4">
                        <c:v>5.9981E-2</c:v>
                      </c:pt>
                      <c:pt idx="5">
                        <c:v>5.9948000000000001E-2</c:v>
                      </c:pt>
                      <c:pt idx="6">
                        <c:v>5.9901000000000003E-2</c:v>
                      </c:pt>
                      <c:pt idx="7">
                        <c:v>5.9809000000000001E-2</c:v>
                      </c:pt>
                      <c:pt idx="8">
                        <c:v>5.9637000000000003E-2</c:v>
                      </c:pt>
                      <c:pt idx="9">
                        <c:v>5.6177999999999999E-2</c:v>
                      </c:pt>
                      <c:pt idx="10">
                        <c:v>5.3484999999999998E-2</c:v>
                      </c:pt>
                      <c:pt idx="11">
                        <c:v>4.9385999999999999E-2</c:v>
                      </c:pt>
                      <c:pt idx="12">
                        <c:v>4.3660999999999998E-2</c:v>
                      </c:pt>
                      <c:pt idx="13">
                        <c:v>3.6357E-2</c:v>
                      </c:pt>
                      <c:pt idx="14">
                        <c:v>2.7993000000000001E-2</c:v>
                      </c:pt>
                      <c:pt idx="15">
                        <c:v>1.9633999999999999E-2</c:v>
                      </c:pt>
                      <c:pt idx="16">
                        <c:v>1.2524E-2</c:v>
                      </c:pt>
                      <c:pt idx="17">
                        <c:v>7.3902999999999998E-3</c:v>
                      </c:pt>
                      <c:pt idx="18">
                        <c:v>6.9225000000000005E-4</c:v>
                      </c:pt>
                      <c:pt idx="19">
                        <c:v>7.2624000000000001E-5</c:v>
                      </c:pt>
                      <c:pt idx="20">
                        <c:v>6.6896999999999997E-6</c:v>
                      </c:pt>
                      <c:pt idx="21">
                        <c:v>1.6880999999999999E-7</c:v>
                      </c:pt>
                      <c:pt idx="22">
                        <c:v>4.9899999999999997E-8</c:v>
                      </c:pt>
                      <c:pt idx="23">
                        <c:v>1.3614E-8</c:v>
                      </c:pt>
                      <c:pt idx="24">
                        <c:v>3.5506000000000001E-9</c:v>
                      </c:pt>
                      <c:pt idx="25">
                        <c:v>9.1128999999999996E-10</c:v>
                      </c:pt>
                      <c:pt idx="26">
                        <c:v>4.5008000000000004E-12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2.3481999999999998E-6</c:v>
                      </c:pt>
                      <c:pt idx="1">
                        <c:v>4.4712999999999999E-6</c:v>
                      </c:pt>
                      <c:pt idx="2">
                        <c:v>8.6964000000000003E-6</c:v>
                      </c:pt>
                      <c:pt idx="3">
                        <c:v>1.7813E-5</c:v>
                      </c:pt>
                      <c:pt idx="4">
                        <c:v>3.8047999999999999E-5</c:v>
                      </c:pt>
                      <c:pt idx="5">
                        <c:v>1.0480999999999999E-4</c:v>
                      </c:pt>
                      <c:pt idx="6">
                        <c:v>1.9879000000000001E-4</c:v>
                      </c:pt>
                      <c:pt idx="7">
                        <c:v>3.8164999999999998E-4</c:v>
                      </c:pt>
                      <c:pt idx="8">
                        <c:v>7.2637000000000005E-4</c:v>
                      </c:pt>
                      <c:pt idx="9">
                        <c:v>7.6448000000000002E-3</c:v>
                      </c:pt>
                      <c:pt idx="10">
                        <c:v>1.303E-2</c:v>
                      </c:pt>
                      <c:pt idx="11">
                        <c:v>2.1228E-2</c:v>
                      </c:pt>
                      <c:pt idx="12">
                        <c:v>3.2677999999999999E-2</c:v>
                      </c:pt>
                      <c:pt idx="13">
                        <c:v>4.7285000000000001E-2</c:v>
                      </c:pt>
                      <c:pt idx="14">
                        <c:v>6.4014000000000001E-2</c:v>
                      </c:pt>
                      <c:pt idx="15">
                        <c:v>8.0731999999999998E-2</c:v>
                      </c:pt>
                      <c:pt idx="16">
                        <c:v>9.4950000000000007E-2</c:v>
                      </c:pt>
                      <c:pt idx="17">
                        <c:v>0.10521</c:v>
                      </c:pt>
                      <c:pt idx="18">
                        <c:v>0.11840000000000001</c:v>
                      </c:pt>
                      <c:pt idx="19">
                        <c:v>0.11679</c:v>
                      </c:pt>
                      <c:pt idx="20">
                        <c:v>9.4005000000000005E-2</c:v>
                      </c:pt>
                      <c:pt idx="21">
                        <c:v>3.6080000000000001E-2</c:v>
                      </c:pt>
                      <c:pt idx="22">
                        <c:v>2.4143999999999999E-2</c:v>
                      </c:pt>
                      <c:pt idx="23">
                        <c:v>1.5429E-2</c:v>
                      </c:pt>
                      <c:pt idx="24">
                        <c:v>9.5852000000000003E-3</c:v>
                      </c:pt>
                      <c:pt idx="25">
                        <c:v>5.8760000000000001E-3</c:v>
                      </c:pt>
                      <c:pt idx="26">
                        <c:v>8.4699000000000005E-4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1.8594E-28</c:v>
                      </c:pt>
                      <c:pt idx="1">
                        <c:v>7.4295999999999994E-27</c:v>
                      </c:pt>
                      <c:pt idx="2">
                        <c:v>2.6945000000000002E-25</c:v>
                      </c:pt>
                      <c:pt idx="3">
                        <c:v>1.0285E-23</c:v>
                      </c:pt>
                      <c:pt idx="4">
                        <c:v>4.1562999999999998E-22</c:v>
                      </c:pt>
                      <c:pt idx="5">
                        <c:v>5.0184999999999998E-20</c:v>
                      </c:pt>
                      <c:pt idx="6">
                        <c:v>1.0738E-18</c:v>
                      </c:pt>
                      <c:pt idx="7">
                        <c:v>2.2907999999999999E-17</c:v>
                      </c:pt>
                      <c:pt idx="8">
                        <c:v>4.5302000000000001E-16</c:v>
                      </c:pt>
                      <c:pt idx="9">
                        <c:v>1.4255E-11</c:v>
                      </c:pt>
                      <c:pt idx="10">
                        <c:v>1.1835000000000001E-10</c:v>
                      </c:pt>
                      <c:pt idx="11">
                        <c:v>8.1436999999999995E-10</c:v>
                      </c:pt>
                      <c:pt idx="12">
                        <c:v>4.8252999999999999E-9</c:v>
                      </c:pt>
                      <c:pt idx="13">
                        <c:v>2.4926999999999999E-8</c:v>
                      </c:pt>
                      <c:pt idx="14">
                        <c:v>1.1086E-7</c:v>
                      </c:pt>
                      <c:pt idx="15">
                        <c:v>4.1741999999999999E-7</c:v>
                      </c:pt>
                      <c:pt idx="16">
                        <c:v>1.3272E-6</c:v>
                      </c:pt>
                      <c:pt idx="17">
                        <c:v>3.6302E-6</c:v>
                      </c:pt>
                      <c:pt idx="18">
                        <c:v>8.1812999999999997E-5</c:v>
                      </c:pt>
                      <c:pt idx="19">
                        <c:v>8.7615999999999996E-4</c:v>
                      </c:pt>
                      <c:pt idx="20">
                        <c:v>4.1006000000000003E-3</c:v>
                      </c:pt>
                      <c:pt idx="21">
                        <c:v>2.9838999999999998E-3</c:v>
                      </c:pt>
                      <c:pt idx="22">
                        <c:v>1.9321E-3</c:v>
                      </c:pt>
                      <c:pt idx="23">
                        <c:v>1.1352000000000001E-3</c:v>
                      </c:pt>
                      <c:pt idx="24">
                        <c:v>6.2693999999999998E-4</c:v>
                      </c:pt>
                      <c:pt idx="25">
                        <c:v>3.3488000000000002E-4</c:v>
                      </c:pt>
                      <c:pt idx="26">
                        <c:v>2.6115999999999999E-5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3.1019999999999999E-28</c:v>
                      </c:pt>
                      <c:pt idx="1">
                        <c:v>1.1738E-26</c:v>
                      </c:pt>
                      <c:pt idx="2">
                        <c:v>3.8705000000000001E-25</c:v>
                      </c:pt>
                      <c:pt idx="3">
                        <c:v>1.2552E-23</c:v>
                      </c:pt>
                      <c:pt idx="4">
                        <c:v>4.0285000000000001E-22</c:v>
                      </c:pt>
                      <c:pt idx="5">
                        <c:v>2.6877E-20</c:v>
                      </c:pt>
                      <c:pt idx="6">
                        <c:v>4.8895000000000001E-19</c:v>
                      </c:pt>
                      <c:pt idx="7">
                        <c:v>8.5231000000000005E-18</c:v>
                      </c:pt>
                      <c:pt idx="8">
                        <c:v>1.3532E-16</c:v>
                      </c:pt>
                      <c:pt idx="9">
                        <c:v>2.1923999999999998E-12</c:v>
                      </c:pt>
                      <c:pt idx="10">
                        <c:v>1.7411E-11</c:v>
                      </c:pt>
                      <c:pt idx="11">
                        <c:v>1.1916999999999999E-10</c:v>
                      </c:pt>
                      <c:pt idx="12">
                        <c:v>7.1440000000000004E-10</c:v>
                      </c:pt>
                      <c:pt idx="13">
                        <c:v>3.7937000000000002E-9</c:v>
                      </c:pt>
                      <c:pt idx="14">
                        <c:v>1.7843E-8</c:v>
                      </c:pt>
                      <c:pt idx="15">
                        <c:v>7.4066999999999997E-8</c:v>
                      </c:pt>
                      <c:pt idx="16">
                        <c:v>2.7186E-7</c:v>
                      </c:pt>
                      <c:pt idx="17">
                        <c:v>8.9314999999999997E-7</c:v>
                      </c:pt>
                      <c:pt idx="18">
                        <c:v>4.9323999999999997E-5</c:v>
                      </c:pt>
                      <c:pt idx="19">
                        <c:v>1.3162E-3</c:v>
                      </c:pt>
                      <c:pt idx="20">
                        <c:v>1.7780000000000001E-2</c:v>
                      </c:pt>
                      <c:pt idx="21">
                        <c:v>7.7951999999999994E-2</c:v>
                      </c:pt>
                      <c:pt idx="22">
                        <c:v>9.1992000000000004E-2</c:v>
                      </c:pt>
                      <c:pt idx="23">
                        <c:v>0.1023</c:v>
                      </c:pt>
                      <c:pt idx="24">
                        <c:v>0.10915999999999999</c:v>
                      </c:pt>
                      <c:pt idx="25">
                        <c:v>0.11345</c:v>
                      </c:pt>
                      <c:pt idx="26">
                        <c:v>0.1191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6.5483999999999998E-10</c:v>
                      </c:pt>
                      <c:pt idx="1">
                        <c:v>2.0457000000000001E-9</c:v>
                      </c:pt>
                      <c:pt idx="2">
                        <c:v>4.8861999999999999E-9</c:v>
                      </c:pt>
                      <c:pt idx="3">
                        <c:v>8.7203999999999998E-9</c:v>
                      </c:pt>
                      <c:pt idx="4">
                        <c:v>1.1932000000000001E-8</c:v>
                      </c:pt>
                      <c:pt idx="5">
                        <c:v>7.0699999999999998E-9</c:v>
                      </c:pt>
                      <c:pt idx="6">
                        <c:v>9.0227999999999999E-9</c:v>
                      </c:pt>
                      <c:pt idx="7">
                        <c:v>9.7994999999999995E-9</c:v>
                      </c:pt>
                      <c:pt idx="8">
                        <c:v>9.5685000000000006E-9</c:v>
                      </c:pt>
                      <c:pt idx="9">
                        <c:v>7.4586999999999995E-9</c:v>
                      </c:pt>
                      <c:pt idx="10">
                        <c:v>7.7952000000000005E-9</c:v>
                      </c:pt>
                      <c:pt idx="11">
                        <c:v>8.2755000000000002E-9</c:v>
                      </c:pt>
                      <c:pt idx="12">
                        <c:v>8.4629999999999994E-9</c:v>
                      </c:pt>
                      <c:pt idx="13">
                        <c:v>8.2064999999999997E-9</c:v>
                      </c:pt>
                      <c:pt idx="14">
                        <c:v>7.6165000000000007E-9</c:v>
                      </c:pt>
                      <c:pt idx="15">
                        <c:v>6.8584000000000002E-9</c:v>
                      </c:pt>
                      <c:pt idx="16">
                        <c:v>6.0492999999999998E-9</c:v>
                      </c:pt>
                      <c:pt idx="17">
                        <c:v>5.2586999999999996E-9</c:v>
                      </c:pt>
                      <c:pt idx="18">
                        <c:v>2.8199000000000002E-9</c:v>
                      </c:pt>
                      <c:pt idx="19">
                        <c:v>1.4974E-9</c:v>
                      </c:pt>
                      <c:pt idx="20">
                        <c:v>8.4256000000000004E-10</c:v>
                      </c:pt>
                      <c:pt idx="21">
                        <c:v>5.2595000000000003E-10</c:v>
                      </c:pt>
                      <c:pt idx="22">
                        <c:v>4.6519000000000002E-10</c:v>
                      </c:pt>
                      <c:pt idx="23">
                        <c:v>4.0837999999999999E-10</c:v>
                      </c:pt>
                      <c:pt idx="24">
                        <c:v>3.5621999999999999E-10</c:v>
                      </c:pt>
                      <c:pt idx="25">
                        <c:v>3.0936E-10</c:v>
                      </c:pt>
                      <c:pt idx="26">
                        <c:v>1.7323000000000001E-10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2.4052000000000001E-3</c:v>
                      </c:pt>
                      <c:pt idx="1">
                        <c:v>8.0286000000000003E-3</c:v>
                      </c:pt>
                      <c:pt idx="2">
                        <c:v>2.0936E-2</c:v>
                      </c:pt>
                      <c:pt idx="3">
                        <c:v>4.1491E-2</c:v>
                      </c:pt>
                      <c:pt idx="4">
                        <c:v>6.3899999999999998E-2</c:v>
                      </c:pt>
                      <c:pt idx="5">
                        <c:v>4.3081000000000001E-2</c:v>
                      </c:pt>
                      <c:pt idx="6">
                        <c:v>6.3097E-2</c:v>
                      </c:pt>
                      <c:pt idx="7">
                        <c:v>7.9185000000000005E-2</c:v>
                      </c:pt>
                      <c:pt idx="8">
                        <c:v>8.9828000000000005E-2</c:v>
                      </c:pt>
                      <c:pt idx="9">
                        <c:v>0.13199</c:v>
                      </c:pt>
                      <c:pt idx="10">
                        <c:v>0.16244</c:v>
                      </c:pt>
                      <c:pt idx="11">
                        <c:v>0.20327999999999999</c:v>
                      </c:pt>
                      <c:pt idx="12">
                        <c:v>0.2452</c:v>
                      </c:pt>
                      <c:pt idx="13">
                        <c:v>0.28054000000000001</c:v>
                      </c:pt>
                      <c:pt idx="14">
                        <c:v>0.30725000000000002</c:v>
                      </c:pt>
                      <c:pt idx="15">
                        <c:v>0.32645000000000002</c:v>
                      </c:pt>
                      <c:pt idx="16">
                        <c:v>0.33965000000000001</c:v>
                      </c:pt>
                      <c:pt idx="17">
                        <c:v>0.34816999999999998</c:v>
                      </c:pt>
                      <c:pt idx="18">
                        <c:v>0.35888999999999999</c:v>
                      </c:pt>
                      <c:pt idx="19">
                        <c:v>0.36203000000000002</c:v>
                      </c:pt>
                      <c:pt idx="20">
                        <c:v>0.38185999999999998</c:v>
                      </c:pt>
                      <c:pt idx="21">
                        <c:v>0.44092999999999999</c:v>
                      </c:pt>
                      <c:pt idx="22">
                        <c:v>0.45391999999999999</c:v>
                      </c:pt>
                      <c:pt idx="23">
                        <c:v>0.46343000000000001</c:v>
                      </c:pt>
                      <c:pt idx="24">
                        <c:v>0.46978999999999999</c:v>
                      </c:pt>
                      <c:pt idx="25">
                        <c:v>0.47378999999999999</c:v>
                      </c:pt>
                      <c:pt idx="26">
                        <c:v>0.47913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7.2503999999999999E-12</c:v>
                      </c:pt>
                      <c:pt idx="1">
                        <c:v>2.9913000000000003E-11</c:v>
                      </c:pt>
                      <c:pt idx="2">
                        <c:v>9.2025999999999996E-11</c:v>
                      </c:pt>
                      <c:pt idx="3">
                        <c:v>2.0705E-10</c:v>
                      </c:pt>
                      <c:pt idx="4">
                        <c:v>3.5058999999999998E-10</c:v>
                      </c:pt>
                      <c:pt idx="5">
                        <c:v>2.5297000000000001E-10</c:v>
                      </c:pt>
                      <c:pt idx="6">
                        <c:v>3.8759999999999999E-10</c:v>
                      </c:pt>
                      <c:pt idx="7">
                        <c:v>4.9914999999999998E-10</c:v>
                      </c:pt>
                      <c:pt idx="8">
                        <c:v>5.7152999999999999E-10</c:v>
                      </c:pt>
                      <c:pt idx="9">
                        <c:v>7.7034000000000005E-10</c:v>
                      </c:pt>
                      <c:pt idx="10">
                        <c:v>9.0657E-10</c:v>
                      </c:pt>
                      <c:pt idx="11">
                        <c:v>1.0773E-9</c:v>
                      </c:pt>
                      <c:pt idx="12">
                        <c:v>1.2264E-9</c:v>
                      </c:pt>
                      <c:pt idx="13">
                        <c:v>1.3172E-9</c:v>
                      </c:pt>
                      <c:pt idx="14">
                        <c:v>1.3479000000000001E-9</c:v>
                      </c:pt>
                      <c:pt idx="15">
                        <c:v>1.3325000000000001E-9</c:v>
                      </c:pt>
                      <c:pt idx="16">
                        <c:v>1.2852000000000001E-9</c:v>
                      </c:pt>
                      <c:pt idx="17">
                        <c:v>1.2172999999999999E-9</c:v>
                      </c:pt>
                      <c:pt idx="18">
                        <c:v>8.9125999999999998E-10</c:v>
                      </c:pt>
                      <c:pt idx="19">
                        <c:v>6.1985999999999997E-10</c:v>
                      </c:pt>
                      <c:pt idx="20">
                        <c:v>4.4219E-10</c:v>
                      </c:pt>
                      <c:pt idx="21">
                        <c:v>3.4098E-10</c:v>
                      </c:pt>
                      <c:pt idx="22">
                        <c:v>3.1685E-10</c:v>
                      </c:pt>
                      <c:pt idx="23">
                        <c:v>2.9186000000000001E-10</c:v>
                      </c:pt>
                      <c:pt idx="24">
                        <c:v>2.6680999999999998E-10</c:v>
                      </c:pt>
                      <c:pt idx="25">
                        <c:v>2.4257000000000002E-10</c:v>
                      </c:pt>
                      <c:pt idx="26">
                        <c:v>1.6140999999999999E-10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2.8497000000000002E-9</c:v>
                      </c:pt>
                      <c:pt idx="1">
                        <c:v>7.8554E-9</c:v>
                      </c:pt>
                      <c:pt idx="2">
                        <c:v>1.6768000000000002E-8</c:v>
                      </c:pt>
                      <c:pt idx="3">
                        <c:v>2.7035E-8</c:v>
                      </c:pt>
                      <c:pt idx="4">
                        <c:v>3.3732000000000001E-8</c:v>
                      </c:pt>
                      <c:pt idx="5">
                        <c:v>1.8375999999999999E-8</c:v>
                      </c:pt>
                      <c:pt idx="6">
                        <c:v>2.1716000000000001E-8</c:v>
                      </c:pt>
                      <c:pt idx="7">
                        <c:v>2.1976999999999999E-8</c:v>
                      </c:pt>
                      <c:pt idx="8">
                        <c:v>2.0108E-8</c:v>
                      </c:pt>
                      <c:pt idx="9">
                        <c:v>1.2638E-8</c:v>
                      </c:pt>
                      <c:pt idx="10">
                        <c:v>1.2631000000000001E-8</c:v>
                      </c:pt>
                      <c:pt idx="11">
                        <c:v>1.3356000000000001E-8</c:v>
                      </c:pt>
                      <c:pt idx="12">
                        <c:v>1.3774E-8</c:v>
                      </c:pt>
                      <c:pt idx="13">
                        <c:v>1.3477000000000001E-8</c:v>
                      </c:pt>
                      <c:pt idx="14">
                        <c:v>1.2623999999999999E-8</c:v>
                      </c:pt>
                      <c:pt idx="15">
                        <c:v>1.1476E-8</c:v>
                      </c:pt>
                      <c:pt idx="16">
                        <c:v>1.0220999999999999E-8</c:v>
                      </c:pt>
                      <c:pt idx="17">
                        <c:v>8.9737000000000001E-9</c:v>
                      </c:pt>
                      <c:pt idx="18">
                        <c:v>5.0090000000000004E-9</c:v>
                      </c:pt>
                      <c:pt idx="19">
                        <c:v>2.7683E-9</c:v>
                      </c:pt>
                      <c:pt idx="20">
                        <c:v>1.6196000000000001E-9</c:v>
                      </c:pt>
                      <c:pt idx="21">
                        <c:v>1.0500000000000001E-9</c:v>
                      </c:pt>
                      <c:pt idx="22">
                        <c:v>9.3737999999999992E-10</c:v>
                      </c:pt>
                      <c:pt idx="23">
                        <c:v>8.3052000000000004E-10</c:v>
                      </c:pt>
                      <c:pt idx="24">
                        <c:v>7.3111999999999995E-10</c:v>
                      </c:pt>
                      <c:pt idx="25">
                        <c:v>6.4075999999999997E-10</c:v>
                      </c:pt>
                      <c:pt idx="26">
                        <c:v>3.7194999999999999E-10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5.3633E-24</c:v>
                      </c:pt>
                      <c:pt idx="21">
                        <c:v>4.1780999999999998E-10</c:v>
                      </c:pt>
                      <c:pt idx="22">
                        <c:v>1.8819999999999999E-8</c:v>
                      </c:pt>
                      <c:pt idx="23">
                        <c:v>5.1797999999999998E-8</c:v>
                      </c:pt>
                      <c:pt idx="24">
                        <c:v>7.7835999999999996E-8</c:v>
                      </c:pt>
                      <c:pt idx="25">
                        <c:v>1.3689E-7</c:v>
                      </c:pt>
                      <c:pt idx="26">
                        <c:v>5.8815000000000004E-7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2.2334999999999998E-24</c:v>
                      </c:pt>
                      <c:pt idx="21">
                        <c:v>5.6443000000000001E-11</c:v>
                      </c:pt>
                      <c:pt idx="22">
                        <c:v>2.3336999999999999E-9</c:v>
                      </c:pt>
                      <c:pt idx="23">
                        <c:v>6.2382999999999999E-9</c:v>
                      </c:pt>
                      <c:pt idx="24">
                        <c:v>9.4627000000000004E-9</c:v>
                      </c:pt>
                      <c:pt idx="25">
                        <c:v>1.7202999999999999E-8</c:v>
                      </c:pt>
                      <c:pt idx="26">
                        <c:v>9.1625000000000002E-8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-18.95</c:v>
                      </c:pt>
                      <c:pt idx="4">
                        <c:v>-19.010000000000002</c:v>
                      </c:pt>
                      <c:pt idx="5">
                        <c:v>-18.98</c:v>
                      </c:pt>
                      <c:pt idx="6">
                        <c:v>-19.04</c:v>
                      </c:pt>
                      <c:pt idx="7">
                        <c:v>-19.09</c:v>
                      </c:pt>
                      <c:pt idx="8">
                        <c:v>-19.14</c:v>
                      </c:pt>
                      <c:pt idx="9">
                        <c:v>-19.18</c:v>
                      </c:pt>
                      <c:pt idx="10">
                        <c:v>-19.13</c:v>
                      </c:pt>
                      <c:pt idx="11">
                        <c:v>-19.079999999999998</c:v>
                      </c:pt>
                      <c:pt idx="12">
                        <c:v>-19.04</c:v>
                      </c:pt>
                      <c:pt idx="13">
                        <c:v>-19.03</c:v>
                      </c:pt>
                      <c:pt idx="14">
                        <c:v>-19.04</c:v>
                      </c:pt>
                      <c:pt idx="15">
                        <c:v>-19.059999999999999</c:v>
                      </c:pt>
                      <c:pt idx="16">
                        <c:v>-19.079999999999998</c:v>
                      </c:pt>
                      <c:pt idx="17">
                        <c:v>-19.11</c:v>
                      </c:pt>
                      <c:pt idx="18">
                        <c:v>-19.25</c:v>
                      </c:pt>
                      <c:pt idx="19">
                        <c:v>-19.38</c:v>
                      </c:pt>
                      <c:pt idx="20">
                        <c:v>-19.510000000000002</c:v>
                      </c:pt>
                      <c:pt idx="21">
                        <c:v>-19.64</c:v>
                      </c:pt>
                      <c:pt idx="22">
                        <c:v>-19.670000000000002</c:v>
                      </c:pt>
                      <c:pt idx="23">
                        <c:v>-19.7</c:v>
                      </c:pt>
                      <c:pt idx="24">
                        <c:v>-19.73</c:v>
                      </c:pt>
                      <c:pt idx="25">
                        <c:v>-19.760000000000002</c:v>
                      </c:pt>
                      <c:pt idx="26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-66.680000000000007</c:v>
                      </c:pt>
                      <c:pt idx="1">
                        <c:v>-63.05</c:v>
                      </c:pt>
                      <c:pt idx="2">
                        <c:v>-59.58</c:v>
                      </c:pt>
                      <c:pt idx="3">
                        <c:v>-56.15</c:v>
                      </c:pt>
                      <c:pt idx="4">
                        <c:v>-52.74</c:v>
                      </c:pt>
                      <c:pt idx="5">
                        <c:v>-48.52</c:v>
                      </c:pt>
                      <c:pt idx="6">
                        <c:v>-45.68</c:v>
                      </c:pt>
                      <c:pt idx="7">
                        <c:v>-42.89</c:v>
                      </c:pt>
                      <c:pt idx="8">
                        <c:v>-40.18</c:v>
                      </c:pt>
                      <c:pt idx="9">
                        <c:v>-30.88</c:v>
                      </c:pt>
                      <c:pt idx="10">
                        <c:v>-29.01</c:v>
                      </c:pt>
                      <c:pt idx="11">
                        <c:v>-27.3</c:v>
                      </c:pt>
                      <c:pt idx="12">
                        <c:v>-25.68</c:v>
                      </c:pt>
                      <c:pt idx="13">
                        <c:v>-24.16</c:v>
                      </c:pt>
                      <c:pt idx="14">
                        <c:v>-22.72</c:v>
                      </c:pt>
                      <c:pt idx="15">
                        <c:v>-21.39</c:v>
                      </c:pt>
                      <c:pt idx="16">
                        <c:v>-20.170000000000002</c:v>
                      </c:pt>
                      <c:pt idx="17">
                        <c:v>-19.05</c:v>
                      </c:pt>
                      <c:pt idx="18">
                        <c:v>-15.24</c:v>
                      </c:pt>
                      <c:pt idx="19">
                        <c:v>-12.13</c:v>
                      </c:pt>
                      <c:pt idx="20">
                        <c:v>-9.7149999999999999</c:v>
                      </c:pt>
                      <c:pt idx="21">
                        <c:v>-8.48</c:v>
                      </c:pt>
                      <c:pt idx="22">
                        <c:v>-8.3719999999999999</c:v>
                      </c:pt>
                      <c:pt idx="23">
                        <c:v>-8.3179999999999996</c:v>
                      </c:pt>
                      <c:pt idx="24">
                        <c:v>-8.3000000000000007</c:v>
                      </c:pt>
                      <c:pt idx="25">
                        <c:v>-8.3049999999999997</c:v>
                      </c:pt>
                      <c:pt idx="26">
                        <c:v>-8.4120000000000008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-18.13</c:v>
                      </c:pt>
                      <c:pt idx="1">
                        <c:v>-17.350000000000001</c:v>
                      </c:pt>
                      <c:pt idx="2">
                        <c:v>-16.45</c:v>
                      </c:pt>
                      <c:pt idx="3">
                        <c:v>-15.39</c:v>
                      </c:pt>
                      <c:pt idx="4">
                        <c:v>-14.22</c:v>
                      </c:pt>
                      <c:pt idx="5">
                        <c:v>-12.64</c:v>
                      </c:pt>
                      <c:pt idx="6">
                        <c:v>-11.66</c:v>
                      </c:pt>
                      <c:pt idx="7">
                        <c:v>-10.66</c:v>
                      </c:pt>
                      <c:pt idx="8">
                        <c:v>-9.6769999999999996</c:v>
                      </c:pt>
                      <c:pt idx="9">
                        <c:v>-6.4119999999999999</c:v>
                      </c:pt>
                      <c:pt idx="10">
                        <c:v>-5.9249999999999998</c:v>
                      </c:pt>
                      <c:pt idx="11">
                        <c:v>-5.6239999999999997</c:v>
                      </c:pt>
                      <c:pt idx="12">
                        <c:v>-5.47</c:v>
                      </c:pt>
                      <c:pt idx="13">
                        <c:v>-5.4130000000000003</c:v>
                      </c:pt>
                      <c:pt idx="14">
                        <c:v>-5.4139999999999997</c:v>
                      </c:pt>
                      <c:pt idx="15">
                        <c:v>-5.4450000000000003</c:v>
                      </c:pt>
                      <c:pt idx="16">
                        <c:v>-5.4880000000000004</c:v>
                      </c:pt>
                      <c:pt idx="17">
                        <c:v>-5.5330000000000004</c:v>
                      </c:pt>
                      <c:pt idx="18">
                        <c:v>-5.7050000000000001</c:v>
                      </c:pt>
                      <c:pt idx="19">
                        <c:v>-5.8680000000000003</c:v>
                      </c:pt>
                      <c:pt idx="20">
                        <c:v>-6.0510000000000002</c:v>
                      </c:pt>
                      <c:pt idx="21">
                        <c:v>-6.2869999999999999</c:v>
                      </c:pt>
                      <c:pt idx="22">
                        <c:v>-6.343</c:v>
                      </c:pt>
                      <c:pt idx="23">
                        <c:v>-6.3940000000000001</c:v>
                      </c:pt>
                      <c:pt idx="24">
                        <c:v>-6.44</c:v>
                      </c:pt>
                      <c:pt idx="25">
                        <c:v>-6.4820000000000002</c:v>
                      </c:pt>
                      <c:pt idx="26">
                        <c:v>-6.6340000000000003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-23.19</c:v>
                      </c:pt>
                      <c:pt idx="1">
                        <c:v>-22.18</c:v>
                      </c:pt>
                      <c:pt idx="2">
                        <c:v>-21.45</c:v>
                      </c:pt>
                      <c:pt idx="3">
                        <c:v>-21.02</c:v>
                      </c:pt>
                      <c:pt idx="4">
                        <c:v>-20.86</c:v>
                      </c:pt>
                      <c:pt idx="5">
                        <c:v>-21.44</c:v>
                      </c:pt>
                      <c:pt idx="6">
                        <c:v>-21.34</c:v>
                      </c:pt>
                      <c:pt idx="7">
                        <c:v>-21.39</c:v>
                      </c:pt>
                      <c:pt idx="8">
                        <c:v>-21.54</c:v>
                      </c:pt>
                      <c:pt idx="9">
                        <c:v>-22.4</c:v>
                      </c:pt>
                      <c:pt idx="10">
                        <c:v>-22.6</c:v>
                      </c:pt>
                      <c:pt idx="11">
                        <c:v>-22.79</c:v>
                      </c:pt>
                      <c:pt idx="12">
                        <c:v>-22.98</c:v>
                      </c:pt>
                      <c:pt idx="13">
                        <c:v>-23.19</c:v>
                      </c:pt>
                      <c:pt idx="14">
                        <c:v>-23.42</c:v>
                      </c:pt>
                      <c:pt idx="15">
                        <c:v>-23.65</c:v>
                      </c:pt>
                      <c:pt idx="16">
                        <c:v>-23.88</c:v>
                      </c:pt>
                      <c:pt idx="17">
                        <c:v>-24.12</c:v>
                      </c:pt>
                      <c:pt idx="18">
                        <c:v>-25.05</c:v>
                      </c:pt>
                      <c:pt idx="19">
                        <c:v>-25.94</c:v>
                      </c:pt>
                      <c:pt idx="20">
                        <c:v>-26.78</c:v>
                      </c:pt>
                      <c:pt idx="21">
                        <c:v>-27.56</c:v>
                      </c:pt>
                      <c:pt idx="22">
                        <c:v>-27.76</c:v>
                      </c:pt>
                      <c:pt idx="23">
                        <c:v>-27.95</c:v>
                      </c:pt>
                      <c:pt idx="24">
                        <c:v>-28.15</c:v>
                      </c:pt>
                      <c:pt idx="25">
                        <c:v>-28.35</c:v>
                      </c:pt>
                      <c:pt idx="26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670</c:v>
                  </c:pt>
                  <c:pt idx="20">
                    <c:v>736</c:v>
                  </c:pt>
                  <c:pt idx="21">
                    <c:v>802</c:v>
                  </c:pt>
                  <c:pt idx="22">
                    <c:v>868</c:v>
                  </c:pt>
                  <c:pt idx="23">
                    <c:v>884</c:v>
                  </c:pt>
                  <c:pt idx="24">
                    <c:v>901</c:v>
                  </c:pt>
                  <c:pt idx="25">
                    <c:v>917</c:v>
                  </c:pt>
                  <c:pt idx="26">
                    <c:v>934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670</c:v>
                  </c:pt>
                  <c:pt idx="20">
                    <c:v>736</c:v>
                  </c:pt>
                  <c:pt idx="21">
                    <c:v>802</c:v>
                  </c:pt>
                  <c:pt idx="22">
                    <c:v>868</c:v>
                  </c:pt>
                  <c:pt idx="23">
                    <c:v>884</c:v>
                  </c:pt>
                  <c:pt idx="24">
                    <c:v>901</c:v>
                  </c:pt>
                  <c:pt idx="25">
                    <c:v>917</c:v>
                  </c:pt>
                  <c:pt idx="26">
                    <c:v>934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670</c:v>
                  </c:pt>
                  <c:pt idx="20">
                    <c:v>736</c:v>
                  </c:pt>
                  <c:pt idx="21">
                    <c:v>802</c:v>
                  </c:pt>
                  <c:pt idx="22">
                    <c:v>868</c:v>
                  </c:pt>
                  <c:pt idx="23">
                    <c:v>884</c:v>
                  </c:pt>
                  <c:pt idx="24">
                    <c:v>901</c:v>
                  </c:pt>
                  <c:pt idx="25">
                    <c:v>917</c:v>
                  </c:pt>
                  <c:pt idx="26">
                    <c:v>934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670</c:v>
                  </c:pt>
                  <c:pt idx="20">
                    <c:v>736</c:v>
                  </c:pt>
                  <c:pt idx="21">
                    <c:v>802</c:v>
                  </c:pt>
                  <c:pt idx="22">
                    <c:v>868</c:v>
                  </c:pt>
                  <c:pt idx="23">
                    <c:v>884</c:v>
                  </c:pt>
                  <c:pt idx="24">
                    <c:v>901</c:v>
                  </c:pt>
                  <c:pt idx="25">
                    <c:v>917</c:v>
                  </c:pt>
                  <c:pt idx="26">
                    <c:v>934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670</c:v>
                  </c:pt>
                  <c:pt idx="20">
                    <c:v>736</c:v>
                  </c:pt>
                  <c:pt idx="21">
                    <c:v>802</c:v>
                  </c:pt>
                  <c:pt idx="22">
                    <c:v>868</c:v>
                  </c:pt>
                  <c:pt idx="23">
                    <c:v>884</c:v>
                  </c:pt>
                  <c:pt idx="24">
                    <c:v>901</c:v>
                  </c:pt>
                  <c:pt idx="25">
                    <c:v>917</c:v>
                  </c:pt>
                  <c:pt idx="26">
                    <c:v>934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670</c:v>
                  </c:pt>
                  <c:pt idx="20">
                    <c:v>736</c:v>
                  </c:pt>
                  <c:pt idx="21">
                    <c:v>802</c:v>
                  </c:pt>
                  <c:pt idx="22">
                    <c:v>868</c:v>
                  </c:pt>
                  <c:pt idx="23">
                    <c:v>884</c:v>
                  </c:pt>
                  <c:pt idx="24">
                    <c:v>901</c:v>
                  </c:pt>
                  <c:pt idx="25">
                    <c:v>917</c:v>
                  </c:pt>
                  <c:pt idx="26">
                    <c:v>934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#ДЕЛ/0!</c:v>
                  </c:pt>
                  <c:pt idx="2">
                    <c:v>#ДЕЛ/0!</c:v>
                  </c:pt>
                  <c:pt idx="3">
                    <c:v>#ДЕЛ/0!</c:v>
                  </c:pt>
                  <c:pt idx="4">
                    <c:v>#ДЕЛ/0!</c:v>
                  </c:pt>
                  <c:pt idx="5">
                    <c:v>#ДЕЛ/0!</c:v>
                  </c:pt>
                  <c:pt idx="6">
                    <c:v>#ДЕЛ/0!</c:v>
                  </c:pt>
                  <c:pt idx="7">
                    <c:v>#ДЕЛ/0!</c:v>
                  </c:pt>
                  <c:pt idx="8">
                    <c:v>#ДЕЛ/0!</c:v>
                  </c:pt>
                  <c:pt idx="9">
                    <c:v>#ДЕЛ/0!</c:v>
                  </c:pt>
                  <c:pt idx="10">
                    <c:v>#ДЕЛ/0!</c:v>
                  </c:pt>
                  <c:pt idx="11">
                    <c:v>#ДЕЛ/0!</c:v>
                  </c:pt>
                  <c:pt idx="12">
                    <c:v>#ДЕЛ/0!</c:v>
                  </c:pt>
                  <c:pt idx="13">
                    <c:v>#ДЕЛ/0!</c:v>
                  </c:pt>
                  <c:pt idx="14">
                    <c:v>#ДЕЛ/0!</c:v>
                  </c:pt>
                  <c:pt idx="15">
                    <c:v>#ДЕЛ/0!</c:v>
                  </c:pt>
                  <c:pt idx="16">
                    <c:v>#ДЕЛ/0!</c:v>
                  </c:pt>
                  <c:pt idx="17">
                    <c:v>#ДЕЛ/0!</c:v>
                  </c:pt>
                  <c:pt idx="18">
                    <c:v>#ДЕЛ/0!</c:v>
                  </c:pt>
                  <c:pt idx="19">
                    <c:v>#ДЕЛ/0!</c:v>
                  </c:pt>
                  <c:pt idx="20">
                    <c:v>#ДЕЛ/0!</c:v>
                  </c:pt>
                  <c:pt idx="21">
                    <c:v>#ДЕЛ/0!</c:v>
                  </c:pt>
                  <c:pt idx="22">
                    <c:v>#ДЕЛ/0!</c:v>
                  </c:pt>
                  <c:pt idx="23">
                    <c:v>#ДЕЛ/0!</c:v>
                  </c:pt>
                  <c:pt idx="24">
                    <c:v>#ДЕЛ/0!</c:v>
                  </c:pt>
                  <c:pt idx="25">
                    <c:v>#ДЕЛ/0!</c:v>
                  </c:pt>
                  <c:pt idx="26">
                    <c:v>#ДЕЛ/0!</c:v>
                  </c:pt>
                  <c:pt idx="27">
                    <c:v>#ДЕЛ/0!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670</c:v>
                  </c:pt>
                  <c:pt idx="20">
                    <c:v>736</c:v>
                  </c:pt>
                  <c:pt idx="21">
                    <c:v>802</c:v>
                  </c:pt>
                  <c:pt idx="22">
                    <c:v>868</c:v>
                  </c:pt>
                  <c:pt idx="23">
                    <c:v>884</c:v>
                  </c:pt>
                  <c:pt idx="24">
                    <c:v>901</c:v>
                  </c:pt>
                  <c:pt idx="25">
                    <c:v>917</c:v>
                  </c:pt>
                  <c:pt idx="26">
                    <c:v>934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4.1823000000000003E-9</c:v>
                </c:pt>
                <c:pt idx="1">
                  <c:v>3.5658999999999999E-9</c:v>
                </c:pt>
                <c:pt idx="2">
                  <c:v>1.105E-9</c:v>
                </c:pt>
                <c:pt idx="3">
                  <c:v>9.1435000000000005E-11</c:v>
                </c:pt>
                <c:pt idx="4">
                  <c:v>3.1193E-14</c:v>
                </c:pt>
                <c:pt idx="5">
                  <c:v>5.4287000000000001E-11</c:v>
                </c:pt>
                <c:pt idx="6">
                  <c:v>4.4297000000000002E-14</c:v>
                </c:pt>
                <c:pt idx="7">
                  <c:v>5.4128000000000001E-20</c:v>
                </c:pt>
                <c:pt idx="8">
                  <c:v>4.0770000000000003E-26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  <c:pt idx="0">
                  <c:v>0</c:v>
                </c:pt>
                <c:pt idx="1">
                  <c:v>9.4120000000000004E-31</c:v>
                </c:pt>
                <c:pt idx="2">
                  <c:v>3.2174000000000001E-19</c:v>
                </c:pt>
                <c:pt idx="3">
                  <c:v>3.6182000000000001E-12</c:v>
                </c:pt>
                <c:pt idx="4">
                  <c:v>7.9805000000000005E-10</c:v>
                </c:pt>
                <c:pt idx="5">
                  <c:v>6.2844999999999997E-12</c:v>
                </c:pt>
                <c:pt idx="6">
                  <c:v>7.0559000000000004E-10</c:v>
                </c:pt>
                <c:pt idx="7">
                  <c:v>1.179E-9</c:v>
                </c:pt>
                <c:pt idx="8">
                  <c:v>2.4076999999999999E-9</c:v>
                </c:pt>
                <c:pt idx="9">
                  <c:v>3.8363999999999997E-9</c:v>
                </c:pt>
                <c:pt idx="10">
                  <c:v>4.3593999999999996E-9</c:v>
                </c:pt>
                <c:pt idx="11">
                  <c:v>7.6769999999999999E-9</c:v>
                </c:pt>
                <c:pt idx="12">
                  <c:v>6.4545E-9</c:v>
                </c:pt>
                <c:pt idx="13">
                  <c:v>8.5846000000000003E-9</c:v>
                </c:pt>
                <c:pt idx="14">
                  <c:v>8.3344000000000005E-9</c:v>
                </c:pt>
                <c:pt idx="15">
                  <c:v>1.2420999999999999E-8</c:v>
                </c:pt>
                <c:pt idx="16">
                  <c:v>1.6213999999999999E-8</c:v>
                </c:pt>
                <c:pt idx="17">
                  <c:v>1.0381E-8</c:v>
                </c:pt>
                <c:pt idx="18">
                  <c:v>1.5279000000000001E-8</c:v>
                </c:pt>
                <c:pt idx="19">
                  <c:v>1.6630999999999999E-8</c:v>
                </c:pt>
                <c:pt idx="20">
                  <c:v>1.8374E-8</c:v>
                </c:pt>
                <c:pt idx="21">
                  <c:v>2.1967000000000001E-8</c:v>
                </c:pt>
                <c:pt idx="22">
                  <c:v>1.8927000000000001E-8</c:v>
                </c:pt>
                <c:pt idx="23">
                  <c:v>1.9089999999999999E-9</c:v>
                </c:pt>
                <c:pt idx="24">
                  <c:v>1.0988E-10</c:v>
                </c:pt>
                <c:pt idx="25">
                  <c:v>1.0156E-11</c:v>
                </c:pt>
                <c:pt idx="26">
                  <c:v>1.9516E-16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ALL!$F$9:$BR$9</c:f>
              <c:numCache>
                <c:formatCode>0.0E+00</c:formatCode>
                <c:ptCount val="65"/>
                <c:pt idx="0">
                  <c:v>9.7596000000000002E-2</c:v>
                </c:pt>
                <c:pt idx="1">
                  <c:v>9.1974E-2</c:v>
                </c:pt>
                <c:pt idx="2">
                  <c:v>7.9069E-2</c:v>
                </c:pt>
                <c:pt idx="3">
                  <c:v>5.8520000000000003E-2</c:v>
                </c:pt>
                <c:pt idx="4">
                  <c:v>3.6125999999999998E-2</c:v>
                </c:pt>
                <c:pt idx="5">
                  <c:v>5.7002999999999998E-2</c:v>
                </c:pt>
                <c:pt idx="6">
                  <c:v>3.7092E-2</c:v>
                </c:pt>
                <c:pt idx="7">
                  <c:v>2.1264999999999999E-2</c:v>
                </c:pt>
                <c:pt idx="8">
                  <c:v>1.1269E-2</c:v>
                </c:pt>
                <c:pt idx="9">
                  <c:v>9.7707999999999997E-6</c:v>
                </c:pt>
                <c:pt idx="10">
                  <c:v>4.8648000000000004E-6</c:v>
                </c:pt>
                <c:pt idx="11">
                  <c:v>2.2141000000000001E-6</c:v>
                </c:pt>
                <c:pt idx="12">
                  <c:v>8.8602999999999995E-7</c:v>
                </c:pt>
                <c:pt idx="13">
                  <c:v>3.178E-7</c:v>
                </c:pt>
                <c:pt idx="14">
                  <c:v>1.0694E-7</c:v>
                </c:pt>
                <c:pt idx="15">
                  <c:v>3.5210999999999997E-8</c:v>
                </c:pt>
                <c:pt idx="16">
                  <c:v>1.1662E-8</c:v>
                </c:pt>
                <c:pt idx="17">
                  <c:v>3.9443999999999997E-9</c:v>
                </c:pt>
                <c:pt idx="18">
                  <c:v>6.8974000000000004E-11</c:v>
                </c:pt>
                <c:pt idx="19">
                  <c:v>1.8893E-12</c:v>
                </c:pt>
                <c:pt idx="20">
                  <c:v>7.7871999999999994E-14</c:v>
                </c:pt>
                <c:pt idx="21">
                  <c:v>4.5578E-15</c:v>
                </c:pt>
                <c:pt idx="22">
                  <c:v>2.3075999999999999E-15</c:v>
                </c:pt>
                <c:pt idx="23">
                  <c:v>1.1769000000000001E-15</c:v>
                </c:pt>
                <c:pt idx="24">
                  <c:v>6.0503999999999997E-16</c:v>
                </c:pt>
                <c:pt idx="25">
                  <c:v>3.1379999999999999E-16</c:v>
                </c:pt>
                <c:pt idx="26">
                  <c:v>2.5028E-17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ALL!$F$10:$BR$10</c:f>
              <c:numCache>
                <c:formatCode>0.0E+00</c:formatCode>
                <c:ptCount val="65"/>
                <c:pt idx="0">
                  <c:v>4.5512999999999998E-2</c:v>
                </c:pt>
                <c:pt idx="1">
                  <c:v>4.8011999999999999E-2</c:v>
                </c:pt>
                <c:pt idx="2">
                  <c:v>5.3748999999999998E-2</c:v>
                </c:pt>
                <c:pt idx="3">
                  <c:v>6.2883999999999995E-2</c:v>
                </c:pt>
                <c:pt idx="4">
                  <c:v>7.2843000000000005E-2</c:v>
                </c:pt>
                <c:pt idx="5">
                  <c:v>6.3576999999999995E-2</c:v>
                </c:pt>
                <c:pt idx="6">
                  <c:v>7.2458999999999996E-2</c:v>
                </c:pt>
                <c:pt idx="7">
                  <c:v>7.9570000000000002E-2</c:v>
                </c:pt>
                <c:pt idx="8">
                  <c:v>8.4186999999999998E-2</c:v>
                </c:pt>
                <c:pt idx="9">
                  <c:v>9.0769000000000002E-2</c:v>
                </c:pt>
                <c:pt idx="10">
                  <c:v>8.4641999999999995E-2</c:v>
                </c:pt>
                <c:pt idx="11">
                  <c:v>6.9443000000000005E-2</c:v>
                </c:pt>
                <c:pt idx="12">
                  <c:v>4.9264000000000002E-2</c:v>
                </c:pt>
                <c:pt idx="13">
                  <c:v>3.1146E-2</c:v>
                </c:pt>
                <c:pt idx="14">
                  <c:v>1.8366E-2</c:v>
                </c:pt>
                <c:pt idx="15">
                  <c:v>1.0496999999999999E-2</c:v>
                </c:pt>
                <c:pt idx="16">
                  <c:v>5.9607000000000002E-3</c:v>
                </c:pt>
                <c:pt idx="17">
                  <c:v>3.4093000000000001E-3</c:v>
                </c:pt>
                <c:pt idx="18">
                  <c:v>4.2591999999999999E-4</c:v>
                </c:pt>
                <c:pt idx="19">
                  <c:v>6.8961000000000006E-5</c:v>
                </c:pt>
                <c:pt idx="20">
                  <c:v>1.4127E-5</c:v>
                </c:pt>
                <c:pt idx="21">
                  <c:v>3.5306000000000001E-6</c:v>
                </c:pt>
                <c:pt idx="22">
                  <c:v>2.5401999999999998E-6</c:v>
                </c:pt>
                <c:pt idx="23">
                  <c:v>1.8363000000000001E-6</c:v>
                </c:pt>
                <c:pt idx="24">
                  <c:v>1.3339000000000001E-6</c:v>
                </c:pt>
                <c:pt idx="25">
                  <c:v>9.7419999999999992E-7</c:v>
                </c:pt>
                <c:pt idx="26">
                  <c:v>2.9329E-7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  <c:pt idx="0">
                  <c:v>1.1710999999999999E-7</c:v>
                </c:pt>
                <c:pt idx="1">
                  <c:v>2.5674000000000001E-7</c:v>
                </c:pt>
                <c:pt idx="2">
                  <c:v>6.4908000000000004E-7</c:v>
                </c:pt>
                <c:pt idx="3">
                  <c:v>1.9657999999999999E-6</c:v>
                </c:pt>
                <c:pt idx="4">
                  <c:v>6.6646999999999999E-6</c:v>
                </c:pt>
                <c:pt idx="5">
                  <c:v>3.1909999999999998E-5</c:v>
                </c:pt>
                <c:pt idx="6">
                  <c:v>9.0048000000000002E-5</c:v>
                </c:pt>
                <c:pt idx="7">
                  <c:v>2.5982000000000002E-4</c:v>
                </c:pt>
                <c:pt idx="8">
                  <c:v>7.3362999999999998E-4</c:v>
                </c:pt>
                <c:pt idx="9">
                  <c:v>2.8178999999999999E-2</c:v>
                </c:pt>
                <c:pt idx="10">
                  <c:v>5.5932999999999997E-2</c:v>
                </c:pt>
                <c:pt idx="11">
                  <c:v>9.2665999999999998E-2</c:v>
                </c:pt>
                <c:pt idx="12">
                  <c:v>0.12886</c:v>
                </c:pt>
                <c:pt idx="13">
                  <c:v>0.15690000000000001</c:v>
                </c:pt>
                <c:pt idx="14">
                  <c:v>0.17524000000000001</c:v>
                </c:pt>
                <c:pt idx="15">
                  <c:v>0.18608</c:v>
                </c:pt>
                <c:pt idx="16">
                  <c:v>0.19217000000000001</c:v>
                </c:pt>
                <c:pt idx="17">
                  <c:v>0.19555</c:v>
                </c:pt>
                <c:pt idx="18">
                  <c:v>0.19944999999999999</c:v>
                </c:pt>
                <c:pt idx="19">
                  <c:v>0.19991</c:v>
                </c:pt>
                <c:pt idx="20">
                  <c:v>0.19997999999999999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  <c:pt idx="0">
                  <c:v>5.9998999999999997E-2</c:v>
                </c:pt>
                <c:pt idx="1">
                  <c:v>5.9998000000000003E-2</c:v>
                </c:pt>
                <c:pt idx="2">
                  <c:v>5.9996000000000001E-2</c:v>
                </c:pt>
                <c:pt idx="3">
                  <c:v>5.9991000000000003E-2</c:v>
                </c:pt>
                <c:pt idx="4">
                  <c:v>5.9981E-2</c:v>
                </c:pt>
                <c:pt idx="5">
                  <c:v>5.9948000000000001E-2</c:v>
                </c:pt>
                <c:pt idx="6">
                  <c:v>5.9901000000000003E-2</c:v>
                </c:pt>
                <c:pt idx="7">
                  <c:v>5.9809000000000001E-2</c:v>
                </c:pt>
                <c:pt idx="8">
                  <c:v>5.9637000000000003E-2</c:v>
                </c:pt>
                <c:pt idx="9">
                  <c:v>5.6177999999999999E-2</c:v>
                </c:pt>
                <c:pt idx="10">
                  <c:v>5.3484999999999998E-2</c:v>
                </c:pt>
                <c:pt idx="11">
                  <c:v>4.9385999999999999E-2</c:v>
                </c:pt>
                <c:pt idx="12">
                  <c:v>4.3660999999999998E-2</c:v>
                </c:pt>
                <c:pt idx="13">
                  <c:v>3.6357E-2</c:v>
                </c:pt>
                <c:pt idx="14">
                  <c:v>2.7993000000000001E-2</c:v>
                </c:pt>
                <c:pt idx="15">
                  <c:v>1.9633999999999999E-2</c:v>
                </c:pt>
                <c:pt idx="16">
                  <c:v>1.2524E-2</c:v>
                </c:pt>
                <c:pt idx="17">
                  <c:v>7.3902999999999998E-3</c:v>
                </c:pt>
                <c:pt idx="18">
                  <c:v>6.9225000000000005E-4</c:v>
                </c:pt>
                <c:pt idx="19">
                  <c:v>7.2624000000000001E-5</c:v>
                </c:pt>
                <c:pt idx="20">
                  <c:v>6.6896999999999997E-6</c:v>
                </c:pt>
                <c:pt idx="21">
                  <c:v>1.6880999999999999E-7</c:v>
                </c:pt>
                <c:pt idx="22">
                  <c:v>4.9899999999999997E-8</c:v>
                </c:pt>
                <c:pt idx="23">
                  <c:v>1.3614E-8</c:v>
                </c:pt>
                <c:pt idx="24">
                  <c:v>3.5506000000000001E-9</c:v>
                </c:pt>
                <c:pt idx="25">
                  <c:v>9.1128999999999996E-10</c:v>
                </c:pt>
                <c:pt idx="26">
                  <c:v>4.5008000000000004E-12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  <c:pt idx="0">
                  <c:v>2.3481999999999998E-6</c:v>
                </c:pt>
                <c:pt idx="1">
                  <c:v>4.4712999999999999E-6</c:v>
                </c:pt>
                <c:pt idx="2">
                  <c:v>8.6964000000000003E-6</c:v>
                </c:pt>
                <c:pt idx="3">
                  <c:v>1.7813E-5</c:v>
                </c:pt>
                <c:pt idx="4">
                  <c:v>3.8047999999999999E-5</c:v>
                </c:pt>
                <c:pt idx="5">
                  <c:v>1.0480999999999999E-4</c:v>
                </c:pt>
                <c:pt idx="6">
                  <c:v>1.9879000000000001E-4</c:v>
                </c:pt>
                <c:pt idx="7">
                  <c:v>3.8164999999999998E-4</c:v>
                </c:pt>
                <c:pt idx="8">
                  <c:v>7.2637000000000005E-4</c:v>
                </c:pt>
                <c:pt idx="9">
                  <c:v>7.6448000000000002E-3</c:v>
                </c:pt>
                <c:pt idx="10">
                  <c:v>1.303E-2</c:v>
                </c:pt>
                <c:pt idx="11">
                  <c:v>2.1228E-2</c:v>
                </c:pt>
                <c:pt idx="12">
                  <c:v>3.2677999999999999E-2</c:v>
                </c:pt>
                <c:pt idx="13">
                  <c:v>4.7285000000000001E-2</c:v>
                </c:pt>
                <c:pt idx="14">
                  <c:v>6.4014000000000001E-2</c:v>
                </c:pt>
                <c:pt idx="15">
                  <c:v>8.0731999999999998E-2</c:v>
                </c:pt>
                <c:pt idx="16">
                  <c:v>9.4950000000000007E-2</c:v>
                </c:pt>
                <c:pt idx="17">
                  <c:v>0.10521</c:v>
                </c:pt>
                <c:pt idx="18">
                  <c:v>0.11840000000000001</c:v>
                </c:pt>
                <c:pt idx="19">
                  <c:v>0.11679</c:v>
                </c:pt>
                <c:pt idx="20">
                  <c:v>9.4005000000000005E-2</c:v>
                </c:pt>
                <c:pt idx="21">
                  <c:v>3.6080000000000001E-2</c:v>
                </c:pt>
                <c:pt idx="22">
                  <c:v>2.4143999999999999E-2</c:v>
                </c:pt>
                <c:pt idx="23">
                  <c:v>1.5429E-2</c:v>
                </c:pt>
                <c:pt idx="24">
                  <c:v>9.5852000000000003E-3</c:v>
                </c:pt>
                <c:pt idx="25">
                  <c:v>5.8760000000000001E-3</c:v>
                </c:pt>
                <c:pt idx="26">
                  <c:v>8.4699000000000005E-4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(l)Ga2Se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1.8594E-28</c:v>
                </c:pt>
                <c:pt idx="1">
                  <c:v>7.4295999999999994E-27</c:v>
                </c:pt>
                <c:pt idx="2">
                  <c:v>2.6945000000000002E-25</c:v>
                </c:pt>
                <c:pt idx="3">
                  <c:v>1.0285E-23</c:v>
                </c:pt>
                <c:pt idx="4">
                  <c:v>4.1562999999999998E-22</c:v>
                </c:pt>
                <c:pt idx="5">
                  <c:v>5.0184999999999998E-20</c:v>
                </c:pt>
                <c:pt idx="6">
                  <c:v>1.0738E-18</c:v>
                </c:pt>
                <c:pt idx="7">
                  <c:v>2.2907999999999999E-17</c:v>
                </c:pt>
                <c:pt idx="8">
                  <c:v>4.5302000000000001E-16</c:v>
                </c:pt>
                <c:pt idx="9">
                  <c:v>1.4255E-11</c:v>
                </c:pt>
                <c:pt idx="10">
                  <c:v>1.1835000000000001E-10</c:v>
                </c:pt>
                <c:pt idx="11">
                  <c:v>8.1436999999999995E-10</c:v>
                </c:pt>
                <c:pt idx="12">
                  <c:v>4.8252999999999999E-9</c:v>
                </c:pt>
                <c:pt idx="13">
                  <c:v>2.4926999999999999E-8</c:v>
                </c:pt>
                <c:pt idx="14">
                  <c:v>1.1086E-7</c:v>
                </c:pt>
                <c:pt idx="15">
                  <c:v>4.1741999999999999E-7</c:v>
                </c:pt>
                <c:pt idx="16">
                  <c:v>1.3272E-6</c:v>
                </c:pt>
                <c:pt idx="17">
                  <c:v>3.6302E-6</c:v>
                </c:pt>
                <c:pt idx="18">
                  <c:v>8.1812999999999997E-5</c:v>
                </c:pt>
                <c:pt idx="19">
                  <c:v>8.7615999999999996E-4</c:v>
                </c:pt>
                <c:pt idx="20">
                  <c:v>4.1006000000000003E-3</c:v>
                </c:pt>
                <c:pt idx="21">
                  <c:v>2.9838999999999998E-3</c:v>
                </c:pt>
                <c:pt idx="22">
                  <c:v>1.9321E-3</c:v>
                </c:pt>
                <c:pt idx="23">
                  <c:v>1.1352000000000001E-3</c:v>
                </c:pt>
                <c:pt idx="24">
                  <c:v>6.2693999999999998E-4</c:v>
                </c:pt>
                <c:pt idx="25">
                  <c:v>3.3488000000000002E-4</c:v>
                </c:pt>
                <c:pt idx="26">
                  <c:v>2.6115999999999999E-5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3.1019999999999999E-28</c:v>
                </c:pt>
                <c:pt idx="1">
                  <c:v>1.1738E-26</c:v>
                </c:pt>
                <c:pt idx="2">
                  <c:v>3.8705000000000001E-25</c:v>
                </c:pt>
                <c:pt idx="3">
                  <c:v>1.2552E-23</c:v>
                </c:pt>
                <c:pt idx="4">
                  <c:v>4.0285000000000001E-22</c:v>
                </c:pt>
                <c:pt idx="5">
                  <c:v>2.6877E-20</c:v>
                </c:pt>
                <c:pt idx="6">
                  <c:v>4.8895000000000001E-19</c:v>
                </c:pt>
                <c:pt idx="7">
                  <c:v>8.5231000000000005E-18</c:v>
                </c:pt>
                <c:pt idx="8">
                  <c:v>1.3532E-16</c:v>
                </c:pt>
                <c:pt idx="9">
                  <c:v>2.1923999999999998E-12</c:v>
                </c:pt>
                <c:pt idx="10">
                  <c:v>1.7411E-11</c:v>
                </c:pt>
                <c:pt idx="11">
                  <c:v>1.1916999999999999E-10</c:v>
                </c:pt>
                <c:pt idx="12">
                  <c:v>7.1440000000000004E-10</c:v>
                </c:pt>
                <c:pt idx="13">
                  <c:v>3.7937000000000002E-9</c:v>
                </c:pt>
                <c:pt idx="14">
                  <c:v>1.7843E-8</c:v>
                </c:pt>
                <c:pt idx="15">
                  <c:v>7.4066999999999997E-8</c:v>
                </c:pt>
                <c:pt idx="16">
                  <c:v>2.7186E-7</c:v>
                </c:pt>
                <c:pt idx="17">
                  <c:v>8.9314999999999997E-7</c:v>
                </c:pt>
                <c:pt idx="18">
                  <c:v>4.9323999999999997E-5</c:v>
                </c:pt>
                <c:pt idx="19">
                  <c:v>1.3162E-3</c:v>
                </c:pt>
                <c:pt idx="20">
                  <c:v>1.7780000000000001E-2</c:v>
                </c:pt>
                <c:pt idx="21">
                  <c:v>7.7951999999999994E-2</c:v>
                </c:pt>
                <c:pt idx="22">
                  <c:v>9.1992000000000004E-2</c:v>
                </c:pt>
                <c:pt idx="23">
                  <c:v>0.1023</c:v>
                </c:pt>
                <c:pt idx="24">
                  <c:v>0.10915999999999999</c:v>
                </c:pt>
                <c:pt idx="25">
                  <c:v>0.11345</c:v>
                </c:pt>
                <c:pt idx="26">
                  <c:v>0.1191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(l)Se[A]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6.5483999999999998E-10</c:v>
                </c:pt>
                <c:pt idx="1">
                  <c:v>2.0457000000000001E-9</c:v>
                </c:pt>
                <c:pt idx="2">
                  <c:v>4.8861999999999999E-9</c:v>
                </c:pt>
                <c:pt idx="3">
                  <c:v>8.7203999999999998E-9</c:v>
                </c:pt>
                <c:pt idx="4">
                  <c:v>1.1932000000000001E-8</c:v>
                </c:pt>
                <c:pt idx="5">
                  <c:v>7.0699999999999998E-9</c:v>
                </c:pt>
                <c:pt idx="6">
                  <c:v>9.0227999999999999E-9</c:v>
                </c:pt>
                <c:pt idx="7">
                  <c:v>9.7994999999999995E-9</c:v>
                </c:pt>
                <c:pt idx="8">
                  <c:v>9.5685000000000006E-9</c:v>
                </c:pt>
                <c:pt idx="9">
                  <c:v>7.4586999999999995E-9</c:v>
                </c:pt>
                <c:pt idx="10">
                  <c:v>7.7952000000000005E-9</c:v>
                </c:pt>
                <c:pt idx="11">
                  <c:v>8.2755000000000002E-9</c:v>
                </c:pt>
                <c:pt idx="12">
                  <c:v>8.4629999999999994E-9</c:v>
                </c:pt>
                <c:pt idx="13">
                  <c:v>8.2064999999999997E-9</c:v>
                </c:pt>
                <c:pt idx="14">
                  <c:v>7.6165000000000007E-9</c:v>
                </c:pt>
                <c:pt idx="15">
                  <c:v>6.8584000000000002E-9</c:v>
                </c:pt>
                <c:pt idx="16">
                  <c:v>6.0492999999999998E-9</c:v>
                </c:pt>
                <c:pt idx="17">
                  <c:v>5.2586999999999996E-9</c:v>
                </c:pt>
                <c:pt idx="18">
                  <c:v>2.8199000000000002E-9</c:v>
                </c:pt>
                <c:pt idx="19">
                  <c:v>1.4974E-9</c:v>
                </c:pt>
                <c:pt idx="20">
                  <c:v>8.4256000000000004E-10</c:v>
                </c:pt>
                <c:pt idx="21">
                  <c:v>5.2595000000000003E-10</c:v>
                </c:pt>
                <c:pt idx="22">
                  <c:v>4.6519000000000002E-10</c:v>
                </c:pt>
                <c:pt idx="23">
                  <c:v>4.0837999999999999E-10</c:v>
                </c:pt>
                <c:pt idx="24">
                  <c:v>3.5621999999999999E-10</c:v>
                </c:pt>
                <c:pt idx="25">
                  <c:v>3.0936E-10</c:v>
                </c:pt>
                <c:pt idx="26">
                  <c:v>1.7323000000000001E-10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2.4052000000000001E-3</c:v>
                </c:pt>
                <c:pt idx="1">
                  <c:v>8.0286000000000003E-3</c:v>
                </c:pt>
                <c:pt idx="2">
                  <c:v>2.0936E-2</c:v>
                </c:pt>
                <c:pt idx="3">
                  <c:v>4.1491E-2</c:v>
                </c:pt>
                <c:pt idx="4">
                  <c:v>6.3899999999999998E-2</c:v>
                </c:pt>
                <c:pt idx="5">
                  <c:v>4.3081000000000001E-2</c:v>
                </c:pt>
                <c:pt idx="6">
                  <c:v>6.3097E-2</c:v>
                </c:pt>
                <c:pt idx="7">
                  <c:v>7.9185000000000005E-2</c:v>
                </c:pt>
                <c:pt idx="8">
                  <c:v>8.9828000000000005E-2</c:v>
                </c:pt>
                <c:pt idx="9">
                  <c:v>0.13199</c:v>
                </c:pt>
                <c:pt idx="10">
                  <c:v>0.16244</c:v>
                </c:pt>
                <c:pt idx="11">
                  <c:v>0.20327999999999999</c:v>
                </c:pt>
                <c:pt idx="12">
                  <c:v>0.2452</c:v>
                </c:pt>
                <c:pt idx="13">
                  <c:v>0.28054000000000001</c:v>
                </c:pt>
                <c:pt idx="14">
                  <c:v>0.30725000000000002</c:v>
                </c:pt>
                <c:pt idx="15">
                  <c:v>0.32645000000000002</c:v>
                </c:pt>
                <c:pt idx="16">
                  <c:v>0.33965000000000001</c:v>
                </c:pt>
                <c:pt idx="17">
                  <c:v>0.34816999999999998</c:v>
                </c:pt>
                <c:pt idx="18">
                  <c:v>0.35888999999999999</c:v>
                </c:pt>
                <c:pt idx="19">
                  <c:v>0.36203000000000002</c:v>
                </c:pt>
                <c:pt idx="20">
                  <c:v>0.38185999999999998</c:v>
                </c:pt>
                <c:pt idx="21">
                  <c:v>0.44092999999999999</c:v>
                </c:pt>
                <c:pt idx="22">
                  <c:v>0.45391999999999999</c:v>
                </c:pt>
                <c:pt idx="23">
                  <c:v>0.46343000000000001</c:v>
                </c:pt>
                <c:pt idx="24">
                  <c:v>0.46978999999999999</c:v>
                </c:pt>
                <c:pt idx="25">
                  <c:v>0.47378999999999999</c:v>
                </c:pt>
                <c:pt idx="26">
                  <c:v>0.47913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(l)Se[R]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7.2503999999999999E-12</c:v>
                </c:pt>
                <c:pt idx="1">
                  <c:v>2.9913000000000003E-11</c:v>
                </c:pt>
                <c:pt idx="2">
                  <c:v>9.2025999999999996E-11</c:v>
                </c:pt>
                <c:pt idx="3">
                  <c:v>2.0705E-10</c:v>
                </c:pt>
                <c:pt idx="4">
                  <c:v>3.5058999999999998E-10</c:v>
                </c:pt>
                <c:pt idx="5">
                  <c:v>2.5297000000000001E-10</c:v>
                </c:pt>
                <c:pt idx="6">
                  <c:v>3.8759999999999999E-10</c:v>
                </c:pt>
                <c:pt idx="7">
                  <c:v>4.9914999999999998E-10</c:v>
                </c:pt>
                <c:pt idx="8">
                  <c:v>5.7152999999999999E-10</c:v>
                </c:pt>
                <c:pt idx="9">
                  <c:v>7.7034000000000005E-10</c:v>
                </c:pt>
                <c:pt idx="10">
                  <c:v>9.0657E-10</c:v>
                </c:pt>
                <c:pt idx="11">
                  <c:v>1.0773E-9</c:v>
                </c:pt>
                <c:pt idx="12">
                  <c:v>1.2264E-9</c:v>
                </c:pt>
                <c:pt idx="13">
                  <c:v>1.3172E-9</c:v>
                </c:pt>
                <c:pt idx="14">
                  <c:v>1.3479000000000001E-9</c:v>
                </c:pt>
                <c:pt idx="15">
                  <c:v>1.3325000000000001E-9</c:v>
                </c:pt>
                <c:pt idx="16">
                  <c:v>1.2852000000000001E-9</c:v>
                </c:pt>
                <c:pt idx="17">
                  <c:v>1.2172999999999999E-9</c:v>
                </c:pt>
                <c:pt idx="18">
                  <c:v>8.9125999999999998E-10</c:v>
                </c:pt>
                <c:pt idx="19">
                  <c:v>6.1985999999999997E-10</c:v>
                </c:pt>
                <c:pt idx="20">
                  <c:v>4.4219E-10</c:v>
                </c:pt>
                <c:pt idx="21">
                  <c:v>3.4098E-10</c:v>
                </c:pt>
                <c:pt idx="22">
                  <c:v>3.1685E-10</c:v>
                </c:pt>
                <c:pt idx="23">
                  <c:v>2.9186000000000001E-10</c:v>
                </c:pt>
                <c:pt idx="24">
                  <c:v>2.6680999999999998E-10</c:v>
                </c:pt>
                <c:pt idx="25">
                  <c:v>2.4257000000000002E-10</c:v>
                </c:pt>
                <c:pt idx="26">
                  <c:v>1.6140999999999999E-10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2.8497000000000002E-9</c:v>
                </c:pt>
                <c:pt idx="1">
                  <c:v>7.8554E-9</c:v>
                </c:pt>
                <c:pt idx="2">
                  <c:v>1.6768000000000002E-8</c:v>
                </c:pt>
                <c:pt idx="3">
                  <c:v>2.7035E-8</c:v>
                </c:pt>
                <c:pt idx="4">
                  <c:v>3.3732000000000001E-8</c:v>
                </c:pt>
                <c:pt idx="5">
                  <c:v>1.8375999999999999E-8</c:v>
                </c:pt>
                <c:pt idx="6">
                  <c:v>2.1716000000000001E-8</c:v>
                </c:pt>
                <c:pt idx="7">
                  <c:v>2.1976999999999999E-8</c:v>
                </c:pt>
                <c:pt idx="8">
                  <c:v>2.0108E-8</c:v>
                </c:pt>
                <c:pt idx="9">
                  <c:v>1.2638E-8</c:v>
                </c:pt>
                <c:pt idx="10">
                  <c:v>1.2631000000000001E-8</c:v>
                </c:pt>
                <c:pt idx="11">
                  <c:v>1.3356000000000001E-8</c:v>
                </c:pt>
                <c:pt idx="12">
                  <c:v>1.3774E-8</c:v>
                </c:pt>
                <c:pt idx="13">
                  <c:v>1.3477000000000001E-8</c:v>
                </c:pt>
                <c:pt idx="14">
                  <c:v>1.2623999999999999E-8</c:v>
                </c:pt>
                <c:pt idx="15">
                  <c:v>1.1476E-8</c:v>
                </c:pt>
                <c:pt idx="16">
                  <c:v>1.0220999999999999E-8</c:v>
                </c:pt>
                <c:pt idx="17">
                  <c:v>8.9737000000000001E-9</c:v>
                </c:pt>
                <c:pt idx="18">
                  <c:v>5.0090000000000004E-9</c:v>
                </c:pt>
                <c:pt idx="19">
                  <c:v>2.7683E-9</c:v>
                </c:pt>
                <c:pt idx="20">
                  <c:v>1.6196000000000001E-9</c:v>
                </c:pt>
                <c:pt idx="21">
                  <c:v>1.0500000000000001E-9</c:v>
                </c:pt>
                <c:pt idx="22">
                  <c:v>9.3737999999999992E-10</c:v>
                </c:pt>
                <c:pt idx="23">
                  <c:v>8.3052000000000004E-10</c:v>
                </c:pt>
                <c:pt idx="24">
                  <c:v>7.3111999999999995E-10</c:v>
                </c:pt>
                <c:pt idx="25">
                  <c:v>6.4075999999999997E-10</c:v>
                </c:pt>
                <c:pt idx="26">
                  <c:v>3.7194999999999999E-10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(2)Ga[l]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5.3633E-24</c:v>
                </c:pt>
                <c:pt idx="21">
                  <c:v>4.1780999999999998E-10</c:v>
                </c:pt>
                <c:pt idx="22">
                  <c:v>1.8819999999999999E-8</c:v>
                </c:pt>
                <c:pt idx="23">
                  <c:v>5.1797999999999998E-8</c:v>
                </c:pt>
                <c:pt idx="24">
                  <c:v>7.7835999999999996E-8</c:v>
                </c:pt>
                <c:pt idx="25">
                  <c:v>1.3689E-7</c:v>
                </c:pt>
                <c:pt idx="26">
                  <c:v>5.8815000000000004E-7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(2)Ge[l]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669.6</c:v>
                </c:pt>
                <c:pt idx="19">
                  <c:v>735.7</c:v>
                </c:pt>
                <c:pt idx="20">
                  <c:v>801.8</c:v>
                </c:pt>
                <c:pt idx="21">
                  <c:v>867.8</c:v>
                </c:pt>
                <c:pt idx="22" formatCode="0">
                  <c:v>884.4</c:v>
                </c:pt>
                <c:pt idx="23" formatCode="0">
                  <c:v>900.9</c:v>
                </c:pt>
                <c:pt idx="24" formatCode="0">
                  <c:v>917.4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2.2334999999999998E-24</c:v>
                </c:pt>
                <c:pt idx="21">
                  <c:v>5.6443000000000001E-11</c:v>
                </c:pt>
                <c:pt idx="22">
                  <c:v>2.3336999999999999E-9</c:v>
                </c:pt>
                <c:pt idx="23">
                  <c:v>6.2382999999999999E-9</c:v>
                </c:pt>
                <c:pt idx="24">
                  <c:v>9.4627000000000004E-9</c:v>
                </c:pt>
                <c:pt idx="25">
                  <c:v>1.7202999999999999E-8</c:v>
                </c:pt>
                <c:pt idx="26">
                  <c:v>9.1625000000000002E-8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5.6890999999999997E-2</c:v>
                      </c:pt>
                      <c:pt idx="1">
                        <c:v>6.0013999999999998E-2</c:v>
                      </c:pt>
                      <c:pt idx="2">
                        <c:v>6.7182000000000006E-2</c:v>
                      </c:pt>
                      <c:pt idx="3">
                        <c:v>7.8593999999999997E-2</c:v>
                      </c:pt>
                      <c:pt idx="4">
                        <c:v>9.1024999999999995E-2</c:v>
                      </c:pt>
                      <c:pt idx="5">
                        <c:v>7.9388E-2</c:v>
                      </c:pt>
                      <c:pt idx="6">
                        <c:v>9.0358999999999995E-2</c:v>
                      </c:pt>
                      <c:pt idx="7">
                        <c:v>9.8905000000000007E-2</c:v>
                      </c:pt>
                      <c:pt idx="8">
                        <c:v>0.10381</c:v>
                      </c:pt>
                      <c:pt idx="9">
                        <c:v>8.1042000000000003E-2</c:v>
                      </c:pt>
                      <c:pt idx="10">
                        <c:v>5.9419E-2</c:v>
                      </c:pt>
                      <c:pt idx="11">
                        <c:v>3.7888999999999999E-2</c:v>
                      </c:pt>
                      <c:pt idx="12">
                        <c:v>2.1876E-2</c:v>
                      </c:pt>
                      <c:pt idx="13">
                        <c:v>1.1953999999999999E-2</c:v>
                      </c:pt>
                      <c:pt idx="14">
                        <c:v>6.3936000000000002E-3</c:v>
                      </c:pt>
                      <c:pt idx="15">
                        <c:v>3.4253E-3</c:v>
                      </c:pt>
                      <c:pt idx="16">
                        <c:v>1.8648E-3</c:v>
                      </c:pt>
                      <c:pt idx="17">
                        <c:v>1.0388999999999999E-3</c:v>
                      </c:pt>
                      <c:pt idx="18">
                        <c:v>1.2572000000000001E-4</c:v>
                      </c:pt>
                      <c:pt idx="19">
                        <c:v>2.0253000000000001E-5</c:v>
                      </c:pt>
                      <c:pt idx="20">
                        <c:v>4.0493000000000003E-6</c:v>
                      </c:pt>
                      <c:pt idx="21">
                        <c:v>9.3162000000000003E-7</c:v>
                      </c:pt>
                      <c:pt idx="22">
                        <c:v>6.5809000000000004E-7</c:v>
                      </c:pt>
                      <c:pt idx="23">
                        <c:v>4.6945000000000001E-7</c:v>
                      </c:pt>
                      <c:pt idx="24">
                        <c:v>3.3807000000000001E-7</c:v>
                      </c:pt>
                      <c:pt idx="25">
                        <c:v>2.4555999999999998E-7</c:v>
                      </c:pt>
                      <c:pt idx="26">
                        <c:v>7.3405000000000001E-8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9.5786000000000003E-32</c:v>
                      </c:pt>
                      <c:pt idx="10">
                        <c:v>7.6323999999999999E-30</c:v>
                      </c:pt>
                      <c:pt idx="11">
                        <c:v>4.2617000000000002E-28</c:v>
                      </c:pt>
                      <c:pt idx="12">
                        <c:v>1.8622999999999999E-26</c:v>
                      </c:pt>
                      <c:pt idx="13">
                        <c:v>6.6245000000000001E-25</c:v>
                      </c:pt>
                      <c:pt idx="14">
                        <c:v>1.8928999999999999E-23</c:v>
                      </c:pt>
                      <c:pt idx="15">
                        <c:v>4.2502999999999997E-22</c:v>
                      </c:pt>
                      <c:pt idx="16">
                        <c:v>7.4691000000000006E-21</c:v>
                      </c:pt>
                      <c:pt idx="17">
                        <c:v>1.0479E-19</c:v>
                      </c:pt>
                      <c:pt idx="18">
                        <c:v>8.1084999999999995E-16</c:v>
                      </c:pt>
                      <c:pt idx="19">
                        <c:v>1.1342999999999999E-12</c:v>
                      </c:pt>
                      <c:pt idx="20">
                        <c:v>3.2051000000000001E-10</c:v>
                      </c:pt>
                      <c:pt idx="21">
                        <c:v>7.4021000000000003E-9</c:v>
                      </c:pt>
                      <c:pt idx="22">
                        <c:v>1.0564E-8</c:v>
                      </c:pt>
                      <c:pt idx="23">
                        <c:v>1.3380999999999999E-8</c:v>
                      </c:pt>
                      <c:pt idx="24">
                        <c:v>1.5594999999999998E-8</c:v>
                      </c:pt>
                      <c:pt idx="25">
                        <c:v>1.7211000000000001E-8</c:v>
                      </c:pt>
                      <c:pt idx="26">
                        <c:v>1.9883E-8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-18.87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-18.95</c:v>
                      </c:pt>
                      <c:pt idx="4">
                        <c:v>-19.010000000000002</c:v>
                      </c:pt>
                      <c:pt idx="5">
                        <c:v>-18.98</c:v>
                      </c:pt>
                      <c:pt idx="6">
                        <c:v>-19.04</c:v>
                      </c:pt>
                      <c:pt idx="7">
                        <c:v>-19.09</c:v>
                      </c:pt>
                      <c:pt idx="8">
                        <c:v>-19.14</c:v>
                      </c:pt>
                      <c:pt idx="9">
                        <c:v>-19.18</c:v>
                      </c:pt>
                      <c:pt idx="10">
                        <c:v>-19.13</c:v>
                      </c:pt>
                      <c:pt idx="11">
                        <c:v>-19.079999999999998</c:v>
                      </c:pt>
                      <c:pt idx="12">
                        <c:v>-19.04</c:v>
                      </c:pt>
                      <c:pt idx="13">
                        <c:v>-19.03</c:v>
                      </c:pt>
                      <c:pt idx="14">
                        <c:v>-19.04</c:v>
                      </c:pt>
                      <c:pt idx="15">
                        <c:v>-19.059999999999999</c:v>
                      </c:pt>
                      <c:pt idx="16">
                        <c:v>-19.079999999999998</c:v>
                      </c:pt>
                      <c:pt idx="17">
                        <c:v>-19.11</c:v>
                      </c:pt>
                      <c:pt idx="18">
                        <c:v>-19.25</c:v>
                      </c:pt>
                      <c:pt idx="19">
                        <c:v>-19.38</c:v>
                      </c:pt>
                      <c:pt idx="20">
                        <c:v>-19.510000000000002</c:v>
                      </c:pt>
                      <c:pt idx="21">
                        <c:v>-19.64</c:v>
                      </c:pt>
                      <c:pt idx="22">
                        <c:v>-19.670000000000002</c:v>
                      </c:pt>
                      <c:pt idx="23">
                        <c:v>-19.7</c:v>
                      </c:pt>
                      <c:pt idx="24">
                        <c:v>-19.73</c:v>
                      </c:pt>
                      <c:pt idx="25">
                        <c:v>-19.760000000000002</c:v>
                      </c:pt>
                      <c:pt idx="26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-66.680000000000007</c:v>
                      </c:pt>
                      <c:pt idx="1">
                        <c:v>-63.05</c:v>
                      </c:pt>
                      <c:pt idx="2">
                        <c:v>-59.58</c:v>
                      </c:pt>
                      <c:pt idx="3">
                        <c:v>-56.15</c:v>
                      </c:pt>
                      <c:pt idx="4">
                        <c:v>-52.74</c:v>
                      </c:pt>
                      <c:pt idx="5">
                        <c:v>-48.52</c:v>
                      </c:pt>
                      <c:pt idx="6">
                        <c:v>-45.68</c:v>
                      </c:pt>
                      <c:pt idx="7">
                        <c:v>-42.89</c:v>
                      </c:pt>
                      <c:pt idx="8">
                        <c:v>-40.18</c:v>
                      </c:pt>
                      <c:pt idx="9">
                        <c:v>-30.88</c:v>
                      </c:pt>
                      <c:pt idx="10">
                        <c:v>-29.01</c:v>
                      </c:pt>
                      <c:pt idx="11">
                        <c:v>-27.3</c:v>
                      </c:pt>
                      <c:pt idx="12">
                        <c:v>-25.68</c:v>
                      </c:pt>
                      <c:pt idx="13">
                        <c:v>-24.16</c:v>
                      </c:pt>
                      <c:pt idx="14">
                        <c:v>-22.72</c:v>
                      </c:pt>
                      <c:pt idx="15">
                        <c:v>-21.39</c:v>
                      </c:pt>
                      <c:pt idx="16">
                        <c:v>-20.170000000000002</c:v>
                      </c:pt>
                      <c:pt idx="17">
                        <c:v>-19.05</c:v>
                      </c:pt>
                      <c:pt idx="18">
                        <c:v>-15.24</c:v>
                      </c:pt>
                      <c:pt idx="19">
                        <c:v>-12.13</c:v>
                      </c:pt>
                      <c:pt idx="20">
                        <c:v>-9.7149999999999999</c:v>
                      </c:pt>
                      <c:pt idx="21">
                        <c:v>-8.48</c:v>
                      </c:pt>
                      <c:pt idx="22">
                        <c:v>-8.3719999999999999</c:v>
                      </c:pt>
                      <c:pt idx="23">
                        <c:v>-8.3179999999999996</c:v>
                      </c:pt>
                      <c:pt idx="24">
                        <c:v>-8.3000000000000007</c:v>
                      </c:pt>
                      <c:pt idx="25">
                        <c:v>-8.3049999999999997</c:v>
                      </c:pt>
                      <c:pt idx="26">
                        <c:v>-8.4120000000000008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-18.13</c:v>
                      </c:pt>
                      <c:pt idx="1">
                        <c:v>-17.350000000000001</c:v>
                      </c:pt>
                      <c:pt idx="2">
                        <c:v>-16.45</c:v>
                      </c:pt>
                      <c:pt idx="3">
                        <c:v>-15.39</c:v>
                      </c:pt>
                      <c:pt idx="4">
                        <c:v>-14.22</c:v>
                      </c:pt>
                      <c:pt idx="5">
                        <c:v>-12.64</c:v>
                      </c:pt>
                      <c:pt idx="6">
                        <c:v>-11.66</c:v>
                      </c:pt>
                      <c:pt idx="7">
                        <c:v>-10.66</c:v>
                      </c:pt>
                      <c:pt idx="8">
                        <c:v>-9.6769999999999996</c:v>
                      </c:pt>
                      <c:pt idx="9">
                        <c:v>-6.4119999999999999</c:v>
                      </c:pt>
                      <c:pt idx="10">
                        <c:v>-5.9249999999999998</c:v>
                      </c:pt>
                      <c:pt idx="11">
                        <c:v>-5.6239999999999997</c:v>
                      </c:pt>
                      <c:pt idx="12">
                        <c:v>-5.47</c:v>
                      </c:pt>
                      <c:pt idx="13">
                        <c:v>-5.4130000000000003</c:v>
                      </c:pt>
                      <c:pt idx="14">
                        <c:v>-5.4139999999999997</c:v>
                      </c:pt>
                      <c:pt idx="15">
                        <c:v>-5.4450000000000003</c:v>
                      </c:pt>
                      <c:pt idx="16">
                        <c:v>-5.4880000000000004</c:v>
                      </c:pt>
                      <c:pt idx="17">
                        <c:v>-5.5330000000000004</c:v>
                      </c:pt>
                      <c:pt idx="18">
                        <c:v>-5.7050000000000001</c:v>
                      </c:pt>
                      <c:pt idx="19">
                        <c:v>-5.8680000000000003</c:v>
                      </c:pt>
                      <c:pt idx="20">
                        <c:v>-6.0510000000000002</c:v>
                      </c:pt>
                      <c:pt idx="21">
                        <c:v>-6.2869999999999999</c:v>
                      </c:pt>
                      <c:pt idx="22">
                        <c:v>-6.343</c:v>
                      </c:pt>
                      <c:pt idx="23">
                        <c:v>-6.3940000000000001</c:v>
                      </c:pt>
                      <c:pt idx="24">
                        <c:v>-6.44</c:v>
                      </c:pt>
                      <c:pt idx="25">
                        <c:v>-6.4820000000000002</c:v>
                      </c:pt>
                      <c:pt idx="26">
                        <c:v>-6.6340000000000003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-23.19</c:v>
                      </c:pt>
                      <c:pt idx="1">
                        <c:v>-22.18</c:v>
                      </c:pt>
                      <c:pt idx="2">
                        <c:v>-21.45</c:v>
                      </c:pt>
                      <c:pt idx="3">
                        <c:v>-21.02</c:v>
                      </c:pt>
                      <c:pt idx="4">
                        <c:v>-20.86</c:v>
                      </c:pt>
                      <c:pt idx="5">
                        <c:v>-21.44</c:v>
                      </c:pt>
                      <c:pt idx="6">
                        <c:v>-21.34</c:v>
                      </c:pt>
                      <c:pt idx="7">
                        <c:v>-21.39</c:v>
                      </c:pt>
                      <c:pt idx="8">
                        <c:v>-21.54</c:v>
                      </c:pt>
                      <c:pt idx="9">
                        <c:v>-22.4</c:v>
                      </c:pt>
                      <c:pt idx="10">
                        <c:v>-22.6</c:v>
                      </c:pt>
                      <c:pt idx="11">
                        <c:v>-22.79</c:v>
                      </c:pt>
                      <c:pt idx="12">
                        <c:v>-22.98</c:v>
                      </c:pt>
                      <c:pt idx="13">
                        <c:v>-23.19</c:v>
                      </c:pt>
                      <c:pt idx="14">
                        <c:v>-23.42</c:v>
                      </c:pt>
                      <c:pt idx="15">
                        <c:v>-23.65</c:v>
                      </c:pt>
                      <c:pt idx="16">
                        <c:v>-23.88</c:v>
                      </c:pt>
                      <c:pt idx="17">
                        <c:v>-24.12</c:v>
                      </c:pt>
                      <c:pt idx="18">
                        <c:v>-25.05</c:v>
                      </c:pt>
                      <c:pt idx="19">
                        <c:v>-25.94</c:v>
                      </c:pt>
                      <c:pt idx="20">
                        <c:v>-26.78</c:v>
                      </c:pt>
                      <c:pt idx="21">
                        <c:v>-27.56</c:v>
                      </c:pt>
                      <c:pt idx="22">
                        <c:v>-27.76</c:v>
                      </c:pt>
                      <c:pt idx="23">
                        <c:v>-27.95</c:v>
                      </c:pt>
                      <c:pt idx="24">
                        <c:v>-28.15</c:v>
                      </c:pt>
                      <c:pt idx="25">
                        <c:v>-28.35</c:v>
                      </c:pt>
                      <c:pt idx="26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801.8</c:v>
                      </c:pt>
                      <c:pt idx="21">
                        <c:v>867.8</c:v>
                      </c:pt>
                      <c:pt idx="22" formatCode="0">
                        <c:v>884.4</c:v>
                      </c:pt>
                      <c:pt idx="23" formatCode="0">
                        <c:v>900.9</c:v>
                      </c:pt>
                      <c:pt idx="24" formatCode="0">
                        <c:v>917.4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1.2831999999999999E-25</c:v>
                </c:pt>
                <c:pt idx="1">
                  <c:v>1.9425E-19</c:v>
                </c:pt>
                <c:pt idx="2">
                  <c:v>2.2298999999999998E-15</c:v>
                </c:pt>
                <c:pt idx="3">
                  <c:v>1.5929E-12</c:v>
                </c:pt>
                <c:pt idx="4">
                  <c:v>2.0498E-10</c:v>
                </c:pt>
                <c:pt idx="5">
                  <c:v>5.7095999999999996E-10</c:v>
                </c:pt>
                <c:pt idx="6">
                  <c:v>1.4969999999999999E-9</c:v>
                </c:pt>
                <c:pt idx="7">
                  <c:v>3.7180000000000002E-9</c:v>
                </c:pt>
                <c:pt idx="8">
                  <c:v>8.7965000000000004E-9</c:v>
                </c:pt>
                <c:pt idx="9">
                  <c:v>1.8316999999999999E-7</c:v>
                </c:pt>
                <c:pt idx="10">
                  <c:v>2.1741999999999999E-6</c:v>
                </c:pt>
                <c:pt idx="11">
                  <c:v>1.6022E-5</c:v>
                </c:pt>
                <c:pt idx="12">
                  <c:v>7.9373000000000001E-5</c:v>
                </c:pt>
                <c:pt idx="13">
                  <c:v>2.7228000000000002E-4</c:v>
                </c:pt>
                <c:pt idx="14">
                  <c:v>3.4900000000000003E-4</c:v>
                </c:pt>
                <c:pt idx="15">
                  <c:v>4.3608999999999998E-4</c:v>
                </c:pt>
                <c:pt idx="16">
                  <c:v>5.3089999999999995E-4</c:v>
                </c:pt>
                <c:pt idx="17">
                  <c:v>6.2951999999999995E-4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1.0488E-23</c:v>
                </c:pt>
                <c:pt idx="1">
                  <c:v>3.9577999999999998E-18</c:v>
                </c:pt>
                <c:pt idx="2">
                  <c:v>1.6717000000000001E-14</c:v>
                </c:pt>
                <c:pt idx="3">
                  <c:v>5.5917000000000001E-12</c:v>
                </c:pt>
                <c:pt idx="4">
                  <c:v>3.9631999999999998E-10</c:v>
                </c:pt>
                <c:pt idx="5">
                  <c:v>9.7003000000000001E-10</c:v>
                </c:pt>
                <c:pt idx="6">
                  <c:v>2.2504E-9</c:v>
                </c:pt>
                <c:pt idx="7">
                  <c:v>4.9784999999999997E-9</c:v>
                </c:pt>
                <c:pt idx="8">
                  <c:v>1.0557999999999999E-8</c:v>
                </c:pt>
                <c:pt idx="9">
                  <c:v>1.4999999999999999E-7</c:v>
                </c:pt>
                <c:pt idx="10">
                  <c:v>1.2964E-6</c:v>
                </c:pt>
                <c:pt idx="11">
                  <c:v>7.2142000000000003E-6</c:v>
                </c:pt>
                <c:pt idx="12">
                  <c:v>2.7393E-5</c:v>
                </c:pt>
                <c:pt idx="13">
                  <c:v>7.1099999999999994E-5</c:v>
                </c:pt>
                <c:pt idx="14">
                  <c:v>8.4475999999999996E-5</c:v>
                </c:pt>
                <c:pt idx="15">
                  <c:v>9.7503999999999993E-5</c:v>
                </c:pt>
                <c:pt idx="16">
                  <c:v>1.0922E-4</c:v>
                </c:pt>
                <c:pt idx="17">
                  <c:v>1.1868E-4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2.3519999999999999E-20</c:v>
                </c:pt>
                <c:pt idx="1">
                  <c:v>2.9041E-15</c:v>
                </c:pt>
                <c:pt idx="2">
                  <c:v>5.4777999999999999E-12</c:v>
                </c:pt>
                <c:pt idx="3">
                  <c:v>9.9176999999999998E-10</c:v>
                </c:pt>
                <c:pt idx="4">
                  <c:v>4.3318999999999999E-8</c:v>
                </c:pt>
                <c:pt idx="5">
                  <c:v>9.5450999999999999E-8</c:v>
                </c:pt>
                <c:pt idx="6">
                  <c:v>2.0048999999999999E-7</c:v>
                </c:pt>
                <c:pt idx="7">
                  <c:v>4.0376000000000001E-7</c:v>
                </c:pt>
                <c:pt idx="8">
                  <c:v>7.8352000000000002E-7</c:v>
                </c:pt>
                <c:pt idx="9">
                  <c:v>8.1723999999999999E-6</c:v>
                </c:pt>
                <c:pt idx="10">
                  <c:v>5.4653E-5</c:v>
                </c:pt>
                <c:pt idx="11">
                  <c:v>2.4179E-4</c:v>
                </c:pt>
                <c:pt idx="12">
                  <c:v>7.3530999999999998E-4</c:v>
                </c:pt>
                <c:pt idx="13">
                  <c:v>1.5001000000000001E-3</c:v>
                </c:pt>
                <c:pt idx="14">
                  <c:v>1.6666000000000001E-3</c:v>
                </c:pt>
                <c:pt idx="15">
                  <c:v>1.792E-3</c:v>
                </c:pt>
                <c:pt idx="16">
                  <c:v>1.8621E-3</c:v>
                </c:pt>
                <c:pt idx="17">
                  <c:v>1.869E-3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7.0142999999999997E-18</c:v>
                </c:pt>
                <c:pt idx="1">
                  <c:v>1.2472999999999999E-13</c:v>
                </c:pt>
                <c:pt idx="2">
                  <c:v>6.0163000000000002E-11</c:v>
                </c:pt>
                <c:pt idx="3">
                  <c:v>3.9376999999999998E-9</c:v>
                </c:pt>
                <c:pt idx="4">
                  <c:v>7.8069999999999997E-8</c:v>
                </c:pt>
                <c:pt idx="5">
                  <c:v>1.451E-7</c:v>
                </c:pt>
                <c:pt idx="6">
                  <c:v>2.5949E-7</c:v>
                </c:pt>
                <c:pt idx="7">
                  <c:v>4.4887999999999998E-7</c:v>
                </c:pt>
                <c:pt idx="8">
                  <c:v>7.5448999999999998E-7</c:v>
                </c:pt>
                <c:pt idx="9">
                  <c:v>4.7639000000000002E-6</c:v>
                </c:pt>
                <c:pt idx="10">
                  <c:v>2.1036999999999999E-5</c:v>
                </c:pt>
                <c:pt idx="11">
                  <c:v>6.4795999999999994E-5</c:v>
                </c:pt>
                <c:pt idx="12">
                  <c:v>1.4101000000000001E-4</c:v>
                </c:pt>
                <c:pt idx="13">
                  <c:v>2.0523000000000001E-4</c:v>
                </c:pt>
                <c:pt idx="14">
                  <c:v>2.0854000000000001E-4</c:v>
                </c:pt>
                <c:pt idx="15">
                  <c:v>2.0446E-4</c:v>
                </c:pt>
                <c:pt idx="16">
                  <c:v>1.9307999999999999E-4</c:v>
                </c:pt>
                <c:pt idx="17">
                  <c:v>1.7545000000000001E-4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4.6750000000000002E-19</c:v>
                </c:pt>
                <c:pt idx="1">
                  <c:v>1.4544E-14</c:v>
                </c:pt>
                <c:pt idx="2">
                  <c:v>9.6277999999999998E-12</c:v>
                </c:pt>
                <c:pt idx="3">
                  <c:v>7.6236000000000004E-10</c:v>
                </c:pt>
                <c:pt idx="4">
                  <c:v>1.7047E-8</c:v>
                </c:pt>
                <c:pt idx="5">
                  <c:v>3.2428999999999999E-8</c:v>
                </c:pt>
                <c:pt idx="6">
                  <c:v>5.9252E-8</c:v>
                </c:pt>
                <c:pt idx="7">
                  <c:v>1.0457E-7</c:v>
                </c:pt>
                <c:pt idx="8">
                  <c:v>1.7912000000000001E-7</c:v>
                </c:pt>
                <c:pt idx="9">
                  <c:v>1.2105000000000001E-6</c:v>
                </c:pt>
                <c:pt idx="10">
                  <c:v>5.6323999999999996E-6</c:v>
                </c:pt>
                <c:pt idx="11">
                  <c:v>1.7842E-5</c:v>
                </c:pt>
                <c:pt idx="12">
                  <c:v>3.8671999999999998E-5</c:v>
                </c:pt>
                <c:pt idx="13">
                  <c:v>5.3331999999999997E-5</c:v>
                </c:pt>
                <c:pt idx="14">
                  <c:v>5.2883999999999997E-5</c:v>
                </c:pt>
                <c:pt idx="15">
                  <c:v>5.0330000000000001E-5</c:v>
                </c:pt>
                <c:pt idx="16">
                  <c:v>4.5880000000000001E-5</c:v>
                </c:pt>
                <c:pt idx="17">
                  <c:v>4.002E-5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6.5274000000000001E-21</c:v>
                </c:pt>
                <c:pt idx="1">
                  <c:v>3.1763E-16</c:v>
                </c:pt>
                <c:pt idx="2">
                  <c:v>2.6788999999999998E-13</c:v>
                </c:pt>
                <c:pt idx="3">
                  <c:v>2.4334E-11</c:v>
                </c:pt>
                <c:pt idx="4">
                  <c:v>5.8974999999999995E-10</c:v>
                </c:pt>
                <c:pt idx="5">
                  <c:v>1.1386E-9</c:v>
                </c:pt>
                <c:pt idx="6">
                  <c:v>2.1087E-9</c:v>
                </c:pt>
                <c:pt idx="7">
                  <c:v>3.7684000000000003E-9</c:v>
                </c:pt>
                <c:pt idx="8">
                  <c:v>6.5316000000000001E-9</c:v>
                </c:pt>
                <c:pt idx="9">
                  <c:v>4.6090999999999999E-8</c:v>
                </c:pt>
                <c:pt idx="10">
                  <c:v>2.2144E-7</c:v>
                </c:pt>
                <c:pt idx="11">
                  <c:v>7.0938000000000002E-7</c:v>
                </c:pt>
                <c:pt idx="12">
                  <c:v>1.5096999999999999E-6</c:v>
                </c:pt>
                <c:pt idx="13">
                  <c:v>1.9487999999999999E-6</c:v>
                </c:pt>
                <c:pt idx="14">
                  <c:v>1.8805E-6</c:v>
                </c:pt>
                <c:pt idx="15">
                  <c:v>1.7325999999999999E-6</c:v>
                </c:pt>
                <c:pt idx="16">
                  <c:v>1.5206999999999999E-6</c:v>
                </c:pt>
                <c:pt idx="17">
                  <c:v>1.2700999999999999E-6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2.2998000000000001E-20</c:v>
                </c:pt>
                <c:pt idx="1">
                  <c:v>2.7161000000000001E-15</c:v>
                </c:pt>
                <c:pt idx="2">
                  <c:v>6.1727000000000001E-12</c:v>
                </c:pt>
                <c:pt idx="3">
                  <c:v>1.4644E-9</c:v>
                </c:pt>
                <c:pt idx="4">
                  <c:v>8.5529999999999999E-8</c:v>
                </c:pt>
                <c:pt idx="5">
                  <c:v>2.0232E-7</c:v>
                </c:pt>
                <c:pt idx="6">
                  <c:v>4.5535000000000001E-7</c:v>
                </c:pt>
                <c:pt idx="7">
                  <c:v>9.8015000000000005E-7</c:v>
                </c:pt>
                <c:pt idx="8">
                  <c:v>2.0269999999999998E-6</c:v>
                </c:pt>
                <c:pt idx="9">
                  <c:v>2.6438E-5</c:v>
                </c:pt>
                <c:pt idx="10">
                  <c:v>2.1613000000000001E-4</c:v>
                </c:pt>
                <c:pt idx="11">
                  <c:v>1.1918E-3</c:v>
                </c:pt>
                <c:pt idx="12">
                  <c:v>4.7704999999999996E-3</c:v>
                </c:pt>
                <c:pt idx="13">
                  <c:v>1.439E-2</c:v>
                </c:pt>
                <c:pt idx="14">
                  <c:v>1.814E-2</c:v>
                </c:pt>
                <c:pt idx="15">
                  <c:v>2.2447999999999999E-2</c:v>
                </c:pt>
                <c:pt idx="16">
                  <c:v>2.7255000000000001E-2</c:v>
                </c:pt>
                <c:pt idx="17">
                  <c:v>3.2462999999999999E-2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4.4399E-31</c:v>
                </c:pt>
                <c:pt idx="2">
                  <c:v>3.0258999999999999E-25</c:v>
                </c:pt>
                <c:pt idx="3">
                  <c:v>4.5625999999999999E-21</c:v>
                </c:pt>
                <c:pt idx="4">
                  <c:v>6.3055999999999998E-18</c:v>
                </c:pt>
                <c:pt idx="5">
                  <c:v>2.9350999999999997E-17</c:v>
                </c:pt>
                <c:pt idx="6">
                  <c:v>1.2512E-16</c:v>
                </c:pt>
                <c:pt idx="7">
                  <c:v>4.9255999999999996E-16</c:v>
                </c:pt>
                <c:pt idx="8">
                  <c:v>1.8034000000000001E-15</c:v>
                </c:pt>
                <c:pt idx="9">
                  <c:v>1.7494000000000001E-13</c:v>
                </c:pt>
                <c:pt idx="10">
                  <c:v>7.5006000000000006E-12</c:v>
                </c:pt>
                <c:pt idx="11">
                  <c:v>1.6884000000000001E-10</c:v>
                </c:pt>
                <c:pt idx="12">
                  <c:v>2.3039999999999999E-9</c:v>
                </c:pt>
                <c:pt idx="13">
                  <c:v>2.1068E-8</c:v>
                </c:pt>
                <c:pt idx="14">
                  <c:v>3.4657999999999998E-8</c:v>
                </c:pt>
                <c:pt idx="15">
                  <c:v>5.5816000000000002E-8</c:v>
                </c:pt>
                <c:pt idx="16">
                  <c:v>8.8024999999999996E-8</c:v>
                </c:pt>
                <c:pt idx="17">
                  <c:v>1.3596999999999999E-7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6.1817999999999995E-11</c:v>
                </c:pt>
                <c:pt idx="1">
                  <c:v>6.3934999999999996E-8</c:v>
                </c:pt>
                <c:pt idx="2">
                  <c:v>5.8937E-6</c:v>
                </c:pt>
                <c:pt idx="3">
                  <c:v>1.3797000000000001E-4</c:v>
                </c:pt>
                <c:pt idx="4">
                  <c:v>1.3603000000000001E-3</c:v>
                </c:pt>
                <c:pt idx="5">
                  <c:v>2.1714999999999998E-3</c:v>
                </c:pt>
                <c:pt idx="6">
                  <c:v>3.3368E-3</c:v>
                </c:pt>
                <c:pt idx="7">
                  <c:v>4.9376000000000003E-3</c:v>
                </c:pt>
                <c:pt idx="8">
                  <c:v>7.0346999999999996E-3</c:v>
                </c:pt>
                <c:pt idx="9">
                  <c:v>1.9782000000000001E-2</c:v>
                </c:pt>
                <c:pt idx="10">
                  <c:v>3.3222000000000002E-2</c:v>
                </c:pt>
                <c:pt idx="11">
                  <c:v>4.2268E-2</c:v>
                </c:pt>
                <c:pt idx="12">
                  <c:v>4.7828000000000002E-2</c:v>
                </c:pt>
                <c:pt idx="13">
                  <c:v>5.1423999999999997E-2</c:v>
                </c:pt>
                <c:pt idx="14">
                  <c:v>5.2121000000000001E-2</c:v>
                </c:pt>
                <c:pt idx="15">
                  <c:v>5.2750999999999999E-2</c:v>
                </c:pt>
                <c:pt idx="16">
                  <c:v>5.3317000000000003E-2</c:v>
                </c:pt>
                <c:pt idx="17">
                  <c:v>5.3823000000000003E-2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0.11999</c:v>
                      </c:pt>
                      <c:pt idx="3">
                        <c:v>0.11971999999999999</c:v>
                      </c:pt>
                      <c:pt idx="4">
                        <c:v>0.11728</c:v>
                      </c:pt>
                      <c:pt idx="5">
                        <c:v>0.11566</c:v>
                      </c:pt>
                      <c:pt idx="6">
                        <c:v>0.11333</c:v>
                      </c:pt>
                      <c:pt idx="7">
                        <c:v>0.11012</c:v>
                      </c:pt>
                      <c:pt idx="8">
                        <c:v>0.10593</c:v>
                      </c:pt>
                      <c:pt idx="9">
                        <c:v>8.0435999999999994E-2</c:v>
                      </c:pt>
                      <c:pt idx="10">
                        <c:v>5.3557E-2</c:v>
                      </c:pt>
                      <c:pt idx="11">
                        <c:v>3.5464000000000002E-2</c:v>
                      </c:pt>
                      <c:pt idx="12">
                        <c:v>2.4344000000000001E-2</c:v>
                      </c:pt>
                      <c:pt idx="13">
                        <c:v>1.7152000000000001E-2</c:v>
                      </c:pt>
                      <c:pt idx="14">
                        <c:v>1.5758000000000001E-2</c:v>
                      </c:pt>
                      <c:pt idx="15">
                        <c:v>1.4499E-2</c:v>
                      </c:pt>
                      <c:pt idx="16">
                        <c:v>1.3365999999999999E-2</c:v>
                      </c:pt>
                      <c:pt idx="17">
                        <c:v>1.2354E-2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2.1116000000000001E-17</c:v>
                      </c:pt>
                      <c:pt idx="1">
                        <c:v>4.4100000000000003E-14</c:v>
                      </c:pt>
                      <c:pt idx="2">
                        <c:v>7.7169000000000008E-12</c:v>
                      </c:pt>
                      <c:pt idx="3">
                        <c:v>3.1881999999999999E-10</c:v>
                      </c:pt>
                      <c:pt idx="4">
                        <c:v>5.2700999999999998E-9</c:v>
                      </c:pt>
                      <c:pt idx="5">
                        <c:v>9.5619999999999999E-9</c:v>
                      </c:pt>
                      <c:pt idx="6">
                        <c:v>1.6749E-8</c:v>
                      </c:pt>
                      <c:pt idx="7">
                        <c:v>2.8401000000000001E-8</c:v>
                      </c:pt>
                      <c:pt idx="8">
                        <c:v>4.6738999999999999E-8</c:v>
                      </c:pt>
                      <c:pt idx="9">
                        <c:v>2.6523E-7</c:v>
                      </c:pt>
                      <c:pt idx="10">
                        <c:v>1.0922999999999999E-6</c:v>
                      </c:pt>
                      <c:pt idx="11">
                        <c:v>3.5822000000000002E-6</c:v>
                      </c:pt>
                      <c:pt idx="12">
                        <c:v>9.9946999999999994E-6</c:v>
                      </c:pt>
                      <c:pt idx="13">
                        <c:v>2.5179000000000001E-5</c:v>
                      </c:pt>
                      <c:pt idx="14">
                        <c:v>3.1439000000000002E-5</c:v>
                      </c:pt>
                      <c:pt idx="15">
                        <c:v>3.9180000000000001E-5</c:v>
                      </c:pt>
                      <c:pt idx="16">
                        <c:v>4.8766E-5</c:v>
                      </c:pt>
                      <c:pt idx="17">
                        <c:v>6.0649000000000002E-5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0.28000000000000003</c:v>
                      </c:pt>
                      <c:pt idx="1">
                        <c:v>0.28000000000000003</c:v>
                      </c:pt>
                      <c:pt idx="2">
                        <c:v>0.27999000000000002</c:v>
                      </c:pt>
                      <c:pt idx="3">
                        <c:v>0.27986</c:v>
                      </c:pt>
                      <c:pt idx="4">
                        <c:v>0.27864</c:v>
                      </c:pt>
                      <c:pt idx="5">
                        <c:v>0.27783000000000002</c:v>
                      </c:pt>
                      <c:pt idx="6">
                        <c:v>0.27666000000000002</c:v>
                      </c:pt>
                      <c:pt idx="7">
                        <c:v>0.27505000000000002</c:v>
                      </c:pt>
                      <c:pt idx="8">
                        <c:v>0.27295000000000003</c:v>
                      </c:pt>
                      <c:pt idx="9">
                        <c:v>0.26008999999999999</c:v>
                      </c:pt>
                      <c:pt idx="10">
                        <c:v>0.24589</c:v>
                      </c:pt>
                      <c:pt idx="11">
                        <c:v>0.23355000000000001</c:v>
                      </c:pt>
                      <c:pt idx="12">
                        <c:v>0.21748999999999999</c:v>
                      </c:pt>
                      <c:pt idx="13">
                        <c:v>0.18959999999999999</c:v>
                      </c:pt>
                      <c:pt idx="14">
                        <c:v>0.18028</c:v>
                      </c:pt>
                      <c:pt idx="15">
                        <c:v>0.17014000000000001</c:v>
                      </c:pt>
                      <c:pt idx="16">
                        <c:v>0.15939</c:v>
                      </c:pt>
                      <c:pt idx="17">
                        <c:v>0.14826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0.19999</c:v>
                      </c:pt>
                      <c:pt idx="13">
                        <c:v>0.19997000000000001</c:v>
                      </c:pt>
                      <c:pt idx="14">
                        <c:v>0.19997000000000001</c:v>
                      </c:pt>
                      <c:pt idx="15">
                        <c:v>0.19996</c:v>
                      </c:pt>
                      <c:pt idx="16">
                        <c:v>0.19994999999999999</c:v>
                      </c:pt>
                      <c:pt idx="17">
                        <c:v>0.19994000000000001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-18.98</c:v>
                      </c:pt>
                      <c:pt idx="5">
                        <c:v>-19.02</c:v>
                      </c:pt>
                      <c:pt idx="6">
                        <c:v>-19.059999999999999</c:v>
                      </c:pt>
                      <c:pt idx="7">
                        <c:v>-19.100000000000001</c:v>
                      </c:pt>
                      <c:pt idx="8">
                        <c:v>-19.14</c:v>
                      </c:pt>
                      <c:pt idx="9">
                        <c:v>-19.34</c:v>
                      </c:pt>
                      <c:pt idx="10">
                        <c:v>-19.54</c:v>
                      </c:pt>
                      <c:pt idx="11">
                        <c:v>-19.71</c:v>
                      </c:pt>
                      <c:pt idx="12">
                        <c:v>-19.88</c:v>
                      </c:pt>
                      <c:pt idx="13">
                        <c:v>-20.059999999999999</c:v>
                      </c:pt>
                      <c:pt idx="14">
                        <c:v>-20.100000000000001</c:v>
                      </c:pt>
                      <c:pt idx="15">
                        <c:v>-20.149999999999999</c:v>
                      </c:pt>
                      <c:pt idx="16">
                        <c:v>-20.2</c:v>
                      </c:pt>
                      <c:pt idx="17">
                        <c:v>-20.25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-6.28</c:v>
                      </c:pt>
                      <c:pt idx="1">
                        <c:v>-6.7720000000000002</c:v>
                      </c:pt>
                      <c:pt idx="2">
                        <c:v>-7.2119999999999997</c:v>
                      </c:pt>
                      <c:pt idx="3">
                        <c:v>-7.6059999999999999</c:v>
                      </c:pt>
                      <c:pt idx="4">
                        <c:v>-7.9720000000000004</c:v>
                      </c:pt>
                      <c:pt idx="5">
                        <c:v>-8.0649999999999995</c:v>
                      </c:pt>
                      <c:pt idx="6">
                        <c:v>-8.16</c:v>
                      </c:pt>
                      <c:pt idx="7">
                        <c:v>-8.2590000000000003</c:v>
                      </c:pt>
                      <c:pt idx="8">
                        <c:v>-8.3640000000000008</c:v>
                      </c:pt>
                      <c:pt idx="9">
                        <c:v>-8.8610000000000007</c:v>
                      </c:pt>
                      <c:pt idx="10">
                        <c:v>-9.4550000000000001</c:v>
                      </c:pt>
                      <c:pt idx="11">
                        <c:v>-10.050000000000001</c:v>
                      </c:pt>
                      <c:pt idx="12">
                        <c:v>-10.6</c:v>
                      </c:pt>
                      <c:pt idx="13">
                        <c:v>-11.08</c:v>
                      </c:pt>
                      <c:pt idx="14">
                        <c:v>-11.19</c:v>
                      </c:pt>
                      <c:pt idx="15">
                        <c:v>-11.29</c:v>
                      </c:pt>
                      <c:pt idx="16">
                        <c:v>-11.39</c:v>
                      </c:pt>
                      <c:pt idx="17">
                        <c:v>-11.48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-29.32</c:v>
                      </c:pt>
                      <c:pt idx="1">
                        <c:v>-24.74</c:v>
                      </c:pt>
                      <c:pt idx="2">
                        <c:v>-21.74</c:v>
                      </c:pt>
                      <c:pt idx="3">
                        <c:v>-19.649999999999999</c:v>
                      </c:pt>
                      <c:pt idx="4">
                        <c:v>-18.13</c:v>
                      </c:pt>
                      <c:pt idx="5">
                        <c:v>-17.82</c:v>
                      </c:pt>
                      <c:pt idx="6">
                        <c:v>-17.52</c:v>
                      </c:pt>
                      <c:pt idx="7">
                        <c:v>-17.239999999999998</c:v>
                      </c:pt>
                      <c:pt idx="8">
                        <c:v>-16.97</c:v>
                      </c:pt>
                      <c:pt idx="9">
                        <c:v>-16.05</c:v>
                      </c:pt>
                      <c:pt idx="10">
                        <c:v>-15.31</c:v>
                      </c:pt>
                      <c:pt idx="11">
                        <c:v>-14.71</c:v>
                      </c:pt>
                      <c:pt idx="12">
                        <c:v>-14.2</c:v>
                      </c:pt>
                      <c:pt idx="13">
                        <c:v>-13.7</c:v>
                      </c:pt>
                      <c:pt idx="14">
                        <c:v>-13.57</c:v>
                      </c:pt>
                      <c:pt idx="15">
                        <c:v>-13.44</c:v>
                      </c:pt>
                      <c:pt idx="16">
                        <c:v>-13.3</c:v>
                      </c:pt>
                      <c:pt idx="17">
                        <c:v>-13.16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-4.9509999999999996</c:v>
                      </c:pt>
                      <c:pt idx="1">
                        <c:v>-5.3029999999999999</c:v>
                      </c:pt>
                      <c:pt idx="2">
                        <c:v>-5.6920000000000002</c:v>
                      </c:pt>
                      <c:pt idx="3">
                        <c:v>-6.0750000000000002</c:v>
                      </c:pt>
                      <c:pt idx="4">
                        <c:v>-6.4379999999999997</c:v>
                      </c:pt>
                      <c:pt idx="5">
                        <c:v>-6.5250000000000004</c:v>
                      </c:pt>
                      <c:pt idx="6">
                        <c:v>-6.61</c:v>
                      </c:pt>
                      <c:pt idx="7">
                        <c:v>-6.6920000000000002</c:v>
                      </c:pt>
                      <c:pt idx="8">
                        <c:v>-6.7720000000000002</c:v>
                      </c:pt>
                      <c:pt idx="9">
                        <c:v>-7.0709999999999997</c:v>
                      </c:pt>
                      <c:pt idx="10">
                        <c:v>-7.3460000000000001</c:v>
                      </c:pt>
                      <c:pt idx="11">
                        <c:v>-7.6130000000000004</c:v>
                      </c:pt>
                      <c:pt idx="12">
                        <c:v>-7.8860000000000001</c:v>
                      </c:pt>
                      <c:pt idx="13">
                        <c:v>-8.1869999999999994</c:v>
                      </c:pt>
                      <c:pt idx="14">
                        <c:v>-8.27</c:v>
                      </c:pt>
                      <c:pt idx="15">
                        <c:v>-8.3569999999999993</c:v>
                      </c:pt>
                      <c:pt idx="16">
                        <c:v>-8.4489999999999998</c:v>
                      </c:pt>
                      <c:pt idx="17">
                        <c:v>-8.5459999999999994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FLUID!$F$14:$BR$14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0.11999</c:v>
                </c:pt>
                <c:pt idx="3">
                  <c:v>0.11971999999999999</c:v>
                </c:pt>
                <c:pt idx="4">
                  <c:v>0.11728</c:v>
                </c:pt>
                <c:pt idx="5">
                  <c:v>0.11566</c:v>
                </c:pt>
                <c:pt idx="6">
                  <c:v>0.11333</c:v>
                </c:pt>
                <c:pt idx="7">
                  <c:v>0.11012</c:v>
                </c:pt>
                <c:pt idx="8">
                  <c:v>0.10593</c:v>
                </c:pt>
                <c:pt idx="9">
                  <c:v>8.0435999999999994E-2</c:v>
                </c:pt>
                <c:pt idx="10">
                  <c:v>5.3557E-2</c:v>
                </c:pt>
                <c:pt idx="11">
                  <c:v>3.5464000000000002E-2</c:v>
                </c:pt>
                <c:pt idx="12">
                  <c:v>2.4344000000000001E-2</c:v>
                </c:pt>
                <c:pt idx="13">
                  <c:v>1.7152000000000001E-2</c:v>
                </c:pt>
                <c:pt idx="14">
                  <c:v>1.5758000000000001E-2</c:v>
                </c:pt>
                <c:pt idx="15">
                  <c:v>1.4499E-2</c:v>
                </c:pt>
                <c:pt idx="16">
                  <c:v>1.3365999999999999E-2</c:v>
                </c:pt>
                <c:pt idx="17">
                  <c:v>1.2354E-2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2.1116000000000001E-17</c:v>
                </c:pt>
                <c:pt idx="1">
                  <c:v>4.4100000000000003E-14</c:v>
                </c:pt>
                <c:pt idx="2">
                  <c:v>7.7169000000000008E-12</c:v>
                </c:pt>
                <c:pt idx="3">
                  <c:v>3.1881999999999999E-10</c:v>
                </c:pt>
                <c:pt idx="4">
                  <c:v>5.2700999999999998E-9</c:v>
                </c:pt>
                <c:pt idx="5">
                  <c:v>9.5619999999999999E-9</c:v>
                </c:pt>
                <c:pt idx="6">
                  <c:v>1.6749E-8</c:v>
                </c:pt>
                <c:pt idx="7">
                  <c:v>2.8401000000000001E-8</c:v>
                </c:pt>
                <c:pt idx="8">
                  <c:v>4.6738999999999999E-8</c:v>
                </c:pt>
                <c:pt idx="9">
                  <c:v>2.6523E-7</c:v>
                </c:pt>
                <c:pt idx="10">
                  <c:v>1.0922999999999999E-6</c:v>
                </c:pt>
                <c:pt idx="11">
                  <c:v>3.5822000000000002E-6</c:v>
                </c:pt>
                <c:pt idx="12">
                  <c:v>9.9946999999999994E-6</c:v>
                </c:pt>
                <c:pt idx="13">
                  <c:v>2.5179000000000001E-5</c:v>
                </c:pt>
                <c:pt idx="14">
                  <c:v>3.1439000000000002E-5</c:v>
                </c:pt>
                <c:pt idx="15">
                  <c:v>3.9180000000000001E-5</c:v>
                </c:pt>
                <c:pt idx="16">
                  <c:v>4.8766E-5</c:v>
                </c:pt>
                <c:pt idx="17">
                  <c:v>6.0649000000000002E-5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0.28000000000000003</c:v>
                </c:pt>
                <c:pt idx="1">
                  <c:v>0.28000000000000003</c:v>
                </c:pt>
                <c:pt idx="2">
                  <c:v>0.27999000000000002</c:v>
                </c:pt>
                <c:pt idx="3">
                  <c:v>0.27986</c:v>
                </c:pt>
                <c:pt idx="4">
                  <c:v>0.27864</c:v>
                </c:pt>
                <c:pt idx="5">
                  <c:v>0.27783000000000002</c:v>
                </c:pt>
                <c:pt idx="6">
                  <c:v>0.27666000000000002</c:v>
                </c:pt>
                <c:pt idx="7">
                  <c:v>0.27505000000000002</c:v>
                </c:pt>
                <c:pt idx="8">
                  <c:v>0.27295000000000003</c:v>
                </c:pt>
                <c:pt idx="9">
                  <c:v>0.26008999999999999</c:v>
                </c:pt>
                <c:pt idx="10">
                  <c:v>0.24589</c:v>
                </c:pt>
                <c:pt idx="11">
                  <c:v>0.23355000000000001</c:v>
                </c:pt>
                <c:pt idx="12">
                  <c:v>0.21748999999999999</c:v>
                </c:pt>
                <c:pt idx="13">
                  <c:v>0.18959999999999999</c:v>
                </c:pt>
                <c:pt idx="14">
                  <c:v>0.18028</c:v>
                </c:pt>
                <c:pt idx="15">
                  <c:v>0.17014000000000001</c:v>
                </c:pt>
                <c:pt idx="16">
                  <c:v>0.15939</c:v>
                </c:pt>
                <c:pt idx="17">
                  <c:v>0.14826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0.19999</c:v>
                </c:pt>
                <c:pt idx="13">
                  <c:v>0.19997000000000001</c:v>
                </c:pt>
                <c:pt idx="14">
                  <c:v>0.19997000000000001</c:v>
                </c:pt>
                <c:pt idx="15">
                  <c:v>0.19996</c:v>
                </c:pt>
                <c:pt idx="16">
                  <c:v>0.19994999999999999</c:v>
                </c:pt>
                <c:pt idx="17">
                  <c:v>0.19994000000000001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1.2831999999999999E-25</c:v>
                      </c:pt>
                      <c:pt idx="1">
                        <c:v>1.9425E-19</c:v>
                      </c:pt>
                      <c:pt idx="2">
                        <c:v>2.2298999999999998E-15</c:v>
                      </c:pt>
                      <c:pt idx="3">
                        <c:v>1.5929E-12</c:v>
                      </c:pt>
                      <c:pt idx="4">
                        <c:v>2.0498E-10</c:v>
                      </c:pt>
                      <c:pt idx="5">
                        <c:v>5.7095999999999996E-10</c:v>
                      </c:pt>
                      <c:pt idx="6">
                        <c:v>1.4969999999999999E-9</c:v>
                      </c:pt>
                      <c:pt idx="7">
                        <c:v>3.7180000000000002E-9</c:v>
                      </c:pt>
                      <c:pt idx="8">
                        <c:v>8.7965000000000004E-9</c:v>
                      </c:pt>
                      <c:pt idx="9">
                        <c:v>1.8316999999999999E-7</c:v>
                      </c:pt>
                      <c:pt idx="10">
                        <c:v>2.1741999999999999E-6</c:v>
                      </c:pt>
                      <c:pt idx="11">
                        <c:v>1.6022E-5</c:v>
                      </c:pt>
                      <c:pt idx="12">
                        <c:v>7.9373000000000001E-5</c:v>
                      </c:pt>
                      <c:pt idx="13">
                        <c:v>2.7228000000000002E-4</c:v>
                      </c:pt>
                      <c:pt idx="14">
                        <c:v>3.4900000000000003E-4</c:v>
                      </c:pt>
                      <c:pt idx="15">
                        <c:v>4.3608999999999998E-4</c:v>
                      </c:pt>
                      <c:pt idx="16">
                        <c:v>5.3089999999999995E-4</c:v>
                      </c:pt>
                      <c:pt idx="17">
                        <c:v>6.2951999999999995E-4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1.0488E-23</c:v>
                      </c:pt>
                      <c:pt idx="1">
                        <c:v>3.9577999999999998E-18</c:v>
                      </c:pt>
                      <c:pt idx="2">
                        <c:v>1.6717000000000001E-14</c:v>
                      </c:pt>
                      <c:pt idx="3">
                        <c:v>5.5917000000000001E-12</c:v>
                      </c:pt>
                      <c:pt idx="4">
                        <c:v>3.9631999999999998E-10</c:v>
                      </c:pt>
                      <c:pt idx="5">
                        <c:v>9.7003000000000001E-10</c:v>
                      </c:pt>
                      <c:pt idx="6">
                        <c:v>2.2504E-9</c:v>
                      </c:pt>
                      <c:pt idx="7">
                        <c:v>4.9784999999999997E-9</c:v>
                      </c:pt>
                      <c:pt idx="8">
                        <c:v>1.0557999999999999E-8</c:v>
                      </c:pt>
                      <c:pt idx="9">
                        <c:v>1.4999999999999999E-7</c:v>
                      </c:pt>
                      <c:pt idx="10">
                        <c:v>1.2964E-6</c:v>
                      </c:pt>
                      <c:pt idx="11">
                        <c:v>7.2142000000000003E-6</c:v>
                      </c:pt>
                      <c:pt idx="12">
                        <c:v>2.7393E-5</c:v>
                      </c:pt>
                      <c:pt idx="13">
                        <c:v>7.1099999999999994E-5</c:v>
                      </c:pt>
                      <c:pt idx="14">
                        <c:v>8.4475999999999996E-5</c:v>
                      </c:pt>
                      <c:pt idx="15">
                        <c:v>9.7503999999999993E-5</c:v>
                      </c:pt>
                      <c:pt idx="16">
                        <c:v>1.0922E-4</c:v>
                      </c:pt>
                      <c:pt idx="17">
                        <c:v>1.1868E-4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2.3519999999999999E-20</c:v>
                      </c:pt>
                      <c:pt idx="1">
                        <c:v>2.9041E-15</c:v>
                      </c:pt>
                      <c:pt idx="2">
                        <c:v>5.4777999999999999E-12</c:v>
                      </c:pt>
                      <c:pt idx="3">
                        <c:v>9.9176999999999998E-10</c:v>
                      </c:pt>
                      <c:pt idx="4">
                        <c:v>4.3318999999999999E-8</c:v>
                      </c:pt>
                      <c:pt idx="5">
                        <c:v>9.5450999999999999E-8</c:v>
                      </c:pt>
                      <c:pt idx="6">
                        <c:v>2.0048999999999999E-7</c:v>
                      </c:pt>
                      <c:pt idx="7">
                        <c:v>4.0376000000000001E-7</c:v>
                      </c:pt>
                      <c:pt idx="8">
                        <c:v>7.8352000000000002E-7</c:v>
                      </c:pt>
                      <c:pt idx="9">
                        <c:v>8.1723999999999999E-6</c:v>
                      </c:pt>
                      <c:pt idx="10">
                        <c:v>5.4653E-5</c:v>
                      </c:pt>
                      <c:pt idx="11">
                        <c:v>2.4179E-4</c:v>
                      </c:pt>
                      <c:pt idx="12">
                        <c:v>7.3530999999999998E-4</c:v>
                      </c:pt>
                      <c:pt idx="13">
                        <c:v>1.5001000000000001E-3</c:v>
                      </c:pt>
                      <c:pt idx="14">
                        <c:v>1.6666000000000001E-3</c:v>
                      </c:pt>
                      <c:pt idx="15">
                        <c:v>1.792E-3</c:v>
                      </c:pt>
                      <c:pt idx="16">
                        <c:v>1.8621E-3</c:v>
                      </c:pt>
                      <c:pt idx="17">
                        <c:v>1.869E-3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7.0142999999999997E-18</c:v>
                      </c:pt>
                      <c:pt idx="1">
                        <c:v>1.2472999999999999E-13</c:v>
                      </c:pt>
                      <c:pt idx="2">
                        <c:v>6.0163000000000002E-11</c:v>
                      </c:pt>
                      <c:pt idx="3">
                        <c:v>3.9376999999999998E-9</c:v>
                      </c:pt>
                      <c:pt idx="4">
                        <c:v>7.8069999999999997E-8</c:v>
                      </c:pt>
                      <c:pt idx="5">
                        <c:v>1.451E-7</c:v>
                      </c:pt>
                      <c:pt idx="6">
                        <c:v>2.5949E-7</c:v>
                      </c:pt>
                      <c:pt idx="7">
                        <c:v>4.4887999999999998E-7</c:v>
                      </c:pt>
                      <c:pt idx="8">
                        <c:v>7.5448999999999998E-7</c:v>
                      </c:pt>
                      <c:pt idx="9">
                        <c:v>4.7639000000000002E-6</c:v>
                      </c:pt>
                      <c:pt idx="10">
                        <c:v>2.1036999999999999E-5</c:v>
                      </c:pt>
                      <c:pt idx="11">
                        <c:v>6.4795999999999994E-5</c:v>
                      </c:pt>
                      <c:pt idx="12">
                        <c:v>1.4101000000000001E-4</c:v>
                      </c:pt>
                      <c:pt idx="13">
                        <c:v>2.0523000000000001E-4</c:v>
                      </c:pt>
                      <c:pt idx="14">
                        <c:v>2.0854000000000001E-4</c:v>
                      </c:pt>
                      <c:pt idx="15">
                        <c:v>2.0446E-4</c:v>
                      </c:pt>
                      <c:pt idx="16">
                        <c:v>1.9307999999999999E-4</c:v>
                      </c:pt>
                      <c:pt idx="17">
                        <c:v>1.7545000000000001E-4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4.6750000000000002E-19</c:v>
                      </c:pt>
                      <c:pt idx="1">
                        <c:v>1.4544E-14</c:v>
                      </c:pt>
                      <c:pt idx="2">
                        <c:v>9.6277999999999998E-12</c:v>
                      </c:pt>
                      <c:pt idx="3">
                        <c:v>7.6236000000000004E-10</c:v>
                      </c:pt>
                      <c:pt idx="4">
                        <c:v>1.7047E-8</c:v>
                      </c:pt>
                      <c:pt idx="5">
                        <c:v>3.2428999999999999E-8</c:v>
                      </c:pt>
                      <c:pt idx="6">
                        <c:v>5.9252E-8</c:v>
                      </c:pt>
                      <c:pt idx="7">
                        <c:v>1.0457E-7</c:v>
                      </c:pt>
                      <c:pt idx="8">
                        <c:v>1.7912000000000001E-7</c:v>
                      </c:pt>
                      <c:pt idx="9">
                        <c:v>1.2105000000000001E-6</c:v>
                      </c:pt>
                      <c:pt idx="10">
                        <c:v>5.6323999999999996E-6</c:v>
                      </c:pt>
                      <c:pt idx="11">
                        <c:v>1.7842E-5</c:v>
                      </c:pt>
                      <c:pt idx="12">
                        <c:v>3.8671999999999998E-5</c:v>
                      </c:pt>
                      <c:pt idx="13">
                        <c:v>5.3331999999999997E-5</c:v>
                      </c:pt>
                      <c:pt idx="14">
                        <c:v>5.2883999999999997E-5</c:v>
                      </c:pt>
                      <c:pt idx="15">
                        <c:v>5.0330000000000001E-5</c:v>
                      </c:pt>
                      <c:pt idx="16">
                        <c:v>4.5880000000000001E-5</c:v>
                      </c:pt>
                      <c:pt idx="17">
                        <c:v>4.002E-5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6.5274000000000001E-21</c:v>
                      </c:pt>
                      <c:pt idx="1">
                        <c:v>3.1763E-16</c:v>
                      </c:pt>
                      <c:pt idx="2">
                        <c:v>2.6788999999999998E-13</c:v>
                      </c:pt>
                      <c:pt idx="3">
                        <c:v>2.4334E-11</c:v>
                      </c:pt>
                      <c:pt idx="4">
                        <c:v>5.8974999999999995E-10</c:v>
                      </c:pt>
                      <c:pt idx="5">
                        <c:v>1.1386E-9</c:v>
                      </c:pt>
                      <c:pt idx="6">
                        <c:v>2.1087E-9</c:v>
                      </c:pt>
                      <c:pt idx="7">
                        <c:v>3.7684000000000003E-9</c:v>
                      </c:pt>
                      <c:pt idx="8">
                        <c:v>6.5316000000000001E-9</c:v>
                      </c:pt>
                      <c:pt idx="9">
                        <c:v>4.6090999999999999E-8</c:v>
                      </c:pt>
                      <c:pt idx="10">
                        <c:v>2.2144E-7</c:v>
                      </c:pt>
                      <c:pt idx="11">
                        <c:v>7.0938000000000002E-7</c:v>
                      </c:pt>
                      <c:pt idx="12">
                        <c:v>1.5096999999999999E-6</c:v>
                      </c:pt>
                      <c:pt idx="13">
                        <c:v>1.9487999999999999E-6</c:v>
                      </c:pt>
                      <c:pt idx="14">
                        <c:v>1.8805E-6</c:v>
                      </c:pt>
                      <c:pt idx="15">
                        <c:v>1.7325999999999999E-6</c:v>
                      </c:pt>
                      <c:pt idx="16">
                        <c:v>1.5206999999999999E-6</c:v>
                      </c:pt>
                      <c:pt idx="17">
                        <c:v>1.2700999999999999E-6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2.2998000000000001E-20</c:v>
                      </c:pt>
                      <c:pt idx="1">
                        <c:v>2.7161000000000001E-15</c:v>
                      </c:pt>
                      <c:pt idx="2">
                        <c:v>6.1727000000000001E-12</c:v>
                      </c:pt>
                      <c:pt idx="3">
                        <c:v>1.4644E-9</c:v>
                      </c:pt>
                      <c:pt idx="4">
                        <c:v>8.5529999999999999E-8</c:v>
                      </c:pt>
                      <c:pt idx="5">
                        <c:v>2.0232E-7</c:v>
                      </c:pt>
                      <c:pt idx="6">
                        <c:v>4.5535000000000001E-7</c:v>
                      </c:pt>
                      <c:pt idx="7">
                        <c:v>9.8015000000000005E-7</c:v>
                      </c:pt>
                      <c:pt idx="8">
                        <c:v>2.0269999999999998E-6</c:v>
                      </c:pt>
                      <c:pt idx="9">
                        <c:v>2.6438E-5</c:v>
                      </c:pt>
                      <c:pt idx="10">
                        <c:v>2.1613000000000001E-4</c:v>
                      </c:pt>
                      <c:pt idx="11">
                        <c:v>1.1918E-3</c:v>
                      </c:pt>
                      <c:pt idx="12">
                        <c:v>4.7704999999999996E-3</c:v>
                      </c:pt>
                      <c:pt idx="13">
                        <c:v>1.439E-2</c:v>
                      </c:pt>
                      <c:pt idx="14">
                        <c:v>1.814E-2</c:v>
                      </c:pt>
                      <c:pt idx="15">
                        <c:v>2.2447999999999999E-2</c:v>
                      </c:pt>
                      <c:pt idx="16">
                        <c:v>2.7255000000000001E-2</c:v>
                      </c:pt>
                      <c:pt idx="17">
                        <c:v>3.2462999999999999E-2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4.4399E-31</c:v>
                      </c:pt>
                      <c:pt idx="2">
                        <c:v>3.0258999999999999E-25</c:v>
                      </c:pt>
                      <c:pt idx="3">
                        <c:v>4.5625999999999999E-21</c:v>
                      </c:pt>
                      <c:pt idx="4">
                        <c:v>6.3055999999999998E-18</c:v>
                      </c:pt>
                      <c:pt idx="5">
                        <c:v>2.9350999999999997E-17</c:v>
                      </c:pt>
                      <c:pt idx="6">
                        <c:v>1.2512E-16</c:v>
                      </c:pt>
                      <c:pt idx="7">
                        <c:v>4.9255999999999996E-16</c:v>
                      </c:pt>
                      <c:pt idx="8">
                        <c:v>1.8034000000000001E-15</c:v>
                      </c:pt>
                      <c:pt idx="9">
                        <c:v>1.7494000000000001E-13</c:v>
                      </c:pt>
                      <c:pt idx="10">
                        <c:v>7.5006000000000006E-12</c:v>
                      </c:pt>
                      <c:pt idx="11">
                        <c:v>1.6884000000000001E-10</c:v>
                      </c:pt>
                      <c:pt idx="12">
                        <c:v>2.3039999999999999E-9</c:v>
                      </c:pt>
                      <c:pt idx="13">
                        <c:v>2.1068E-8</c:v>
                      </c:pt>
                      <c:pt idx="14">
                        <c:v>3.4657999999999998E-8</c:v>
                      </c:pt>
                      <c:pt idx="15">
                        <c:v>5.5816000000000002E-8</c:v>
                      </c:pt>
                      <c:pt idx="16">
                        <c:v>8.8024999999999996E-8</c:v>
                      </c:pt>
                      <c:pt idx="17">
                        <c:v>1.3596999999999999E-7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6.1817999999999995E-11</c:v>
                      </c:pt>
                      <c:pt idx="1">
                        <c:v>6.3934999999999996E-8</c:v>
                      </c:pt>
                      <c:pt idx="2">
                        <c:v>5.8937E-6</c:v>
                      </c:pt>
                      <c:pt idx="3">
                        <c:v>1.3797000000000001E-4</c:v>
                      </c:pt>
                      <c:pt idx="4">
                        <c:v>1.3603000000000001E-3</c:v>
                      </c:pt>
                      <c:pt idx="5">
                        <c:v>2.1714999999999998E-3</c:v>
                      </c:pt>
                      <c:pt idx="6">
                        <c:v>3.3368E-3</c:v>
                      </c:pt>
                      <c:pt idx="7">
                        <c:v>4.9376000000000003E-3</c:v>
                      </c:pt>
                      <c:pt idx="8">
                        <c:v>7.0346999999999996E-3</c:v>
                      </c:pt>
                      <c:pt idx="9">
                        <c:v>1.9782000000000001E-2</c:v>
                      </c:pt>
                      <c:pt idx="10">
                        <c:v>3.3222000000000002E-2</c:v>
                      </c:pt>
                      <c:pt idx="11">
                        <c:v>4.2268E-2</c:v>
                      </c:pt>
                      <c:pt idx="12">
                        <c:v>4.7828000000000002E-2</c:v>
                      </c:pt>
                      <c:pt idx="13">
                        <c:v>5.1423999999999997E-2</c:v>
                      </c:pt>
                      <c:pt idx="14">
                        <c:v>5.2121000000000001E-2</c:v>
                      </c:pt>
                      <c:pt idx="15">
                        <c:v>5.2750999999999999E-2</c:v>
                      </c:pt>
                      <c:pt idx="16">
                        <c:v>5.3317000000000003E-2</c:v>
                      </c:pt>
                      <c:pt idx="17">
                        <c:v>5.3823000000000003E-2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-18.98</c:v>
                      </c:pt>
                      <c:pt idx="5">
                        <c:v>-19.02</c:v>
                      </c:pt>
                      <c:pt idx="6">
                        <c:v>-19.059999999999999</c:v>
                      </c:pt>
                      <c:pt idx="7">
                        <c:v>-19.100000000000001</c:v>
                      </c:pt>
                      <c:pt idx="8">
                        <c:v>-19.14</c:v>
                      </c:pt>
                      <c:pt idx="9">
                        <c:v>-19.34</c:v>
                      </c:pt>
                      <c:pt idx="10">
                        <c:v>-19.54</c:v>
                      </c:pt>
                      <c:pt idx="11">
                        <c:v>-19.71</c:v>
                      </c:pt>
                      <c:pt idx="12">
                        <c:v>-19.88</c:v>
                      </c:pt>
                      <c:pt idx="13">
                        <c:v>-20.059999999999999</c:v>
                      </c:pt>
                      <c:pt idx="14">
                        <c:v>-20.100000000000001</c:v>
                      </c:pt>
                      <c:pt idx="15">
                        <c:v>-20.149999999999999</c:v>
                      </c:pt>
                      <c:pt idx="16">
                        <c:v>-20.2</c:v>
                      </c:pt>
                      <c:pt idx="17">
                        <c:v>-20.25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-6.28</c:v>
                      </c:pt>
                      <c:pt idx="1">
                        <c:v>-6.7720000000000002</c:v>
                      </c:pt>
                      <c:pt idx="2">
                        <c:v>-7.2119999999999997</c:v>
                      </c:pt>
                      <c:pt idx="3">
                        <c:v>-7.6059999999999999</c:v>
                      </c:pt>
                      <c:pt idx="4">
                        <c:v>-7.9720000000000004</c:v>
                      </c:pt>
                      <c:pt idx="5">
                        <c:v>-8.0649999999999995</c:v>
                      </c:pt>
                      <c:pt idx="6">
                        <c:v>-8.16</c:v>
                      </c:pt>
                      <c:pt idx="7">
                        <c:v>-8.2590000000000003</c:v>
                      </c:pt>
                      <c:pt idx="8">
                        <c:v>-8.3640000000000008</c:v>
                      </c:pt>
                      <c:pt idx="9">
                        <c:v>-8.8610000000000007</c:v>
                      </c:pt>
                      <c:pt idx="10">
                        <c:v>-9.4550000000000001</c:v>
                      </c:pt>
                      <c:pt idx="11">
                        <c:v>-10.050000000000001</c:v>
                      </c:pt>
                      <c:pt idx="12">
                        <c:v>-10.6</c:v>
                      </c:pt>
                      <c:pt idx="13">
                        <c:v>-11.08</c:v>
                      </c:pt>
                      <c:pt idx="14">
                        <c:v>-11.19</c:v>
                      </c:pt>
                      <c:pt idx="15">
                        <c:v>-11.29</c:v>
                      </c:pt>
                      <c:pt idx="16">
                        <c:v>-11.39</c:v>
                      </c:pt>
                      <c:pt idx="17">
                        <c:v>-11.48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-29.32</c:v>
                      </c:pt>
                      <c:pt idx="1">
                        <c:v>-24.74</c:v>
                      </c:pt>
                      <c:pt idx="2">
                        <c:v>-21.74</c:v>
                      </c:pt>
                      <c:pt idx="3">
                        <c:v>-19.649999999999999</c:v>
                      </c:pt>
                      <c:pt idx="4">
                        <c:v>-18.13</c:v>
                      </c:pt>
                      <c:pt idx="5">
                        <c:v>-17.82</c:v>
                      </c:pt>
                      <c:pt idx="6">
                        <c:v>-17.52</c:v>
                      </c:pt>
                      <c:pt idx="7">
                        <c:v>-17.239999999999998</c:v>
                      </c:pt>
                      <c:pt idx="8">
                        <c:v>-16.97</c:v>
                      </c:pt>
                      <c:pt idx="9">
                        <c:v>-16.05</c:v>
                      </c:pt>
                      <c:pt idx="10">
                        <c:v>-15.31</c:v>
                      </c:pt>
                      <c:pt idx="11">
                        <c:v>-14.71</c:v>
                      </c:pt>
                      <c:pt idx="12">
                        <c:v>-14.2</c:v>
                      </c:pt>
                      <c:pt idx="13">
                        <c:v>-13.7</c:v>
                      </c:pt>
                      <c:pt idx="14">
                        <c:v>-13.57</c:v>
                      </c:pt>
                      <c:pt idx="15">
                        <c:v>-13.44</c:v>
                      </c:pt>
                      <c:pt idx="16">
                        <c:v>-13.3</c:v>
                      </c:pt>
                      <c:pt idx="17">
                        <c:v>-13.16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-4.9509999999999996</c:v>
                      </c:pt>
                      <c:pt idx="1">
                        <c:v>-5.3029999999999999</c:v>
                      </c:pt>
                      <c:pt idx="2">
                        <c:v>-5.6920000000000002</c:v>
                      </c:pt>
                      <c:pt idx="3">
                        <c:v>-6.0750000000000002</c:v>
                      </c:pt>
                      <c:pt idx="4">
                        <c:v>-6.4379999999999997</c:v>
                      </c:pt>
                      <c:pt idx="5">
                        <c:v>-6.5250000000000004</c:v>
                      </c:pt>
                      <c:pt idx="6">
                        <c:v>-6.61</c:v>
                      </c:pt>
                      <c:pt idx="7">
                        <c:v>-6.6920000000000002</c:v>
                      </c:pt>
                      <c:pt idx="8">
                        <c:v>-6.7720000000000002</c:v>
                      </c:pt>
                      <c:pt idx="9">
                        <c:v>-7.0709999999999997</c:v>
                      </c:pt>
                      <c:pt idx="10">
                        <c:v>-7.3460000000000001</c:v>
                      </c:pt>
                      <c:pt idx="11">
                        <c:v>-7.6130000000000004</c:v>
                      </c:pt>
                      <c:pt idx="12">
                        <c:v>-7.8860000000000001</c:v>
                      </c:pt>
                      <c:pt idx="13">
                        <c:v>-8.1869999999999994</c:v>
                      </c:pt>
                      <c:pt idx="14">
                        <c:v>-8.27</c:v>
                      </c:pt>
                      <c:pt idx="15">
                        <c:v>-8.3569999999999993</c:v>
                      </c:pt>
                      <c:pt idx="16">
                        <c:v>-8.4489999999999998</c:v>
                      </c:pt>
                      <c:pt idx="17">
                        <c:v>-8.5459999999999994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7.5293999999999996E-7</c:v>
                </c:pt>
                <c:pt idx="5">
                  <c:v>0.1</c:v>
                </c:pt>
                <c:pt idx="6">
                  <c:v>4.6837999999999999E-6</c:v>
                </c:pt>
                <c:pt idx="7">
                  <c:v>1.2526E-9</c:v>
                </c:pt>
                <c:pt idx="8">
                  <c:v>1.8983999999999999E-10</c:v>
                </c:pt>
                <c:pt idx="9">
                  <c:v>8.6451999999999994E-36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2.4738999999999998E-15</c:v>
                </c:pt>
                <c:pt idx="1">
                  <c:v>7.9334000000000001E-12</c:v>
                </c:pt>
                <c:pt idx="2">
                  <c:v>2.6738999999999999E-10</c:v>
                </c:pt>
                <c:pt idx="3">
                  <c:v>2.4725999999999999E-8</c:v>
                </c:pt>
                <c:pt idx="4">
                  <c:v>9.9999000000000005E-2</c:v>
                </c:pt>
                <c:pt idx="5">
                  <c:v>3.5023000000000002E-8</c:v>
                </c:pt>
                <c:pt idx="6">
                  <c:v>9.9995000000000001E-2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0.17163</c:v>
                </c:pt>
                <c:pt idx="14">
                  <c:v>0.24929999999999999</c:v>
                </c:pt>
                <c:pt idx="15">
                  <c:v>0.27585999999999999</c:v>
                </c:pt>
                <c:pt idx="16">
                  <c:v>0.28748000000000001</c:v>
                </c:pt>
                <c:pt idx="17">
                  <c:v>0.35316999999999998</c:v>
                </c:pt>
                <c:pt idx="18">
                  <c:v>0.35614000000000001</c:v>
                </c:pt>
                <c:pt idx="19">
                  <c:v>0.35776000000000002</c:v>
                </c:pt>
                <c:pt idx="20">
                  <c:v>0.35866999999999999</c:v>
                </c:pt>
                <c:pt idx="21">
                  <c:v>0.35919000000000001</c:v>
                </c:pt>
                <c:pt idx="22">
                  <c:v>0.35987000000000002</c:v>
                </c:pt>
                <c:pt idx="23">
                  <c:v>0.35991000000000001</c:v>
                </c:pt>
                <c:pt idx="24">
                  <c:v>0.35993999999999998</c:v>
                </c:pt>
                <c:pt idx="25">
                  <c:v>0.35996</c:v>
                </c:pt>
                <c:pt idx="26">
                  <c:v>0.35997000000000001</c:v>
                </c:pt>
                <c:pt idx="27">
                  <c:v>0.47395999999999999</c:v>
                </c:pt>
                <c:pt idx="28">
                  <c:v>0.47998000000000002</c:v>
                </c:pt>
                <c:pt idx="29">
                  <c:v>0.47999000000000003</c:v>
                </c:pt>
                <c:pt idx="30">
                  <c:v>0.47999000000000003</c:v>
                </c:pt>
                <c:pt idx="31">
                  <c:v>0.48</c:v>
                </c:pt>
                <c:pt idx="32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2.2528E-13</c:v>
                </c:pt>
                <c:pt idx="10">
                  <c:v>5.8150000000000001E-11</c:v>
                </c:pt>
                <c:pt idx="11">
                  <c:v>1.4037E-9</c:v>
                </c:pt>
                <c:pt idx="12">
                  <c:v>3.4671E-8</c:v>
                </c:pt>
                <c:pt idx="13">
                  <c:v>7.1625999999999995E-2</c:v>
                </c:pt>
                <c:pt idx="14">
                  <c:v>0.14929999999999999</c:v>
                </c:pt>
                <c:pt idx="15">
                  <c:v>0.17585999999999999</c:v>
                </c:pt>
                <c:pt idx="16">
                  <c:v>0.18748000000000001</c:v>
                </c:pt>
                <c:pt idx="17">
                  <c:v>0.19317000000000001</c:v>
                </c:pt>
                <c:pt idx="18">
                  <c:v>0.19614000000000001</c:v>
                </c:pt>
                <c:pt idx="19">
                  <c:v>0.19775999999999999</c:v>
                </c:pt>
                <c:pt idx="20">
                  <c:v>0.19867000000000001</c:v>
                </c:pt>
                <c:pt idx="21">
                  <c:v>0.19919000000000001</c:v>
                </c:pt>
                <c:pt idx="22">
                  <c:v>0.19986999999999999</c:v>
                </c:pt>
                <c:pt idx="23">
                  <c:v>0.19991</c:v>
                </c:pt>
                <c:pt idx="24">
                  <c:v>0.19994000000000001</c:v>
                </c:pt>
                <c:pt idx="25">
                  <c:v>0.19996</c:v>
                </c:pt>
                <c:pt idx="26">
                  <c:v>0.19997000000000001</c:v>
                </c:pt>
                <c:pt idx="27">
                  <c:v>0.17635999999999999</c:v>
                </c:pt>
                <c:pt idx="28">
                  <c:v>0.17161999999999999</c:v>
                </c:pt>
                <c:pt idx="29">
                  <c:v>0.16772000000000001</c:v>
                </c:pt>
                <c:pt idx="30">
                  <c:v>0.16334000000000001</c:v>
                </c:pt>
                <c:pt idx="31">
                  <c:v>0.13930999999999999</c:v>
                </c:pt>
                <c:pt idx="32">
                  <c:v>9.7836999999999993E-2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1.3082E-7</c:v>
                </c:pt>
                <c:pt idx="18">
                  <c:v>1.0444E-9</c:v>
                </c:pt>
                <c:pt idx="19">
                  <c:v>2.0778999999999999E-10</c:v>
                </c:pt>
                <c:pt idx="20">
                  <c:v>1.6176000000000001E-11</c:v>
                </c:pt>
                <c:pt idx="21">
                  <c:v>2.7929999999999998E-13</c:v>
                </c:pt>
                <c:pt idx="22">
                  <c:v>1.1484E-27</c:v>
                </c:pt>
                <c:pt idx="23">
                  <c:v>6.7723000000000001E-33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4.5526999999999996E-28</c:v>
                </c:pt>
                <c:pt idx="23">
                  <c:v>6.1443E-25</c:v>
                </c:pt>
                <c:pt idx="24">
                  <c:v>2.5233999999999998E-21</c:v>
                </c:pt>
                <c:pt idx="25">
                  <c:v>2.9531999999999999E-19</c:v>
                </c:pt>
                <c:pt idx="26">
                  <c:v>3.1565000000000001E-18</c:v>
                </c:pt>
                <c:pt idx="27">
                  <c:v>9.2837999999999995E-19</c:v>
                </c:pt>
                <c:pt idx="28">
                  <c:v>1.8903999999999998E-8</c:v>
                </c:pt>
                <c:pt idx="29">
                  <c:v>1.7457999999999999E-7</c:v>
                </c:pt>
                <c:pt idx="30">
                  <c:v>1.4719000000000001E-7</c:v>
                </c:pt>
                <c:pt idx="31">
                  <c:v>5.5145000000000002E-8</c:v>
                </c:pt>
                <c:pt idx="32">
                  <c:v>1.03E-8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1.0158E-35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1.1205000000000001E-32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2.7220000000000002E-22</c:v>
                </c:pt>
                <c:pt idx="20">
                  <c:v>7.6786000000000004E-17</c:v>
                </c:pt>
                <c:pt idx="21">
                  <c:v>1.3577999999999999E-14</c:v>
                </c:pt>
                <c:pt idx="22">
                  <c:v>1.0674E-13</c:v>
                </c:pt>
                <c:pt idx="23">
                  <c:v>6.7119999999999996E-14</c:v>
                </c:pt>
                <c:pt idx="24">
                  <c:v>4.7346000000000002E-14</c:v>
                </c:pt>
                <c:pt idx="25">
                  <c:v>9.4001999999999996E-17</c:v>
                </c:pt>
                <c:pt idx="26">
                  <c:v>2.0290000000000001E-26</c:v>
                </c:pt>
                <c:pt idx="27">
                  <c:v>0</c:v>
                </c:pt>
                <c:pt idx="28">
                  <c:v>1.2541E-17</c:v>
                </c:pt>
                <c:pt idx="29">
                  <c:v>1.7599E-12</c:v>
                </c:pt>
                <c:pt idx="30">
                  <c:v>9.8021000000000005E-14</c:v>
                </c:pt>
                <c:pt idx="31">
                  <c:v>9.2581999999999999E-13</c:v>
                </c:pt>
                <c:pt idx="32">
                  <c:v>1.0261E-9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9.4820000000000006E-31</c:v>
                </c:pt>
                <c:pt idx="9">
                  <c:v>1.7169000000000001E-14</c:v>
                </c:pt>
                <c:pt idx="10">
                  <c:v>8.5510000000000006E-14</c:v>
                </c:pt>
                <c:pt idx="11">
                  <c:v>8.4048E-16</c:v>
                </c:pt>
                <c:pt idx="12">
                  <c:v>4.5506999999999999E-26</c:v>
                </c:pt>
                <c:pt idx="13">
                  <c:v>1.2055E-25</c:v>
                </c:pt>
                <c:pt idx="14">
                  <c:v>3.2555000000000002E-9</c:v>
                </c:pt>
                <c:pt idx="15">
                  <c:v>1.6651999999999999E-8</c:v>
                </c:pt>
                <c:pt idx="16">
                  <c:v>1.7648999999999999E-7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0.12</c:v>
                </c:pt>
                <c:pt idx="27">
                  <c:v>6.0197000000000002E-3</c:v>
                </c:pt>
                <c:pt idx="28">
                  <c:v>1.222E-8</c:v>
                </c:pt>
                <c:pt idx="29">
                  <c:v>2.2326999999999999E-11</c:v>
                </c:pt>
                <c:pt idx="30">
                  <c:v>1.7935999999999998E-18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0.2</c:v>
                </c:pt>
                <c:pt idx="5">
                  <c:v>0.1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0.12837000000000001</c:v>
                </c:pt>
                <c:pt idx="14">
                  <c:v>5.0701000000000003E-2</c:v>
                </c:pt>
                <c:pt idx="15">
                  <c:v>2.4145E-2</c:v>
                </c:pt>
                <c:pt idx="16">
                  <c:v>1.2522999999999999E-2</c:v>
                </c:pt>
                <c:pt idx="17">
                  <c:v>6.8328E-3</c:v>
                </c:pt>
                <c:pt idx="18">
                  <c:v>3.8625999999999999E-3</c:v>
                </c:pt>
                <c:pt idx="19">
                  <c:v>2.2447000000000001E-3</c:v>
                </c:pt>
                <c:pt idx="20">
                  <c:v>1.3349E-3</c:v>
                </c:pt>
                <c:pt idx="21">
                  <c:v>8.1010999999999995E-4</c:v>
                </c:pt>
                <c:pt idx="22">
                  <c:v>1.2987E-4</c:v>
                </c:pt>
                <c:pt idx="23">
                  <c:v>8.5175999999999999E-5</c:v>
                </c:pt>
                <c:pt idx="24">
                  <c:v>5.6563E-5</c:v>
                </c:pt>
                <c:pt idx="25">
                  <c:v>3.8003999999999997E-5</c:v>
                </c:pt>
                <c:pt idx="26">
                  <c:v>2.5819000000000001E-5</c:v>
                </c:pt>
                <c:pt idx="27">
                  <c:v>1.7725000000000001E-5</c:v>
                </c:pt>
                <c:pt idx="28">
                  <c:v>1.2286999999999999E-5</c:v>
                </c:pt>
                <c:pt idx="29">
                  <c:v>8.5976000000000005E-6</c:v>
                </c:pt>
                <c:pt idx="30">
                  <c:v>6.0692000000000003E-6</c:v>
                </c:pt>
                <c:pt idx="31">
                  <c:v>1.6315E-6</c:v>
                </c:pt>
                <c:pt idx="32">
                  <c:v>4.8910999999999996E-7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1.3432E-31</c:v>
                </c:pt>
                <c:pt idx="10">
                  <c:v>1.5711999999999999E-29</c:v>
                </c:pt>
                <c:pt idx="11">
                  <c:v>1.3752E-27</c:v>
                </c:pt>
                <c:pt idx="12">
                  <c:v>9.2523999999999999E-26</c:v>
                </c:pt>
                <c:pt idx="13">
                  <c:v>4.0224000000000004E-24</c:v>
                </c:pt>
                <c:pt idx="14">
                  <c:v>1.3078000000000001E-22</c:v>
                </c:pt>
                <c:pt idx="15">
                  <c:v>4.0776E-21</c:v>
                </c:pt>
                <c:pt idx="16">
                  <c:v>1.1226E-19</c:v>
                </c:pt>
                <c:pt idx="17">
                  <c:v>2.2370999999999998E-18</c:v>
                </c:pt>
                <c:pt idx="18">
                  <c:v>2.3373999999999999E-17</c:v>
                </c:pt>
                <c:pt idx="19">
                  <c:v>2.1883E-16</c:v>
                </c:pt>
                <c:pt idx="20">
                  <c:v>1.846E-15</c:v>
                </c:pt>
                <c:pt idx="21">
                  <c:v>1.4121E-14</c:v>
                </c:pt>
                <c:pt idx="22">
                  <c:v>2.0518E-11</c:v>
                </c:pt>
                <c:pt idx="23">
                  <c:v>1.0504000000000001E-10</c:v>
                </c:pt>
                <c:pt idx="24">
                  <c:v>5.0361999999999996E-10</c:v>
                </c:pt>
                <c:pt idx="25">
                  <c:v>2.2708000000000001E-9</c:v>
                </c:pt>
                <c:pt idx="26">
                  <c:v>9.6646000000000007E-9</c:v>
                </c:pt>
                <c:pt idx="27">
                  <c:v>3.7832999999999999E-8</c:v>
                </c:pt>
                <c:pt idx="28">
                  <c:v>3.7532000000000002E-8</c:v>
                </c:pt>
                <c:pt idx="29">
                  <c:v>3.6856999999999997E-8</c:v>
                </c:pt>
                <c:pt idx="30">
                  <c:v>3.5754999999999998E-8</c:v>
                </c:pt>
                <c:pt idx="31">
                  <c:v>2.8010999999999999E-8</c:v>
                </c:pt>
                <c:pt idx="32">
                  <c:v>1.7722999999999999E-8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2.6205E-24</c:v>
                </c:pt>
                <c:pt idx="10">
                  <c:v>4.6451E-24</c:v>
                </c:pt>
                <c:pt idx="11">
                  <c:v>7.3235000000000001E-28</c:v>
                </c:pt>
                <c:pt idx="12">
                  <c:v>0</c:v>
                </c:pt>
                <c:pt idx="13">
                  <c:v>0</c:v>
                </c:pt>
                <c:pt idx="14">
                  <c:v>2.129E-27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2.3314E-36</c:v>
                </c:pt>
                <c:pt idx="19">
                  <c:v>5.4937000000000001E-22</c:v>
                </c:pt>
                <c:pt idx="20">
                  <c:v>1.1051E-16</c:v>
                </c:pt>
                <c:pt idx="21">
                  <c:v>2.1310999999999999E-14</c:v>
                </c:pt>
                <c:pt idx="22">
                  <c:v>3.2337999999999998E-12</c:v>
                </c:pt>
                <c:pt idx="23">
                  <c:v>1.8614E-11</c:v>
                </c:pt>
                <c:pt idx="24">
                  <c:v>4.4847E-10</c:v>
                </c:pt>
                <c:pt idx="25">
                  <c:v>2.6244000000000002E-9</c:v>
                </c:pt>
                <c:pt idx="26">
                  <c:v>1.7035E-8</c:v>
                </c:pt>
                <c:pt idx="27">
                  <c:v>0.11398</c:v>
                </c:pt>
                <c:pt idx="28">
                  <c:v>0.12</c:v>
                </c:pt>
                <c:pt idx="29">
                  <c:v>0.12</c:v>
                </c:pt>
                <c:pt idx="30">
                  <c:v>0.12</c:v>
                </c:pt>
                <c:pt idx="31">
                  <c:v>0.12</c:v>
                </c:pt>
                <c:pt idx="32">
                  <c:v>0.12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1.4476000000000001E-29</c:v>
                </c:pt>
                <c:pt idx="1">
                  <c:v>3.8845000000000001E-31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2.2695E-25</c:v>
                </c:pt>
                <c:pt idx="9">
                  <c:v>6.9787000000000004E-15</c:v>
                </c:pt>
                <c:pt idx="10">
                  <c:v>1.7559999999999999E-15</c:v>
                </c:pt>
                <c:pt idx="11">
                  <c:v>4.391E-20</c:v>
                </c:pt>
                <c:pt idx="12">
                  <c:v>0</c:v>
                </c:pt>
                <c:pt idx="13">
                  <c:v>0</c:v>
                </c:pt>
                <c:pt idx="14">
                  <c:v>3.6408999999999998E-22</c:v>
                </c:pt>
                <c:pt idx="15">
                  <c:v>8.2240999999999992E-34</c:v>
                </c:pt>
                <c:pt idx="16">
                  <c:v>0</c:v>
                </c:pt>
                <c:pt idx="17">
                  <c:v>0</c:v>
                </c:pt>
                <c:pt idx="18">
                  <c:v>2.2363E-34</c:v>
                </c:pt>
                <c:pt idx="19">
                  <c:v>1.2444000000000001E-20</c:v>
                </c:pt>
                <c:pt idx="20">
                  <c:v>6.2677000000000003E-16</c:v>
                </c:pt>
                <c:pt idx="21">
                  <c:v>3.1955000000000001E-14</c:v>
                </c:pt>
                <c:pt idx="22">
                  <c:v>3.8063999999999997E-14</c:v>
                </c:pt>
                <c:pt idx="23">
                  <c:v>7.2335000000000002E-14</c:v>
                </c:pt>
                <c:pt idx="24">
                  <c:v>5.9667000000000002E-13</c:v>
                </c:pt>
                <c:pt idx="25">
                  <c:v>1.2370000000000001E-12</c:v>
                </c:pt>
                <c:pt idx="26">
                  <c:v>2.9372E-12</c:v>
                </c:pt>
                <c:pt idx="27">
                  <c:v>7.5216000000000001E-6</c:v>
                </c:pt>
                <c:pt idx="28">
                  <c:v>6.0361999999999999E-6</c:v>
                </c:pt>
                <c:pt idx="29">
                  <c:v>4.6388999999999997E-6</c:v>
                </c:pt>
                <c:pt idx="30">
                  <c:v>3.5966999999999998E-6</c:v>
                </c:pt>
                <c:pt idx="31">
                  <c:v>1.4179E-6</c:v>
                </c:pt>
                <c:pt idx="32">
                  <c:v>6.4486000000000002E-7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2.4285999999999999E-29</c:v>
                </c:pt>
                <c:pt idx="9">
                  <c:v>5.7105999999999998E-17</c:v>
                </c:pt>
                <c:pt idx="10">
                  <c:v>3.6389999999999998E-17</c:v>
                </c:pt>
                <c:pt idx="11">
                  <c:v>2.1911999999999999E-21</c:v>
                </c:pt>
                <c:pt idx="12">
                  <c:v>0</c:v>
                </c:pt>
                <c:pt idx="13">
                  <c:v>0</c:v>
                </c:pt>
                <c:pt idx="14">
                  <c:v>1.9581999999999999E-22</c:v>
                </c:pt>
                <c:pt idx="15">
                  <c:v>9.0699000000000008E-34</c:v>
                </c:pt>
                <c:pt idx="16">
                  <c:v>0</c:v>
                </c:pt>
                <c:pt idx="17">
                  <c:v>0</c:v>
                </c:pt>
                <c:pt idx="18">
                  <c:v>1.7698E-33</c:v>
                </c:pt>
                <c:pt idx="19">
                  <c:v>1.8003E-19</c:v>
                </c:pt>
                <c:pt idx="20">
                  <c:v>1.6190000000000002E-14</c:v>
                </c:pt>
                <c:pt idx="21">
                  <c:v>1.4418E-12</c:v>
                </c:pt>
                <c:pt idx="22">
                  <c:v>1.3207000000000001E-11</c:v>
                </c:pt>
                <c:pt idx="23">
                  <c:v>4.0084000000000001E-11</c:v>
                </c:pt>
                <c:pt idx="24">
                  <c:v>5.2038000000000002E-10</c:v>
                </c:pt>
                <c:pt idx="25">
                  <c:v>1.6747E-9</c:v>
                </c:pt>
                <c:pt idx="26">
                  <c:v>6.0933999999999997E-9</c:v>
                </c:pt>
                <c:pt idx="27">
                  <c:v>2.3615000000000001E-2</c:v>
                </c:pt>
                <c:pt idx="28">
                  <c:v>2.8364E-2</c:v>
                </c:pt>
                <c:pt idx="29">
                  <c:v>3.2265000000000002E-2</c:v>
                </c:pt>
                <c:pt idx="30">
                  <c:v>3.6650000000000002E-2</c:v>
                </c:pt>
                <c:pt idx="31">
                  <c:v>6.0689E-2</c:v>
                </c:pt>
                <c:pt idx="32">
                  <c:v>0.10216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-19.03</c:v>
                </c:pt>
                <c:pt idx="1">
                  <c:v>-19.02</c:v>
                </c:pt>
                <c:pt idx="2">
                  <c:v>-19.02</c:v>
                </c:pt>
                <c:pt idx="3">
                  <c:v>-19.02</c:v>
                </c:pt>
                <c:pt idx="4">
                  <c:v>-19.32</c:v>
                </c:pt>
                <c:pt idx="5">
                  <c:v>-19.05</c:v>
                </c:pt>
                <c:pt idx="6">
                  <c:v>-19.36</c:v>
                </c:pt>
                <c:pt idx="7">
                  <c:v>-19.38</c:v>
                </c:pt>
                <c:pt idx="8">
                  <c:v>-19.41</c:v>
                </c:pt>
                <c:pt idx="9">
                  <c:v>-19.53</c:v>
                </c:pt>
                <c:pt idx="10">
                  <c:v>-19.559999999999999</c:v>
                </c:pt>
                <c:pt idx="11">
                  <c:v>-19.600000000000001</c:v>
                </c:pt>
                <c:pt idx="12">
                  <c:v>-19.63</c:v>
                </c:pt>
                <c:pt idx="13">
                  <c:v>-19.47</c:v>
                </c:pt>
                <c:pt idx="14">
                  <c:v>-19.23</c:v>
                </c:pt>
                <c:pt idx="15">
                  <c:v>-19.149999999999999</c:v>
                </c:pt>
                <c:pt idx="16">
                  <c:v>-19.14</c:v>
                </c:pt>
                <c:pt idx="17">
                  <c:v>-19.14</c:v>
                </c:pt>
                <c:pt idx="18">
                  <c:v>-19.16</c:v>
                </c:pt>
                <c:pt idx="19">
                  <c:v>-19.190000000000001</c:v>
                </c:pt>
                <c:pt idx="20">
                  <c:v>-19.22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-66.569999999999993</c:v>
                </c:pt>
                <c:pt idx="1">
                  <c:v>-63.1</c:v>
                </c:pt>
                <c:pt idx="2">
                  <c:v>-60.01</c:v>
                </c:pt>
                <c:pt idx="3">
                  <c:v>-57.25</c:v>
                </c:pt>
                <c:pt idx="4">
                  <c:v>-54</c:v>
                </c:pt>
                <c:pt idx="5">
                  <c:v>-49.67</c:v>
                </c:pt>
                <c:pt idx="6">
                  <c:v>-46.96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-7.7140000000000004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-8.7260000000000009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-18.059999999999999</c:v>
                </c:pt>
                <c:pt idx="1">
                  <c:v>-17.43</c:v>
                </c:pt>
                <c:pt idx="2">
                  <c:v>-16.88</c:v>
                </c:pt>
                <c:pt idx="3">
                  <c:v>-16.39</c:v>
                </c:pt>
                <c:pt idx="4">
                  <c:v>-15.05</c:v>
                </c:pt>
                <c:pt idx="5">
                  <c:v>-13.68</c:v>
                </c:pt>
                <c:pt idx="6">
                  <c:v>-12.49</c:v>
                </c:pt>
                <c:pt idx="7">
                  <c:v>-11.36</c:v>
                </c:pt>
                <c:pt idx="8">
                  <c:v>-10.31</c:v>
                </c:pt>
                <c:pt idx="9">
                  <c:v>-6.7309999999999999</c:v>
                </c:pt>
                <c:pt idx="10">
                  <c:v>-5.9660000000000002</c:v>
                </c:pt>
                <c:pt idx="11">
                  <c:v>-5.2430000000000003</c:v>
                </c:pt>
                <c:pt idx="12">
                  <c:v>-4.5579999999999998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-5.2489999999999997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-22.85</c:v>
                </c:pt>
                <c:pt idx="1">
                  <c:v>-21.73</c:v>
                </c:pt>
                <c:pt idx="2">
                  <c:v>-20.73</c:v>
                </c:pt>
                <c:pt idx="3">
                  <c:v>-19.850000000000001</c:v>
                </c:pt>
                <c:pt idx="4">
                  <c:v>-19.559999999999999</c:v>
                </c:pt>
                <c:pt idx="5">
                  <c:v>-20.239999999999998</c:v>
                </c:pt>
                <c:pt idx="6">
                  <c:v>-20.04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7.5293999999999996E-7</c:v>
                </c:pt>
                <c:pt idx="5">
                  <c:v>0.1</c:v>
                </c:pt>
                <c:pt idx="6">
                  <c:v>4.6837999999999999E-6</c:v>
                </c:pt>
                <c:pt idx="7">
                  <c:v>1.2526E-9</c:v>
                </c:pt>
                <c:pt idx="8">
                  <c:v>1.8983999999999999E-10</c:v>
                </c:pt>
                <c:pt idx="9">
                  <c:v>8.6451999999999994E-36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2.4738999999999998E-15</c:v>
                </c:pt>
                <c:pt idx="1">
                  <c:v>7.9334000000000001E-12</c:v>
                </c:pt>
                <c:pt idx="2">
                  <c:v>2.6738999999999999E-10</c:v>
                </c:pt>
                <c:pt idx="3">
                  <c:v>2.4725999999999999E-8</c:v>
                </c:pt>
                <c:pt idx="4">
                  <c:v>9.9999000000000005E-2</c:v>
                </c:pt>
                <c:pt idx="5">
                  <c:v>3.5023000000000002E-8</c:v>
                </c:pt>
                <c:pt idx="6">
                  <c:v>9.9995000000000001E-2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0.17163</c:v>
                </c:pt>
                <c:pt idx="14">
                  <c:v>0.24929999999999999</c:v>
                </c:pt>
                <c:pt idx="15">
                  <c:v>0.27585999999999999</c:v>
                </c:pt>
                <c:pt idx="16">
                  <c:v>0.28748000000000001</c:v>
                </c:pt>
                <c:pt idx="17">
                  <c:v>0.35316999999999998</c:v>
                </c:pt>
                <c:pt idx="18">
                  <c:v>0.35614000000000001</c:v>
                </c:pt>
                <c:pt idx="19">
                  <c:v>0.35776000000000002</c:v>
                </c:pt>
                <c:pt idx="20">
                  <c:v>0.35866999999999999</c:v>
                </c:pt>
                <c:pt idx="21">
                  <c:v>0.35919000000000001</c:v>
                </c:pt>
                <c:pt idx="22">
                  <c:v>0.35987000000000002</c:v>
                </c:pt>
                <c:pt idx="23">
                  <c:v>0.35991000000000001</c:v>
                </c:pt>
                <c:pt idx="24">
                  <c:v>0.35993999999999998</c:v>
                </c:pt>
                <c:pt idx="25">
                  <c:v>0.35996</c:v>
                </c:pt>
                <c:pt idx="26">
                  <c:v>0.35997000000000001</c:v>
                </c:pt>
                <c:pt idx="27">
                  <c:v>0.47395999999999999</c:v>
                </c:pt>
                <c:pt idx="28">
                  <c:v>0.47998000000000002</c:v>
                </c:pt>
                <c:pt idx="29">
                  <c:v>0.47999000000000003</c:v>
                </c:pt>
                <c:pt idx="30">
                  <c:v>0.47999000000000003</c:v>
                </c:pt>
                <c:pt idx="31">
                  <c:v>0.48</c:v>
                </c:pt>
                <c:pt idx="32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2.2528E-13</c:v>
                </c:pt>
                <c:pt idx="10">
                  <c:v>5.8150000000000001E-11</c:v>
                </c:pt>
                <c:pt idx="11">
                  <c:v>1.4037E-9</c:v>
                </c:pt>
                <c:pt idx="12">
                  <c:v>3.4671E-8</c:v>
                </c:pt>
                <c:pt idx="13">
                  <c:v>7.1625999999999995E-2</c:v>
                </c:pt>
                <c:pt idx="14">
                  <c:v>0.14929999999999999</c:v>
                </c:pt>
                <c:pt idx="15">
                  <c:v>0.17585999999999999</c:v>
                </c:pt>
                <c:pt idx="16">
                  <c:v>0.18748000000000001</c:v>
                </c:pt>
                <c:pt idx="17">
                  <c:v>0.19317000000000001</c:v>
                </c:pt>
                <c:pt idx="18">
                  <c:v>0.19614000000000001</c:v>
                </c:pt>
                <c:pt idx="19">
                  <c:v>0.19775999999999999</c:v>
                </c:pt>
                <c:pt idx="20">
                  <c:v>0.19867000000000001</c:v>
                </c:pt>
                <c:pt idx="21">
                  <c:v>0.19919000000000001</c:v>
                </c:pt>
                <c:pt idx="22">
                  <c:v>0.19986999999999999</c:v>
                </c:pt>
                <c:pt idx="23">
                  <c:v>0.19991</c:v>
                </c:pt>
                <c:pt idx="24">
                  <c:v>0.19994000000000001</c:v>
                </c:pt>
                <c:pt idx="25">
                  <c:v>0.19996</c:v>
                </c:pt>
                <c:pt idx="26">
                  <c:v>0.19997000000000001</c:v>
                </c:pt>
                <c:pt idx="27">
                  <c:v>0.17635999999999999</c:v>
                </c:pt>
                <c:pt idx="28">
                  <c:v>0.17161999999999999</c:v>
                </c:pt>
                <c:pt idx="29">
                  <c:v>0.16772000000000001</c:v>
                </c:pt>
                <c:pt idx="30">
                  <c:v>0.16334000000000001</c:v>
                </c:pt>
                <c:pt idx="31">
                  <c:v>0.13930999999999999</c:v>
                </c:pt>
                <c:pt idx="32">
                  <c:v>9.7836999999999993E-2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1.3082E-7</c:v>
                </c:pt>
                <c:pt idx="18">
                  <c:v>1.0444E-9</c:v>
                </c:pt>
                <c:pt idx="19">
                  <c:v>2.0778999999999999E-10</c:v>
                </c:pt>
                <c:pt idx="20">
                  <c:v>1.6176000000000001E-11</c:v>
                </c:pt>
                <c:pt idx="21">
                  <c:v>2.7929999999999998E-13</c:v>
                </c:pt>
                <c:pt idx="22">
                  <c:v>1.1484E-27</c:v>
                </c:pt>
                <c:pt idx="23">
                  <c:v>6.7723000000000001E-33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4.5526999999999996E-28</c:v>
                </c:pt>
                <c:pt idx="23">
                  <c:v>6.1443E-25</c:v>
                </c:pt>
                <c:pt idx="24">
                  <c:v>2.5233999999999998E-21</c:v>
                </c:pt>
                <c:pt idx="25">
                  <c:v>2.9531999999999999E-19</c:v>
                </c:pt>
                <c:pt idx="26">
                  <c:v>3.1565000000000001E-18</c:v>
                </c:pt>
                <c:pt idx="27">
                  <c:v>9.2837999999999995E-19</c:v>
                </c:pt>
                <c:pt idx="28">
                  <c:v>1.8903999999999998E-8</c:v>
                </c:pt>
                <c:pt idx="29">
                  <c:v>1.7457999999999999E-7</c:v>
                </c:pt>
                <c:pt idx="30">
                  <c:v>1.4719000000000001E-7</c:v>
                </c:pt>
                <c:pt idx="31">
                  <c:v>5.5145000000000002E-8</c:v>
                </c:pt>
                <c:pt idx="32">
                  <c:v>1.03E-8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1.0158E-35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1.1205000000000001E-32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2.7220000000000002E-22</c:v>
                </c:pt>
                <c:pt idx="20">
                  <c:v>7.6786000000000004E-17</c:v>
                </c:pt>
                <c:pt idx="21">
                  <c:v>1.3577999999999999E-14</c:v>
                </c:pt>
                <c:pt idx="22">
                  <c:v>1.0674E-13</c:v>
                </c:pt>
                <c:pt idx="23">
                  <c:v>6.7119999999999996E-14</c:v>
                </c:pt>
                <c:pt idx="24">
                  <c:v>4.7346000000000002E-14</c:v>
                </c:pt>
                <c:pt idx="25">
                  <c:v>9.4001999999999996E-17</c:v>
                </c:pt>
                <c:pt idx="26">
                  <c:v>2.0290000000000001E-26</c:v>
                </c:pt>
                <c:pt idx="27">
                  <c:v>0</c:v>
                </c:pt>
                <c:pt idx="28">
                  <c:v>1.2541E-17</c:v>
                </c:pt>
                <c:pt idx="29">
                  <c:v>1.7599E-12</c:v>
                </c:pt>
                <c:pt idx="30">
                  <c:v>9.8021000000000005E-14</c:v>
                </c:pt>
                <c:pt idx="31">
                  <c:v>9.2581999999999999E-13</c:v>
                </c:pt>
                <c:pt idx="32">
                  <c:v>1.0261E-9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2.6205E-24</c:v>
                </c:pt>
                <c:pt idx="10">
                  <c:v>4.6451E-24</c:v>
                </c:pt>
                <c:pt idx="11">
                  <c:v>7.3235000000000001E-28</c:v>
                </c:pt>
                <c:pt idx="12">
                  <c:v>0</c:v>
                </c:pt>
                <c:pt idx="13">
                  <c:v>0</c:v>
                </c:pt>
                <c:pt idx="14">
                  <c:v>2.129E-27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2.3314E-36</c:v>
                </c:pt>
                <c:pt idx="19">
                  <c:v>5.4937000000000001E-22</c:v>
                </c:pt>
                <c:pt idx="20">
                  <c:v>1.1051E-16</c:v>
                </c:pt>
                <c:pt idx="21">
                  <c:v>2.1310999999999999E-14</c:v>
                </c:pt>
                <c:pt idx="22">
                  <c:v>3.2337999999999998E-12</c:v>
                </c:pt>
                <c:pt idx="23">
                  <c:v>1.8614E-11</c:v>
                </c:pt>
                <c:pt idx="24">
                  <c:v>4.4847E-10</c:v>
                </c:pt>
                <c:pt idx="25">
                  <c:v>2.6244000000000002E-9</c:v>
                </c:pt>
                <c:pt idx="26">
                  <c:v>1.7035E-8</c:v>
                </c:pt>
                <c:pt idx="27">
                  <c:v>0.11398</c:v>
                </c:pt>
                <c:pt idx="28">
                  <c:v>0.12</c:v>
                </c:pt>
                <c:pt idx="29">
                  <c:v>0.12</c:v>
                </c:pt>
                <c:pt idx="30">
                  <c:v>0.12</c:v>
                </c:pt>
                <c:pt idx="31">
                  <c:v>0.12</c:v>
                </c:pt>
                <c:pt idx="32">
                  <c:v>0.12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1.4476000000000001E-29</c:v>
                </c:pt>
                <c:pt idx="1">
                  <c:v>3.8845000000000001E-31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2.2695E-25</c:v>
                </c:pt>
                <c:pt idx="9">
                  <c:v>6.9787000000000004E-15</c:v>
                </c:pt>
                <c:pt idx="10">
                  <c:v>1.7559999999999999E-15</c:v>
                </c:pt>
                <c:pt idx="11">
                  <c:v>4.391E-20</c:v>
                </c:pt>
                <c:pt idx="12">
                  <c:v>0</c:v>
                </c:pt>
                <c:pt idx="13">
                  <c:v>0</c:v>
                </c:pt>
                <c:pt idx="14">
                  <c:v>3.6408999999999998E-22</c:v>
                </c:pt>
                <c:pt idx="15">
                  <c:v>8.2240999999999992E-34</c:v>
                </c:pt>
                <c:pt idx="16">
                  <c:v>0</c:v>
                </c:pt>
                <c:pt idx="17">
                  <c:v>0</c:v>
                </c:pt>
                <c:pt idx="18">
                  <c:v>2.2363E-34</c:v>
                </c:pt>
                <c:pt idx="19">
                  <c:v>1.2444000000000001E-20</c:v>
                </c:pt>
                <c:pt idx="20">
                  <c:v>6.2677000000000003E-16</c:v>
                </c:pt>
                <c:pt idx="21">
                  <c:v>3.1955000000000001E-14</c:v>
                </c:pt>
                <c:pt idx="22">
                  <c:v>3.8063999999999997E-14</c:v>
                </c:pt>
                <c:pt idx="23">
                  <c:v>7.2335000000000002E-14</c:v>
                </c:pt>
                <c:pt idx="24">
                  <c:v>5.9667000000000002E-13</c:v>
                </c:pt>
                <c:pt idx="25">
                  <c:v>1.2370000000000001E-12</c:v>
                </c:pt>
                <c:pt idx="26">
                  <c:v>2.9372E-12</c:v>
                </c:pt>
                <c:pt idx="27">
                  <c:v>7.5216000000000001E-6</c:v>
                </c:pt>
                <c:pt idx="28">
                  <c:v>6.0361999999999999E-6</c:v>
                </c:pt>
                <c:pt idx="29">
                  <c:v>4.6388999999999997E-6</c:v>
                </c:pt>
                <c:pt idx="30">
                  <c:v>3.5966999999999998E-6</c:v>
                </c:pt>
                <c:pt idx="31">
                  <c:v>1.4179E-6</c:v>
                </c:pt>
                <c:pt idx="32">
                  <c:v>6.4486000000000002E-7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2.4285999999999999E-29</c:v>
                </c:pt>
                <c:pt idx="9">
                  <c:v>5.7105999999999998E-17</c:v>
                </c:pt>
                <c:pt idx="10">
                  <c:v>3.6389999999999998E-17</c:v>
                </c:pt>
                <c:pt idx="11">
                  <c:v>2.1911999999999999E-21</c:v>
                </c:pt>
                <c:pt idx="12">
                  <c:v>0</c:v>
                </c:pt>
                <c:pt idx="13">
                  <c:v>0</c:v>
                </c:pt>
                <c:pt idx="14">
                  <c:v>1.9581999999999999E-22</c:v>
                </c:pt>
                <c:pt idx="15">
                  <c:v>9.0699000000000008E-34</c:v>
                </c:pt>
                <c:pt idx="16">
                  <c:v>0</c:v>
                </c:pt>
                <c:pt idx="17">
                  <c:v>0</c:v>
                </c:pt>
                <c:pt idx="18">
                  <c:v>1.7698E-33</c:v>
                </c:pt>
                <c:pt idx="19">
                  <c:v>1.8003E-19</c:v>
                </c:pt>
                <c:pt idx="20">
                  <c:v>1.6190000000000002E-14</c:v>
                </c:pt>
                <c:pt idx="21">
                  <c:v>1.4418E-12</c:v>
                </c:pt>
                <c:pt idx="22">
                  <c:v>1.3207000000000001E-11</c:v>
                </c:pt>
                <c:pt idx="23">
                  <c:v>4.0084000000000001E-11</c:v>
                </c:pt>
                <c:pt idx="24">
                  <c:v>5.2038000000000002E-10</c:v>
                </c:pt>
                <c:pt idx="25">
                  <c:v>1.6747E-9</c:v>
                </c:pt>
                <c:pt idx="26">
                  <c:v>6.0933999999999997E-9</c:v>
                </c:pt>
                <c:pt idx="27">
                  <c:v>2.3615000000000001E-2</c:v>
                </c:pt>
                <c:pt idx="28">
                  <c:v>2.8364E-2</c:v>
                </c:pt>
                <c:pt idx="29">
                  <c:v>3.2265000000000002E-2</c:v>
                </c:pt>
                <c:pt idx="30">
                  <c:v>3.6650000000000002E-2</c:v>
                </c:pt>
                <c:pt idx="31">
                  <c:v>6.0689E-2</c:v>
                </c:pt>
                <c:pt idx="32">
                  <c:v>0.10216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-19.03</c:v>
                </c:pt>
                <c:pt idx="1">
                  <c:v>-19.02</c:v>
                </c:pt>
                <c:pt idx="2">
                  <c:v>-19.02</c:v>
                </c:pt>
                <c:pt idx="3">
                  <c:v>-19.02</c:v>
                </c:pt>
                <c:pt idx="4">
                  <c:v>-19.32</c:v>
                </c:pt>
                <c:pt idx="5">
                  <c:v>-19.05</c:v>
                </c:pt>
                <c:pt idx="6">
                  <c:v>-19.36</c:v>
                </c:pt>
                <c:pt idx="7">
                  <c:v>-19.38</c:v>
                </c:pt>
                <c:pt idx="8">
                  <c:v>-19.41</c:v>
                </c:pt>
                <c:pt idx="9">
                  <c:v>-19.53</c:v>
                </c:pt>
                <c:pt idx="10">
                  <c:v>-19.559999999999999</c:v>
                </c:pt>
                <c:pt idx="11">
                  <c:v>-19.600000000000001</c:v>
                </c:pt>
                <c:pt idx="12">
                  <c:v>-19.63</c:v>
                </c:pt>
                <c:pt idx="13">
                  <c:v>-19.47</c:v>
                </c:pt>
                <c:pt idx="14">
                  <c:v>-19.23</c:v>
                </c:pt>
                <c:pt idx="15">
                  <c:v>-19.149999999999999</c:v>
                </c:pt>
                <c:pt idx="16">
                  <c:v>-19.14</c:v>
                </c:pt>
                <c:pt idx="17">
                  <c:v>-19.14</c:v>
                </c:pt>
                <c:pt idx="18">
                  <c:v>-19.16</c:v>
                </c:pt>
                <c:pt idx="19">
                  <c:v>-19.190000000000001</c:v>
                </c:pt>
                <c:pt idx="20">
                  <c:v>-19.22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-66.569999999999993</c:v>
                </c:pt>
                <c:pt idx="1">
                  <c:v>-63.1</c:v>
                </c:pt>
                <c:pt idx="2">
                  <c:v>-60.01</c:v>
                </c:pt>
                <c:pt idx="3">
                  <c:v>-57.25</c:v>
                </c:pt>
                <c:pt idx="4">
                  <c:v>-54</c:v>
                </c:pt>
                <c:pt idx="5">
                  <c:v>-49.67</c:v>
                </c:pt>
                <c:pt idx="6">
                  <c:v>-46.96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-7.7140000000000004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-8.7260000000000009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-18.059999999999999</c:v>
                </c:pt>
                <c:pt idx="1">
                  <c:v>-17.43</c:v>
                </c:pt>
                <c:pt idx="2">
                  <c:v>-16.88</c:v>
                </c:pt>
                <c:pt idx="3">
                  <c:v>-16.39</c:v>
                </c:pt>
                <c:pt idx="4">
                  <c:v>-15.05</c:v>
                </c:pt>
                <c:pt idx="5">
                  <c:v>-13.68</c:v>
                </c:pt>
                <c:pt idx="6">
                  <c:v>-12.49</c:v>
                </c:pt>
                <c:pt idx="7">
                  <c:v>-11.36</c:v>
                </c:pt>
                <c:pt idx="8">
                  <c:v>-10.31</c:v>
                </c:pt>
                <c:pt idx="9">
                  <c:v>-6.7309999999999999</c:v>
                </c:pt>
                <c:pt idx="10">
                  <c:v>-5.9660000000000002</c:v>
                </c:pt>
                <c:pt idx="11">
                  <c:v>-5.2430000000000003</c:v>
                </c:pt>
                <c:pt idx="12">
                  <c:v>-4.5579999999999998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-5.2489999999999997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-22.85</c:v>
                </c:pt>
                <c:pt idx="1">
                  <c:v>-21.73</c:v>
                </c:pt>
                <c:pt idx="2">
                  <c:v>-20.73</c:v>
                </c:pt>
                <c:pt idx="3">
                  <c:v>-19.850000000000001</c:v>
                </c:pt>
                <c:pt idx="4">
                  <c:v>-19.559999999999999</c:v>
                </c:pt>
                <c:pt idx="5">
                  <c:v>-20.239999999999998</c:v>
                </c:pt>
                <c:pt idx="6">
                  <c:v>-20.04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9.4820000000000006E-31</c:v>
                      </c:pt>
                      <c:pt idx="9">
                        <c:v>1.7169000000000001E-14</c:v>
                      </c:pt>
                      <c:pt idx="10">
                        <c:v>8.5510000000000006E-14</c:v>
                      </c:pt>
                      <c:pt idx="11">
                        <c:v>8.4048E-16</c:v>
                      </c:pt>
                      <c:pt idx="12">
                        <c:v>4.5506999999999999E-26</c:v>
                      </c:pt>
                      <c:pt idx="13">
                        <c:v>1.2055E-25</c:v>
                      </c:pt>
                      <c:pt idx="14">
                        <c:v>3.2555000000000002E-9</c:v>
                      </c:pt>
                      <c:pt idx="15">
                        <c:v>1.6651999999999999E-8</c:v>
                      </c:pt>
                      <c:pt idx="16">
                        <c:v>1.7648999999999999E-7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>
                        <c:v>0.12</c:v>
                      </c:pt>
                      <c:pt idx="20">
                        <c:v>0.12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0.12</c:v>
                      </c:pt>
                      <c:pt idx="24">
                        <c:v>0.12</c:v>
                      </c:pt>
                      <c:pt idx="25">
                        <c:v>0.12</c:v>
                      </c:pt>
                      <c:pt idx="26">
                        <c:v>0.12</c:v>
                      </c:pt>
                      <c:pt idx="27">
                        <c:v>6.0197000000000002E-3</c:v>
                      </c:pt>
                      <c:pt idx="28">
                        <c:v>1.222E-8</c:v>
                      </c:pt>
                      <c:pt idx="29">
                        <c:v>2.2326999999999999E-11</c:v>
                      </c:pt>
                      <c:pt idx="30">
                        <c:v>1.7935999999999998E-18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0.2</c:v>
                      </c:pt>
                      <c:pt idx="5">
                        <c:v>0.1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0.12837000000000001</c:v>
                      </c:pt>
                      <c:pt idx="14">
                        <c:v>5.0701000000000003E-2</c:v>
                      </c:pt>
                      <c:pt idx="15">
                        <c:v>2.4145E-2</c:v>
                      </c:pt>
                      <c:pt idx="16">
                        <c:v>1.2522999999999999E-2</c:v>
                      </c:pt>
                      <c:pt idx="17">
                        <c:v>6.8328E-3</c:v>
                      </c:pt>
                      <c:pt idx="18">
                        <c:v>3.8625999999999999E-3</c:v>
                      </c:pt>
                      <c:pt idx="19">
                        <c:v>2.2447000000000001E-3</c:v>
                      </c:pt>
                      <c:pt idx="20">
                        <c:v>1.3349E-3</c:v>
                      </c:pt>
                      <c:pt idx="21">
                        <c:v>8.1010999999999995E-4</c:v>
                      </c:pt>
                      <c:pt idx="22">
                        <c:v>1.2987E-4</c:v>
                      </c:pt>
                      <c:pt idx="23">
                        <c:v>8.5175999999999999E-5</c:v>
                      </c:pt>
                      <c:pt idx="24">
                        <c:v>5.6563E-5</c:v>
                      </c:pt>
                      <c:pt idx="25">
                        <c:v>3.8003999999999997E-5</c:v>
                      </c:pt>
                      <c:pt idx="26">
                        <c:v>2.5819000000000001E-5</c:v>
                      </c:pt>
                      <c:pt idx="27">
                        <c:v>1.7725000000000001E-5</c:v>
                      </c:pt>
                      <c:pt idx="28">
                        <c:v>1.2286999999999999E-5</c:v>
                      </c:pt>
                      <c:pt idx="29">
                        <c:v>8.5976000000000005E-6</c:v>
                      </c:pt>
                      <c:pt idx="30">
                        <c:v>6.0692000000000003E-6</c:v>
                      </c:pt>
                      <c:pt idx="31">
                        <c:v>1.6315E-6</c:v>
                      </c:pt>
                      <c:pt idx="32">
                        <c:v>4.8910999999999996E-7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1.3432E-31</c:v>
                      </c:pt>
                      <c:pt idx="10">
                        <c:v>1.5711999999999999E-29</c:v>
                      </c:pt>
                      <c:pt idx="11">
                        <c:v>1.3752E-27</c:v>
                      </c:pt>
                      <c:pt idx="12">
                        <c:v>9.2523999999999999E-26</c:v>
                      </c:pt>
                      <c:pt idx="13">
                        <c:v>4.0224000000000004E-24</c:v>
                      </c:pt>
                      <c:pt idx="14">
                        <c:v>1.3078000000000001E-22</c:v>
                      </c:pt>
                      <c:pt idx="15">
                        <c:v>4.0776E-21</c:v>
                      </c:pt>
                      <c:pt idx="16">
                        <c:v>1.1226E-19</c:v>
                      </c:pt>
                      <c:pt idx="17">
                        <c:v>2.2370999999999998E-18</c:v>
                      </c:pt>
                      <c:pt idx="18">
                        <c:v>2.3373999999999999E-17</c:v>
                      </c:pt>
                      <c:pt idx="19">
                        <c:v>2.1883E-16</c:v>
                      </c:pt>
                      <c:pt idx="20">
                        <c:v>1.846E-15</c:v>
                      </c:pt>
                      <c:pt idx="21">
                        <c:v>1.4121E-14</c:v>
                      </c:pt>
                      <c:pt idx="22">
                        <c:v>2.0518E-11</c:v>
                      </c:pt>
                      <c:pt idx="23">
                        <c:v>1.0504000000000001E-10</c:v>
                      </c:pt>
                      <c:pt idx="24">
                        <c:v>5.0361999999999996E-10</c:v>
                      </c:pt>
                      <c:pt idx="25">
                        <c:v>2.2708000000000001E-9</c:v>
                      </c:pt>
                      <c:pt idx="26">
                        <c:v>9.6646000000000007E-9</c:v>
                      </c:pt>
                      <c:pt idx="27">
                        <c:v>3.7832999999999999E-8</c:v>
                      </c:pt>
                      <c:pt idx="28">
                        <c:v>3.7532000000000002E-8</c:v>
                      </c:pt>
                      <c:pt idx="29">
                        <c:v>3.6856999999999997E-8</c:v>
                      </c:pt>
                      <c:pt idx="30">
                        <c:v>3.5754999999999998E-8</c:v>
                      </c:pt>
                      <c:pt idx="31">
                        <c:v>2.8010999999999999E-8</c:v>
                      </c:pt>
                      <c:pt idx="32">
                        <c:v>1.7722999999999999E-8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26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-6.4802239031770048</c:v>
                </c:pt>
                <c:pt idx="1">
                  <c:v>-6.5546565809379729</c:v>
                </c:pt>
                <c:pt idx="2" formatCode="General">
                  <c:v>-6.6290892586989409</c:v>
                </c:pt>
                <c:pt idx="3" formatCode="General">
                  <c:v>-6.7035219364599099</c:v>
                </c:pt>
                <c:pt idx="4" formatCode="General">
                  <c:v>-6.7773252647503783</c:v>
                </c:pt>
                <c:pt idx="5" formatCode="General">
                  <c:v>-6.8438910741301058</c:v>
                </c:pt>
                <c:pt idx="6" formatCode="General">
                  <c:v>-6.9104568835098341</c:v>
                </c:pt>
                <c:pt idx="7" formatCode="General">
                  <c:v>-6.9770226928895616</c:v>
                </c:pt>
                <c:pt idx="8" formatCode="General">
                  <c:v>-7.043588502269289</c:v>
                </c:pt>
                <c:pt idx="9" formatCode="General">
                  <c:v>-7.1101543116490165</c:v>
                </c:pt>
                <c:pt idx="10" formatCode="General">
                  <c:v>-7.1767201210287439</c:v>
                </c:pt>
                <c:pt idx="11" formatCode="General">
                  <c:v>-7.2400151285930407</c:v>
                </c:pt>
                <c:pt idx="12" formatCode="General">
                  <c:v>-7.2996217851739784</c:v>
                </c:pt>
                <c:pt idx="13" formatCode="General">
                  <c:v>-7.359228441754917</c:v>
                </c:pt>
                <c:pt idx="14" formatCode="General">
                  <c:v>-7.4188350983358546</c:v>
                </c:pt>
                <c:pt idx="15" formatCode="General">
                  <c:v>-7.4784417549167923</c:v>
                </c:pt>
                <c:pt idx="16" formatCode="General">
                  <c:v>-7.5380484114977309</c:v>
                </c:pt>
                <c:pt idx="17" formatCode="General">
                  <c:v>-7.5976550680786685</c:v>
                </c:pt>
                <c:pt idx="18" formatCode="General">
                  <c:v>-7.6536187594553704</c:v>
                </c:pt>
                <c:pt idx="19" formatCode="General">
                  <c:v>-7.7089894099848717</c:v>
                </c:pt>
                <c:pt idx="20" formatCode="General">
                  <c:v>-7.7643600605143721</c:v>
                </c:pt>
                <c:pt idx="21" formatCode="General">
                  <c:v>-7.8197307110438734</c:v>
                </c:pt>
                <c:pt idx="22" formatCode="General">
                  <c:v>-7.8751013615733738</c:v>
                </c:pt>
                <c:pt idx="23" formatCode="General">
                  <c:v>-7.9304720121028751</c:v>
                </c:pt>
                <c:pt idx="24" formatCode="General">
                  <c:v>-7.9860909090909091</c:v>
                </c:pt>
                <c:pt idx="25" formatCode="General">
                  <c:v>-8.0424545454545449</c:v>
                </c:pt>
                <c:pt idx="26" formatCode="General">
                  <c:v>-8.0995454545454546</c:v>
                </c:pt>
                <c:pt idx="27" formatCode="General">
                  <c:v>-8.1571212121212131</c:v>
                </c:pt>
                <c:pt idx="28" formatCode="General">
                  <c:v>-8.2170000000000005</c:v>
                </c:pt>
                <c:pt idx="29" formatCode="General">
                  <c:v>-8.2780909090909098</c:v>
                </c:pt>
                <c:pt idx="30" formatCode="General">
                  <c:v>-8.3417272727272742</c:v>
                </c:pt>
                <c:pt idx="31" formatCode="General">
                  <c:v>-8.412872919818458</c:v>
                </c:pt>
                <c:pt idx="32" formatCode="General">
                  <c:v>-8.488062027231468</c:v>
                </c:pt>
                <c:pt idx="33" formatCode="General">
                  <c:v>-8.563251134644478</c:v>
                </c:pt>
                <c:pt idx="34" formatCode="General">
                  <c:v>-8.6384402420574897</c:v>
                </c:pt>
                <c:pt idx="35" formatCode="General">
                  <c:v>-8.7136293494704997</c:v>
                </c:pt>
                <c:pt idx="36" formatCode="General">
                  <c:v>-8.7888184568835097</c:v>
                </c:pt>
                <c:pt idx="37" formatCode="General">
                  <c:v>-8.864594553706505</c:v>
                </c:pt>
                <c:pt idx="38" formatCode="General">
                  <c:v>-8.9544583963691373</c:v>
                </c:pt>
                <c:pt idx="39" formatCode="General">
                  <c:v>-9.0443222390317697</c:v>
                </c:pt>
                <c:pt idx="40" formatCode="General">
                  <c:v>-9.134186081694402</c:v>
                </c:pt>
                <c:pt idx="41" formatCode="General">
                  <c:v>-9.2240499243570344</c:v>
                </c:pt>
                <c:pt idx="42" formatCode="General">
                  <c:v>-9.3139137670196668</c:v>
                </c:pt>
                <c:pt idx="43" formatCode="General">
                  <c:v>-9.4037776096822991</c:v>
                </c:pt>
                <c:pt idx="44" formatCode="General">
                  <c:v>-9.4937065052950071</c:v>
                </c:pt>
                <c:pt idx="45" formatCode="General">
                  <c:v>-9.5837216338880484</c:v>
                </c:pt>
                <c:pt idx="46" formatCode="General">
                  <c:v>-9.6737367624810897</c:v>
                </c:pt>
                <c:pt idx="47" formatCode="General">
                  <c:v>-9.763751891074131</c:v>
                </c:pt>
                <c:pt idx="48" formatCode="General">
                  <c:v>-9.8537670196671723</c:v>
                </c:pt>
                <c:pt idx="49" formatCode="General">
                  <c:v>-9.9437821482602118</c:v>
                </c:pt>
                <c:pt idx="50" formatCode="General">
                  <c:v>-10.033797276853253</c:v>
                </c:pt>
                <c:pt idx="51" formatCode="General">
                  <c:v>-10.118333333333334</c:v>
                </c:pt>
                <c:pt idx="52" formatCode="General">
                  <c:v>-10.201666666666668</c:v>
                </c:pt>
                <c:pt idx="53" formatCode="General">
                  <c:v>-10.285</c:v>
                </c:pt>
                <c:pt idx="54" formatCode="General">
                  <c:v>-10.368333333333334</c:v>
                </c:pt>
                <c:pt idx="55" formatCode="General">
                  <c:v>-10.451666666666666</c:v>
                </c:pt>
                <c:pt idx="56" formatCode="General">
                  <c:v>-10.535</c:v>
                </c:pt>
                <c:pt idx="57" formatCode="General">
                  <c:v>-10.615975794251135</c:v>
                </c:pt>
                <c:pt idx="58" formatCode="General">
                  <c:v>-10.688593040847202</c:v>
                </c:pt>
                <c:pt idx="59" formatCode="General">
                  <c:v>-10.761210287443268</c:v>
                </c:pt>
                <c:pt idx="60" formatCode="General">
                  <c:v>-10.833827534039335</c:v>
                </c:pt>
                <c:pt idx="61" formatCode="General">
                  <c:v>-10.9064447806354</c:v>
                </c:pt>
                <c:pt idx="62" formatCode="General">
                  <c:v>-10.979062027231468</c:v>
                </c:pt>
                <c:pt idx="63" formatCode="General">
                  <c:v>-11.051679273827535</c:v>
                </c:pt>
                <c:pt idx="64" formatCode="General">
                  <c:v>-11.120666666666667</c:v>
                </c:pt>
                <c:pt idx="65" formatCode="General">
                  <c:v>-11.187333333333333</c:v>
                </c:pt>
                <c:pt idx="66" formatCode="General">
                  <c:v>-11.247831325301204</c:v>
                </c:pt>
                <c:pt idx="67" formatCode="General">
                  <c:v>-11.308181818181817</c:v>
                </c:pt>
                <c:pt idx="68" formatCode="General">
                  <c:v>-11.368787878787879</c:v>
                </c:pt>
                <c:pt idx="69" formatCode="General">
                  <c:v>-11.425454545454546</c:v>
                </c:pt>
                <c:pt idx="70" formatCode="General">
                  <c:v>-11.48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519B-476E-9773-6FD296E53CFF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-61.171090909090907</c:v>
                </c:pt>
                <c:pt idx="1">
                  <c:v>-59.374363636363633</c:v>
                </c:pt>
                <c:pt idx="2" formatCode="General">
                  <c:v>-57.701636363636361</c:v>
                </c:pt>
                <c:pt idx="3" formatCode="General">
                  <c:v>-55.812121212121212</c:v>
                </c:pt>
                <c:pt idx="4" formatCode="General">
                  <c:v>-53.790060606060607</c:v>
                </c:pt>
                <c:pt idx="5" formatCode="General">
                  <c:v>-51.165818181818182</c:v>
                </c:pt>
                <c:pt idx="6" formatCode="General">
                  <c:v>-48.968012048192769</c:v>
                </c:pt>
                <c:pt idx="7" formatCode="General">
                  <c:v>-47.335481927710845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-8.356559757942513</c:v>
                </c:pt>
                <c:pt idx="65" formatCode="General">
                  <c:v>-8.4181331316187595</c:v>
                </c:pt>
                <c:pt idx="66" formatCode="General">
                  <c:v>-8.4797065052950078</c:v>
                </c:pt>
                <c:pt idx="67" formatCode="General">
                  <c:v>-8.5412798789712561</c:v>
                </c:pt>
                <c:pt idx="68" formatCode="General">
                  <c:v>-8.6028532526475043</c:v>
                </c:pt>
                <c:pt idx="69" formatCode="General">
                  <c:v>-8.6644266263237526</c:v>
                </c:pt>
                <c:pt idx="70" formatCode="General">
                  <c:v>-8.7260000000000009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519B-476E-9773-6FD296E53CF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-61.171090909090907</c:v>
                </c:pt>
                <c:pt idx="1">
                  <c:v>-59.374363636363633</c:v>
                </c:pt>
                <c:pt idx="2" formatCode="General">
                  <c:v>-57.701636363636361</c:v>
                </c:pt>
                <c:pt idx="3" formatCode="General">
                  <c:v>-55.812121212121212</c:v>
                </c:pt>
                <c:pt idx="4" formatCode="General">
                  <c:v>-53.790060606060607</c:v>
                </c:pt>
                <c:pt idx="5" formatCode="General">
                  <c:v>-51.165818181818182</c:v>
                </c:pt>
                <c:pt idx="6" formatCode="General">
                  <c:v>-48.968012048192769</c:v>
                </c:pt>
                <c:pt idx="7" formatCode="General">
                  <c:v>-47.335481927710845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-8.356559757942513</c:v>
                </c:pt>
                <c:pt idx="65" formatCode="General">
                  <c:v>-8.4181331316187595</c:v>
                </c:pt>
                <c:pt idx="66" formatCode="General">
                  <c:v>-8.4797065052950078</c:v>
                </c:pt>
                <c:pt idx="67" formatCode="General">
                  <c:v>-8.5412798789712561</c:v>
                </c:pt>
                <c:pt idx="68" formatCode="General">
                  <c:v>-8.6028532526475043</c:v>
                </c:pt>
                <c:pt idx="69" formatCode="General">
                  <c:v>-8.6644266263237526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-186.94066666666666</c:v>
                </c:pt>
                <c:pt idx="1">
                  <c:v>-181.6330303030303</c:v>
                </c:pt>
                <c:pt idx="2" formatCode="General">
                  <c:v>-176.69363636363636</c:v>
                </c:pt>
                <c:pt idx="3" formatCode="General">
                  <c:v>-172.13030303030303</c:v>
                </c:pt>
                <c:pt idx="4" formatCode="General">
                  <c:v>-167.7351515151515</c:v>
                </c:pt>
                <c:pt idx="5" formatCode="General">
                  <c:v>-163.67454545454547</c:v>
                </c:pt>
                <c:pt idx="6" formatCode="General">
                  <c:v>-159.8109638554217</c:v>
                </c:pt>
                <c:pt idx="7" formatCode="General">
                  <c:v>-156.20855421686747</c:v>
                </c:pt>
                <c:pt idx="8" formatCode="General">
                  <c:v>-152.846</c:v>
                </c:pt>
                <c:pt idx="9" formatCode="General">
                  <c:v>-149.58854545454545</c:v>
                </c:pt>
                <c:pt idx="10" formatCode="General">
                  <c:v>-146.57642424242425</c:v>
                </c:pt>
                <c:pt idx="11" formatCode="General">
                  <c:v>-143.84090771558246</c:v>
                </c:pt>
                <c:pt idx="12" formatCode="General">
                  <c:v>-141.41730711043874</c:v>
                </c:pt>
                <c:pt idx="13" formatCode="General">
                  <c:v>-138.99370650529502</c:v>
                </c:pt>
                <c:pt idx="14" formatCode="General">
                  <c:v>-136.57010590015128</c:v>
                </c:pt>
                <c:pt idx="15" formatCode="General">
                  <c:v>-134.14650529500756</c:v>
                </c:pt>
                <c:pt idx="16" formatCode="General">
                  <c:v>-131.72290468986381</c:v>
                </c:pt>
                <c:pt idx="17" formatCode="General">
                  <c:v>-129.29930408472009</c:v>
                </c:pt>
                <c:pt idx="18" formatCode="General">
                  <c:v>-127.32339393939394</c:v>
                </c:pt>
                <c:pt idx="19" formatCode="General">
                  <c:v>-125.45727272727274</c:v>
                </c:pt>
                <c:pt idx="20" formatCode="General">
                  <c:v>-123.73</c:v>
                </c:pt>
                <c:pt idx="21" formatCode="General">
                  <c:v>-122.06381818181818</c:v>
                </c:pt>
                <c:pt idx="22" formatCode="General">
                  <c:v>-120.44563636363635</c:v>
                </c:pt>
                <c:pt idx="23" formatCode="General">
                  <c:v>-118.97885542168675</c:v>
                </c:pt>
                <c:pt idx="24" formatCode="General">
                  <c:v>-117.55818181818184</c:v>
                </c:pt>
                <c:pt idx="25" formatCode="General">
                  <c:v>-116.23090909090909</c:v>
                </c:pt>
                <c:pt idx="26" formatCode="General">
                  <c:v>-114.98363636363636</c:v>
                </c:pt>
                <c:pt idx="27" formatCode="General">
                  <c:v>-113.78969696969696</c:v>
                </c:pt>
                <c:pt idx="28" formatCode="General">
                  <c:v>-112.72242424242424</c:v>
                </c:pt>
                <c:pt idx="29" formatCode="General">
                  <c:v>-111.70363636363636</c:v>
                </c:pt>
                <c:pt idx="30" formatCode="General">
                  <c:v>-110.78242424242426</c:v>
                </c:pt>
                <c:pt idx="31" formatCode="General">
                  <c:v>-109.98503782148261</c:v>
                </c:pt>
                <c:pt idx="32" formatCode="General">
                  <c:v>-109.25432677760969</c:v>
                </c:pt>
                <c:pt idx="33" formatCode="General">
                  <c:v>-108.52361573373678</c:v>
                </c:pt>
                <c:pt idx="34" formatCode="General">
                  <c:v>-107.79290468986385</c:v>
                </c:pt>
                <c:pt idx="35" formatCode="General">
                  <c:v>-107.06219364599093</c:v>
                </c:pt>
                <c:pt idx="36" formatCode="General">
                  <c:v>-106.33148260211802</c:v>
                </c:pt>
                <c:pt idx="37" formatCode="General">
                  <c:v>-105.60851739788201</c:v>
                </c:pt>
                <c:pt idx="38" formatCode="General">
                  <c:v>-105.07145234493193</c:v>
                </c:pt>
                <c:pt idx="39" formatCode="General">
                  <c:v>-104.53438729198186</c:v>
                </c:pt>
                <c:pt idx="40" formatCode="General">
                  <c:v>-103.99732223903179</c:v>
                </c:pt>
                <c:pt idx="41" formatCode="General">
                  <c:v>-103.46025718608171</c:v>
                </c:pt>
                <c:pt idx="42" formatCode="General">
                  <c:v>-102.92319213313164</c:v>
                </c:pt>
                <c:pt idx="43" formatCode="General">
                  <c:v>-102.38612708018155</c:v>
                </c:pt>
                <c:pt idx="44" formatCode="General">
                  <c:v>-101.92972768532528</c:v>
                </c:pt>
                <c:pt idx="45" formatCode="General">
                  <c:v>-101.58025718608171</c:v>
                </c:pt>
                <c:pt idx="46" formatCode="General">
                  <c:v>-101.23078668683813</c:v>
                </c:pt>
                <c:pt idx="47" formatCode="General">
                  <c:v>-100.88131618759456</c:v>
                </c:pt>
                <c:pt idx="48" formatCode="General">
                  <c:v>-100.531845688351</c:v>
                </c:pt>
                <c:pt idx="49" formatCode="General">
                  <c:v>-100.18237518910742</c:v>
                </c:pt>
                <c:pt idx="50" formatCode="General">
                  <c:v>-99.832904689863852</c:v>
                </c:pt>
                <c:pt idx="51" formatCode="General">
                  <c:v>-99.75384848484849</c:v>
                </c:pt>
                <c:pt idx="52" formatCode="General">
                  <c:v>-99.734151515151524</c:v>
                </c:pt>
                <c:pt idx="53" formatCode="General">
                  <c:v>-99.714454545454544</c:v>
                </c:pt>
                <c:pt idx="54" formatCode="General">
                  <c:v>-99.694757575757578</c:v>
                </c:pt>
                <c:pt idx="55" formatCode="General">
                  <c:v>-99.675060606060597</c:v>
                </c:pt>
                <c:pt idx="56" formatCode="General">
                  <c:v>-99.655363636363631</c:v>
                </c:pt>
                <c:pt idx="57" formatCode="General">
                  <c:v>-99.690891566265051</c:v>
                </c:pt>
                <c:pt idx="58" formatCode="General">
                  <c:v>-99.922216867469871</c:v>
                </c:pt>
                <c:pt idx="59" formatCode="General">
                  <c:v>-100.1808</c:v>
                </c:pt>
                <c:pt idx="60" formatCode="General">
                  <c:v>-100.46079999999999</c:v>
                </c:pt>
                <c:pt idx="61" formatCode="General">
                  <c:v>-100.79705454545453</c:v>
                </c:pt>
                <c:pt idx="62" formatCode="General">
                  <c:v>-101.1461212121212</c:v>
                </c:pt>
                <c:pt idx="63" formatCode="General">
                  <c:v>-101.51581818181819</c:v>
                </c:pt>
                <c:pt idx="64" formatCode="General">
                  <c:v>-101.89569440242059</c:v>
                </c:pt>
                <c:pt idx="65" formatCode="General">
                  <c:v>-102.28207866868382</c:v>
                </c:pt>
                <c:pt idx="66" formatCode="General">
                  <c:v>-102.66846293494706</c:v>
                </c:pt>
                <c:pt idx="67" formatCode="General">
                  <c:v>-103.05484720121029</c:v>
                </c:pt>
                <c:pt idx="68" formatCode="General">
                  <c:v>-103.44123146747353</c:v>
                </c:pt>
                <c:pt idx="69" formatCode="General">
                  <c:v>-103.82761573373676</c:v>
                </c:pt>
                <c:pt idx="70" formatCode="General">
                  <c:v>-104.214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ser>
          <c:idx val="75"/>
          <c:order val="75"/>
          <c:tx>
            <c:strRef>
              <c:f>'Gibbs-EVAL'!$A$176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'Gibbs-EVAL'!$B$176:$BT$176</c:f>
              <c:numCache>
                <c:formatCode>0</c:formatCode>
                <c:ptCount val="71"/>
                <c:pt idx="0">
                  <c:v>-60.883878787878785</c:v>
                </c:pt>
                <c:pt idx="1">
                  <c:v>-58.790060606060599</c:v>
                </c:pt>
                <c:pt idx="2" formatCode="General">
                  <c:v>-56.711272727272721</c:v>
                </c:pt>
                <c:pt idx="3" formatCode="General">
                  <c:v>-54.641333333333328</c:v>
                </c:pt>
                <c:pt idx="4" formatCode="General">
                  <c:v>-52.535393939393941</c:v>
                </c:pt>
                <c:pt idx="5" formatCode="General">
                  <c:v>-49.977818181818179</c:v>
                </c:pt>
                <c:pt idx="6" formatCode="General">
                  <c:v>-47.784337349397589</c:v>
                </c:pt>
                <c:pt idx="7" formatCode="General">
                  <c:v>-46.073493975903617</c:v>
                </c:pt>
                <c:pt idx="8" formatCode="General">
                  <c:v>-44.378</c:v>
                </c:pt>
                <c:pt idx="9" formatCode="General">
                  <c:v>-42.69290909090909</c:v>
                </c:pt>
                <c:pt idx="10" formatCode="General">
                  <c:v>-41.050484848484849</c:v>
                </c:pt>
                <c:pt idx="11" formatCode="General">
                  <c:v>-39.518729198184573</c:v>
                </c:pt>
                <c:pt idx="12" formatCode="General">
                  <c:v>-38.111770045385782</c:v>
                </c:pt>
                <c:pt idx="13" formatCode="General">
                  <c:v>-36.704810892586991</c:v>
                </c:pt>
                <c:pt idx="14" formatCode="General">
                  <c:v>-35.2978517397882</c:v>
                </c:pt>
                <c:pt idx="15" formatCode="General">
                  <c:v>-33.890892586989409</c:v>
                </c:pt>
                <c:pt idx="16" formatCode="General">
                  <c:v>-32.483933434190618</c:v>
                </c:pt>
                <c:pt idx="17" formatCode="General">
                  <c:v>-31.076974281391827</c:v>
                </c:pt>
                <c:pt idx="18" formatCode="General">
                  <c:v>-29.905333333333331</c:v>
                </c:pt>
                <c:pt idx="19" formatCode="General">
                  <c:v>-28.792363636363635</c:v>
                </c:pt>
                <c:pt idx="20" formatCode="General">
                  <c:v>-27.756</c:v>
                </c:pt>
                <c:pt idx="21" formatCode="General">
                  <c:v>-26.750181818181815</c:v>
                </c:pt>
                <c:pt idx="22" formatCode="General">
                  <c:v>-25.768363636363635</c:v>
                </c:pt>
                <c:pt idx="23" formatCode="General">
                  <c:v>-24.846746987951807</c:v>
                </c:pt>
                <c:pt idx="24" formatCode="General">
                  <c:v>-23.941818181818181</c:v>
                </c:pt>
                <c:pt idx="25" formatCode="General">
                  <c:v>-23.069090909090907</c:v>
                </c:pt>
                <c:pt idx="26" formatCode="General">
                  <c:v>-22.236363636363635</c:v>
                </c:pt>
                <c:pt idx="27" formatCode="General">
                  <c:v>-21.43030303030303</c:v>
                </c:pt>
                <c:pt idx="28" formatCode="General">
                  <c:v>-20.687575757575758</c:v>
                </c:pt>
                <c:pt idx="29" formatCode="General">
                  <c:v>-19.966363636363639</c:v>
                </c:pt>
                <c:pt idx="30" formatCode="General">
                  <c:v>-19.287575757575759</c:v>
                </c:pt>
                <c:pt idx="31" formatCode="General">
                  <c:v>-18.675340393343419</c:v>
                </c:pt>
                <c:pt idx="32" formatCode="General">
                  <c:v>-18.098940998487141</c:v>
                </c:pt>
                <c:pt idx="33" formatCode="General">
                  <c:v>-17.522541603630863</c:v>
                </c:pt>
                <c:pt idx="34" formatCode="General">
                  <c:v>-16.946142208774585</c:v>
                </c:pt>
                <c:pt idx="35" formatCode="General">
                  <c:v>-16.369742813918307</c:v>
                </c:pt>
                <c:pt idx="36" formatCode="General">
                  <c:v>-15.79334341906203</c:v>
                </c:pt>
                <c:pt idx="37" formatCode="General">
                  <c:v>-15.221180030257187</c:v>
                </c:pt>
                <c:pt idx="38" formatCode="General">
                  <c:v>-14.750680786686839</c:v>
                </c:pt>
                <c:pt idx="39" formatCode="General">
                  <c:v>-14.280181543116491</c:v>
                </c:pt>
                <c:pt idx="40" formatCode="General">
                  <c:v>-13.809682299546145</c:v>
                </c:pt>
                <c:pt idx="41" formatCode="General">
                  <c:v>-13.339183055975797</c:v>
                </c:pt>
                <c:pt idx="42" formatCode="General">
                  <c:v>-12.868683812405449</c:v>
                </c:pt>
                <c:pt idx="43" formatCode="General">
                  <c:v>-12.398184568835102</c:v>
                </c:pt>
                <c:pt idx="44" formatCode="General">
                  <c:v>-11.972897125567325</c:v>
                </c:pt>
                <c:pt idx="45" formatCode="General">
                  <c:v>-11.607541603630864</c:v>
                </c:pt>
                <c:pt idx="46" formatCode="General">
                  <c:v>-11.242186081694403</c:v>
                </c:pt>
                <c:pt idx="47" formatCode="General">
                  <c:v>-10.876830559757943</c:v>
                </c:pt>
                <c:pt idx="48" formatCode="General">
                  <c:v>-10.511475037821482</c:v>
                </c:pt>
                <c:pt idx="49" formatCode="General">
                  <c:v>-10.146119515885022</c:v>
                </c:pt>
                <c:pt idx="50" formatCode="General">
                  <c:v>-9.7807639939485611</c:v>
                </c:pt>
                <c:pt idx="51" formatCode="General">
                  <c:v>-9.5615606060606044</c:v>
                </c:pt>
                <c:pt idx="52" formatCode="General">
                  <c:v>-9.3744393939393937</c:v>
                </c:pt>
                <c:pt idx="53" formatCode="General">
                  <c:v>-9.1873181818181813</c:v>
                </c:pt>
                <c:pt idx="54" formatCode="General">
                  <c:v>-9.0001969696969688</c:v>
                </c:pt>
                <c:pt idx="55" formatCode="General">
                  <c:v>-8.8130757575757563</c:v>
                </c:pt>
                <c:pt idx="56" formatCode="General">
                  <c:v>-8.6259545454545457</c:v>
                </c:pt>
                <c:pt idx="57" formatCode="General">
                  <c:v>-8.4656867469879522</c:v>
                </c:pt>
                <c:pt idx="58" formatCode="General">
                  <c:v>-8.4006265060240963</c:v>
                </c:pt>
                <c:pt idx="59" formatCode="General">
                  <c:v>-8.3536727272727269</c:v>
                </c:pt>
                <c:pt idx="60" formatCode="General">
                  <c:v>-8.3209454545454538</c:v>
                </c:pt>
                <c:pt idx="61" formatCode="General">
                  <c:v>-8.3080727272727266</c:v>
                </c:pt>
                <c:pt idx="62" formatCode="General">
                  <c:v>-8.3007878787878795</c:v>
                </c:pt>
                <c:pt idx="63" formatCode="General">
                  <c:v>-8.3038181818181815</c:v>
                </c:pt>
                <c:pt idx="64" formatCode="General">
                  <c:v>-8.3148744326777599</c:v>
                </c:pt>
                <c:pt idx="65" formatCode="General">
                  <c:v>-8.3310620272314679</c:v>
                </c:pt>
                <c:pt idx="66" formatCode="General">
                  <c:v>-8.3472496217851742</c:v>
                </c:pt>
                <c:pt idx="67" formatCode="General">
                  <c:v>-8.3634372163388804</c:v>
                </c:pt>
                <c:pt idx="68" formatCode="General">
                  <c:v>-8.3796248108925866</c:v>
                </c:pt>
                <c:pt idx="69" formatCode="General">
                  <c:v>-8.3958124054462946</c:v>
                </c:pt>
                <c:pt idx="70" formatCode="General">
                  <c:v>-8.4120000000000008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D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-15.28274886535552</c:v>
                      </c:pt>
                      <c:pt idx="1">
                        <c:v>-15.442506807866867</c:v>
                      </c:pt>
                      <c:pt idx="2" formatCode="General">
                        <c:v>-15.602264750378213</c:v>
                      </c:pt>
                      <c:pt idx="3" formatCode="General">
                        <c:v>-15.762022692889561</c:v>
                      </c:pt>
                      <c:pt idx="4" formatCode="General">
                        <c:v>-15.923124054462933</c:v>
                      </c:pt>
                      <c:pt idx="5" formatCode="General">
                        <c:v>-16.099674735249621</c:v>
                      </c:pt>
                      <c:pt idx="6" formatCode="General">
                        <c:v>-16.276225416036308</c:v>
                      </c:pt>
                      <c:pt idx="7" formatCode="General">
                        <c:v>-16.452776096822994</c:v>
                      </c:pt>
                      <c:pt idx="8" formatCode="General">
                        <c:v>-16.629326777609684</c:v>
                      </c:pt>
                      <c:pt idx="9" formatCode="General">
                        <c:v>-16.80587745839637</c:v>
                      </c:pt>
                      <c:pt idx="10" formatCode="General">
                        <c:v>-16.982428139183057</c:v>
                      </c:pt>
                      <c:pt idx="11" formatCode="General">
                        <c:v>-17.157698940998486</c:v>
                      </c:pt>
                      <c:pt idx="12" formatCode="General">
                        <c:v>-17.331526475037823</c:v>
                      </c:pt>
                      <c:pt idx="13" formatCode="General">
                        <c:v>-17.505354009077156</c:v>
                      </c:pt>
                      <c:pt idx="14" formatCode="General">
                        <c:v>-17.679181543116492</c:v>
                      </c:pt>
                      <c:pt idx="15" formatCode="General">
                        <c:v>-17.853009077155825</c:v>
                      </c:pt>
                      <c:pt idx="16" formatCode="General">
                        <c:v>-18.026836611195161</c:v>
                      </c:pt>
                      <c:pt idx="17" formatCode="General">
                        <c:v>-18.200664145234494</c:v>
                      </c:pt>
                      <c:pt idx="18" formatCode="General">
                        <c:v>-18.366685325264751</c:v>
                      </c:pt>
                      <c:pt idx="19" formatCode="General">
                        <c:v>-18.531435703479577</c:v>
                      </c:pt>
                      <c:pt idx="20" formatCode="General">
                        <c:v>-18.696186081694403</c:v>
                      </c:pt>
                      <c:pt idx="21" formatCode="General">
                        <c:v>-18.86093645990923</c:v>
                      </c:pt>
                      <c:pt idx="22" formatCode="General">
                        <c:v>-19.025686838124056</c:v>
                      </c:pt>
                      <c:pt idx="23" formatCode="General">
                        <c:v>-19.190437216338882</c:v>
                      </c:pt>
                      <c:pt idx="24" formatCode="General">
                        <c:v>-19.353545454545454</c:v>
                      </c:pt>
                      <c:pt idx="25" formatCode="General">
                        <c:v>-19.511727272727274</c:v>
                      </c:pt>
                      <c:pt idx="26" formatCode="General">
                        <c:v>-19.667727272727276</c:v>
                      </c:pt>
                      <c:pt idx="27" formatCode="General">
                        <c:v>-19.822272727272729</c:v>
                      </c:pt>
                      <c:pt idx="28" formatCode="General">
                        <c:v>-19.971636363636364</c:v>
                      </c:pt>
                      <c:pt idx="29" formatCode="General">
                        <c:v>-20.119636363636364</c:v>
                      </c:pt>
                      <c:pt idx="30" formatCode="General">
                        <c:v>-20.265090909090912</c:v>
                      </c:pt>
                      <c:pt idx="31" formatCode="General">
                        <c:v>-20.404207261724661</c:v>
                      </c:pt>
                      <c:pt idx="32" formatCode="General">
                        <c:v>-20.53991074130106</c:v>
                      </c:pt>
                      <c:pt idx="33" formatCode="General">
                        <c:v>-20.67561422087746</c:v>
                      </c:pt>
                      <c:pt idx="34" formatCode="General">
                        <c:v>-20.811317700453859</c:v>
                      </c:pt>
                      <c:pt idx="35" formatCode="General">
                        <c:v>-20.947021180030259</c:v>
                      </c:pt>
                      <c:pt idx="36" formatCode="General">
                        <c:v>-21.082724659606658</c:v>
                      </c:pt>
                      <c:pt idx="37" formatCode="General">
                        <c:v>-21.217992435703479</c:v>
                      </c:pt>
                      <c:pt idx="38" formatCode="General">
                        <c:v>-21.342803328290469</c:v>
                      </c:pt>
                      <c:pt idx="39" formatCode="General">
                        <c:v>-21.467614220877458</c:v>
                      </c:pt>
                      <c:pt idx="40" formatCode="General">
                        <c:v>-21.592425113464447</c:v>
                      </c:pt>
                      <c:pt idx="41" formatCode="General">
                        <c:v>-21.717236006051436</c:v>
                      </c:pt>
                      <c:pt idx="42" formatCode="General">
                        <c:v>-21.842046898638426</c:v>
                      </c:pt>
                      <c:pt idx="43" formatCode="General">
                        <c:v>-21.966857791225415</c:v>
                      </c:pt>
                      <c:pt idx="44" formatCode="General">
                        <c:v>-22.090107413010589</c:v>
                      </c:pt>
                      <c:pt idx="45" formatCode="General">
                        <c:v>-22.211287443267775</c:v>
                      </c:pt>
                      <c:pt idx="46" formatCode="General">
                        <c:v>-22.332467473524964</c:v>
                      </c:pt>
                      <c:pt idx="47" formatCode="General">
                        <c:v>-22.45364750378215</c:v>
                      </c:pt>
                      <c:pt idx="48" formatCode="General">
                        <c:v>-22.574827534039336</c:v>
                      </c:pt>
                      <c:pt idx="49" formatCode="General">
                        <c:v>-22.696007564296522</c:v>
                      </c:pt>
                      <c:pt idx="50" formatCode="General">
                        <c:v>-22.817187594553708</c:v>
                      </c:pt>
                      <c:pt idx="51" formatCode="General">
                        <c:v>-22.940754545454549</c:v>
                      </c:pt>
                      <c:pt idx="52" formatCode="General">
                        <c:v>-23.064845454545456</c:v>
                      </c:pt>
                      <c:pt idx="53" formatCode="General">
                        <c:v>-23.188936363636365</c:v>
                      </c:pt>
                      <c:pt idx="54" formatCode="General">
                        <c:v>-23.313027272727275</c:v>
                      </c:pt>
                      <c:pt idx="55" formatCode="General">
                        <c:v>-23.437118181818185</c:v>
                      </c:pt>
                      <c:pt idx="56" formatCode="General">
                        <c:v>-23.561209090909092</c:v>
                      </c:pt>
                      <c:pt idx="57" formatCode="General">
                        <c:v>-23.68805446293495</c:v>
                      </c:pt>
                      <c:pt idx="58" formatCode="General">
                        <c:v>-23.824665658093799</c:v>
                      </c:pt>
                      <c:pt idx="59" formatCode="General">
                        <c:v>-23.961276853252649</c:v>
                      </c:pt>
                      <c:pt idx="60" formatCode="General">
                        <c:v>-24.097888048411498</c:v>
                      </c:pt>
                      <c:pt idx="61" formatCode="General">
                        <c:v>-24.234499243570347</c:v>
                      </c:pt>
                      <c:pt idx="62" formatCode="General">
                        <c:v>-24.3711104387292</c:v>
                      </c:pt>
                      <c:pt idx="63" formatCode="General">
                        <c:v>-24.50772163388805</c:v>
                      </c:pt>
                      <c:pt idx="64" formatCode="General">
                        <c:v>-24.653054545454545</c:v>
                      </c:pt>
                      <c:pt idx="65" formatCode="General">
                        <c:v>-24.803963636363637</c:v>
                      </c:pt>
                      <c:pt idx="66" formatCode="General">
                        <c:v>-24.960939759036144</c:v>
                      </c:pt>
                      <c:pt idx="67" formatCode="General">
                        <c:v>-25.121181818181817</c:v>
                      </c:pt>
                      <c:pt idx="68" formatCode="General">
                        <c:v>-25.288454545454545</c:v>
                      </c:pt>
                      <c:pt idx="69" formatCode="General">
                        <c:v>-25.461636363636362</c:v>
                      </c:pt>
                      <c:pt idx="70" formatCode="General">
                        <c:v>-25.637999999999998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-20.376998487140696</c:v>
                      </c:pt>
                      <c:pt idx="1">
                        <c:v>-20.590009077155823</c:v>
                      </c:pt>
                      <c:pt idx="2" formatCode="General">
                        <c:v>-20.803019667170954</c:v>
                      </c:pt>
                      <c:pt idx="3" formatCode="General">
                        <c:v>-21.016030257186081</c:v>
                      </c:pt>
                      <c:pt idx="4" formatCode="General">
                        <c:v>-21.230832072617247</c:v>
                      </c:pt>
                      <c:pt idx="5" formatCode="General">
                        <c:v>-21.46623298033283</c:v>
                      </c:pt>
                      <c:pt idx="6" formatCode="General">
                        <c:v>-21.701633888048413</c:v>
                      </c:pt>
                      <c:pt idx="7" formatCode="General">
                        <c:v>-21.937034795763996</c:v>
                      </c:pt>
                      <c:pt idx="8" formatCode="General">
                        <c:v>-22.172435703479575</c:v>
                      </c:pt>
                      <c:pt idx="9" formatCode="General">
                        <c:v>-22.407836611195158</c:v>
                      </c:pt>
                      <c:pt idx="10" formatCode="General">
                        <c:v>-22.643237518910741</c:v>
                      </c:pt>
                      <c:pt idx="11" formatCode="General">
                        <c:v>-22.876931921331316</c:v>
                      </c:pt>
                      <c:pt idx="12" formatCode="General">
                        <c:v>-23.108701966717096</c:v>
                      </c:pt>
                      <c:pt idx="13" formatCode="General">
                        <c:v>-23.340472012102875</c:v>
                      </c:pt>
                      <c:pt idx="14" formatCode="General">
                        <c:v>-23.572242057488655</c:v>
                      </c:pt>
                      <c:pt idx="15" formatCode="General">
                        <c:v>-23.804012102874434</c:v>
                      </c:pt>
                      <c:pt idx="16" formatCode="General">
                        <c:v>-24.035782148260214</c:v>
                      </c:pt>
                      <c:pt idx="17" formatCode="General">
                        <c:v>-24.267552193645994</c:v>
                      </c:pt>
                      <c:pt idx="18" formatCode="General">
                        <c:v>-24.488913767019667</c:v>
                      </c:pt>
                      <c:pt idx="19" formatCode="General">
                        <c:v>-24.708580937972769</c:v>
                      </c:pt>
                      <c:pt idx="20" formatCode="General">
                        <c:v>-24.928248108925871</c:v>
                      </c:pt>
                      <c:pt idx="21" formatCode="General">
                        <c:v>-25.147915279878973</c:v>
                      </c:pt>
                      <c:pt idx="22" formatCode="General">
                        <c:v>-25.367582450832071</c:v>
                      </c:pt>
                      <c:pt idx="23" formatCode="General">
                        <c:v>-25.587249621785173</c:v>
                      </c:pt>
                      <c:pt idx="24" formatCode="General">
                        <c:v>-25.804727272727273</c:v>
                      </c:pt>
                      <c:pt idx="25" formatCode="General">
                        <c:v>-26.015636363636364</c:v>
                      </c:pt>
                      <c:pt idx="26" formatCode="General">
                        <c:v>-26.223636363636366</c:v>
                      </c:pt>
                      <c:pt idx="27" formatCode="General">
                        <c:v>-26.42969696969697</c:v>
                      </c:pt>
                      <c:pt idx="28" formatCode="General">
                        <c:v>-26.628848484848486</c:v>
                      </c:pt>
                      <c:pt idx="29" formatCode="General">
                        <c:v>-26.826181818181819</c:v>
                      </c:pt>
                      <c:pt idx="30" formatCode="General">
                        <c:v>-27.020121212121214</c:v>
                      </c:pt>
                      <c:pt idx="31" formatCode="General">
                        <c:v>-27.205609682299546</c:v>
                      </c:pt>
                      <c:pt idx="32" formatCode="General">
                        <c:v>-27.386547655068078</c:v>
                      </c:pt>
                      <c:pt idx="33" formatCode="General">
                        <c:v>-27.567485627836611</c:v>
                      </c:pt>
                      <c:pt idx="34" formatCode="General">
                        <c:v>-27.748423600605143</c:v>
                      </c:pt>
                      <c:pt idx="35" formatCode="General">
                        <c:v>-27.929361573373676</c:v>
                      </c:pt>
                      <c:pt idx="36" formatCode="General">
                        <c:v>-28.110299546142208</c:v>
                      </c:pt>
                      <c:pt idx="37" formatCode="General">
                        <c:v>-28.29065658093797</c:v>
                      </c:pt>
                      <c:pt idx="38" formatCode="General">
                        <c:v>-28.457071104387289</c:v>
                      </c:pt>
                      <c:pt idx="39" formatCode="General">
                        <c:v>-28.623485627836612</c:v>
                      </c:pt>
                      <c:pt idx="40" formatCode="General">
                        <c:v>-28.789900151285931</c:v>
                      </c:pt>
                      <c:pt idx="41" formatCode="General">
                        <c:v>-28.95631467473525</c:v>
                      </c:pt>
                      <c:pt idx="42" formatCode="General">
                        <c:v>-29.122729198184569</c:v>
                      </c:pt>
                      <c:pt idx="43" formatCode="General">
                        <c:v>-29.289143721633888</c:v>
                      </c:pt>
                      <c:pt idx="44" formatCode="General">
                        <c:v>-29.453476550680787</c:v>
                      </c:pt>
                      <c:pt idx="45" formatCode="General">
                        <c:v>-29.615049924357034</c:v>
                      </c:pt>
                      <c:pt idx="46" formatCode="General">
                        <c:v>-29.776623298033282</c:v>
                      </c:pt>
                      <c:pt idx="47" formatCode="General">
                        <c:v>-29.938196671709534</c:v>
                      </c:pt>
                      <c:pt idx="48" formatCode="General">
                        <c:v>-30.099770045385782</c:v>
                      </c:pt>
                      <c:pt idx="49" formatCode="General">
                        <c:v>-30.26134341906203</c:v>
                      </c:pt>
                      <c:pt idx="50" formatCode="General">
                        <c:v>-30.422916792738278</c:v>
                      </c:pt>
                      <c:pt idx="51" formatCode="General">
                        <c:v>-30.587672727272729</c:v>
                      </c:pt>
                      <c:pt idx="52" formatCode="General">
                        <c:v>-30.753127272727276</c:v>
                      </c:pt>
                      <c:pt idx="53" formatCode="General">
                        <c:v>-30.918581818181821</c:v>
                      </c:pt>
                      <c:pt idx="54" formatCode="General">
                        <c:v>-31.084036363636365</c:v>
                      </c:pt>
                      <c:pt idx="55" formatCode="General">
                        <c:v>-31.249490909090909</c:v>
                      </c:pt>
                      <c:pt idx="56" formatCode="General">
                        <c:v>-31.414945454545457</c:v>
                      </c:pt>
                      <c:pt idx="57" formatCode="General">
                        <c:v>-31.584072617246598</c:v>
                      </c:pt>
                      <c:pt idx="58" formatCode="General">
                        <c:v>-31.766220877458398</c:v>
                      </c:pt>
                      <c:pt idx="59" formatCode="General">
                        <c:v>-31.948369137670198</c:v>
                      </c:pt>
                      <c:pt idx="60" formatCode="General">
                        <c:v>-32.130517397881995</c:v>
                      </c:pt>
                      <c:pt idx="61" formatCode="General">
                        <c:v>-32.312665658093799</c:v>
                      </c:pt>
                      <c:pt idx="62" formatCode="General">
                        <c:v>-32.494813918305596</c:v>
                      </c:pt>
                      <c:pt idx="63" formatCode="General">
                        <c:v>-32.6769621785174</c:v>
                      </c:pt>
                      <c:pt idx="64" formatCode="General">
                        <c:v>-32.870739393939395</c:v>
                      </c:pt>
                      <c:pt idx="65" formatCode="General">
                        <c:v>-33.071951515151511</c:v>
                      </c:pt>
                      <c:pt idx="66" formatCode="General">
                        <c:v>-33.28125301204819</c:v>
                      </c:pt>
                      <c:pt idx="67" formatCode="General">
                        <c:v>-33.49490909090909</c:v>
                      </c:pt>
                      <c:pt idx="68" formatCode="General">
                        <c:v>-33.717939393939396</c:v>
                      </c:pt>
                      <c:pt idx="69" formatCode="General">
                        <c:v>-33.948848484848483</c:v>
                      </c:pt>
                      <c:pt idx="70" formatCode="General">
                        <c:v>-34.183999999999997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-25.47124810892587</c:v>
                      </c:pt>
                      <c:pt idx="1">
                        <c:v>-25.73751134644478</c:v>
                      </c:pt>
                      <c:pt idx="2" formatCode="General">
                        <c:v>-26.00377458396369</c:v>
                      </c:pt>
                      <c:pt idx="3" formatCode="General">
                        <c:v>-26.270037821482603</c:v>
                      </c:pt>
                      <c:pt idx="4" formatCode="General">
                        <c:v>-26.538540090771559</c:v>
                      </c:pt>
                      <c:pt idx="5" formatCode="General">
                        <c:v>-26.832791225416038</c:v>
                      </c:pt>
                      <c:pt idx="6" formatCode="General">
                        <c:v>-27.127042360060514</c:v>
                      </c:pt>
                      <c:pt idx="7" formatCode="General">
                        <c:v>-27.421293494704994</c:v>
                      </c:pt>
                      <c:pt idx="8" formatCode="General">
                        <c:v>-27.71554462934947</c:v>
                      </c:pt>
                      <c:pt idx="9" formatCode="General">
                        <c:v>-28.009795763993949</c:v>
                      </c:pt>
                      <c:pt idx="10" formatCode="General">
                        <c:v>-28.304046898638425</c:v>
                      </c:pt>
                      <c:pt idx="11" formatCode="General">
                        <c:v>-28.596164901664146</c:v>
                      </c:pt>
                      <c:pt idx="12" formatCode="General">
                        <c:v>-28.885877458396369</c:v>
                      </c:pt>
                      <c:pt idx="13" formatCode="General">
                        <c:v>-29.175590015128595</c:v>
                      </c:pt>
                      <c:pt idx="14" formatCode="General">
                        <c:v>-29.465302571860818</c:v>
                      </c:pt>
                      <c:pt idx="15" formatCode="General">
                        <c:v>-29.75501512859304</c:v>
                      </c:pt>
                      <c:pt idx="16" formatCode="General">
                        <c:v>-30.044727685325267</c:v>
                      </c:pt>
                      <c:pt idx="17" formatCode="General">
                        <c:v>-30.334440242057489</c:v>
                      </c:pt>
                      <c:pt idx="18" formatCode="General">
                        <c:v>-30.611142208774584</c:v>
                      </c:pt>
                      <c:pt idx="19" formatCode="General">
                        <c:v>-30.885726172465962</c:v>
                      </c:pt>
                      <c:pt idx="20" formatCode="General">
                        <c:v>-31.160310136157335</c:v>
                      </c:pt>
                      <c:pt idx="21" formatCode="General">
                        <c:v>-31.434894099848712</c:v>
                      </c:pt>
                      <c:pt idx="22" formatCode="General">
                        <c:v>-31.709478063540089</c:v>
                      </c:pt>
                      <c:pt idx="23" formatCode="General">
                        <c:v>-31.984062027231467</c:v>
                      </c:pt>
                      <c:pt idx="24" formatCode="General">
                        <c:v>-32.255909090909086</c:v>
                      </c:pt>
                      <c:pt idx="25" formatCode="General">
                        <c:v>-32.519545454545451</c:v>
                      </c:pt>
                      <c:pt idx="26" formatCode="General">
                        <c:v>-32.779545454545456</c:v>
                      </c:pt>
                      <c:pt idx="27" formatCode="General">
                        <c:v>-33.037121212121214</c:v>
                      </c:pt>
                      <c:pt idx="28" formatCode="General">
                        <c:v>-33.286060606060609</c:v>
                      </c:pt>
                      <c:pt idx="29" formatCode="General">
                        <c:v>-33.532727272727271</c:v>
                      </c:pt>
                      <c:pt idx="30" formatCode="General">
                        <c:v>-33.775151515151514</c:v>
                      </c:pt>
                      <c:pt idx="31" formatCode="General">
                        <c:v>-34.007012102874434</c:v>
                      </c:pt>
                      <c:pt idx="32" formatCode="General">
                        <c:v>-34.2331845688351</c:v>
                      </c:pt>
                      <c:pt idx="33" formatCode="General">
                        <c:v>-34.459357034795765</c:v>
                      </c:pt>
                      <c:pt idx="34" formatCode="General">
                        <c:v>-34.685529500756431</c:v>
                      </c:pt>
                      <c:pt idx="35" formatCode="General">
                        <c:v>-34.911701966717089</c:v>
                      </c:pt>
                      <c:pt idx="36" formatCode="General">
                        <c:v>-35.137874432677755</c:v>
                      </c:pt>
                      <c:pt idx="37" formatCode="General">
                        <c:v>-35.363320726172461</c:v>
                      </c:pt>
                      <c:pt idx="38" formatCode="General">
                        <c:v>-35.571338880484113</c:v>
                      </c:pt>
                      <c:pt idx="39" formatCode="General">
                        <c:v>-35.779357034795765</c:v>
                      </c:pt>
                      <c:pt idx="40" formatCode="General">
                        <c:v>-35.987375189107411</c:v>
                      </c:pt>
                      <c:pt idx="41" formatCode="General">
                        <c:v>-36.195393343419063</c:v>
                      </c:pt>
                      <c:pt idx="42" formatCode="General">
                        <c:v>-36.403411497730715</c:v>
                      </c:pt>
                      <c:pt idx="43" formatCode="General">
                        <c:v>-36.611429652042361</c:v>
                      </c:pt>
                      <c:pt idx="44" formatCode="General">
                        <c:v>-36.816845688350988</c:v>
                      </c:pt>
                      <c:pt idx="45" formatCode="General">
                        <c:v>-37.018812405446297</c:v>
                      </c:pt>
                      <c:pt idx="46" formatCode="General">
                        <c:v>-37.220779122541607</c:v>
                      </c:pt>
                      <c:pt idx="47" formatCode="General">
                        <c:v>-37.422745839636917</c:v>
                      </c:pt>
                      <c:pt idx="48" formatCode="General">
                        <c:v>-37.624712556732227</c:v>
                      </c:pt>
                      <c:pt idx="49" formatCode="General">
                        <c:v>-37.826679273827537</c:v>
                      </c:pt>
                      <c:pt idx="50" formatCode="General">
                        <c:v>-38.028645990922847</c:v>
                      </c:pt>
                      <c:pt idx="51" formatCode="General">
                        <c:v>-38.234590909090912</c:v>
                      </c:pt>
                      <c:pt idx="52" formatCode="General">
                        <c:v>-38.441409090909097</c:v>
                      </c:pt>
                      <c:pt idx="53" formatCode="General">
                        <c:v>-38.648227272727276</c:v>
                      </c:pt>
                      <c:pt idx="54" formatCode="General">
                        <c:v>-38.855045454545454</c:v>
                      </c:pt>
                      <c:pt idx="55" formatCode="General">
                        <c:v>-39.06186363636364</c:v>
                      </c:pt>
                      <c:pt idx="56" formatCode="General">
                        <c:v>-39.268681818181818</c:v>
                      </c:pt>
                      <c:pt idx="57" formatCode="General">
                        <c:v>-39.480090771558245</c:v>
                      </c:pt>
                      <c:pt idx="58" formatCode="General">
                        <c:v>-39.707776096822997</c:v>
                      </c:pt>
                      <c:pt idx="59" formatCode="General">
                        <c:v>-39.935461422087748</c:v>
                      </c:pt>
                      <c:pt idx="60" formatCode="General">
                        <c:v>-40.163146747352492</c:v>
                      </c:pt>
                      <c:pt idx="61" formatCode="General">
                        <c:v>-40.390832072617243</c:v>
                      </c:pt>
                      <c:pt idx="62" formatCode="General">
                        <c:v>-40.618517397881995</c:v>
                      </c:pt>
                      <c:pt idx="63" formatCode="General">
                        <c:v>-40.846202723146746</c:v>
                      </c:pt>
                      <c:pt idx="64" formatCode="General">
                        <c:v>-41.088424242424239</c:v>
                      </c:pt>
                      <c:pt idx="65" formatCode="General">
                        <c:v>-41.339939393939389</c:v>
                      </c:pt>
                      <c:pt idx="66" formatCode="General">
                        <c:v>-41.601566265060235</c:v>
                      </c:pt>
                      <c:pt idx="67" formatCode="General">
                        <c:v>-41.868636363636362</c:v>
                      </c:pt>
                      <c:pt idx="68" formatCode="General">
                        <c:v>-42.147424242424236</c:v>
                      </c:pt>
                      <c:pt idx="69" formatCode="General">
                        <c:v>-42.4360606060606</c:v>
                      </c:pt>
                      <c:pt idx="70" formatCode="General">
                        <c:v>-42.73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-40.753996974281392</c:v>
                      </c:pt>
                      <c:pt idx="1">
                        <c:v>-41.180018154311647</c:v>
                      </c:pt>
                      <c:pt idx="2" formatCode="General">
                        <c:v>-41.606039334341908</c:v>
                      </c:pt>
                      <c:pt idx="3" formatCode="General">
                        <c:v>-42.032060514372162</c:v>
                      </c:pt>
                      <c:pt idx="4" formatCode="General">
                        <c:v>-42.461664145234494</c:v>
                      </c:pt>
                      <c:pt idx="5" formatCode="General">
                        <c:v>-42.93246596066566</c:v>
                      </c:pt>
                      <c:pt idx="6" formatCode="General">
                        <c:v>-43.403267776096826</c:v>
                      </c:pt>
                      <c:pt idx="7" formatCode="General">
                        <c:v>-43.874069591527991</c:v>
                      </c:pt>
                      <c:pt idx="8" formatCode="General">
                        <c:v>-44.34487140695915</c:v>
                      </c:pt>
                      <c:pt idx="9" formatCode="General">
                        <c:v>-44.815673222390316</c:v>
                      </c:pt>
                      <c:pt idx="10" formatCode="General">
                        <c:v>-45.286475037821482</c:v>
                      </c:pt>
                      <c:pt idx="11" formatCode="General">
                        <c:v>-45.753863842662632</c:v>
                      </c:pt>
                      <c:pt idx="12" formatCode="General">
                        <c:v>-46.217403933434191</c:v>
                      </c:pt>
                      <c:pt idx="13" formatCode="General">
                        <c:v>-46.680944024205751</c:v>
                      </c:pt>
                      <c:pt idx="14" formatCode="General">
                        <c:v>-47.14448411497731</c:v>
                      </c:pt>
                      <c:pt idx="15" formatCode="General">
                        <c:v>-47.608024205748869</c:v>
                      </c:pt>
                      <c:pt idx="16" formatCode="General">
                        <c:v>-48.071564296520428</c:v>
                      </c:pt>
                      <c:pt idx="17" formatCode="General">
                        <c:v>-48.535104387291987</c:v>
                      </c:pt>
                      <c:pt idx="18" formatCode="General">
                        <c:v>-48.977827534039335</c:v>
                      </c:pt>
                      <c:pt idx="19" formatCode="General">
                        <c:v>-49.417161875945538</c:v>
                      </c:pt>
                      <c:pt idx="20" formatCode="General">
                        <c:v>-49.856496217851742</c:v>
                      </c:pt>
                      <c:pt idx="21" formatCode="General">
                        <c:v>-50.295830559757945</c:v>
                      </c:pt>
                      <c:pt idx="22" formatCode="General">
                        <c:v>-50.735164901664142</c:v>
                      </c:pt>
                      <c:pt idx="23" formatCode="General">
                        <c:v>-51.174499243570345</c:v>
                      </c:pt>
                      <c:pt idx="24" formatCode="General">
                        <c:v>-51.609454545454547</c:v>
                      </c:pt>
                      <c:pt idx="25" formatCode="General">
                        <c:v>-52.031272727272729</c:v>
                      </c:pt>
                      <c:pt idx="26" formatCode="General">
                        <c:v>-52.447272727272733</c:v>
                      </c:pt>
                      <c:pt idx="27" formatCode="General">
                        <c:v>-52.859393939393939</c:v>
                      </c:pt>
                      <c:pt idx="28" formatCode="General">
                        <c:v>-53.257696969696973</c:v>
                      </c:pt>
                      <c:pt idx="29" formatCode="General">
                        <c:v>-53.652363636363638</c:v>
                      </c:pt>
                      <c:pt idx="30" formatCode="General">
                        <c:v>-54.040242424242429</c:v>
                      </c:pt>
                      <c:pt idx="31" formatCode="General">
                        <c:v>-54.411219364599091</c:v>
                      </c:pt>
                      <c:pt idx="32" formatCode="General">
                        <c:v>-54.773095310136156</c:v>
                      </c:pt>
                      <c:pt idx="33" formatCode="General">
                        <c:v>-55.134971255673221</c:v>
                      </c:pt>
                      <c:pt idx="34" formatCode="General">
                        <c:v>-55.496847201210286</c:v>
                      </c:pt>
                      <c:pt idx="35" formatCode="General">
                        <c:v>-55.858723146747352</c:v>
                      </c:pt>
                      <c:pt idx="36" formatCode="General">
                        <c:v>-56.220599092284417</c:v>
                      </c:pt>
                      <c:pt idx="37" formatCode="General">
                        <c:v>-56.58131316187594</c:v>
                      </c:pt>
                      <c:pt idx="38" formatCode="General">
                        <c:v>-56.914142208774578</c:v>
                      </c:pt>
                      <c:pt idx="39" formatCode="General">
                        <c:v>-57.246971255673223</c:v>
                      </c:pt>
                      <c:pt idx="40" formatCode="General">
                        <c:v>-57.579800302571861</c:v>
                      </c:pt>
                      <c:pt idx="41" formatCode="General">
                        <c:v>-57.9126293494705</c:v>
                      </c:pt>
                      <c:pt idx="42" formatCode="General">
                        <c:v>-58.245458396369138</c:v>
                      </c:pt>
                      <c:pt idx="43" formatCode="General">
                        <c:v>-58.578287443267776</c:v>
                      </c:pt>
                      <c:pt idx="44" formatCode="General">
                        <c:v>-58.906953101361573</c:v>
                      </c:pt>
                      <c:pt idx="45" formatCode="General">
                        <c:v>-59.230099848714069</c:v>
                      </c:pt>
                      <c:pt idx="46" formatCode="General">
                        <c:v>-59.553246596066565</c:v>
                      </c:pt>
                      <c:pt idx="47" formatCode="General">
                        <c:v>-59.876393343419068</c:v>
                      </c:pt>
                      <c:pt idx="48" formatCode="General">
                        <c:v>-60.199540090771563</c:v>
                      </c:pt>
                      <c:pt idx="49" formatCode="General">
                        <c:v>-60.522686838124059</c:v>
                      </c:pt>
                      <c:pt idx="50" formatCode="General">
                        <c:v>-60.845833585476555</c:v>
                      </c:pt>
                      <c:pt idx="51" formatCode="General">
                        <c:v>-61.175345454545457</c:v>
                      </c:pt>
                      <c:pt idx="52" formatCode="General">
                        <c:v>-61.506254545454553</c:v>
                      </c:pt>
                      <c:pt idx="53" formatCode="General">
                        <c:v>-61.837163636363641</c:v>
                      </c:pt>
                      <c:pt idx="54" formatCode="General">
                        <c:v>-62.16807272727273</c:v>
                      </c:pt>
                      <c:pt idx="55" formatCode="General">
                        <c:v>-62.498981818181818</c:v>
                      </c:pt>
                      <c:pt idx="56" formatCode="General">
                        <c:v>-62.829890909090913</c:v>
                      </c:pt>
                      <c:pt idx="57" formatCode="General">
                        <c:v>-63.168145234493196</c:v>
                      </c:pt>
                      <c:pt idx="58" formatCode="General">
                        <c:v>-63.532441754916796</c:v>
                      </c:pt>
                      <c:pt idx="59" formatCode="General">
                        <c:v>-63.896738275340397</c:v>
                      </c:pt>
                      <c:pt idx="60" formatCode="General">
                        <c:v>-64.26103479576399</c:v>
                      </c:pt>
                      <c:pt idx="61" formatCode="General">
                        <c:v>-64.625331316187598</c:v>
                      </c:pt>
                      <c:pt idx="62" formatCode="General">
                        <c:v>-64.989627836611191</c:v>
                      </c:pt>
                      <c:pt idx="63" formatCode="General">
                        <c:v>-65.353924357034799</c:v>
                      </c:pt>
                      <c:pt idx="64" formatCode="General">
                        <c:v>-65.741478787878791</c:v>
                      </c:pt>
                      <c:pt idx="65" formatCode="General">
                        <c:v>-66.143903030303022</c:v>
                      </c:pt>
                      <c:pt idx="66" formatCode="General">
                        <c:v>-66.562506024096379</c:v>
                      </c:pt>
                      <c:pt idx="67" formatCode="General">
                        <c:v>-66.98981818181818</c:v>
                      </c:pt>
                      <c:pt idx="68" formatCode="General">
                        <c:v>-67.435878787878792</c:v>
                      </c:pt>
                      <c:pt idx="69" formatCode="General">
                        <c:v>-67.897696969696966</c:v>
                      </c:pt>
                      <c:pt idx="70" formatCode="General">
                        <c:v>-68.367999999999995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-10.188499243570348</c:v>
                      </c:pt>
                      <c:pt idx="1">
                        <c:v>-10.295004538577912</c:v>
                      </c:pt>
                      <c:pt idx="2" formatCode="General">
                        <c:v>-10.401509833585477</c:v>
                      </c:pt>
                      <c:pt idx="3" formatCode="General">
                        <c:v>-10.508015128593041</c:v>
                      </c:pt>
                      <c:pt idx="4" formatCode="General">
                        <c:v>-10.615416036308623</c:v>
                      </c:pt>
                      <c:pt idx="5" formatCode="General">
                        <c:v>-10.733116490166415</c:v>
                      </c:pt>
                      <c:pt idx="6" formatCode="General">
                        <c:v>-10.850816944024206</c:v>
                      </c:pt>
                      <c:pt idx="7" formatCode="General">
                        <c:v>-10.968517397881998</c:v>
                      </c:pt>
                      <c:pt idx="8" formatCode="General">
                        <c:v>-11.086217851739788</c:v>
                      </c:pt>
                      <c:pt idx="9" formatCode="General">
                        <c:v>-11.203918305597579</c:v>
                      </c:pt>
                      <c:pt idx="10" formatCode="General">
                        <c:v>-11.321618759455371</c:v>
                      </c:pt>
                      <c:pt idx="11" formatCode="General">
                        <c:v>-11.438465960665658</c:v>
                      </c:pt>
                      <c:pt idx="12" formatCode="General">
                        <c:v>-11.554350983358548</c:v>
                      </c:pt>
                      <c:pt idx="13" formatCode="General">
                        <c:v>-11.670236006051438</c:v>
                      </c:pt>
                      <c:pt idx="14" formatCode="General">
                        <c:v>-11.786121028744327</c:v>
                      </c:pt>
                      <c:pt idx="15" formatCode="General">
                        <c:v>-11.902006051437217</c:v>
                      </c:pt>
                      <c:pt idx="16" formatCode="General">
                        <c:v>-12.017891074130107</c:v>
                      </c:pt>
                      <c:pt idx="17" formatCode="General">
                        <c:v>-12.133776096822997</c:v>
                      </c:pt>
                      <c:pt idx="18" formatCode="General">
                        <c:v>-12.244456883509834</c:v>
                      </c:pt>
                      <c:pt idx="19" formatCode="General">
                        <c:v>-12.354290468986385</c:v>
                      </c:pt>
                      <c:pt idx="20" formatCode="General">
                        <c:v>-12.464124054462935</c:v>
                      </c:pt>
                      <c:pt idx="21" formatCode="General">
                        <c:v>-12.573957639939486</c:v>
                      </c:pt>
                      <c:pt idx="22" formatCode="General">
                        <c:v>-12.683791225416035</c:v>
                      </c:pt>
                      <c:pt idx="23" formatCode="General">
                        <c:v>-12.793624810892586</c:v>
                      </c:pt>
                      <c:pt idx="24" formatCode="General">
                        <c:v>-12.902363636363637</c:v>
                      </c:pt>
                      <c:pt idx="25" formatCode="General">
                        <c:v>-13.007818181818182</c:v>
                      </c:pt>
                      <c:pt idx="26" formatCode="General">
                        <c:v>-13.111818181818183</c:v>
                      </c:pt>
                      <c:pt idx="27" formatCode="General">
                        <c:v>-13.214848484848485</c:v>
                      </c:pt>
                      <c:pt idx="28" formatCode="General">
                        <c:v>-13.314424242424243</c:v>
                      </c:pt>
                      <c:pt idx="29" formatCode="General">
                        <c:v>-13.41309090909091</c:v>
                      </c:pt>
                      <c:pt idx="30" formatCode="General">
                        <c:v>-13.510060606060607</c:v>
                      </c:pt>
                      <c:pt idx="31" formatCode="General">
                        <c:v>-13.602804841149773</c:v>
                      </c:pt>
                      <c:pt idx="32" formatCode="General">
                        <c:v>-13.693273827534039</c:v>
                      </c:pt>
                      <c:pt idx="33" formatCode="General">
                        <c:v>-13.783742813918305</c:v>
                      </c:pt>
                      <c:pt idx="34" formatCode="General">
                        <c:v>-13.874211800302572</c:v>
                      </c:pt>
                      <c:pt idx="35" formatCode="General">
                        <c:v>-13.964680786686838</c:v>
                      </c:pt>
                      <c:pt idx="36" formatCode="General">
                        <c:v>-14.055149773071104</c:v>
                      </c:pt>
                      <c:pt idx="37" formatCode="General">
                        <c:v>-14.145328290468985</c:v>
                      </c:pt>
                      <c:pt idx="38" formatCode="General">
                        <c:v>-14.228535552193645</c:v>
                      </c:pt>
                      <c:pt idx="39" formatCode="General">
                        <c:v>-14.311742813918306</c:v>
                      </c:pt>
                      <c:pt idx="40" formatCode="General">
                        <c:v>-14.394950075642965</c:v>
                      </c:pt>
                      <c:pt idx="41" formatCode="General">
                        <c:v>-14.478157337367625</c:v>
                      </c:pt>
                      <c:pt idx="42" formatCode="General">
                        <c:v>-14.561364599092284</c:v>
                      </c:pt>
                      <c:pt idx="43" formatCode="General">
                        <c:v>-14.644571860816944</c:v>
                      </c:pt>
                      <c:pt idx="44" formatCode="General">
                        <c:v>-14.726738275340393</c:v>
                      </c:pt>
                      <c:pt idx="45" formatCode="General">
                        <c:v>-14.807524962178517</c:v>
                      </c:pt>
                      <c:pt idx="46" formatCode="General">
                        <c:v>-14.888311649016641</c:v>
                      </c:pt>
                      <c:pt idx="47" formatCode="General">
                        <c:v>-14.969098335854767</c:v>
                      </c:pt>
                      <c:pt idx="48" formatCode="General">
                        <c:v>-15.049885022692891</c:v>
                      </c:pt>
                      <c:pt idx="49" formatCode="General">
                        <c:v>-15.130671709531015</c:v>
                      </c:pt>
                      <c:pt idx="50" formatCode="General">
                        <c:v>-15.211458396369139</c:v>
                      </c:pt>
                      <c:pt idx="51" formatCode="General">
                        <c:v>-15.293836363636364</c:v>
                      </c:pt>
                      <c:pt idx="52" formatCode="General">
                        <c:v>-15.376563636363638</c:v>
                      </c:pt>
                      <c:pt idx="53" formatCode="General">
                        <c:v>-15.45929090909091</c:v>
                      </c:pt>
                      <c:pt idx="54" formatCode="General">
                        <c:v>-15.542018181818182</c:v>
                      </c:pt>
                      <c:pt idx="55" formatCode="General">
                        <c:v>-15.624745454545454</c:v>
                      </c:pt>
                      <c:pt idx="56" formatCode="General">
                        <c:v>-15.707472727272728</c:v>
                      </c:pt>
                      <c:pt idx="57" formatCode="General">
                        <c:v>-15.792036308623299</c:v>
                      </c:pt>
                      <c:pt idx="58" formatCode="General">
                        <c:v>-15.883110438729199</c:v>
                      </c:pt>
                      <c:pt idx="59" formatCode="General">
                        <c:v>-15.974184568835099</c:v>
                      </c:pt>
                      <c:pt idx="60" formatCode="General">
                        <c:v>-16.065258698940998</c:v>
                      </c:pt>
                      <c:pt idx="61" formatCode="General">
                        <c:v>-16.156332829046899</c:v>
                      </c:pt>
                      <c:pt idx="62" formatCode="General">
                        <c:v>-16.247406959152798</c:v>
                      </c:pt>
                      <c:pt idx="63" formatCode="General">
                        <c:v>-16.3384810892587</c:v>
                      </c:pt>
                      <c:pt idx="64" formatCode="General">
                        <c:v>-16.435369696969698</c:v>
                      </c:pt>
                      <c:pt idx="65" formatCode="General">
                        <c:v>-16.535975757575756</c:v>
                      </c:pt>
                      <c:pt idx="66" formatCode="General">
                        <c:v>-16.640626506024095</c:v>
                      </c:pt>
                      <c:pt idx="67" formatCode="General">
                        <c:v>-16.747454545454545</c:v>
                      </c:pt>
                      <c:pt idx="68" formatCode="General">
                        <c:v>-16.858969696969698</c:v>
                      </c:pt>
                      <c:pt idx="69" formatCode="General">
                        <c:v>-16.974424242424242</c:v>
                      </c:pt>
                      <c:pt idx="70" formatCode="General">
                        <c:v>-17.091999999999999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-18.054697428139182</c:v>
                      </c:pt>
                      <c:pt idx="1">
                        <c:v>-18.256815431164902</c:v>
                      </c:pt>
                      <c:pt idx="2" formatCode="General">
                        <c:v>-18.458933434190619</c:v>
                      </c:pt>
                      <c:pt idx="3" formatCode="General">
                        <c:v>-18.66105143721634</c:v>
                      </c:pt>
                      <c:pt idx="4" formatCode="General">
                        <c:v>-18.86235854765507</c:v>
                      </c:pt>
                      <c:pt idx="5" formatCode="General">
                        <c:v>-19.05434039334342</c:v>
                      </c:pt>
                      <c:pt idx="6" formatCode="General">
                        <c:v>-19.24632223903177</c:v>
                      </c:pt>
                      <c:pt idx="7" formatCode="General">
                        <c:v>-19.438304084720123</c:v>
                      </c:pt>
                      <c:pt idx="8" formatCode="General">
                        <c:v>-19.630285930408473</c:v>
                      </c:pt>
                      <c:pt idx="9" formatCode="General">
                        <c:v>-19.822267776096822</c:v>
                      </c:pt>
                      <c:pt idx="10" formatCode="General">
                        <c:v>-20.014249621785172</c:v>
                      </c:pt>
                      <c:pt idx="11" formatCode="General">
                        <c:v>-20.19926323751891</c:v>
                      </c:pt>
                      <c:pt idx="12" formatCode="General">
                        <c:v>-20.376419062027232</c:v>
                      </c:pt>
                      <c:pt idx="13" formatCode="General">
                        <c:v>-20.55357488653555</c:v>
                      </c:pt>
                      <c:pt idx="14" formatCode="General">
                        <c:v>-20.730730711043872</c:v>
                      </c:pt>
                      <c:pt idx="15" formatCode="General">
                        <c:v>-20.907886535552194</c:v>
                      </c:pt>
                      <c:pt idx="16" formatCode="General">
                        <c:v>-21.085042360060513</c:v>
                      </c:pt>
                      <c:pt idx="17" formatCode="General">
                        <c:v>-21.262198184568835</c:v>
                      </c:pt>
                      <c:pt idx="18" formatCode="General">
                        <c:v>-21.429465960665659</c:v>
                      </c:pt>
                      <c:pt idx="19" formatCode="General">
                        <c:v>-21.595124054462936</c:v>
                      </c:pt>
                      <c:pt idx="20" formatCode="General">
                        <c:v>-21.760782148260212</c:v>
                      </c:pt>
                      <c:pt idx="21" formatCode="General">
                        <c:v>-21.926440242057488</c:v>
                      </c:pt>
                      <c:pt idx="22" formatCode="General">
                        <c:v>-22.092098335854768</c:v>
                      </c:pt>
                      <c:pt idx="23" formatCode="General">
                        <c:v>-22.257756429652044</c:v>
                      </c:pt>
                      <c:pt idx="24" formatCode="General">
                        <c:v>-22.423363636363639</c:v>
                      </c:pt>
                      <c:pt idx="25" formatCode="General">
                        <c:v>-22.588818181818183</c:v>
                      </c:pt>
                      <c:pt idx="26" formatCode="General">
                        <c:v>-22.754999999999999</c:v>
                      </c:pt>
                      <c:pt idx="27" formatCode="General">
                        <c:v>-22.921666666666667</c:v>
                      </c:pt>
                      <c:pt idx="28" formatCode="General">
                        <c:v>-23.09121212121212</c:v>
                      </c:pt>
                      <c:pt idx="29" formatCode="General">
                        <c:v>-23.262727272727272</c:v>
                      </c:pt>
                      <c:pt idx="30" formatCode="General">
                        <c:v>-23.438484848484848</c:v>
                      </c:pt>
                      <c:pt idx="31" formatCode="General">
                        <c:v>-23.627148260211801</c:v>
                      </c:pt>
                      <c:pt idx="32" formatCode="General">
                        <c:v>-23.822760968229954</c:v>
                      </c:pt>
                      <c:pt idx="33" formatCode="General">
                        <c:v>-24.018373676248107</c:v>
                      </c:pt>
                      <c:pt idx="34" formatCode="General">
                        <c:v>-24.213986384266263</c:v>
                      </c:pt>
                      <c:pt idx="35" formatCode="General">
                        <c:v>-24.409599092284417</c:v>
                      </c:pt>
                      <c:pt idx="36" formatCode="General">
                        <c:v>-24.60521180030257</c:v>
                      </c:pt>
                      <c:pt idx="37" formatCode="General">
                        <c:v>-24.801853252647504</c:v>
                      </c:pt>
                      <c:pt idx="38" formatCode="General">
                        <c:v>-25.023184568835099</c:v>
                      </c:pt>
                      <c:pt idx="39" formatCode="General">
                        <c:v>-25.244515885022693</c:v>
                      </c:pt>
                      <c:pt idx="40" formatCode="General">
                        <c:v>-25.465847201210288</c:v>
                      </c:pt>
                      <c:pt idx="41" formatCode="General">
                        <c:v>-25.687178517397882</c:v>
                      </c:pt>
                      <c:pt idx="42" formatCode="General">
                        <c:v>-25.908509833585477</c:v>
                      </c:pt>
                      <c:pt idx="43" formatCode="General">
                        <c:v>-26.129841149773071</c:v>
                      </c:pt>
                      <c:pt idx="44" formatCode="General">
                        <c:v>-26.350782148260212</c:v>
                      </c:pt>
                      <c:pt idx="45" formatCode="General">
                        <c:v>-26.571205748865356</c:v>
                      </c:pt>
                      <c:pt idx="46" formatCode="General">
                        <c:v>-26.791629349470501</c:v>
                      </c:pt>
                      <c:pt idx="47" formatCode="General">
                        <c:v>-27.012052950075642</c:v>
                      </c:pt>
                      <c:pt idx="48" formatCode="General">
                        <c:v>-27.232476550680786</c:v>
                      </c:pt>
                      <c:pt idx="49" formatCode="General">
                        <c:v>-27.452900151285931</c:v>
                      </c:pt>
                      <c:pt idx="50" formatCode="General">
                        <c:v>-27.673323751891076</c:v>
                      </c:pt>
                      <c:pt idx="51" formatCode="General">
                        <c:v>-27.883584848484851</c:v>
                      </c:pt>
                      <c:pt idx="52" formatCode="General">
                        <c:v>-28.091615151515153</c:v>
                      </c:pt>
                      <c:pt idx="53" formatCode="General">
                        <c:v>-28.299645454545455</c:v>
                      </c:pt>
                      <c:pt idx="54" formatCode="General">
                        <c:v>-28.507675757575758</c:v>
                      </c:pt>
                      <c:pt idx="55" formatCode="General">
                        <c:v>-28.71570606060606</c:v>
                      </c:pt>
                      <c:pt idx="56" formatCode="General">
                        <c:v>-28.923736363636365</c:v>
                      </c:pt>
                      <c:pt idx="57" formatCode="General">
                        <c:v>-29.127969742813917</c:v>
                      </c:pt>
                      <c:pt idx="58" formatCode="General">
                        <c:v>-29.318741301059003</c:v>
                      </c:pt>
                      <c:pt idx="59" formatCode="General">
                        <c:v>-29.509512859304085</c:v>
                      </c:pt>
                      <c:pt idx="60" formatCode="General">
                        <c:v>-29.70028441754917</c:v>
                      </c:pt>
                      <c:pt idx="61" formatCode="General">
                        <c:v>-29.891055975794252</c:v>
                      </c:pt>
                      <c:pt idx="62" formatCode="General">
                        <c:v>-30.081827534039334</c:v>
                      </c:pt>
                      <c:pt idx="63" formatCode="General">
                        <c:v>-30.27259909228442</c:v>
                      </c:pt>
                      <c:pt idx="64" formatCode="General">
                        <c:v>-30.459018181818184</c:v>
                      </c:pt>
                      <c:pt idx="65" formatCode="General">
                        <c:v>-30.642654545454544</c:v>
                      </c:pt>
                      <c:pt idx="66" formatCode="General">
                        <c:v>-30.815975903614454</c:v>
                      </c:pt>
                      <c:pt idx="67" formatCode="General">
                        <c:v>-30.990090909090906</c:v>
                      </c:pt>
                      <c:pt idx="68" formatCode="General">
                        <c:v>-31.167060606060605</c:v>
                      </c:pt>
                      <c:pt idx="69" formatCode="General">
                        <c:v>-31.338121212121212</c:v>
                      </c:pt>
                      <c:pt idx="70" formatCode="General">
                        <c:v>-31.506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-57.82181818181818</c:v>
                      </c:pt>
                      <c:pt idx="2" formatCode="General">
                        <c:v>-56.458181818181821</c:v>
                      </c:pt>
                      <c:pt idx="3" formatCode="General">
                        <c:v>-55.240545454545455</c:v>
                      </c:pt>
                      <c:pt idx="4" formatCode="General">
                        <c:v>-54.169515151515157</c:v>
                      </c:pt>
                      <c:pt idx="5" formatCode="General">
                        <c:v>-54.163454545454542</c:v>
                      </c:pt>
                      <c:pt idx="6" formatCode="General">
                        <c:v>-53.748132530120479</c:v>
                      </c:pt>
                      <c:pt idx="7" formatCode="General">
                        <c:v>-52.790301204819279</c:v>
                      </c:pt>
                      <c:pt idx="8" formatCode="General">
                        <c:v>-52.266666666666666</c:v>
                      </c:pt>
                      <c:pt idx="9" formatCode="General">
                        <c:v>-51.88</c:v>
                      </c:pt>
                      <c:pt idx="10" formatCode="General">
                        <c:v>-51.546666666666674</c:v>
                      </c:pt>
                      <c:pt idx="11" formatCode="General">
                        <c:v>-51.257726172465965</c:v>
                      </c:pt>
                      <c:pt idx="12" formatCode="General">
                        <c:v>-51.018845688350986</c:v>
                      </c:pt>
                      <c:pt idx="13" formatCode="General">
                        <c:v>-50.779965204236014</c:v>
                      </c:pt>
                      <c:pt idx="14" formatCode="General">
                        <c:v>-50.541084720121034</c:v>
                      </c:pt>
                      <c:pt idx="15" formatCode="General">
                        <c:v>-50.302204236006055</c:v>
                      </c:pt>
                      <c:pt idx="16" formatCode="General">
                        <c:v>-50.063323751891076</c:v>
                      </c:pt>
                      <c:pt idx="17" formatCode="General">
                        <c:v>-49.824443267776097</c:v>
                      </c:pt>
                      <c:pt idx="18" formatCode="General">
                        <c:v>-49.652878787878791</c:v>
                      </c:pt>
                      <c:pt idx="19" formatCode="General">
                        <c:v>-49.495072727272728</c:v>
                      </c:pt>
                      <c:pt idx="20" formatCode="General">
                        <c:v>-49.347799999999999</c:v>
                      </c:pt>
                      <c:pt idx="21" formatCode="General">
                        <c:v>-49.220212121212121</c:v>
                      </c:pt>
                      <c:pt idx="22" formatCode="General">
                        <c:v>-49.108090909090905</c:v>
                      </c:pt>
                      <c:pt idx="23" formatCode="General">
                        <c:v>-49.151174698795181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-60.923190620272315</c:v>
                      </c:pt>
                      <c:pt idx="65" formatCode="General">
                        <c:v>-61.184158850226929</c:v>
                      </c:pt>
                      <c:pt idx="66" formatCode="General">
                        <c:v>-61.445127080181543</c:v>
                      </c:pt>
                      <c:pt idx="67" formatCode="General">
                        <c:v>-61.706095310136156</c:v>
                      </c:pt>
                      <c:pt idx="68" formatCode="General">
                        <c:v>-61.967063540090777</c:v>
                      </c:pt>
                      <c:pt idx="69" formatCode="General">
                        <c:v>-62.228031770045391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-21.105757575757575</c:v>
                      </c:pt>
                      <c:pt idx="1">
                        <c:v>-20.527333333333335</c:v>
                      </c:pt>
                      <c:pt idx="2" formatCode="General">
                        <c:v>-19.994</c:v>
                      </c:pt>
                      <c:pt idx="3" formatCode="General">
                        <c:v>-19.721696969696971</c:v>
                      </c:pt>
                      <c:pt idx="4" formatCode="General">
                        <c:v>-19.592969696969696</c:v>
                      </c:pt>
                      <c:pt idx="5" formatCode="General">
                        <c:v>-20.005090909090907</c:v>
                      </c:pt>
                      <c:pt idx="6" formatCode="General">
                        <c:v>-20.188192771084335</c:v>
                      </c:pt>
                      <c:pt idx="7" formatCode="General">
                        <c:v>-20.067710843373494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-185.65945454545451</c:v>
                      </c:pt>
                      <c:pt idx="1">
                        <c:v>-180.33072727272724</c:v>
                      </c:pt>
                      <c:pt idx="2" formatCode="General">
                        <c:v>-175.38527272727273</c:v>
                      </c:pt>
                      <c:pt idx="3" formatCode="General">
                        <c:v>-170.78933333333333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-100.42183358547655</c:v>
                      </c:pt>
                      <c:pt idx="65" formatCode="General">
                        <c:v>-100.90352798789712</c:v>
                      </c:pt>
                      <c:pt idx="66" formatCode="General">
                        <c:v>-101.38522239031769</c:v>
                      </c:pt>
                      <c:pt idx="67" formatCode="General">
                        <c:v>-101.86691679273828</c:v>
                      </c:pt>
                      <c:pt idx="68" formatCode="General">
                        <c:v>-102.34861119515885</c:v>
                      </c:pt>
                      <c:pt idx="69" formatCode="General">
                        <c:v>-102.83030559757943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-75.533818181818177</c:v>
                      </c:pt>
                      <c:pt idx="4" formatCode="General">
                        <c:v>-73.383030303030296</c:v>
                      </c:pt>
                      <c:pt idx="5" formatCode="General">
                        <c:v>-71.170909090909092</c:v>
                      </c:pt>
                      <c:pt idx="6" formatCode="General">
                        <c:v>-69.156204819277107</c:v>
                      </c:pt>
                      <c:pt idx="7" formatCode="General">
                        <c:v>-67.403192771084335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-36.259464447806359</c:v>
                      </c:pt>
                      <c:pt idx="65" formatCode="General">
                        <c:v>-36.440553706505298</c:v>
                      </c:pt>
                      <c:pt idx="66" formatCode="General">
                        <c:v>-36.621642965204238</c:v>
                      </c:pt>
                      <c:pt idx="67" formatCode="General">
                        <c:v>-36.802732223903178</c:v>
                      </c:pt>
                      <c:pt idx="68" formatCode="General">
                        <c:v>-36.983821482602124</c:v>
                      </c:pt>
                      <c:pt idx="69" formatCode="General">
                        <c:v>-37.164910741301064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-36.464181818181821</c:v>
                      </c:pt>
                      <c:pt idx="3" formatCode="General">
                        <c:v>-35.518848484848483</c:v>
                      </c:pt>
                      <c:pt idx="4" formatCode="General">
                        <c:v>-34.576545454545453</c:v>
                      </c:pt>
                      <c:pt idx="5" formatCode="General">
                        <c:v>-34.158363636363639</c:v>
                      </c:pt>
                      <c:pt idx="6" formatCode="General">
                        <c:v>-33.559939759036148</c:v>
                      </c:pt>
                      <c:pt idx="7" formatCode="General">
                        <c:v>-32.722590361445782</c:v>
                      </c:pt>
                      <c:pt idx="8" formatCode="General">
                        <c:v>-32.114666666666665</c:v>
                      </c:pt>
                      <c:pt idx="9" formatCode="General">
                        <c:v>-31.581818181818182</c:v>
                      </c:pt>
                      <c:pt idx="10" formatCode="General">
                        <c:v>-31.096969696969701</c:v>
                      </c:pt>
                      <c:pt idx="11" formatCode="General">
                        <c:v>-30.656621785173982</c:v>
                      </c:pt>
                      <c:pt idx="12" formatCode="General">
                        <c:v>-30.266455370650533</c:v>
                      </c:pt>
                      <c:pt idx="13" formatCode="General">
                        <c:v>-29.876288956127084</c:v>
                      </c:pt>
                      <c:pt idx="14" formatCode="General">
                        <c:v>-29.486122541603635</c:v>
                      </c:pt>
                      <c:pt idx="15" formatCode="General">
                        <c:v>-29.095956127080186</c:v>
                      </c:pt>
                      <c:pt idx="16" formatCode="General">
                        <c:v>-28.705789712556733</c:v>
                      </c:pt>
                      <c:pt idx="17" formatCode="General">
                        <c:v>-28.315623298033284</c:v>
                      </c:pt>
                      <c:pt idx="18" formatCode="General">
                        <c:v>-27.992575757575761</c:v>
                      </c:pt>
                      <c:pt idx="19" formatCode="General">
                        <c:v>-27.684527272727273</c:v>
                      </c:pt>
                      <c:pt idx="20" formatCode="General">
                        <c:v>-27.3918</c:v>
                      </c:pt>
                      <c:pt idx="21" formatCode="General">
                        <c:v>-27.115363636363636</c:v>
                      </c:pt>
                      <c:pt idx="22" formatCode="General">
                        <c:v>-26.85172727272727</c:v>
                      </c:pt>
                      <c:pt idx="23" formatCode="General">
                        <c:v>-26.744126506024095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-33.02028593040847</c:v>
                      </c:pt>
                      <c:pt idx="65" formatCode="General">
                        <c:v>-33.16173827534039</c:v>
                      </c:pt>
                      <c:pt idx="66" formatCode="General">
                        <c:v>-33.303190620272311</c:v>
                      </c:pt>
                      <c:pt idx="67" formatCode="General">
                        <c:v>-33.444642965204238</c:v>
                      </c:pt>
                      <c:pt idx="68" formatCode="General">
                        <c:v>-33.586095310136159</c:v>
                      </c:pt>
                      <c:pt idx="69" formatCode="General">
                        <c:v>-33.727547655068079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-143.44793939393938</c:v>
                      </c:pt>
                      <c:pt idx="1">
                        <c:v>-139.27606060606061</c:v>
                      </c:pt>
                      <c:pt idx="2" formatCode="General">
                        <c:v>-135.39727272727271</c:v>
                      </c:pt>
                      <c:pt idx="3" formatCode="General">
                        <c:v>-131.34593939393937</c:v>
                      </c:pt>
                      <c:pt idx="4" formatCode="General">
                        <c:v>-127.1730909090909</c:v>
                      </c:pt>
                      <c:pt idx="5" formatCode="General">
                        <c:v>-122.33672727272727</c:v>
                      </c:pt>
                      <c:pt idx="6" formatCode="General">
                        <c:v>-118.12421686746988</c:v>
                      </c:pt>
                      <c:pt idx="7" formatCode="General">
                        <c:v>-114.73867469879519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-44.616024205748872</c:v>
                      </c:pt>
                      <c:pt idx="65" formatCode="General">
                        <c:v>-44.858686838124058</c:v>
                      </c:pt>
                      <c:pt idx="66" formatCode="General">
                        <c:v>-45.101349470499244</c:v>
                      </c:pt>
                      <c:pt idx="67" formatCode="General">
                        <c:v>-45.344012102874437</c:v>
                      </c:pt>
                      <c:pt idx="68" formatCode="General">
                        <c:v>-45.586674735249623</c:v>
                      </c:pt>
                      <c:pt idx="69" formatCode="General">
                        <c:v>-45.829337367624817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-19.02</c:v>
                      </c:pt>
                      <c:pt idx="1">
                        <c:v>-19.02</c:v>
                      </c:pt>
                      <c:pt idx="2" formatCode="General">
                        <c:v>-19.02</c:v>
                      </c:pt>
                      <c:pt idx="3" formatCode="General">
                        <c:v>-19.152727272727272</c:v>
                      </c:pt>
                      <c:pt idx="4" formatCode="General">
                        <c:v>-19.306909090909091</c:v>
                      </c:pt>
                      <c:pt idx="5" formatCode="General">
                        <c:v>-19.143272727272727</c:v>
                      </c:pt>
                      <c:pt idx="6" formatCode="General">
                        <c:v>-19.130301204819279</c:v>
                      </c:pt>
                      <c:pt idx="7" formatCode="General">
                        <c:v>-19.317048192771082</c:v>
                      </c:pt>
                      <c:pt idx="8" formatCode="General">
                        <c:v>-19.369333333333334</c:v>
                      </c:pt>
                      <c:pt idx="9" formatCode="General">
                        <c:v>-19.382181818181817</c:v>
                      </c:pt>
                      <c:pt idx="10" formatCode="General">
                        <c:v>-19.400363636363636</c:v>
                      </c:pt>
                      <c:pt idx="11" formatCode="General">
                        <c:v>-19.418532526475037</c:v>
                      </c:pt>
                      <c:pt idx="12" formatCode="General">
                        <c:v>-19.436686838124054</c:v>
                      </c:pt>
                      <c:pt idx="13" formatCode="General">
                        <c:v>-19.45484114977307</c:v>
                      </c:pt>
                      <c:pt idx="14" formatCode="General">
                        <c:v>-19.472995461422087</c:v>
                      </c:pt>
                      <c:pt idx="15" formatCode="General">
                        <c:v>-19.491149773071104</c:v>
                      </c:pt>
                      <c:pt idx="16" formatCode="General">
                        <c:v>-19.509304084720121</c:v>
                      </c:pt>
                      <c:pt idx="17" formatCode="General">
                        <c:v>-19.527458396369138</c:v>
                      </c:pt>
                      <c:pt idx="18" formatCode="General">
                        <c:v>-19.545636363636362</c:v>
                      </c:pt>
                      <c:pt idx="19" formatCode="General">
                        <c:v>-19.565090909090909</c:v>
                      </c:pt>
                      <c:pt idx="20" formatCode="General">
                        <c:v>-19.589333333333332</c:v>
                      </c:pt>
                      <c:pt idx="21" formatCode="General">
                        <c:v>-19.610181818181818</c:v>
                      </c:pt>
                      <c:pt idx="22" formatCode="General">
                        <c:v>-19.628363636363634</c:v>
                      </c:pt>
                      <c:pt idx="23" formatCode="General">
                        <c:v>-19.542289156626506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-36.464181818181821</c:v>
                      </c:pt>
                      <c:pt idx="3" formatCode="General">
                        <c:v>-35.518848484848483</c:v>
                      </c:pt>
                      <c:pt idx="4" formatCode="General">
                        <c:v>-34.576545454545453</c:v>
                      </c:pt>
                      <c:pt idx="5" formatCode="General">
                        <c:v>-34.158363636363639</c:v>
                      </c:pt>
                      <c:pt idx="6" formatCode="General">
                        <c:v>-33.559939759036148</c:v>
                      </c:pt>
                      <c:pt idx="7" formatCode="General">
                        <c:v>-32.722590361445782</c:v>
                      </c:pt>
                      <c:pt idx="8" formatCode="General">
                        <c:v>-32.114666666666665</c:v>
                      </c:pt>
                      <c:pt idx="9" formatCode="General">
                        <c:v>-31.581818181818182</c:v>
                      </c:pt>
                      <c:pt idx="10" formatCode="General">
                        <c:v>-31.096969696969701</c:v>
                      </c:pt>
                      <c:pt idx="11" formatCode="General">
                        <c:v>-30.656621785173982</c:v>
                      </c:pt>
                      <c:pt idx="12" formatCode="General">
                        <c:v>-30.266455370650533</c:v>
                      </c:pt>
                      <c:pt idx="13" formatCode="General">
                        <c:v>-29.876288956127084</c:v>
                      </c:pt>
                      <c:pt idx="14" formatCode="General">
                        <c:v>-29.486122541603635</c:v>
                      </c:pt>
                      <c:pt idx="15" formatCode="General">
                        <c:v>-29.095956127080186</c:v>
                      </c:pt>
                      <c:pt idx="16" formatCode="General">
                        <c:v>-28.705789712556733</c:v>
                      </c:pt>
                      <c:pt idx="17" formatCode="General">
                        <c:v>-28.315623298033284</c:v>
                      </c:pt>
                      <c:pt idx="18" formatCode="General">
                        <c:v>-27.992575757575761</c:v>
                      </c:pt>
                      <c:pt idx="19" formatCode="General">
                        <c:v>-27.684527272727273</c:v>
                      </c:pt>
                      <c:pt idx="20" formatCode="General">
                        <c:v>-27.3918</c:v>
                      </c:pt>
                      <c:pt idx="21" formatCode="General">
                        <c:v>-27.115363636363636</c:v>
                      </c:pt>
                      <c:pt idx="22" formatCode="General">
                        <c:v>-26.85172727272727</c:v>
                      </c:pt>
                      <c:pt idx="23" formatCode="General">
                        <c:v>-26.744126506024095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-33.02028593040847</c:v>
                      </c:pt>
                      <c:pt idx="65" formatCode="General">
                        <c:v>-33.16173827534039</c:v>
                      </c:pt>
                      <c:pt idx="66" formatCode="General">
                        <c:v>-33.303190620272311</c:v>
                      </c:pt>
                      <c:pt idx="67" formatCode="General">
                        <c:v>-33.444642965204238</c:v>
                      </c:pt>
                      <c:pt idx="68" formatCode="General">
                        <c:v>-33.586095310136159</c:v>
                      </c:pt>
                      <c:pt idx="69" formatCode="General">
                        <c:v>-33.727547655068079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-19.02</c:v>
                      </c:pt>
                      <c:pt idx="1">
                        <c:v>-19.02</c:v>
                      </c:pt>
                      <c:pt idx="2" formatCode="General">
                        <c:v>-19.02</c:v>
                      </c:pt>
                      <c:pt idx="3" formatCode="General">
                        <c:v>-19.152727272727272</c:v>
                      </c:pt>
                      <c:pt idx="4" formatCode="General">
                        <c:v>-19.306909090909091</c:v>
                      </c:pt>
                      <c:pt idx="5" formatCode="General">
                        <c:v>-19.143272727272727</c:v>
                      </c:pt>
                      <c:pt idx="6" formatCode="General">
                        <c:v>-19.130301204819279</c:v>
                      </c:pt>
                      <c:pt idx="7" formatCode="General">
                        <c:v>-19.317048192771082</c:v>
                      </c:pt>
                      <c:pt idx="8" formatCode="General">
                        <c:v>-19.369333333333334</c:v>
                      </c:pt>
                      <c:pt idx="9" formatCode="General">
                        <c:v>-19.382181818181817</c:v>
                      </c:pt>
                      <c:pt idx="10" formatCode="General">
                        <c:v>-19.400363636363636</c:v>
                      </c:pt>
                      <c:pt idx="11" formatCode="General">
                        <c:v>-19.418532526475037</c:v>
                      </c:pt>
                      <c:pt idx="12" formatCode="General">
                        <c:v>-19.436686838124054</c:v>
                      </c:pt>
                      <c:pt idx="13" formatCode="General">
                        <c:v>-19.45484114977307</c:v>
                      </c:pt>
                      <c:pt idx="14" formatCode="General">
                        <c:v>-19.472995461422087</c:v>
                      </c:pt>
                      <c:pt idx="15" formatCode="General">
                        <c:v>-19.491149773071104</c:v>
                      </c:pt>
                      <c:pt idx="16" formatCode="General">
                        <c:v>-19.509304084720121</c:v>
                      </c:pt>
                      <c:pt idx="17" formatCode="General">
                        <c:v>-19.527458396369138</c:v>
                      </c:pt>
                      <c:pt idx="18" formatCode="General">
                        <c:v>-19.545636363636362</c:v>
                      </c:pt>
                      <c:pt idx="19" formatCode="General">
                        <c:v>-19.565090909090909</c:v>
                      </c:pt>
                      <c:pt idx="20" formatCode="General">
                        <c:v>-19.589333333333332</c:v>
                      </c:pt>
                      <c:pt idx="21" formatCode="General">
                        <c:v>-19.610181818181818</c:v>
                      </c:pt>
                      <c:pt idx="22" formatCode="General">
                        <c:v>-19.628363636363634</c:v>
                      </c:pt>
                      <c:pt idx="23" formatCode="General">
                        <c:v>-19.542289156626506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-21.105757575757575</c:v>
                      </c:pt>
                      <c:pt idx="1">
                        <c:v>-20.527333333333335</c:v>
                      </c:pt>
                      <c:pt idx="2" formatCode="General">
                        <c:v>-19.994</c:v>
                      </c:pt>
                      <c:pt idx="3" formatCode="General">
                        <c:v>-19.721696969696971</c:v>
                      </c:pt>
                      <c:pt idx="4" formatCode="General">
                        <c:v>-19.592969696969696</c:v>
                      </c:pt>
                      <c:pt idx="5" formatCode="General">
                        <c:v>-20.005090909090907</c:v>
                      </c:pt>
                      <c:pt idx="6" formatCode="General">
                        <c:v>-20.188192771084335</c:v>
                      </c:pt>
                      <c:pt idx="7" formatCode="General">
                        <c:v>-20.067710843373494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-60.236787878787872</c:v>
                      </c:pt>
                      <c:pt idx="1">
                        <c:v>-58.907818181818179</c:v>
                      </c:pt>
                      <c:pt idx="2" formatCode="General">
                        <c:v>-57.744181818181815</c:v>
                      </c:pt>
                      <c:pt idx="3" formatCode="General">
                        <c:v>-56.770787878787878</c:v>
                      </c:pt>
                      <c:pt idx="4" formatCode="General">
                        <c:v>-55.919636363636364</c:v>
                      </c:pt>
                      <c:pt idx="5" formatCode="General">
                        <c:v>-55.665090909090907</c:v>
                      </c:pt>
                      <c:pt idx="6" formatCode="General">
                        <c:v>-55.214337349397596</c:v>
                      </c:pt>
                      <c:pt idx="7" formatCode="General">
                        <c:v>-54.503493975903616</c:v>
                      </c:pt>
                      <c:pt idx="8" formatCode="General">
                        <c:v>-53.92</c:v>
                      </c:pt>
                      <c:pt idx="9" formatCode="General">
                        <c:v>-53.390327272727269</c:v>
                      </c:pt>
                      <c:pt idx="10" formatCode="General">
                        <c:v>-52.976387878787875</c:v>
                      </c:pt>
                      <c:pt idx="11" formatCode="General">
                        <c:v>-52.647143721633888</c:v>
                      </c:pt>
                      <c:pt idx="12" formatCode="General">
                        <c:v>-52.413406959152795</c:v>
                      </c:pt>
                      <c:pt idx="13" formatCode="General">
                        <c:v>-52.179670196671708</c:v>
                      </c:pt>
                      <c:pt idx="14" formatCode="General">
                        <c:v>-51.945933434190614</c:v>
                      </c:pt>
                      <c:pt idx="15" formatCode="General">
                        <c:v>-51.712196671709528</c:v>
                      </c:pt>
                      <c:pt idx="16" formatCode="General">
                        <c:v>-51.478459909228441</c:v>
                      </c:pt>
                      <c:pt idx="17" formatCode="General">
                        <c:v>-51.244723146747347</c:v>
                      </c:pt>
                      <c:pt idx="18" formatCode="General">
                        <c:v>-51.166654545454541</c:v>
                      </c:pt>
                      <c:pt idx="19" formatCode="General">
                        <c:v>-51.135054545454544</c:v>
                      </c:pt>
                      <c:pt idx="20" formatCode="General">
                        <c:v>-51.182933333333331</c:v>
                      </c:pt>
                      <c:pt idx="21" formatCode="General">
                        <c:v>-51.28070303030303</c:v>
                      </c:pt>
                      <c:pt idx="22" formatCode="General">
                        <c:v>-51.417672727272731</c:v>
                      </c:pt>
                      <c:pt idx="23" formatCode="General">
                        <c:v>-51.628993975903619</c:v>
                      </c:pt>
                      <c:pt idx="24" formatCode="General">
                        <c:v>-51.862848484848492</c:v>
                      </c:pt>
                      <c:pt idx="25" formatCode="General">
                        <c:v>-52.142242424242433</c:v>
                      </c:pt>
                      <c:pt idx="26" formatCode="General">
                        <c:v>-52.432545454545455</c:v>
                      </c:pt>
                      <c:pt idx="27" formatCode="General">
                        <c:v>-52.730121212121212</c:v>
                      </c:pt>
                      <c:pt idx="28" formatCode="General">
                        <c:v>-53.034606060606059</c:v>
                      </c:pt>
                      <c:pt idx="29" formatCode="General">
                        <c:v>-53.343454545454541</c:v>
                      </c:pt>
                      <c:pt idx="30" formatCode="General">
                        <c:v>-53.661636363636369</c:v>
                      </c:pt>
                      <c:pt idx="31" formatCode="General">
                        <c:v>-53.972818456883516</c:v>
                      </c:pt>
                      <c:pt idx="32" formatCode="General">
                        <c:v>-54.280231467473527</c:v>
                      </c:pt>
                      <c:pt idx="33" formatCode="General">
                        <c:v>-54.587644478063538</c:v>
                      </c:pt>
                      <c:pt idx="34" formatCode="General">
                        <c:v>-54.895057488653556</c:v>
                      </c:pt>
                      <c:pt idx="35" formatCode="General">
                        <c:v>-55.202470499243567</c:v>
                      </c:pt>
                      <c:pt idx="36" formatCode="General">
                        <c:v>-55.509883509833585</c:v>
                      </c:pt>
                      <c:pt idx="37" formatCode="General">
                        <c:v>-55.816757942511344</c:v>
                      </c:pt>
                      <c:pt idx="38" formatCode="General">
                        <c:v>-56.110706505295006</c:v>
                      </c:pt>
                      <c:pt idx="39" formatCode="General">
                        <c:v>-56.404655068078668</c:v>
                      </c:pt>
                      <c:pt idx="40" formatCode="General">
                        <c:v>-56.69860363086233</c:v>
                      </c:pt>
                      <c:pt idx="41" formatCode="General">
                        <c:v>-56.992552193645992</c:v>
                      </c:pt>
                      <c:pt idx="42" formatCode="General">
                        <c:v>-57.286500756429653</c:v>
                      </c:pt>
                      <c:pt idx="43" formatCode="General">
                        <c:v>-57.580449319213315</c:v>
                      </c:pt>
                      <c:pt idx="44" formatCode="General">
                        <c:v>-57.869193645990926</c:v>
                      </c:pt>
                      <c:pt idx="45" formatCode="General">
                        <c:v>-58.15103933434191</c:v>
                      </c:pt>
                      <c:pt idx="46" formatCode="General">
                        <c:v>-58.432885022692894</c:v>
                      </c:pt>
                      <c:pt idx="47" formatCode="General">
                        <c:v>-58.714730711043877</c:v>
                      </c:pt>
                      <c:pt idx="48" formatCode="General">
                        <c:v>-58.996576399394861</c:v>
                      </c:pt>
                      <c:pt idx="49" formatCode="General">
                        <c:v>-59.278422087745845</c:v>
                      </c:pt>
                      <c:pt idx="50" formatCode="General">
                        <c:v>-59.560267776096829</c:v>
                      </c:pt>
                      <c:pt idx="51" formatCode="General">
                        <c:v>-59.834139393939395</c:v>
                      </c:pt>
                      <c:pt idx="52" formatCode="General">
                        <c:v>-60.106260606060609</c:v>
                      </c:pt>
                      <c:pt idx="53" formatCode="General">
                        <c:v>-60.378381818181822</c:v>
                      </c:pt>
                      <c:pt idx="54" formatCode="General">
                        <c:v>-60.650503030303028</c:v>
                      </c:pt>
                      <c:pt idx="55" formatCode="General">
                        <c:v>-60.922624242424241</c:v>
                      </c:pt>
                      <c:pt idx="56" formatCode="General">
                        <c:v>-61.194745454545455</c:v>
                      </c:pt>
                      <c:pt idx="57" formatCode="General">
                        <c:v>-61.46743373493976</c:v>
                      </c:pt>
                      <c:pt idx="58" formatCode="General">
                        <c:v>-61.742132530120479</c:v>
                      </c:pt>
                      <c:pt idx="59" formatCode="General">
                        <c:v>-62.009278787878785</c:v>
                      </c:pt>
                      <c:pt idx="60" formatCode="General">
                        <c:v>-62.27049090909091</c:v>
                      </c:pt>
                      <c:pt idx="61" formatCode="General">
                        <c:v>-62.539975757575753</c:v>
                      </c:pt>
                      <c:pt idx="62" formatCode="General">
                        <c:v>-62.809648484848481</c:v>
                      </c:pt>
                      <c:pt idx="63" formatCode="General">
                        <c:v>-63.077527272727274</c:v>
                      </c:pt>
                      <c:pt idx="64" formatCode="General">
                        <c:v>-63.33999092284418</c:v>
                      </c:pt>
                      <c:pt idx="65" formatCode="General">
                        <c:v>-63.598992435703479</c:v>
                      </c:pt>
                      <c:pt idx="66" formatCode="General">
                        <c:v>-63.857993948562786</c:v>
                      </c:pt>
                      <c:pt idx="67" formatCode="General">
                        <c:v>-64.116995461422093</c:v>
                      </c:pt>
                      <c:pt idx="68" formatCode="General">
                        <c:v>-64.375996974281392</c:v>
                      </c:pt>
                      <c:pt idx="69" formatCode="General">
                        <c:v>-64.634998487140706</c:v>
                      </c:pt>
                      <c:pt idx="70" formatCode="General">
                        <c:v>-64.894000000000005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-38.512484848484846</c:v>
                      </c:pt>
                      <c:pt idx="1">
                        <c:v>-37.55684848484848</c:v>
                      </c:pt>
                      <c:pt idx="2" formatCode="General">
                        <c:v>-36.653818181818181</c:v>
                      </c:pt>
                      <c:pt idx="3" formatCode="General">
                        <c:v>-35.821575757575751</c:v>
                      </c:pt>
                      <c:pt idx="4" formatCode="General">
                        <c:v>-35.031515151515151</c:v>
                      </c:pt>
                      <c:pt idx="5" formatCode="General">
                        <c:v>-34.425454545454542</c:v>
                      </c:pt>
                      <c:pt idx="6" formatCode="General">
                        <c:v>-33.800240963855423</c:v>
                      </c:pt>
                      <c:pt idx="7" formatCode="General">
                        <c:v>-33.149638554216871</c:v>
                      </c:pt>
                      <c:pt idx="8" formatCode="General">
                        <c:v>-32.556666666666665</c:v>
                      </c:pt>
                      <c:pt idx="9" formatCode="General">
                        <c:v>-31.989418181818181</c:v>
                      </c:pt>
                      <c:pt idx="10" formatCode="General">
                        <c:v>-31.484569696969697</c:v>
                      </c:pt>
                      <c:pt idx="11" formatCode="General">
                        <c:v>-31.045993948562781</c:v>
                      </c:pt>
                      <c:pt idx="12" formatCode="General">
                        <c:v>-30.682151285930406</c:v>
                      </c:pt>
                      <c:pt idx="13" formatCode="General">
                        <c:v>-30.31830862329803</c:v>
                      </c:pt>
                      <c:pt idx="14" formatCode="General">
                        <c:v>-29.954465960665654</c:v>
                      </c:pt>
                      <c:pt idx="15" formatCode="General">
                        <c:v>-29.590623298033279</c:v>
                      </c:pt>
                      <c:pt idx="16" formatCode="General">
                        <c:v>-29.226780635400907</c:v>
                      </c:pt>
                      <c:pt idx="17" formatCode="General">
                        <c:v>-28.862937972768528</c:v>
                      </c:pt>
                      <c:pt idx="18" formatCode="General">
                        <c:v>-28.662412121212121</c:v>
                      </c:pt>
                      <c:pt idx="19" formatCode="General">
                        <c:v>-28.51087272727273</c:v>
                      </c:pt>
                      <c:pt idx="20" formatCode="General">
                        <c:v>-28.4436</c:v>
                      </c:pt>
                      <c:pt idx="21" formatCode="General">
                        <c:v>-28.426218181818179</c:v>
                      </c:pt>
                      <c:pt idx="22" formatCode="General">
                        <c:v>-28.448036363636362</c:v>
                      </c:pt>
                      <c:pt idx="23" formatCode="General">
                        <c:v>-28.533873493975904</c:v>
                      </c:pt>
                      <c:pt idx="24" formatCode="General">
                        <c:v>-28.638000000000002</c:v>
                      </c:pt>
                      <c:pt idx="25" formatCode="General">
                        <c:v>-28.778000000000002</c:v>
                      </c:pt>
                      <c:pt idx="26" formatCode="General">
                        <c:v>-28.928909090909091</c:v>
                      </c:pt>
                      <c:pt idx="27" formatCode="General">
                        <c:v>-29.087090909090907</c:v>
                      </c:pt>
                      <c:pt idx="28" formatCode="General">
                        <c:v>-29.252181818181818</c:v>
                      </c:pt>
                      <c:pt idx="29" formatCode="General">
                        <c:v>-29.419818181818179</c:v>
                      </c:pt>
                      <c:pt idx="30" formatCode="General">
                        <c:v>-29.592545454545455</c:v>
                      </c:pt>
                      <c:pt idx="31" formatCode="General">
                        <c:v>-29.761366111951592</c:v>
                      </c:pt>
                      <c:pt idx="32" formatCode="General">
                        <c:v>-29.928083207261729</c:v>
                      </c:pt>
                      <c:pt idx="33" formatCode="General">
                        <c:v>-30.094800302571862</c:v>
                      </c:pt>
                      <c:pt idx="34" formatCode="General">
                        <c:v>-30.261517397881999</c:v>
                      </c:pt>
                      <c:pt idx="35" formatCode="General">
                        <c:v>-30.428234493192136</c:v>
                      </c:pt>
                      <c:pt idx="36" formatCode="General">
                        <c:v>-30.594951588502273</c:v>
                      </c:pt>
                      <c:pt idx="37" formatCode="General">
                        <c:v>-30.761372163388806</c:v>
                      </c:pt>
                      <c:pt idx="38" formatCode="General">
                        <c:v>-30.920676248108929</c:v>
                      </c:pt>
                      <c:pt idx="39" formatCode="General">
                        <c:v>-31.079980332829049</c:v>
                      </c:pt>
                      <c:pt idx="40" formatCode="General">
                        <c:v>-31.239284417549168</c:v>
                      </c:pt>
                      <c:pt idx="41" formatCode="General">
                        <c:v>-31.398588502269288</c:v>
                      </c:pt>
                      <c:pt idx="42" formatCode="General">
                        <c:v>-31.557892586989411</c:v>
                      </c:pt>
                      <c:pt idx="43" formatCode="General">
                        <c:v>-31.71719667170953</c:v>
                      </c:pt>
                      <c:pt idx="44" formatCode="General">
                        <c:v>-31.87454916792738</c:v>
                      </c:pt>
                      <c:pt idx="45" formatCode="General">
                        <c:v>-32.029314674735247</c:v>
                      </c:pt>
                      <c:pt idx="46" formatCode="General">
                        <c:v>-32.184080181543116</c:v>
                      </c:pt>
                      <c:pt idx="47" formatCode="General">
                        <c:v>-32.338845688350986</c:v>
                      </c:pt>
                      <c:pt idx="48" formatCode="General">
                        <c:v>-32.493611195158856</c:v>
                      </c:pt>
                      <c:pt idx="49" formatCode="General">
                        <c:v>-32.648376701966718</c:v>
                      </c:pt>
                      <c:pt idx="50" formatCode="General">
                        <c:v>-32.803142208774588</c:v>
                      </c:pt>
                      <c:pt idx="51" formatCode="General">
                        <c:v>-32.957230303030308</c:v>
                      </c:pt>
                      <c:pt idx="52" formatCode="General">
                        <c:v>-33.111169696969704</c:v>
                      </c:pt>
                      <c:pt idx="53" formatCode="General">
                        <c:v>-33.265109090909093</c:v>
                      </c:pt>
                      <c:pt idx="54" formatCode="General">
                        <c:v>-33.419048484848489</c:v>
                      </c:pt>
                      <c:pt idx="55" formatCode="General">
                        <c:v>-33.572987878787885</c:v>
                      </c:pt>
                      <c:pt idx="56" formatCode="General">
                        <c:v>-33.726927272727274</c:v>
                      </c:pt>
                      <c:pt idx="57" formatCode="General">
                        <c:v>-33.880927710843373</c:v>
                      </c:pt>
                      <c:pt idx="58" formatCode="General">
                        <c:v>-34.035144578313258</c:v>
                      </c:pt>
                      <c:pt idx="59" formatCode="General">
                        <c:v>-34.184793939393941</c:v>
                      </c:pt>
                      <c:pt idx="60" formatCode="General">
                        <c:v>-34.33085454545455</c:v>
                      </c:pt>
                      <c:pt idx="61" formatCode="General">
                        <c:v>-34.479672727272728</c:v>
                      </c:pt>
                      <c:pt idx="62" formatCode="General">
                        <c:v>-34.628133333333331</c:v>
                      </c:pt>
                      <c:pt idx="63" formatCode="General">
                        <c:v>-34.774799999999999</c:v>
                      </c:pt>
                      <c:pt idx="64" formatCode="General">
                        <c:v>-34.918009077155823</c:v>
                      </c:pt>
                      <c:pt idx="65" formatCode="General">
                        <c:v>-35.059007564296522</c:v>
                      </c:pt>
                      <c:pt idx="66" formatCode="General">
                        <c:v>-35.200006051437214</c:v>
                      </c:pt>
                      <c:pt idx="67" formatCode="General">
                        <c:v>-35.341004538577913</c:v>
                      </c:pt>
                      <c:pt idx="68" formatCode="General">
                        <c:v>-35.482003025718605</c:v>
                      </c:pt>
                      <c:pt idx="69" formatCode="General">
                        <c:v>-35.623001512859304</c:v>
                      </c:pt>
                      <c:pt idx="70" formatCode="General">
                        <c:v>-35.763999999999996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-143.49206060606059</c:v>
                      </c:pt>
                      <c:pt idx="1">
                        <c:v>-138.9310909090909</c:v>
                      </c:pt>
                      <c:pt idx="2" formatCode="General">
                        <c:v>-134.51290909090909</c:v>
                      </c:pt>
                      <c:pt idx="3" formatCode="General">
                        <c:v>-130.23187878787877</c:v>
                      </c:pt>
                      <c:pt idx="4" formatCode="General">
                        <c:v>-125.95890909090909</c:v>
                      </c:pt>
                      <c:pt idx="5" formatCode="General">
                        <c:v>-121.19527272727272</c:v>
                      </c:pt>
                      <c:pt idx="6" formatCode="General">
                        <c:v>-116.98277108433736</c:v>
                      </c:pt>
                      <c:pt idx="7" formatCode="General">
                        <c:v>-113.50084337349398</c:v>
                      </c:pt>
                      <c:pt idx="8" formatCode="General">
                        <c:v>-110.11933333333334</c:v>
                      </c:pt>
                      <c:pt idx="9" formatCode="General">
                        <c:v>-106.78672727272728</c:v>
                      </c:pt>
                      <c:pt idx="10" formatCode="General">
                        <c:v>-103.59278787878789</c:v>
                      </c:pt>
                      <c:pt idx="11" formatCode="General">
                        <c:v>-100.63860816944025</c:v>
                      </c:pt>
                      <c:pt idx="12" formatCode="General">
                        <c:v>-97.954795763993957</c:v>
                      </c:pt>
                      <c:pt idx="13" formatCode="General">
                        <c:v>-95.270983358547653</c:v>
                      </c:pt>
                      <c:pt idx="14" formatCode="General">
                        <c:v>-92.587170953101364</c:v>
                      </c:pt>
                      <c:pt idx="15" formatCode="General">
                        <c:v>-89.90335854765506</c:v>
                      </c:pt>
                      <c:pt idx="16" formatCode="General">
                        <c:v>-87.21954614220877</c:v>
                      </c:pt>
                      <c:pt idx="17" formatCode="General">
                        <c:v>-84.535733736762467</c:v>
                      </c:pt>
                      <c:pt idx="18" formatCode="General">
                        <c:v>-82.314909090909083</c:v>
                      </c:pt>
                      <c:pt idx="19" formatCode="General">
                        <c:v>-80.208909090909088</c:v>
                      </c:pt>
                      <c:pt idx="20" formatCode="General">
                        <c:v>-78.251333333333335</c:v>
                      </c:pt>
                      <c:pt idx="21" formatCode="General">
                        <c:v>-76.354848484848489</c:v>
                      </c:pt>
                      <c:pt idx="22" formatCode="General">
                        <c:v>-74.506363636363631</c:v>
                      </c:pt>
                      <c:pt idx="23" formatCode="General">
                        <c:v>-72.788614457831329</c:v>
                      </c:pt>
                      <c:pt idx="24" formatCode="General">
                        <c:v>-71.108484848484849</c:v>
                      </c:pt>
                      <c:pt idx="25" formatCode="General">
                        <c:v>-69.50242424242424</c:v>
                      </c:pt>
                      <c:pt idx="26" formatCode="General">
                        <c:v>-67.976363636363644</c:v>
                      </c:pt>
                      <c:pt idx="27" formatCode="General">
                        <c:v>-66.503636363636375</c:v>
                      </c:pt>
                      <c:pt idx="28" formatCode="General">
                        <c:v>-65.157575757575756</c:v>
                      </c:pt>
                      <c:pt idx="29" formatCode="General">
                        <c:v>-63.856363636363632</c:v>
                      </c:pt>
                      <c:pt idx="30" formatCode="General">
                        <c:v>-62.644242424242421</c:v>
                      </c:pt>
                      <c:pt idx="31" formatCode="General">
                        <c:v>-61.562133131618758</c:v>
                      </c:pt>
                      <c:pt idx="32" formatCode="General">
                        <c:v>-60.55003025718608</c:v>
                      </c:pt>
                      <c:pt idx="33" formatCode="General">
                        <c:v>-59.537927382753402</c:v>
                      </c:pt>
                      <c:pt idx="34" formatCode="General">
                        <c:v>-58.525824508320724</c:v>
                      </c:pt>
                      <c:pt idx="35" formatCode="General">
                        <c:v>-57.513721633888053</c:v>
                      </c:pt>
                      <c:pt idx="36" formatCode="General">
                        <c:v>-56.501618759455376</c:v>
                      </c:pt>
                      <c:pt idx="37" formatCode="General">
                        <c:v>-55.49774583963692</c:v>
                      </c:pt>
                      <c:pt idx="38" formatCode="General">
                        <c:v>-54.691391830559759</c:v>
                      </c:pt>
                      <c:pt idx="39" formatCode="General">
                        <c:v>-53.885037821482605</c:v>
                      </c:pt>
                      <c:pt idx="40" formatCode="General">
                        <c:v>-53.078683812405451</c:v>
                      </c:pt>
                      <c:pt idx="41" formatCode="General">
                        <c:v>-52.272329803328297</c:v>
                      </c:pt>
                      <c:pt idx="42" formatCode="General">
                        <c:v>-51.465975794251143</c:v>
                      </c:pt>
                      <c:pt idx="43" formatCode="General">
                        <c:v>-50.659621785173982</c:v>
                      </c:pt>
                      <c:pt idx="44" formatCode="General">
                        <c:v>-49.940438729198192</c:v>
                      </c:pt>
                      <c:pt idx="45" formatCode="General">
                        <c:v>-49.336807866868384</c:v>
                      </c:pt>
                      <c:pt idx="46" formatCode="General">
                        <c:v>-48.733177004538582</c:v>
                      </c:pt>
                      <c:pt idx="47" formatCode="General">
                        <c:v>-48.129546142208774</c:v>
                      </c:pt>
                      <c:pt idx="48" formatCode="General">
                        <c:v>-47.525915279878973</c:v>
                      </c:pt>
                      <c:pt idx="49" formatCode="General">
                        <c:v>-46.922284417549164</c:v>
                      </c:pt>
                      <c:pt idx="50" formatCode="General">
                        <c:v>-46.318653555219363</c:v>
                      </c:pt>
                      <c:pt idx="51" formatCode="General">
                        <c:v>-46.0000303030303</c:v>
                      </c:pt>
                      <c:pt idx="52" formatCode="General">
                        <c:v>-45.743969696969693</c:v>
                      </c:pt>
                      <c:pt idx="53" formatCode="General">
                        <c:v>-45.487909090909092</c:v>
                      </c:pt>
                      <c:pt idx="54" formatCode="General">
                        <c:v>-45.231848484848484</c:v>
                      </c:pt>
                      <c:pt idx="55" formatCode="General">
                        <c:v>-44.975787878787877</c:v>
                      </c:pt>
                      <c:pt idx="56" formatCode="General">
                        <c:v>-44.719727272727269</c:v>
                      </c:pt>
                      <c:pt idx="57" formatCode="General">
                        <c:v>-44.517879518072284</c:v>
                      </c:pt>
                      <c:pt idx="58" formatCode="General">
                        <c:v>-44.508240963855421</c:v>
                      </c:pt>
                      <c:pt idx="59" formatCode="General">
                        <c:v>-44.531830303030304</c:v>
                      </c:pt>
                      <c:pt idx="60" formatCode="General">
                        <c:v>-44.581527272727271</c:v>
                      </c:pt>
                      <c:pt idx="61" formatCode="General">
                        <c:v>-44.676448484848486</c:v>
                      </c:pt>
                      <c:pt idx="62" formatCode="General">
                        <c:v>-44.783090909090909</c:v>
                      </c:pt>
                      <c:pt idx="63" formatCode="General">
                        <c:v>-44.910363636363634</c:v>
                      </c:pt>
                      <c:pt idx="64" formatCode="General">
                        <c:v>-45.051730711043874</c:v>
                      </c:pt>
                      <c:pt idx="65" formatCode="General">
                        <c:v>-45.202108925869894</c:v>
                      </c:pt>
                      <c:pt idx="66" formatCode="General">
                        <c:v>-45.352487140695914</c:v>
                      </c:pt>
                      <c:pt idx="67" formatCode="General">
                        <c:v>-45.502865355521941</c:v>
                      </c:pt>
                      <c:pt idx="68" formatCode="General">
                        <c:v>-45.653243570347961</c:v>
                      </c:pt>
                      <c:pt idx="69" formatCode="General">
                        <c:v>-45.803621785173981</c:v>
                      </c:pt>
                      <c:pt idx="70" formatCode="General">
                        <c:v>-45.954000000000001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-18.888727272727273</c:v>
                      </c:pt>
                      <c:pt idx="1">
                        <c:v>-18.91151515151515</c:v>
                      </c:pt>
                      <c:pt idx="2" formatCode="General">
                        <c:v>-18.941818181818181</c:v>
                      </c:pt>
                      <c:pt idx="3" formatCode="General">
                        <c:v>-18.976545454545455</c:v>
                      </c:pt>
                      <c:pt idx="4" formatCode="General">
                        <c:v>-19.008545454545455</c:v>
                      </c:pt>
                      <c:pt idx="5" formatCode="General">
                        <c:v>-18.990363636363636</c:v>
                      </c:pt>
                      <c:pt idx="6" formatCode="General">
                        <c:v>-18.995542168674699</c:v>
                      </c:pt>
                      <c:pt idx="7" formatCode="General">
                        <c:v>-19.031686746987951</c:v>
                      </c:pt>
                      <c:pt idx="8" formatCode="General">
                        <c:v>-19.063333333333333</c:v>
                      </c:pt>
                      <c:pt idx="9" formatCode="General">
                        <c:v>-19.093636363636364</c:v>
                      </c:pt>
                      <c:pt idx="10" formatCode="General">
                        <c:v>-19.123939393939395</c:v>
                      </c:pt>
                      <c:pt idx="11" formatCode="General">
                        <c:v>-19.142844175491678</c:v>
                      </c:pt>
                      <c:pt idx="12" formatCode="General">
                        <c:v>-19.148895612708017</c:v>
                      </c:pt>
                      <c:pt idx="13" formatCode="General">
                        <c:v>-19.154947049924356</c:v>
                      </c:pt>
                      <c:pt idx="14" formatCode="General">
                        <c:v>-19.160998487140695</c:v>
                      </c:pt>
                      <c:pt idx="15" formatCode="General">
                        <c:v>-19.167049924357034</c:v>
                      </c:pt>
                      <c:pt idx="16" formatCode="General">
                        <c:v>-19.173101361573373</c:v>
                      </c:pt>
                      <c:pt idx="17" formatCode="General">
                        <c:v>-19.179152798789712</c:v>
                      </c:pt>
                      <c:pt idx="18" formatCode="General">
                        <c:v>-19.153939393939392</c:v>
                      </c:pt>
                      <c:pt idx="19" formatCode="General">
                        <c:v>-19.123636363636361</c:v>
                      </c:pt>
                      <c:pt idx="20" formatCode="General">
                        <c:v>-19.09333333333333</c:v>
                      </c:pt>
                      <c:pt idx="21" formatCode="General">
                        <c:v>-19.06642424242424</c:v>
                      </c:pt>
                      <c:pt idx="22" formatCode="General">
                        <c:v>-19.042181818181817</c:v>
                      </c:pt>
                      <c:pt idx="23" formatCode="General">
                        <c:v>-19.034518072289156</c:v>
                      </c:pt>
                      <c:pt idx="24" formatCode="General">
                        <c:v>-19.031515151515151</c:v>
                      </c:pt>
                      <c:pt idx="25" formatCode="General">
                        <c:v>-19.037575757575759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-19.07151515151515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-60.236787878787872</c:v>
                      </c:pt>
                      <c:pt idx="1">
                        <c:v>-58.907818181818179</c:v>
                      </c:pt>
                      <c:pt idx="2" formatCode="General">
                        <c:v>-57.744181818181815</c:v>
                      </c:pt>
                      <c:pt idx="3" formatCode="General">
                        <c:v>-56.770787878787878</c:v>
                      </c:pt>
                      <c:pt idx="4" formatCode="General">
                        <c:v>-55.919636363636364</c:v>
                      </c:pt>
                      <c:pt idx="5" formatCode="General">
                        <c:v>-55.665090909090907</c:v>
                      </c:pt>
                      <c:pt idx="6" formatCode="General">
                        <c:v>-55.214337349397596</c:v>
                      </c:pt>
                      <c:pt idx="7" formatCode="General">
                        <c:v>-54.503493975903616</c:v>
                      </c:pt>
                      <c:pt idx="8" formatCode="General">
                        <c:v>-53.92</c:v>
                      </c:pt>
                      <c:pt idx="9" formatCode="General">
                        <c:v>-53.390327272727269</c:v>
                      </c:pt>
                      <c:pt idx="10" formatCode="General">
                        <c:v>-52.976387878787875</c:v>
                      </c:pt>
                      <c:pt idx="11" formatCode="General">
                        <c:v>-52.647143721633888</c:v>
                      </c:pt>
                      <c:pt idx="12" formatCode="General">
                        <c:v>-52.413406959152795</c:v>
                      </c:pt>
                      <c:pt idx="13" formatCode="General">
                        <c:v>-52.179670196671708</c:v>
                      </c:pt>
                      <c:pt idx="14" formatCode="General">
                        <c:v>-51.945933434190614</c:v>
                      </c:pt>
                      <c:pt idx="15" formatCode="General">
                        <c:v>-51.712196671709528</c:v>
                      </c:pt>
                      <c:pt idx="16" formatCode="General">
                        <c:v>-51.478459909228441</c:v>
                      </c:pt>
                      <c:pt idx="17" formatCode="General">
                        <c:v>-51.244723146747347</c:v>
                      </c:pt>
                      <c:pt idx="18" formatCode="General">
                        <c:v>-51.166654545454541</c:v>
                      </c:pt>
                      <c:pt idx="19" formatCode="General">
                        <c:v>-51.135054545454544</c:v>
                      </c:pt>
                      <c:pt idx="20" formatCode="General">
                        <c:v>-51.182933333333331</c:v>
                      </c:pt>
                      <c:pt idx="21" formatCode="General">
                        <c:v>-51.28070303030303</c:v>
                      </c:pt>
                      <c:pt idx="22" formatCode="General">
                        <c:v>-51.417672727272731</c:v>
                      </c:pt>
                      <c:pt idx="23" formatCode="General">
                        <c:v>-51.628993975903619</c:v>
                      </c:pt>
                      <c:pt idx="24" formatCode="General">
                        <c:v>-51.862848484848492</c:v>
                      </c:pt>
                      <c:pt idx="25" formatCode="General">
                        <c:v>-52.142242424242433</c:v>
                      </c:pt>
                      <c:pt idx="26" formatCode="General">
                        <c:v>-52.432545454545455</c:v>
                      </c:pt>
                      <c:pt idx="27" formatCode="General">
                        <c:v>-52.730121212121212</c:v>
                      </c:pt>
                      <c:pt idx="28" formatCode="General">
                        <c:v>-53.034606060606059</c:v>
                      </c:pt>
                      <c:pt idx="29" formatCode="General">
                        <c:v>-53.343454545454541</c:v>
                      </c:pt>
                      <c:pt idx="30" formatCode="General">
                        <c:v>-53.661636363636369</c:v>
                      </c:pt>
                      <c:pt idx="31" formatCode="General">
                        <c:v>-53.972818456883516</c:v>
                      </c:pt>
                      <c:pt idx="32" formatCode="General">
                        <c:v>-54.280231467473527</c:v>
                      </c:pt>
                      <c:pt idx="33" formatCode="General">
                        <c:v>-54.587644478063538</c:v>
                      </c:pt>
                      <c:pt idx="34" formatCode="General">
                        <c:v>-54.895057488653556</c:v>
                      </c:pt>
                      <c:pt idx="35" formatCode="General">
                        <c:v>-55.202470499243567</c:v>
                      </c:pt>
                      <c:pt idx="36" formatCode="General">
                        <c:v>-55.509883509833585</c:v>
                      </c:pt>
                      <c:pt idx="37" formatCode="General">
                        <c:v>-55.816757942511344</c:v>
                      </c:pt>
                      <c:pt idx="38" formatCode="General">
                        <c:v>-56.110706505295006</c:v>
                      </c:pt>
                      <c:pt idx="39" formatCode="General">
                        <c:v>-56.404655068078668</c:v>
                      </c:pt>
                      <c:pt idx="40" formatCode="General">
                        <c:v>-56.69860363086233</c:v>
                      </c:pt>
                      <c:pt idx="41" formatCode="General">
                        <c:v>-56.992552193645992</c:v>
                      </c:pt>
                      <c:pt idx="42" formatCode="General">
                        <c:v>-57.286500756429653</c:v>
                      </c:pt>
                      <c:pt idx="43" formatCode="General">
                        <c:v>-57.580449319213315</c:v>
                      </c:pt>
                      <c:pt idx="44" formatCode="General">
                        <c:v>-57.869193645990926</c:v>
                      </c:pt>
                      <c:pt idx="45" formatCode="General">
                        <c:v>-58.15103933434191</c:v>
                      </c:pt>
                      <c:pt idx="46" formatCode="General">
                        <c:v>-58.432885022692894</c:v>
                      </c:pt>
                      <c:pt idx="47" formatCode="General">
                        <c:v>-58.714730711043877</c:v>
                      </c:pt>
                      <c:pt idx="48" formatCode="General">
                        <c:v>-58.996576399394861</c:v>
                      </c:pt>
                      <c:pt idx="49" formatCode="General">
                        <c:v>-59.278422087745845</c:v>
                      </c:pt>
                      <c:pt idx="50" formatCode="General">
                        <c:v>-59.560267776096829</c:v>
                      </c:pt>
                      <c:pt idx="51" formatCode="General">
                        <c:v>-59.834139393939395</c:v>
                      </c:pt>
                      <c:pt idx="52" formatCode="General">
                        <c:v>-60.106260606060609</c:v>
                      </c:pt>
                      <c:pt idx="53" formatCode="General">
                        <c:v>-60.378381818181822</c:v>
                      </c:pt>
                      <c:pt idx="54" formatCode="General">
                        <c:v>-60.650503030303028</c:v>
                      </c:pt>
                      <c:pt idx="55" formatCode="General">
                        <c:v>-60.922624242424241</c:v>
                      </c:pt>
                      <c:pt idx="56" formatCode="General">
                        <c:v>-61.194745454545455</c:v>
                      </c:pt>
                      <c:pt idx="57" formatCode="General">
                        <c:v>-61.46743373493976</c:v>
                      </c:pt>
                      <c:pt idx="58" formatCode="General">
                        <c:v>-61.742132530120479</c:v>
                      </c:pt>
                      <c:pt idx="59" formatCode="General">
                        <c:v>-62.009278787878785</c:v>
                      </c:pt>
                      <c:pt idx="60" formatCode="General">
                        <c:v>-62.27049090909091</c:v>
                      </c:pt>
                      <c:pt idx="61" formatCode="General">
                        <c:v>-62.539975757575753</c:v>
                      </c:pt>
                      <c:pt idx="62" formatCode="General">
                        <c:v>-62.809648484848481</c:v>
                      </c:pt>
                      <c:pt idx="63" formatCode="General">
                        <c:v>-63.077527272727274</c:v>
                      </c:pt>
                      <c:pt idx="64" formatCode="General">
                        <c:v>-63.33999092284418</c:v>
                      </c:pt>
                      <c:pt idx="65" formatCode="General">
                        <c:v>-63.598992435703479</c:v>
                      </c:pt>
                      <c:pt idx="66" formatCode="General">
                        <c:v>-63.857993948562786</c:v>
                      </c:pt>
                      <c:pt idx="67" formatCode="General">
                        <c:v>-64.116995461422093</c:v>
                      </c:pt>
                      <c:pt idx="68" formatCode="General">
                        <c:v>-64.375996974281392</c:v>
                      </c:pt>
                      <c:pt idx="69" formatCode="General">
                        <c:v>-64.634998487140706</c:v>
                      </c:pt>
                      <c:pt idx="70" formatCode="General">
                        <c:v>-64.894000000000005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-38.512484848484846</c:v>
                      </c:pt>
                      <c:pt idx="1">
                        <c:v>-37.55684848484848</c:v>
                      </c:pt>
                      <c:pt idx="2" formatCode="General">
                        <c:v>-36.653818181818181</c:v>
                      </c:pt>
                      <c:pt idx="3" formatCode="General">
                        <c:v>-35.821575757575751</c:v>
                      </c:pt>
                      <c:pt idx="4" formatCode="General">
                        <c:v>-35.031515151515151</c:v>
                      </c:pt>
                      <c:pt idx="5" formatCode="General">
                        <c:v>-34.425454545454542</c:v>
                      </c:pt>
                      <c:pt idx="6" formatCode="General">
                        <c:v>-33.800240963855423</c:v>
                      </c:pt>
                      <c:pt idx="7" formatCode="General">
                        <c:v>-33.149638554216871</c:v>
                      </c:pt>
                      <c:pt idx="8" formatCode="General">
                        <c:v>-32.556666666666665</c:v>
                      </c:pt>
                      <c:pt idx="9" formatCode="General">
                        <c:v>-31.989418181818181</c:v>
                      </c:pt>
                      <c:pt idx="10" formatCode="General">
                        <c:v>-31.484569696969697</c:v>
                      </c:pt>
                      <c:pt idx="11" formatCode="General">
                        <c:v>-31.045993948562781</c:v>
                      </c:pt>
                      <c:pt idx="12" formatCode="General">
                        <c:v>-30.682151285930406</c:v>
                      </c:pt>
                      <c:pt idx="13" formatCode="General">
                        <c:v>-30.31830862329803</c:v>
                      </c:pt>
                      <c:pt idx="14" formatCode="General">
                        <c:v>-29.954465960665654</c:v>
                      </c:pt>
                      <c:pt idx="15" formatCode="General">
                        <c:v>-29.590623298033279</c:v>
                      </c:pt>
                      <c:pt idx="16" formatCode="General">
                        <c:v>-29.226780635400907</c:v>
                      </c:pt>
                      <c:pt idx="17" formatCode="General">
                        <c:v>-28.862937972768528</c:v>
                      </c:pt>
                      <c:pt idx="18" formatCode="General">
                        <c:v>-28.662412121212121</c:v>
                      </c:pt>
                      <c:pt idx="19" formatCode="General">
                        <c:v>-28.51087272727273</c:v>
                      </c:pt>
                      <c:pt idx="20" formatCode="General">
                        <c:v>-28.4436</c:v>
                      </c:pt>
                      <c:pt idx="21" formatCode="General">
                        <c:v>-28.426218181818179</c:v>
                      </c:pt>
                      <c:pt idx="22" formatCode="General">
                        <c:v>-28.448036363636362</c:v>
                      </c:pt>
                      <c:pt idx="23" formatCode="General">
                        <c:v>-28.533873493975904</c:v>
                      </c:pt>
                      <c:pt idx="24" formatCode="General">
                        <c:v>-28.638000000000002</c:v>
                      </c:pt>
                      <c:pt idx="25" formatCode="General">
                        <c:v>-28.778000000000002</c:v>
                      </c:pt>
                      <c:pt idx="26" formatCode="General">
                        <c:v>-28.928909090909091</c:v>
                      </c:pt>
                      <c:pt idx="27" formatCode="General">
                        <c:v>-29.087090909090907</c:v>
                      </c:pt>
                      <c:pt idx="28" formatCode="General">
                        <c:v>-29.252181818181818</c:v>
                      </c:pt>
                      <c:pt idx="29" formatCode="General">
                        <c:v>-29.419818181818179</c:v>
                      </c:pt>
                      <c:pt idx="30" formatCode="General">
                        <c:v>-29.592545454545455</c:v>
                      </c:pt>
                      <c:pt idx="31" formatCode="General">
                        <c:v>-29.761366111951592</c:v>
                      </c:pt>
                      <c:pt idx="32" formatCode="General">
                        <c:v>-29.928083207261729</c:v>
                      </c:pt>
                      <c:pt idx="33" formatCode="General">
                        <c:v>-30.094800302571862</c:v>
                      </c:pt>
                      <c:pt idx="34" formatCode="General">
                        <c:v>-30.261517397881999</c:v>
                      </c:pt>
                      <c:pt idx="35" formatCode="General">
                        <c:v>-30.428234493192136</c:v>
                      </c:pt>
                      <c:pt idx="36" formatCode="General">
                        <c:v>-30.594951588502273</c:v>
                      </c:pt>
                      <c:pt idx="37" formatCode="General">
                        <c:v>-30.761372163388806</c:v>
                      </c:pt>
                      <c:pt idx="38" formatCode="General">
                        <c:v>-30.920676248108929</c:v>
                      </c:pt>
                      <c:pt idx="39" formatCode="General">
                        <c:v>-31.079980332829049</c:v>
                      </c:pt>
                      <c:pt idx="40" formatCode="General">
                        <c:v>-31.239284417549168</c:v>
                      </c:pt>
                      <c:pt idx="41" formatCode="General">
                        <c:v>-31.398588502269288</c:v>
                      </c:pt>
                      <c:pt idx="42" formatCode="General">
                        <c:v>-31.557892586989411</c:v>
                      </c:pt>
                      <c:pt idx="43" formatCode="General">
                        <c:v>-31.71719667170953</c:v>
                      </c:pt>
                      <c:pt idx="44" formatCode="General">
                        <c:v>-31.87454916792738</c:v>
                      </c:pt>
                      <c:pt idx="45" formatCode="General">
                        <c:v>-32.029314674735247</c:v>
                      </c:pt>
                      <c:pt idx="46" formatCode="General">
                        <c:v>-32.184080181543116</c:v>
                      </c:pt>
                      <c:pt idx="47" formatCode="General">
                        <c:v>-32.338845688350986</c:v>
                      </c:pt>
                      <c:pt idx="48" formatCode="General">
                        <c:v>-32.493611195158856</c:v>
                      </c:pt>
                      <c:pt idx="49" formatCode="General">
                        <c:v>-32.648376701966718</c:v>
                      </c:pt>
                      <c:pt idx="50" formatCode="General">
                        <c:v>-32.803142208774588</c:v>
                      </c:pt>
                      <c:pt idx="51" formatCode="General">
                        <c:v>-32.957230303030308</c:v>
                      </c:pt>
                      <c:pt idx="52" formatCode="General">
                        <c:v>-33.111169696969704</c:v>
                      </c:pt>
                      <c:pt idx="53" formatCode="General">
                        <c:v>-33.265109090909093</c:v>
                      </c:pt>
                      <c:pt idx="54" formatCode="General">
                        <c:v>-33.419048484848489</c:v>
                      </c:pt>
                      <c:pt idx="55" formatCode="General">
                        <c:v>-33.572987878787885</c:v>
                      </c:pt>
                      <c:pt idx="56" formatCode="General">
                        <c:v>-33.726927272727274</c:v>
                      </c:pt>
                      <c:pt idx="57" formatCode="General">
                        <c:v>-33.880927710843373</c:v>
                      </c:pt>
                      <c:pt idx="58" formatCode="General">
                        <c:v>-34.035144578313258</c:v>
                      </c:pt>
                      <c:pt idx="59" formatCode="General">
                        <c:v>-34.184793939393941</c:v>
                      </c:pt>
                      <c:pt idx="60" formatCode="General">
                        <c:v>-34.33085454545455</c:v>
                      </c:pt>
                      <c:pt idx="61" formatCode="General">
                        <c:v>-34.479672727272728</c:v>
                      </c:pt>
                      <c:pt idx="62" formatCode="General">
                        <c:v>-34.628133333333331</c:v>
                      </c:pt>
                      <c:pt idx="63" formatCode="General">
                        <c:v>-34.774799999999999</c:v>
                      </c:pt>
                      <c:pt idx="64" formatCode="General">
                        <c:v>-34.918009077155823</c:v>
                      </c:pt>
                      <c:pt idx="65" formatCode="General">
                        <c:v>-35.059007564296522</c:v>
                      </c:pt>
                      <c:pt idx="66" formatCode="General">
                        <c:v>-35.200006051437214</c:v>
                      </c:pt>
                      <c:pt idx="67" formatCode="General">
                        <c:v>-35.341004538577913</c:v>
                      </c:pt>
                      <c:pt idx="68" formatCode="General">
                        <c:v>-35.482003025718605</c:v>
                      </c:pt>
                      <c:pt idx="69" formatCode="General">
                        <c:v>-35.623001512859304</c:v>
                      </c:pt>
                      <c:pt idx="70" formatCode="General">
                        <c:v>-35.763999999999996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-82.608181818181805</c:v>
                      </c:pt>
                      <c:pt idx="1">
                        <c:v>-80.141030303030306</c:v>
                      </c:pt>
                      <c:pt idx="2" formatCode="General">
                        <c:v>-77.801636363636362</c:v>
                      </c:pt>
                      <c:pt idx="3" formatCode="General">
                        <c:v>-75.590545454545449</c:v>
                      </c:pt>
                      <c:pt idx="4" formatCode="General">
                        <c:v>-73.423515151515147</c:v>
                      </c:pt>
                      <c:pt idx="5" formatCode="General">
                        <c:v>-71.217454545454544</c:v>
                      </c:pt>
                      <c:pt idx="6" formatCode="General">
                        <c:v>-69.198433734939769</c:v>
                      </c:pt>
                      <c:pt idx="7" formatCode="General">
                        <c:v>-67.427349397590362</c:v>
                      </c:pt>
                      <c:pt idx="8" formatCode="General">
                        <c:v>-65.74133333333333</c:v>
                      </c:pt>
                      <c:pt idx="9" formatCode="General">
                        <c:v>-64.093818181818179</c:v>
                      </c:pt>
                      <c:pt idx="10" formatCode="General">
                        <c:v>-62.542303030303032</c:v>
                      </c:pt>
                      <c:pt idx="11" formatCode="General">
                        <c:v>-61.119878971255673</c:v>
                      </c:pt>
                      <c:pt idx="12" formatCode="General">
                        <c:v>-59.843025718608168</c:v>
                      </c:pt>
                      <c:pt idx="13" formatCode="General">
                        <c:v>-58.566172465960662</c:v>
                      </c:pt>
                      <c:pt idx="14" formatCode="General">
                        <c:v>-57.289319213313163</c:v>
                      </c:pt>
                      <c:pt idx="15" formatCode="General">
                        <c:v>-56.012465960665658</c:v>
                      </c:pt>
                      <c:pt idx="16" formatCode="General">
                        <c:v>-54.735612708018152</c:v>
                      </c:pt>
                      <c:pt idx="17" formatCode="General">
                        <c:v>-53.458759455370647</c:v>
                      </c:pt>
                      <c:pt idx="18" formatCode="General">
                        <c:v>-52.409575757575759</c:v>
                      </c:pt>
                      <c:pt idx="19" formatCode="General">
                        <c:v>-51.416545454545449</c:v>
                      </c:pt>
                      <c:pt idx="20" formatCode="General">
                        <c:v>-50.495333333333335</c:v>
                      </c:pt>
                      <c:pt idx="21" formatCode="General">
                        <c:v>-49.604666666666667</c:v>
                      </c:pt>
                      <c:pt idx="22" formatCode="General">
                        <c:v>-48.737999999999992</c:v>
                      </c:pt>
                      <c:pt idx="23" formatCode="General">
                        <c:v>-47.941867469879519</c:v>
                      </c:pt>
                      <c:pt idx="24" formatCode="General">
                        <c:v>-47.166666666666671</c:v>
                      </c:pt>
                      <c:pt idx="25" formatCode="General">
                        <c:v>-46.433333333333337</c:v>
                      </c:pt>
                      <c:pt idx="26" formatCode="General">
                        <c:v>-45.74</c:v>
                      </c:pt>
                      <c:pt idx="27" formatCode="General">
                        <c:v>-45.073333333333331</c:v>
                      </c:pt>
                      <c:pt idx="28" formatCode="General">
                        <c:v>-44.47</c:v>
                      </c:pt>
                      <c:pt idx="29" formatCode="General">
                        <c:v>-43.89</c:v>
                      </c:pt>
                      <c:pt idx="30" formatCode="General">
                        <c:v>-43.356666666666669</c:v>
                      </c:pt>
                      <c:pt idx="31" formatCode="General">
                        <c:v>-42.886792738275339</c:v>
                      </c:pt>
                      <c:pt idx="32" formatCode="General">
                        <c:v>-42.451089258698943</c:v>
                      </c:pt>
                      <c:pt idx="33" formatCode="General">
                        <c:v>-42.015385779122539</c:v>
                      </c:pt>
                      <c:pt idx="34" formatCode="General">
                        <c:v>-41.579682299546143</c:v>
                      </c:pt>
                      <c:pt idx="35" formatCode="General">
                        <c:v>-41.143978819969746</c:v>
                      </c:pt>
                      <c:pt idx="36" formatCode="General">
                        <c:v>-40.708275340393342</c:v>
                      </c:pt>
                      <c:pt idx="37" formatCode="General">
                        <c:v>-40.276565809379726</c:v>
                      </c:pt>
                      <c:pt idx="38" formatCode="General">
                        <c:v>-39.940711043872923</c:v>
                      </c:pt>
                      <c:pt idx="39" formatCode="General">
                        <c:v>-39.604856278366114</c:v>
                      </c:pt>
                      <c:pt idx="40" formatCode="General">
                        <c:v>-39.269001512859305</c:v>
                      </c:pt>
                      <c:pt idx="41" formatCode="General">
                        <c:v>-38.933146747352495</c:v>
                      </c:pt>
                      <c:pt idx="42" formatCode="General">
                        <c:v>-38.597291981845693</c:v>
                      </c:pt>
                      <c:pt idx="43" formatCode="General">
                        <c:v>-38.261437216338884</c:v>
                      </c:pt>
                      <c:pt idx="44" formatCode="General">
                        <c:v>-37.967541603630863</c:v>
                      </c:pt>
                      <c:pt idx="45" formatCode="General">
                        <c:v>-37.72926626323752</c:v>
                      </c:pt>
                      <c:pt idx="46" formatCode="General">
                        <c:v>-37.490990922844176</c:v>
                      </c:pt>
                      <c:pt idx="47" formatCode="General">
                        <c:v>-37.252715582450833</c:v>
                      </c:pt>
                      <c:pt idx="48" formatCode="General">
                        <c:v>-37.014440242057489</c:v>
                      </c:pt>
                      <c:pt idx="49" formatCode="General">
                        <c:v>-36.776164901664146</c:v>
                      </c:pt>
                      <c:pt idx="50" formatCode="General">
                        <c:v>-36.537889561270802</c:v>
                      </c:pt>
                      <c:pt idx="51" formatCode="General">
                        <c:v>-36.438469696969698</c:v>
                      </c:pt>
                      <c:pt idx="52" formatCode="General">
                        <c:v>-36.369530303030302</c:v>
                      </c:pt>
                      <c:pt idx="53" formatCode="General">
                        <c:v>-36.300590909090914</c:v>
                      </c:pt>
                      <c:pt idx="54" formatCode="General">
                        <c:v>-36.231651515151519</c:v>
                      </c:pt>
                      <c:pt idx="55" formatCode="General">
                        <c:v>-36.162712121212124</c:v>
                      </c:pt>
                      <c:pt idx="56" formatCode="General">
                        <c:v>-36.093772727272729</c:v>
                      </c:pt>
                      <c:pt idx="57" formatCode="General">
                        <c:v>-36.052192771084336</c:v>
                      </c:pt>
                      <c:pt idx="58" formatCode="General">
                        <c:v>-36.107614457831332</c:v>
                      </c:pt>
                      <c:pt idx="59" formatCode="General">
                        <c:v>-36.178157575757581</c:v>
                      </c:pt>
                      <c:pt idx="60" formatCode="General">
                        <c:v>-36.260581818181819</c:v>
                      </c:pt>
                      <c:pt idx="61" formatCode="General">
                        <c:v>-36.368375757575762</c:v>
                      </c:pt>
                      <c:pt idx="62" formatCode="General">
                        <c:v>-36.482303030303036</c:v>
                      </c:pt>
                      <c:pt idx="63" formatCode="General">
                        <c:v>-36.606545454545454</c:v>
                      </c:pt>
                      <c:pt idx="64" formatCode="General">
                        <c:v>-36.736856278366112</c:v>
                      </c:pt>
                      <c:pt idx="65" formatCode="General">
                        <c:v>-36.871046898638426</c:v>
                      </c:pt>
                      <c:pt idx="66" formatCode="General">
                        <c:v>-37.005237518910739</c:v>
                      </c:pt>
                      <c:pt idx="67" formatCode="General">
                        <c:v>-37.13942813918306</c:v>
                      </c:pt>
                      <c:pt idx="68" formatCode="General">
                        <c:v>-37.273618759455374</c:v>
                      </c:pt>
                      <c:pt idx="69" formatCode="General">
                        <c:v>-37.407809379727688</c:v>
                      </c:pt>
                      <c:pt idx="70" formatCode="General">
                        <c:v>-37.542000000000002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-143.49206060606059</c:v>
                      </c:pt>
                      <c:pt idx="1">
                        <c:v>-138.9310909090909</c:v>
                      </c:pt>
                      <c:pt idx="2" formatCode="General">
                        <c:v>-134.51290909090909</c:v>
                      </c:pt>
                      <c:pt idx="3" formatCode="General">
                        <c:v>-130.23187878787877</c:v>
                      </c:pt>
                      <c:pt idx="4" formatCode="General">
                        <c:v>-125.95890909090909</c:v>
                      </c:pt>
                      <c:pt idx="5" formatCode="General">
                        <c:v>-121.19527272727272</c:v>
                      </c:pt>
                      <c:pt idx="6" formatCode="General">
                        <c:v>-116.98277108433736</c:v>
                      </c:pt>
                      <c:pt idx="7" formatCode="General">
                        <c:v>-113.50084337349398</c:v>
                      </c:pt>
                      <c:pt idx="8" formatCode="General">
                        <c:v>-110.11933333333334</c:v>
                      </c:pt>
                      <c:pt idx="9" formatCode="General">
                        <c:v>-106.78672727272728</c:v>
                      </c:pt>
                      <c:pt idx="10" formatCode="General">
                        <c:v>-103.59278787878789</c:v>
                      </c:pt>
                      <c:pt idx="11" formatCode="General">
                        <c:v>-100.63860816944025</c:v>
                      </c:pt>
                      <c:pt idx="12" formatCode="General">
                        <c:v>-97.954795763993957</c:v>
                      </c:pt>
                      <c:pt idx="13" formatCode="General">
                        <c:v>-95.270983358547653</c:v>
                      </c:pt>
                      <c:pt idx="14" formatCode="General">
                        <c:v>-92.587170953101364</c:v>
                      </c:pt>
                      <c:pt idx="15" formatCode="General">
                        <c:v>-89.90335854765506</c:v>
                      </c:pt>
                      <c:pt idx="16" formatCode="General">
                        <c:v>-87.21954614220877</c:v>
                      </c:pt>
                      <c:pt idx="17" formatCode="General">
                        <c:v>-84.535733736762467</c:v>
                      </c:pt>
                      <c:pt idx="18" formatCode="General">
                        <c:v>-82.314909090909083</c:v>
                      </c:pt>
                      <c:pt idx="19" formatCode="General">
                        <c:v>-80.208909090909088</c:v>
                      </c:pt>
                      <c:pt idx="20" formatCode="General">
                        <c:v>-78.251333333333335</c:v>
                      </c:pt>
                      <c:pt idx="21" formatCode="General">
                        <c:v>-76.354848484848489</c:v>
                      </c:pt>
                      <c:pt idx="22" formatCode="General">
                        <c:v>-74.506363636363631</c:v>
                      </c:pt>
                      <c:pt idx="23" formatCode="General">
                        <c:v>-72.788614457831329</c:v>
                      </c:pt>
                      <c:pt idx="24" formatCode="General">
                        <c:v>-71.108484848484849</c:v>
                      </c:pt>
                      <c:pt idx="25" formatCode="General">
                        <c:v>-69.50242424242424</c:v>
                      </c:pt>
                      <c:pt idx="26" formatCode="General">
                        <c:v>-67.976363636363644</c:v>
                      </c:pt>
                      <c:pt idx="27" formatCode="General">
                        <c:v>-66.503636363636375</c:v>
                      </c:pt>
                      <c:pt idx="28" formatCode="General">
                        <c:v>-65.157575757575756</c:v>
                      </c:pt>
                      <c:pt idx="29" formatCode="General">
                        <c:v>-63.856363636363632</c:v>
                      </c:pt>
                      <c:pt idx="30" formatCode="General">
                        <c:v>-62.644242424242421</c:v>
                      </c:pt>
                      <c:pt idx="31" formatCode="General">
                        <c:v>-61.562133131618758</c:v>
                      </c:pt>
                      <c:pt idx="32" formatCode="General">
                        <c:v>-60.55003025718608</c:v>
                      </c:pt>
                      <c:pt idx="33" formatCode="General">
                        <c:v>-59.537927382753402</c:v>
                      </c:pt>
                      <c:pt idx="34" formatCode="General">
                        <c:v>-58.525824508320724</c:v>
                      </c:pt>
                      <c:pt idx="35" formatCode="General">
                        <c:v>-57.513721633888053</c:v>
                      </c:pt>
                      <c:pt idx="36" formatCode="General">
                        <c:v>-56.501618759455376</c:v>
                      </c:pt>
                      <c:pt idx="37" formatCode="General">
                        <c:v>-55.49774583963692</c:v>
                      </c:pt>
                      <c:pt idx="38" formatCode="General">
                        <c:v>-54.691391830559759</c:v>
                      </c:pt>
                      <c:pt idx="39" formatCode="General">
                        <c:v>-53.885037821482605</c:v>
                      </c:pt>
                      <c:pt idx="40" formatCode="General">
                        <c:v>-53.078683812405451</c:v>
                      </c:pt>
                      <c:pt idx="41" formatCode="General">
                        <c:v>-52.272329803328297</c:v>
                      </c:pt>
                      <c:pt idx="42" formatCode="General">
                        <c:v>-51.465975794251143</c:v>
                      </c:pt>
                      <c:pt idx="43" formatCode="General">
                        <c:v>-50.659621785173982</c:v>
                      </c:pt>
                      <c:pt idx="44" formatCode="General">
                        <c:v>-49.940438729198192</c:v>
                      </c:pt>
                      <c:pt idx="45" formatCode="General">
                        <c:v>-49.336807866868384</c:v>
                      </c:pt>
                      <c:pt idx="46" formatCode="General">
                        <c:v>-48.733177004538582</c:v>
                      </c:pt>
                      <c:pt idx="47" formatCode="General">
                        <c:v>-48.129546142208774</c:v>
                      </c:pt>
                      <c:pt idx="48" formatCode="General">
                        <c:v>-47.525915279878973</c:v>
                      </c:pt>
                      <c:pt idx="49" formatCode="General">
                        <c:v>-46.922284417549164</c:v>
                      </c:pt>
                      <c:pt idx="50" formatCode="General">
                        <c:v>-46.318653555219363</c:v>
                      </c:pt>
                      <c:pt idx="51" formatCode="General">
                        <c:v>-46.0000303030303</c:v>
                      </c:pt>
                      <c:pt idx="52" formatCode="General">
                        <c:v>-45.743969696969693</c:v>
                      </c:pt>
                      <c:pt idx="53" formatCode="General">
                        <c:v>-45.487909090909092</c:v>
                      </c:pt>
                      <c:pt idx="54" formatCode="General">
                        <c:v>-45.231848484848484</c:v>
                      </c:pt>
                      <c:pt idx="55" formatCode="General">
                        <c:v>-44.975787878787877</c:v>
                      </c:pt>
                      <c:pt idx="56" formatCode="General">
                        <c:v>-44.719727272727269</c:v>
                      </c:pt>
                      <c:pt idx="57" formatCode="General">
                        <c:v>-44.517879518072284</c:v>
                      </c:pt>
                      <c:pt idx="58" formatCode="General">
                        <c:v>-44.508240963855421</c:v>
                      </c:pt>
                      <c:pt idx="59" formatCode="General">
                        <c:v>-44.531830303030304</c:v>
                      </c:pt>
                      <c:pt idx="60" formatCode="General">
                        <c:v>-44.581527272727271</c:v>
                      </c:pt>
                      <c:pt idx="61" formatCode="General">
                        <c:v>-44.676448484848486</c:v>
                      </c:pt>
                      <c:pt idx="62" formatCode="General">
                        <c:v>-44.783090909090909</c:v>
                      </c:pt>
                      <c:pt idx="63" formatCode="General">
                        <c:v>-44.910363636363634</c:v>
                      </c:pt>
                      <c:pt idx="64" formatCode="General">
                        <c:v>-45.051730711043874</c:v>
                      </c:pt>
                      <c:pt idx="65" formatCode="General">
                        <c:v>-45.202108925869894</c:v>
                      </c:pt>
                      <c:pt idx="66" formatCode="General">
                        <c:v>-45.352487140695914</c:v>
                      </c:pt>
                      <c:pt idx="67" formatCode="General">
                        <c:v>-45.502865355521941</c:v>
                      </c:pt>
                      <c:pt idx="68" formatCode="General">
                        <c:v>-45.653243570347961</c:v>
                      </c:pt>
                      <c:pt idx="69" formatCode="General">
                        <c:v>-45.803621785173981</c:v>
                      </c:pt>
                      <c:pt idx="70" formatCode="General">
                        <c:v>-45.954000000000001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-18.888727272727273</c:v>
                      </c:pt>
                      <c:pt idx="1">
                        <c:v>-18.91151515151515</c:v>
                      </c:pt>
                      <c:pt idx="2" formatCode="General">
                        <c:v>-18.941818181818181</c:v>
                      </c:pt>
                      <c:pt idx="3" formatCode="General">
                        <c:v>-18.976545454545455</c:v>
                      </c:pt>
                      <c:pt idx="4" formatCode="General">
                        <c:v>-19.008545454545455</c:v>
                      </c:pt>
                      <c:pt idx="5" formatCode="General">
                        <c:v>-18.990363636363636</c:v>
                      </c:pt>
                      <c:pt idx="6" formatCode="General">
                        <c:v>-18.995542168674699</c:v>
                      </c:pt>
                      <c:pt idx="7" formatCode="General">
                        <c:v>-19.031686746987951</c:v>
                      </c:pt>
                      <c:pt idx="8" formatCode="General">
                        <c:v>-19.063333333333333</c:v>
                      </c:pt>
                      <c:pt idx="9" formatCode="General">
                        <c:v>-19.093636363636364</c:v>
                      </c:pt>
                      <c:pt idx="10" formatCode="General">
                        <c:v>-19.123939393939395</c:v>
                      </c:pt>
                      <c:pt idx="11" formatCode="General">
                        <c:v>-19.142844175491678</c:v>
                      </c:pt>
                      <c:pt idx="12" formatCode="General">
                        <c:v>-19.148895612708017</c:v>
                      </c:pt>
                      <c:pt idx="13" formatCode="General">
                        <c:v>-19.154947049924356</c:v>
                      </c:pt>
                      <c:pt idx="14" formatCode="General">
                        <c:v>-19.160998487140695</c:v>
                      </c:pt>
                      <c:pt idx="15" formatCode="General">
                        <c:v>-19.167049924357034</c:v>
                      </c:pt>
                      <c:pt idx="16" formatCode="General">
                        <c:v>-19.173101361573373</c:v>
                      </c:pt>
                      <c:pt idx="17" formatCode="General">
                        <c:v>-19.179152798789712</c:v>
                      </c:pt>
                      <c:pt idx="18" formatCode="General">
                        <c:v>-19.153939393939392</c:v>
                      </c:pt>
                      <c:pt idx="19" formatCode="General">
                        <c:v>-19.123636363636361</c:v>
                      </c:pt>
                      <c:pt idx="20" formatCode="General">
                        <c:v>-19.09333333333333</c:v>
                      </c:pt>
                      <c:pt idx="21" formatCode="General">
                        <c:v>-19.06642424242424</c:v>
                      </c:pt>
                      <c:pt idx="22" formatCode="General">
                        <c:v>-19.042181818181817</c:v>
                      </c:pt>
                      <c:pt idx="23" formatCode="General">
                        <c:v>-19.034518072289156</c:v>
                      </c:pt>
                      <c:pt idx="24" formatCode="General">
                        <c:v>-19.031515151515151</c:v>
                      </c:pt>
                      <c:pt idx="25" formatCode="General">
                        <c:v>-19.037575757575759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-19.07151515151515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-27.456127080181542</c:v>
                </c:pt>
                <c:pt idx="1">
                  <c:v>-26.763237518910742</c:v>
                </c:pt>
                <c:pt idx="2" formatCode="General">
                  <c:v>-26.070347957639939</c:v>
                </c:pt>
                <c:pt idx="3" formatCode="General">
                  <c:v>-25.377458396369136</c:v>
                </c:pt>
                <c:pt idx="4" formatCode="General">
                  <c:v>-24.703691376701965</c:v>
                </c:pt>
                <c:pt idx="5" formatCode="General">
                  <c:v>-24.249833585476548</c:v>
                </c:pt>
                <c:pt idx="6" formatCode="General">
                  <c:v>-23.795975794251135</c:v>
                </c:pt>
                <c:pt idx="7" formatCode="General">
                  <c:v>-23.342118003025718</c:v>
                </c:pt>
                <c:pt idx="8" formatCode="General">
                  <c:v>-22.888260211800301</c:v>
                </c:pt>
                <c:pt idx="9" formatCode="General">
                  <c:v>-22.434402420574884</c:v>
                </c:pt>
                <c:pt idx="10" formatCode="General">
                  <c:v>-21.98054462934947</c:v>
                </c:pt>
                <c:pt idx="11" formatCode="General">
                  <c:v>-21.591391830559758</c:v>
                </c:pt>
                <c:pt idx="12" formatCode="General">
                  <c:v>-21.275204236006051</c:v>
                </c:pt>
                <c:pt idx="13" formatCode="General">
                  <c:v>-20.959016641452344</c:v>
                </c:pt>
                <c:pt idx="14" formatCode="General">
                  <c:v>-20.642829046898637</c:v>
                </c:pt>
                <c:pt idx="15" formatCode="General">
                  <c:v>-20.32664145234493</c:v>
                </c:pt>
                <c:pt idx="16" formatCode="General">
                  <c:v>-20.010453857791223</c:v>
                </c:pt>
                <c:pt idx="17" formatCode="General">
                  <c:v>-19.694266263237516</c:v>
                </c:pt>
                <c:pt idx="18" formatCode="General">
                  <c:v>-19.452239031770045</c:v>
                </c:pt>
                <c:pt idx="19" formatCode="General">
                  <c:v>-19.222284417549165</c:v>
                </c:pt>
                <c:pt idx="20" formatCode="General">
                  <c:v>-18.992329803328289</c:v>
                </c:pt>
                <c:pt idx="21" formatCode="General">
                  <c:v>-18.762375189107413</c:v>
                </c:pt>
                <c:pt idx="22" formatCode="General">
                  <c:v>-18.532420574886533</c:v>
                </c:pt>
                <c:pt idx="23" formatCode="General">
                  <c:v>-18.302465960665657</c:v>
                </c:pt>
                <c:pt idx="24" formatCode="General">
                  <c:v>-18.083030303030302</c:v>
                </c:pt>
                <c:pt idx="25" formatCode="General">
                  <c:v>-17.895151515151515</c:v>
                </c:pt>
                <c:pt idx="26" formatCode="General">
                  <c:v>-17.710909090909091</c:v>
                </c:pt>
                <c:pt idx="27" formatCode="General">
                  <c:v>-17.529090909090908</c:v>
                </c:pt>
                <c:pt idx="28" formatCode="General">
                  <c:v>-17.358787878787879</c:v>
                </c:pt>
                <c:pt idx="29" formatCode="General">
                  <c:v>-17.190909090909088</c:v>
                </c:pt>
                <c:pt idx="30" formatCode="General">
                  <c:v>-17.027272727272727</c:v>
                </c:pt>
                <c:pt idx="31" formatCode="General">
                  <c:v>-16.879531013615733</c:v>
                </c:pt>
                <c:pt idx="32" formatCode="General">
                  <c:v>-16.740347957639941</c:v>
                </c:pt>
                <c:pt idx="33" formatCode="General">
                  <c:v>-16.601164901664145</c:v>
                </c:pt>
                <c:pt idx="34" formatCode="General">
                  <c:v>-16.461981845688349</c:v>
                </c:pt>
                <c:pt idx="35" formatCode="General">
                  <c:v>-16.322798789712557</c:v>
                </c:pt>
                <c:pt idx="36" formatCode="General">
                  <c:v>-16.183615733736762</c:v>
                </c:pt>
                <c:pt idx="37" formatCode="General">
                  <c:v>-16.04552193645991</c:v>
                </c:pt>
                <c:pt idx="38" formatCode="General">
                  <c:v>-15.933570347957641</c:v>
                </c:pt>
                <c:pt idx="39" formatCode="General">
                  <c:v>-15.821618759455372</c:v>
                </c:pt>
                <c:pt idx="40" formatCode="General">
                  <c:v>-15.709667170953102</c:v>
                </c:pt>
                <c:pt idx="41" formatCode="General">
                  <c:v>-15.597715582450833</c:v>
                </c:pt>
                <c:pt idx="42" formatCode="General">
                  <c:v>-15.485763993948563</c:v>
                </c:pt>
                <c:pt idx="43" formatCode="General">
                  <c:v>-15.373812405446294</c:v>
                </c:pt>
                <c:pt idx="44" formatCode="General">
                  <c:v>-15.270968229954615</c:v>
                </c:pt>
                <c:pt idx="45" formatCode="General">
                  <c:v>-15.180196671709531</c:v>
                </c:pt>
                <c:pt idx="46" formatCode="General">
                  <c:v>-15.089425113464449</c:v>
                </c:pt>
                <c:pt idx="47" formatCode="General">
                  <c:v>-14.998653555219365</c:v>
                </c:pt>
                <c:pt idx="48" formatCode="General">
                  <c:v>-14.907881996974282</c:v>
                </c:pt>
                <c:pt idx="49" formatCode="General">
                  <c:v>-14.817110438729198</c:v>
                </c:pt>
                <c:pt idx="50" formatCode="General">
                  <c:v>-14.726338880484116</c:v>
                </c:pt>
                <c:pt idx="51" formatCode="General">
                  <c:v>-14.646636363636365</c:v>
                </c:pt>
                <c:pt idx="52" formatCode="General">
                  <c:v>-14.569363636363637</c:v>
                </c:pt>
                <c:pt idx="53" formatCode="General">
                  <c:v>-14.492090909090908</c:v>
                </c:pt>
                <c:pt idx="54" formatCode="General">
                  <c:v>-14.414818181818182</c:v>
                </c:pt>
                <c:pt idx="55" formatCode="General">
                  <c:v>-14.337545454545454</c:v>
                </c:pt>
                <c:pt idx="56" formatCode="General">
                  <c:v>-14.260272727272726</c:v>
                </c:pt>
                <c:pt idx="57" formatCode="General">
                  <c:v>-14.183358547655066</c:v>
                </c:pt>
                <c:pt idx="58" formatCode="General">
                  <c:v>-14.107715582450831</c:v>
                </c:pt>
                <c:pt idx="59" formatCode="General">
                  <c:v>-14.032072617246595</c:v>
                </c:pt>
                <c:pt idx="60" formatCode="General">
                  <c:v>-13.95642965204236</c:v>
                </c:pt>
                <c:pt idx="61" formatCode="General">
                  <c:v>-13.880786686838123</c:v>
                </c:pt>
                <c:pt idx="62" formatCode="General">
                  <c:v>-13.805143721633888</c:v>
                </c:pt>
                <c:pt idx="63" formatCode="General">
                  <c:v>-13.729500756429651</c:v>
                </c:pt>
                <c:pt idx="64" formatCode="General">
                  <c:v>-13.651939393939394</c:v>
                </c:pt>
                <c:pt idx="65" formatCode="General">
                  <c:v>-13.573151515151515</c:v>
                </c:pt>
                <c:pt idx="66" formatCode="General">
                  <c:v>-13.494819277108434</c:v>
                </c:pt>
                <c:pt idx="67" formatCode="General">
                  <c:v>-13.414545454545454</c:v>
                </c:pt>
                <c:pt idx="68" formatCode="General">
                  <c:v>-13.32969696969697</c:v>
                </c:pt>
                <c:pt idx="69" formatCode="General">
                  <c:v>-13.244848484848486</c:v>
                </c:pt>
                <c:pt idx="70" formatCode="General">
                  <c:v>-13.16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ABA7-449B-902A-86C64A5A7AA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-21.105757575757575</c:v>
                </c:pt>
                <c:pt idx="1">
                  <c:v>-20.527333333333335</c:v>
                </c:pt>
                <c:pt idx="2" formatCode="General">
                  <c:v>-19.994</c:v>
                </c:pt>
                <c:pt idx="3" formatCode="General">
                  <c:v>-19.721696969696971</c:v>
                </c:pt>
                <c:pt idx="4" formatCode="General">
                  <c:v>-19.592969696969696</c:v>
                </c:pt>
                <c:pt idx="5" formatCode="General">
                  <c:v>-20.005090909090907</c:v>
                </c:pt>
                <c:pt idx="6" formatCode="General">
                  <c:v>-20.188192771084335</c:v>
                </c:pt>
                <c:pt idx="7" formatCode="General">
                  <c:v>-20.067710843373494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-27.902904689863842</c:v>
                </c:pt>
                <c:pt idx="65" formatCode="General">
                  <c:v>-28.022420574886535</c:v>
                </c:pt>
                <c:pt idx="66" formatCode="General">
                  <c:v>-28.141936459909228</c:v>
                </c:pt>
                <c:pt idx="67" formatCode="General">
                  <c:v>-28.261452344931921</c:v>
                </c:pt>
                <c:pt idx="68" formatCode="General">
                  <c:v>-28.380968229954615</c:v>
                </c:pt>
                <c:pt idx="69" formatCode="General">
                  <c:v>-28.500484114977308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-82.608181818181805</c:v>
                </c:pt>
                <c:pt idx="1">
                  <c:v>-80.141030303030306</c:v>
                </c:pt>
                <c:pt idx="2" formatCode="General">
                  <c:v>-77.801636363636362</c:v>
                </c:pt>
                <c:pt idx="3" formatCode="General">
                  <c:v>-75.590545454545449</c:v>
                </c:pt>
                <c:pt idx="4" formatCode="General">
                  <c:v>-73.423515151515147</c:v>
                </c:pt>
                <c:pt idx="5" formatCode="General">
                  <c:v>-71.217454545454544</c:v>
                </c:pt>
                <c:pt idx="6" formatCode="General">
                  <c:v>-69.198433734939769</c:v>
                </c:pt>
                <c:pt idx="7" formatCode="General">
                  <c:v>-67.427349397590362</c:v>
                </c:pt>
                <c:pt idx="8" formatCode="General">
                  <c:v>-65.74133333333333</c:v>
                </c:pt>
                <c:pt idx="9" formatCode="General">
                  <c:v>-64.093818181818179</c:v>
                </c:pt>
                <c:pt idx="10" formatCode="General">
                  <c:v>-62.542303030303032</c:v>
                </c:pt>
                <c:pt idx="11" formatCode="General">
                  <c:v>-61.119878971255673</c:v>
                </c:pt>
                <c:pt idx="12" formatCode="General">
                  <c:v>-59.843025718608168</c:v>
                </c:pt>
                <c:pt idx="13" formatCode="General">
                  <c:v>-58.566172465960662</c:v>
                </c:pt>
                <c:pt idx="14" formatCode="General">
                  <c:v>-57.289319213313163</c:v>
                </c:pt>
                <c:pt idx="15" formatCode="General">
                  <c:v>-56.012465960665658</c:v>
                </c:pt>
                <c:pt idx="16" formatCode="General">
                  <c:v>-54.735612708018152</c:v>
                </c:pt>
                <c:pt idx="17" formatCode="General">
                  <c:v>-53.458759455370647</c:v>
                </c:pt>
                <c:pt idx="18" formatCode="General">
                  <c:v>-52.409575757575759</c:v>
                </c:pt>
                <c:pt idx="19" formatCode="General">
                  <c:v>-51.416545454545449</c:v>
                </c:pt>
                <c:pt idx="20" formatCode="General">
                  <c:v>-50.495333333333335</c:v>
                </c:pt>
                <c:pt idx="21" formatCode="General">
                  <c:v>-49.604666666666667</c:v>
                </c:pt>
                <c:pt idx="22" formatCode="General">
                  <c:v>-48.737999999999992</c:v>
                </c:pt>
                <c:pt idx="23" formatCode="General">
                  <c:v>-47.941867469879519</c:v>
                </c:pt>
                <c:pt idx="24" formatCode="General">
                  <c:v>-47.166666666666671</c:v>
                </c:pt>
                <c:pt idx="25" formatCode="General">
                  <c:v>-46.433333333333337</c:v>
                </c:pt>
                <c:pt idx="26" formatCode="General">
                  <c:v>-45.74</c:v>
                </c:pt>
                <c:pt idx="27" formatCode="General">
                  <c:v>-45.073333333333331</c:v>
                </c:pt>
                <c:pt idx="28" formatCode="General">
                  <c:v>-44.47</c:v>
                </c:pt>
                <c:pt idx="29" formatCode="General">
                  <c:v>-43.89</c:v>
                </c:pt>
                <c:pt idx="30" formatCode="General">
                  <c:v>-43.356666666666669</c:v>
                </c:pt>
                <c:pt idx="31" formatCode="General">
                  <c:v>-42.886792738275339</c:v>
                </c:pt>
                <c:pt idx="32" formatCode="General">
                  <c:v>-42.451089258698943</c:v>
                </c:pt>
                <c:pt idx="33" formatCode="General">
                  <c:v>-42.015385779122539</c:v>
                </c:pt>
                <c:pt idx="34" formatCode="General">
                  <c:v>-41.579682299546143</c:v>
                </c:pt>
                <c:pt idx="35" formatCode="General">
                  <c:v>-41.143978819969746</c:v>
                </c:pt>
                <c:pt idx="36" formatCode="General">
                  <c:v>-40.708275340393342</c:v>
                </c:pt>
                <c:pt idx="37" formatCode="General">
                  <c:v>-40.276565809379726</c:v>
                </c:pt>
                <c:pt idx="38" formatCode="General">
                  <c:v>-39.940711043872923</c:v>
                </c:pt>
                <c:pt idx="39" formatCode="General">
                  <c:v>-39.604856278366114</c:v>
                </c:pt>
                <c:pt idx="40" formatCode="General">
                  <c:v>-39.269001512859305</c:v>
                </c:pt>
                <c:pt idx="41" formatCode="General">
                  <c:v>-38.933146747352495</c:v>
                </c:pt>
                <c:pt idx="42" formatCode="General">
                  <c:v>-38.597291981845693</c:v>
                </c:pt>
                <c:pt idx="43" formatCode="General">
                  <c:v>-38.261437216338884</c:v>
                </c:pt>
                <c:pt idx="44" formatCode="General">
                  <c:v>-37.967541603630863</c:v>
                </c:pt>
                <c:pt idx="45" formatCode="General">
                  <c:v>-37.72926626323752</c:v>
                </c:pt>
                <c:pt idx="46" formatCode="General">
                  <c:v>-37.490990922844176</c:v>
                </c:pt>
                <c:pt idx="47" formatCode="General">
                  <c:v>-37.252715582450833</c:v>
                </c:pt>
                <c:pt idx="48" formatCode="General">
                  <c:v>-37.014440242057489</c:v>
                </c:pt>
                <c:pt idx="49" formatCode="General">
                  <c:v>-36.776164901664146</c:v>
                </c:pt>
                <c:pt idx="50" formatCode="General">
                  <c:v>-36.537889561270802</c:v>
                </c:pt>
                <c:pt idx="51" formatCode="General">
                  <c:v>-36.438469696969698</c:v>
                </c:pt>
                <c:pt idx="52" formatCode="General">
                  <c:v>-36.369530303030302</c:v>
                </c:pt>
                <c:pt idx="53" formatCode="General">
                  <c:v>-36.300590909090914</c:v>
                </c:pt>
                <c:pt idx="54" formatCode="General">
                  <c:v>-36.231651515151519</c:v>
                </c:pt>
                <c:pt idx="55" formatCode="General">
                  <c:v>-36.162712121212124</c:v>
                </c:pt>
                <c:pt idx="56" formatCode="General">
                  <c:v>-36.093772727272729</c:v>
                </c:pt>
                <c:pt idx="57" formatCode="General">
                  <c:v>-36.052192771084336</c:v>
                </c:pt>
                <c:pt idx="58" formatCode="General">
                  <c:v>-36.107614457831332</c:v>
                </c:pt>
                <c:pt idx="59" formatCode="General">
                  <c:v>-36.178157575757581</c:v>
                </c:pt>
                <c:pt idx="60" formatCode="General">
                  <c:v>-36.260581818181819</c:v>
                </c:pt>
                <c:pt idx="61" formatCode="General">
                  <c:v>-36.368375757575762</c:v>
                </c:pt>
                <c:pt idx="62" formatCode="General">
                  <c:v>-36.482303030303036</c:v>
                </c:pt>
                <c:pt idx="63" formatCode="General">
                  <c:v>-36.606545454545454</c:v>
                </c:pt>
                <c:pt idx="64" formatCode="General">
                  <c:v>-36.736856278366112</c:v>
                </c:pt>
                <c:pt idx="65" formatCode="General">
                  <c:v>-36.871046898638426</c:v>
                </c:pt>
                <c:pt idx="66" formatCode="General">
                  <c:v>-37.005237518910739</c:v>
                </c:pt>
                <c:pt idx="67" formatCode="General">
                  <c:v>-37.13942813918306</c:v>
                </c:pt>
                <c:pt idx="68" formatCode="General">
                  <c:v>-37.273618759455374</c:v>
                </c:pt>
                <c:pt idx="69" formatCode="General">
                  <c:v>-37.407809379727688</c:v>
                </c:pt>
                <c:pt idx="70" formatCode="General">
                  <c:v>-37.542000000000002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-15.28274886535552</c:v>
                      </c:pt>
                      <c:pt idx="1">
                        <c:v>-15.442506807866867</c:v>
                      </c:pt>
                      <c:pt idx="2" formatCode="General">
                        <c:v>-15.602264750378213</c:v>
                      </c:pt>
                      <c:pt idx="3" formatCode="General">
                        <c:v>-15.762022692889561</c:v>
                      </c:pt>
                      <c:pt idx="4" formatCode="General">
                        <c:v>-15.923124054462933</c:v>
                      </c:pt>
                      <c:pt idx="5" formatCode="General">
                        <c:v>-16.099674735249621</c:v>
                      </c:pt>
                      <c:pt idx="6" formatCode="General">
                        <c:v>-16.276225416036308</c:v>
                      </c:pt>
                      <c:pt idx="7" formatCode="General">
                        <c:v>-16.452776096822994</c:v>
                      </c:pt>
                      <c:pt idx="8" formatCode="General">
                        <c:v>-16.629326777609684</c:v>
                      </c:pt>
                      <c:pt idx="9" formatCode="General">
                        <c:v>-16.80587745839637</c:v>
                      </c:pt>
                      <c:pt idx="10" formatCode="General">
                        <c:v>-16.982428139183057</c:v>
                      </c:pt>
                      <c:pt idx="11" formatCode="General">
                        <c:v>-17.157698940998486</c:v>
                      </c:pt>
                      <c:pt idx="12" formatCode="General">
                        <c:v>-17.331526475037823</c:v>
                      </c:pt>
                      <c:pt idx="13" formatCode="General">
                        <c:v>-17.505354009077156</c:v>
                      </c:pt>
                      <c:pt idx="14" formatCode="General">
                        <c:v>-17.679181543116492</c:v>
                      </c:pt>
                      <c:pt idx="15" formatCode="General">
                        <c:v>-17.853009077155825</c:v>
                      </c:pt>
                      <c:pt idx="16" formatCode="General">
                        <c:v>-18.026836611195161</c:v>
                      </c:pt>
                      <c:pt idx="17" formatCode="General">
                        <c:v>-18.200664145234494</c:v>
                      </c:pt>
                      <c:pt idx="18" formatCode="General">
                        <c:v>-18.366685325264751</c:v>
                      </c:pt>
                      <c:pt idx="19" formatCode="General">
                        <c:v>-18.531435703479577</c:v>
                      </c:pt>
                      <c:pt idx="20" formatCode="General">
                        <c:v>-18.696186081694403</c:v>
                      </c:pt>
                      <c:pt idx="21" formatCode="General">
                        <c:v>-18.86093645990923</c:v>
                      </c:pt>
                      <c:pt idx="22" formatCode="General">
                        <c:v>-19.025686838124056</c:v>
                      </c:pt>
                      <c:pt idx="23" formatCode="General">
                        <c:v>-19.190437216338882</c:v>
                      </c:pt>
                      <c:pt idx="24" formatCode="General">
                        <c:v>-19.353545454545454</c:v>
                      </c:pt>
                      <c:pt idx="25" formatCode="General">
                        <c:v>-19.511727272727274</c:v>
                      </c:pt>
                      <c:pt idx="26" formatCode="General">
                        <c:v>-19.667727272727276</c:v>
                      </c:pt>
                      <c:pt idx="27" formatCode="General">
                        <c:v>-19.822272727272729</c:v>
                      </c:pt>
                      <c:pt idx="28" formatCode="General">
                        <c:v>-19.971636363636364</c:v>
                      </c:pt>
                      <c:pt idx="29" formatCode="General">
                        <c:v>-20.119636363636364</c:v>
                      </c:pt>
                      <c:pt idx="30" formatCode="General">
                        <c:v>-20.265090909090912</c:v>
                      </c:pt>
                      <c:pt idx="31" formatCode="General">
                        <c:v>-20.404207261724661</c:v>
                      </c:pt>
                      <c:pt idx="32" formatCode="General">
                        <c:v>-20.53991074130106</c:v>
                      </c:pt>
                      <c:pt idx="33" formatCode="General">
                        <c:v>-20.67561422087746</c:v>
                      </c:pt>
                      <c:pt idx="34" formatCode="General">
                        <c:v>-20.811317700453859</c:v>
                      </c:pt>
                      <c:pt idx="35" formatCode="General">
                        <c:v>-20.947021180030259</c:v>
                      </c:pt>
                      <c:pt idx="36" formatCode="General">
                        <c:v>-21.082724659606658</c:v>
                      </c:pt>
                      <c:pt idx="37" formatCode="General">
                        <c:v>-21.217992435703479</c:v>
                      </c:pt>
                      <c:pt idx="38" formatCode="General">
                        <c:v>-21.342803328290469</c:v>
                      </c:pt>
                      <c:pt idx="39" formatCode="General">
                        <c:v>-21.467614220877458</c:v>
                      </c:pt>
                      <c:pt idx="40" formatCode="General">
                        <c:v>-21.592425113464447</c:v>
                      </c:pt>
                      <c:pt idx="41" formatCode="General">
                        <c:v>-21.717236006051436</c:v>
                      </c:pt>
                      <c:pt idx="42" formatCode="General">
                        <c:v>-21.842046898638426</c:v>
                      </c:pt>
                      <c:pt idx="43" formatCode="General">
                        <c:v>-21.966857791225415</c:v>
                      </c:pt>
                      <c:pt idx="44" formatCode="General">
                        <c:v>-22.090107413010589</c:v>
                      </c:pt>
                      <c:pt idx="45" formatCode="General">
                        <c:v>-22.211287443267775</c:v>
                      </c:pt>
                      <c:pt idx="46" formatCode="General">
                        <c:v>-22.332467473524964</c:v>
                      </c:pt>
                      <c:pt idx="47" formatCode="General">
                        <c:v>-22.45364750378215</c:v>
                      </c:pt>
                      <c:pt idx="48" formatCode="General">
                        <c:v>-22.574827534039336</c:v>
                      </c:pt>
                      <c:pt idx="49" formatCode="General">
                        <c:v>-22.696007564296522</c:v>
                      </c:pt>
                      <c:pt idx="50" formatCode="General">
                        <c:v>-22.817187594553708</c:v>
                      </c:pt>
                      <c:pt idx="51" formatCode="General">
                        <c:v>-22.940754545454549</c:v>
                      </c:pt>
                      <c:pt idx="52" formatCode="General">
                        <c:v>-23.064845454545456</c:v>
                      </c:pt>
                      <c:pt idx="53" formatCode="General">
                        <c:v>-23.188936363636365</c:v>
                      </c:pt>
                      <c:pt idx="54" formatCode="General">
                        <c:v>-23.313027272727275</c:v>
                      </c:pt>
                      <c:pt idx="55" formatCode="General">
                        <c:v>-23.437118181818185</c:v>
                      </c:pt>
                      <c:pt idx="56" formatCode="General">
                        <c:v>-23.561209090909092</c:v>
                      </c:pt>
                      <c:pt idx="57" formatCode="General">
                        <c:v>-23.68805446293495</c:v>
                      </c:pt>
                      <c:pt idx="58" formatCode="General">
                        <c:v>-23.824665658093799</c:v>
                      </c:pt>
                      <c:pt idx="59" formatCode="General">
                        <c:v>-23.961276853252649</c:v>
                      </c:pt>
                      <c:pt idx="60" formatCode="General">
                        <c:v>-24.097888048411498</c:v>
                      </c:pt>
                      <c:pt idx="61" formatCode="General">
                        <c:v>-24.234499243570347</c:v>
                      </c:pt>
                      <c:pt idx="62" formatCode="General">
                        <c:v>-24.3711104387292</c:v>
                      </c:pt>
                      <c:pt idx="63" formatCode="General">
                        <c:v>-24.50772163388805</c:v>
                      </c:pt>
                      <c:pt idx="64" formatCode="General">
                        <c:v>-24.653054545454545</c:v>
                      </c:pt>
                      <c:pt idx="65" formatCode="General">
                        <c:v>-24.803963636363637</c:v>
                      </c:pt>
                      <c:pt idx="66" formatCode="General">
                        <c:v>-24.960939759036144</c:v>
                      </c:pt>
                      <c:pt idx="67" formatCode="General">
                        <c:v>-25.121181818181817</c:v>
                      </c:pt>
                      <c:pt idx="68" formatCode="General">
                        <c:v>-25.288454545454545</c:v>
                      </c:pt>
                      <c:pt idx="69" formatCode="General">
                        <c:v>-25.461636363636362</c:v>
                      </c:pt>
                      <c:pt idx="70" formatCode="General">
                        <c:v>-25.637999999999998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-20.376998487140696</c:v>
                      </c:pt>
                      <c:pt idx="1">
                        <c:v>-20.590009077155823</c:v>
                      </c:pt>
                      <c:pt idx="2" formatCode="General">
                        <c:v>-20.803019667170954</c:v>
                      </c:pt>
                      <c:pt idx="3" formatCode="General">
                        <c:v>-21.016030257186081</c:v>
                      </c:pt>
                      <c:pt idx="4" formatCode="General">
                        <c:v>-21.230832072617247</c:v>
                      </c:pt>
                      <c:pt idx="5" formatCode="General">
                        <c:v>-21.46623298033283</c:v>
                      </c:pt>
                      <c:pt idx="6" formatCode="General">
                        <c:v>-21.701633888048413</c:v>
                      </c:pt>
                      <c:pt idx="7" formatCode="General">
                        <c:v>-21.937034795763996</c:v>
                      </c:pt>
                      <c:pt idx="8" formatCode="General">
                        <c:v>-22.172435703479575</c:v>
                      </c:pt>
                      <c:pt idx="9" formatCode="General">
                        <c:v>-22.407836611195158</c:v>
                      </c:pt>
                      <c:pt idx="10" formatCode="General">
                        <c:v>-22.643237518910741</c:v>
                      </c:pt>
                      <c:pt idx="11" formatCode="General">
                        <c:v>-22.876931921331316</c:v>
                      </c:pt>
                      <c:pt idx="12" formatCode="General">
                        <c:v>-23.108701966717096</c:v>
                      </c:pt>
                      <c:pt idx="13" formatCode="General">
                        <c:v>-23.340472012102875</c:v>
                      </c:pt>
                      <c:pt idx="14" formatCode="General">
                        <c:v>-23.572242057488655</c:v>
                      </c:pt>
                      <c:pt idx="15" formatCode="General">
                        <c:v>-23.804012102874434</c:v>
                      </c:pt>
                      <c:pt idx="16" formatCode="General">
                        <c:v>-24.035782148260214</c:v>
                      </c:pt>
                      <c:pt idx="17" formatCode="General">
                        <c:v>-24.267552193645994</c:v>
                      </c:pt>
                      <c:pt idx="18" formatCode="General">
                        <c:v>-24.488913767019667</c:v>
                      </c:pt>
                      <c:pt idx="19" formatCode="General">
                        <c:v>-24.708580937972769</c:v>
                      </c:pt>
                      <c:pt idx="20" formatCode="General">
                        <c:v>-24.928248108925871</c:v>
                      </c:pt>
                      <c:pt idx="21" formatCode="General">
                        <c:v>-25.147915279878973</c:v>
                      </c:pt>
                      <c:pt idx="22" formatCode="General">
                        <c:v>-25.367582450832071</c:v>
                      </c:pt>
                      <c:pt idx="23" formatCode="General">
                        <c:v>-25.587249621785173</c:v>
                      </c:pt>
                      <c:pt idx="24" formatCode="General">
                        <c:v>-25.804727272727273</c:v>
                      </c:pt>
                      <c:pt idx="25" formatCode="General">
                        <c:v>-26.015636363636364</c:v>
                      </c:pt>
                      <c:pt idx="26" formatCode="General">
                        <c:v>-26.223636363636366</c:v>
                      </c:pt>
                      <c:pt idx="27" formatCode="General">
                        <c:v>-26.42969696969697</c:v>
                      </c:pt>
                      <c:pt idx="28" formatCode="General">
                        <c:v>-26.628848484848486</c:v>
                      </c:pt>
                      <c:pt idx="29" formatCode="General">
                        <c:v>-26.826181818181819</c:v>
                      </c:pt>
                      <c:pt idx="30" formatCode="General">
                        <c:v>-27.020121212121214</c:v>
                      </c:pt>
                      <c:pt idx="31" formatCode="General">
                        <c:v>-27.205609682299546</c:v>
                      </c:pt>
                      <c:pt idx="32" formatCode="General">
                        <c:v>-27.386547655068078</c:v>
                      </c:pt>
                      <c:pt idx="33" formatCode="General">
                        <c:v>-27.567485627836611</c:v>
                      </c:pt>
                      <c:pt idx="34" formatCode="General">
                        <c:v>-27.748423600605143</c:v>
                      </c:pt>
                      <c:pt idx="35" formatCode="General">
                        <c:v>-27.929361573373676</c:v>
                      </c:pt>
                      <c:pt idx="36" formatCode="General">
                        <c:v>-28.110299546142208</c:v>
                      </c:pt>
                      <c:pt idx="37" formatCode="General">
                        <c:v>-28.29065658093797</c:v>
                      </c:pt>
                      <c:pt idx="38" formatCode="General">
                        <c:v>-28.457071104387289</c:v>
                      </c:pt>
                      <c:pt idx="39" formatCode="General">
                        <c:v>-28.623485627836612</c:v>
                      </c:pt>
                      <c:pt idx="40" formatCode="General">
                        <c:v>-28.789900151285931</c:v>
                      </c:pt>
                      <c:pt idx="41" formatCode="General">
                        <c:v>-28.95631467473525</c:v>
                      </c:pt>
                      <c:pt idx="42" formatCode="General">
                        <c:v>-29.122729198184569</c:v>
                      </c:pt>
                      <c:pt idx="43" formatCode="General">
                        <c:v>-29.289143721633888</c:v>
                      </c:pt>
                      <c:pt idx="44" formatCode="General">
                        <c:v>-29.453476550680787</c:v>
                      </c:pt>
                      <c:pt idx="45" formatCode="General">
                        <c:v>-29.615049924357034</c:v>
                      </c:pt>
                      <c:pt idx="46" formatCode="General">
                        <c:v>-29.776623298033282</c:v>
                      </c:pt>
                      <c:pt idx="47" formatCode="General">
                        <c:v>-29.938196671709534</c:v>
                      </c:pt>
                      <c:pt idx="48" formatCode="General">
                        <c:v>-30.099770045385782</c:v>
                      </c:pt>
                      <c:pt idx="49" formatCode="General">
                        <c:v>-30.26134341906203</c:v>
                      </c:pt>
                      <c:pt idx="50" formatCode="General">
                        <c:v>-30.422916792738278</c:v>
                      </c:pt>
                      <c:pt idx="51" formatCode="General">
                        <c:v>-30.587672727272729</c:v>
                      </c:pt>
                      <c:pt idx="52" formatCode="General">
                        <c:v>-30.753127272727276</c:v>
                      </c:pt>
                      <c:pt idx="53" formatCode="General">
                        <c:v>-30.918581818181821</c:v>
                      </c:pt>
                      <c:pt idx="54" formatCode="General">
                        <c:v>-31.084036363636365</c:v>
                      </c:pt>
                      <c:pt idx="55" formatCode="General">
                        <c:v>-31.249490909090909</c:v>
                      </c:pt>
                      <c:pt idx="56" formatCode="General">
                        <c:v>-31.414945454545457</c:v>
                      </c:pt>
                      <c:pt idx="57" formatCode="General">
                        <c:v>-31.584072617246598</c:v>
                      </c:pt>
                      <c:pt idx="58" formatCode="General">
                        <c:v>-31.766220877458398</c:v>
                      </c:pt>
                      <c:pt idx="59" formatCode="General">
                        <c:v>-31.948369137670198</c:v>
                      </c:pt>
                      <c:pt idx="60" formatCode="General">
                        <c:v>-32.130517397881995</c:v>
                      </c:pt>
                      <c:pt idx="61" formatCode="General">
                        <c:v>-32.312665658093799</c:v>
                      </c:pt>
                      <c:pt idx="62" formatCode="General">
                        <c:v>-32.494813918305596</c:v>
                      </c:pt>
                      <c:pt idx="63" formatCode="General">
                        <c:v>-32.6769621785174</c:v>
                      </c:pt>
                      <c:pt idx="64" formatCode="General">
                        <c:v>-32.870739393939395</c:v>
                      </c:pt>
                      <c:pt idx="65" formatCode="General">
                        <c:v>-33.071951515151511</c:v>
                      </c:pt>
                      <c:pt idx="66" formatCode="General">
                        <c:v>-33.28125301204819</c:v>
                      </c:pt>
                      <c:pt idx="67" formatCode="General">
                        <c:v>-33.49490909090909</c:v>
                      </c:pt>
                      <c:pt idx="68" formatCode="General">
                        <c:v>-33.717939393939396</c:v>
                      </c:pt>
                      <c:pt idx="69" formatCode="General">
                        <c:v>-33.948848484848483</c:v>
                      </c:pt>
                      <c:pt idx="70" formatCode="General">
                        <c:v>-34.183999999999997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-25.47124810892587</c:v>
                      </c:pt>
                      <c:pt idx="1">
                        <c:v>-25.73751134644478</c:v>
                      </c:pt>
                      <c:pt idx="2" formatCode="General">
                        <c:v>-26.00377458396369</c:v>
                      </c:pt>
                      <c:pt idx="3" formatCode="General">
                        <c:v>-26.270037821482603</c:v>
                      </c:pt>
                      <c:pt idx="4" formatCode="General">
                        <c:v>-26.538540090771559</c:v>
                      </c:pt>
                      <c:pt idx="5" formatCode="General">
                        <c:v>-26.832791225416038</c:v>
                      </c:pt>
                      <c:pt idx="6" formatCode="General">
                        <c:v>-27.127042360060514</c:v>
                      </c:pt>
                      <c:pt idx="7" formatCode="General">
                        <c:v>-27.421293494704994</c:v>
                      </c:pt>
                      <c:pt idx="8" formatCode="General">
                        <c:v>-27.71554462934947</c:v>
                      </c:pt>
                      <c:pt idx="9" formatCode="General">
                        <c:v>-28.009795763993949</c:v>
                      </c:pt>
                      <c:pt idx="10" formatCode="General">
                        <c:v>-28.304046898638425</c:v>
                      </c:pt>
                      <c:pt idx="11" formatCode="General">
                        <c:v>-28.596164901664146</c:v>
                      </c:pt>
                      <c:pt idx="12" formatCode="General">
                        <c:v>-28.885877458396369</c:v>
                      </c:pt>
                      <c:pt idx="13" formatCode="General">
                        <c:v>-29.175590015128595</c:v>
                      </c:pt>
                      <c:pt idx="14" formatCode="General">
                        <c:v>-29.465302571860818</c:v>
                      </c:pt>
                      <c:pt idx="15" formatCode="General">
                        <c:v>-29.75501512859304</c:v>
                      </c:pt>
                      <c:pt idx="16" formatCode="General">
                        <c:v>-30.044727685325267</c:v>
                      </c:pt>
                      <c:pt idx="17" formatCode="General">
                        <c:v>-30.334440242057489</c:v>
                      </c:pt>
                      <c:pt idx="18" formatCode="General">
                        <c:v>-30.611142208774584</c:v>
                      </c:pt>
                      <c:pt idx="19" formatCode="General">
                        <c:v>-30.885726172465962</c:v>
                      </c:pt>
                      <c:pt idx="20" formatCode="General">
                        <c:v>-31.160310136157335</c:v>
                      </c:pt>
                      <c:pt idx="21" formatCode="General">
                        <c:v>-31.434894099848712</c:v>
                      </c:pt>
                      <c:pt idx="22" formatCode="General">
                        <c:v>-31.709478063540089</c:v>
                      </c:pt>
                      <c:pt idx="23" formatCode="General">
                        <c:v>-31.984062027231467</c:v>
                      </c:pt>
                      <c:pt idx="24" formatCode="General">
                        <c:v>-32.255909090909086</c:v>
                      </c:pt>
                      <c:pt idx="25" formatCode="General">
                        <c:v>-32.519545454545451</c:v>
                      </c:pt>
                      <c:pt idx="26" formatCode="General">
                        <c:v>-32.779545454545456</c:v>
                      </c:pt>
                      <c:pt idx="27" formatCode="General">
                        <c:v>-33.037121212121214</c:v>
                      </c:pt>
                      <c:pt idx="28" formatCode="General">
                        <c:v>-33.286060606060609</c:v>
                      </c:pt>
                      <c:pt idx="29" formatCode="General">
                        <c:v>-33.532727272727271</c:v>
                      </c:pt>
                      <c:pt idx="30" formatCode="General">
                        <c:v>-33.775151515151514</c:v>
                      </c:pt>
                      <c:pt idx="31" formatCode="General">
                        <c:v>-34.007012102874434</c:v>
                      </c:pt>
                      <c:pt idx="32" formatCode="General">
                        <c:v>-34.2331845688351</c:v>
                      </c:pt>
                      <c:pt idx="33" formatCode="General">
                        <c:v>-34.459357034795765</c:v>
                      </c:pt>
                      <c:pt idx="34" formatCode="General">
                        <c:v>-34.685529500756431</c:v>
                      </c:pt>
                      <c:pt idx="35" formatCode="General">
                        <c:v>-34.911701966717089</c:v>
                      </c:pt>
                      <c:pt idx="36" formatCode="General">
                        <c:v>-35.137874432677755</c:v>
                      </c:pt>
                      <c:pt idx="37" formatCode="General">
                        <c:v>-35.363320726172461</c:v>
                      </c:pt>
                      <c:pt idx="38" formatCode="General">
                        <c:v>-35.571338880484113</c:v>
                      </c:pt>
                      <c:pt idx="39" formatCode="General">
                        <c:v>-35.779357034795765</c:v>
                      </c:pt>
                      <c:pt idx="40" formatCode="General">
                        <c:v>-35.987375189107411</c:v>
                      </c:pt>
                      <c:pt idx="41" formatCode="General">
                        <c:v>-36.195393343419063</c:v>
                      </c:pt>
                      <c:pt idx="42" formatCode="General">
                        <c:v>-36.403411497730715</c:v>
                      </c:pt>
                      <c:pt idx="43" formatCode="General">
                        <c:v>-36.611429652042361</c:v>
                      </c:pt>
                      <c:pt idx="44" formatCode="General">
                        <c:v>-36.816845688350988</c:v>
                      </c:pt>
                      <c:pt idx="45" formatCode="General">
                        <c:v>-37.018812405446297</c:v>
                      </c:pt>
                      <c:pt idx="46" formatCode="General">
                        <c:v>-37.220779122541607</c:v>
                      </c:pt>
                      <c:pt idx="47" formatCode="General">
                        <c:v>-37.422745839636917</c:v>
                      </c:pt>
                      <c:pt idx="48" formatCode="General">
                        <c:v>-37.624712556732227</c:v>
                      </c:pt>
                      <c:pt idx="49" formatCode="General">
                        <c:v>-37.826679273827537</c:v>
                      </c:pt>
                      <c:pt idx="50" formatCode="General">
                        <c:v>-38.028645990922847</c:v>
                      </c:pt>
                      <c:pt idx="51" formatCode="General">
                        <c:v>-38.234590909090912</c:v>
                      </c:pt>
                      <c:pt idx="52" formatCode="General">
                        <c:v>-38.441409090909097</c:v>
                      </c:pt>
                      <c:pt idx="53" formatCode="General">
                        <c:v>-38.648227272727276</c:v>
                      </c:pt>
                      <c:pt idx="54" formatCode="General">
                        <c:v>-38.855045454545454</c:v>
                      </c:pt>
                      <c:pt idx="55" formatCode="General">
                        <c:v>-39.06186363636364</c:v>
                      </c:pt>
                      <c:pt idx="56" formatCode="General">
                        <c:v>-39.268681818181818</c:v>
                      </c:pt>
                      <c:pt idx="57" formatCode="General">
                        <c:v>-39.480090771558245</c:v>
                      </c:pt>
                      <c:pt idx="58" formatCode="General">
                        <c:v>-39.707776096822997</c:v>
                      </c:pt>
                      <c:pt idx="59" formatCode="General">
                        <c:v>-39.935461422087748</c:v>
                      </c:pt>
                      <c:pt idx="60" formatCode="General">
                        <c:v>-40.163146747352492</c:v>
                      </c:pt>
                      <c:pt idx="61" formatCode="General">
                        <c:v>-40.390832072617243</c:v>
                      </c:pt>
                      <c:pt idx="62" formatCode="General">
                        <c:v>-40.618517397881995</c:v>
                      </c:pt>
                      <c:pt idx="63" formatCode="General">
                        <c:v>-40.846202723146746</c:v>
                      </c:pt>
                      <c:pt idx="64" formatCode="General">
                        <c:v>-41.088424242424239</c:v>
                      </c:pt>
                      <c:pt idx="65" formatCode="General">
                        <c:v>-41.339939393939389</c:v>
                      </c:pt>
                      <c:pt idx="66" formatCode="General">
                        <c:v>-41.601566265060235</c:v>
                      </c:pt>
                      <c:pt idx="67" formatCode="General">
                        <c:v>-41.868636363636362</c:v>
                      </c:pt>
                      <c:pt idx="68" formatCode="General">
                        <c:v>-42.147424242424236</c:v>
                      </c:pt>
                      <c:pt idx="69" formatCode="General">
                        <c:v>-42.4360606060606</c:v>
                      </c:pt>
                      <c:pt idx="70" formatCode="General">
                        <c:v>-42.73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-40.753996974281392</c:v>
                      </c:pt>
                      <c:pt idx="1">
                        <c:v>-41.180018154311647</c:v>
                      </c:pt>
                      <c:pt idx="2" formatCode="General">
                        <c:v>-41.606039334341908</c:v>
                      </c:pt>
                      <c:pt idx="3" formatCode="General">
                        <c:v>-42.032060514372162</c:v>
                      </c:pt>
                      <c:pt idx="4" formatCode="General">
                        <c:v>-42.461664145234494</c:v>
                      </c:pt>
                      <c:pt idx="5" formatCode="General">
                        <c:v>-42.93246596066566</c:v>
                      </c:pt>
                      <c:pt idx="6" formatCode="General">
                        <c:v>-43.403267776096826</c:v>
                      </c:pt>
                      <c:pt idx="7" formatCode="General">
                        <c:v>-43.874069591527991</c:v>
                      </c:pt>
                      <c:pt idx="8" formatCode="General">
                        <c:v>-44.34487140695915</c:v>
                      </c:pt>
                      <c:pt idx="9" formatCode="General">
                        <c:v>-44.815673222390316</c:v>
                      </c:pt>
                      <c:pt idx="10" formatCode="General">
                        <c:v>-45.286475037821482</c:v>
                      </c:pt>
                      <c:pt idx="11" formatCode="General">
                        <c:v>-45.753863842662632</c:v>
                      </c:pt>
                      <c:pt idx="12" formatCode="General">
                        <c:v>-46.217403933434191</c:v>
                      </c:pt>
                      <c:pt idx="13" formatCode="General">
                        <c:v>-46.680944024205751</c:v>
                      </c:pt>
                      <c:pt idx="14" formatCode="General">
                        <c:v>-47.14448411497731</c:v>
                      </c:pt>
                      <c:pt idx="15" formatCode="General">
                        <c:v>-47.608024205748869</c:v>
                      </c:pt>
                      <c:pt idx="16" formatCode="General">
                        <c:v>-48.071564296520428</c:v>
                      </c:pt>
                      <c:pt idx="17" formatCode="General">
                        <c:v>-48.535104387291987</c:v>
                      </c:pt>
                      <c:pt idx="18" formatCode="General">
                        <c:v>-48.977827534039335</c:v>
                      </c:pt>
                      <c:pt idx="19" formatCode="General">
                        <c:v>-49.417161875945538</c:v>
                      </c:pt>
                      <c:pt idx="20" formatCode="General">
                        <c:v>-49.856496217851742</c:v>
                      </c:pt>
                      <c:pt idx="21" formatCode="General">
                        <c:v>-50.295830559757945</c:v>
                      </c:pt>
                      <c:pt idx="22" formatCode="General">
                        <c:v>-50.735164901664142</c:v>
                      </c:pt>
                      <c:pt idx="23" formatCode="General">
                        <c:v>-51.174499243570345</c:v>
                      </c:pt>
                      <c:pt idx="24" formatCode="General">
                        <c:v>-51.609454545454547</c:v>
                      </c:pt>
                      <c:pt idx="25" formatCode="General">
                        <c:v>-52.031272727272729</c:v>
                      </c:pt>
                      <c:pt idx="26" formatCode="General">
                        <c:v>-52.447272727272733</c:v>
                      </c:pt>
                      <c:pt idx="27" formatCode="General">
                        <c:v>-52.859393939393939</c:v>
                      </c:pt>
                      <c:pt idx="28" formatCode="General">
                        <c:v>-53.257696969696973</c:v>
                      </c:pt>
                      <c:pt idx="29" formatCode="General">
                        <c:v>-53.652363636363638</c:v>
                      </c:pt>
                      <c:pt idx="30" formatCode="General">
                        <c:v>-54.040242424242429</c:v>
                      </c:pt>
                      <c:pt idx="31" formatCode="General">
                        <c:v>-54.411219364599091</c:v>
                      </c:pt>
                      <c:pt idx="32" formatCode="General">
                        <c:v>-54.773095310136156</c:v>
                      </c:pt>
                      <c:pt idx="33" formatCode="General">
                        <c:v>-55.134971255673221</c:v>
                      </c:pt>
                      <c:pt idx="34" formatCode="General">
                        <c:v>-55.496847201210286</c:v>
                      </c:pt>
                      <c:pt idx="35" formatCode="General">
                        <c:v>-55.858723146747352</c:v>
                      </c:pt>
                      <c:pt idx="36" formatCode="General">
                        <c:v>-56.220599092284417</c:v>
                      </c:pt>
                      <c:pt idx="37" formatCode="General">
                        <c:v>-56.58131316187594</c:v>
                      </c:pt>
                      <c:pt idx="38" formatCode="General">
                        <c:v>-56.914142208774578</c:v>
                      </c:pt>
                      <c:pt idx="39" formatCode="General">
                        <c:v>-57.246971255673223</c:v>
                      </c:pt>
                      <c:pt idx="40" formatCode="General">
                        <c:v>-57.579800302571861</c:v>
                      </c:pt>
                      <c:pt idx="41" formatCode="General">
                        <c:v>-57.9126293494705</c:v>
                      </c:pt>
                      <c:pt idx="42" formatCode="General">
                        <c:v>-58.245458396369138</c:v>
                      </c:pt>
                      <c:pt idx="43" formatCode="General">
                        <c:v>-58.578287443267776</c:v>
                      </c:pt>
                      <c:pt idx="44" formatCode="General">
                        <c:v>-58.906953101361573</c:v>
                      </c:pt>
                      <c:pt idx="45" formatCode="General">
                        <c:v>-59.230099848714069</c:v>
                      </c:pt>
                      <c:pt idx="46" formatCode="General">
                        <c:v>-59.553246596066565</c:v>
                      </c:pt>
                      <c:pt idx="47" formatCode="General">
                        <c:v>-59.876393343419068</c:v>
                      </c:pt>
                      <c:pt idx="48" formatCode="General">
                        <c:v>-60.199540090771563</c:v>
                      </c:pt>
                      <c:pt idx="49" formatCode="General">
                        <c:v>-60.522686838124059</c:v>
                      </c:pt>
                      <c:pt idx="50" formatCode="General">
                        <c:v>-60.845833585476555</c:v>
                      </c:pt>
                      <c:pt idx="51" formatCode="General">
                        <c:v>-61.175345454545457</c:v>
                      </c:pt>
                      <c:pt idx="52" formatCode="General">
                        <c:v>-61.506254545454553</c:v>
                      </c:pt>
                      <c:pt idx="53" formatCode="General">
                        <c:v>-61.837163636363641</c:v>
                      </c:pt>
                      <c:pt idx="54" formatCode="General">
                        <c:v>-62.16807272727273</c:v>
                      </c:pt>
                      <c:pt idx="55" formatCode="General">
                        <c:v>-62.498981818181818</c:v>
                      </c:pt>
                      <c:pt idx="56" formatCode="General">
                        <c:v>-62.829890909090913</c:v>
                      </c:pt>
                      <c:pt idx="57" formatCode="General">
                        <c:v>-63.168145234493196</c:v>
                      </c:pt>
                      <c:pt idx="58" formatCode="General">
                        <c:v>-63.532441754916796</c:v>
                      </c:pt>
                      <c:pt idx="59" formatCode="General">
                        <c:v>-63.896738275340397</c:v>
                      </c:pt>
                      <c:pt idx="60" formatCode="General">
                        <c:v>-64.26103479576399</c:v>
                      </c:pt>
                      <c:pt idx="61" formatCode="General">
                        <c:v>-64.625331316187598</c:v>
                      </c:pt>
                      <c:pt idx="62" formatCode="General">
                        <c:v>-64.989627836611191</c:v>
                      </c:pt>
                      <c:pt idx="63" formatCode="General">
                        <c:v>-65.353924357034799</c:v>
                      </c:pt>
                      <c:pt idx="64" formatCode="General">
                        <c:v>-65.741478787878791</c:v>
                      </c:pt>
                      <c:pt idx="65" formatCode="General">
                        <c:v>-66.143903030303022</c:v>
                      </c:pt>
                      <c:pt idx="66" formatCode="General">
                        <c:v>-66.562506024096379</c:v>
                      </c:pt>
                      <c:pt idx="67" formatCode="General">
                        <c:v>-66.98981818181818</c:v>
                      </c:pt>
                      <c:pt idx="68" formatCode="General">
                        <c:v>-67.435878787878792</c:v>
                      </c:pt>
                      <c:pt idx="69" formatCode="General">
                        <c:v>-67.897696969696966</c:v>
                      </c:pt>
                      <c:pt idx="70" formatCode="General">
                        <c:v>-68.367999999999995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-10.188499243570348</c:v>
                      </c:pt>
                      <c:pt idx="1">
                        <c:v>-10.295004538577912</c:v>
                      </c:pt>
                      <c:pt idx="2" formatCode="General">
                        <c:v>-10.401509833585477</c:v>
                      </c:pt>
                      <c:pt idx="3" formatCode="General">
                        <c:v>-10.508015128593041</c:v>
                      </c:pt>
                      <c:pt idx="4" formatCode="General">
                        <c:v>-10.615416036308623</c:v>
                      </c:pt>
                      <c:pt idx="5" formatCode="General">
                        <c:v>-10.733116490166415</c:v>
                      </c:pt>
                      <c:pt idx="6" formatCode="General">
                        <c:v>-10.850816944024206</c:v>
                      </c:pt>
                      <c:pt idx="7" formatCode="General">
                        <c:v>-10.968517397881998</c:v>
                      </c:pt>
                      <c:pt idx="8" formatCode="General">
                        <c:v>-11.086217851739788</c:v>
                      </c:pt>
                      <c:pt idx="9" formatCode="General">
                        <c:v>-11.203918305597579</c:v>
                      </c:pt>
                      <c:pt idx="10" formatCode="General">
                        <c:v>-11.321618759455371</c:v>
                      </c:pt>
                      <c:pt idx="11" formatCode="General">
                        <c:v>-11.438465960665658</c:v>
                      </c:pt>
                      <c:pt idx="12" formatCode="General">
                        <c:v>-11.554350983358548</c:v>
                      </c:pt>
                      <c:pt idx="13" formatCode="General">
                        <c:v>-11.670236006051438</c:v>
                      </c:pt>
                      <c:pt idx="14" formatCode="General">
                        <c:v>-11.786121028744327</c:v>
                      </c:pt>
                      <c:pt idx="15" formatCode="General">
                        <c:v>-11.902006051437217</c:v>
                      </c:pt>
                      <c:pt idx="16" formatCode="General">
                        <c:v>-12.017891074130107</c:v>
                      </c:pt>
                      <c:pt idx="17" formatCode="General">
                        <c:v>-12.133776096822997</c:v>
                      </c:pt>
                      <c:pt idx="18" formatCode="General">
                        <c:v>-12.244456883509834</c:v>
                      </c:pt>
                      <c:pt idx="19" formatCode="General">
                        <c:v>-12.354290468986385</c:v>
                      </c:pt>
                      <c:pt idx="20" formatCode="General">
                        <c:v>-12.464124054462935</c:v>
                      </c:pt>
                      <c:pt idx="21" formatCode="General">
                        <c:v>-12.573957639939486</c:v>
                      </c:pt>
                      <c:pt idx="22" formatCode="General">
                        <c:v>-12.683791225416035</c:v>
                      </c:pt>
                      <c:pt idx="23" formatCode="General">
                        <c:v>-12.793624810892586</c:v>
                      </c:pt>
                      <c:pt idx="24" formatCode="General">
                        <c:v>-12.902363636363637</c:v>
                      </c:pt>
                      <c:pt idx="25" formatCode="General">
                        <c:v>-13.007818181818182</c:v>
                      </c:pt>
                      <c:pt idx="26" formatCode="General">
                        <c:v>-13.111818181818183</c:v>
                      </c:pt>
                      <c:pt idx="27" formatCode="General">
                        <c:v>-13.214848484848485</c:v>
                      </c:pt>
                      <c:pt idx="28" formatCode="General">
                        <c:v>-13.314424242424243</c:v>
                      </c:pt>
                      <c:pt idx="29" formatCode="General">
                        <c:v>-13.41309090909091</c:v>
                      </c:pt>
                      <c:pt idx="30" formatCode="General">
                        <c:v>-13.510060606060607</c:v>
                      </c:pt>
                      <c:pt idx="31" formatCode="General">
                        <c:v>-13.602804841149773</c:v>
                      </c:pt>
                      <c:pt idx="32" formatCode="General">
                        <c:v>-13.693273827534039</c:v>
                      </c:pt>
                      <c:pt idx="33" formatCode="General">
                        <c:v>-13.783742813918305</c:v>
                      </c:pt>
                      <c:pt idx="34" formatCode="General">
                        <c:v>-13.874211800302572</c:v>
                      </c:pt>
                      <c:pt idx="35" formatCode="General">
                        <c:v>-13.964680786686838</c:v>
                      </c:pt>
                      <c:pt idx="36" formatCode="General">
                        <c:v>-14.055149773071104</c:v>
                      </c:pt>
                      <c:pt idx="37" formatCode="General">
                        <c:v>-14.145328290468985</c:v>
                      </c:pt>
                      <c:pt idx="38" formatCode="General">
                        <c:v>-14.228535552193645</c:v>
                      </c:pt>
                      <c:pt idx="39" formatCode="General">
                        <c:v>-14.311742813918306</c:v>
                      </c:pt>
                      <c:pt idx="40" formatCode="General">
                        <c:v>-14.394950075642965</c:v>
                      </c:pt>
                      <c:pt idx="41" formatCode="General">
                        <c:v>-14.478157337367625</c:v>
                      </c:pt>
                      <c:pt idx="42" formatCode="General">
                        <c:v>-14.561364599092284</c:v>
                      </c:pt>
                      <c:pt idx="43" formatCode="General">
                        <c:v>-14.644571860816944</c:v>
                      </c:pt>
                      <c:pt idx="44" formatCode="General">
                        <c:v>-14.726738275340393</c:v>
                      </c:pt>
                      <c:pt idx="45" formatCode="General">
                        <c:v>-14.807524962178517</c:v>
                      </c:pt>
                      <c:pt idx="46" formatCode="General">
                        <c:v>-14.888311649016641</c:v>
                      </c:pt>
                      <c:pt idx="47" formatCode="General">
                        <c:v>-14.969098335854767</c:v>
                      </c:pt>
                      <c:pt idx="48" formatCode="General">
                        <c:v>-15.049885022692891</c:v>
                      </c:pt>
                      <c:pt idx="49" formatCode="General">
                        <c:v>-15.130671709531015</c:v>
                      </c:pt>
                      <c:pt idx="50" formatCode="General">
                        <c:v>-15.211458396369139</c:v>
                      </c:pt>
                      <c:pt idx="51" formatCode="General">
                        <c:v>-15.293836363636364</c:v>
                      </c:pt>
                      <c:pt idx="52" formatCode="General">
                        <c:v>-15.376563636363638</c:v>
                      </c:pt>
                      <c:pt idx="53" formatCode="General">
                        <c:v>-15.45929090909091</c:v>
                      </c:pt>
                      <c:pt idx="54" formatCode="General">
                        <c:v>-15.542018181818182</c:v>
                      </c:pt>
                      <c:pt idx="55" formatCode="General">
                        <c:v>-15.624745454545454</c:v>
                      </c:pt>
                      <c:pt idx="56" formatCode="General">
                        <c:v>-15.707472727272728</c:v>
                      </c:pt>
                      <c:pt idx="57" formatCode="General">
                        <c:v>-15.792036308623299</c:v>
                      </c:pt>
                      <c:pt idx="58" formatCode="General">
                        <c:v>-15.883110438729199</c:v>
                      </c:pt>
                      <c:pt idx="59" formatCode="General">
                        <c:v>-15.974184568835099</c:v>
                      </c:pt>
                      <c:pt idx="60" formatCode="General">
                        <c:v>-16.065258698940998</c:v>
                      </c:pt>
                      <c:pt idx="61" formatCode="General">
                        <c:v>-16.156332829046899</c:v>
                      </c:pt>
                      <c:pt idx="62" formatCode="General">
                        <c:v>-16.247406959152798</c:v>
                      </c:pt>
                      <c:pt idx="63" formatCode="General">
                        <c:v>-16.3384810892587</c:v>
                      </c:pt>
                      <c:pt idx="64" formatCode="General">
                        <c:v>-16.435369696969698</c:v>
                      </c:pt>
                      <c:pt idx="65" formatCode="General">
                        <c:v>-16.535975757575756</c:v>
                      </c:pt>
                      <c:pt idx="66" formatCode="General">
                        <c:v>-16.640626506024095</c:v>
                      </c:pt>
                      <c:pt idx="67" formatCode="General">
                        <c:v>-16.747454545454545</c:v>
                      </c:pt>
                      <c:pt idx="68" formatCode="General">
                        <c:v>-16.858969696969698</c:v>
                      </c:pt>
                      <c:pt idx="69" formatCode="General">
                        <c:v>-16.974424242424242</c:v>
                      </c:pt>
                      <c:pt idx="70" formatCode="General">
                        <c:v>-17.091999999999999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-18.054697428139182</c:v>
                      </c:pt>
                      <c:pt idx="1">
                        <c:v>-18.256815431164902</c:v>
                      </c:pt>
                      <c:pt idx="2" formatCode="General">
                        <c:v>-18.458933434190619</c:v>
                      </c:pt>
                      <c:pt idx="3" formatCode="General">
                        <c:v>-18.66105143721634</c:v>
                      </c:pt>
                      <c:pt idx="4" formatCode="General">
                        <c:v>-18.86235854765507</c:v>
                      </c:pt>
                      <c:pt idx="5" formatCode="General">
                        <c:v>-19.05434039334342</c:v>
                      </c:pt>
                      <c:pt idx="6" formatCode="General">
                        <c:v>-19.24632223903177</c:v>
                      </c:pt>
                      <c:pt idx="7" formatCode="General">
                        <c:v>-19.438304084720123</c:v>
                      </c:pt>
                      <c:pt idx="8" formatCode="General">
                        <c:v>-19.630285930408473</c:v>
                      </c:pt>
                      <c:pt idx="9" formatCode="General">
                        <c:v>-19.822267776096822</c:v>
                      </c:pt>
                      <c:pt idx="10" formatCode="General">
                        <c:v>-20.014249621785172</c:v>
                      </c:pt>
                      <c:pt idx="11" formatCode="General">
                        <c:v>-20.19926323751891</c:v>
                      </c:pt>
                      <c:pt idx="12" formatCode="General">
                        <c:v>-20.376419062027232</c:v>
                      </c:pt>
                      <c:pt idx="13" formatCode="General">
                        <c:v>-20.55357488653555</c:v>
                      </c:pt>
                      <c:pt idx="14" formatCode="General">
                        <c:v>-20.730730711043872</c:v>
                      </c:pt>
                      <c:pt idx="15" formatCode="General">
                        <c:v>-20.907886535552194</c:v>
                      </c:pt>
                      <c:pt idx="16" formatCode="General">
                        <c:v>-21.085042360060513</c:v>
                      </c:pt>
                      <c:pt idx="17" formatCode="General">
                        <c:v>-21.262198184568835</c:v>
                      </c:pt>
                      <c:pt idx="18" formatCode="General">
                        <c:v>-21.429465960665659</c:v>
                      </c:pt>
                      <c:pt idx="19" formatCode="General">
                        <c:v>-21.595124054462936</c:v>
                      </c:pt>
                      <c:pt idx="20" formatCode="General">
                        <c:v>-21.760782148260212</c:v>
                      </c:pt>
                      <c:pt idx="21" formatCode="General">
                        <c:v>-21.926440242057488</c:v>
                      </c:pt>
                      <c:pt idx="22" formatCode="General">
                        <c:v>-22.092098335854768</c:v>
                      </c:pt>
                      <c:pt idx="23" formatCode="General">
                        <c:v>-22.257756429652044</c:v>
                      </c:pt>
                      <c:pt idx="24" formatCode="General">
                        <c:v>-22.423363636363639</c:v>
                      </c:pt>
                      <c:pt idx="25" formatCode="General">
                        <c:v>-22.588818181818183</c:v>
                      </c:pt>
                      <c:pt idx="26" formatCode="General">
                        <c:v>-22.754999999999999</c:v>
                      </c:pt>
                      <c:pt idx="27" formatCode="General">
                        <c:v>-22.921666666666667</c:v>
                      </c:pt>
                      <c:pt idx="28" formatCode="General">
                        <c:v>-23.09121212121212</c:v>
                      </c:pt>
                      <c:pt idx="29" formatCode="General">
                        <c:v>-23.262727272727272</c:v>
                      </c:pt>
                      <c:pt idx="30" formatCode="General">
                        <c:v>-23.438484848484848</c:v>
                      </c:pt>
                      <c:pt idx="31" formatCode="General">
                        <c:v>-23.627148260211801</c:v>
                      </c:pt>
                      <c:pt idx="32" formatCode="General">
                        <c:v>-23.822760968229954</c:v>
                      </c:pt>
                      <c:pt idx="33" formatCode="General">
                        <c:v>-24.018373676248107</c:v>
                      </c:pt>
                      <c:pt idx="34" formatCode="General">
                        <c:v>-24.213986384266263</c:v>
                      </c:pt>
                      <c:pt idx="35" formatCode="General">
                        <c:v>-24.409599092284417</c:v>
                      </c:pt>
                      <c:pt idx="36" formatCode="General">
                        <c:v>-24.60521180030257</c:v>
                      </c:pt>
                      <c:pt idx="37" formatCode="General">
                        <c:v>-24.801853252647504</c:v>
                      </c:pt>
                      <c:pt idx="38" formatCode="General">
                        <c:v>-25.023184568835099</c:v>
                      </c:pt>
                      <c:pt idx="39" formatCode="General">
                        <c:v>-25.244515885022693</c:v>
                      </c:pt>
                      <c:pt idx="40" formatCode="General">
                        <c:v>-25.465847201210288</c:v>
                      </c:pt>
                      <c:pt idx="41" formatCode="General">
                        <c:v>-25.687178517397882</c:v>
                      </c:pt>
                      <c:pt idx="42" formatCode="General">
                        <c:v>-25.908509833585477</c:v>
                      </c:pt>
                      <c:pt idx="43" formatCode="General">
                        <c:v>-26.129841149773071</c:v>
                      </c:pt>
                      <c:pt idx="44" formatCode="General">
                        <c:v>-26.350782148260212</c:v>
                      </c:pt>
                      <c:pt idx="45" formatCode="General">
                        <c:v>-26.571205748865356</c:v>
                      </c:pt>
                      <c:pt idx="46" formatCode="General">
                        <c:v>-26.791629349470501</c:v>
                      </c:pt>
                      <c:pt idx="47" formatCode="General">
                        <c:v>-27.012052950075642</c:v>
                      </c:pt>
                      <c:pt idx="48" formatCode="General">
                        <c:v>-27.232476550680786</c:v>
                      </c:pt>
                      <c:pt idx="49" formatCode="General">
                        <c:v>-27.452900151285931</c:v>
                      </c:pt>
                      <c:pt idx="50" formatCode="General">
                        <c:v>-27.673323751891076</c:v>
                      </c:pt>
                      <c:pt idx="51" formatCode="General">
                        <c:v>-27.883584848484851</c:v>
                      </c:pt>
                      <c:pt idx="52" formatCode="General">
                        <c:v>-28.091615151515153</c:v>
                      </c:pt>
                      <c:pt idx="53" formatCode="General">
                        <c:v>-28.299645454545455</c:v>
                      </c:pt>
                      <c:pt idx="54" formatCode="General">
                        <c:v>-28.507675757575758</c:v>
                      </c:pt>
                      <c:pt idx="55" formatCode="General">
                        <c:v>-28.71570606060606</c:v>
                      </c:pt>
                      <c:pt idx="56" formatCode="General">
                        <c:v>-28.923736363636365</c:v>
                      </c:pt>
                      <c:pt idx="57" formatCode="General">
                        <c:v>-29.127969742813917</c:v>
                      </c:pt>
                      <c:pt idx="58" formatCode="General">
                        <c:v>-29.318741301059003</c:v>
                      </c:pt>
                      <c:pt idx="59" formatCode="General">
                        <c:v>-29.509512859304085</c:v>
                      </c:pt>
                      <c:pt idx="60" formatCode="General">
                        <c:v>-29.70028441754917</c:v>
                      </c:pt>
                      <c:pt idx="61" formatCode="General">
                        <c:v>-29.891055975794252</c:v>
                      </c:pt>
                      <c:pt idx="62" formatCode="General">
                        <c:v>-30.081827534039334</c:v>
                      </c:pt>
                      <c:pt idx="63" formatCode="General">
                        <c:v>-30.27259909228442</c:v>
                      </c:pt>
                      <c:pt idx="64" formatCode="General">
                        <c:v>-30.459018181818184</c:v>
                      </c:pt>
                      <c:pt idx="65" formatCode="General">
                        <c:v>-30.642654545454544</c:v>
                      </c:pt>
                      <c:pt idx="66" formatCode="General">
                        <c:v>-30.815975903614454</c:v>
                      </c:pt>
                      <c:pt idx="67" formatCode="General">
                        <c:v>-30.990090909090906</c:v>
                      </c:pt>
                      <c:pt idx="68" formatCode="General">
                        <c:v>-31.167060606060605</c:v>
                      </c:pt>
                      <c:pt idx="69" formatCode="General">
                        <c:v>-31.338121212121212</c:v>
                      </c:pt>
                      <c:pt idx="70" formatCode="General">
                        <c:v>-31.506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-57.82181818181818</c:v>
                      </c:pt>
                      <c:pt idx="2" formatCode="General">
                        <c:v>-56.458181818181821</c:v>
                      </c:pt>
                      <c:pt idx="3" formatCode="General">
                        <c:v>-55.240545454545455</c:v>
                      </c:pt>
                      <c:pt idx="4" formatCode="General">
                        <c:v>-54.169515151515157</c:v>
                      </c:pt>
                      <c:pt idx="5" formatCode="General">
                        <c:v>-54.163454545454542</c:v>
                      </c:pt>
                      <c:pt idx="6" formatCode="General">
                        <c:v>-53.748132530120479</c:v>
                      </c:pt>
                      <c:pt idx="7" formatCode="General">
                        <c:v>-52.790301204819279</c:v>
                      </c:pt>
                      <c:pt idx="8" formatCode="General">
                        <c:v>-52.266666666666666</c:v>
                      </c:pt>
                      <c:pt idx="9" formatCode="General">
                        <c:v>-51.88</c:v>
                      </c:pt>
                      <c:pt idx="10" formatCode="General">
                        <c:v>-51.546666666666674</c:v>
                      </c:pt>
                      <c:pt idx="11" formatCode="General">
                        <c:v>-51.257726172465965</c:v>
                      </c:pt>
                      <c:pt idx="12" formatCode="General">
                        <c:v>-51.018845688350986</c:v>
                      </c:pt>
                      <c:pt idx="13" formatCode="General">
                        <c:v>-50.779965204236014</c:v>
                      </c:pt>
                      <c:pt idx="14" formatCode="General">
                        <c:v>-50.541084720121034</c:v>
                      </c:pt>
                      <c:pt idx="15" formatCode="General">
                        <c:v>-50.302204236006055</c:v>
                      </c:pt>
                      <c:pt idx="16" formatCode="General">
                        <c:v>-50.063323751891076</c:v>
                      </c:pt>
                      <c:pt idx="17" formatCode="General">
                        <c:v>-49.824443267776097</c:v>
                      </c:pt>
                      <c:pt idx="18" formatCode="General">
                        <c:v>-49.652878787878791</c:v>
                      </c:pt>
                      <c:pt idx="19" formatCode="General">
                        <c:v>-49.495072727272728</c:v>
                      </c:pt>
                      <c:pt idx="20" formatCode="General">
                        <c:v>-49.347799999999999</c:v>
                      </c:pt>
                      <c:pt idx="21" formatCode="General">
                        <c:v>-49.220212121212121</c:v>
                      </c:pt>
                      <c:pt idx="22" formatCode="General">
                        <c:v>-49.108090909090905</c:v>
                      </c:pt>
                      <c:pt idx="23" formatCode="General">
                        <c:v>-49.151174698795181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-60.923190620272315</c:v>
                      </c:pt>
                      <c:pt idx="65" formatCode="General">
                        <c:v>-61.184158850226929</c:v>
                      </c:pt>
                      <c:pt idx="66" formatCode="General">
                        <c:v>-61.445127080181543</c:v>
                      </c:pt>
                      <c:pt idx="67" formatCode="General">
                        <c:v>-61.706095310136156</c:v>
                      </c:pt>
                      <c:pt idx="68" formatCode="General">
                        <c:v>-61.967063540090777</c:v>
                      </c:pt>
                      <c:pt idx="69" formatCode="General">
                        <c:v>-62.228031770045391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-185.65945454545451</c:v>
                      </c:pt>
                      <c:pt idx="1">
                        <c:v>-180.33072727272724</c:v>
                      </c:pt>
                      <c:pt idx="2" formatCode="General">
                        <c:v>-175.38527272727273</c:v>
                      </c:pt>
                      <c:pt idx="3" formatCode="General">
                        <c:v>-170.78933333333333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-100.42183358547655</c:v>
                      </c:pt>
                      <c:pt idx="65" formatCode="General">
                        <c:v>-100.90352798789712</c:v>
                      </c:pt>
                      <c:pt idx="66" formatCode="General">
                        <c:v>-101.38522239031769</c:v>
                      </c:pt>
                      <c:pt idx="67" formatCode="General">
                        <c:v>-101.86691679273828</c:v>
                      </c:pt>
                      <c:pt idx="68" formatCode="General">
                        <c:v>-102.34861119515885</c:v>
                      </c:pt>
                      <c:pt idx="69" formatCode="General">
                        <c:v>-102.83030559757943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-75.533818181818177</c:v>
                      </c:pt>
                      <c:pt idx="4" formatCode="General">
                        <c:v>-73.383030303030296</c:v>
                      </c:pt>
                      <c:pt idx="5" formatCode="General">
                        <c:v>-71.170909090909092</c:v>
                      </c:pt>
                      <c:pt idx="6" formatCode="General">
                        <c:v>-69.156204819277107</c:v>
                      </c:pt>
                      <c:pt idx="7" formatCode="General">
                        <c:v>-67.403192771084335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-36.259464447806359</c:v>
                      </c:pt>
                      <c:pt idx="65" formatCode="General">
                        <c:v>-36.440553706505298</c:v>
                      </c:pt>
                      <c:pt idx="66" formatCode="General">
                        <c:v>-36.621642965204238</c:v>
                      </c:pt>
                      <c:pt idx="67" formatCode="General">
                        <c:v>-36.802732223903178</c:v>
                      </c:pt>
                      <c:pt idx="68" formatCode="General">
                        <c:v>-36.983821482602124</c:v>
                      </c:pt>
                      <c:pt idx="69" formatCode="General">
                        <c:v>-37.164910741301064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-36.464181818181821</c:v>
                      </c:pt>
                      <c:pt idx="3" formatCode="General">
                        <c:v>-35.518848484848483</c:v>
                      </c:pt>
                      <c:pt idx="4" formatCode="General">
                        <c:v>-34.576545454545453</c:v>
                      </c:pt>
                      <c:pt idx="5" formatCode="General">
                        <c:v>-34.158363636363639</c:v>
                      </c:pt>
                      <c:pt idx="6" formatCode="General">
                        <c:v>-33.559939759036148</c:v>
                      </c:pt>
                      <c:pt idx="7" formatCode="General">
                        <c:v>-32.722590361445782</c:v>
                      </c:pt>
                      <c:pt idx="8" formatCode="General">
                        <c:v>-32.114666666666665</c:v>
                      </c:pt>
                      <c:pt idx="9" formatCode="General">
                        <c:v>-31.581818181818182</c:v>
                      </c:pt>
                      <c:pt idx="10" formatCode="General">
                        <c:v>-31.096969696969701</c:v>
                      </c:pt>
                      <c:pt idx="11" formatCode="General">
                        <c:v>-30.656621785173982</c:v>
                      </c:pt>
                      <c:pt idx="12" formatCode="General">
                        <c:v>-30.266455370650533</c:v>
                      </c:pt>
                      <c:pt idx="13" formatCode="General">
                        <c:v>-29.876288956127084</c:v>
                      </c:pt>
                      <c:pt idx="14" formatCode="General">
                        <c:v>-29.486122541603635</c:v>
                      </c:pt>
                      <c:pt idx="15" formatCode="General">
                        <c:v>-29.095956127080186</c:v>
                      </c:pt>
                      <c:pt idx="16" formatCode="General">
                        <c:v>-28.705789712556733</c:v>
                      </c:pt>
                      <c:pt idx="17" formatCode="General">
                        <c:v>-28.315623298033284</c:v>
                      </c:pt>
                      <c:pt idx="18" formatCode="General">
                        <c:v>-27.992575757575761</c:v>
                      </c:pt>
                      <c:pt idx="19" formatCode="General">
                        <c:v>-27.684527272727273</c:v>
                      </c:pt>
                      <c:pt idx="20" formatCode="General">
                        <c:v>-27.3918</c:v>
                      </c:pt>
                      <c:pt idx="21" formatCode="General">
                        <c:v>-27.115363636363636</c:v>
                      </c:pt>
                      <c:pt idx="22" formatCode="General">
                        <c:v>-26.85172727272727</c:v>
                      </c:pt>
                      <c:pt idx="23" formatCode="General">
                        <c:v>-26.744126506024095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-33.02028593040847</c:v>
                      </c:pt>
                      <c:pt idx="65" formatCode="General">
                        <c:v>-33.16173827534039</c:v>
                      </c:pt>
                      <c:pt idx="66" formatCode="General">
                        <c:v>-33.303190620272311</c:v>
                      </c:pt>
                      <c:pt idx="67" formatCode="General">
                        <c:v>-33.444642965204238</c:v>
                      </c:pt>
                      <c:pt idx="68" formatCode="General">
                        <c:v>-33.586095310136159</c:v>
                      </c:pt>
                      <c:pt idx="69" formatCode="General">
                        <c:v>-33.727547655068079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-143.44793939393938</c:v>
                      </c:pt>
                      <c:pt idx="1">
                        <c:v>-139.27606060606061</c:v>
                      </c:pt>
                      <c:pt idx="2" formatCode="General">
                        <c:v>-135.39727272727271</c:v>
                      </c:pt>
                      <c:pt idx="3" formatCode="General">
                        <c:v>-131.34593939393937</c:v>
                      </c:pt>
                      <c:pt idx="4" formatCode="General">
                        <c:v>-127.1730909090909</c:v>
                      </c:pt>
                      <c:pt idx="5" formatCode="General">
                        <c:v>-122.33672727272727</c:v>
                      </c:pt>
                      <c:pt idx="6" formatCode="General">
                        <c:v>-118.12421686746988</c:v>
                      </c:pt>
                      <c:pt idx="7" formatCode="General">
                        <c:v>-114.73867469879519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-44.616024205748872</c:v>
                      </c:pt>
                      <c:pt idx="65" formatCode="General">
                        <c:v>-44.858686838124058</c:v>
                      </c:pt>
                      <c:pt idx="66" formatCode="General">
                        <c:v>-45.101349470499244</c:v>
                      </c:pt>
                      <c:pt idx="67" formatCode="General">
                        <c:v>-45.344012102874437</c:v>
                      </c:pt>
                      <c:pt idx="68" formatCode="General">
                        <c:v>-45.586674735249623</c:v>
                      </c:pt>
                      <c:pt idx="69" formatCode="General">
                        <c:v>-45.829337367624817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-19.02</c:v>
                      </c:pt>
                      <c:pt idx="1">
                        <c:v>-19.02</c:v>
                      </c:pt>
                      <c:pt idx="2" formatCode="General">
                        <c:v>-19.02</c:v>
                      </c:pt>
                      <c:pt idx="3" formatCode="General">
                        <c:v>-19.152727272727272</c:v>
                      </c:pt>
                      <c:pt idx="4" formatCode="General">
                        <c:v>-19.306909090909091</c:v>
                      </c:pt>
                      <c:pt idx="5" formatCode="General">
                        <c:v>-19.143272727272727</c:v>
                      </c:pt>
                      <c:pt idx="6" formatCode="General">
                        <c:v>-19.130301204819279</c:v>
                      </c:pt>
                      <c:pt idx="7" formatCode="General">
                        <c:v>-19.317048192771082</c:v>
                      </c:pt>
                      <c:pt idx="8" formatCode="General">
                        <c:v>-19.369333333333334</c:v>
                      </c:pt>
                      <c:pt idx="9" formatCode="General">
                        <c:v>-19.382181818181817</c:v>
                      </c:pt>
                      <c:pt idx="10" formatCode="General">
                        <c:v>-19.400363636363636</c:v>
                      </c:pt>
                      <c:pt idx="11" formatCode="General">
                        <c:v>-19.418532526475037</c:v>
                      </c:pt>
                      <c:pt idx="12" formatCode="General">
                        <c:v>-19.436686838124054</c:v>
                      </c:pt>
                      <c:pt idx="13" formatCode="General">
                        <c:v>-19.45484114977307</c:v>
                      </c:pt>
                      <c:pt idx="14" formatCode="General">
                        <c:v>-19.472995461422087</c:v>
                      </c:pt>
                      <c:pt idx="15" formatCode="General">
                        <c:v>-19.491149773071104</c:v>
                      </c:pt>
                      <c:pt idx="16" formatCode="General">
                        <c:v>-19.509304084720121</c:v>
                      </c:pt>
                      <c:pt idx="17" formatCode="General">
                        <c:v>-19.527458396369138</c:v>
                      </c:pt>
                      <c:pt idx="18" formatCode="General">
                        <c:v>-19.545636363636362</c:v>
                      </c:pt>
                      <c:pt idx="19" formatCode="General">
                        <c:v>-19.565090909090909</c:v>
                      </c:pt>
                      <c:pt idx="20" formatCode="General">
                        <c:v>-19.589333333333332</c:v>
                      </c:pt>
                      <c:pt idx="21" formatCode="General">
                        <c:v>-19.610181818181818</c:v>
                      </c:pt>
                      <c:pt idx="22" formatCode="General">
                        <c:v>-19.628363636363634</c:v>
                      </c:pt>
                      <c:pt idx="23" formatCode="General">
                        <c:v>-19.542289156626506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-36.464181818181821</c:v>
                      </c:pt>
                      <c:pt idx="3" formatCode="General">
                        <c:v>-35.518848484848483</c:v>
                      </c:pt>
                      <c:pt idx="4" formatCode="General">
                        <c:v>-34.576545454545453</c:v>
                      </c:pt>
                      <c:pt idx="5" formatCode="General">
                        <c:v>-34.158363636363639</c:v>
                      </c:pt>
                      <c:pt idx="6" formatCode="General">
                        <c:v>-33.559939759036148</c:v>
                      </c:pt>
                      <c:pt idx="7" formatCode="General">
                        <c:v>-32.722590361445782</c:v>
                      </c:pt>
                      <c:pt idx="8" formatCode="General">
                        <c:v>-32.114666666666665</c:v>
                      </c:pt>
                      <c:pt idx="9" formatCode="General">
                        <c:v>-31.581818181818182</c:v>
                      </c:pt>
                      <c:pt idx="10" formatCode="General">
                        <c:v>-31.096969696969701</c:v>
                      </c:pt>
                      <c:pt idx="11" formatCode="General">
                        <c:v>-30.656621785173982</c:v>
                      </c:pt>
                      <c:pt idx="12" formatCode="General">
                        <c:v>-30.266455370650533</c:v>
                      </c:pt>
                      <c:pt idx="13" formatCode="General">
                        <c:v>-29.876288956127084</c:v>
                      </c:pt>
                      <c:pt idx="14" formatCode="General">
                        <c:v>-29.486122541603635</c:v>
                      </c:pt>
                      <c:pt idx="15" formatCode="General">
                        <c:v>-29.095956127080186</c:v>
                      </c:pt>
                      <c:pt idx="16" formatCode="General">
                        <c:v>-28.705789712556733</c:v>
                      </c:pt>
                      <c:pt idx="17" formatCode="General">
                        <c:v>-28.315623298033284</c:v>
                      </c:pt>
                      <c:pt idx="18" formatCode="General">
                        <c:v>-27.992575757575761</c:v>
                      </c:pt>
                      <c:pt idx="19" formatCode="General">
                        <c:v>-27.684527272727273</c:v>
                      </c:pt>
                      <c:pt idx="20" formatCode="General">
                        <c:v>-27.3918</c:v>
                      </c:pt>
                      <c:pt idx="21" formatCode="General">
                        <c:v>-27.115363636363636</c:v>
                      </c:pt>
                      <c:pt idx="22" formatCode="General">
                        <c:v>-26.85172727272727</c:v>
                      </c:pt>
                      <c:pt idx="23" formatCode="General">
                        <c:v>-26.744126506024095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-33.02028593040847</c:v>
                      </c:pt>
                      <c:pt idx="65" formatCode="General">
                        <c:v>-33.16173827534039</c:v>
                      </c:pt>
                      <c:pt idx="66" formatCode="General">
                        <c:v>-33.303190620272311</c:v>
                      </c:pt>
                      <c:pt idx="67" formatCode="General">
                        <c:v>-33.444642965204238</c:v>
                      </c:pt>
                      <c:pt idx="68" formatCode="General">
                        <c:v>-33.586095310136159</c:v>
                      </c:pt>
                      <c:pt idx="69" formatCode="General">
                        <c:v>-33.727547655068079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-19.02</c:v>
                      </c:pt>
                      <c:pt idx="1">
                        <c:v>-19.02</c:v>
                      </c:pt>
                      <c:pt idx="2" formatCode="General">
                        <c:v>-19.02</c:v>
                      </c:pt>
                      <c:pt idx="3" formatCode="General">
                        <c:v>-19.152727272727272</c:v>
                      </c:pt>
                      <c:pt idx="4" formatCode="General">
                        <c:v>-19.306909090909091</c:v>
                      </c:pt>
                      <c:pt idx="5" formatCode="General">
                        <c:v>-19.143272727272727</c:v>
                      </c:pt>
                      <c:pt idx="6" formatCode="General">
                        <c:v>-19.130301204819279</c:v>
                      </c:pt>
                      <c:pt idx="7" formatCode="General">
                        <c:v>-19.317048192771082</c:v>
                      </c:pt>
                      <c:pt idx="8" formatCode="General">
                        <c:v>-19.369333333333334</c:v>
                      </c:pt>
                      <c:pt idx="9" formatCode="General">
                        <c:v>-19.382181818181817</c:v>
                      </c:pt>
                      <c:pt idx="10" formatCode="General">
                        <c:v>-19.400363636363636</c:v>
                      </c:pt>
                      <c:pt idx="11" formatCode="General">
                        <c:v>-19.418532526475037</c:v>
                      </c:pt>
                      <c:pt idx="12" formatCode="General">
                        <c:v>-19.436686838124054</c:v>
                      </c:pt>
                      <c:pt idx="13" formatCode="General">
                        <c:v>-19.45484114977307</c:v>
                      </c:pt>
                      <c:pt idx="14" formatCode="General">
                        <c:v>-19.472995461422087</c:v>
                      </c:pt>
                      <c:pt idx="15" formatCode="General">
                        <c:v>-19.491149773071104</c:v>
                      </c:pt>
                      <c:pt idx="16" formatCode="General">
                        <c:v>-19.509304084720121</c:v>
                      </c:pt>
                      <c:pt idx="17" formatCode="General">
                        <c:v>-19.527458396369138</c:v>
                      </c:pt>
                      <c:pt idx="18" formatCode="General">
                        <c:v>-19.545636363636362</c:v>
                      </c:pt>
                      <c:pt idx="19" formatCode="General">
                        <c:v>-19.565090909090909</c:v>
                      </c:pt>
                      <c:pt idx="20" formatCode="General">
                        <c:v>-19.589333333333332</c:v>
                      </c:pt>
                      <c:pt idx="21" formatCode="General">
                        <c:v>-19.610181818181818</c:v>
                      </c:pt>
                      <c:pt idx="22" formatCode="General">
                        <c:v>-19.628363636363634</c:v>
                      </c:pt>
                      <c:pt idx="23" formatCode="General">
                        <c:v>-19.542289156626506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-21.105757575757575</c:v>
                      </c:pt>
                      <c:pt idx="1">
                        <c:v>-20.527333333333335</c:v>
                      </c:pt>
                      <c:pt idx="2" formatCode="General">
                        <c:v>-19.994</c:v>
                      </c:pt>
                      <c:pt idx="3" formatCode="General">
                        <c:v>-19.721696969696971</c:v>
                      </c:pt>
                      <c:pt idx="4" formatCode="General">
                        <c:v>-19.592969696969696</c:v>
                      </c:pt>
                      <c:pt idx="5" formatCode="General">
                        <c:v>-20.005090909090907</c:v>
                      </c:pt>
                      <c:pt idx="6" formatCode="General">
                        <c:v>-20.188192771084335</c:v>
                      </c:pt>
                      <c:pt idx="7" formatCode="General">
                        <c:v>-20.067710843373494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-60.236787878787872</c:v>
                      </c:pt>
                      <c:pt idx="1">
                        <c:v>-58.907818181818179</c:v>
                      </c:pt>
                      <c:pt idx="2" formatCode="General">
                        <c:v>-57.744181818181815</c:v>
                      </c:pt>
                      <c:pt idx="3" formatCode="General">
                        <c:v>-56.770787878787878</c:v>
                      </c:pt>
                      <c:pt idx="4" formatCode="General">
                        <c:v>-55.919636363636364</c:v>
                      </c:pt>
                      <c:pt idx="5" formatCode="General">
                        <c:v>-55.665090909090907</c:v>
                      </c:pt>
                      <c:pt idx="6" formatCode="General">
                        <c:v>-55.214337349397596</c:v>
                      </c:pt>
                      <c:pt idx="7" formatCode="General">
                        <c:v>-54.503493975903616</c:v>
                      </c:pt>
                      <c:pt idx="8" formatCode="General">
                        <c:v>-53.92</c:v>
                      </c:pt>
                      <c:pt idx="9" formatCode="General">
                        <c:v>-53.390327272727269</c:v>
                      </c:pt>
                      <c:pt idx="10" formatCode="General">
                        <c:v>-52.976387878787875</c:v>
                      </c:pt>
                      <c:pt idx="11" formatCode="General">
                        <c:v>-52.647143721633888</c:v>
                      </c:pt>
                      <c:pt idx="12" formatCode="General">
                        <c:v>-52.413406959152795</c:v>
                      </c:pt>
                      <c:pt idx="13" formatCode="General">
                        <c:v>-52.179670196671708</c:v>
                      </c:pt>
                      <c:pt idx="14" formatCode="General">
                        <c:v>-51.945933434190614</c:v>
                      </c:pt>
                      <c:pt idx="15" formatCode="General">
                        <c:v>-51.712196671709528</c:v>
                      </c:pt>
                      <c:pt idx="16" formatCode="General">
                        <c:v>-51.478459909228441</c:v>
                      </c:pt>
                      <c:pt idx="17" formatCode="General">
                        <c:v>-51.244723146747347</c:v>
                      </c:pt>
                      <c:pt idx="18" formatCode="General">
                        <c:v>-51.166654545454541</c:v>
                      </c:pt>
                      <c:pt idx="19" formatCode="General">
                        <c:v>-51.135054545454544</c:v>
                      </c:pt>
                      <c:pt idx="20" formatCode="General">
                        <c:v>-51.182933333333331</c:v>
                      </c:pt>
                      <c:pt idx="21" formatCode="General">
                        <c:v>-51.28070303030303</c:v>
                      </c:pt>
                      <c:pt idx="22" formatCode="General">
                        <c:v>-51.417672727272731</c:v>
                      </c:pt>
                      <c:pt idx="23" formatCode="General">
                        <c:v>-51.628993975903619</c:v>
                      </c:pt>
                      <c:pt idx="24" formatCode="General">
                        <c:v>-51.862848484848492</c:v>
                      </c:pt>
                      <c:pt idx="25" formatCode="General">
                        <c:v>-52.142242424242433</c:v>
                      </c:pt>
                      <c:pt idx="26" formatCode="General">
                        <c:v>-52.432545454545455</c:v>
                      </c:pt>
                      <c:pt idx="27" formatCode="General">
                        <c:v>-52.730121212121212</c:v>
                      </c:pt>
                      <c:pt idx="28" formatCode="General">
                        <c:v>-53.034606060606059</c:v>
                      </c:pt>
                      <c:pt idx="29" formatCode="General">
                        <c:v>-53.343454545454541</c:v>
                      </c:pt>
                      <c:pt idx="30" formatCode="General">
                        <c:v>-53.661636363636369</c:v>
                      </c:pt>
                      <c:pt idx="31" formatCode="General">
                        <c:v>-53.972818456883516</c:v>
                      </c:pt>
                      <c:pt idx="32" formatCode="General">
                        <c:v>-54.280231467473527</c:v>
                      </c:pt>
                      <c:pt idx="33" formatCode="General">
                        <c:v>-54.587644478063538</c:v>
                      </c:pt>
                      <c:pt idx="34" formatCode="General">
                        <c:v>-54.895057488653556</c:v>
                      </c:pt>
                      <c:pt idx="35" formatCode="General">
                        <c:v>-55.202470499243567</c:v>
                      </c:pt>
                      <c:pt idx="36" formatCode="General">
                        <c:v>-55.509883509833585</c:v>
                      </c:pt>
                      <c:pt idx="37" formatCode="General">
                        <c:v>-55.816757942511344</c:v>
                      </c:pt>
                      <c:pt idx="38" formatCode="General">
                        <c:v>-56.110706505295006</c:v>
                      </c:pt>
                      <c:pt idx="39" formatCode="General">
                        <c:v>-56.404655068078668</c:v>
                      </c:pt>
                      <c:pt idx="40" formatCode="General">
                        <c:v>-56.69860363086233</c:v>
                      </c:pt>
                      <c:pt idx="41" formatCode="General">
                        <c:v>-56.992552193645992</c:v>
                      </c:pt>
                      <c:pt idx="42" formatCode="General">
                        <c:v>-57.286500756429653</c:v>
                      </c:pt>
                      <c:pt idx="43" formatCode="General">
                        <c:v>-57.580449319213315</c:v>
                      </c:pt>
                      <c:pt idx="44" formatCode="General">
                        <c:v>-57.869193645990926</c:v>
                      </c:pt>
                      <c:pt idx="45" formatCode="General">
                        <c:v>-58.15103933434191</c:v>
                      </c:pt>
                      <c:pt idx="46" formatCode="General">
                        <c:v>-58.432885022692894</c:v>
                      </c:pt>
                      <c:pt idx="47" formatCode="General">
                        <c:v>-58.714730711043877</c:v>
                      </c:pt>
                      <c:pt idx="48" formatCode="General">
                        <c:v>-58.996576399394861</c:v>
                      </c:pt>
                      <c:pt idx="49" formatCode="General">
                        <c:v>-59.278422087745845</c:v>
                      </c:pt>
                      <c:pt idx="50" formatCode="General">
                        <c:v>-59.560267776096829</c:v>
                      </c:pt>
                      <c:pt idx="51" formatCode="General">
                        <c:v>-59.834139393939395</c:v>
                      </c:pt>
                      <c:pt idx="52" formatCode="General">
                        <c:v>-60.106260606060609</c:v>
                      </c:pt>
                      <c:pt idx="53" formatCode="General">
                        <c:v>-60.378381818181822</c:v>
                      </c:pt>
                      <c:pt idx="54" formatCode="General">
                        <c:v>-60.650503030303028</c:v>
                      </c:pt>
                      <c:pt idx="55" formatCode="General">
                        <c:v>-60.922624242424241</c:v>
                      </c:pt>
                      <c:pt idx="56" formatCode="General">
                        <c:v>-61.194745454545455</c:v>
                      </c:pt>
                      <c:pt idx="57" formatCode="General">
                        <c:v>-61.46743373493976</c:v>
                      </c:pt>
                      <c:pt idx="58" formatCode="General">
                        <c:v>-61.742132530120479</c:v>
                      </c:pt>
                      <c:pt idx="59" formatCode="General">
                        <c:v>-62.009278787878785</c:v>
                      </c:pt>
                      <c:pt idx="60" formatCode="General">
                        <c:v>-62.27049090909091</c:v>
                      </c:pt>
                      <c:pt idx="61" formatCode="General">
                        <c:v>-62.539975757575753</c:v>
                      </c:pt>
                      <c:pt idx="62" formatCode="General">
                        <c:v>-62.809648484848481</c:v>
                      </c:pt>
                      <c:pt idx="63" formatCode="General">
                        <c:v>-63.077527272727274</c:v>
                      </c:pt>
                      <c:pt idx="64" formatCode="General">
                        <c:v>-63.33999092284418</c:v>
                      </c:pt>
                      <c:pt idx="65" formatCode="General">
                        <c:v>-63.598992435703479</c:v>
                      </c:pt>
                      <c:pt idx="66" formatCode="General">
                        <c:v>-63.857993948562786</c:v>
                      </c:pt>
                      <c:pt idx="67" formatCode="General">
                        <c:v>-64.116995461422093</c:v>
                      </c:pt>
                      <c:pt idx="68" formatCode="General">
                        <c:v>-64.375996974281392</c:v>
                      </c:pt>
                      <c:pt idx="69" formatCode="General">
                        <c:v>-64.634998487140706</c:v>
                      </c:pt>
                      <c:pt idx="70" formatCode="General">
                        <c:v>-64.894000000000005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-38.512484848484846</c:v>
                      </c:pt>
                      <c:pt idx="1">
                        <c:v>-37.55684848484848</c:v>
                      </c:pt>
                      <c:pt idx="2" formatCode="General">
                        <c:v>-36.653818181818181</c:v>
                      </c:pt>
                      <c:pt idx="3" formatCode="General">
                        <c:v>-35.821575757575751</c:v>
                      </c:pt>
                      <c:pt idx="4" formatCode="General">
                        <c:v>-35.031515151515151</c:v>
                      </c:pt>
                      <c:pt idx="5" formatCode="General">
                        <c:v>-34.425454545454542</c:v>
                      </c:pt>
                      <c:pt idx="6" formatCode="General">
                        <c:v>-33.800240963855423</c:v>
                      </c:pt>
                      <c:pt idx="7" formatCode="General">
                        <c:v>-33.149638554216871</c:v>
                      </c:pt>
                      <c:pt idx="8" formatCode="General">
                        <c:v>-32.556666666666665</c:v>
                      </c:pt>
                      <c:pt idx="9" formatCode="General">
                        <c:v>-31.989418181818181</c:v>
                      </c:pt>
                      <c:pt idx="10" formatCode="General">
                        <c:v>-31.484569696969697</c:v>
                      </c:pt>
                      <c:pt idx="11" formatCode="General">
                        <c:v>-31.045993948562781</c:v>
                      </c:pt>
                      <c:pt idx="12" formatCode="General">
                        <c:v>-30.682151285930406</c:v>
                      </c:pt>
                      <c:pt idx="13" formatCode="General">
                        <c:v>-30.31830862329803</c:v>
                      </c:pt>
                      <c:pt idx="14" formatCode="General">
                        <c:v>-29.954465960665654</c:v>
                      </c:pt>
                      <c:pt idx="15" formatCode="General">
                        <c:v>-29.590623298033279</c:v>
                      </c:pt>
                      <c:pt idx="16" formatCode="General">
                        <c:v>-29.226780635400907</c:v>
                      </c:pt>
                      <c:pt idx="17" formatCode="General">
                        <c:v>-28.862937972768528</c:v>
                      </c:pt>
                      <c:pt idx="18" formatCode="General">
                        <c:v>-28.662412121212121</c:v>
                      </c:pt>
                      <c:pt idx="19" formatCode="General">
                        <c:v>-28.51087272727273</c:v>
                      </c:pt>
                      <c:pt idx="20" formatCode="General">
                        <c:v>-28.4436</c:v>
                      </c:pt>
                      <c:pt idx="21" formatCode="General">
                        <c:v>-28.426218181818179</c:v>
                      </c:pt>
                      <c:pt idx="22" formatCode="General">
                        <c:v>-28.448036363636362</c:v>
                      </c:pt>
                      <c:pt idx="23" formatCode="General">
                        <c:v>-28.533873493975904</c:v>
                      </c:pt>
                      <c:pt idx="24" formatCode="General">
                        <c:v>-28.638000000000002</c:v>
                      </c:pt>
                      <c:pt idx="25" formatCode="General">
                        <c:v>-28.778000000000002</c:v>
                      </c:pt>
                      <c:pt idx="26" formatCode="General">
                        <c:v>-28.928909090909091</c:v>
                      </c:pt>
                      <c:pt idx="27" formatCode="General">
                        <c:v>-29.087090909090907</c:v>
                      </c:pt>
                      <c:pt idx="28" formatCode="General">
                        <c:v>-29.252181818181818</c:v>
                      </c:pt>
                      <c:pt idx="29" formatCode="General">
                        <c:v>-29.419818181818179</c:v>
                      </c:pt>
                      <c:pt idx="30" formatCode="General">
                        <c:v>-29.592545454545455</c:v>
                      </c:pt>
                      <c:pt idx="31" formatCode="General">
                        <c:v>-29.761366111951592</c:v>
                      </c:pt>
                      <c:pt idx="32" formatCode="General">
                        <c:v>-29.928083207261729</c:v>
                      </c:pt>
                      <c:pt idx="33" formatCode="General">
                        <c:v>-30.094800302571862</c:v>
                      </c:pt>
                      <c:pt idx="34" formatCode="General">
                        <c:v>-30.261517397881999</c:v>
                      </c:pt>
                      <c:pt idx="35" formatCode="General">
                        <c:v>-30.428234493192136</c:v>
                      </c:pt>
                      <c:pt idx="36" formatCode="General">
                        <c:v>-30.594951588502273</c:v>
                      </c:pt>
                      <c:pt idx="37" formatCode="General">
                        <c:v>-30.761372163388806</c:v>
                      </c:pt>
                      <c:pt idx="38" formatCode="General">
                        <c:v>-30.920676248108929</c:v>
                      </c:pt>
                      <c:pt idx="39" formatCode="General">
                        <c:v>-31.079980332829049</c:v>
                      </c:pt>
                      <c:pt idx="40" formatCode="General">
                        <c:v>-31.239284417549168</c:v>
                      </c:pt>
                      <c:pt idx="41" formatCode="General">
                        <c:v>-31.398588502269288</c:v>
                      </c:pt>
                      <c:pt idx="42" formatCode="General">
                        <c:v>-31.557892586989411</c:v>
                      </c:pt>
                      <c:pt idx="43" formatCode="General">
                        <c:v>-31.71719667170953</c:v>
                      </c:pt>
                      <c:pt idx="44" formatCode="General">
                        <c:v>-31.87454916792738</c:v>
                      </c:pt>
                      <c:pt idx="45" formatCode="General">
                        <c:v>-32.029314674735247</c:v>
                      </c:pt>
                      <c:pt idx="46" formatCode="General">
                        <c:v>-32.184080181543116</c:v>
                      </c:pt>
                      <c:pt idx="47" formatCode="General">
                        <c:v>-32.338845688350986</c:v>
                      </c:pt>
                      <c:pt idx="48" formatCode="General">
                        <c:v>-32.493611195158856</c:v>
                      </c:pt>
                      <c:pt idx="49" formatCode="General">
                        <c:v>-32.648376701966718</c:v>
                      </c:pt>
                      <c:pt idx="50" formatCode="General">
                        <c:v>-32.803142208774588</c:v>
                      </c:pt>
                      <c:pt idx="51" formatCode="General">
                        <c:v>-32.957230303030308</c:v>
                      </c:pt>
                      <c:pt idx="52" formatCode="General">
                        <c:v>-33.111169696969704</c:v>
                      </c:pt>
                      <c:pt idx="53" formatCode="General">
                        <c:v>-33.265109090909093</c:v>
                      </c:pt>
                      <c:pt idx="54" formatCode="General">
                        <c:v>-33.419048484848489</c:v>
                      </c:pt>
                      <c:pt idx="55" formatCode="General">
                        <c:v>-33.572987878787885</c:v>
                      </c:pt>
                      <c:pt idx="56" formatCode="General">
                        <c:v>-33.726927272727274</c:v>
                      </c:pt>
                      <c:pt idx="57" formatCode="General">
                        <c:v>-33.880927710843373</c:v>
                      </c:pt>
                      <c:pt idx="58" formatCode="General">
                        <c:v>-34.035144578313258</c:v>
                      </c:pt>
                      <c:pt idx="59" formatCode="General">
                        <c:v>-34.184793939393941</c:v>
                      </c:pt>
                      <c:pt idx="60" formatCode="General">
                        <c:v>-34.33085454545455</c:v>
                      </c:pt>
                      <c:pt idx="61" formatCode="General">
                        <c:v>-34.479672727272728</c:v>
                      </c:pt>
                      <c:pt idx="62" formatCode="General">
                        <c:v>-34.628133333333331</c:v>
                      </c:pt>
                      <c:pt idx="63" formatCode="General">
                        <c:v>-34.774799999999999</c:v>
                      </c:pt>
                      <c:pt idx="64" formatCode="General">
                        <c:v>-34.918009077155823</c:v>
                      </c:pt>
                      <c:pt idx="65" formatCode="General">
                        <c:v>-35.059007564296522</c:v>
                      </c:pt>
                      <c:pt idx="66" formatCode="General">
                        <c:v>-35.200006051437214</c:v>
                      </c:pt>
                      <c:pt idx="67" formatCode="General">
                        <c:v>-35.341004538577913</c:v>
                      </c:pt>
                      <c:pt idx="68" formatCode="General">
                        <c:v>-35.482003025718605</c:v>
                      </c:pt>
                      <c:pt idx="69" formatCode="General">
                        <c:v>-35.623001512859304</c:v>
                      </c:pt>
                      <c:pt idx="70" formatCode="General">
                        <c:v>-35.763999999999996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-143.49206060606059</c:v>
                      </c:pt>
                      <c:pt idx="1">
                        <c:v>-138.9310909090909</c:v>
                      </c:pt>
                      <c:pt idx="2" formatCode="General">
                        <c:v>-134.51290909090909</c:v>
                      </c:pt>
                      <c:pt idx="3" formatCode="General">
                        <c:v>-130.23187878787877</c:v>
                      </c:pt>
                      <c:pt idx="4" formatCode="General">
                        <c:v>-125.95890909090909</c:v>
                      </c:pt>
                      <c:pt idx="5" formatCode="General">
                        <c:v>-121.19527272727272</c:v>
                      </c:pt>
                      <c:pt idx="6" formatCode="General">
                        <c:v>-116.98277108433736</c:v>
                      </c:pt>
                      <c:pt idx="7" formatCode="General">
                        <c:v>-113.50084337349398</c:v>
                      </c:pt>
                      <c:pt idx="8" formatCode="General">
                        <c:v>-110.11933333333334</c:v>
                      </c:pt>
                      <c:pt idx="9" formatCode="General">
                        <c:v>-106.78672727272728</c:v>
                      </c:pt>
                      <c:pt idx="10" formatCode="General">
                        <c:v>-103.59278787878789</c:v>
                      </c:pt>
                      <c:pt idx="11" formatCode="General">
                        <c:v>-100.63860816944025</c:v>
                      </c:pt>
                      <c:pt idx="12" formatCode="General">
                        <c:v>-97.954795763993957</c:v>
                      </c:pt>
                      <c:pt idx="13" formatCode="General">
                        <c:v>-95.270983358547653</c:v>
                      </c:pt>
                      <c:pt idx="14" formatCode="General">
                        <c:v>-92.587170953101364</c:v>
                      </c:pt>
                      <c:pt idx="15" formatCode="General">
                        <c:v>-89.90335854765506</c:v>
                      </c:pt>
                      <c:pt idx="16" formatCode="General">
                        <c:v>-87.21954614220877</c:v>
                      </c:pt>
                      <c:pt idx="17" formatCode="General">
                        <c:v>-84.535733736762467</c:v>
                      </c:pt>
                      <c:pt idx="18" formatCode="General">
                        <c:v>-82.314909090909083</c:v>
                      </c:pt>
                      <c:pt idx="19" formatCode="General">
                        <c:v>-80.208909090909088</c:v>
                      </c:pt>
                      <c:pt idx="20" formatCode="General">
                        <c:v>-78.251333333333335</c:v>
                      </c:pt>
                      <c:pt idx="21" formatCode="General">
                        <c:v>-76.354848484848489</c:v>
                      </c:pt>
                      <c:pt idx="22" formatCode="General">
                        <c:v>-74.506363636363631</c:v>
                      </c:pt>
                      <c:pt idx="23" formatCode="General">
                        <c:v>-72.788614457831329</c:v>
                      </c:pt>
                      <c:pt idx="24" formatCode="General">
                        <c:v>-71.108484848484849</c:v>
                      </c:pt>
                      <c:pt idx="25" formatCode="General">
                        <c:v>-69.50242424242424</c:v>
                      </c:pt>
                      <c:pt idx="26" formatCode="General">
                        <c:v>-67.976363636363644</c:v>
                      </c:pt>
                      <c:pt idx="27" formatCode="General">
                        <c:v>-66.503636363636375</c:v>
                      </c:pt>
                      <c:pt idx="28" formatCode="General">
                        <c:v>-65.157575757575756</c:v>
                      </c:pt>
                      <c:pt idx="29" formatCode="General">
                        <c:v>-63.856363636363632</c:v>
                      </c:pt>
                      <c:pt idx="30" formatCode="General">
                        <c:v>-62.644242424242421</c:v>
                      </c:pt>
                      <c:pt idx="31" formatCode="General">
                        <c:v>-61.562133131618758</c:v>
                      </c:pt>
                      <c:pt idx="32" formatCode="General">
                        <c:v>-60.55003025718608</c:v>
                      </c:pt>
                      <c:pt idx="33" formatCode="General">
                        <c:v>-59.537927382753402</c:v>
                      </c:pt>
                      <c:pt idx="34" formatCode="General">
                        <c:v>-58.525824508320724</c:v>
                      </c:pt>
                      <c:pt idx="35" formatCode="General">
                        <c:v>-57.513721633888053</c:v>
                      </c:pt>
                      <c:pt idx="36" formatCode="General">
                        <c:v>-56.501618759455376</c:v>
                      </c:pt>
                      <c:pt idx="37" formatCode="General">
                        <c:v>-55.49774583963692</c:v>
                      </c:pt>
                      <c:pt idx="38" formatCode="General">
                        <c:v>-54.691391830559759</c:v>
                      </c:pt>
                      <c:pt idx="39" formatCode="General">
                        <c:v>-53.885037821482605</c:v>
                      </c:pt>
                      <c:pt idx="40" formatCode="General">
                        <c:v>-53.078683812405451</c:v>
                      </c:pt>
                      <c:pt idx="41" formatCode="General">
                        <c:v>-52.272329803328297</c:v>
                      </c:pt>
                      <c:pt idx="42" formatCode="General">
                        <c:v>-51.465975794251143</c:v>
                      </c:pt>
                      <c:pt idx="43" formatCode="General">
                        <c:v>-50.659621785173982</c:v>
                      </c:pt>
                      <c:pt idx="44" formatCode="General">
                        <c:v>-49.940438729198192</c:v>
                      </c:pt>
                      <c:pt idx="45" formatCode="General">
                        <c:v>-49.336807866868384</c:v>
                      </c:pt>
                      <c:pt idx="46" formatCode="General">
                        <c:v>-48.733177004538582</c:v>
                      </c:pt>
                      <c:pt idx="47" formatCode="General">
                        <c:v>-48.129546142208774</c:v>
                      </c:pt>
                      <c:pt idx="48" formatCode="General">
                        <c:v>-47.525915279878973</c:v>
                      </c:pt>
                      <c:pt idx="49" formatCode="General">
                        <c:v>-46.922284417549164</c:v>
                      </c:pt>
                      <c:pt idx="50" formatCode="General">
                        <c:v>-46.318653555219363</c:v>
                      </c:pt>
                      <c:pt idx="51" formatCode="General">
                        <c:v>-46.0000303030303</c:v>
                      </c:pt>
                      <c:pt idx="52" formatCode="General">
                        <c:v>-45.743969696969693</c:v>
                      </c:pt>
                      <c:pt idx="53" formatCode="General">
                        <c:v>-45.487909090909092</c:v>
                      </c:pt>
                      <c:pt idx="54" formatCode="General">
                        <c:v>-45.231848484848484</c:v>
                      </c:pt>
                      <c:pt idx="55" formatCode="General">
                        <c:v>-44.975787878787877</c:v>
                      </c:pt>
                      <c:pt idx="56" formatCode="General">
                        <c:v>-44.719727272727269</c:v>
                      </c:pt>
                      <c:pt idx="57" formatCode="General">
                        <c:v>-44.517879518072284</c:v>
                      </c:pt>
                      <c:pt idx="58" formatCode="General">
                        <c:v>-44.508240963855421</c:v>
                      </c:pt>
                      <c:pt idx="59" formatCode="General">
                        <c:v>-44.531830303030304</c:v>
                      </c:pt>
                      <c:pt idx="60" formatCode="General">
                        <c:v>-44.581527272727271</c:v>
                      </c:pt>
                      <c:pt idx="61" formatCode="General">
                        <c:v>-44.676448484848486</c:v>
                      </c:pt>
                      <c:pt idx="62" formatCode="General">
                        <c:v>-44.783090909090909</c:v>
                      </c:pt>
                      <c:pt idx="63" formatCode="General">
                        <c:v>-44.910363636363634</c:v>
                      </c:pt>
                      <c:pt idx="64" formatCode="General">
                        <c:v>-45.051730711043874</c:v>
                      </c:pt>
                      <c:pt idx="65" formatCode="General">
                        <c:v>-45.202108925869894</c:v>
                      </c:pt>
                      <c:pt idx="66" formatCode="General">
                        <c:v>-45.352487140695914</c:v>
                      </c:pt>
                      <c:pt idx="67" formatCode="General">
                        <c:v>-45.502865355521941</c:v>
                      </c:pt>
                      <c:pt idx="68" formatCode="General">
                        <c:v>-45.653243570347961</c:v>
                      </c:pt>
                      <c:pt idx="69" formatCode="General">
                        <c:v>-45.803621785173981</c:v>
                      </c:pt>
                      <c:pt idx="70" formatCode="General">
                        <c:v>-45.954000000000001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-18.888727272727273</c:v>
                      </c:pt>
                      <c:pt idx="1">
                        <c:v>-18.91151515151515</c:v>
                      </c:pt>
                      <c:pt idx="2" formatCode="General">
                        <c:v>-18.941818181818181</c:v>
                      </c:pt>
                      <c:pt idx="3" formatCode="General">
                        <c:v>-18.976545454545455</c:v>
                      </c:pt>
                      <c:pt idx="4" formatCode="General">
                        <c:v>-19.008545454545455</c:v>
                      </c:pt>
                      <c:pt idx="5" formatCode="General">
                        <c:v>-18.990363636363636</c:v>
                      </c:pt>
                      <c:pt idx="6" formatCode="General">
                        <c:v>-18.995542168674699</c:v>
                      </c:pt>
                      <c:pt idx="7" formatCode="General">
                        <c:v>-19.031686746987951</c:v>
                      </c:pt>
                      <c:pt idx="8" formatCode="General">
                        <c:v>-19.063333333333333</c:v>
                      </c:pt>
                      <c:pt idx="9" formatCode="General">
                        <c:v>-19.093636363636364</c:v>
                      </c:pt>
                      <c:pt idx="10" formatCode="General">
                        <c:v>-19.123939393939395</c:v>
                      </c:pt>
                      <c:pt idx="11" formatCode="General">
                        <c:v>-19.142844175491678</c:v>
                      </c:pt>
                      <c:pt idx="12" formatCode="General">
                        <c:v>-19.148895612708017</c:v>
                      </c:pt>
                      <c:pt idx="13" formatCode="General">
                        <c:v>-19.154947049924356</c:v>
                      </c:pt>
                      <c:pt idx="14" formatCode="General">
                        <c:v>-19.160998487140695</c:v>
                      </c:pt>
                      <c:pt idx="15" formatCode="General">
                        <c:v>-19.167049924357034</c:v>
                      </c:pt>
                      <c:pt idx="16" formatCode="General">
                        <c:v>-19.173101361573373</c:v>
                      </c:pt>
                      <c:pt idx="17" formatCode="General">
                        <c:v>-19.179152798789712</c:v>
                      </c:pt>
                      <c:pt idx="18" formatCode="General">
                        <c:v>-19.153939393939392</c:v>
                      </c:pt>
                      <c:pt idx="19" formatCode="General">
                        <c:v>-19.123636363636361</c:v>
                      </c:pt>
                      <c:pt idx="20" formatCode="General">
                        <c:v>-19.09333333333333</c:v>
                      </c:pt>
                      <c:pt idx="21" formatCode="General">
                        <c:v>-19.06642424242424</c:v>
                      </c:pt>
                      <c:pt idx="22" formatCode="General">
                        <c:v>-19.042181818181817</c:v>
                      </c:pt>
                      <c:pt idx="23" formatCode="General">
                        <c:v>-19.034518072289156</c:v>
                      </c:pt>
                      <c:pt idx="24" formatCode="General">
                        <c:v>-19.031515151515151</c:v>
                      </c:pt>
                      <c:pt idx="25" formatCode="General">
                        <c:v>-19.037575757575759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-19.07151515151515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-60.236787878787872</c:v>
                      </c:pt>
                      <c:pt idx="1">
                        <c:v>-58.907818181818179</c:v>
                      </c:pt>
                      <c:pt idx="2" formatCode="General">
                        <c:v>-57.744181818181815</c:v>
                      </c:pt>
                      <c:pt idx="3" formatCode="General">
                        <c:v>-56.770787878787878</c:v>
                      </c:pt>
                      <c:pt idx="4" formatCode="General">
                        <c:v>-55.919636363636364</c:v>
                      </c:pt>
                      <c:pt idx="5" formatCode="General">
                        <c:v>-55.665090909090907</c:v>
                      </c:pt>
                      <c:pt idx="6" formatCode="General">
                        <c:v>-55.214337349397596</c:v>
                      </c:pt>
                      <c:pt idx="7" formatCode="General">
                        <c:v>-54.503493975903616</c:v>
                      </c:pt>
                      <c:pt idx="8" formatCode="General">
                        <c:v>-53.92</c:v>
                      </c:pt>
                      <c:pt idx="9" formatCode="General">
                        <c:v>-53.390327272727269</c:v>
                      </c:pt>
                      <c:pt idx="10" formatCode="General">
                        <c:v>-52.976387878787875</c:v>
                      </c:pt>
                      <c:pt idx="11" formatCode="General">
                        <c:v>-52.647143721633888</c:v>
                      </c:pt>
                      <c:pt idx="12" formatCode="General">
                        <c:v>-52.413406959152795</c:v>
                      </c:pt>
                      <c:pt idx="13" formatCode="General">
                        <c:v>-52.179670196671708</c:v>
                      </c:pt>
                      <c:pt idx="14" formatCode="General">
                        <c:v>-51.945933434190614</c:v>
                      </c:pt>
                      <c:pt idx="15" formatCode="General">
                        <c:v>-51.712196671709528</c:v>
                      </c:pt>
                      <c:pt idx="16" formatCode="General">
                        <c:v>-51.478459909228441</c:v>
                      </c:pt>
                      <c:pt idx="17" formatCode="General">
                        <c:v>-51.244723146747347</c:v>
                      </c:pt>
                      <c:pt idx="18" formatCode="General">
                        <c:v>-51.166654545454541</c:v>
                      </c:pt>
                      <c:pt idx="19" formatCode="General">
                        <c:v>-51.135054545454544</c:v>
                      </c:pt>
                      <c:pt idx="20" formatCode="General">
                        <c:v>-51.182933333333331</c:v>
                      </c:pt>
                      <c:pt idx="21" formatCode="General">
                        <c:v>-51.28070303030303</c:v>
                      </c:pt>
                      <c:pt idx="22" formatCode="General">
                        <c:v>-51.417672727272731</c:v>
                      </c:pt>
                      <c:pt idx="23" formatCode="General">
                        <c:v>-51.628993975903619</c:v>
                      </c:pt>
                      <c:pt idx="24" formatCode="General">
                        <c:v>-51.862848484848492</c:v>
                      </c:pt>
                      <c:pt idx="25" formatCode="General">
                        <c:v>-52.142242424242433</c:v>
                      </c:pt>
                      <c:pt idx="26" formatCode="General">
                        <c:v>-52.432545454545455</c:v>
                      </c:pt>
                      <c:pt idx="27" formatCode="General">
                        <c:v>-52.730121212121212</c:v>
                      </c:pt>
                      <c:pt idx="28" formatCode="General">
                        <c:v>-53.034606060606059</c:v>
                      </c:pt>
                      <c:pt idx="29" formatCode="General">
                        <c:v>-53.343454545454541</c:v>
                      </c:pt>
                      <c:pt idx="30" formatCode="General">
                        <c:v>-53.661636363636369</c:v>
                      </c:pt>
                      <c:pt idx="31" formatCode="General">
                        <c:v>-53.972818456883516</c:v>
                      </c:pt>
                      <c:pt idx="32" formatCode="General">
                        <c:v>-54.280231467473527</c:v>
                      </c:pt>
                      <c:pt idx="33" formatCode="General">
                        <c:v>-54.587644478063538</c:v>
                      </c:pt>
                      <c:pt idx="34" formatCode="General">
                        <c:v>-54.895057488653556</c:v>
                      </c:pt>
                      <c:pt idx="35" formatCode="General">
                        <c:v>-55.202470499243567</c:v>
                      </c:pt>
                      <c:pt idx="36" formatCode="General">
                        <c:v>-55.509883509833585</c:v>
                      </c:pt>
                      <c:pt idx="37" formatCode="General">
                        <c:v>-55.816757942511344</c:v>
                      </c:pt>
                      <c:pt idx="38" formatCode="General">
                        <c:v>-56.110706505295006</c:v>
                      </c:pt>
                      <c:pt idx="39" formatCode="General">
                        <c:v>-56.404655068078668</c:v>
                      </c:pt>
                      <c:pt idx="40" formatCode="General">
                        <c:v>-56.69860363086233</c:v>
                      </c:pt>
                      <c:pt idx="41" formatCode="General">
                        <c:v>-56.992552193645992</c:v>
                      </c:pt>
                      <c:pt idx="42" formatCode="General">
                        <c:v>-57.286500756429653</c:v>
                      </c:pt>
                      <c:pt idx="43" formatCode="General">
                        <c:v>-57.580449319213315</c:v>
                      </c:pt>
                      <c:pt idx="44" formatCode="General">
                        <c:v>-57.869193645990926</c:v>
                      </c:pt>
                      <c:pt idx="45" formatCode="General">
                        <c:v>-58.15103933434191</c:v>
                      </c:pt>
                      <c:pt idx="46" formatCode="General">
                        <c:v>-58.432885022692894</c:v>
                      </c:pt>
                      <c:pt idx="47" formatCode="General">
                        <c:v>-58.714730711043877</c:v>
                      </c:pt>
                      <c:pt idx="48" formatCode="General">
                        <c:v>-58.996576399394861</c:v>
                      </c:pt>
                      <c:pt idx="49" formatCode="General">
                        <c:v>-59.278422087745845</c:v>
                      </c:pt>
                      <c:pt idx="50" formatCode="General">
                        <c:v>-59.560267776096829</c:v>
                      </c:pt>
                      <c:pt idx="51" formatCode="General">
                        <c:v>-59.834139393939395</c:v>
                      </c:pt>
                      <c:pt idx="52" formatCode="General">
                        <c:v>-60.106260606060609</c:v>
                      </c:pt>
                      <c:pt idx="53" formatCode="General">
                        <c:v>-60.378381818181822</c:v>
                      </c:pt>
                      <c:pt idx="54" formatCode="General">
                        <c:v>-60.650503030303028</c:v>
                      </c:pt>
                      <c:pt idx="55" formatCode="General">
                        <c:v>-60.922624242424241</c:v>
                      </c:pt>
                      <c:pt idx="56" formatCode="General">
                        <c:v>-61.194745454545455</c:v>
                      </c:pt>
                      <c:pt idx="57" formatCode="General">
                        <c:v>-61.46743373493976</c:v>
                      </c:pt>
                      <c:pt idx="58" formatCode="General">
                        <c:v>-61.742132530120479</c:v>
                      </c:pt>
                      <c:pt idx="59" formatCode="General">
                        <c:v>-62.009278787878785</c:v>
                      </c:pt>
                      <c:pt idx="60" formatCode="General">
                        <c:v>-62.27049090909091</c:v>
                      </c:pt>
                      <c:pt idx="61" formatCode="General">
                        <c:v>-62.539975757575753</c:v>
                      </c:pt>
                      <c:pt idx="62" formatCode="General">
                        <c:v>-62.809648484848481</c:v>
                      </c:pt>
                      <c:pt idx="63" formatCode="General">
                        <c:v>-63.077527272727274</c:v>
                      </c:pt>
                      <c:pt idx="64" formatCode="General">
                        <c:v>-63.33999092284418</c:v>
                      </c:pt>
                      <c:pt idx="65" formatCode="General">
                        <c:v>-63.598992435703479</c:v>
                      </c:pt>
                      <c:pt idx="66" formatCode="General">
                        <c:v>-63.857993948562786</c:v>
                      </c:pt>
                      <c:pt idx="67" formatCode="General">
                        <c:v>-64.116995461422093</c:v>
                      </c:pt>
                      <c:pt idx="68" formatCode="General">
                        <c:v>-64.375996974281392</c:v>
                      </c:pt>
                      <c:pt idx="69" formatCode="General">
                        <c:v>-64.634998487140706</c:v>
                      </c:pt>
                      <c:pt idx="70" formatCode="General">
                        <c:v>-64.894000000000005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-38.512484848484846</c:v>
                      </c:pt>
                      <c:pt idx="1">
                        <c:v>-37.55684848484848</c:v>
                      </c:pt>
                      <c:pt idx="2" formatCode="General">
                        <c:v>-36.653818181818181</c:v>
                      </c:pt>
                      <c:pt idx="3" formatCode="General">
                        <c:v>-35.821575757575751</c:v>
                      </c:pt>
                      <c:pt idx="4" formatCode="General">
                        <c:v>-35.031515151515151</c:v>
                      </c:pt>
                      <c:pt idx="5" formatCode="General">
                        <c:v>-34.425454545454542</c:v>
                      </c:pt>
                      <c:pt idx="6" formatCode="General">
                        <c:v>-33.800240963855423</c:v>
                      </c:pt>
                      <c:pt idx="7" formatCode="General">
                        <c:v>-33.149638554216871</c:v>
                      </c:pt>
                      <c:pt idx="8" formatCode="General">
                        <c:v>-32.556666666666665</c:v>
                      </c:pt>
                      <c:pt idx="9" formatCode="General">
                        <c:v>-31.989418181818181</c:v>
                      </c:pt>
                      <c:pt idx="10" formatCode="General">
                        <c:v>-31.484569696969697</c:v>
                      </c:pt>
                      <c:pt idx="11" formatCode="General">
                        <c:v>-31.045993948562781</c:v>
                      </c:pt>
                      <c:pt idx="12" formatCode="General">
                        <c:v>-30.682151285930406</c:v>
                      </c:pt>
                      <c:pt idx="13" formatCode="General">
                        <c:v>-30.31830862329803</c:v>
                      </c:pt>
                      <c:pt idx="14" formatCode="General">
                        <c:v>-29.954465960665654</c:v>
                      </c:pt>
                      <c:pt idx="15" formatCode="General">
                        <c:v>-29.590623298033279</c:v>
                      </c:pt>
                      <c:pt idx="16" formatCode="General">
                        <c:v>-29.226780635400907</c:v>
                      </c:pt>
                      <c:pt idx="17" formatCode="General">
                        <c:v>-28.862937972768528</c:v>
                      </c:pt>
                      <c:pt idx="18" formatCode="General">
                        <c:v>-28.662412121212121</c:v>
                      </c:pt>
                      <c:pt idx="19" formatCode="General">
                        <c:v>-28.51087272727273</c:v>
                      </c:pt>
                      <c:pt idx="20" formatCode="General">
                        <c:v>-28.4436</c:v>
                      </c:pt>
                      <c:pt idx="21" formatCode="General">
                        <c:v>-28.426218181818179</c:v>
                      </c:pt>
                      <c:pt idx="22" formatCode="General">
                        <c:v>-28.448036363636362</c:v>
                      </c:pt>
                      <c:pt idx="23" formatCode="General">
                        <c:v>-28.533873493975904</c:v>
                      </c:pt>
                      <c:pt idx="24" formatCode="General">
                        <c:v>-28.638000000000002</c:v>
                      </c:pt>
                      <c:pt idx="25" formatCode="General">
                        <c:v>-28.778000000000002</c:v>
                      </c:pt>
                      <c:pt idx="26" formatCode="General">
                        <c:v>-28.928909090909091</c:v>
                      </c:pt>
                      <c:pt idx="27" formatCode="General">
                        <c:v>-29.087090909090907</c:v>
                      </c:pt>
                      <c:pt idx="28" formatCode="General">
                        <c:v>-29.252181818181818</c:v>
                      </c:pt>
                      <c:pt idx="29" formatCode="General">
                        <c:v>-29.419818181818179</c:v>
                      </c:pt>
                      <c:pt idx="30" formatCode="General">
                        <c:v>-29.592545454545455</c:v>
                      </c:pt>
                      <c:pt idx="31" formatCode="General">
                        <c:v>-29.761366111951592</c:v>
                      </c:pt>
                      <c:pt idx="32" formatCode="General">
                        <c:v>-29.928083207261729</c:v>
                      </c:pt>
                      <c:pt idx="33" formatCode="General">
                        <c:v>-30.094800302571862</c:v>
                      </c:pt>
                      <c:pt idx="34" formatCode="General">
                        <c:v>-30.261517397881999</c:v>
                      </c:pt>
                      <c:pt idx="35" formatCode="General">
                        <c:v>-30.428234493192136</c:v>
                      </c:pt>
                      <c:pt idx="36" formatCode="General">
                        <c:v>-30.594951588502273</c:v>
                      </c:pt>
                      <c:pt idx="37" formatCode="General">
                        <c:v>-30.761372163388806</c:v>
                      </c:pt>
                      <c:pt idx="38" formatCode="General">
                        <c:v>-30.920676248108929</c:v>
                      </c:pt>
                      <c:pt idx="39" formatCode="General">
                        <c:v>-31.079980332829049</c:v>
                      </c:pt>
                      <c:pt idx="40" formatCode="General">
                        <c:v>-31.239284417549168</c:v>
                      </c:pt>
                      <c:pt idx="41" formatCode="General">
                        <c:v>-31.398588502269288</c:v>
                      </c:pt>
                      <c:pt idx="42" formatCode="General">
                        <c:v>-31.557892586989411</c:v>
                      </c:pt>
                      <c:pt idx="43" formatCode="General">
                        <c:v>-31.71719667170953</c:v>
                      </c:pt>
                      <c:pt idx="44" formatCode="General">
                        <c:v>-31.87454916792738</c:v>
                      </c:pt>
                      <c:pt idx="45" formatCode="General">
                        <c:v>-32.029314674735247</c:v>
                      </c:pt>
                      <c:pt idx="46" formatCode="General">
                        <c:v>-32.184080181543116</c:v>
                      </c:pt>
                      <c:pt idx="47" formatCode="General">
                        <c:v>-32.338845688350986</c:v>
                      </c:pt>
                      <c:pt idx="48" formatCode="General">
                        <c:v>-32.493611195158856</c:v>
                      </c:pt>
                      <c:pt idx="49" formatCode="General">
                        <c:v>-32.648376701966718</c:v>
                      </c:pt>
                      <c:pt idx="50" formatCode="General">
                        <c:v>-32.803142208774588</c:v>
                      </c:pt>
                      <c:pt idx="51" formatCode="General">
                        <c:v>-32.957230303030308</c:v>
                      </c:pt>
                      <c:pt idx="52" formatCode="General">
                        <c:v>-33.111169696969704</c:v>
                      </c:pt>
                      <c:pt idx="53" formatCode="General">
                        <c:v>-33.265109090909093</c:v>
                      </c:pt>
                      <c:pt idx="54" formatCode="General">
                        <c:v>-33.419048484848489</c:v>
                      </c:pt>
                      <c:pt idx="55" formatCode="General">
                        <c:v>-33.572987878787885</c:v>
                      </c:pt>
                      <c:pt idx="56" formatCode="General">
                        <c:v>-33.726927272727274</c:v>
                      </c:pt>
                      <c:pt idx="57" formatCode="General">
                        <c:v>-33.880927710843373</c:v>
                      </c:pt>
                      <c:pt idx="58" formatCode="General">
                        <c:v>-34.035144578313258</c:v>
                      </c:pt>
                      <c:pt idx="59" formatCode="General">
                        <c:v>-34.184793939393941</c:v>
                      </c:pt>
                      <c:pt idx="60" formatCode="General">
                        <c:v>-34.33085454545455</c:v>
                      </c:pt>
                      <c:pt idx="61" formatCode="General">
                        <c:v>-34.479672727272728</c:v>
                      </c:pt>
                      <c:pt idx="62" formatCode="General">
                        <c:v>-34.628133333333331</c:v>
                      </c:pt>
                      <c:pt idx="63" formatCode="General">
                        <c:v>-34.774799999999999</c:v>
                      </c:pt>
                      <c:pt idx="64" formatCode="General">
                        <c:v>-34.918009077155823</c:v>
                      </c:pt>
                      <c:pt idx="65" formatCode="General">
                        <c:v>-35.059007564296522</c:v>
                      </c:pt>
                      <c:pt idx="66" formatCode="General">
                        <c:v>-35.200006051437214</c:v>
                      </c:pt>
                      <c:pt idx="67" formatCode="General">
                        <c:v>-35.341004538577913</c:v>
                      </c:pt>
                      <c:pt idx="68" formatCode="General">
                        <c:v>-35.482003025718605</c:v>
                      </c:pt>
                      <c:pt idx="69" formatCode="General">
                        <c:v>-35.623001512859304</c:v>
                      </c:pt>
                      <c:pt idx="70" formatCode="General">
                        <c:v>-35.763999999999996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-186.94066666666666</c:v>
                      </c:pt>
                      <c:pt idx="1">
                        <c:v>-181.6330303030303</c:v>
                      </c:pt>
                      <c:pt idx="2" formatCode="General">
                        <c:v>-176.69363636363636</c:v>
                      </c:pt>
                      <c:pt idx="3" formatCode="General">
                        <c:v>-172.13030303030303</c:v>
                      </c:pt>
                      <c:pt idx="4" formatCode="General">
                        <c:v>-167.7351515151515</c:v>
                      </c:pt>
                      <c:pt idx="5" formatCode="General">
                        <c:v>-163.67454545454547</c:v>
                      </c:pt>
                      <c:pt idx="6" formatCode="General">
                        <c:v>-159.8109638554217</c:v>
                      </c:pt>
                      <c:pt idx="7" formatCode="General">
                        <c:v>-156.20855421686747</c:v>
                      </c:pt>
                      <c:pt idx="8" formatCode="General">
                        <c:v>-152.846</c:v>
                      </c:pt>
                      <c:pt idx="9" formatCode="General">
                        <c:v>-149.58854545454545</c:v>
                      </c:pt>
                      <c:pt idx="10" formatCode="General">
                        <c:v>-146.57642424242425</c:v>
                      </c:pt>
                      <c:pt idx="11" formatCode="General">
                        <c:v>-143.84090771558246</c:v>
                      </c:pt>
                      <c:pt idx="12" formatCode="General">
                        <c:v>-141.41730711043874</c:v>
                      </c:pt>
                      <c:pt idx="13" formatCode="General">
                        <c:v>-138.99370650529502</c:v>
                      </c:pt>
                      <c:pt idx="14" formatCode="General">
                        <c:v>-136.57010590015128</c:v>
                      </c:pt>
                      <c:pt idx="15" formatCode="General">
                        <c:v>-134.14650529500756</c:v>
                      </c:pt>
                      <c:pt idx="16" formatCode="General">
                        <c:v>-131.72290468986381</c:v>
                      </c:pt>
                      <c:pt idx="17" formatCode="General">
                        <c:v>-129.29930408472009</c:v>
                      </c:pt>
                      <c:pt idx="18" formatCode="General">
                        <c:v>-127.32339393939394</c:v>
                      </c:pt>
                      <c:pt idx="19" formatCode="General">
                        <c:v>-125.45727272727274</c:v>
                      </c:pt>
                      <c:pt idx="20" formatCode="General">
                        <c:v>-123.73</c:v>
                      </c:pt>
                      <c:pt idx="21" formatCode="General">
                        <c:v>-122.06381818181818</c:v>
                      </c:pt>
                      <c:pt idx="22" formatCode="General">
                        <c:v>-120.44563636363635</c:v>
                      </c:pt>
                      <c:pt idx="23" formatCode="General">
                        <c:v>-118.97885542168675</c:v>
                      </c:pt>
                      <c:pt idx="24" formatCode="General">
                        <c:v>-117.55818181818184</c:v>
                      </c:pt>
                      <c:pt idx="25" formatCode="General">
                        <c:v>-116.23090909090909</c:v>
                      </c:pt>
                      <c:pt idx="26" formatCode="General">
                        <c:v>-114.98363636363636</c:v>
                      </c:pt>
                      <c:pt idx="27" formatCode="General">
                        <c:v>-113.78969696969696</c:v>
                      </c:pt>
                      <c:pt idx="28" formatCode="General">
                        <c:v>-112.72242424242424</c:v>
                      </c:pt>
                      <c:pt idx="29" formatCode="General">
                        <c:v>-111.70363636363636</c:v>
                      </c:pt>
                      <c:pt idx="30" formatCode="General">
                        <c:v>-110.78242424242426</c:v>
                      </c:pt>
                      <c:pt idx="31" formatCode="General">
                        <c:v>-109.98503782148261</c:v>
                      </c:pt>
                      <c:pt idx="32" formatCode="General">
                        <c:v>-109.25432677760969</c:v>
                      </c:pt>
                      <c:pt idx="33" formatCode="General">
                        <c:v>-108.52361573373678</c:v>
                      </c:pt>
                      <c:pt idx="34" formatCode="General">
                        <c:v>-107.79290468986385</c:v>
                      </c:pt>
                      <c:pt idx="35" formatCode="General">
                        <c:v>-107.06219364599093</c:v>
                      </c:pt>
                      <c:pt idx="36" formatCode="General">
                        <c:v>-106.33148260211802</c:v>
                      </c:pt>
                      <c:pt idx="37" formatCode="General">
                        <c:v>-105.60851739788201</c:v>
                      </c:pt>
                      <c:pt idx="38" formatCode="General">
                        <c:v>-105.07145234493193</c:v>
                      </c:pt>
                      <c:pt idx="39" formatCode="General">
                        <c:v>-104.53438729198186</c:v>
                      </c:pt>
                      <c:pt idx="40" formatCode="General">
                        <c:v>-103.99732223903179</c:v>
                      </c:pt>
                      <c:pt idx="41" formatCode="General">
                        <c:v>-103.46025718608171</c:v>
                      </c:pt>
                      <c:pt idx="42" formatCode="General">
                        <c:v>-102.92319213313164</c:v>
                      </c:pt>
                      <c:pt idx="43" formatCode="General">
                        <c:v>-102.38612708018155</c:v>
                      </c:pt>
                      <c:pt idx="44" formatCode="General">
                        <c:v>-101.92972768532528</c:v>
                      </c:pt>
                      <c:pt idx="45" formatCode="General">
                        <c:v>-101.58025718608171</c:v>
                      </c:pt>
                      <c:pt idx="46" formatCode="General">
                        <c:v>-101.23078668683813</c:v>
                      </c:pt>
                      <c:pt idx="47" formatCode="General">
                        <c:v>-100.88131618759456</c:v>
                      </c:pt>
                      <c:pt idx="48" formatCode="General">
                        <c:v>-100.531845688351</c:v>
                      </c:pt>
                      <c:pt idx="49" formatCode="General">
                        <c:v>-100.18237518910742</c:v>
                      </c:pt>
                      <c:pt idx="50" formatCode="General">
                        <c:v>-99.832904689863852</c:v>
                      </c:pt>
                      <c:pt idx="51" formatCode="General">
                        <c:v>-99.75384848484849</c:v>
                      </c:pt>
                      <c:pt idx="52" formatCode="General">
                        <c:v>-99.734151515151524</c:v>
                      </c:pt>
                      <c:pt idx="53" formatCode="General">
                        <c:v>-99.714454545454544</c:v>
                      </c:pt>
                      <c:pt idx="54" formatCode="General">
                        <c:v>-99.694757575757578</c:v>
                      </c:pt>
                      <c:pt idx="55" formatCode="General">
                        <c:v>-99.675060606060597</c:v>
                      </c:pt>
                      <c:pt idx="56" formatCode="General">
                        <c:v>-99.655363636363631</c:v>
                      </c:pt>
                      <c:pt idx="57" formatCode="General">
                        <c:v>-99.690891566265051</c:v>
                      </c:pt>
                      <c:pt idx="58" formatCode="General">
                        <c:v>-99.922216867469871</c:v>
                      </c:pt>
                      <c:pt idx="59" formatCode="General">
                        <c:v>-100.1808</c:v>
                      </c:pt>
                      <c:pt idx="60" formatCode="General">
                        <c:v>-100.46079999999999</c:v>
                      </c:pt>
                      <c:pt idx="61" formatCode="General">
                        <c:v>-100.79705454545453</c:v>
                      </c:pt>
                      <c:pt idx="62" formatCode="General">
                        <c:v>-101.1461212121212</c:v>
                      </c:pt>
                      <c:pt idx="63" formatCode="General">
                        <c:v>-101.51581818181819</c:v>
                      </c:pt>
                      <c:pt idx="64" formatCode="General">
                        <c:v>-101.89569440242059</c:v>
                      </c:pt>
                      <c:pt idx="65" formatCode="General">
                        <c:v>-102.28207866868382</c:v>
                      </c:pt>
                      <c:pt idx="66" formatCode="General">
                        <c:v>-102.66846293494706</c:v>
                      </c:pt>
                      <c:pt idx="67" formatCode="General">
                        <c:v>-103.05484720121029</c:v>
                      </c:pt>
                      <c:pt idx="68" formatCode="General">
                        <c:v>-103.44123146747353</c:v>
                      </c:pt>
                      <c:pt idx="69" formatCode="General">
                        <c:v>-103.82761573373676</c:v>
                      </c:pt>
                      <c:pt idx="70" formatCode="General">
                        <c:v>-104.214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-143.49206060606059</c:v>
                      </c:pt>
                      <c:pt idx="1">
                        <c:v>-138.9310909090909</c:v>
                      </c:pt>
                      <c:pt idx="2" formatCode="General">
                        <c:v>-134.51290909090909</c:v>
                      </c:pt>
                      <c:pt idx="3" formatCode="General">
                        <c:v>-130.23187878787877</c:v>
                      </c:pt>
                      <c:pt idx="4" formatCode="General">
                        <c:v>-125.95890909090909</c:v>
                      </c:pt>
                      <c:pt idx="5" formatCode="General">
                        <c:v>-121.19527272727272</c:v>
                      </c:pt>
                      <c:pt idx="6" formatCode="General">
                        <c:v>-116.98277108433736</c:v>
                      </c:pt>
                      <c:pt idx="7" formatCode="General">
                        <c:v>-113.50084337349398</c:v>
                      </c:pt>
                      <c:pt idx="8" formatCode="General">
                        <c:v>-110.11933333333334</c:v>
                      </c:pt>
                      <c:pt idx="9" formatCode="General">
                        <c:v>-106.78672727272728</c:v>
                      </c:pt>
                      <c:pt idx="10" formatCode="General">
                        <c:v>-103.59278787878789</c:v>
                      </c:pt>
                      <c:pt idx="11" formatCode="General">
                        <c:v>-100.63860816944025</c:v>
                      </c:pt>
                      <c:pt idx="12" formatCode="General">
                        <c:v>-97.954795763993957</c:v>
                      </c:pt>
                      <c:pt idx="13" formatCode="General">
                        <c:v>-95.270983358547653</c:v>
                      </c:pt>
                      <c:pt idx="14" formatCode="General">
                        <c:v>-92.587170953101364</c:v>
                      </c:pt>
                      <c:pt idx="15" formatCode="General">
                        <c:v>-89.90335854765506</c:v>
                      </c:pt>
                      <c:pt idx="16" formatCode="General">
                        <c:v>-87.21954614220877</c:v>
                      </c:pt>
                      <c:pt idx="17" formatCode="General">
                        <c:v>-84.535733736762467</c:v>
                      </c:pt>
                      <c:pt idx="18" formatCode="General">
                        <c:v>-82.314909090909083</c:v>
                      </c:pt>
                      <c:pt idx="19" formatCode="General">
                        <c:v>-80.208909090909088</c:v>
                      </c:pt>
                      <c:pt idx="20" formatCode="General">
                        <c:v>-78.251333333333335</c:v>
                      </c:pt>
                      <c:pt idx="21" formatCode="General">
                        <c:v>-76.354848484848489</c:v>
                      </c:pt>
                      <c:pt idx="22" formatCode="General">
                        <c:v>-74.506363636363631</c:v>
                      </c:pt>
                      <c:pt idx="23" formatCode="General">
                        <c:v>-72.788614457831329</c:v>
                      </c:pt>
                      <c:pt idx="24" formatCode="General">
                        <c:v>-71.108484848484849</c:v>
                      </c:pt>
                      <c:pt idx="25" formatCode="General">
                        <c:v>-69.50242424242424</c:v>
                      </c:pt>
                      <c:pt idx="26" formatCode="General">
                        <c:v>-67.976363636363644</c:v>
                      </c:pt>
                      <c:pt idx="27" formatCode="General">
                        <c:v>-66.503636363636375</c:v>
                      </c:pt>
                      <c:pt idx="28" formatCode="General">
                        <c:v>-65.157575757575756</c:v>
                      </c:pt>
                      <c:pt idx="29" formatCode="General">
                        <c:v>-63.856363636363632</c:v>
                      </c:pt>
                      <c:pt idx="30" formatCode="General">
                        <c:v>-62.644242424242421</c:v>
                      </c:pt>
                      <c:pt idx="31" formatCode="General">
                        <c:v>-61.562133131618758</c:v>
                      </c:pt>
                      <c:pt idx="32" formatCode="General">
                        <c:v>-60.55003025718608</c:v>
                      </c:pt>
                      <c:pt idx="33" formatCode="General">
                        <c:v>-59.537927382753402</c:v>
                      </c:pt>
                      <c:pt idx="34" formatCode="General">
                        <c:v>-58.525824508320724</c:v>
                      </c:pt>
                      <c:pt idx="35" formatCode="General">
                        <c:v>-57.513721633888053</c:v>
                      </c:pt>
                      <c:pt idx="36" formatCode="General">
                        <c:v>-56.501618759455376</c:v>
                      </c:pt>
                      <c:pt idx="37" formatCode="General">
                        <c:v>-55.49774583963692</c:v>
                      </c:pt>
                      <c:pt idx="38" formatCode="General">
                        <c:v>-54.691391830559759</c:v>
                      </c:pt>
                      <c:pt idx="39" formatCode="General">
                        <c:v>-53.885037821482605</c:v>
                      </c:pt>
                      <c:pt idx="40" formatCode="General">
                        <c:v>-53.078683812405451</c:v>
                      </c:pt>
                      <c:pt idx="41" formatCode="General">
                        <c:v>-52.272329803328297</c:v>
                      </c:pt>
                      <c:pt idx="42" formatCode="General">
                        <c:v>-51.465975794251143</c:v>
                      </c:pt>
                      <c:pt idx="43" formatCode="General">
                        <c:v>-50.659621785173982</c:v>
                      </c:pt>
                      <c:pt idx="44" formatCode="General">
                        <c:v>-49.940438729198192</c:v>
                      </c:pt>
                      <c:pt idx="45" formatCode="General">
                        <c:v>-49.336807866868384</c:v>
                      </c:pt>
                      <c:pt idx="46" formatCode="General">
                        <c:v>-48.733177004538582</c:v>
                      </c:pt>
                      <c:pt idx="47" formatCode="General">
                        <c:v>-48.129546142208774</c:v>
                      </c:pt>
                      <c:pt idx="48" formatCode="General">
                        <c:v>-47.525915279878973</c:v>
                      </c:pt>
                      <c:pt idx="49" formatCode="General">
                        <c:v>-46.922284417549164</c:v>
                      </c:pt>
                      <c:pt idx="50" formatCode="General">
                        <c:v>-46.318653555219363</c:v>
                      </c:pt>
                      <c:pt idx="51" formatCode="General">
                        <c:v>-46.0000303030303</c:v>
                      </c:pt>
                      <c:pt idx="52" formatCode="General">
                        <c:v>-45.743969696969693</c:v>
                      </c:pt>
                      <c:pt idx="53" formatCode="General">
                        <c:v>-45.487909090909092</c:v>
                      </c:pt>
                      <c:pt idx="54" formatCode="General">
                        <c:v>-45.231848484848484</c:v>
                      </c:pt>
                      <c:pt idx="55" formatCode="General">
                        <c:v>-44.975787878787877</c:v>
                      </c:pt>
                      <c:pt idx="56" formatCode="General">
                        <c:v>-44.719727272727269</c:v>
                      </c:pt>
                      <c:pt idx="57" formatCode="General">
                        <c:v>-44.517879518072284</c:v>
                      </c:pt>
                      <c:pt idx="58" formatCode="General">
                        <c:v>-44.508240963855421</c:v>
                      </c:pt>
                      <c:pt idx="59" formatCode="General">
                        <c:v>-44.531830303030304</c:v>
                      </c:pt>
                      <c:pt idx="60" formatCode="General">
                        <c:v>-44.581527272727271</c:v>
                      </c:pt>
                      <c:pt idx="61" formatCode="General">
                        <c:v>-44.676448484848486</c:v>
                      </c:pt>
                      <c:pt idx="62" formatCode="General">
                        <c:v>-44.783090909090909</c:v>
                      </c:pt>
                      <c:pt idx="63" formatCode="General">
                        <c:v>-44.910363636363634</c:v>
                      </c:pt>
                      <c:pt idx="64" formatCode="General">
                        <c:v>-45.051730711043874</c:v>
                      </c:pt>
                      <c:pt idx="65" formatCode="General">
                        <c:v>-45.202108925869894</c:v>
                      </c:pt>
                      <c:pt idx="66" formatCode="General">
                        <c:v>-45.352487140695914</c:v>
                      </c:pt>
                      <c:pt idx="67" formatCode="General">
                        <c:v>-45.502865355521941</c:v>
                      </c:pt>
                      <c:pt idx="68" formatCode="General">
                        <c:v>-45.653243570347961</c:v>
                      </c:pt>
                      <c:pt idx="69" formatCode="General">
                        <c:v>-45.803621785173981</c:v>
                      </c:pt>
                      <c:pt idx="70" formatCode="General">
                        <c:v>-45.954000000000001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-18.888727272727273</c:v>
                      </c:pt>
                      <c:pt idx="1">
                        <c:v>-18.91151515151515</c:v>
                      </c:pt>
                      <c:pt idx="2" formatCode="General">
                        <c:v>-18.941818181818181</c:v>
                      </c:pt>
                      <c:pt idx="3" formatCode="General">
                        <c:v>-18.976545454545455</c:v>
                      </c:pt>
                      <c:pt idx="4" formatCode="General">
                        <c:v>-19.008545454545455</c:v>
                      </c:pt>
                      <c:pt idx="5" formatCode="General">
                        <c:v>-18.990363636363636</c:v>
                      </c:pt>
                      <c:pt idx="6" formatCode="General">
                        <c:v>-18.995542168674699</c:v>
                      </c:pt>
                      <c:pt idx="7" formatCode="General">
                        <c:v>-19.031686746987951</c:v>
                      </c:pt>
                      <c:pt idx="8" formatCode="General">
                        <c:v>-19.063333333333333</c:v>
                      </c:pt>
                      <c:pt idx="9" formatCode="General">
                        <c:v>-19.093636363636364</c:v>
                      </c:pt>
                      <c:pt idx="10" formatCode="General">
                        <c:v>-19.123939393939395</c:v>
                      </c:pt>
                      <c:pt idx="11" formatCode="General">
                        <c:v>-19.142844175491678</c:v>
                      </c:pt>
                      <c:pt idx="12" formatCode="General">
                        <c:v>-19.148895612708017</c:v>
                      </c:pt>
                      <c:pt idx="13" formatCode="General">
                        <c:v>-19.154947049924356</c:v>
                      </c:pt>
                      <c:pt idx="14" formatCode="General">
                        <c:v>-19.160998487140695</c:v>
                      </c:pt>
                      <c:pt idx="15" formatCode="General">
                        <c:v>-19.167049924357034</c:v>
                      </c:pt>
                      <c:pt idx="16" formatCode="General">
                        <c:v>-19.173101361573373</c:v>
                      </c:pt>
                      <c:pt idx="17" formatCode="General">
                        <c:v>-19.179152798789712</c:v>
                      </c:pt>
                      <c:pt idx="18" formatCode="General">
                        <c:v>-19.153939393939392</c:v>
                      </c:pt>
                      <c:pt idx="19" formatCode="General">
                        <c:v>-19.123636363636361</c:v>
                      </c:pt>
                      <c:pt idx="20" formatCode="General">
                        <c:v>-19.09333333333333</c:v>
                      </c:pt>
                      <c:pt idx="21" formatCode="General">
                        <c:v>-19.06642424242424</c:v>
                      </c:pt>
                      <c:pt idx="22" formatCode="General">
                        <c:v>-19.042181818181817</c:v>
                      </c:pt>
                      <c:pt idx="23" formatCode="General">
                        <c:v>-19.034518072289156</c:v>
                      </c:pt>
                      <c:pt idx="24" formatCode="General">
                        <c:v>-19.031515151515151</c:v>
                      </c:pt>
                      <c:pt idx="25" formatCode="General">
                        <c:v>-19.037575757575759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-19.07151515151515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6"/>
          <c:w val="0.79872285919300678"/>
          <c:h val="0.7934942073500815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-27.456127080181542</c:v>
                </c:pt>
                <c:pt idx="1">
                  <c:v>-26.763237518910742</c:v>
                </c:pt>
                <c:pt idx="2" formatCode="General">
                  <c:v>-26.070347957639939</c:v>
                </c:pt>
                <c:pt idx="3" formatCode="General">
                  <c:v>-25.377458396369136</c:v>
                </c:pt>
                <c:pt idx="4" formatCode="General">
                  <c:v>-24.703691376701965</c:v>
                </c:pt>
                <c:pt idx="5" formatCode="General">
                  <c:v>-24.249833585476548</c:v>
                </c:pt>
                <c:pt idx="6" formatCode="General">
                  <c:v>-23.795975794251135</c:v>
                </c:pt>
                <c:pt idx="7" formatCode="General">
                  <c:v>-23.342118003025718</c:v>
                </c:pt>
                <c:pt idx="8" formatCode="General">
                  <c:v>-22.888260211800301</c:v>
                </c:pt>
                <c:pt idx="9" formatCode="General">
                  <c:v>-22.434402420574884</c:v>
                </c:pt>
                <c:pt idx="10" formatCode="General">
                  <c:v>-21.98054462934947</c:v>
                </c:pt>
                <c:pt idx="11" formatCode="General">
                  <c:v>-21.591391830559758</c:v>
                </c:pt>
                <c:pt idx="12" formatCode="General">
                  <c:v>-21.275204236006051</c:v>
                </c:pt>
                <c:pt idx="13" formatCode="General">
                  <c:v>-20.959016641452344</c:v>
                </c:pt>
                <c:pt idx="14" formatCode="General">
                  <c:v>-20.642829046898637</c:v>
                </c:pt>
                <c:pt idx="15" formatCode="General">
                  <c:v>-20.32664145234493</c:v>
                </c:pt>
                <c:pt idx="16" formatCode="General">
                  <c:v>-20.010453857791223</c:v>
                </c:pt>
                <c:pt idx="17" formatCode="General">
                  <c:v>-19.694266263237516</c:v>
                </c:pt>
                <c:pt idx="18" formatCode="General">
                  <c:v>-19.452239031770045</c:v>
                </c:pt>
                <c:pt idx="19" formatCode="General">
                  <c:v>-19.222284417549165</c:v>
                </c:pt>
                <c:pt idx="20" formatCode="General">
                  <c:v>-18.992329803328289</c:v>
                </c:pt>
                <c:pt idx="21" formatCode="General">
                  <c:v>-18.762375189107413</c:v>
                </c:pt>
                <c:pt idx="22" formatCode="General">
                  <c:v>-18.532420574886533</c:v>
                </c:pt>
                <c:pt idx="23" formatCode="General">
                  <c:v>-18.302465960665657</c:v>
                </c:pt>
                <c:pt idx="24" formatCode="General">
                  <c:v>-18.083030303030302</c:v>
                </c:pt>
                <c:pt idx="25" formatCode="General">
                  <c:v>-17.895151515151515</c:v>
                </c:pt>
                <c:pt idx="26" formatCode="General">
                  <c:v>-17.710909090909091</c:v>
                </c:pt>
                <c:pt idx="27" formatCode="General">
                  <c:v>-17.529090909090908</c:v>
                </c:pt>
                <c:pt idx="28" formatCode="General">
                  <c:v>-17.358787878787879</c:v>
                </c:pt>
                <c:pt idx="29" formatCode="General">
                  <c:v>-17.190909090909088</c:v>
                </c:pt>
                <c:pt idx="30" formatCode="General">
                  <c:v>-17.027272727272727</c:v>
                </c:pt>
                <c:pt idx="31" formatCode="General">
                  <c:v>-16.879531013615733</c:v>
                </c:pt>
                <c:pt idx="32" formatCode="General">
                  <c:v>-16.740347957639941</c:v>
                </c:pt>
                <c:pt idx="33" formatCode="General">
                  <c:v>-16.601164901664145</c:v>
                </c:pt>
                <c:pt idx="34" formatCode="General">
                  <c:v>-16.461981845688349</c:v>
                </c:pt>
                <c:pt idx="35" formatCode="General">
                  <c:v>-16.322798789712557</c:v>
                </c:pt>
                <c:pt idx="36" formatCode="General">
                  <c:v>-16.183615733736762</c:v>
                </c:pt>
                <c:pt idx="37" formatCode="General">
                  <c:v>-16.04552193645991</c:v>
                </c:pt>
                <c:pt idx="38" formatCode="General">
                  <c:v>-15.933570347957641</c:v>
                </c:pt>
                <c:pt idx="39" formatCode="General">
                  <c:v>-15.821618759455372</c:v>
                </c:pt>
                <c:pt idx="40" formatCode="General">
                  <c:v>-15.709667170953102</c:v>
                </c:pt>
                <c:pt idx="41" formatCode="General">
                  <c:v>-15.597715582450833</c:v>
                </c:pt>
                <c:pt idx="42" formatCode="General">
                  <c:v>-15.485763993948563</c:v>
                </c:pt>
                <c:pt idx="43" formatCode="General">
                  <c:v>-15.373812405446294</c:v>
                </c:pt>
                <c:pt idx="44" formatCode="General">
                  <c:v>-15.270968229954615</c:v>
                </c:pt>
                <c:pt idx="45" formatCode="General">
                  <c:v>-15.180196671709531</c:v>
                </c:pt>
                <c:pt idx="46" formatCode="General">
                  <c:v>-15.089425113464449</c:v>
                </c:pt>
                <c:pt idx="47" formatCode="General">
                  <c:v>-14.998653555219365</c:v>
                </c:pt>
                <c:pt idx="48" formatCode="General">
                  <c:v>-14.907881996974282</c:v>
                </c:pt>
                <c:pt idx="49" formatCode="General">
                  <c:v>-14.817110438729198</c:v>
                </c:pt>
                <c:pt idx="50" formatCode="General">
                  <c:v>-14.726338880484116</c:v>
                </c:pt>
                <c:pt idx="51" formatCode="General">
                  <c:v>-14.646636363636365</c:v>
                </c:pt>
                <c:pt idx="52" formatCode="General">
                  <c:v>-14.569363636363637</c:v>
                </c:pt>
                <c:pt idx="53" formatCode="General">
                  <c:v>-14.492090909090908</c:v>
                </c:pt>
                <c:pt idx="54" formatCode="General">
                  <c:v>-14.414818181818182</c:v>
                </c:pt>
                <c:pt idx="55" formatCode="General">
                  <c:v>-14.337545454545454</c:v>
                </c:pt>
                <c:pt idx="56" formatCode="General">
                  <c:v>-14.260272727272726</c:v>
                </c:pt>
                <c:pt idx="57" formatCode="General">
                  <c:v>-14.183358547655066</c:v>
                </c:pt>
                <c:pt idx="58" formatCode="General">
                  <c:v>-14.107715582450831</c:v>
                </c:pt>
                <c:pt idx="59" formatCode="General">
                  <c:v>-14.032072617246595</c:v>
                </c:pt>
                <c:pt idx="60" formatCode="General">
                  <c:v>-13.95642965204236</c:v>
                </c:pt>
                <c:pt idx="61" formatCode="General">
                  <c:v>-13.880786686838123</c:v>
                </c:pt>
                <c:pt idx="62" formatCode="General">
                  <c:v>-13.805143721633888</c:v>
                </c:pt>
                <c:pt idx="63" formatCode="General">
                  <c:v>-13.729500756429651</c:v>
                </c:pt>
                <c:pt idx="64" formatCode="General">
                  <c:v>-13.651939393939394</c:v>
                </c:pt>
                <c:pt idx="65" formatCode="General">
                  <c:v>-13.573151515151515</c:v>
                </c:pt>
                <c:pt idx="66" formatCode="General">
                  <c:v>-13.494819277108434</c:v>
                </c:pt>
                <c:pt idx="67" formatCode="General">
                  <c:v>-13.414545454545454</c:v>
                </c:pt>
                <c:pt idx="68" formatCode="General">
                  <c:v>-13.32969696969697</c:v>
                </c:pt>
                <c:pt idx="69" formatCode="General">
                  <c:v>-13.244848484848486</c:v>
                </c:pt>
                <c:pt idx="70" formatCode="General">
                  <c:v>-13.16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B30-4E9C-A50A-EFE1F64DE2B3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-17.086666666666666</c:v>
                </c:pt>
                <c:pt idx="1">
                  <c:v>-16.767151515151514</c:v>
                </c:pt>
                <c:pt idx="2" formatCode="General">
                  <c:v>-16.470181818181818</c:v>
                </c:pt>
                <c:pt idx="3" formatCode="General">
                  <c:v>-15.797151515151516</c:v>
                </c:pt>
                <c:pt idx="4" formatCode="General">
                  <c:v>-14.983575757575757</c:v>
                </c:pt>
                <c:pt idx="5" formatCode="General">
                  <c:v>-14.153272727272727</c:v>
                </c:pt>
                <c:pt idx="6" formatCode="General">
                  <c:v>-13.371746987951807</c:v>
                </c:pt>
                <c:pt idx="7" formatCode="General">
                  <c:v>-12.65487951807229</c:v>
                </c:pt>
                <c:pt idx="8" formatCode="General">
                  <c:v>-11.962666666666667</c:v>
                </c:pt>
                <c:pt idx="9" formatCode="General">
                  <c:v>-11.283636363636363</c:v>
                </c:pt>
                <c:pt idx="10" formatCode="General">
                  <c:v>-10.647272727272728</c:v>
                </c:pt>
                <c:pt idx="11" formatCode="General">
                  <c:v>-10.055517397881998</c:v>
                </c:pt>
                <c:pt idx="12" formatCode="General">
                  <c:v>-9.5140650529500768</c:v>
                </c:pt>
                <c:pt idx="13" formatCode="General">
                  <c:v>-8.9726127080181541</c:v>
                </c:pt>
                <c:pt idx="14" formatCode="General">
                  <c:v>-8.4311603630862333</c:v>
                </c:pt>
                <c:pt idx="15" formatCode="General">
                  <c:v>-7.8897080181543107</c:v>
                </c:pt>
                <c:pt idx="16" formatCode="General">
                  <c:v>-7.3482556732223898</c:v>
                </c:pt>
                <c:pt idx="17" formatCode="General">
                  <c:v>-6.8068033282904672</c:v>
                </c:pt>
                <c:pt idx="18" formatCode="General">
                  <c:v>-6.3322727272727262</c:v>
                </c:pt>
                <c:pt idx="19" formatCode="General">
                  <c:v>-5.8739818181818171</c:v>
                </c:pt>
                <c:pt idx="20" formatCode="General">
                  <c:v>-5.4357999999999995</c:v>
                </c:pt>
                <c:pt idx="21" formatCode="General">
                  <c:v>-5.0105151515151505</c:v>
                </c:pt>
                <c:pt idx="22" formatCode="General">
                  <c:v>-4.5953636363636354</c:v>
                </c:pt>
                <c:pt idx="23" formatCode="General">
                  <c:v>-4.337078313253012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-5.1173812405446295</c:v>
                </c:pt>
                <c:pt idx="65" formatCode="General">
                  <c:v>-5.1393177004538577</c:v>
                </c:pt>
                <c:pt idx="66" formatCode="General">
                  <c:v>-5.1612541603630859</c:v>
                </c:pt>
                <c:pt idx="67" formatCode="General">
                  <c:v>-5.1831906202723141</c:v>
                </c:pt>
                <c:pt idx="68" formatCode="General">
                  <c:v>-5.2051270801815432</c:v>
                </c:pt>
                <c:pt idx="69" formatCode="General">
                  <c:v>-5.2270635400907715</c:v>
                </c:pt>
                <c:pt idx="70" formatCode="General">
                  <c:v>-5.2489999999999997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-17.086666666666666</c:v>
                </c:pt>
                <c:pt idx="1">
                  <c:v>-16.767151515151514</c:v>
                </c:pt>
                <c:pt idx="2" formatCode="General">
                  <c:v>-16.470181818181818</c:v>
                </c:pt>
                <c:pt idx="3" formatCode="General">
                  <c:v>-15.797151515151516</c:v>
                </c:pt>
                <c:pt idx="4" formatCode="General">
                  <c:v>-14.983575757575757</c:v>
                </c:pt>
                <c:pt idx="5" formatCode="General">
                  <c:v>-14.153272727272727</c:v>
                </c:pt>
                <c:pt idx="6" formatCode="General">
                  <c:v>-13.371746987951807</c:v>
                </c:pt>
                <c:pt idx="7" formatCode="General">
                  <c:v>-12.65487951807229</c:v>
                </c:pt>
                <c:pt idx="8" formatCode="General">
                  <c:v>-11.962666666666667</c:v>
                </c:pt>
                <c:pt idx="9" formatCode="General">
                  <c:v>-11.283636363636363</c:v>
                </c:pt>
                <c:pt idx="10" formatCode="General">
                  <c:v>-10.647272727272728</c:v>
                </c:pt>
                <c:pt idx="11" formatCode="General">
                  <c:v>-10.055517397881998</c:v>
                </c:pt>
                <c:pt idx="12" formatCode="General">
                  <c:v>-9.5140650529500768</c:v>
                </c:pt>
                <c:pt idx="13" formatCode="General">
                  <c:v>-8.9726127080181541</c:v>
                </c:pt>
                <c:pt idx="14" formatCode="General">
                  <c:v>-8.4311603630862333</c:v>
                </c:pt>
                <c:pt idx="15" formatCode="General">
                  <c:v>-7.8897080181543107</c:v>
                </c:pt>
                <c:pt idx="16" formatCode="General">
                  <c:v>-7.3482556732223898</c:v>
                </c:pt>
                <c:pt idx="17" formatCode="General">
                  <c:v>-6.8068033282904672</c:v>
                </c:pt>
                <c:pt idx="18" formatCode="General">
                  <c:v>-6.3322727272727262</c:v>
                </c:pt>
                <c:pt idx="19" formatCode="General">
                  <c:v>-5.8739818181818171</c:v>
                </c:pt>
                <c:pt idx="20" formatCode="General">
                  <c:v>-5.4357999999999995</c:v>
                </c:pt>
                <c:pt idx="21" formatCode="General">
                  <c:v>-5.0105151515151505</c:v>
                </c:pt>
                <c:pt idx="22" formatCode="General">
                  <c:v>-4.5953636363636354</c:v>
                </c:pt>
                <c:pt idx="23" formatCode="General">
                  <c:v>-4.337078313253012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-5.1173812405446295</c:v>
                </c:pt>
                <c:pt idx="65" formatCode="General">
                  <c:v>-5.1393177004538577</c:v>
                </c:pt>
                <c:pt idx="66" formatCode="General">
                  <c:v>-5.1612541603630859</c:v>
                </c:pt>
                <c:pt idx="67" formatCode="General">
                  <c:v>-5.1831906202723141</c:v>
                </c:pt>
                <c:pt idx="68" formatCode="General">
                  <c:v>-5.2051270801815432</c:v>
                </c:pt>
                <c:pt idx="69" formatCode="General">
                  <c:v>-5.2270635400907715</c:v>
                </c:pt>
                <c:pt idx="70" formatCode="General">
                  <c:v>-5.2489999999999997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9-8B30-4E9C-A50A-EFE1F64DE2B3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-17.086666666666666</c:v>
                </c:pt>
                <c:pt idx="1">
                  <c:v>-16.767151515151514</c:v>
                </c:pt>
                <c:pt idx="2" formatCode="General">
                  <c:v>-16.470181818181818</c:v>
                </c:pt>
                <c:pt idx="3" formatCode="General">
                  <c:v>-15.797151515151516</c:v>
                </c:pt>
                <c:pt idx="4" formatCode="General">
                  <c:v>-14.983575757575757</c:v>
                </c:pt>
                <c:pt idx="5" formatCode="General">
                  <c:v>-14.153272727272727</c:v>
                </c:pt>
                <c:pt idx="6" formatCode="General">
                  <c:v>-13.371746987951807</c:v>
                </c:pt>
                <c:pt idx="7" formatCode="General">
                  <c:v>-12.65487951807229</c:v>
                </c:pt>
                <c:pt idx="8" formatCode="General">
                  <c:v>-11.962666666666667</c:v>
                </c:pt>
                <c:pt idx="9" formatCode="General">
                  <c:v>-11.283636363636363</c:v>
                </c:pt>
                <c:pt idx="10" formatCode="General">
                  <c:v>-10.647272727272728</c:v>
                </c:pt>
                <c:pt idx="11" formatCode="General">
                  <c:v>-10.055517397881998</c:v>
                </c:pt>
                <c:pt idx="12" formatCode="General">
                  <c:v>-9.5140650529500768</c:v>
                </c:pt>
                <c:pt idx="13" formatCode="General">
                  <c:v>-8.9726127080181541</c:v>
                </c:pt>
                <c:pt idx="14" formatCode="General">
                  <c:v>-8.4311603630862333</c:v>
                </c:pt>
                <c:pt idx="15" formatCode="General">
                  <c:v>-7.8897080181543107</c:v>
                </c:pt>
                <c:pt idx="16" formatCode="General">
                  <c:v>-7.3482556732223898</c:v>
                </c:pt>
                <c:pt idx="17" formatCode="General">
                  <c:v>-6.8068033282904672</c:v>
                </c:pt>
                <c:pt idx="18" formatCode="General">
                  <c:v>-6.3322727272727262</c:v>
                </c:pt>
                <c:pt idx="19" formatCode="General">
                  <c:v>-5.8739818181818171</c:v>
                </c:pt>
                <c:pt idx="20" formatCode="General">
                  <c:v>-5.4357999999999995</c:v>
                </c:pt>
                <c:pt idx="21" formatCode="General">
                  <c:v>-5.0105151515151505</c:v>
                </c:pt>
                <c:pt idx="22" formatCode="General">
                  <c:v>-4.5953636363636354</c:v>
                </c:pt>
                <c:pt idx="23" formatCode="General">
                  <c:v>-4.337078313253012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-5.1173812405446295</c:v>
                </c:pt>
                <c:pt idx="65" formatCode="General">
                  <c:v>-5.1393177004538577</c:v>
                </c:pt>
                <c:pt idx="66" formatCode="General">
                  <c:v>-5.1612541603630859</c:v>
                </c:pt>
                <c:pt idx="67" formatCode="General">
                  <c:v>-5.1831906202723141</c:v>
                </c:pt>
                <c:pt idx="68" formatCode="General">
                  <c:v>-5.2051270801815432</c:v>
                </c:pt>
                <c:pt idx="69" formatCode="General">
                  <c:v>-5.2270635400907715</c:v>
                </c:pt>
                <c:pt idx="70" formatCode="General">
                  <c:v>-5.2489999999999997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71"/>
          <c:order val="71"/>
          <c:tx>
            <c:strRef>
              <c:f>'Gibbs-EVAL'!$A$172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'Gibbs-EVAL'!$B$172:$BT$172</c:f>
              <c:numCache>
                <c:formatCode>0</c:formatCode>
                <c:ptCount val="71"/>
                <c:pt idx="0">
                  <c:v>-16.788181818181819</c:v>
                </c:pt>
                <c:pt idx="1">
                  <c:v>-16.205878787878788</c:v>
                </c:pt>
                <c:pt idx="2" formatCode="General">
                  <c:v>-15.563454545454546</c:v>
                </c:pt>
                <c:pt idx="3" formatCode="General">
                  <c:v>-14.872363636363636</c:v>
                </c:pt>
                <c:pt idx="4" formatCode="General">
                  <c:v>-14.143393939393938</c:v>
                </c:pt>
                <c:pt idx="5" formatCode="General">
                  <c:v>-13.185818181818181</c:v>
                </c:pt>
                <c:pt idx="6" formatCode="General">
                  <c:v>-12.386144578313253</c:v>
                </c:pt>
                <c:pt idx="7" formatCode="General">
                  <c:v>-11.795783132530122</c:v>
                </c:pt>
                <c:pt idx="8" formatCode="General">
                  <c:v>-11.193333333333333</c:v>
                </c:pt>
                <c:pt idx="9" formatCode="General">
                  <c:v>-10.588509090909092</c:v>
                </c:pt>
                <c:pt idx="10" formatCode="General">
                  <c:v>-9.9927515151515163</c:v>
                </c:pt>
                <c:pt idx="11" formatCode="General">
                  <c:v>-9.4448441754916796</c:v>
                </c:pt>
                <c:pt idx="12" formatCode="General">
                  <c:v>-8.9508956127080186</c:v>
                </c:pt>
                <c:pt idx="13" formatCode="General">
                  <c:v>-8.4569470499243575</c:v>
                </c:pt>
                <c:pt idx="14" formatCode="General">
                  <c:v>-7.9629984871406956</c:v>
                </c:pt>
                <c:pt idx="15" formatCode="General">
                  <c:v>-7.4690499243570336</c:v>
                </c:pt>
                <c:pt idx="16" formatCode="General">
                  <c:v>-6.9751013615733726</c:v>
                </c:pt>
                <c:pt idx="17" formatCode="General">
                  <c:v>-6.4811527987897115</c:v>
                </c:pt>
                <c:pt idx="18" formatCode="General">
                  <c:v>-6.1581696969696962</c:v>
                </c:pt>
                <c:pt idx="19" formatCode="General">
                  <c:v>-5.8866909090909081</c:v>
                </c:pt>
                <c:pt idx="20" formatCode="General">
                  <c:v>-5.7042666666666664</c:v>
                </c:pt>
                <c:pt idx="21" formatCode="General">
                  <c:v>-5.5717333333333325</c:v>
                </c:pt>
                <c:pt idx="22" formatCode="General">
                  <c:v>-5.4783999999999997</c:v>
                </c:pt>
                <c:pt idx="23" formatCode="General">
                  <c:v>-5.4387530120481928</c:v>
                </c:pt>
                <c:pt idx="24" formatCode="General">
                  <c:v>-5.4131515151515153</c:v>
                </c:pt>
                <c:pt idx="25" formatCode="General">
                  <c:v>-5.4137575757575753</c:v>
                </c:pt>
                <c:pt idx="26" formatCode="General">
                  <c:v>-5.425272727272727</c:v>
                </c:pt>
                <c:pt idx="27" formatCode="General">
                  <c:v>-5.4440606060606065</c:v>
                </c:pt>
                <c:pt idx="28" formatCode="General">
                  <c:v>-5.4697575757575763</c:v>
                </c:pt>
                <c:pt idx="29" formatCode="General">
                  <c:v>-5.4961818181818183</c:v>
                </c:pt>
                <c:pt idx="30" formatCode="General">
                  <c:v>-5.5234545454545456</c:v>
                </c:pt>
                <c:pt idx="31" formatCode="General">
                  <c:v>-5.5499137670196674</c:v>
                </c:pt>
                <c:pt idx="32" formatCode="General">
                  <c:v>-5.5759349470499249</c:v>
                </c:pt>
                <c:pt idx="33" formatCode="General">
                  <c:v>-5.6019561270801814</c:v>
                </c:pt>
                <c:pt idx="34" formatCode="General">
                  <c:v>-5.6279773071104389</c:v>
                </c:pt>
                <c:pt idx="35" formatCode="General">
                  <c:v>-5.6539984871406963</c:v>
                </c:pt>
                <c:pt idx="36" formatCode="General">
                  <c:v>-5.6800196671709529</c:v>
                </c:pt>
                <c:pt idx="37" formatCode="General">
                  <c:v>-5.7059863842662635</c:v>
                </c:pt>
                <c:pt idx="38" formatCode="General">
                  <c:v>-5.7306459909228442</c:v>
                </c:pt>
                <c:pt idx="39" formatCode="General">
                  <c:v>-5.7553055975794249</c:v>
                </c:pt>
                <c:pt idx="40" formatCode="General">
                  <c:v>-5.7799652042360066</c:v>
                </c:pt>
                <c:pt idx="41" formatCode="General">
                  <c:v>-5.8046248108925873</c:v>
                </c:pt>
                <c:pt idx="42" formatCode="General">
                  <c:v>-5.829284417549168</c:v>
                </c:pt>
                <c:pt idx="43" formatCode="General">
                  <c:v>-5.8539440242057488</c:v>
                </c:pt>
                <c:pt idx="44" formatCode="General">
                  <c:v>-5.8799046898638432</c:v>
                </c:pt>
                <c:pt idx="45" formatCode="General">
                  <c:v>-5.9075900151285934</c:v>
                </c:pt>
                <c:pt idx="46" formatCode="General">
                  <c:v>-5.9352753403933436</c:v>
                </c:pt>
                <c:pt idx="47" formatCode="General">
                  <c:v>-5.9629606656580938</c:v>
                </c:pt>
                <c:pt idx="48" formatCode="General">
                  <c:v>-5.990645990922844</c:v>
                </c:pt>
                <c:pt idx="49" formatCode="General">
                  <c:v>-6.0183313161875951</c:v>
                </c:pt>
                <c:pt idx="50" formatCode="General">
                  <c:v>-6.0460166414523453</c:v>
                </c:pt>
                <c:pt idx="51" formatCode="General">
                  <c:v>-6.0803212121212127</c:v>
                </c:pt>
                <c:pt idx="52" formatCode="General">
                  <c:v>-6.1160787878787879</c:v>
                </c:pt>
                <c:pt idx="53" formatCode="General">
                  <c:v>-6.151836363636364</c:v>
                </c:pt>
                <c:pt idx="54" formatCode="General">
                  <c:v>-6.1875939393939392</c:v>
                </c:pt>
                <c:pt idx="55" formatCode="General">
                  <c:v>-6.2233515151515153</c:v>
                </c:pt>
                <c:pt idx="56" formatCode="General">
                  <c:v>-6.2591090909090914</c:v>
                </c:pt>
                <c:pt idx="57" formatCode="General">
                  <c:v>-6.294421686746988</c:v>
                </c:pt>
                <c:pt idx="58" formatCode="General">
                  <c:v>-6.3281566265060238</c:v>
                </c:pt>
                <c:pt idx="59" formatCode="General">
                  <c:v>-6.3603090909090909</c:v>
                </c:pt>
                <c:pt idx="60" formatCode="General">
                  <c:v>-6.3912181818181821</c:v>
                </c:pt>
                <c:pt idx="61" formatCode="General">
                  <c:v>-6.4193696969696976</c:v>
                </c:pt>
                <c:pt idx="62" formatCode="General">
                  <c:v>-6.4466181818181818</c:v>
                </c:pt>
                <c:pt idx="63" formatCode="General">
                  <c:v>-6.4720727272727272</c:v>
                </c:pt>
                <c:pt idx="64" formatCode="General">
                  <c:v>-6.4960272314674734</c:v>
                </c:pt>
                <c:pt idx="65" formatCode="General">
                  <c:v>-6.5190226928895614</c:v>
                </c:pt>
                <c:pt idx="66" formatCode="General">
                  <c:v>-6.5420181543116493</c:v>
                </c:pt>
                <c:pt idx="67" formatCode="General">
                  <c:v>-6.5650136157337373</c:v>
                </c:pt>
                <c:pt idx="68" formatCode="General">
                  <c:v>-6.5880090771558244</c:v>
                </c:pt>
                <c:pt idx="69" formatCode="General">
                  <c:v>-6.6110045385779124</c:v>
                </c:pt>
                <c:pt idx="70" formatCode="General">
                  <c:v>-6.6340000000000003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-15.28274886535552</c:v>
                      </c:pt>
                      <c:pt idx="1">
                        <c:v>-15.442506807866867</c:v>
                      </c:pt>
                      <c:pt idx="2" formatCode="General">
                        <c:v>-15.602264750378213</c:v>
                      </c:pt>
                      <c:pt idx="3" formatCode="General">
                        <c:v>-15.762022692889561</c:v>
                      </c:pt>
                      <c:pt idx="4" formatCode="General">
                        <c:v>-15.923124054462933</c:v>
                      </c:pt>
                      <c:pt idx="5" formatCode="General">
                        <c:v>-16.099674735249621</c:v>
                      </c:pt>
                      <c:pt idx="6" formatCode="General">
                        <c:v>-16.276225416036308</c:v>
                      </c:pt>
                      <c:pt idx="7" formatCode="General">
                        <c:v>-16.452776096822994</c:v>
                      </c:pt>
                      <c:pt idx="8" formatCode="General">
                        <c:v>-16.629326777609684</c:v>
                      </c:pt>
                      <c:pt idx="9" formatCode="General">
                        <c:v>-16.80587745839637</c:v>
                      </c:pt>
                      <c:pt idx="10" formatCode="General">
                        <c:v>-16.982428139183057</c:v>
                      </c:pt>
                      <c:pt idx="11" formatCode="General">
                        <c:v>-17.157698940998486</c:v>
                      </c:pt>
                      <c:pt idx="12" formatCode="General">
                        <c:v>-17.331526475037823</c:v>
                      </c:pt>
                      <c:pt idx="13" formatCode="General">
                        <c:v>-17.505354009077156</c:v>
                      </c:pt>
                      <c:pt idx="14" formatCode="General">
                        <c:v>-17.679181543116492</c:v>
                      </c:pt>
                      <c:pt idx="15" formatCode="General">
                        <c:v>-17.853009077155825</c:v>
                      </c:pt>
                      <c:pt idx="16" formatCode="General">
                        <c:v>-18.026836611195161</c:v>
                      </c:pt>
                      <c:pt idx="17" formatCode="General">
                        <c:v>-18.200664145234494</c:v>
                      </c:pt>
                      <c:pt idx="18" formatCode="General">
                        <c:v>-18.366685325264751</c:v>
                      </c:pt>
                      <c:pt idx="19" formatCode="General">
                        <c:v>-18.531435703479577</c:v>
                      </c:pt>
                      <c:pt idx="20" formatCode="General">
                        <c:v>-18.696186081694403</c:v>
                      </c:pt>
                      <c:pt idx="21" formatCode="General">
                        <c:v>-18.86093645990923</c:v>
                      </c:pt>
                      <c:pt idx="22" formatCode="General">
                        <c:v>-19.025686838124056</c:v>
                      </c:pt>
                      <c:pt idx="23" formatCode="General">
                        <c:v>-19.190437216338882</c:v>
                      </c:pt>
                      <c:pt idx="24" formatCode="General">
                        <c:v>-19.353545454545454</c:v>
                      </c:pt>
                      <c:pt idx="25" formatCode="General">
                        <c:v>-19.511727272727274</c:v>
                      </c:pt>
                      <c:pt idx="26" formatCode="General">
                        <c:v>-19.667727272727276</c:v>
                      </c:pt>
                      <c:pt idx="27" formatCode="General">
                        <c:v>-19.822272727272729</c:v>
                      </c:pt>
                      <c:pt idx="28" formatCode="General">
                        <c:v>-19.971636363636364</c:v>
                      </c:pt>
                      <c:pt idx="29" formatCode="General">
                        <c:v>-20.119636363636364</c:v>
                      </c:pt>
                      <c:pt idx="30" formatCode="General">
                        <c:v>-20.265090909090912</c:v>
                      </c:pt>
                      <c:pt idx="31" formatCode="General">
                        <c:v>-20.404207261724661</c:v>
                      </c:pt>
                      <c:pt idx="32" formatCode="General">
                        <c:v>-20.53991074130106</c:v>
                      </c:pt>
                      <c:pt idx="33" formatCode="General">
                        <c:v>-20.67561422087746</c:v>
                      </c:pt>
                      <c:pt idx="34" formatCode="General">
                        <c:v>-20.811317700453859</c:v>
                      </c:pt>
                      <c:pt idx="35" formatCode="General">
                        <c:v>-20.947021180030259</c:v>
                      </c:pt>
                      <c:pt idx="36" formatCode="General">
                        <c:v>-21.082724659606658</c:v>
                      </c:pt>
                      <c:pt idx="37" formatCode="General">
                        <c:v>-21.217992435703479</c:v>
                      </c:pt>
                      <c:pt idx="38" formatCode="General">
                        <c:v>-21.342803328290469</c:v>
                      </c:pt>
                      <c:pt idx="39" formatCode="General">
                        <c:v>-21.467614220877458</c:v>
                      </c:pt>
                      <c:pt idx="40" formatCode="General">
                        <c:v>-21.592425113464447</c:v>
                      </c:pt>
                      <c:pt idx="41" formatCode="General">
                        <c:v>-21.717236006051436</c:v>
                      </c:pt>
                      <c:pt idx="42" formatCode="General">
                        <c:v>-21.842046898638426</c:v>
                      </c:pt>
                      <c:pt idx="43" formatCode="General">
                        <c:v>-21.966857791225415</c:v>
                      </c:pt>
                      <c:pt idx="44" formatCode="General">
                        <c:v>-22.090107413010589</c:v>
                      </c:pt>
                      <c:pt idx="45" formatCode="General">
                        <c:v>-22.211287443267775</c:v>
                      </c:pt>
                      <c:pt idx="46" formatCode="General">
                        <c:v>-22.332467473524964</c:v>
                      </c:pt>
                      <c:pt idx="47" formatCode="General">
                        <c:v>-22.45364750378215</c:v>
                      </c:pt>
                      <c:pt idx="48" formatCode="General">
                        <c:v>-22.574827534039336</c:v>
                      </c:pt>
                      <c:pt idx="49" formatCode="General">
                        <c:v>-22.696007564296522</c:v>
                      </c:pt>
                      <c:pt idx="50" formatCode="General">
                        <c:v>-22.817187594553708</c:v>
                      </c:pt>
                      <c:pt idx="51" formatCode="General">
                        <c:v>-22.940754545454549</c:v>
                      </c:pt>
                      <c:pt idx="52" formatCode="General">
                        <c:v>-23.064845454545456</c:v>
                      </c:pt>
                      <c:pt idx="53" formatCode="General">
                        <c:v>-23.188936363636365</c:v>
                      </c:pt>
                      <c:pt idx="54" formatCode="General">
                        <c:v>-23.313027272727275</c:v>
                      </c:pt>
                      <c:pt idx="55" formatCode="General">
                        <c:v>-23.437118181818185</c:v>
                      </c:pt>
                      <c:pt idx="56" formatCode="General">
                        <c:v>-23.561209090909092</c:v>
                      </c:pt>
                      <c:pt idx="57" formatCode="General">
                        <c:v>-23.68805446293495</c:v>
                      </c:pt>
                      <c:pt idx="58" formatCode="General">
                        <c:v>-23.824665658093799</c:v>
                      </c:pt>
                      <c:pt idx="59" formatCode="General">
                        <c:v>-23.961276853252649</c:v>
                      </c:pt>
                      <c:pt idx="60" formatCode="General">
                        <c:v>-24.097888048411498</c:v>
                      </c:pt>
                      <c:pt idx="61" formatCode="General">
                        <c:v>-24.234499243570347</c:v>
                      </c:pt>
                      <c:pt idx="62" formatCode="General">
                        <c:v>-24.3711104387292</c:v>
                      </c:pt>
                      <c:pt idx="63" formatCode="General">
                        <c:v>-24.50772163388805</c:v>
                      </c:pt>
                      <c:pt idx="64" formatCode="General">
                        <c:v>-24.653054545454545</c:v>
                      </c:pt>
                      <c:pt idx="65" formatCode="General">
                        <c:v>-24.803963636363637</c:v>
                      </c:pt>
                      <c:pt idx="66" formatCode="General">
                        <c:v>-24.960939759036144</c:v>
                      </c:pt>
                      <c:pt idx="67" formatCode="General">
                        <c:v>-25.121181818181817</c:v>
                      </c:pt>
                      <c:pt idx="68" formatCode="General">
                        <c:v>-25.288454545454545</c:v>
                      </c:pt>
                      <c:pt idx="69" formatCode="General">
                        <c:v>-25.461636363636362</c:v>
                      </c:pt>
                      <c:pt idx="70" formatCode="General">
                        <c:v>-25.637999999999998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-20.376998487140696</c:v>
                      </c:pt>
                      <c:pt idx="1">
                        <c:v>-20.590009077155823</c:v>
                      </c:pt>
                      <c:pt idx="2" formatCode="General">
                        <c:v>-20.803019667170954</c:v>
                      </c:pt>
                      <c:pt idx="3" formatCode="General">
                        <c:v>-21.016030257186081</c:v>
                      </c:pt>
                      <c:pt idx="4" formatCode="General">
                        <c:v>-21.230832072617247</c:v>
                      </c:pt>
                      <c:pt idx="5" formatCode="General">
                        <c:v>-21.46623298033283</c:v>
                      </c:pt>
                      <c:pt idx="6" formatCode="General">
                        <c:v>-21.701633888048413</c:v>
                      </c:pt>
                      <c:pt idx="7" formatCode="General">
                        <c:v>-21.937034795763996</c:v>
                      </c:pt>
                      <c:pt idx="8" formatCode="General">
                        <c:v>-22.172435703479575</c:v>
                      </c:pt>
                      <c:pt idx="9" formatCode="General">
                        <c:v>-22.407836611195158</c:v>
                      </c:pt>
                      <c:pt idx="10" formatCode="General">
                        <c:v>-22.643237518910741</c:v>
                      </c:pt>
                      <c:pt idx="11" formatCode="General">
                        <c:v>-22.876931921331316</c:v>
                      </c:pt>
                      <c:pt idx="12" formatCode="General">
                        <c:v>-23.108701966717096</c:v>
                      </c:pt>
                      <c:pt idx="13" formatCode="General">
                        <c:v>-23.340472012102875</c:v>
                      </c:pt>
                      <c:pt idx="14" formatCode="General">
                        <c:v>-23.572242057488655</c:v>
                      </c:pt>
                      <c:pt idx="15" formatCode="General">
                        <c:v>-23.804012102874434</c:v>
                      </c:pt>
                      <c:pt idx="16" formatCode="General">
                        <c:v>-24.035782148260214</c:v>
                      </c:pt>
                      <c:pt idx="17" formatCode="General">
                        <c:v>-24.267552193645994</c:v>
                      </c:pt>
                      <c:pt idx="18" formatCode="General">
                        <c:v>-24.488913767019667</c:v>
                      </c:pt>
                      <c:pt idx="19" formatCode="General">
                        <c:v>-24.708580937972769</c:v>
                      </c:pt>
                      <c:pt idx="20" formatCode="General">
                        <c:v>-24.928248108925871</c:v>
                      </c:pt>
                      <c:pt idx="21" formatCode="General">
                        <c:v>-25.147915279878973</c:v>
                      </c:pt>
                      <c:pt idx="22" formatCode="General">
                        <c:v>-25.367582450832071</c:v>
                      </c:pt>
                      <c:pt idx="23" formatCode="General">
                        <c:v>-25.587249621785173</c:v>
                      </c:pt>
                      <c:pt idx="24" formatCode="General">
                        <c:v>-25.804727272727273</c:v>
                      </c:pt>
                      <c:pt idx="25" formatCode="General">
                        <c:v>-26.015636363636364</c:v>
                      </c:pt>
                      <c:pt idx="26" formatCode="General">
                        <c:v>-26.223636363636366</c:v>
                      </c:pt>
                      <c:pt idx="27" formatCode="General">
                        <c:v>-26.42969696969697</c:v>
                      </c:pt>
                      <c:pt idx="28" formatCode="General">
                        <c:v>-26.628848484848486</c:v>
                      </c:pt>
                      <c:pt idx="29" formatCode="General">
                        <c:v>-26.826181818181819</c:v>
                      </c:pt>
                      <c:pt idx="30" formatCode="General">
                        <c:v>-27.020121212121214</c:v>
                      </c:pt>
                      <c:pt idx="31" formatCode="General">
                        <c:v>-27.205609682299546</c:v>
                      </c:pt>
                      <c:pt idx="32" formatCode="General">
                        <c:v>-27.386547655068078</c:v>
                      </c:pt>
                      <c:pt idx="33" formatCode="General">
                        <c:v>-27.567485627836611</c:v>
                      </c:pt>
                      <c:pt idx="34" formatCode="General">
                        <c:v>-27.748423600605143</c:v>
                      </c:pt>
                      <c:pt idx="35" formatCode="General">
                        <c:v>-27.929361573373676</c:v>
                      </c:pt>
                      <c:pt idx="36" formatCode="General">
                        <c:v>-28.110299546142208</c:v>
                      </c:pt>
                      <c:pt idx="37" formatCode="General">
                        <c:v>-28.29065658093797</c:v>
                      </c:pt>
                      <c:pt idx="38" formatCode="General">
                        <c:v>-28.457071104387289</c:v>
                      </c:pt>
                      <c:pt idx="39" formatCode="General">
                        <c:v>-28.623485627836612</c:v>
                      </c:pt>
                      <c:pt idx="40" formatCode="General">
                        <c:v>-28.789900151285931</c:v>
                      </c:pt>
                      <c:pt idx="41" formatCode="General">
                        <c:v>-28.95631467473525</c:v>
                      </c:pt>
                      <c:pt idx="42" formatCode="General">
                        <c:v>-29.122729198184569</c:v>
                      </c:pt>
                      <c:pt idx="43" formatCode="General">
                        <c:v>-29.289143721633888</c:v>
                      </c:pt>
                      <c:pt idx="44" formatCode="General">
                        <c:v>-29.453476550680787</c:v>
                      </c:pt>
                      <c:pt idx="45" formatCode="General">
                        <c:v>-29.615049924357034</c:v>
                      </c:pt>
                      <c:pt idx="46" formatCode="General">
                        <c:v>-29.776623298033282</c:v>
                      </c:pt>
                      <c:pt idx="47" formatCode="General">
                        <c:v>-29.938196671709534</c:v>
                      </c:pt>
                      <c:pt idx="48" formatCode="General">
                        <c:v>-30.099770045385782</c:v>
                      </c:pt>
                      <c:pt idx="49" formatCode="General">
                        <c:v>-30.26134341906203</c:v>
                      </c:pt>
                      <c:pt idx="50" formatCode="General">
                        <c:v>-30.422916792738278</c:v>
                      </c:pt>
                      <c:pt idx="51" formatCode="General">
                        <c:v>-30.587672727272729</c:v>
                      </c:pt>
                      <c:pt idx="52" formatCode="General">
                        <c:v>-30.753127272727276</c:v>
                      </c:pt>
                      <c:pt idx="53" formatCode="General">
                        <c:v>-30.918581818181821</c:v>
                      </c:pt>
                      <c:pt idx="54" formatCode="General">
                        <c:v>-31.084036363636365</c:v>
                      </c:pt>
                      <c:pt idx="55" formatCode="General">
                        <c:v>-31.249490909090909</c:v>
                      </c:pt>
                      <c:pt idx="56" formatCode="General">
                        <c:v>-31.414945454545457</c:v>
                      </c:pt>
                      <c:pt idx="57" formatCode="General">
                        <c:v>-31.584072617246598</c:v>
                      </c:pt>
                      <c:pt idx="58" formatCode="General">
                        <c:v>-31.766220877458398</c:v>
                      </c:pt>
                      <c:pt idx="59" formatCode="General">
                        <c:v>-31.948369137670198</c:v>
                      </c:pt>
                      <c:pt idx="60" formatCode="General">
                        <c:v>-32.130517397881995</c:v>
                      </c:pt>
                      <c:pt idx="61" formatCode="General">
                        <c:v>-32.312665658093799</c:v>
                      </c:pt>
                      <c:pt idx="62" formatCode="General">
                        <c:v>-32.494813918305596</c:v>
                      </c:pt>
                      <c:pt idx="63" formatCode="General">
                        <c:v>-32.6769621785174</c:v>
                      </c:pt>
                      <c:pt idx="64" formatCode="General">
                        <c:v>-32.870739393939395</c:v>
                      </c:pt>
                      <c:pt idx="65" formatCode="General">
                        <c:v>-33.071951515151511</c:v>
                      </c:pt>
                      <c:pt idx="66" formatCode="General">
                        <c:v>-33.28125301204819</c:v>
                      </c:pt>
                      <c:pt idx="67" formatCode="General">
                        <c:v>-33.49490909090909</c:v>
                      </c:pt>
                      <c:pt idx="68" formatCode="General">
                        <c:v>-33.717939393939396</c:v>
                      </c:pt>
                      <c:pt idx="69" formatCode="General">
                        <c:v>-33.948848484848483</c:v>
                      </c:pt>
                      <c:pt idx="70" formatCode="General">
                        <c:v>-34.183999999999997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-25.47124810892587</c:v>
                      </c:pt>
                      <c:pt idx="1">
                        <c:v>-25.73751134644478</c:v>
                      </c:pt>
                      <c:pt idx="2" formatCode="General">
                        <c:v>-26.00377458396369</c:v>
                      </c:pt>
                      <c:pt idx="3" formatCode="General">
                        <c:v>-26.270037821482603</c:v>
                      </c:pt>
                      <c:pt idx="4" formatCode="General">
                        <c:v>-26.538540090771559</c:v>
                      </c:pt>
                      <c:pt idx="5" formatCode="General">
                        <c:v>-26.832791225416038</c:v>
                      </c:pt>
                      <c:pt idx="6" formatCode="General">
                        <c:v>-27.127042360060514</c:v>
                      </c:pt>
                      <c:pt idx="7" formatCode="General">
                        <c:v>-27.421293494704994</c:v>
                      </c:pt>
                      <c:pt idx="8" formatCode="General">
                        <c:v>-27.71554462934947</c:v>
                      </c:pt>
                      <c:pt idx="9" formatCode="General">
                        <c:v>-28.009795763993949</c:v>
                      </c:pt>
                      <c:pt idx="10" formatCode="General">
                        <c:v>-28.304046898638425</c:v>
                      </c:pt>
                      <c:pt idx="11" formatCode="General">
                        <c:v>-28.596164901664146</c:v>
                      </c:pt>
                      <c:pt idx="12" formatCode="General">
                        <c:v>-28.885877458396369</c:v>
                      </c:pt>
                      <c:pt idx="13" formatCode="General">
                        <c:v>-29.175590015128595</c:v>
                      </c:pt>
                      <c:pt idx="14" formatCode="General">
                        <c:v>-29.465302571860818</c:v>
                      </c:pt>
                      <c:pt idx="15" formatCode="General">
                        <c:v>-29.75501512859304</c:v>
                      </c:pt>
                      <c:pt idx="16" formatCode="General">
                        <c:v>-30.044727685325267</c:v>
                      </c:pt>
                      <c:pt idx="17" formatCode="General">
                        <c:v>-30.334440242057489</c:v>
                      </c:pt>
                      <c:pt idx="18" formatCode="General">
                        <c:v>-30.611142208774584</c:v>
                      </c:pt>
                      <c:pt idx="19" formatCode="General">
                        <c:v>-30.885726172465962</c:v>
                      </c:pt>
                      <c:pt idx="20" formatCode="General">
                        <c:v>-31.160310136157335</c:v>
                      </c:pt>
                      <c:pt idx="21" formatCode="General">
                        <c:v>-31.434894099848712</c:v>
                      </c:pt>
                      <c:pt idx="22" formatCode="General">
                        <c:v>-31.709478063540089</c:v>
                      </c:pt>
                      <c:pt idx="23" formatCode="General">
                        <c:v>-31.984062027231467</c:v>
                      </c:pt>
                      <c:pt idx="24" formatCode="General">
                        <c:v>-32.255909090909086</c:v>
                      </c:pt>
                      <c:pt idx="25" formatCode="General">
                        <c:v>-32.519545454545451</c:v>
                      </c:pt>
                      <c:pt idx="26" formatCode="General">
                        <c:v>-32.779545454545456</c:v>
                      </c:pt>
                      <c:pt idx="27" formatCode="General">
                        <c:v>-33.037121212121214</c:v>
                      </c:pt>
                      <c:pt idx="28" formatCode="General">
                        <c:v>-33.286060606060609</c:v>
                      </c:pt>
                      <c:pt idx="29" formatCode="General">
                        <c:v>-33.532727272727271</c:v>
                      </c:pt>
                      <c:pt idx="30" formatCode="General">
                        <c:v>-33.775151515151514</c:v>
                      </c:pt>
                      <c:pt idx="31" formatCode="General">
                        <c:v>-34.007012102874434</c:v>
                      </c:pt>
                      <c:pt idx="32" formatCode="General">
                        <c:v>-34.2331845688351</c:v>
                      </c:pt>
                      <c:pt idx="33" formatCode="General">
                        <c:v>-34.459357034795765</c:v>
                      </c:pt>
                      <c:pt idx="34" formatCode="General">
                        <c:v>-34.685529500756431</c:v>
                      </c:pt>
                      <c:pt idx="35" formatCode="General">
                        <c:v>-34.911701966717089</c:v>
                      </c:pt>
                      <c:pt idx="36" formatCode="General">
                        <c:v>-35.137874432677755</c:v>
                      </c:pt>
                      <c:pt idx="37" formatCode="General">
                        <c:v>-35.363320726172461</c:v>
                      </c:pt>
                      <c:pt idx="38" formatCode="General">
                        <c:v>-35.571338880484113</c:v>
                      </c:pt>
                      <c:pt idx="39" formatCode="General">
                        <c:v>-35.779357034795765</c:v>
                      </c:pt>
                      <c:pt idx="40" formatCode="General">
                        <c:v>-35.987375189107411</c:v>
                      </c:pt>
                      <c:pt idx="41" formatCode="General">
                        <c:v>-36.195393343419063</c:v>
                      </c:pt>
                      <c:pt idx="42" formatCode="General">
                        <c:v>-36.403411497730715</c:v>
                      </c:pt>
                      <c:pt idx="43" formatCode="General">
                        <c:v>-36.611429652042361</c:v>
                      </c:pt>
                      <c:pt idx="44" formatCode="General">
                        <c:v>-36.816845688350988</c:v>
                      </c:pt>
                      <c:pt idx="45" formatCode="General">
                        <c:v>-37.018812405446297</c:v>
                      </c:pt>
                      <c:pt idx="46" formatCode="General">
                        <c:v>-37.220779122541607</c:v>
                      </c:pt>
                      <c:pt idx="47" formatCode="General">
                        <c:v>-37.422745839636917</c:v>
                      </c:pt>
                      <c:pt idx="48" formatCode="General">
                        <c:v>-37.624712556732227</c:v>
                      </c:pt>
                      <c:pt idx="49" formatCode="General">
                        <c:v>-37.826679273827537</c:v>
                      </c:pt>
                      <c:pt idx="50" formatCode="General">
                        <c:v>-38.028645990922847</c:v>
                      </c:pt>
                      <c:pt idx="51" formatCode="General">
                        <c:v>-38.234590909090912</c:v>
                      </c:pt>
                      <c:pt idx="52" formatCode="General">
                        <c:v>-38.441409090909097</c:v>
                      </c:pt>
                      <c:pt idx="53" formatCode="General">
                        <c:v>-38.648227272727276</c:v>
                      </c:pt>
                      <c:pt idx="54" formatCode="General">
                        <c:v>-38.855045454545454</c:v>
                      </c:pt>
                      <c:pt idx="55" formatCode="General">
                        <c:v>-39.06186363636364</c:v>
                      </c:pt>
                      <c:pt idx="56" formatCode="General">
                        <c:v>-39.268681818181818</c:v>
                      </c:pt>
                      <c:pt idx="57" formatCode="General">
                        <c:v>-39.480090771558245</c:v>
                      </c:pt>
                      <c:pt idx="58" formatCode="General">
                        <c:v>-39.707776096822997</c:v>
                      </c:pt>
                      <c:pt idx="59" formatCode="General">
                        <c:v>-39.935461422087748</c:v>
                      </c:pt>
                      <c:pt idx="60" formatCode="General">
                        <c:v>-40.163146747352492</c:v>
                      </c:pt>
                      <c:pt idx="61" formatCode="General">
                        <c:v>-40.390832072617243</c:v>
                      </c:pt>
                      <c:pt idx="62" formatCode="General">
                        <c:v>-40.618517397881995</c:v>
                      </c:pt>
                      <c:pt idx="63" formatCode="General">
                        <c:v>-40.846202723146746</c:v>
                      </c:pt>
                      <c:pt idx="64" formatCode="General">
                        <c:v>-41.088424242424239</c:v>
                      </c:pt>
                      <c:pt idx="65" formatCode="General">
                        <c:v>-41.339939393939389</c:v>
                      </c:pt>
                      <c:pt idx="66" formatCode="General">
                        <c:v>-41.601566265060235</c:v>
                      </c:pt>
                      <c:pt idx="67" formatCode="General">
                        <c:v>-41.868636363636362</c:v>
                      </c:pt>
                      <c:pt idx="68" formatCode="General">
                        <c:v>-42.147424242424236</c:v>
                      </c:pt>
                      <c:pt idx="69" formatCode="General">
                        <c:v>-42.4360606060606</c:v>
                      </c:pt>
                      <c:pt idx="70" formatCode="General">
                        <c:v>-42.73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-40.753996974281392</c:v>
                      </c:pt>
                      <c:pt idx="1">
                        <c:v>-41.180018154311647</c:v>
                      </c:pt>
                      <c:pt idx="2" formatCode="General">
                        <c:v>-41.606039334341908</c:v>
                      </c:pt>
                      <c:pt idx="3" formatCode="General">
                        <c:v>-42.032060514372162</c:v>
                      </c:pt>
                      <c:pt idx="4" formatCode="General">
                        <c:v>-42.461664145234494</c:v>
                      </c:pt>
                      <c:pt idx="5" formatCode="General">
                        <c:v>-42.93246596066566</c:v>
                      </c:pt>
                      <c:pt idx="6" formatCode="General">
                        <c:v>-43.403267776096826</c:v>
                      </c:pt>
                      <c:pt idx="7" formatCode="General">
                        <c:v>-43.874069591527991</c:v>
                      </c:pt>
                      <c:pt idx="8" formatCode="General">
                        <c:v>-44.34487140695915</c:v>
                      </c:pt>
                      <c:pt idx="9" formatCode="General">
                        <c:v>-44.815673222390316</c:v>
                      </c:pt>
                      <c:pt idx="10" formatCode="General">
                        <c:v>-45.286475037821482</c:v>
                      </c:pt>
                      <c:pt idx="11" formatCode="General">
                        <c:v>-45.753863842662632</c:v>
                      </c:pt>
                      <c:pt idx="12" formatCode="General">
                        <c:v>-46.217403933434191</c:v>
                      </c:pt>
                      <c:pt idx="13" formatCode="General">
                        <c:v>-46.680944024205751</c:v>
                      </c:pt>
                      <c:pt idx="14" formatCode="General">
                        <c:v>-47.14448411497731</c:v>
                      </c:pt>
                      <c:pt idx="15" formatCode="General">
                        <c:v>-47.608024205748869</c:v>
                      </c:pt>
                      <c:pt idx="16" formatCode="General">
                        <c:v>-48.071564296520428</c:v>
                      </c:pt>
                      <c:pt idx="17" formatCode="General">
                        <c:v>-48.535104387291987</c:v>
                      </c:pt>
                      <c:pt idx="18" formatCode="General">
                        <c:v>-48.977827534039335</c:v>
                      </c:pt>
                      <c:pt idx="19" formatCode="General">
                        <c:v>-49.417161875945538</c:v>
                      </c:pt>
                      <c:pt idx="20" formatCode="General">
                        <c:v>-49.856496217851742</c:v>
                      </c:pt>
                      <c:pt idx="21" formatCode="General">
                        <c:v>-50.295830559757945</c:v>
                      </c:pt>
                      <c:pt idx="22" formatCode="General">
                        <c:v>-50.735164901664142</c:v>
                      </c:pt>
                      <c:pt idx="23" formatCode="General">
                        <c:v>-51.174499243570345</c:v>
                      </c:pt>
                      <c:pt idx="24" formatCode="General">
                        <c:v>-51.609454545454547</c:v>
                      </c:pt>
                      <c:pt idx="25" formatCode="General">
                        <c:v>-52.031272727272729</c:v>
                      </c:pt>
                      <c:pt idx="26" formatCode="General">
                        <c:v>-52.447272727272733</c:v>
                      </c:pt>
                      <c:pt idx="27" formatCode="General">
                        <c:v>-52.859393939393939</c:v>
                      </c:pt>
                      <c:pt idx="28" formatCode="General">
                        <c:v>-53.257696969696973</c:v>
                      </c:pt>
                      <c:pt idx="29" formatCode="General">
                        <c:v>-53.652363636363638</c:v>
                      </c:pt>
                      <c:pt idx="30" formatCode="General">
                        <c:v>-54.040242424242429</c:v>
                      </c:pt>
                      <c:pt idx="31" formatCode="General">
                        <c:v>-54.411219364599091</c:v>
                      </c:pt>
                      <c:pt idx="32" formatCode="General">
                        <c:v>-54.773095310136156</c:v>
                      </c:pt>
                      <c:pt idx="33" formatCode="General">
                        <c:v>-55.134971255673221</c:v>
                      </c:pt>
                      <c:pt idx="34" formatCode="General">
                        <c:v>-55.496847201210286</c:v>
                      </c:pt>
                      <c:pt idx="35" formatCode="General">
                        <c:v>-55.858723146747352</c:v>
                      </c:pt>
                      <c:pt idx="36" formatCode="General">
                        <c:v>-56.220599092284417</c:v>
                      </c:pt>
                      <c:pt idx="37" formatCode="General">
                        <c:v>-56.58131316187594</c:v>
                      </c:pt>
                      <c:pt idx="38" formatCode="General">
                        <c:v>-56.914142208774578</c:v>
                      </c:pt>
                      <c:pt idx="39" formatCode="General">
                        <c:v>-57.246971255673223</c:v>
                      </c:pt>
                      <c:pt idx="40" formatCode="General">
                        <c:v>-57.579800302571861</c:v>
                      </c:pt>
                      <c:pt idx="41" formatCode="General">
                        <c:v>-57.9126293494705</c:v>
                      </c:pt>
                      <c:pt idx="42" formatCode="General">
                        <c:v>-58.245458396369138</c:v>
                      </c:pt>
                      <c:pt idx="43" formatCode="General">
                        <c:v>-58.578287443267776</c:v>
                      </c:pt>
                      <c:pt idx="44" formatCode="General">
                        <c:v>-58.906953101361573</c:v>
                      </c:pt>
                      <c:pt idx="45" formatCode="General">
                        <c:v>-59.230099848714069</c:v>
                      </c:pt>
                      <c:pt idx="46" formatCode="General">
                        <c:v>-59.553246596066565</c:v>
                      </c:pt>
                      <c:pt idx="47" formatCode="General">
                        <c:v>-59.876393343419068</c:v>
                      </c:pt>
                      <c:pt idx="48" formatCode="General">
                        <c:v>-60.199540090771563</c:v>
                      </c:pt>
                      <c:pt idx="49" formatCode="General">
                        <c:v>-60.522686838124059</c:v>
                      </c:pt>
                      <c:pt idx="50" formatCode="General">
                        <c:v>-60.845833585476555</c:v>
                      </c:pt>
                      <c:pt idx="51" formatCode="General">
                        <c:v>-61.175345454545457</c:v>
                      </c:pt>
                      <c:pt idx="52" formatCode="General">
                        <c:v>-61.506254545454553</c:v>
                      </c:pt>
                      <c:pt idx="53" formatCode="General">
                        <c:v>-61.837163636363641</c:v>
                      </c:pt>
                      <c:pt idx="54" formatCode="General">
                        <c:v>-62.16807272727273</c:v>
                      </c:pt>
                      <c:pt idx="55" formatCode="General">
                        <c:v>-62.498981818181818</c:v>
                      </c:pt>
                      <c:pt idx="56" formatCode="General">
                        <c:v>-62.829890909090913</c:v>
                      </c:pt>
                      <c:pt idx="57" formatCode="General">
                        <c:v>-63.168145234493196</c:v>
                      </c:pt>
                      <c:pt idx="58" formatCode="General">
                        <c:v>-63.532441754916796</c:v>
                      </c:pt>
                      <c:pt idx="59" formatCode="General">
                        <c:v>-63.896738275340397</c:v>
                      </c:pt>
                      <c:pt idx="60" formatCode="General">
                        <c:v>-64.26103479576399</c:v>
                      </c:pt>
                      <c:pt idx="61" formatCode="General">
                        <c:v>-64.625331316187598</c:v>
                      </c:pt>
                      <c:pt idx="62" formatCode="General">
                        <c:v>-64.989627836611191</c:v>
                      </c:pt>
                      <c:pt idx="63" formatCode="General">
                        <c:v>-65.353924357034799</c:v>
                      </c:pt>
                      <c:pt idx="64" formatCode="General">
                        <c:v>-65.741478787878791</c:v>
                      </c:pt>
                      <c:pt idx="65" formatCode="General">
                        <c:v>-66.143903030303022</c:v>
                      </c:pt>
                      <c:pt idx="66" formatCode="General">
                        <c:v>-66.562506024096379</c:v>
                      </c:pt>
                      <c:pt idx="67" formatCode="General">
                        <c:v>-66.98981818181818</c:v>
                      </c:pt>
                      <c:pt idx="68" formatCode="General">
                        <c:v>-67.435878787878792</c:v>
                      </c:pt>
                      <c:pt idx="69" formatCode="General">
                        <c:v>-67.897696969696966</c:v>
                      </c:pt>
                      <c:pt idx="70" formatCode="General">
                        <c:v>-68.367999999999995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-10.188499243570348</c:v>
                      </c:pt>
                      <c:pt idx="1">
                        <c:v>-10.295004538577912</c:v>
                      </c:pt>
                      <c:pt idx="2" formatCode="General">
                        <c:v>-10.401509833585477</c:v>
                      </c:pt>
                      <c:pt idx="3" formatCode="General">
                        <c:v>-10.508015128593041</c:v>
                      </c:pt>
                      <c:pt idx="4" formatCode="General">
                        <c:v>-10.615416036308623</c:v>
                      </c:pt>
                      <c:pt idx="5" formatCode="General">
                        <c:v>-10.733116490166415</c:v>
                      </c:pt>
                      <c:pt idx="6" formatCode="General">
                        <c:v>-10.850816944024206</c:v>
                      </c:pt>
                      <c:pt idx="7" formatCode="General">
                        <c:v>-10.968517397881998</c:v>
                      </c:pt>
                      <c:pt idx="8" formatCode="General">
                        <c:v>-11.086217851739788</c:v>
                      </c:pt>
                      <c:pt idx="9" formatCode="General">
                        <c:v>-11.203918305597579</c:v>
                      </c:pt>
                      <c:pt idx="10" formatCode="General">
                        <c:v>-11.321618759455371</c:v>
                      </c:pt>
                      <c:pt idx="11" formatCode="General">
                        <c:v>-11.438465960665658</c:v>
                      </c:pt>
                      <c:pt idx="12" formatCode="General">
                        <c:v>-11.554350983358548</c:v>
                      </c:pt>
                      <c:pt idx="13" formatCode="General">
                        <c:v>-11.670236006051438</c:v>
                      </c:pt>
                      <c:pt idx="14" formatCode="General">
                        <c:v>-11.786121028744327</c:v>
                      </c:pt>
                      <c:pt idx="15" formatCode="General">
                        <c:v>-11.902006051437217</c:v>
                      </c:pt>
                      <c:pt idx="16" formatCode="General">
                        <c:v>-12.017891074130107</c:v>
                      </c:pt>
                      <c:pt idx="17" formatCode="General">
                        <c:v>-12.133776096822997</c:v>
                      </c:pt>
                      <c:pt idx="18" formatCode="General">
                        <c:v>-12.244456883509834</c:v>
                      </c:pt>
                      <c:pt idx="19" formatCode="General">
                        <c:v>-12.354290468986385</c:v>
                      </c:pt>
                      <c:pt idx="20" formatCode="General">
                        <c:v>-12.464124054462935</c:v>
                      </c:pt>
                      <c:pt idx="21" formatCode="General">
                        <c:v>-12.573957639939486</c:v>
                      </c:pt>
                      <c:pt idx="22" formatCode="General">
                        <c:v>-12.683791225416035</c:v>
                      </c:pt>
                      <c:pt idx="23" formatCode="General">
                        <c:v>-12.793624810892586</c:v>
                      </c:pt>
                      <c:pt idx="24" formatCode="General">
                        <c:v>-12.902363636363637</c:v>
                      </c:pt>
                      <c:pt idx="25" formatCode="General">
                        <c:v>-13.007818181818182</c:v>
                      </c:pt>
                      <c:pt idx="26" formatCode="General">
                        <c:v>-13.111818181818183</c:v>
                      </c:pt>
                      <c:pt idx="27" formatCode="General">
                        <c:v>-13.214848484848485</c:v>
                      </c:pt>
                      <c:pt idx="28" formatCode="General">
                        <c:v>-13.314424242424243</c:v>
                      </c:pt>
                      <c:pt idx="29" formatCode="General">
                        <c:v>-13.41309090909091</c:v>
                      </c:pt>
                      <c:pt idx="30" formatCode="General">
                        <c:v>-13.510060606060607</c:v>
                      </c:pt>
                      <c:pt idx="31" formatCode="General">
                        <c:v>-13.602804841149773</c:v>
                      </c:pt>
                      <c:pt idx="32" formatCode="General">
                        <c:v>-13.693273827534039</c:v>
                      </c:pt>
                      <c:pt idx="33" formatCode="General">
                        <c:v>-13.783742813918305</c:v>
                      </c:pt>
                      <c:pt idx="34" formatCode="General">
                        <c:v>-13.874211800302572</c:v>
                      </c:pt>
                      <c:pt idx="35" formatCode="General">
                        <c:v>-13.964680786686838</c:v>
                      </c:pt>
                      <c:pt idx="36" formatCode="General">
                        <c:v>-14.055149773071104</c:v>
                      </c:pt>
                      <c:pt idx="37" formatCode="General">
                        <c:v>-14.145328290468985</c:v>
                      </c:pt>
                      <c:pt idx="38" formatCode="General">
                        <c:v>-14.228535552193645</c:v>
                      </c:pt>
                      <c:pt idx="39" formatCode="General">
                        <c:v>-14.311742813918306</c:v>
                      </c:pt>
                      <c:pt idx="40" formatCode="General">
                        <c:v>-14.394950075642965</c:v>
                      </c:pt>
                      <c:pt idx="41" formatCode="General">
                        <c:v>-14.478157337367625</c:v>
                      </c:pt>
                      <c:pt idx="42" formatCode="General">
                        <c:v>-14.561364599092284</c:v>
                      </c:pt>
                      <c:pt idx="43" formatCode="General">
                        <c:v>-14.644571860816944</c:v>
                      </c:pt>
                      <c:pt idx="44" formatCode="General">
                        <c:v>-14.726738275340393</c:v>
                      </c:pt>
                      <c:pt idx="45" formatCode="General">
                        <c:v>-14.807524962178517</c:v>
                      </c:pt>
                      <c:pt idx="46" formatCode="General">
                        <c:v>-14.888311649016641</c:v>
                      </c:pt>
                      <c:pt idx="47" formatCode="General">
                        <c:v>-14.969098335854767</c:v>
                      </c:pt>
                      <c:pt idx="48" formatCode="General">
                        <c:v>-15.049885022692891</c:v>
                      </c:pt>
                      <c:pt idx="49" formatCode="General">
                        <c:v>-15.130671709531015</c:v>
                      </c:pt>
                      <c:pt idx="50" formatCode="General">
                        <c:v>-15.211458396369139</c:v>
                      </c:pt>
                      <c:pt idx="51" formatCode="General">
                        <c:v>-15.293836363636364</c:v>
                      </c:pt>
                      <c:pt idx="52" formatCode="General">
                        <c:v>-15.376563636363638</c:v>
                      </c:pt>
                      <c:pt idx="53" formatCode="General">
                        <c:v>-15.45929090909091</c:v>
                      </c:pt>
                      <c:pt idx="54" formatCode="General">
                        <c:v>-15.542018181818182</c:v>
                      </c:pt>
                      <c:pt idx="55" formatCode="General">
                        <c:v>-15.624745454545454</c:v>
                      </c:pt>
                      <c:pt idx="56" formatCode="General">
                        <c:v>-15.707472727272728</c:v>
                      </c:pt>
                      <c:pt idx="57" formatCode="General">
                        <c:v>-15.792036308623299</c:v>
                      </c:pt>
                      <c:pt idx="58" formatCode="General">
                        <c:v>-15.883110438729199</c:v>
                      </c:pt>
                      <c:pt idx="59" formatCode="General">
                        <c:v>-15.974184568835099</c:v>
                      </c:pt>
                      <c:pt idx="60" formatCode="General">
                        <c:v>-16.065258698940998</c:v>
                      </c:pt>
                      <c:pt idx="61" formatCode="General">
                        <c:v>-16.156332829046899</c:v>
                      </c:pt>
                      <c:pt idx="62" formatCode="General">
                        <c:v>-16.247406959152798</c:v>
                      </c:pt>
                      <c:pt idx="63" formatCode="General">
                        <c:v>-16.3384810892587</c:v>
                      </c:pt>
                      <c:pt idx="64" formatCode="General">
                        <c:v>-16.435369696969698</c:v>
                      </c:pt>
                      <c:pt idx="65" formatCode="General">
                        <c:v>-16.535975757575756</c:v>
                      </c:pt>
                      <c:pt idx="66" formatCode="General">
                        <c:v>-16.640626506024095</c:v>
                      </c:pt>
                      <c:pt idx="67" formatCode="General">
                        <c:v>-16.747454545454545</c:v>
                      </c:pt>
                      <c:pt idx="68" formatCode="General">
                        <c:v>-16.858969696969698</c:v>
                      </c:pt>
                      <c:pt idx="69" formatCode="General">
                        <c:v>-16.974424242424242</c:v>
                      </c:pt>
                      <c:pt idx="70" formatCode="General">
                        <c:v>-17.091999999999999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-18.054697428139182</c:v>
                      </c:pt>
                      <c:pt idx="1">
                        <c:v>-18.256815431164902</c:v>
                      </c:pt>
                      <c:pt idx="2" formatCode="General">
                        <c:v>-18.458933434190619</c:v>
                      </c:pt>
                      <c:pt idx="3" formatCode="General">
                        <c:v>-18.66105143721634</c:v>
                      </c:pt>
                      <c:pt idx="4" formatCode="General">
                        <c:v>-18.86235854765507</c:v>
                      </c:pt>
                      <c:pt idx="5" formatCode="General">
                        <c:v>-19.05434039334342</c:v>
                      </c:pt>
                      <c:pt idx="6" formatCode="General">
                        <c:v>-19.24632223903177</c:v>
                      </c:pt>
                      <c:pt idx="7" formatCode="General">
                        <c:v>-19.438304084720123</c:v>
                      </c:pt>
                      <c:pt idx="8" formatCode="General">
                        <c:v>-19.630285930408473</c:v>
                      </c:pt>
                      <c:pt idx="9" formatCode="General">
                        <c:v>-19.822267776096822</c:v>
                      </c:pt>
                      <c:pt idx="10" formatCode="General">
                        <c:v>-20.014249621785172</c:v>
                      </c:pt>
                      <c:pt idx="11" formatCode="General">
                        <c:v>-20.19926323751891</c:v>
                      </c:pt>
                      <c:pt idx="12" formatCode="General">
                        <c:v>-20.376419062027232</c:v>
                      </c:pt>
                      <c:pt idx="13" formatCode="General">
                        <c:v>-20.55357488653555</c:v>
                      </c:pt>
                      <c:pt idx="14" formatCode="General">
                        <c:v>-20.730730711043872</c:v>
                      </c:pt>
                      <c:pt idx="15" formatCode="General">
                        <c:v>-20.907886535552194</c:v>
                      </c:pt>
                      <c:pt idx="16" formatCode="General">
                        <c:v>-21.085042360060513</c:v>
                      </c:pt>
                      <c:pt idx="17" formatCode="General">
                        <c:v>-21.262198184568835</c:v>
                      </c:pt>
                      <c:pt idx="18" formatCode="General">
                        <c:v>-21.429465960665659</c:v>
                      </c:pt>
                      <c:pt idx="19" formatCode="General">
                        <c:v>-21.595124054462936</c:v>
                      </c:pt>
                      <c:pt idx="20" formatCode="General">
                        <c:v>-21.760782148260212</c:v>
                      </c:pt>
                      <c:pt idx="21" formatCode="General">
                        <c:v>-21.926440242057488</c:v>
                      </c:pt>
                      <c:pt idx="22" formatCode="General">
                        <c:v>-22.092098335854768</c:v>
                      </c:pt>
                      <c:pt idx="23" formatCode="General">
                        <c:v>-22.257756429652044</c:v>
                      </c:pt>
                      <c:pt idx="24" formatCode="General">
                        <c:v>-22.423363636363639</c:v>
                      </c:pt>
                      <c:pt idx="25" formatCode="General">
                        <c:v>-22.588818181818183</c:v>
                      </c:pt>
                      <c:pt idx="26" formatCode="General">
                        <c:v>-22.754999999999999</c:v>
                      </c:pt>
                      <c:pt idx="27" formatCode="General">
                        <c:v>-22.921666666666667</c:v>
                      </c:pt>
                      <c:pt idx="28" formatCode="General">
                        <c:v>-23.09121212121212</c:v>
                      </c:pt>
                      <c:pt idx="29" formatCode="General">
                        <c:v>-23.262727272727272</c:v>
                      </c:pt>
                      <c:pt idx="30" formatCode="General">
                        <c:v>-23.438484848484848</c:v>
                      </c:pt>
                      <c:pt idx="31" formatCode="General">
                        <c:v>-23.627148260211801</c:v>
                      </c:pt>
                      <c:pt idx="32" formatCode="General">
                        <c:v>-23.822760968229954</c:v>
                      </c:pt>
                      <c:pt idx="33" formatCode="General">
                        <c:v>-24.018373676248107</c:v>
                      </c:pt>
                      <c:pt idx="34" formatCode="General">
                        <c:v>-24.213986384266263</c:v>
                      </c:pt>
                      <c:pt idx="35" formatCode="General">
                        <c:v>-24.409599092284417</c:v>
                      </c:pt>
                      <c:pt idx="36" formatCode="General">
                        <c:v>-24.60521180030257</c:v>
                      </c:pt>
                      <c:pt idx="37" formatCode="General">
                        <c:v>-24.801853252647504</c:v>
                      </c:pt>
                      <c:pt idx="38" formatCode="General">
                        <c:v>-25.023184568835099</c:v>
                      </c:pt>
                      <c:pt idx="39" formatCode="General">
                        <c:v>-25.244515885022693</c:v>
                      </c:pt>
                      <c:pt idx="40" formatCode="General">
                        <c:v>-25.465847201210288</c:v>
                      </c:pt>
                      <c:pt idx="41" formatCode="General">
                        <c:v>-25.687178517397882</c:v>
                      </c:pt>
                      <c:pt idx="42" formatCode="General">
                        <c:v>-25.908509833585477</c:v>
                      </c:pt>
                      <c:pt idx="43" formatCode="General">
                        <c:v>-26.129841149773071</c:v>
                      </c:pt>
                      <c:pt idx="44" formatCode="General">
                        <c:v>-26.350782148260212</c:v>
                      </c:pt>
                      <c:pt idx="45" formatCode="General">
                        <c:v>-26.571205748865356</c:v>
                      </c:pt>
                      <c:pt idx="46" formatCode="General">
                        <c:v>-26.791629349470501</c:v>
                      </c:pt>
                      <c:pt idx="47" formatCode="General">
                        <c:v>-27.012052950075642</c:v>
                      </c:pt>
                      <c:pt idx="48" formatCode="General">
                        <c:v>-27.232476550680786</c:v>
                      </c:pt>
                      <c:pt idx="49" formatCode="General">
                        <c:v>-27.452900151285931</c:v>
                      </c:pt>
                      <c:pt idx="50" formatCode="General">
                        <c:v>-27.673323751891076</c:v>
                      </c:pt>
                      <c:pt idx="51" formatCode="General">
                        <c:v>-27.883584848484851</c:v>
                      </c:pt>
                      <c:pt idx="52" formatCode="General">
                        <c:v>-28.091615151515153</c:v>
                      </c:pt>
                      <c:pt idx="53" formatCode="General">
                        <c:v>-28.299645454545455</c:v>
                      </c:pt>
                      <c:pt idx="54" formatCode="General">
                        <c:v>-28.507675757575758</c:v>
                      </c:pt>
                      <c:pt idx="55" formatCode="General">
                        <c:v>-28.71570606060606</c:v>
                      </c:pt>
                      <c:pt idx="56" formatCode="General">
                        <c:v>-28.923736363636365</c:v>
                      </c:pt>
                      <c:pt idx="57" formatCode="General">
                        <c:v>-29.127969742813917</c:v>
                      </c:pt>
                      <c:pt idx="58" formatCode="General">
                        <c:v>-29.318741301059003</c:v>
                      </c:pt>
                      <c:pt idx="59" formatCode="General">
                        <c:v>-29.509512859304085</c:v>
                      </c:pt>
                      <c:pt idx="60" formatCode="General">
                        <c:v>-29.70028441754917</c:v>
                      </c:pt>
                      <c:pt idx="61" formatCode="General">
                        <c:v>-29.891055975794252</c:v>
                      </c:pt>
                      <c:pt idx="62" formatCode="General">
                        <c:v>-30.081827534039334</c:v>
                      </c:pt>
                      <c:pt idx="63" formatCode="General">
                        <c:v>-30.27259909228442</c:v>
                      </c:pt>
                      <c:pt idx="64" formatCode="General">
                        <c:v>-30.459018181818184</c:v>
                      </c:pt>
                      <c:pt idx="65" formatCode="General">
                        <c:v>-30.642654545454544</c:v>
                      </c:pt>
                      <c:pt idx="66" formatCode="General">
                        <c:v>-30.815975903614454</c:v>
                      </c:pt>
                      <c:pt idx="67" formatCode="General">
                        <c:v>-30.990090909090906</c:v>
                      </c:pt>
                      <c:pt idx="68" formatCode="General">
                        <c:v>-31.167060606060605</c:v>
                      </c:pt>
                      <c:pt idx="69" formatCode="General">
                        <c:v>-31.338121212121212</c:v>
                      </c:pt>
                      <c:pt idx="70" formatCode="General">
                        <c:v>-31.506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-57.82181818181818</c:v>
                      </c:pt>
                      <c:pt idx="2" formatCode="General">
                        <c:v>-56.458181818181821</c:v>
                      </c:pt>
                      <c:pt idx="3" formatCode="General">
                        <c:v>-55.240545454545455</c:v>
                      </c:pt>
                      <c:pt idx="4" formatCode="General">
                        <c:v>-54.169515151515157</c:v>
                      </c:pt>
                      <c:pt idx="5" formatCode="General">
                        <c:v>-54.163454545454542</c:v>
                      </c:pt>
                      <c:pt idx="6" formatCode="General">
                        <c:v>-53.748132530120479</c:v>
                      </c:pt>
                      <c:pt idx="7" formatCode="General">
                        <c:v>-52.790301204819279</c:v>
                      </c:pt>
                      <c:pt idx="8" formatCode="General">
                        <c:v>-52.266666666666666</c:v>
                      </c:pt>
                      <c:pt idx="9" formatCode="General">
                        <c:v>-51.88</c:v>
                      </c:pt>
                      <c:pt idx="10" formatCode="General">
                        <c:v>-51.546666666666674</c:v>
                      </c:pt>
                      <c:pt idx="11" formatCode="General">
                        <c:v>-51.257726172465965</c:v>
                      </c:pt>
                      <c:pt idx="12" formatCode="General">
                        <c:v>-51.018845688350986</c:v>
                      </c:pt>
                      <c:pt idx="13" formatCode="General">
                        <c:v>-50.779965204236014</c:v>
                      </c:pt>
                      <c:pt idx="14" formatCode="General">
                        <c:v>-50.541084720121034</c:v>
                      </c:pt>
                      <c:pt idx="15" formatCode="General">
                        <c:v>-50.302204236006055</c:v>
                      </c:pt>
                      <c:pt idx="16" formatCode="General">
                        <c:v>-50.063323751891076</c:v>
                      </c:pt>
                      <c:pt idx="17" formatCode="General">
                        <c:v>-49.824443267776097</c:v>
                      </c:pt>
                      <c:pt idx="18" formatCode="General">
                        <c:v>-49.652878787878791</c:v>
                      </c:pt>
                      <c:pt idx="19" formatCode="General">
                        <c:v>-49.495072727272728</c:v>
                      </c:pt>
                      <c:pt idx="20" formatCode="General">
                        <c:v>-49.347799999999999</c:v>
                      </c:pt>
                      <c:pt idx="21" formatCode="General">
                        <c:v>-49.220212121212121</c:v>
                      </c:pt>
                      <c:pt idx="22" formatCode="General">
                        <c:v>-49.108090909090905</c:v>
                      </c:pt>
                      <c:pt idx="23" formatCode="General">
                        <c:v>-49.151174698795181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-60.923190620272315</c:v>
                      </c:pt>
                      <c:pt idx="65" formatCode="General">
                        <c:v>-61.184158850226929</c:v>
                      </c:pt>
                      <c:pt idx="66" formatCode="General">
                        <c:v>-61.445127080181543</c:v>
                      </c:pt>
                      <c:pt idx="67" formatCode="General">
                        <c:v>-61.706095310136156</c:v>
                      </c:pt>
                      <c:pt idx="68" formatCode="General">
                        <c:v>-61.967063540090777</c:v>
                      </c:pt>
                      <c:pt idx="69" formatCode="General">
                        <c:v>-62.228031770045391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-21.105757575757575</c:v>
                      </c:pt>
                      <c:pt idx="1">
                        <c:v>-20.527333333333335</c:v>
                      </c:pt>
                      <c:pt idx="2" formatCode="General">
                        <c:v>-19.994</c:v>
                      </c:pt>
                      <c:pt idx="3" formatCode="General">
                        <c:v>-19.721696969696971</c:v>
                      </c:pt>
                      <c:pt idx="4" formatCode="General">
                        <c:v>-19.592969696969696</c:v>
                      </c:pt>
                      <c:pt idx="5" formatCode="General">
                        <c:v>-20.005090909090907</c:v>
                      </c:pt>
                      <c:pt idx="6" formatCode="General">
                        <c:v>-20.188192771084335</c:v>
                      </c:pt>
                      <c:pt idx="7" formatCode="General">
                        <c:v>-20.067710843373494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-185.65945454545451</c:v>
                      </c:pt>
                      <c:pt idx="1">
                        <c:v>-180.33072727272724</c:v>
                      </c:pt>
                      <c:pt idx="2" formatCode="General">
                        <c:v>-175.38527272727273</c:v>
                      </c:pt>
                      <c:pt idx="3" formatCode="General">
                        <c:v>-170.78933333333333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-100.42183358547655</c:v>
                      </c:pt>
                      <c:pt idx="65" formatCode="General">
                        <c:v>-100.90352798789712</c:v>
                      </c:pt>
                      <c:pt idx="66" formatCode="General">
                        <c:v>-101.38522239031769</c:v>
                      </c:pt>
                      <c:pt idx="67" formatCode="General">
                        <c:v>-101.86691679273828</c:v>
                      </c:pt>
                      <c:pt idx="68" formatCode="General">
                        <c:v>-102.34861119515885</c:v>
                      </c:pt>
                      <c:pt idx="69" formatCode="General">
                        <c:v>-102.83030559757943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-75.533818181818177</c:v>
                      </c:pt>
                      <c:pt idx="4" formatCode="General">
                        <c:v>-73.383030303030296</c:v>
                      </c:pt>
                      <c:pt idx="5" formatCode="General">
                        <c:v>-71.170909090909092</c:v>
                      </c:pt>
                      <c:pt idx="6" formatCode="General">
                        <c:v>-69.156204819277107</c:v>
                      </c:pt>
                      <c:pt idx="7" formatCode="General">
                        <c:v>-67.403192771084335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-36.259464447806359</c:v>
                      </c:pt>
                      <c:pt idx="65" formatCode="General">
                        <c:v>-36.440553706505298</c:v>
                      </c:pt>
                      <c:pt idx="66" formatCode="General">
                        <c:v>-36.621642965204238</c:v>
                      </c:pt>
                      <c:pt idx="67" formatCode="General">
                        <c:v>-36.802732223903178</c:v>
                      </c:pt>
                      <c:pt idx="68" formatCode="General">
                        <c:v>-36.983821482602124</c:v>
                      </c:pt>
                      <c:pt idx="69" formatCode="General">
                        <c:v>-37.164910741301064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-36.464181818181821</c:v>
                      </c:pt>
                      <c:pt idx="3" formatCode="General">
                        <c:v>-35.518848484848483</c:v>
                      </c:pt>
                      <c:pt idx="4" formatCode="General">
                        <c:v>-34.576545454545453</c:v>
                      </c:pt>
                      <c:pt idx="5" formatCode="General">
                        <c:v>-34.158363636363639</c:v>
                      </c:pt>
                      <c:pt idx="6" formatCode="General">
                        <c:v>-33.559939759036148</c:v>
                      </c:pt>
                      <c:pt idx="7" formatCode="General">
                        <c:v>-32.722590361445782</c:v>
                      </c:pt>
                      <c:pt idx="8" formatCode="General">
                        <c:v>-32.114666666666665</c:v>
                      </c:pt>
                      <c:pt idx="9" formatCode="General">
                        <c:v>-31.581818181818182</c:v>
                      </c:pt>
                      <c:pt idx="10" formatCode="General">
                        <c:v>-31.096969696969701</c:v>
                      </c:pt>
                      <c:pt idx="11" formatCode="General">
                        <c:v>-30.656621785173982</c:v>
                      </c:pt>
                      <c:pt idx="12" formatCode="General">
                        <c:v>-30.266455370650533</c:v>
                      </c:pt>
                      <c:pt idx="13" formatCode="General">
                        <c:v>-29.876288956127084</c:v>
                      </c:pt>
                      <c:pt idx="14" formatCode="General">
                        <c:v>-29.486122541603635</c:v>
                      </c:pt>
                      <c:pt idx="15" formatCode="General">
                        <c:v>-29.095956127080186</c:v>
                      </c:pt>
                      <c:pt idx="16" formatCode="General">
                        <c:v>-28.705789712556733</c:v>
                      </c:pt>
                      <c:pt idx="17" formatCode="General">
                        <c:v>-28.315623298033284</c:v>
                      </c:pt>
                      <c:pt idx="18" formatCode="General">
                        <c:v>-27.992575757575761</c:v>
                      </c:pt>
                      <c:pt idx="19" formatCode="General">
                        <c:v>-27.684527272727273</c:v>
                      </c:pt>
                      <c:pt idx="20" formatCode="General">
                        <c:v>-27.3918</c:v>
                      </c:pt>
                      <c:pt idx="21" formatCode="General">
                        <c:v>-27.115363636363636</c:v>
                      </c:pt>
                      <c:pt idx="22" formatCode="General">
                        <c:v>-26.85172727272727</c:v>
                      </c:pt>
                      <c:pt idx="23" formatCode="General">
                        <c:v>-26.744126506024095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-33.02028593040847</c:v>
                      </c:pt>
                      <c:pt idx="65" formatCode="General">
                        <c:v>-33.16173827534039</c:v>
                      </c:pt>
                      <c:pt idx="66" formatCode="General">
                        <c:v>-33.303190620272311</c:v>
                      </c:pt>
                      <c:pt idx="67" formatCode="General">
                        <c:v>-33.444642965204238</c:v>
                      </c:pt>
                      <c:pt idx="68" formatCode="General">
                        <c:v>-33.586095310136159</c:v>
                      </c:pt>
                      <c:pt idx="69" formatCode="General">
                        <c:v>-33.727547655068079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-143.44793939393938</c:v>
                      </c:pt>
                      <c:pt idx="1">
                        <c:v>-139.27606060606061</c:v>
                      </c:pt>
                      <c:pt idx="2" formatCode="General">
                        <c:v>-135.39727272727271</c:v>
                      </c:pt>
                      <c:pt idx="3" formatCode="General">
                        <c:v>-131.34593939393937</c:v>
                      </c:pt>
                      <c:pt idx="4" formatCode="General">
                        <c:v>-127.1730909090909</c:v>
                      </c:pt>
                      <c:pt idx="5" formatCode="General">
                        <c:v>-122.33672727272727</c:v>
                      </c:pt>
                      <c:pt idx="6" formatCode="General">
                        <c:v>-118.12421686746988</c:v>
                      </c:pt>
                      <c:pt idx="7" formatCode="General">
                        <c:v>-114.73867469879519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-44.616024205748872</c:v>
                      </c:pt>
                      <c:pt idx="65" formatCode="General">
                        <c:v>-44.858686838124058</c:v>
                      </c:pt>
                      <c:pt idx="66" formatCode="General">
                        <c:v>-45.101349470499244</c:v>
                      </c:pt>
                      <c:pt idx="67" formatCode="General">
                        <c:v>-45.344012102874437</c:v>
                      </c:pt>
                      <c:pt idx="68" formatCode="General">
                        <c:v>-45.586674735249623</c:v>
                      </c:pt>
                      <c:pt idx="69" formatCode="General">
                        <c:v>-45.829337367624817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-19.02</c:v>
                      </c:pt>
                      <c:pt idx="1">
                        <c:v>-19.02</c:v>
                      </c:pt>
                      <c:pt idx="2" formatCode="General">
                        <c:v>-19.02</c:v>
                      </c:pt>
                      <c:pt idx="3" formatCode="General">
                        <c:v>-19.152727272727272</c:v>
                      </c:pt>
                      <c:pt idx="4" formatCode="General">
                        <c:v>-19.306909090909091</c:v>
                      </c:pt>
                      <c:pt idx="5" formatCode="General">
                        <c:v>-19.143272727272727</c:v>
                      </c:pt>
                      <c:pt idx="6" formatCode="General">
                        <c:v>-19.130301204819279</c:v>
                      </c:pt>
                      <c:pt idx="7" formatCode="General">
                        <c:v>-19.317048192771082</c:v>
                      </c:pt>
                      <c:pt idx="8" formatCode="General">
                        <c:v>-19.369333333333334</c:v>
                      </c:pt>
                      <c:pt idx="9" formatCode="General">
                        <c:v>-19.382181818181817</c:v>
                      </c:pt>
                      <c:pt idx="10" formatCode="General">
                        <c:v>-19.400363636363636</c:v>
                      </c:pt>
                      <c:pt idx="11" formatCode="General">
                        <c:v>-19.418532526475037</c:v>
                      </c:pt>
                      <c:pt idx="12" formatCode="General">
                        <c:v>-19.436686838124054</c:v>
                      </c:pt>
                      <c:pt idx="13" formatCode="General">
                        <c:v>-19.45484114977307</c:v>
                      </c:pt>
                      <c:pt idx="14" formatCode="General">
                        <c:v>-19.472995461422087</c:v>
                      </c:pt>
                      <c:pt idx="15" formatCode="General">
                        <c:v>-19.491149773071104</c:v>
                      </c:pt>
                      <c:pt idx="16" formatCode="General">
                        <c:v>-19.509304084720121</c:v>
                      </c:pt>
                      <c:pt idx="17" formatCode="General">
                        <c:v>-19.527458396369138</c:v>
                      </c:pt>
                      <c:pt idx="18" formatCode="General">
                        <c:v>-19.545636363636362</c:v>
                      </c:pt>
                      <c:pt idx="19" formatCode="General">
                        <c:v>-19.565090909090909</c:v>
                      </c:pt>
                      <c:pt idx="20" formatCode="General">
                        <c:v>-19.589333333333332</c:v>
                      </c:pt>
                      <c:pt idx="21" formatCode="General">
                        <c:v>-19.610181818181818</c:v>
                      </c:pt>
                      <c:pt idx="22" formatCode="General">
                        <c:v>-19.628363636363634</c:v>
                      </c:pt>
                      <c:pt idx="23" formatCode="General">
                        <c:v>-19.542289156626506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-36.464181818181821</c:v>
                      </c:pt>
                      <c:pt idx="3" formatCode="General">
                        <c:v>-35.518848484848483</c:v>
                      </c:pt>
                      <c:pt idx="4" formatCode="General">
                        <c:v>-34.576545454545453</c:v>
                      </c:pt>
                      <c:pt idx="5" formatCode="General">
                        <c:v>-34.158363636363639</c:v>
                      </c:pt>
                      <c:pt idx="6" formatCode="General">
                        <c:v>-33.559939759036148</c:v>
                      </c:pt>
                      <c:pt idx="7" formatCode="General">
                        <c:v>-32.722590361445782</c:v>
                      </c:pt>
                      <c:pt idx="8" formatCode="General">
                        <c:v>-32.114666666666665</c:v>
                      </c:pt>
                      <c:pt idx="9" formatCode="General">
                        <c:v>-31.581818181818182</c:v>
                      </c:pt>
                      <c:pt idx="10" formatCode="General">
                        <c:v>-31.096969696969701</c:v>
                      </c:pt>
                      <c:pt idx="11" formatCode="General">
                        <c:v>-30.656621785173982</c:v>
                      </c:pt>
                      <c:pt idx="12" formatCode="General">
                        <c:v>-30.266455370650533</c:v>
                      </c:pt>
                      <c:pt idx="13" formatCode="General">
                        <c:v>-29.876288956127084</c:v>
                      </c:pt>
                      <c:pt idx="14" formatCode="General">
                        <c:v>-29.486122541603635</c:v>
                      </c:pt>
                      <c:pt idx="15" formatCode="General">
                        <c:v>-29.095956127080186</c:v>
                      </c:pt>
                      <c:pt idx="16" formatCode="General">
                        <c:v>-28.705789712556733</c:v>
                      </c:pt>
                      <c:pt idx="17" formatCode="General">
                        <c:v>-28.315623298033284</c:v>
                      </c:pt>
                      <c:pt idx="18" formatCode="General">
                        <c:v>-27.992575757575761</c:v>
                      </c:pt>
                      <c:pt idx="19" formatCode="General">
                        <c:v>-27.684527272727273</c:v>
                      </c:pt>
                      <c:pt idx="20" formatCode="General">
                        <c:v>-27.3918</c:v>
                      </c:pt>
                      <c:pt idx="21" formatCode="General">
                        <c:v>-27.115363636363636</c:v>
                      </c:pt>
                      <c:pt idx="22" formatCode="General">
                        <c:v>-26.85172727272727</c:v>
                      </c:pt>
                      <c:pt idx="23" formatCode="General">
                        <c:v>-26.744126506024095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-33.02028593040847</c:v>
                      </c:pt>
                      <c:pt idx="65" formatCode="General">
                        <c:v>-33.16173827534039</c:v>
                      </c:pt>
                      <c:pt idx="66" formatCode="General">
                        <c:v>-33.303190620272311</c:v>
                      </c:pt>
                      <c:pt idx="67" formatCode="General">
                        <c:v>-33.444642965204238</c:v>
                      </c:pt>
                      <c:pt idx="68" formatCode="General">
                        <c:v>-33.586095310136159</c:v>
                      </c:pt>
                      <c:pt idx="69" formatCode="General">
                        <c:v>-33.727547655068079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-19.02</c:v>
                      </c:pt>
                      <c:pt idx="1">
                        <c:v>-19.02</c:v>
                      </c:pt>
                      <c:pt idx="2" formatCode="General">
                        <c:v>-19.02</c:v>
                      </c:pt>
                      <c:pt idx="3" formatCode="General">
                        <c:v>-19.152727272727272</c:v>
                      </c:pt>
                      <c:pt idx="4" formatCode="General">
                        <c:v>-19.306909090909091</c:v>
                      </c:pt>
                      <c:pt idx="5" formatCode="General">
                        <c:v>-19.143272727272727</c:v>
                      </c:pt>
                      <c:pt idx="6" formatCode="General">
                        <c:v>-19.130301204819279</c:v>
                      </c:pt>
                      <c:pt idx="7" formatCode="General">
                        <c:v>-19.317048192771082</c:v>
                      </c:pt>
                      <c:pt idx="8" formatCode="General">
                        <c:v>-19.369333333333334</c:v>
                      </c:pt>
                      <c:pt idx="9" formatCode="General">
                        <c:v>-19.382181818181817</c:v>
                      </c:pt>
                      <c:pt idx="10" formatCode="General">
                        <c:v>-19.400363636363636</c:v>
                      </c:pt>
                      <c:pt idx="11" formatCode="General">
                        <c:v>-19.418532526475037</c:v>
                      </c:pt>
                      <c:pt idx="12" formatCode="General">
                        <c:v>-19.436686838124054</c:v>
                      </c:pt>
                      <c:pt idx="13" formatCode="General">
                        <c:v>-19.45484114977307</c:v>
                      </c:pt>
                      <c:pt idx="14" formatCode="General">
                        <c:v>-19.472995461422087</c:v>
                      </c:pt>
                      <c:pt idx="15" formatCode="General">
                        <c:v>-19.491149773071104</c:v>
                      </c:pt>
                      <c:pt idx="16" formatCode="General">
                        <c:v>-19.509304084720121</c:v>
                      </c:pt>
                      <c:pt idx="17" formatCode="General">
                        <c:v>-19.527458396369138</c:v>
                      </c:pt>
                      <c:pt idx="18" formatCode="General">
                        <c:v>-19.545636363636362</c:v>
                      </c:pt>
                      <c:pt idx="19" formatCode="General">
                        <c:v>-19.565090909090909</c:v>
                      </c:pt>
                      <c:pt idx="20" formatCode="General">
                        <c:v>-19.589333333333332</c:v>
                      </c:pt>
                      <c:pt idx="21" formatCode="General">
                        <c:v>-19.610181818181818</c:v>
                      </c:pt>
                      <c:pt idx="22" formatCode="General">
                        <c:v>-19.628363636363634</c:v>
                      </c:pt>
                      <c:pt idx="23" formatCode="General">
                        <c:v>-19.542289156626506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-21.105757575757575</c:v>
                      </c:pt>
                      <c:pt idx="1">
                        <c:v>-20.527333333333335</c:v>
                      </c:pt>
                      <c:pt idx="2" formatCode="General">
                        <c:v>-19.994</c:v>
                      </c:pt>
                      <c:pt idx="3" formatCode="General">
                        <c:v>-19.721696969696971</c:v>
                      </c:pt>
                      <c:pt idx="4" formatCode="General">
                        <c:v>-19.592969696969696</c:v>
                      </c:pt>
                      <c:pt idx="5" formatCode="General">
                        <c:v>-20.005090909090907</c:v>
                      </c:pt>
                      <c:pt idx="6" formatCode="General">
                        <c:v>-20.188192771084335</c:v>
                      </c:pt>
                      <c:pt idx="7" formatCode="General">
                        <c:v>-20.067710843373494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-60.236787878787872</c:v>
                      </c:pt>
                      <c:pt idx="1">
                        <c:v>-58.907818181818179</c:v>
                      </c:pt>
                      <c:pt idx="2" formatCode="General">
                        <c:v>-57.744181818181815</c:v>
                      </c:pt>
                      <c:pt idx="3" formatCode="General">
                        <c:v>-56.770787878787878</c:v>
                      </c:pt>
                      <c:pt idx="4" formatCode="General">
                        <c:v>-55.919636363636364</c:v>
                      </c:pt>
                      <c:pt idx="5" formatCode="General">
                        <c:v>-55.665090909090907</c:v>
                      </c:pt>
                      <c:pt idx="6" formatCode="General">
                        <c:v>-55.214337349397596</c:v>
                      </c:pt>
                      <c:pt idx="7" formatCode="General">
                        <c:v>-54.503493975903616</c:v>
                      </c:pt>
                      <c:pt idx="8" formatCode="General">
                        <c:v>-53.92</c:v>
                      </c:pt>
                      <c:pt idx="9" formatCode="General">
                        <c:v>-53.390327272727269</c:v>
                      </c:pt>
                      <c:pt idx="10" formatCode="General">
                        <c:v>-52.976387878787875</c:v>
                      </c:pt>
                      <c:pt idx="11" formatCode="General">
                        <c:v>-52.647143721633888</c:v>
                      </c:pt>
                      <c:pt idx="12" formatCode="General">
                        <c:v>-52.413406959152795</c:v>
                      </c:pt>
                      <c:pt idx="13" formatCode="General">
                        <c:v>-52.179670196671708</c:v>
                      </c:pt>
                      <c:pt idx="14" formatCode="General">
                        <c:v>-51.945933434190614</c:v>
                      </c:pt>
                      <c:pt idx="15" formatCode="General">
                        <c:v>-51.712196671709528</c:v>
                      </c:pt>
                      <c:pt idx="16" formatCode="General">
                        <c:v>-51.478459909228441</c:v>
                      </c:pt>
                      <c:pt idx="17" formatCode="General">
                        <c:v>-51.244723146747347</c:v>
                      </c:pt>
                      <c:pt idx="18" formatCode="General">
                        <c:v>-51.166654545454541</c:v>
                      </c:pt>
                      <c:pt idx="19" formatCode="General">
                        <c:v>-51.135054545454544</c:v>
                      </c:pt>
                      <c:pt idx="20" formatCode="General">
                        <c:v>-51.182933333333331</c:v>
                      </c:pt>
                      <c:pt idx="21" formatCode="General">
                        <c:v>-51.28070303030303</c:v>
                      </c:pt>
                      <c:pt idx="22" formatCode="General">
                        <c:v>-51.417672727272731</c:v>
                      </c:pt>
                      <c:pt idx="23" formatCode="General">
                        <c:v>-51.628993975903619</c:v>
                      </c:pt>
                      <c:pt idx="24" formatCode="General">
                        <c:v>-51.862848484848492</c:v>
                      </c:pt>
                      <c:pt idx="25" formatCode="General">
                        <c:v>-52.142242424242433</c:v>
                      </c:pt>
                      <c:pt idx="26" formatCode="General">
                        <c:v>-52.432545454545455</c:v>
                      </c:pt>
                      <c:pt idx="27" formatCode="General">
                        <c:v>-52.730121212121212</c:v>
                      </c:pt>
                      <c:pt idx="28" formatCode="General">
                        <c:v>-53.034606060606059</c:v>
                      </c:pt>
                      <c:pt idx="29" formatCode="General">
                        <c:v>-53.343454545454541</c:v>
                      </c:pt>
                      <c:pt idx="30" formatCode="General">
                        <c:v>-53.661636363636369</c:v>
                      </c:pt>
                      <c:pt idx="31" formatCode="General">
                        <c:v>-53.972818456883516</c:v>
                      </c:pt>
                      <c:pt idx="32" formatCode="General">
                        <c:v>-54.280231467473527</c:v>
                      </c:pt>
                      <c:pt idx="33" formatCode="General">
                        <c:v>-54.587644478063538</c:v>
                      </c:pt>
                      <c:pt idx="34" formatCode="General">
                        <c:v>-54.895057488653556</c:v>
                      </c:pt>
                      <c:pt idx="35" formatCode="General">
                        <c:v>-55.202470499243567</c:v>
                      </c:pt>
                      <c:pt idx="36" formatCode="General">
                        <c:v>-55.509883509833585</c:v>
                      </c:pt>
                      <c:pt idx="37" formatCode="General">
                        <c:v>-55.816757942511344</c:v>
                      </c:pt>
                      <c:pt idx="38" formatCode="General">
                        <c:v>-56.110706505295006</c:v>
                      </c:pt>
                      <c:pt idx="39" formatCode="General">
                        <c:v>-56.404655068078668</c:v>
                      </c:pt>
                      <c:pt idx="40" formatCode="General">
                        <c:v>-56.69860363086233</c:v>
                      </c:pt>
                      <c:pt idx="41" formatCode="General">
                        <c:v>-56.992552193645992</c:v>
                      </c:pt>
                      <c:pt idx="42" formatCode="General">
                        <c:v>-57.286500756429653</c:v>
                      </c:pt>
                      <c:pt idx="43" formatCode="General">
                        <c:v>-57.580449319213315</c:v>
                      </c:pt>
                      <c:pt idx="44" formatCode="General">
                        <c:v>-57.869193645990926</c:v>
                      </c:pt>
                      <c:pt idx="45" formatCode="General">
                        <c:v>-58.15103933434191</c:v>
                      </c:pt>
                      <c:pt idx="46" formatCode="General">
                        <c:v>-58.432885022692894</c:v>
                      </c:pt>
                      <c:pt idx="47" formatCode="General">
                        <c:v>-58.714730711043877</c:v>
                      </c:pt>
                      <c:pt idx="48" formatCode="General">
                        <c:v>-58.996576399394861</c:v>
                      </c:pt>
                      <c:pt idx="49" formatCode="General">
                        <c:v>-59.278422087745845</c:v>
                      </c:pt>
                      <c:pt idx="50" formatCode="General">
                        <c:v>-59.560267776096829</c:v>
                      </c:pt>
                      <c:pt idx="51" formatCode="General">
                        <c:v>-59.834139393939395</c:v>
                      </c:pt>
                      <c:pt idx="52" formatCode="General">
                        <c:v>-60.106260606060609</c:v>
                      </c:pt>
                      <c:pt idx="53" formatCode="General">
                        <c:v>-60.378381818181822</c:v>
                      </c:pt>
                      <c:pt idx="54" formatCode="General">
                        <c:v>-60.650503030303028</c:v>
                      </c:pt>
                      <c:pt idx="55" formatCode="General">
                        <c:v>-60.922624242424241</c:v>
                      </c:pt>
                      <c:pt idx="56" formatCode="General">
                        <c:v>-61.194745454545455</c:v>
                      </c:pt>
                      <c:pt idx="57" formatCode="General">
                        <c:v>-61.46743373493976</c:v>
                      </c:pt>
                      <c:pt idx="58" formatCode="General">
                        <c:v>-61.742132530120479</c:v>
                      </c:pt>
                      <c:pt idx="59" formatCode="General">
                        <c:v>-62.009278787878785</c:v>
                      </c:pt>
                      <c:pt idx="60" formatCode="General">
                        <c:v>-62.27049090909091</c:v>
                      </c:pt>
                      <c:pt idx="61" formatCode="General">
                        <c:v>-62.539975757575753</c:v>
                      </c:pt>
                      <c:pt idx="62" formatCode="General">
                        <c:v>-62.809648484848481</c:v>
                      </c:pt>
                      <c:pt idx="63" formatCode="General">
                        <c:v>-63.077527272727274</c:v>
                      </c:pt>
                      <c:pt idx="64" formatCode="General">
                        <c:v>-63.33999092284418</c:v>
                      </c:pt>
                      <c:pt idx="65" formatCode="General">
                        <c:v>-63.598992435703479</c:v>
                      </c:pt>
                      <c:pt idx="66" formatCode="General">
                        <c:v>-63.857993948562786</c:v>
                      </c:pt>
                      <c:pt idx="67" formatCode="General">
                        <c:v>-64.116995461422093</c:v>
                      </c:pt>
                      <c:pt idx="68" formatCode="General">
                        <c:v>-64.375996974281392</c:v>
                      </c:pt>
                      <c:pt idx="69" formatCode="General">
                        <c:v>-64.634998487140706</c:v>
                      </c:pt>
                      <c:pt idx="70" formatCode="General">
                        <c:v>-64.894000000000005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-38.512484848484846</c:v>
                      </c:pt>
                      <c:pt idx="1">
                        <c:v>-37.55684848484848</c:v>
                      </c:pt>
                      <c:pt idx="2" formatCode="General">
                        <c:v>-36.653818181818181</c:v>
                      </c:pt>
                      <c:pt idx="3" formatCode="General">
                        <c:v>-35.821575757575751</c:v>
                      </c:pt>
                      <c:pt idx="4" formatCode="General">
                        <c:v>-35.031515151515151</c:v>
                      </c:pt>
                      <c:pt idx="5" formatCode="General">
                        <c:v>-34.425454545454542</c:v>
                      </c:pt>
                      <c:pt idx="6" formatCode="General">
                        <c:v>-33.800240963855423</c:v>
                      </c:pt>
                      <c:pt idx="7" formatCode="General">
                        <c:v>-33.149638554216871</c:v>
                      </c:pt>
                      <c:pt idx="8" formatCode="General">
                        <c:v>-32.556666666666665</c:v>
                      </c:pt>
                      <c:pt idx="9" formatCode="General">
                        <c:v>-31.989418181818181</c:v>
                      </c:pt>
                      <c:pt idx="10" formatCode="General">
                        <c:v>-31.484569696969697</c:v>
                      </c:pt>
                      <c:pt idx="11" formatCode="General">
                        <c:v>-31.045993948562781</c:v>
                      </c:pt>
                      <c:pt idx="12" formatCode="General">
                        <c:v>-30.682151285930406</c:v>
                      </c:pt>
                      <c:pt idx="13" formatCode="General">
                        <c:v>-30.31830862329803</c:v>
                      </c:pt>
                      <c:pt idx="14" formatCode="General">
                        <c:v>-29.954465960665654</c:v>
                      </c:pt>
                      <c:pt idx="15" formatCode="General">
                        <c:v>-29.590623298033279</c:v>
                      </c:pt>
                      <c:pt idx="16" formatCode="General">
                        <c:v>-29.226780635400907</c:v>
                      </c:pt>
                      <c:pt idx="17" formatCode="General">
                        <c:v>-28.862937972768528</c:v>
                      </c:pt>
                      <c:pt idx="18" formatCode="General">
                        <c:v>-28.662412121212121</c:v>
                      </c:pt>
                      <c:pt idx="19" formatCode="General">
                        <c:v>-28.51087272727273</c:v>
                      </c:pt>
                      <c:pt idx="20" formatCode="General">
                        <c:v>-28.4436</c:v>
                      </c:pt>
                      <c:pt idx="21" formatCode="General">
                        <c:v>-28.426218181818179</c:v>
                      </c:pt>
                      <c:pt idx="22" formatCode="General">
                        <c:v>-28.448036363636362</c:v>
                      </c:pt>
                      <c:pt idx="23" formatCode="General">
                        <c:v>-28.533873493975904</c:v>
                      </c:pt>
                      <c:pt idx="24" formatCode="General">
                        <c:v>-28.638000000000002</c:v>
                      </c:pt>
                      <c:pt idx="25" formatCode="General">
                        <c:v>-28.778000000000002</c:v>
                      </c:pt>
                      <c:pt idx="26" formatCode="General">
                        <c:v>-28.928909090909091</c:v>
                      </c:pt>
                      <c:pt idx="27" formatCode="General">
                        <c:v>-29.087090909090907</c:v>
                      </c:pt>
                      <c:pt idx="28" formatCode="General">
                        <c:v>-29.252181818181818</c:v>
                      </c:pt>
                      <c:pt idx="29" formatCode="General">
                        <c:v>-29.419818181818179</c:v>
                      </c:pt>
                      <c:pt idx="30" formatCode="General">
                        <c:v>-29.592545454545455</c:v>
                      </c:pt>
                      <c:pt idx="31" formatCode="General">
                        <c:v>-29.761366111951592</c:v>
                      </c:pt>
                      <c:pt idx="32" formatCode="General">
                        <c:v>-29.928083207261729</c:v>
                      </c:pt>
                      <c:pt idx="33" formatCode="General">
                        <c:v>-30.094800302571862</c:v>
                      </c:pt>
                      <c:pt idx="34" formatCode="General">
                        <c:v>-30.261517397881999</c:v>
                      </c:pt>
                      <c:pt idx="35" formatCode="General">
                        <c:v>-30.428234493192136</c:v>
                      </c:pt>
                      <c:pt idx="36" formatCode="General">
                        <c:v>-30.594951588502273</c:v>
                      </c:pt>
                      <c:pt idx="37" formatCode="General">
                        <c:v>-30.761372163388806</c:v>
                      </c:pt>
                      <c:pt idx="38" formatCode="General">
                        <c:v>-30.920676248108929</c:v>
                      </c:pt>
                      <c:pt idx="39" formatCode="General">
                        <c:v>-31.079980332829049</c:v>
                      </c:pt>
                      <c:pt idx="40" formatCode="General">
                        <c:v>-31.239284417549168</c:v>
                      </c:pt>
                      <c:pt idx="41" formatCode="General">
                        <c:v>-31.398588502269288</c:v>
                      </c:pt>
                      <c:pt idx="42" formatCode="General">
                        <c:v>-31.557892586989411</c:v>
                      </c:pt>
                      <c:pt idx="43" formatCode="General">
                        <c:v>-31.71719667170953</c:v>
                      </c:pt>
                      <c:pt idx="44" formatCode="General">
                        <c:v>-31.87454916792738</c:v>
                      </c:pt>
                      <c:pt idx="45" formatCode="General">
                        <c:v>-32.029314674735247</c:v>
                      </c:pt>
                      <c:pt idx="46" formatCode="General">
                        <c:v>-32.184080181543116</c:v>
                      </c:pt>
                      <c:pt idx="47" formatCode="General">
                        <c:v>-32.338845688350986</c:v>
                      </c:pt>
                      <c:pt idx="48" formatCode="General">
                        <c:v>-32.493611195158856</c:v>
                      </c:pt>
                      <c:pt idx="49" formatCode="General">
                        <c:v>-32.648376701966718</c:v>
                      </c:pt>
                      <c:pt idx="50" formatCode="General">
                        <c:v>-32.803142208774588</c:v>
                      </c:pt>
                      <c:pt idx="51" formatCode="General">
                        <c:v>-32.957230303030308</c:v>
                      </c:pt>
                      <c:pt idx="52" formatCode="General">
                        <c:v>-33.111169696969704</c:v>
                      </c:pt>
                      <c:pt idx="53" formatCode="General">
                        <c:v>-33.265109090909093</c:v>
                      </c:pt>
                      <c:pt idx="54" formatCode="General">
                        <c:v>-33.419048484848489</c:v>
                      </c:pt>
                      <c:pt idx="55" formatCode="General">
                        <c:v>-33.572987878787885</c:v>
                      </c:pt>
                      <c:pt idx="56" formatCode="General">
                        <c:v>-33.726927272727274</c:v>
                      </c:pt>
                      <c:pt idx="57" formatCode="General">
                        <c:v>-33.880927710843373</c:v>
                      </c:pt>
                      <c:pt idx="58" formatCode="General">
                        <c:v>-34.035144578313258</c:v>
                      </c:pt>
                      <c:pt idx="59" formatCode="General">
                        <c:v>-34.184793939393941</c:v>
                      </c:pt>
                      <c:pt idx="60" formatCode="General">
                        <c:v>-34.33085454545455</c:v>
                      </c:pt>
                      <c:pt idx="61" formatCode="General">
                        <c:v>-34.479672727272728</c:v>
                      </c:pt>
                      <c:pt idx="62" formatCode="General">
                        <c:v>-34.628133333333331</c:v>
                      </c:pt>
                      <c:pt idx="63" formatCode="General">
                        <c:v>-34.774799999999999</c:v>
                      </c:pt>
                      <c:pt idx="64" formatCode="General">
                        <c:v>-34.918009077155823</c:v>
                      </c:pt>
                      <c:pt idx="65" formatCode="General">
                        <c:v>-35.059007564296522</c:v>
                      </c:pt>
                      <c:pt idx="66" formatCode="General">
                        <c:v>-35.200006051437214</c:v>
                      </c:pt>
                      <c:pt idx="67" formatCode="General">
                        <c:v>-35.341004538577913</c:v>
                      </c:pt>
                      <c:pt idx="68" formatCode="General">
                        <c:v>-35.482003025718605</c:v>
                      </c:pt>
                      <c:pt idx="69" formatCode="General">
                        <c:v>-35.623001512859304</c:v>
                      </c:pt>
                      <c:pt idx="70" formatCode="General">
                        <c:v>-35.763999999999996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-143.49206060606059</c:v>
                      </c:pt>
                      <c:pt idx="1">
                        <c:v>-138.9310909090909</c:v>
                      </c:pt>
                      <c:pt idx="2" formatCode="General">
                        <c:v>-134.51290909090909</c:v>
                      </c:pt>
                      <c:pt idx="3" formatCode="General">
                        <c:v>-130.23187878787877</c:v>
                      </c:pt>
                      <c:pt idx="4" formatCode="General">
                        <c:v>-125.95890909090909</c:v>
                      </c:pt>
                      <c:pt idx="5" formatCode="General">
                        <c:v>-121.19527272727272</c:v>
                      </c:pt>
                      <c:pt idx="6" formatCode="General">
                        <c:v>-116.98277108433736</c:v>
                      </c:pt>
                      <c:pt idx="7" formatCode="General">
                        <c:v>-113.50084337349398</c:v>
                      </c:pt>
                      <c:pt idx="8" formatCode="General">
                        <c:v>-110.11933333333334</c:v>
                      </c:pt>
                      <c:pt idx="9" formatCode="General">
                        <c:v>-106.78672727272728</c:v>
                      </c:pt>
                      <c:pt idx="10" formatCode="General">
                        <c:v>-103.59278787878789</c:v>
                      </c:pt>
                      <c:pt idx="11" formatCode="General">
                        <c:v>-100.63860816944025</c:v>
                      </c:pt>
                      <c:pt idx="12" formatCode="General">
                        <c:v>-97.954795763993957</c:v>
                      </c:pt>
                      <c:pt idx="13" formatCode="General">
                        <c:v>-95.270983358547653</c:v>
                      </c:pt>
                      <c:pt idx="14" formatCode="General">
                        <c:v>-92.587170953101364</c:v>
                      </c:pt>
                      <c:pt idx="15" formatCode="General">
                        <c:v>-89.90335854765506</c:v>
                      </c:pt>
                      <c:pt idx="16" formatCode="General">
                        <c:v>-87.21954614220877</c:v>
                      </c:pt>
                      <c:pt idx="17" formatCode="General">
                        <c:v>-84.535733736762467</c:v>
                      </c:pt>
                      <c:pt idx="18" formatCode="General">
                        <c:v>-82.314909090909083</c:v>
                      </c:pt>
                      <c:pt idx="19" formatCode="General">
                        <c:v>-80.208909090909088</c:v>
                      </c:pt>
                      <c:pt idx="20" formatCode="General">
                        <c:v>-78.251333333333335</c:v>
                      </c:pt>
                      <c:pt idx="21" formatCode="General">
                        <c:v>-76.354848484848489</c:v>
                      </c:pt>
                      <c:pt idx="22" formatCode="General">
                        <c:v>-74.506363636363631</c:v>
                      </c:pt>
                      <c:pt idx="23" formatCode="General">
                        <c:v>-72.788614457831329</c:v>
                      </c:pt>
                      <c:pt idx="24" formatCode="General">
                        <c:v>-71.108484848484849</c:v>
                      </c:pt>
                      <c:pt idx="25" formatCode="General">
                        <c:v>-69.50242424242424</c:v>
                      </c:pt>
                      <c:pt idx="26" formatCode="General">
                        <c:v>-67.976363636363644</c:v>
                      </c:pt>
                      <c:pt idx="27" formatCode="General">
                        <c:v>-66.503636363636375</c:v>
                      </c:pt>
                      <c:pt idx="28" formatCode="General">
                        <c:v>-65.157575757575756</c:v>
                      </c:pt>
                      <c:pt idx="29" formatCode="General">
                        <c:v>-63.856363636363632</c:v>
                      </c:pt>
                      <c:pt idx="30" formatCode="General">
                        <c:v>-62.644242424242421</c:v>
                      </c:pt>
                      <c:pt idx="31" formatCode="General">
                        <c:v>-61.562133131618758</c:v>
                      </c:pt>
                      <c:pt idx="32" formatCode="General">
                        <c:v>-60.55003025718608</c:v>
                      </c:pt>
                      <c:pt idx="33" formatCode="General">
                        <c:v>-59.537927382753402</c:v>
                      </c:pt>
                      <c:pt idx="34" formatCode="General">
                        <c:v>-58.525824508320724</c:v>
                      </c:pt>
                      <c:pt idx="35" formatCode="General">
                        <c:v>-57.513721633888053</c:v>
                      </c:pt>
                      <c:pt idx="36" formatCode="General">
                        <c:v>-56.501618759455376</c:v>
                      </c:pt>
                      <c:pt idx="37" formatCode="General">
                        <c:v>-55.49774583963692</c:v>
                      </c:pt>
                      <c:pt idx="38" formatCode="General">
                        <c:v>-54.691391830559759</c:v>
                      </c:pt>
                      <c:pt idx="39" formatCode="General">
                        <c:v>-53.885037821482605</c:v>
                      </c:pt>
                      <c:pt idx="40" formatCode="General">
                        <c:v>-53.078683812405451</c:v>
                      </c:pt>
                      <c:pt idx="41" formatCode="General">
                        <c:v>-52.272329803328297</c:v>
                      </c:pt>
                      <c:pt idx="42" formatCode="General">
                        <c:v>-51.465975794251143</c:v>
                      </c:pt>
                      <c:pt idx="43" formatCode="General">
                        <c:v>-50.659621785173982</c:v>
                      </c:pt>
                      <c:pt idx="44" formatCode="General">
                        <c:v>-49.940438729198192</c:v>
                      </c:pt>
                      <c:pt idx="45" formatCode="General">
                        <c:v>-49.336807866868384</c:v>
                      </c:pt>
                      <c:pt idx="46" formatCode="General">
                        <c:v>-48.733177004538582</c:v>
                      </c:pt>
                      <c:pt idx="47" formatCode="General">
                        <c:v>-48.129546142208774</c:v>
                      </c:pt>
                      <c:pt idx="48" formatCode="General">
                        <c:v>-47.525915279878973</c:v>
                      </c:pt>
                      <c:pt idx="49" formatCode="General">
                        <c:v>-46.922284417549164</c:v>
                      </c:pt>
                      <c:pt idx="50" formatCode="General">
                        <c:v>-46.318653555219363</c:v>
                      </c:pt>
                      <c:pt idx="51" formatCode="General">
                        <c:v>-46.0000303030303</c:v>
                      </c:pt>
                      <c:pt idx="52" formatCode="General">
                        <c:v>-45.743969696969693</c:v>
                      </c:pt>
                      <c:pt idx="53" formatCode="General">
                        <c:v>-45.487909090909092</c:v>
                      </c:pt>
                      <c:pt idx="54" formatCode="General">
                        <c:v>-45.231848484848484</c:v>
                      </c:pt>
                      <c:pt idx="55" formatCode="General">
                        <c:v>-44.975787878787877</c:v>
                      </c:pt>
                      <c:pt idx="56" formatCode="General">
                        <c:v>-44.719727272727269</c:v>
                      </c:pt>
                      <c:pt idx="57" formatCode="General">
                        <c:v>-44.517879518072284</c:v>
                      </c:pt>
                      <c:pt idx="58" formatCode="General">
                        <c:v>-44.508240963855421</c:v>
                      </c:pt>
                      <c:pt idx="59" formatCode="General">
                        <c:v>-44.531830303030304</c:v>
                      </c:pt>
                      <c:pt idx="60" formatCode="General">
                        <c:v>-44.581527272727271</c:v>
                      </c:pt>
                      <c:pt idx="61" formatCode="General">
                        <c:v>-44.676448484848486</c:v>
                      </c:pt>
                      <c:pt idx="62" formatCode="General">
                        <c:v>-44.783090909090909</c:v>
                      </c:pt>
                      <c:pt idx="63" formatCode="General">
                        <c:v>-44.910363636363634</c:v>
                      </c:pt>
                      <c:pt idx="64" formatCode="General">
                        <c:v>-45.051730711043874</c:v>
                      </c:pt>
                      <c:pt idx="65" formatCode="General">
                        <c:v>-45.202108925869894</c:v>
                      </c:pt>
                      <c:pt idx="66" formatCode="General">
                        <c:v>-45.352487140695914</c:v>
                      </c:pt>
                      <c:pt idx="67" formatCode="General">
                        <c:v>-45.502865355521941</c:v>
                      </c:pt>
                      <c:pt idx="68" formatCode="General">
                        <c:v>-45.653243570347961</c:v>
                      </c:pt>
                      <c:pt idx="69" formatCode="General">
                        <c:v>-45.803621785173981</c:v>
                      </c:pt>
                      <c:pt idx="70" formatCode="General">
                        <c:v>-45.954000000000001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-18.888727272727273</c:v>
                      </c:pt>
                      <c:pt idx="1">
                        <c:v>-18.91151515151515</c:v>
                      </c:pt>
                      <c:pt idx="2" formatCode="General">
                        <c:v>-18.941818181818181</c:v>
                      </c:pt>
                      <c:pt idx="3" formatCode="General">
                        <c:v>-18.976545454545455</c:v>
                      </c:pt>
                      <c:pt idx="4" formatCode="General">
                        <c:v>-19.008545454545455</c:v>
                      </c:pt>
                      <c:pt idx="5" formatCode="General">
                        <c:v>-18.990363636363636</c:v>
                      </c:pt>
                      <c:pt idx="6" formatCode="General">
                        <c:v>-18.995542168674699</c:v>
                      </c:pt>
                      <c:pt idx="7" formatCode="General">
                        <c:v>-19.031686746987951</c:v>
                      </c:pt>
                      <c:pt idx="8" formatCode="General">
                        <c:v>-19.063333333333333</c:v>
                      </c:pt>
                      <c:pt idx="9" formatCode="General">
                        <c:v>-19.093636363636364</c:v>
                      </c:pt>
                      <c:pt idx="10" formatCode="General">
                        <c:v>-19.123939393939395</c:v>
                      </c:pt>
                      <c:pt idx="11" formatCode="General">
                        <c:v>-19.142844175491678</c:v>
                      </c:pt>
                      <c:pt idx="12" formatCode="General">
                        <c:v>-19.148895612708017</c:v>
                      </c:pt>
                      <c:pt idx="13" formatCode="General">
                        <c:v>-19.154947049924356</c:v>
                      </c:pt>
                      <c:pt idx="14" formatCode="General">
                        <c:v>-19.160998487140695</c:v>
                      </c:pt>
                      <c:pt idx="15" formatCode="General">
                        <c:v>-19.167049924357034</c:v>
                      </c:pt>
                      <c:pt idx="16" formatCode="General">
                        <c:v>-19.173101361573373</c:v>
                      </c:pt>
                      <c:pt idx="17" formatCode="General">
                        <c:v>-19.179152798789712</c:v>
                      </c:pt>
                      <c:pt idx="18" formatCode="General">
                        <c:v>-19.153939393939392</c:v>
                      </c:pt>
                      <c:pt idx="19" formatCode="General">
                        <c:v>-19.123636363636361</c:v>
                      </c:pt>
                      <c:pt idx="20" formatCode="General">
                        <c:v>-19.09333333333333</c:v>
                      </c:pt>
                      <c:pt idx="21" formatCode="General">
                        <c:v>-19.06642424242424</c:v>
                      </c:pt>
                      <c:pt idx="22" formatCode="General">
                        <c:v>-19.042181818181817</c:v>
                      </c:pt>
                      <c:pt idx="23" formatCode="General">
                        <c:v>-19.034518072289156</c:v>
                      </c:pt>
                      <c:pt idx="24" formatCode="General">
                        <c:v>-19.031515151515151</c:v>
                      </c:pt>
                      <c:pt idx="25" formatCode="General">
                        <c:v>-19.037575757575759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-19.07151515151515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-60.236787878787872</c:v>
                      </c:pt>
                      <c:pt idx="1">
                        <c:v>-58.907818181818179</c:v>
                      </c:pt>
                      <c:pt idx="2" formatCode="General">
                        <c:v>-57.744181818181815</c:v>
                      </c:pt>
                      <c:pt idx="3" formatCode="General">
                        <c:v>-56.770787878787878</c:v>
                      </c:pt>
                      <c:pt idx="4" formatCode="General">
                        <c:v>-55.919636363636364</c:v>
                      </c:pt>
                      <c:pt idx="5" formatCode="General">
                        <c:v>-55.665090909090907</c:v>
                      </c:pt>
                      <c:pt idx="6" formatCode="General">
                        <c:v>-55.214337349397596</c:v>
                      </c:pt>
                      <c:pt idx="7" formatCode="General">
                        <c:v>-54.503493975903616</c:v>
                      </c:pt>
                      <c:pt idx="8" formatCode="General">
                        <c:v>-53.92</c:v>
                      </c:pt>
                      <c:pt idx="9" formatCode="General">
                        <c:v>-53.390327272727269</c:v>
                      </c:pt>
                      <c:pt idx="10" formatCode="General">
                        <c:v>-52.976387878787875</c:v>
                      </c:pt>
                      <c:pt idx="11" formatCode="General">
                        <c:v>-52.647143721633888</c:v>
                      </c:pt>
                      <c:pt idx="12" formatCode="General">
                        <c:v>-52.413406959152795</c:v>
                      </c:pt>
                      <c:pt idx="13" formatCode="General">
                        <c:v>-52.179670196671708</c:v>
                      </c:pt>
                      <c:pt idx="14" formatCode="General">
                        <c:v>-51.945933434190614</c:v>
                      </c:pt>
                      <c:pt idx="15" formatCode="General">
                        <c:v>-51.712196671709528</c:v>
                      </c:pt>
                      <c:pt idx="16" formatCode="General">
                        <c:v>-51.478459909228441</c:v>
                      </c:pt>
                      <c:pt idx="17" formatCode="General">
                        <c:v>-51.244723146747347</c:v>
                      </c:pt>
                      <c:pt idx="18" formatCode="General">
                        <c:v>-51.166654545454541</c:v>
                      </c:pt>
                      <c:pt idx="19" formatCode="General">
                        <c:v>-51.135054545454544</c:v>
                      </c:pt>
                      <c:pt idx="20" formatCode="General">
                        <c:v>-51.182933333333331</c:v>
                      </c:pt>
                      <c:pt idx="21" formatCode="General">
                        <c:v>-51.28070303030303</c:v>
                      </c:pt>
                      <c:pt idx="22" formatCode="General">
                        <c:v>-51.417672727272731</c:v>
                      </c:pt>
                      <c:pt idx="23" formatCode="General">
                        <c:v>-51.628993975903619</c:v>
                      </c:pt>
                      <c:pt idx="24" formatCode="General">
                        <c:v>-51.862848484848492</c:v>
                      </c:pt>
                      <c:pt idx="25" formatCode="General">
                        <c:v>-52.142242424242433</c:v>
                      </c:pt>
                      <c:pt idx="26" formatCode="General">
                        <c:v>-52.432545454545455</c:v>
                      </c:pt>
                      <c:pt idx="27" formatCode="General">
                        <c:v>-52.730121212121212</c:v>
                      </c:pt>
                      <c:pt idx="28" formatCode="General">
                        <c:v>-53.034606060606059</c:v>
                      </c:pt>
                      <c:pt idx="29" formatCode="General">
                        <c:v>-53.343454545454541</c:v>
                      </c:pt>
                      <c:pt idx="30" formatCode="General">
                        <c:v>-53.661636363636369</c:v>
                      </c:pt>
                      <c:pt idx="31" formatCode="General">
                        <c:v>-53.972818456883516</c:v>
                      </c:pt>
                      <c:pt idx="32" formatCode="General">
                        <c:v>-54.280231467473527</c:v>
                      </c:pt>
                      <c:pt idx="33" formatCode="General">
                        <c:v>-54.587644478063538</c:v>
                      </c:pt>
                      <c:pt idx="34" formatCode="General">
                        <c:v>-54.895057488653556</c:v>
                      </c:pt>
                      <c:pt idx="35" formatCode="General">
                        <c:v>-55.202470499243567</c:v>
                      </c:pt>
                      <c:pt idx="36" formatCode="General">
                        <c:v>-55.509883509833585</c:v>
                      </c:pt>
                      <c:pt idx="37" formatCode="General">
                        <c:v>-55.816757942511344</c:v>
                      </c:pt>
                      <c:pt idx="38" formatCode="General">
                        <c:v>-56.110706505295006</c:v>
                      </c:pt>
                      <c:pt idx="39" formatCode="General">
                        <c:v>-56.404655068078668</c:v>
                      </c:pt>
                      <c:pt idx="40" formatCode="General">
                        <c:v>-56.69860363086233</c:v>
                      </c:pt>
                      <c:pt idx="41" formatCode="General">
                        <c:v>-56.992552193645992</c:v>
                      </c:pt>
                      <c:pt idx="42" formatCode="General">
                        <c:v>-57.286500756429653</c:v>
                      </c:pt>
                      <c:pt idx="43" formatCode="General">
                        <c:v>-57.580449319213315</c:v>
                      </c:pt>
                      <c:pt idx="44" formatCode="General">
                        <c:v>-57.869193645990926</c:v>
                      </c:pt>
                      <c:pt idx="45" formatCode="General">
                        <c:v>-58.15103933434191</c:v>
                      </c:pt>
                      <c:pt idx="46" formatCode="General">
                        <c:v>-58.432885022692894</c:v>
                      </c:pt>
                      <c:pt idx="47" formatCode="General">
                        <c:v>-58.714730711043877</c:v>
                      </c:pt>
                      <c:pt idx="48" formatCode="General">
                        <c:v>-58.996576399394861</c:v>
                      </c:pt>
                      <c:pt idx="49" formatCode="General">
                        <c:v>-59.278422087745845</c:v>
                      </c:pt>
                      <c:pt idx="50" formatCode="General">
                        <c:v>-59.560267776096829</c:v>
                      </c:pt>
                      <c:pt idx="51" formatCode="General">
                        <c:v>-59.834139393939395</c:v>
                      </c:pt>
                      <c:pt idx="52" formatCode="General">
                        <c:v>-60.106260606060609</c:v>
                      </c:pt>
                      <c:pt idx="53" formatCode="General">
                        <c:v>-60.378381818181822</c:v>
                      </c:pt>
                      <c:pt idx="54" formatCode="General">
                        <c:v>-60.650503030303028</c:v>
                      </c:pt>
                      <c:pt idx="55" formatCode="General">
                        <c:v>-60.922624242424241</c:v>
                      </c:pt>
                      <c:pt idx="56" formatCode="General">
                        <c:v>-61.194745454545455</c:v>
                      </c:pt>
                      <c:pt idx="57" formatCode="General">
                        <c:v>-61.46743373493976</c:v>
                      </c:pt>
                      <c:pt idx="58" formatCode="General">
                        <c:v>-61.742132530120479</c:v>
                      </c:pt>
                      <c:pt idx="59" formatCode="General">
                        <c:v>-62.009278787878785</c:v>
                      </c:pt>
                      <c:pt idx="60" formatCode="General">
                        <c:v>-62.27049090909091</c:v>
                      </c:pt>
                      <c:pt idx="61" formatCode="General">
                        <c:v>-62.539975757575753</c:v>
                      </c:pt>
                      <c:pt idx="62" formatCode="General">
                        <c:v>-62.809648484848481</c:v>
                      </c:pt>
                      <c:pt idx="63" formatCode="General">
                        <c:v>-63.077527272727274</c:v>
                      </c:pt>
                      <c:pt idx="64" formatCode="General">
                        <c:v>-63.33999092284418</c:v>
                      </c:pt>
                      <c:pt idx="65" formatCode="General">
                        <c:v>-63.598992435703479</c:v>
                      </c:pt>
                      <c:pt idx="66" formatCode="General">
                        <c:v>-63.857993948562786</c:v>
                      </c:pt>
                      <c:pt idx="67" formatCode="General">
                        <c:v>-64.116995461422093</c:v>
                      </c:pt>
                      <c:pt idx="68" formatCode="General">
                        <c:v>-64.375996974281392</c:v>
                      </c:pt>
                      <c:pt idx="69" formatCode="General">
                        <c:v>-64.634998487140706</c:v>
                      </c:pt>
                      <c:pt idx="70" formatCode="General">
                        <c:v>-64.894000000000005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-38.512484848484846</c:v>
                      </c:pt>
                      <c:pt idx="1">
                        <c:v>-37.55684848484848</c:v>
                      </c:pt>
                      <c:pt idx="2" formatCode="General">
                        <c:v>-36.653818181818181</c:v>
                      </c:pt>
                      <c:pt idx="3" formatCode="General">
                        <c:v>-35.821575757575751</c:v>
                      </c:pt>
                      <c:pt idx="4" formatCode="General">
                        <c:v>-35.031515151515151</c:v>
                      </c:pt>
                      <c:pt idx="5" formatCode="General">
                        <c:v>-34.425454545454542</c:v>
                      </c:pt>
                      <c:pt idx="6" formatCode="General">
                        <c:v>-33.800240963855423</c:v>
                      </c:pt>
                      <c:pt idx="7" formatCode="General">
                        <c:v>-33.149638554216871</c:v>
                      </c:pt>
                      <c:pt idx="8" formatCode="General">
                        <c:v>-32.556666666666665</c:v>
                      </c:pt>
                      <c:pt idx="9" formatCode="General">
                        <c:v>-31.989418181818181</c:v>
                      </c:pt>
                      <c:pt idx="10" formatCode="General">
                        <c:v>-31.484569696969697</c:v>
                      </c:pt>
                      <c:pt idx="11" formatCode="General">
                        <c:v>-31.045993948562781</c:v>
                      </c:pt>
                      <c:pt idx="12" formatCode="General">
                        <c:v>-30.682151285930406</c:v>
                      </c:pt>
                      <c:pt idx="13" formatCode="General">
                        <c:v>-30.31830862329803</c:v>
                      </c:pt>
                      <c:pt idx="14" formatCode="General">
                        <c:v>-29.954465960665654</c:v>
                      </c:pt>
                      <c:pt idx="15" formatCode="General">
                        <c:v>-29.590623298033279</c:v>
                      </c:pt>
                      <c:pt idx="16" formatCode="General">
                        <c:v>-29.226780635400907</c:v>
                      </c:pt>
                      <c:pt idx="17" formatCode="General">
                        <c:v>-28.862937972768528</c:v>
                      </c:pt>
                      <c:pt idx="18" formatCode="General">
                        <c:v>-28.662412121212121</c:v>
                      </c:pt>
                      <c:pt idx="19" formatCode="General">
                        <c:v>-28.51087272727273</c:v>
                      </c:pt>
                      <c:pt idx="20" formatCode="General">
                        <c:v>-28.4436</c:v>
                      </c:pt>
                      <c:pt idx="21" formatCode="General">
                        <c:v>-28.426218181818179</c:v>
                      </c:pt>
                      <c:pt idx="22" formatCode="General">
                        <c:v>-28.448036363636362</c:v>
                      </c:pt>
                      <c:pt idx="23" formatCode="General">
                        <c:v>-28.533873493975904</c:v>
                      </c:pt>
                      <c:pt idx="24" formatCode="General">
                        <c:v>-28.638000000000002</c:v>
                      </c:pt>
                      <c:pt idx="25" formatCode="General">
                        <c:v>-28.778000000000002</c:v>
                      </c:pt>
                      <c:pt idx="26" formatCode="General">
                        <c:v>-28.928909090909091</c:v>
                      </c:pt>
                      <c:pt idx="27" formatCode="General">
                        <c:v>-29.087090909090907</c:v>
                      </c:pt>
                      <c:pt idx="28" formatCode="General">
                        <c:v>-29.252181818181818</c:v>
                      </c:pt>
                      <c:pt idx="29" formatCode="General">
                        <c:v>-29.419818181818179</c:v>
                      </c:pt>
                      <c:pt idx="30" formatCode="General">
                        <c:v>-29.592545454545455</c:v>
                      </c:pt>
                      <c:pt idx="31" formatCode="General">
                        <c:v>-29.761366111951592</c:v>
                      </c:pt>
                      <c:pt idx="32" formatCode="General">
                        <c:v>-29.928083207261729</c:v>
                      </c:pt>
                      <c:pt idx="33" formatCode="General">
                        <c:v>-30.094800302571862</c:v>
                      </c:pt>
                      <c:pt idx="34" formatCode="General">
                        <c:v>-30.261517397881999</c:v>
                      </c:pt>
                      <c:pt idx="35" formatCode="General">
                        <c:v>-30.428234493192136</c:v>
                      </c:pt>
                      <c:pt idx="36" formatCode="General">
                        <c:v>-30.594951588502273</c:v>
                      </c:pt>
                      <c:pt idx="37" formatCode="General">
                        <c:v>-30.761372163388806</c:v>
                      </c:pt>
                      <c:pt idx="38" formatCode="General">
                        <c:v>-30.920676248108929</c:v>
                      </c:pt>
                      <c:pt idx="39" formatCode="General">
                        <c:v>-31.079980332829049</c:v>
                      </c:pt>
                      <c:pt idx="40" formatCode="General">
                        <c:v>-31.239284417549168</c:v>
                      </c:pt>
                      <c:pt idx="41" formatCode="General">
                        <c:v>-31.398588502269288</c:v>
                      </c:pt>
                      <c:pt idx="42" formatCode="General">
                        <c:v>-31.557892586989411</c:v>
                      </c:pt>
                      <c:pt idx="43" formatCode="General">
                        <c:v>-31.71719667170953</c:v>
                      </c:pt>
                      <c:pt idx="44" formatCode="General">
                        <c:v>-31.87454916792738</c:v>
                      </c:pt>
                      <c:pt idx="45" formatCode="General">
                        <c:v>-32.029314674735247</c:v>
                      </c:pt>
                      <c:pt idx="46" formatCode="General">
                        <c:v>-32.184080181543116</c:v>
                      </c:pt>
                      <c:pt idx="47" formatCode="General">
                        <c:v>-32.338845688350986</c:v>
                      </c:pt>
                      <c:pt idx="48" formatCode="General">
                        <c:v>-32.493611195158856</c:v>
                      </c:pt>
                      <c:pt idx="49" formatCode="General">
                        <c:v>-32.648376701966718</c:v>
                      </c:pt>
                      <c:pt idx="50" formatCode="General">
                        <c:v>-32.803142208774588</c:v>
                      </c:pt>
                      <c:pt idx="51" formatCode="General">
                        <c:v>-32.957230303030308</c:v>
                      </c:pt>
                      <c:pt idx="52" formatCode="General">
                        <c:v>-33.111169696969704</c:v>
                      </c:pt>
                      <c:pt idx="53" formatCode="General">
                        <c:v>-33.265109090909093</c:v>
                      </c:pt>
                      <c:pt idx="54" formatCode="General">
                        <c:v>-33.419048484848489</c:v>
                      </c:pt>
                      <c:pt idx="55" formatCode="General">
                        <c:v>-33.572987878787885</c:v>
                      </c:pt>
                      <c:pt idx="56" formatCode="General">
                        <c:v>-33.726927272727274</c:v>
                      </c:pt>
                      <c:pt idx="57" formatCode="General">
                        <c:v>-33.880927710843373</c:v>
                      </c:pt>
                      <c:pt idx="58" formatCode="General">
                        <c:v>-34.035144578313258</c:v>
                      </c:pt>
                      <c:pt idx="59" formatCode="General">
                        <c:v>-34.184793939393941</c:v>
                      </c:pt>
                      <c:pt idx="60" formatCode="General">
                        <c:v>-34.33085454545455</c:v>
                      </c:pt>
                      <c:pt idx="61" formatCode="General">
                        <c:v>-34.479672727272728</c:v>
                      </c:pt>
                      <c:pt idx="62" formatCode="General">
                        <c:v>-34.628133333333331</c:v>
                      </c:pt>
                      <c:pt idx="63" formatCode="General">
                        <c:v>-34.774799999999999</c:v>
                      </c:pt>
                      <c:pt idx="64" formatCode="General">
                        <c:v>-34.918009077155823</c:v>
                      </c:pt>
                      <c:pt idx="65" formatCode="General">
                        <c:v>-35.059007564296522</c:v>
                      </c:pt>
                      <c:pt idx="66" formatCode="General">
                        <c:v>-35.200006051437214</c:v>
                      </c:pt>
                      <c:pt idx="67" formatCode="General">
                        <c:v>-35.341004538577913</c:v>
                      </c:pt>
                      <c:pt idx="68" formatCode="General">
                        <c:v>-35.482003025718605</c:v>
                      </c:pt>
                      <c:pt idx="69" formatCode="General">
                        <c:v>-35.623001512859304</c:v>
                      </c:pt>
                      <c:pt idx="70" formatCode="General">
                        <c:v>-35.763999999999996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-186.94066666666666</c:v>
                      </c:pt>
                      <c:pt idx="1">
                        <c:v>-181.6330303030303</c:v>
                      </c:pt>
                      <c:pt idx="2" formatCode="General">
                        <c:v>-176.69363636363636</c:v>
                      </c:pt>
                      <c:pt idx="3" formatCode="General">
                        <c:v>-172.13030303030303</c:v>
                      </c:pt>
                      <c:pt idx="4" formatCode="General">
                        <c:v>-167.7351515151515</c:v>
                      </c:pt>
                      <c:pt idx="5" formatCode="General">
                        <c:v>-163.67454545454547</c:v>
                      </c:pt>
                      <c:pt idx="6" formatCode="General">
                        <c:v>-159.8109638554217</c:v>
                      </c:pt>
                      <c:pt idx="7" formatCode="General">
                        <c:v>-156.20855421686747</c:v>
                      </c:pt>
                      <c:pt idx="8" formatCode="General">
                        <c:v>-152.846</c:v>
                      </c:pt>
                      <c:pt idx="9" formatCode="General">
                        <c:v>-149.58854545454545</c:v>
                      </c:pt>
                      <c:pt idx="10" formatCode="General">
                        <c:v>-146.57642424242425</c:v>
                      </c:pt>
                      <c:pt idx="11" formatCode="General">
                        <c:v>-143.84090771558246</c:v>
                      </c:pt>
                      <c:pt idx="12" formatCode="General">
                        <c:v>-141.41730711043874</c:v>
                      </c:pt>
                      <c:pt idx="13" formatCode="General">
                        <c:v>-138.99370650529502</c:v>
                      </c:pt>
                      <c:pt idx="14" formatCode="General">
                        <c:v>-136.57010590015128</c:v>
                      </c:pt>
                      <c:pt idx="15" formatCode="General">
                        <c:v>-134.14650529500756</c:v>
                      </c:pt>
                      <c:pt idx="16" formatCode="General">
                        <c:v>-131.72290468986381</c:v>
                      </c:pt>
                      <c:pt idx="17" formatCode="General">
                        <c:v>-129.29930408472009</c:v>
                      </c:pt>
                      <c:pt idx="18" formatCode="General">
                        <c:v>-127.32339393939394</c:v>
                      </c:pt>
                      <c:pt idx="19" formatCode="General">
                        <c:v>-125.45727272727274</c:v>
                      </c:pt>
                      <c:pt idx="20" formatCode="General">
                        <c:v>-123.73</c:v>
                      </c:pt>
                      <c:pt idx="21" formatCode="General">
                        <c:v>-122.06381818181818</c:v>
                      </c:pt>
                      <c:pt idx="22" formatCode="General">
                        <c:v>-120.44563636363635</c:v>
                      </c:pt>
                      <c:pt idx="23" formatCode="General">
                        <c:v>-118.97885542168675</c:v>
                      </c:pt>
                      <c:pt idx="24" formatCode="General">
                        <c:v>-117.55818181818184</c:v>
                      </c:pt>
                      <c:pt idx="25" formatCode="General">
                        <c:v>-116.23090909090909</c:v>
                      </c:pt>
                      <c:pt idx="26" formatCode="General">
                        <c:v>-114.98363636363636</c:v>
                      </c:pt>
                      <c:pt idx="27" formatCode="General">
                        <c:v>-113.78969696969696</c:v>
                      </c:pt>
                      <c:pt idx="28" formatCode="General">
                        <c:v>-112.72242424242424</c:v>
                      </c:pt>
                      <c:pt idx="29" formatCode="General">
                        <c:v>-111.70363636363636</c:v>
                      </c:pt>
                      <c:pt idx="30" formatCode="General">
                        <c:v>-110.78242424242426</c:v>
                      </c:pt>
                      <c:pt idx="31" formatCode="General">
                        <c:v>-109.98503782148261</c:v>
                      </c:pt>
                      <c:pt idx="32" formatCode="General">
                        <c:v>-109.25432677760969</c:v>
                      </c:pt>
                      <c:pt idx="33" formatCode="General">
                        <c:v>-108.52361573373678</c:v>
                      </c:pt>
                      <c:pt idx="34" formatCode="General">
                        <c:v>-107.79290468986385</c:v>
                      </c:pt>
                      <c:pt idx="35" formatCode="General">
                        <c:v>-107.06219364599093</c:v>
                      </c:pt>
                      <c:pt idx="36" formatCode="General">
                        <c:v>-106.33148260211802</c:v>
                      </c:pt>
                      <c:pt idx="37" formatCode="General">
                        <c:v>-105.60851739788201</c:v>
                      </c:pt>
                      <c:pt idx="38" formatCode="General">
                        <c:v>-105.07145234493193</c:v>
                      </c:pt>
                      <c:pt idx="39" formatCode="General">
                        <c:v>-104.53438729198186</c:v>
                      </c:pt>
                      <c:pt idx="40" formatCode="General">
                        <c:v>-103.99732223903179</c:v>
                      </c:pt>
                      <c:pt idx="41" formatCode="General">
                        <c:v>-103.46025718608171</c:v>
                      </c:pt>
                      <c:pt idx="42" formatCode="General">
                        <c:v>-102.92319213313164</c:v>
                      </c:pt>
                      <c:pt idx="43" formatCode="General">
                        <c:v>-102.38612708018155</c:v>
                      </c:pt>
                      <c:pt idx="44" formatCode="General">
                        <c:v>-101.92972768532528</c:v>
                      </c:pt>
                      <c:pt idx="45" formatCode="General">
                        <c:v>-101.58025718608171</c:v>
                      </c:pt>
                      <c:pt idx="46" formatCode="General">
                        <c:v>-101.23078668683813</c:v>
                      </c:pt>
                      <c:pt idx="47" formatCode="General">
                        <c:v>-100.88131618759456</c:v>
                      </c:pt>
                      <c:pt idx="48" formatCode="General">
                        <c:v>-100.531845688351</c:v>
                      </c:pt>
                      <c:pt idx="49" formatCode="General">
                        <c:v>-100.18237518910742</c:v>
                      </c:pt>
                      <c:pt idx="50" formatCode="General">
                        <c:v>-99.832904689863852</c:v>
                      </c:pt>
                      <c:pt idx="51" formatCode="General">
                        <c:v>-99.75384848484849</c:v>
                      </c:pt>
                      <c:pt idx="52" formatCode="General">
                        <c:v>-99.734151515151524</c:v>
                      </c:pt>
                      <c:pt idx="53" formatCode="General">
                        <c:v>-99.714454545454544</c:v>
                      </c:pt>
                      <c:pt idx="54" formatCode="General">
                        <c:v>-99.694757575757578</c:v>
                      </c:pt>
                      <c:pt idx="55" formatCode="General">
                        <c:v>-99.675060606060597</c:v>
                      </c:pt>
                      <c:pt idx="56" formatCode="General">
                        <c:v>-99.655363636363631</c:v>
                      </c:pt>
                      <c:pt idx="57" formatCode="General">
                        <c:v>-99.690891566265051</c:v>
                      </c:pt>
                      <c:pt idx="58" formatCode="General">
                        <c:v>-99.922216867469871</c:v>
                      </c:pt>
                      <c:pt idx="59" formatCode="General">
                        <c:v>-100.1808</c:v>
                      </c:pt>
                      <c:pt idx="60" formatCode="General">
                        <c:v>-100.46079999999999</c:v>
                      </c:pt>
                      <c:pt idx="61" formatCode="General">
                        <c:v>-100.79705454545453</c:v>
                      </c:pt>
                      <c:pt idx="62" formatCode="General">
                        <c:v>-101.1461212121212</c:v>
                      </c:pt>
                      <c:pt idx="63" formatCode="General">
                        <c:v>-101.51581818181819</c:v>
                      </c:pt>
                      <c:pt idx="64" formatCode="General">
                        <c:v>-101.89569440242059</c:v>
                      </c:pt>
                      <c:pt idx="65" formatCode="General">
                        <c:v>-102.28207866868382</c:v>
                      </c:pt>
                      <c:pt idx="66" formatCode="General">
                        <c:v>-102.66846293494706</c:v>
                      </c:pt>
                      <c:pt idx="67" formatCode="General">
                        <c:v>-103.05484720121029</c:v>
                      </c:pt>
                      <c:pt idx="68" formatCode="General">
                        <c:v>-103.44123146747353</c:v>
                      </c:pt>
                      <c:pt idx="69" formatCode="General">
                        <c:v>-103.82761573373676</c:v>
                      </c:pt>
                      <c:pt idx="70" formatCode="General">
                        <c:v>-104.214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-82.608181818181805</c:v>
                      </c:pt>
                      <c:pt idx="1">
                        <c:v>-80.141030303030306</c:v>
                      </c:pt>
                      <c:pt idx="2" formatCode="General">
                        <c:v>-77.801636363636362</c:v>
                      </c:pt>
                      <c:pt idx="3" formatCode="General">
                        <c:v>-75.590545454545449</c:v>
                      </c:pt>
                      <c:pt idx="4" formatCode="General">
                        <c:v>-73.423515151515147</c:v>
                      </c:pt>
                      <c:pt idx="5" formatCode="General">
                        <c:v>-71.217454545454544</c:v>
                      </c:pt>
                      <c:pt idx="6" formatCode="General">
                        <c:v>-69.198433734939769</c:v>
                      </c:pt>
                      <c:pt idx="7" formatCode="General">
                        <c:v>-67.427349397590362</c:v>
                      </c:pt>
                      <c:pt idx="8" formatCode="General">
                        <c:v>-65.74133333333333</c:v>
                      </c:pt>
                      <c:pt idx="9" formatCode="General">
                        <c:v>-64.093818181818179</c:v>
                      </c:pt>
                      <c:pt idx="10" formatCode="General">
                        <c:v>-62.542303030303032</c:v>
                      </c:pt>
                      <c:pt idx="11" formatCode="General">
                        <c:v>-61.119878971255673</c:v>
                      </c:pt>
                      <c:pt idx="12" formatCode="General">
                        <c:v>-59.843025718608168</c:v>
                      </c:pt>
                      <c:pt idx="13" formatCode="General">
                        <c:v>-58.566172465960662</c:v>
                      </c:pt>
                      <c:pt idx="14" formatCode="General">
                        <c:v>-57.289319213313163</c:v>
                      </c:pt>
                      <c:pt idx="15" formatCode="General">
                        <c:v>-56.012465960665658</c:v>
                      </c:pt>
                      <c:pt idx="16" formatCode="General">
                        <c:v>-54.735612708018152</c:v>
                      </c:pt>
                      <c:pt idx="17" formatCode="General">
                        <c:v>-53.458759455370647</c:v>
                      </c:pt>
                      <c:pt idx="18" formatCode="General">
                        <c:v>-52.409575757575759</c:v>
                      </c:pt>
                      <c:pt idx="19" formatCode="General">
                        <c:v>-51.416545454545449</c:v>
                      </c:pt>
                      <c:pt idx="20" formatCode="General">
                        <c:v>-50.495333333333335</c:v>
                      </c:pt>
                      <c:pt idx="21" formatCode="General">
                        <c:v>-49.604666666666667</c:v>
                      </c:pt>
                      <c:pt idx="22" formatCode="General">
                        <c:v>-48.737999999999992</c:v>
                      </c:pt>
                      <c:pt idx="23" formatCode="General">
                        <c:v>-47.941867469879519</c:v>
                      </c:pt>
                      <c:pt idx="24" formatCode="General">
                        <c:v>-47.166666666666671</c:v>
                      </c:pt>
                      <c:pt idx="25" formatCode="General">
                        <c:v>-46.433333333333337</c:v>
                      </c:pt>
                      <c:pt idx="26" formatCode="General">
                        <c:v>-45.74</c:v>
                      </c:pt>
                      <c:pt idx="27" formatCode="General">
                        <c:v>-45.073333333333331</c:v>
                      </c:pt>
                      <c:pt idx="28" formatCode="General">
                        <c:v>-44.47</c:v>
                      </c:pt>
                      <c:pt idx="29" formatCode="General">
                        <c:v>-43.89</c:v>
                      </c:pt>
                      <c:pt idx="30" formatCode="General">
                        <c:v>-43.356666666666669</c:v>
                      </c:pt>
                      <c:pt idx="31" formatCode="General">
                        <c:v>-42.886792738275339</c:v>
                      </c:pt>
                      <c:pt idx="32" formatCode="General">
                        <c:v>-42.451089258698943</c:v>
                      </c:pt>
                      <c:pt idx="33" formatCode="General">
                        <c:v>-42.015385779122539</c:v>
                      </c:pt>
                      <c:pt idx="34" formatCode="General">
                        <c:v>-41.579682299546143</c:v>
                      </c:pt>
                      <c:pt idx="35" formatCode="General">
                        <c:v>-41.143978819969746</c:v>
                      </c:pt>
                      <c:pt idx="36" formatCode="General">
                        <c:v>-40.708275340393342</c:v>
                      </c:pt>
                      <c:pt idx="37" formatCode="General">
                        <c:v>-40.276565809379726</c:v>
                      </c:pt>
                      <c:pt idx="38" formatCode="General">
                        <c:v>-39.940711043872923</c:v>
                      </c:pt>
                      <c:pt idx="39" formatCode="General">
                        <c:v>-39.604856278366114</c:v>
                      </c:pt>
                      <c:pt idx="40" formatCode="General">
                        <c:v>-39.269001512859305</c:v>
                      </c:pt>
                      <c:pt idx="41" formatCode="General">
                        <c:v>-38.933146747352495</c:v>
                      </c:pt>
                      <c:pt idx="42" formatCode="General">
                        <c:v>-38.597291981845693</c:v>
                      </c:pt>
                      <c:pt idx="43" formatCode="General">
                        <c:v>-38.261437216338884</c:v>
                      </c:pt>
                      <c:pt idx="44" formatCode="General">
                        <c:v>-37.967541603630863</c:v>
                      </c:pt>
                      <c:pt idx="45" formatCode="General">
                        <c:v>-37.72926626323752</c:v>
                      </c:pt>
                      <c:pt idx="46" formatCode="General">
                        <c:v>-37.490990922844176</c:v>
                      </c:pt>
                      <c:pt idx="47" formatCode="General">
                        <c:v>-37.252715582450833</c:v>
                      </c:pt>
                      <c:pt idx="48" formatCode="General">
                        <c:v>-37.014440242057489</c:v>
                      </c:pt>
                      <c:pt idx="49" formatCode="General">
                        <c:v>-36.776164901664146</c:v>
                      </c:pt>
                      <c:pt idx="50" formatCode="General">
                        <c:v>-36.537889561270802</c:v>
                      </c:pt>
                      <c:pt idx="51" formatCode="General">
                        <c:v>-36.438469696969698</c:v>
                      </c:pt>
                      <c:pt idx="52" formatCode="General">
                        <c:v>-36.369530303030302</c:v>
                      </c:pt>
                      <c:pt idx="53" formatCode="General">
                        <c:v>-36.300590909090914</c:v>
                      </c:pt>
                      <c:pt idx="54" formatCode="General">
                        <c:v>-36.231651515151519</c:v>
                      </c:pt>
                      <c:pt idx="55" formatCode="General">
                        <c:v>-36.162712121212124</c:v>
                      </c:pt>
                      <c:pt idx="56" formatCode="General">
                        <c:v>-36.093772727272729</c:v>
                      </c:pt>
                      <c:pt idx="57" formatCode="General">
                        <c:v>-36.052192771084336</c:v>
                      </c:pt>
                      <c:pt idx="58" formatCode="General">
                        <c:v>-36.107614457831332</c:v>
                      </c:pt>
                      <c:pt idx="59" formatCode="General">
                        <c:v>-36.178157575757581</c:v>
                      </c:pt>
                      <c:pt idx="60" formatCode="General">
                        <c:v>-36.260581818181819</c:v>
                      </c:pt>
                      <c:pt idx="61" formatCode="General">
                        <c:v>-36.368375757575762</c:v>
                      </c:pt>
                      <c:pt idx="62" formatCode="General">
                        <c:v>-36.482303030303036</c:v>
                      </c:pt>
                      <c:pt idx="63" formatCode="General">
                        <c:v>-36.606545454545454</c:v>
                      </c:pt>
                      <c:pt idx="64" formatCode="General">
                        <c:v>-36.736856278366112</c:v>
                      </c:pt>
                      <c:pt idx="65" formatCode="General">
                        <c:v>-36.871046898638426</c:v>
                      </c:pt>
                      <c:pt idx="66" formatCode="General">
                        <c:v>-37.005237518910739</c:v>
                      </c:pt>
                      <c:pt idx="67" formatCode="General">
                        <c:v>-37.13942813918306</c:v>
                      </c:pt>
                      <c:pt idx="68" formatCode="General">
                        <c:v>-37.273618759455374</c:v>
                      </c:pt>
                      <c:pt idx="69" formatCode="General">
                        <c:v>-37.407809379727688</c:v>
                      </c:pt>
                      <c:pt idx="70" formatCode="General">
                        <c:v>-37.542000000000002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-143.49206060606059</c:v>
                      </c:pt>
                      <c:pt idx="1">
                        <c:v>-138.9310909090909</c:v>
                      </c:pt>
                      <c:pt idx="2" formatCode="General">
                        <c:v>-134.51290909090909</c:v>
                      </c:pt>
                      <c:pt idx="3" formatCode="General">
                        <c:v>-130.23187878787877</c:v>
                      </c:pt>
                      <c:pt idx="4" formatCode="General">
                        <c:v>-125.95890909090909</c:v>
                      </c:pt>
                      <c:pt idx="5" formatCode="General">
                        <c:v>-121.19527272727272</c:v>
                      </c:pt>
                      <c:pt idx="6" formatCode="General">
                        <c:v>-116.98277108433736</c:v>
                      </c:pt>
                      <c:pt idx="7" formatCode="General">
                        <c:v>-113.50084337349398</c:v>
                      </c:pt>
                      <c:pt idx="8" formatCode="General">
                        <c:v>-110.11933333333334</c:v>
                      </c:pt>
                      <c:pt idx="9" formatCode="General">
                        <c:v>-106.78672727272728</c:v>
                      </c:pt>
                      <c:pt idx="10" formatCode="General">
                        <c:v>-103.59278787878789</c:v>
                      </c:pt>
                      <c:pt idx="11" formatCode="General">
                        <c:v>-100.63860816944025</c:v>
                      </c:pt>
                      <c:pt idx="12" formatCode="General">
                        <c:v>-97.954795763993957</c:v>
                      </c:pt>
                      <c:pt idx="13" formatCode="General">
                        <c:v>-95.270983358547653</c:v>
                      </c:pt>
                      <c:pt idx="14" formatCode="General">
                        <c:v>-92.587170953101364</c:v>
                      </c:pt>
                      <c:pt idx="15" formatCode="General">
                        <c:v>-89.90335854765506</c:v>
                      </c:pt>
                      <c:pt idx="16" formatCode="General">
                        <c:v>-87.21954614220877</c:v>
                      </c:pt>
                      <c:pt idx="17" formatCode="General">
                        <c:v>-84.535733736762467</c:v>
                      </c:pt>
                      <c:pt idx="18" formatCode="General">
                        <c:v>-82.314909090909083</c:v>
                      </c:pt>
                      <c:pt idx="19" formatCode="General">
                        <c:v>-80.208909090909088</c:v>
                      </c:pt>
                      <c:pt idx="20" formatCode="General">
                        <c:v>-78.251333333333335</c:v>
                      </c:pt>
                      <c:pt idx="21" formatCode="General">
                        <c:v>-76.354848484848489</c:v>
                      </c:pt>
                      <c:pt idx="22" formatCode="General">
                        <c:v>-74.506363636363631</c:v>
                      </c:pt>
                      <c:pt idx="23" formatCode="General">
                        <c:v>-72.788614457831329</c:v>
                      </c:pt>
                      <c:pt idx="24" formatCode="General">
                        <c:v>-71.108484848484849</c:v>
                      </c:pt>
                      <c:pt idx="25" formatCode="General">
                        <c:v>-69.50242424242424</c:v>
                      </c:pt>
                      <c:pt idx="26" formatCode="General">
                        <c:v>-67.976363636363644</c:v>
                      </c:pt>
                      <c:pt idx="27" formatCode="General">
                        <c:v>-66.503636363636375</c:v>
                      </c:pt>
                      <c:pt idx="28" formatCode="General">
                        <c:v>-65.157575757575756</c:v>
                      </c:pt>
                      <c:pt idx="29" formatCode="General">
                        <c:v>-63.856363636363632</c:v>
                      </c:pt>
                      <c:pt idx="30" formatCode="General">
                        <c:v>-62.644242424242421</c:v>
                      </c:pt>
                      <c:pt idx="31" formatCode="General">
                        <c:v>-61.562133131618758</c:v>
                      </c:pt>
                      <c:pt idx="32" formatCode="General">
                        <c:v>-60.55003025718608</c:v>
                      </c:pt>
                      <c:pt idx="33" formatCode="General">
                        <c:v>-59.537927382753402</c:v>
                      </c:pt>
                      <c:pt idx="34" formatCode="General">
                        <c:v>-58.525824508320724</c:v>
                      </c:pt>
                      <c:pt idx="35" formatCode="General">
                        <c:v>-57.513721633888053</c:v>
                      </c:pt>
                      <c:pt idx="36" formatCode="General">
                        <c:v>-56.501618759455376</c:v>
                      </c:pt>
                      <c:pt idx="37" formatCode="General">
                        <c:v>-55.49774583963692</c:v>
                      </c:pt>
                      <c:pt idx="38" formatCode="General">
                        <c:v>-54.691391830559759</c:v>
                      </c:pt>
                      <c:pt idx="39" formatCode="General">
                        <c:v>-53.885037821482605</c:v>
                      </c:pt>
                      <c:pt idx="40" formatCode="General">
                        <c:v>-53.078683812405451</c:v>
                      </c:pt>
                      <c:pt idx="41" formatCode="General">
                        <c:v>-52.272329803328297</c:v>
                      </c:pt>
                      <c:pt idx="42" formatCode="General">
                        <c:v>-51.465975794251143</c:v>
                      </c:pt>
                      <c:pt idx="43" formatCode="General">
                        <c:v>-50.659621785173982</c:v>
                      </c:pt>
                      <c:pt idx="44" formatCode="General">
                        <c:v>-49.940438729198192</c:v>
                      </c:pt>
                      <c:pt idx="45" formatCode="General">
                        <c:v>-49.336807866868384</c:v>
                      </c:pt>
                      <c:pt idx="46" formatCode="General">
                        <c:v>-48.733177004538582</c:v>
                      </c:pt>
                      <c:pt idx="47" formatCode="General">
                        <c:v>-48.129546142208774</c:v>
                      </c:pt>
                      <c:pt idx="48" formatCode="General">
                        <c:v>-47.525915279878973</c:v>
                      </c:pt>
                      <c:pt idx="49" formatCode="General">
                        <c:v>-46.922284417549164</c:v>
                      </c:pt>
                      <c:pt idx="50" formatCode="General">
                        <c:v>-46.318653555219363</c:v>
                      </c:pt>
                      <c:pt idx="51" formatCode="General">
                        <c:v>-46.0000303030303</c:v>
                      </c:pt>
                      <c:pt idx="52" formatCode="General">
                        <c:v>-45.743969696969693</c:v>
                      </c:pt>
                      <c:pt idx="53" formatCode="General">
                        <c:v>-45.487909090909092</c:v>
                      </c:pt>
                      <c:pt idx="54" formatCode="General">
                        <c:v>-45.231848484848484</c:v>
                      </c:pt>
                      <c:pt idx="55" formatCode="General">
                        <c:v>-44.975787878787877</c:v>
                      </c:pt>
                      <c:pt idx="56" formatCode="General">
                        <c:v>-44.719727272727269</c:v>
                      </c:pt>
                      <c:pt idx="57" formatCode="General">
                        <c:v>-44.517879518072284</c:v>
                      </c:pt>
                      <c:pt idx="58" formatCode="General">
                        <c:v>-44.508240963855421</c:v>
                      </c:pt>
                      <c:pt idx="59" formatCode="General">
                        <c:v>-44.531830303030304</c:v>
                      </c:pt>
                      <c:pt idx="60" formatCode="General">
                        <c:v>-44.581527272727271</c:v>
                      </c:pt>
                      <c:pt idx="61" formatCode="General">
                        <c:v>-44.676448484848486</c:v>
                      </c:pt>
                      <c:pt idx="62" formatCode="General">
                        <c:v>-44.783090909090909</c:v>
                      </c:pt>
                      <c:pt idx="63" formatCode="General">
                        <c:v>-44.910363636363634</c:v>
                      </c:pt>
                      <c:pt idx="64" formatCode="General">
                        <c:v>-45.051730711043874</c:v>
                      </c:pt>
                      <c:pt idx="65" formatCode="General">
                        <c:v>-45.202108925869894</c:v>
                      </c:pt>
                      <c:pt idx="66" formatCode="General">
                        <c:v>-45.352487140695914</c:v>
                      </c:pt>
                      <c:pt idx="67" formatCode="General">
                        <c:v>-45.502865355521941</c:v>
                      </c:pt>
                      <c:pt idx="68" formatCode="General">
                        <c:v>-45.653243570347961</c:v>
                      </c:pt>
                      <c:pt idx="69" formatCode="General">
                        <c:v>-45.803621785173981</c:v>
                      </c:pt>
                      <c:pt idx="70" formatCode="General">
                        <c:v>-45.954000000000001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-18.888727272727273</c:v>
                      </c:pt>
                      <c:pt idx="1">
                        <c:v>-18.91151515151515</c:v>
                      </c:pt>
                      <c:pt idx="2" formatCode="General">
                        <c:v>-18.941818181818181</c:v>
                      </c:pt>
                      <c:pt idx="3" formatCode="General">
                        <c:v>-18.976545454545455</c:v>
                      </c:pt>
                      <c:pt idx="4" formatCode="General">
                        <c:v>-19.008545454545455</c:v>
                      </c:pt>
                      <c:pt idx="5" formatCode="General">
                        <c:v>-18.990363636363636</c:v>
                      </c:pt>
                      <c:pt idx="6" formatCode="General">
                        <c:v>-18.995542168674699</c:v>
                      </c:pt>
                      <c:pt idx="7" formatCode="General">
                        <c:v>-19.031686746987951</c:v>
                      </c:pt>
                      <c:pt idx="8" formatCode="General">
                        <c:v>-19.063333333333333</c:v>
                      </c:pt>
                      <c:pt idx="9" formatCode="General">
                        <c:v>-19.093636363636364</c:v>
                      </c:pt>
                      <c:pt idx="10" formatCode="General">
                        <c:v>-19.123939393939395</c:v>
                      </c:pt>
                      <c:pt idx="11" formatCode="General">
                        <c:v>-19.142844175491678</c:v>
                      </c:pt>
                      <c:pt idx="12" formatCode="General">
                        <c:v>-19.148895612708017</c:v>
                      </c:pt>
                      <c:pt idx="13" formatCode="General">
                        <c:v>-19.154947049924356</c:v>
                      </c:pt>
                      <c:pt idx="14" formatCode="General">
                        <c:v>-19.160998487140695</c:v>
                      </c:pt>
                      <c:pt idx="15" formatCode="General">
                        <c:v>-19.167049924357034</c:v>
                      </c:pt>
                      <c:pt idx="16" formatCode="General">
                        <c:v>-19.173101361573373</c:v>
                      </c:pt>
                      <c:pt idx="17" formatCode="General">
                        <c:v>-19.179152798789712</c:v>
                      </c:pt>
                      <c:pt idx="18" formatCode="General">
                        <c:v>-19.153939393939392</c:v>
                      </c:pt>
                      <c:pt idx="19" formatCode="General">
                        <c:v>-19.123636363636361</c:v>
                      </c:pt>
                      <c:pt idx="20" formatCode="General">
                        <c:v>-19.09333333333333</c:v>
                      </c:pt>
                      <c:pt idx="21" formatCode="General">
                        <c:v>-19.06642424242424</c:v>
                      </c:pt>
                      <c:pt idx="22" formatCode="General">
                        <c:v>-19.042181818181817</c:v>
                      </c:pt>
                      <c:pt idx="23" formatCode="General">
                        <c:v>-19.034518072289156</c:v>
                      </c:pt>
                      <c:pt idx="24" formatCode="General">
                        <c:v>-19.031515151515151</c:v>
                      </c:pt>
                      <c:pt idx="25" formatCode="General">
                        <c:v>-19.037575757575759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-19.07151515151515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"/>
          <c:y val="1.416790868280841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'Gibbs-EVAL'!$A$102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-20.376998487140696</c:v>
                </c:pt>
                <c:pt idx="1">
                  <c:v>-20.590009077155823</c:v>
                </c:pt>
                <c:pt idx="2" formatCode="General">
                  <c:v>-20.803019667170954</c:v>
                </c:pt>
                <c:pt idx="3" formatCode="General">
                  <c:v>-21.016030257186081</c:v>
                </c:pt>
                <c:pt idx="4" formatCode="General">
                  <c:v>-21.230832072617247</c:v>
                </c:pt>
                <c:pt idx="5" formatCode="General">
                  <c:v>-21.46623298033283</c:v>
                </c:pt>
                <c:pt idx="6" formatCode="General">
                  <c:v>-21.701633888048413</c:v>
                </c:pt>
                <c:pt idx="7" formatCode="General">
                  <c:v>-21.937034795763996</c:v>
                </c:pt>
                <c:pt idx="8" formatCode="General">
                  <c:v>-22.172435703479575</c:v>
                </c:pt>
                <c:pt idx="9" formatCode="General">
                  <c:v>-22.407836611195158</c:v>
                </c:pt>
                <c:pt idx="10" formatCode="General">
                  <c:v>-22.643237518910741</c:v>
                </c:pt>
                <c:pt idx="11" formatCode="General">
                  <c:v>-22.876931921331316</c:v>
                </c:pt>
                <c:pt idx="12" formatCode="General">
                  <c:v>-23.108701966717096</c:v>
                </c:pt>
                <c:pt idx="13" formatCode="General">
                  <c:v>-23.340472012102875</c:v>
                </c:pt>
                <c:pt idx="14" formatCode="General">
                  <c:v>-23.572242057488655</c:v>
                </c:pt>
                <c:pt idx="15" formatCode="General">
                  <c:v>-23.804012102874434</c:v>
                </c:pt>
                <c:pt idx="16" formatCode="General">
                  <c:v>-24.035782148260214</c:v>
                </c:pt>
                <c:pt idx="17" formatCode="General">
                  <c:v>-24.267552193645994</c:v>
                </c:pt>
                <c:pt idx="18" formatCode="General">
                  <c:v>-24.488913767019667</c:v>
                </c:pt>
                <c:pt idx="19" formatCode="General">
                  <c:v>-24.708580937972769</c:v>
                </c:pt>
                <c:pt idx="20" formatCode="General">
                  <c:v>-24.928248108925871</c:v>
                </c:pt>
                <c:pt idx="21" formatCode="General">
                  <c:v>-25.147915279878973</c:v>
                </c:pt>
                <c:pt idx="22" formatCode="General">
                  <c:v>-25.367582450832071</c:v>
                </c:pt>
                <c:pt idx="23" formatCode="General">
                  <c:v>-25.587249621785173</c:v>
                </c:pt>
                <c:pt idx="24" formatCode="General">
                  <c:v>-25.804727272727273</c:v>
                </c:pt>
                <c:pt idx="25" formatCode="General">
                  <c:v>-26.015636363636364</c:v>
                </c:pt>
                <c:pt idx="26" formatCode="General">
                  <c:v>-26.223636363636366</c:v>
                </c:pt>
                <c:pt idx="27" formatCode="General">
                  <c:v>-26.42969696969697</c:v>
                </c:pt>
                <c:pt idx="28" formatCode="General">
                  <c:v>-26.628848484848486</c:v>
                </c:pt>
                <c:pt idx="29" formatCode="General">
                  <c:v>-26.826181818181819</c:v>
                </c:pt>
                <c:pt idx="30" formatCode="General">
                  <c:v>-27.020121212121214</c:v>
                </c:pt>
                <c:pt idx="31" formatCode="General">
                  <c:v>-27.205609682299546</c:v>
                </c:pt>
                <c:pt idx="32" formatCode="General">
                  <c:v>-27.386547655068078</c:v>
                </c:pt>
                <c:pt idx="33" formatCode="General">
                  <c:v>-27.567485627836611</c:v>
                </c:pt>
                <c:pt idx="34" formatCode="General">
                  <c:v>-27.748423600605143</c:v>
                </c:pt>
                <c:pt idx="35" formatCode="General">
                  <c:v>-27.929361573373676</c:v>
                </c:pt>
                <c:pt idx="36" formatCode="General">
                  <c:v>-28.110299546142208</c:v>
                </c:pt>
                <c:pt idx="37" formatCode="General">
                  <c:v>-28.29065658093797</c:v>
                </c:pt>
                <c:pt idx="38" formatCode="General">
                  <c:v>-28.457071104387289</c:v>
                </c:pt>
                <c:pt idx="39" formatCode="General">
                  <c:v>-28.623485627836612</c:v>
                </c:pt>
                <c:pt idx="40" formatCode="General">
                  <c:v>-28.789900151285931</c:v>
                </c:pt>
                <c:pt idx="41" formatCode="General">
                  <c:v>-28.95631467473525</c:v>
                </c:pt>
                <c:pt idx="42" formatCode="General">
                  <c:v>-29.122729198184569</c:v>
                </c:pt>
                <c:pt idx="43" formatCode="General">
                  <c:v>-29.289143721633888</c:v>
                </c:pt>
                <c:pt idx="44" formatCode="General">
                  <c:v>-29.453476550680787</c:v>
                </c:pt>
                <c:pt idx="45" formatCode="General">
                  <c:v>-29.615049924357034</c:v>
                </c:pt>
                <c:pt idx="46" formatCode="General">
                  <c:v>-29.776623298033282</c:v>
                </c:pt>
                <c:pt idx="47" formatCode="General">
                  <c:v>-29.938196671709534</c:v>
                </c:pt>
                <c:pt idx="48" formatCode="General">
                  <c:v>-30.099770045385782</c:v>
                </c:pt>
                <c:pt idx="49" formatCode="General">
                  <c:v>-30.26134341906203</c:v>
                </c:pt>
                <c:pt idx="50" formatCode="General">
                  <c:v>-30.422916792738278</c:v>
                </c:pt>
                <c:pt idx="51" formatCode="General">
                  <c:v>-30.587672727272729</c:v>
                </c:pt>
                <c:pt idx="52" formatCode="General">
                  <c:v>-30.753127272727276</c:v>
                </c:pt>
                <c:pt idx="53" formatCode="General">
                  <c:v>-30.918581818181821</c:v>
                </c:pt>
                <c:pt idx="54" formatCode="General">
                  <c:v>-31.084036363636365</c:v>
                </c:pt>
                <c:pt idx="55" formatCode="General">
                  <c:v>-31.249490909090909</c:v>
                </c:pt>
                <c:pt idx="56" formatCode="General">
                  <c:v>-31.414945454545457</c:v>
                </c:pt>
                <c:pt idx="57" formatCode="General">
                  <c:v>-31.584072617246598</c:v>
                </c:pt>
                <c:pt idx="58" formatCode="General">
                  <c:v>-31.766220877458398</c:v>
                </c:pt>
                <c:pt idx="59" formatCode="General">
                  <c:v>-31.948369137670198</c:v>
                </c:pt>
                <c:pt idx="60" formatCode="General">
                  <c:v>-32.130517397881995</c:v>
                </c:pt>
                <c:pt idx="61" formatCode="General">
                  <c:v>-32.312665658093799</c:v>
                </c:pt>
                <c:pt idx="62" formatCode="General">
                  <c:v>-32.494813918305596</c:v>
                </c:pt>
                <c:pt idx="63" formatCode="General">
                  <c:v>-32.6769621785174</c:v>
                </c:pt>
                <c:pt idx="64" formatCode="General">
                  <c:v>-32.870739393939395</c:v>
                </c:pt>
                <c:pt idx="65" formatCode="General">
                  <c:v>-33.071951515151511</c:v>
                </c:pt>
                <c:pt idx="66" formatCode="General">
                  <c:v>-33.28125301204819</c:v>
                </c:pt>
                <c:pt idx="67" formatCode="General">
                  <c:v>-33.49490909090909</c:v>
                </c:pt>
                <c:pt idx="68" formatCode="General">
                  <c:v>-33.717939393939396</c:v>
                </c:pt>
                <c:pt idx="69" formatCode="General">
                  <c:v>-33.948848484848483</c:v>
                </c:pt>
                <c:pt idx="70" formatCode="General">
                  <c:v>-34.183999999999997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-82.276848484848472</c:v>
                </c:pt>
                <c:pt idx="1">
                  <c:v>-79.901696969696957</c:v>
                </c:pt>
                <c:pt idx="2" formatCode="General">
                  <c:v>-77.695636363636353</c:v>
                </c:pt>
                <c:pt idx="3" formatCode="General">
                  <c:v>-75.533818181818177</c:v>
                </c:pt>
                <c:pt idx="4" formatCode="General">
                  <c:v>-73.383030303030296</c:v>
                </c:pt>
                <c:pt idx="5" formatCode="General">
                  <c:v>-71.170909090909092</c:v>
                </c:pt>
                <c:pt idx="6" formatCode="General">
                  <c:v>-69.156204819277107</c:v>
                </c:pt>
                <c:pt idx="7" formatCode="General">
                  <c:v>-67.403192771084335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-36.259464447806359</c:v>
                </c:pt>
                <c:pt idx="65" formatCode="General">
                  <c:v>-36.440553706505298</c:v>
                </c:pt>
                <c:pt idx="66" formatCode="General">
                  <c:v>-36.621642965204238</c:v>
                </c:pt>
                <c:pt idx="67" formatCode="General">
                  <c:v>-36.802732223903178</c:v>
                </c:pt>
                <c:pt idx="68" formatCode="General">
                  <c:v>-36.983821482602124</c:v>
                </c:pt>
                <c:pt idx="69" formatCode="General">
                  <c:v>-37.164910741301064</c:v>
                </c:pt>
                <c:pt idx="70" formatCode="General">
                  <c:v>-37.346000000000004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-143.49206060606059</c:v>
                </c:pt>
                <c:pt idx="1">
                  <c:v>-138.9310909090909</c:v>
                </c:pt>
                <c:pt idx="2" formatCode="General">
                  <c:v>-134.51290909090909</c:v>
                </c:pt>
                <c:pt idx="3" formatCode="General">
                  <c:v>-130.23187878787877</c:v>
                </c:pt>
                <c:pt idx="4" formatCode="General">
                  <c:v>-125.95890909090909</c:v>
                </c:pt>
                <c:pt idx="5" formatCode="General">
                  <c:v>-121.19527272727272</c:v>
                </c:pt>
                <c:pt idx="6" formatCode="General">
                  <c:v>-116.98277108433736</c:v>
                </c:pt>
                <c:pt idx="7" formatCode="General">
                  <c:v>-113.50084337349398</c:v>
                </c:pt>
                <c:pt idx="8" formatCode="General">
                  <c:v>-110.11933333333334</c:v>
                </c:pt>
                <c:pt idx="9" formatCode="General">
                  <c:v>-106.78672727272728</c:v>
                </c:pt>
                <c:pt idx="10" formatCode="General">
                  <c:v>-103.59278787878789</c:v>
                </c:pt>
                <c:pt idx="11" formatCode="General">
                  <c:v>-100.63860816944025</c:v>
                </c:pt>
                <c:pt idx="12" formatCode="General">
                  <c:v>-97.954795763993957</c:v>
                </c:pt>
                <c:pt idx="13" formatCode="General">
                  <c:v>-95.270983358547653</c:v>
                </c:pt>
                <c:pt idx="14" formatCode="General">
                  <c:v>-92.587170953101364</c:v>
                </c:pt>
                <c:pt idx="15" formatCode="General">
                  <c:v>-89.90335854765506</c:v>
                </c:pt>
                <c:pt idx="16" formatCode="General">
                  <c:v>-87.21954614220877</c:v>
                </c:pt>
                <c:pt idx="17" formatCode="General">
                  <c:v>-84.535733736762467</c:v>
                </c:pt>
                <c:pt idx="18" formatCode="General">
                  <c:v>-82.314909090909083</c:v>
                </c:pt>
                <c:pt idx="19" formatCode="General">
                  <c:v>-80.208909090909088</c:v>
                </c:pt>
                <c:pt idx="20" formatCode="General">
                  <c:v>-78.251333333333335</c:v>
                </c:pt>
                <c:pt idx="21" formatCode="General">
                  <c:v>-76.354848484848489</c:v>
                </c:pt>
                <c:pt idx="22" formatCode="General">
                  <c:v>-74.506363636363631</c:v>
                </c:pt>
                <c:pt idx="23" formatCode="General">
                  <c:v>-72.788614457831329</c:v>
                </c:pt>
                <c:pt idx="24" formatCode="General">
                  <c:v>-71.108484848484849</c:v>
                </c:pt>
                <c:pt idx="25" formatCode="General">
                  <c:v>-69.50242424242424</c:v>
                </c:pt>
                <c:pt idx="26" formatCode="General">
                  <c:v>-67.976363636363644</c:v>
                </c:pt>
                <c:pt idx="27" formatCode="General">
                  <c:v>-66.503636363636375</c:v>
                </c:pt>
                <c:pt idx="28" formatCode="General">
                  <c:v>-65.157575757575756</c:v>
                </c:pt>
                <c:pt idx="29" formatCode="General">
                  <c:v>-63.856363636363632</c:v>
                </c:pt>
                <c:pt idx="30" formatCode="General">
                  <c:v>-62.644242424242421</c:v>
                </c:pt>
                <c:pt idx="31" formatCode="General">
                  <c:v>-61.562133131618758</c:v>
                </c:pt>
                <c:pt idx="32" formatCode="General">
                  <c:v>-60.55003025718608</c:v>
                </c:pt>
                <c:pt idx="33" formatCode="General">
                  <c:v>-59.537927382753402</c:v>
                </c:pt>
                <c:pt idx="34" formatCode="General">
                  <c:v>-58.525824508320724</c:v>
                </c:pt>
                <c:pt idx="35" formatCode="General">
                  <c:v>-57.513721633888053</c:v>
                </c:pt>
                <c:pt idx="36" formatCode="General">
                  <c:v>-56.501618759455376</c:v>
                </c:pt>
                <c:pt idx="37" formatCode="General">
                  <c:v>-55.49774583963692</c:v>
                </c:pt>
                <c:pt idx="38" formatCode="General">
                  <c:v>-54.691391830559759</c:v>
                </c:pt>
                <c:pt idx="39" formatCode="General">
                  <c:v>-53.885037821482605</c:v>
                </c:pt>
                <c:pt idx="40" formatCode="General">
                  <c:v>-53.078683812405451</c:v>
                </c:pt>
                <c:pt idx="41" formatCode="General">
                  <c:v>-52.272329803328297</c:v>
                </c:pt>
                <c:pt idx="42" formatCode="General">
                  <c:v>-51.465975794251143</c:v>
                </c:pt>
                <c:pt idx="43" formatCode="General">
                  <c:v>-50.659621785173982</c:v>
                </c:pt>
                <c:pt idx="44" formatCode="General">
                  <c:v>-49.940438729198192</c:v>
                </c:pt>
                <c:pt idx="45" formatCode="General">
                  <c:v>-49.336807866868384</c:v>
                </c:pt>
                <c:pt idx="46" formatCode="General">
                  <c:v>-48.733177004538582</c:v>
                </c:pt>
                <c:pt idx="47" formatCode="General">
                  <c:v>-48.129546142208774</c:v>
                </c:pt>
                <c:pt idx="48" formatCode="General">
                  <c:v>-47.525915279878973</c:v>
                </c:pt>
                <c:pt idx="49" formatCode="General">
                  <c:v>-46.922284417549164</c:v>
                </c:pt>
                <c:pt idx="50" formatCode="General">
                  <c:v>-46.318653555219363</c:v>
                </c:pt>
                <c:pt idx="51" formatCode="General">
                  <c:v>-46.0000303030303</c:v>
                </c:pt>
                <c:pt idx="52" formatCode="General">
                  <c:v>-45.743969696969693</c:v>
                </c:pt>
                <c:pt idx="53" formatCode="General">
                  <c:v>-45.487909090909092</c:v>
                </c:pt>
                <c:pt idx="54" formatCode="General">
                  <c:v>-45.231848484848484</c:v>
                </c:pt>
                <c:pt idx="55" formatCode="General">
                  <c:v>-44.975787878787877</c:v>
                </c:pt>
                <c:pt idx="56" formatCode="General">
                  <c:v>-44.719727272727269</c:v>
                </c:pt>
                <c:pt idx="57" formatCode="General">
                  <c:v>-44.517879518072284</c:v>
                </c:pt>
                <c:pt idx="58" formatCode="General">
                  <c:v>-44.508240963855421</c:v>
                </c:pt>
                <c:pt idx="59" formatCode="General">
                  <c:v>-44.531830303030304</c:v>
                </c:pt>
                <c:pt idx="60" formatCode="General">
                  <c:v>-44.581527272727271</c:v>
                </c:pt>
                <c:pt idx="61" formatCode="General">
                  <c:v>-44.676448484848486</c:v>
                </c:pt>
                <c:pt idx="62" formatCode="General">
                  <c:v>-44.783090909090909</c:v>
                </c:pt>
                <c:pt idx="63" formatCode="General">
                  <c:v>-44.910363636363634</c:v>
                </c:pt>
                <c:pt idx="64" formatCode="General">
                  <c:v>-45.051730711043874</c:v>
                </c:pt>
                <c:pt idx="65" formatCode="General">
                  <c:v>-45.202108925869894</c:v>
                </c:pt>
                <c:pt idx="66" formatCode="General">
                  <c:v>-45.352487140695914</c:v>
                </c:pt>
                <c:pt idx="67" formatCode="General">
                  <c:v>-45.502865355521941</c:v>
                </c:pt>
                <c:pt idx="68" formatCode="General">
                  <c:v>-45.653243570347961</c:v>
                </c:pt>
                <c:pt idx="69" formatCode="General">
                  <c:v>-45.803621785173981</c:v>
                </c:pt>
                <c:pt idx="70" formatCode="General">
                  <c:v>-45.954000000000001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-15.28274886535552</c:v>
                      </c:pt>
                      <c:pt idx="1">
                        <c:v>-15.442506807866867</c:v>
                      </c:pt>
                      <c:pt idx="2" formatCode="General">
                        <c:v>-15.602264750378213</c:v>
                      </c:pt>
                      <c:pt idx="3" formatCode="General">
                        <c:v>-15.762022692889561</c:v>
                      </c:pt>
                      <c:pt idx="4" formatCode="General">
                        <c:v>-15.923124054462933</c:v>
                      </c:pt>
                      <c:pt idx="5" formatCode="General">
                        <c:v>-16.099674735249621</c:v>
                      </c:pt>
                      <c:pt idx="6" formatCode="General">
                        <c:v>-16.276225416036308</c:v>
                      </c:pt>
                      <c:pt idx="7" formatCode="General">
                        <c:v>-16.452776096822994</c:v>
                      </c:pt>
                      <c:pt idx="8" formatCode="General">
                        <c:v>-16.629326777609684</c:v>
                      </c:pt>
                      <c:pt idx="9" formatCode="General">
                        <c:v>-16.80587745839637</c:v>
                      </c:pt>
                      <c:pt idx="10" formatCode="General">
                        <c:v>-16.982428139183057</c:v>
                      </c:pt>
                      <c:pt idx="11" formatCode="General">
                        <c:v>-17.157698940998486</c:v>
                      </c:pt>
                      <c:pt idx="12" formatCode="General">
                        <c:v>-17.331526475037823</c:v>
                      </c:pt>
                      <c:pt idx="13" formatCode="General">
                        <c:v>-17.505354009077156</c:v>
                      </c:pt>
                      <c:pt idx="14" formatCode="General">
                        <c:v>-17.679181543116492</c:v>
                      </c:pt>
                      <c:pt idx="15" formatCode="General">
                        <c:v>-17.853009077155825</c:v>
                      </c:pt>
                      <c:pt idx="16" formatCode="General">
                        <c:v>-18.026836611195161</c:v>
                      </c:pt>
                      <c:pt idx="17" formatCode="General">
                        <c:v>-18.200664145234494</c:v>
                      </c:pt>
                      <c:pt idx="18" formatCode="General">
                        <c:v>-18.366685325264751</c:v>
                      </c:pt>
                      <c:pt idx="19" formatCode="General">
                        <c:v>-18.531435703479577</c:v>
                      </c:pt>
                      <c:pt idx="20" formatCode="General">
                        <c:v>-18.696186081694403</c:v>
                      </c:pt>
                      <c:pt idx="21" formatCode="General">
                        <c:v>-18.86093645990923</c:v>
                      </c:pt>
                      <c:pt idx="22" formatCode="General">
                        <c:v>-19.025686838124056</c:v>
                      </c:pt>
                      <c:pt idx="23" formatCode="General">
                        <c:v>-19.190437216338882</c:v>
                      </c:pt>
                      <c:pt idx="24" formatCode="General">
                        <c:v>-19.353545454545454</c:v>
                      </c:pt>
                      <c:pt idx="25" formatCode="General">
                        <c:v>-19.511727272727274</c:v>
                      </c:pt>
                      <c:pt idx="26" formatCode="General">
                        <c:v>-19.667727272727276</c:v>
                      </c:pt>
                      <c:pt idx="27" formatCode="General">
                        <c:v>-19.822272727272729</c:v>
                      </c:pt>
                      <c:pt idx="28" formatCode="General">
                        <c:v>-19.971636363636364</c:v>
                      </c:pt>
                      <c:pt idx="29" formatCode="General">
                        <c:v>-20.119636363636364</c:v>
                      </c:pt>
                      <c:pt idx="30" formatCode="General">
                        <c:v>-20.265090909090912</c:v>
                      </c:pt>
                      <c:pt idx="31" formatCode="General">
                        <c:v>-20.404207261724661</c:v>
                      </c:pt>
                      <c:pt idx="32" formatCode="General">
                        <c:v>-20.53991074130106</c:v>
                      </c:pt>
                      <c:pt idx="33" formatCode="General">
                        <c:v>-20.67561422087746</c:v>
                      </c:pt>
                      <c:pt idx="34" formatCode="General">
                        <c:v>-20.811317700453859</c:v>
                      </c:pt>
                      <c:pt idx="35" formatCode="General">
                        <c:v>-20.947021180030259</c:v>
                      </c:pt>
                      <c:pt idx="36" formatCode="General">
                        <c:v>-21.082724659606658</c:v>
                      </c:pt>
                      <c:pt idx="37" formatCode="General">
                        <c:v>-21.217992435703479</c:v>
                      </c:pt>
                      <c:pt idx="38" formatCode="General">
                        <c:v>-21.342803328290469</c:v>
                      </c:pt>
                      <c:pt idx="39" formatCode="General">
                        <c:v>-21.467614220877458</c:v>
                      </c:pt>
                      <c:pt idx="40" formatCode="General">
                        <c:v>-21.592425113464447</c:v>
                      </c:pt>
                      <c:pt idx="41" formatCode="General">
                        <c:v>-21.717236006051436</c:v>
                      </c:pt>
                      <c:pt idx="42" formatCode="General">
                        <c:v>-21.842046898638426</c:v>
                      </c:pt>
                      <c:pt idx="43" formatCode="General">
                        <c:v>-21.966857791225415</c:v>
                      </c:pt>
                      <c:pt idx="44" formatCode="General">
                        <c:v>-22.090107413010589</c:v>
                      </c:pt>
                      <c:pt idx="45" formatCode="General">
                        <c:v>-22.211287443267775</c:v>
                      </c:pt>
                      <c:pt idx="46" formatCode="General">
                        <c:v>-22.332467473524964</c:v>
                      </c:pt>
                      <c:pt idx="47" formatCode="General">
                        <c:v>-22.45364750378215</c:v>
                      </c:pt>
                      <c:pt idx="48" formatCode="General">
                        <c:v>-22.574827534039336</c:v>
                      </c:pt>
                      <c:pt idx="49" formatCode="General">
                        <c:v>-22.696007564296522</c:v>
                      </c:pt>
                      <c:pt idx="50" formatCode="General">
                        <c:v>-22.817187594553708</c:v>
                      </c:pt>
                      <c:pt idx="51" formatCode="General">
                        <c:v>-22.940754545454549</c:v>
                      </c:pt>
                      <c:pt idx="52" formatCode="General">
                        <c:v>-23.064845454545456</c:v>
                      </c:pt>
                      <c:pt idx="53" formatCode="General">
                        <c:v>-23.188936363636365</c:v>
                      </c:pt>
                      <c:pt idx="54" formatCode="General">
                        <c:v>-23.313027272727275</c:v>
                      </c:pt>
                      <c:pt idx="55" formatCode="General">
                        <c:v>-23.437118181818185</c:v>
                      </c:pt>
                      <c:pt idx="56" formatCode="General">
                        <c:v>-23.561209090909092</c:v>
                      </c:pt>
                      <c:pt idx="57" formatCode="General">
                        <c:v>-23.68805446293495</c:v>
                      </c:pt>
                      <c:pt idx="58" formatCode="General">
                        <c:v>-23.824665658093799</c:v>
                      </c:pt>
                      <c:pt idx="59" formatCode="General">
                        <c:v>-23.961276853252649</c:v>
                      </c:pt>
                      <c:pt idx="60" formatCode="General">
                        <c:v>-24.097888048411498</c:v>
                      </c:pt>
                      <c:pt idx="61" formatCode="General">
                        <c:v>-24.234499243570347</c:v>
                      </c:pt>
                      <c:pt idx="62" formatCode="General">
                        <c:v>-24.3711104387292</c:v>
                      </c:pt>
                      <c:pt idx="63" formatCode="General">
                        <c:v>-24.50772163388805</c:v>
                      </c:pt>
                      <c:pt idx="64" formatCode="General">
                        <c:v>-24.653054545454545</c:v>
                      </c:pt>
                      <c:pt idx="65" formatCode="General">
                        <c:v>-24.803963636363637</c:v>
                      </c:pt>
                      <c:pt idx="66" formatCode="General">
                        <c:v>-24.960939759036144</c:v>
                      </c:pt>
                      <c:pt idx="67" formatCode="General">
                        <c:v>-25.121181818181817</c:v>
                      </c:pt>
                      <c:pt idx="68" formatCode="General">
                        <c:v>-25.288454545454545</c:v>
                      </c:pt>
                      <c:pt idx="69" formatCode="General">
                        <c:v>-25.461636363636362</c:v>
                      </c:pt>
                      <c:pt idx="70" formatCode="General">
                        <c:v>-25.637999999999998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-25.47124810892587</c:v>
                      </c:pt>
                      <c:pt idx="1">
                        <c:v>-25.73751134644478</c:v>
                      </c:pt>
                      <c:pt idx="2" formatCode="General">
                        <c:v>-26.00377458396369</c:v>
                      </c:pt>
                      <c:pt idx="3" formatCode="General">
                        <c:v>-26.270037821482603</c:v>
                      </c:pt>
                      <c:pt idx="4" formatCode="General">
                        <c:v>-26.538540090771559</c:v>
                      </c:pt>
                      <c:pt idx="5" formatCode="General">
                        <c:v>-26.832791225416038</c:v>
                      </c:pt>
                      <c:pt idx="6" formatCode="General">
                        <c:v>-27.127042360060514</c:v>
                      </c:pt>
                      <c:pt idx="7" formatCode="General">
                        <c:v>-27.421293494704994</c:v>
                      </c:pt>
                      <c:pt idx="8" formatCode="General">
                        <c:v>-27.71554462934947</c:v>
                      </c:pt>
                      <c:pt idx="9" formatCode="General">
                        <c:v>-28.009795763993949</c:v>
                      </c:pt>
                      <c:pt idx="10" formatCode="General">
                        <c:v>-28.304046898638425</c:v>
                      </c:pt>
                      <c:pt idx="11" formatCode="General">
                        <c:v>-28.596164901664146</c:v>
                      </c:pt>
                      <c:pt idx="12" formatCode="General">
                        <c:v>-28.885877458396369</c:v>
                      </c:pt>
                      <c:pt idx="13" formatCode="General">
                        <c:v>-29.175590015128595</c:v>
                      </c:pt>
                      <c:pt idx="14" formatCode="General">
                        <c:v>-29.465302571860818</c:v>
                      </c:pt>
                      <c:pt idx="15" formatCode="General">
                        <c:v>-29.75501512859304</c:v>
                      </c:pt>
                      <c:pt idx="16" formatCode="General">
                        <c:v>-30.044727685325267</c:v>
                      </c:pt>
                      <c:pt idx="17" formatCode="General">
                        <c:v>-30.334440242057489</c:v>
                      </c:pt>
                      <c:pt idx="18" formatCode="General">
                        <c:v>-30.611142208774584</c:v>
                      </c:pt>
                      <c:pt idx="19" formatCode="General">
                        <c:v>-30.885726172465962</c:v>
                      </c:pt>
                      <c:pt idx="20" formatCode="General">
                        <c:v>-31.160310136157335</c:v>
                      </c:pt>
                      <c:pt idx="21" formatCode="General">
                        <c:v>-31.434894099848712</c:v>
                      </c:pt>
                      <c:pt idx="22" formatCode="General">
                        <c:v>-31.709478063540089</c:v>
                      </c:pt>
                      <c:pt idx="23" formatCode="General">
                        <c:v>-31.984062027231467</c:v>
                      </c:pt>
                      <c:pt idx="24" formatCode="General">
                        <c:v>-32.255909090909086</c:v>
                      </c:pt>
                      <c:pt idx="25" formatCode="General">
                        <c:v>-32.519545454545451</c:v>
                      </c:pt>
                      <c:pt idx="26" formatCode="General">
                        <c:v>-32.779545454545456</c:v>
                      </c:pt>
                      <c:pt idx="27" formatCode="General">
                        <c:v>-33.037121212121214</c:v>
                      </c:pt>
                      <c:pt idx="28" formatCode="General">
                        <c:v>-33.286060606060609</c:v>
                      </c:pt>
                      <c:pt idx="29" formatCode="General">
                        <c:v>-33.532727272727271</c:v>
                      </c:pt>
                      <c:pt idx="30" formatCode="General">
                        <c:v>-33.775151515151514</c:v>
                      </c:pt>
                      <c:pt idx="31" formatCode="General">
                        <c:v>-34.007012102874434</c:v>
                      </c:pt>
                      <c:pt idx="32" formatCode="General">
                        <c:v>-34.2331845688351</c:v>
                      </c:pt>
                      <c:pt idx="33" formatCode="General">
                        <c:v>-34.459357034795765</c:v>
                      </c:pt>
                      <c:pt idx="34" formatCode="General">
                        <c:v>-34.685529500756431</c:v>
                      </c:pt>
                      <c:pt idx="35" formatCode="General">
                        <c:v>-34.911701966717089</c:v>
                      </c:pt>
                      <c:pt idx="36" formatCode="General">
                        <c:v>-35.137874432677755</c:v>
                      </c:pt>
                      <c:pt idx="37" formatCode="General">
                        <c:v>-35.363320726172461</c:v>
                      </c:pt>
                      <c:pt idx="38" formatCode="General">
                        <c:v>-35.571338880484113</c:v>
                      </c:pt>
                      <c:pt idx="39" formatCode="General">
                        <c:v>-35.779357034795765</c:v>
                      </c:pt>
                      <c:pt idx="40" formatCode="General">
                        <c:v>-35.987375189107411</c:v>
                      </c:pt>
                      <c:pt idx="41" formatCode="General">
                        <c:v>-36.195393343419063</c:v>
                      </c:pt>
                      <c:pt idx="42" formatCode="General">
                        <c:v>-36.403411497730715</c:v>
                      </c:pt>
                      <c:pt idx="43" formatCode="General">
                        <c:v>-36.611429652042361</c:v>
                      </c:pt>
                      <c:pt idx="44" formatCode="General">
                        <c:v>-36.816845688350988</c:v>
                      </c:pt>
                      <c:pt idx="45" formatCode="General">
                        <c:v>-37.018812405446297</c:v>
                      </c:pt>
                      <c:pt idx="46" formatCode="General">
                        <c:v>-37.220779122541607</c:v>
                      </c:pt>
                      <c:pt idx="47" formatCode="General">
                        <c:v>-37.422745839636917</c:v>
                      </c:pt>
                      <c:pt idx="48" formatCode="General">
                        <c:v>-37.624712556732227</c:v>
                      </c:pt>
                      <c:pt idx="49" formatCode="General">
                        <c:v>-37.826679273827537</c:v>
                      </c:pt>
                      <c:pt idx="50" formatCode="General">
                        <c:v>-38.028645990922847</c:v>
                      </c:pt>
                      <c:pt idx="51" formatCode="General">
                        <c:v>-38.234590909090912</c:v>
                      </c:pt>
                      <c:pt idx="52" formatCode="General">
                        <c:v>-38.441409090909097</c:v>
                      </c:pt>
                      <c:pt idx="53" formatCode="General">
                        <c:v>-38.648227272727276</c:v>
                      </c:pt>
                      <c:pt idx="54" formatCode="General">
                        <c:v>-38.855045454545454</c:v>
                      </c:pt>
                      <c:pt idx="55" formatCode="General">
                        <c:v>-39.06186363636364</c:v>
                      </c:pt>
                      <c:pt idx="56" formatCode="General">
                        <c:v>-39.268681818181818</c:v>
                      </c:pt>
                      <c:pt idx="57" formatCode="General">
                        <c:v>-39.480090771558245</c:v>
                      </c:pt>
                      <c:pt idx="58" formatCode="General">
                        <c:v>-39.707776096822997</c:v>
                      </c:pt>
                      <c:pt idx="59" formatCode="General">
                        <c:v>-39.935461422087748</c:v>
                      </c:pt>
                      <c:pt idx="60" formatCode="General">
                        <c:v>-40.163146747352492</c:v>
                      </c:pt>
                      <c:pt idx="61" formatCode="General">
                        <c:v>-40.390832072617243</c:v>
                      </c:pt>
                      <c:pt idx="62" formatCode="General">
                        <c:v>-40.618517397881995</c:v>
                      </c:pt>
                      <c:pt idx="63" formatCode="General">
                        <c:v>-40.846202723146746</c:v>
                      </c:pt>
                      <c:pt idx="64" formatCode="General">
                        <c:v>-41.088424242424239</c:v>
                      </c:pt>
                      <c:pt idx="65" formatCode="General">
                        <c:v>-41.339939393939389</c:v>
                      </c:pt>
                      <c:pt idx="66" formatCode="General">
                        <c:v>-41.601566265060235</c:v>
                      </c:pt>
                      <c:pt idx="67" formatCode="General">
                        <c:v>-41.868636363636362</c:v>
                      </c:pt>
                      <c:pt idx="68" formatCode="General">
                        <c:v>-42.147424242424236</c:v>
                      </c:pt>
                      <c:pt idx="69" formatCode="General">
                        <c:v>-42.4360606060606</c:v>
                      </c:pt>
                      <c:pt idx="70" formatCode="General">
                        <c:v>-42.73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-40.753996974281392</c:v>
                      </c:pt>
                      <c:pt idx="1">
                        <c:v>-41.180018154311647</c:v>
                      </c:pt>
                      <c:pt idx="2" formatCode="General">
                        <c:v>-41.606039334341908</c:v>
                      </c:pt>
                      <c:pt idx="3" formatCode="General">
                        <c:v>-42.032060514372162</c:v>
                      </c:pt>
                      <c:pt idx="4" formatCode="General">
                        <c:v>-42.461664145234494</c:v>
                      </c:pt>
                      <c:pt idx="5" formatCode="General">
                        <c:v>-42.93246596066566</c:v>
                      </c:pt>
                      <c:pt idx="6" formatCode="General">
                        <c:v>-43.403267776096826</c:v>
                      </c:pt>
                      <c:pt idx="7" formatCode="General">
                        <c:v>-43.874069591527991</c:v>
                      </c:pt>
                      <c:pt idx="8" formatCode="General">
                        <c:v>-44.34487140695915</c:v>
                      </c:pt>
                      <c:pt idx="9" formatCode="General">
                        <c:v>-44.815673222390316</c:v>
                      </c:pt>
                      <c:pt idx="10" formatCode="General">
                        <c:v>-45.286475037821482</c:v>
                      </c:pt>
                      <c:pt idx="11" formatCode="General">
                        <c:v>-45.753863842662632</c:v>
                      </c:pt>
                      <c:pt idx="12" formatCode="General">
                        <c:v>-46.217403933434191</c:v>
                      </c:pt>
                      <c:pt idx="13" formatCode="General">
                        <c:v>-46.680944024205751</c:v>
                      </c:pt>
                      <c:pt idx="14" formatCode="General">
                        <c:v>-47.14448411497731</c:v>
                      </c:pt>
                      <c:pt idx="15" formatCode="General">
                        <c:v>-47.608024205748869</c:v>
                      </c:pt>
                      <c:pt idx="16" formatCode="General">
                        <c:v>-48.071564296520428</c:v>
                      </c:pt>
                      <c:pt idx="17" formatCode="General">
                        <c:v>-48.535104387291987</c:v>
                      </c:pt>
                      <c:pt idx="18" formatCode="General">
                        <c:v>-48.977827534039335</c:v>
                      </c:pt>
                      <c:pt idx="19" formatCode="General">
                        <c:v>-49.417161875945538</c:v>
                      </c:pt>
                      <c:pt idx="20" formatCode="General">
                        <c:v>-49.856496217851742</c:v>
                      </c:pt>
                      <c:pt idx="21" formatCode="General">
                        <c:v>-50.295830559757945</c:v>
                      </c:pt>
                      <c:pt idx="22" formatCode="General">
                        <c:v>-50.735164901664142</c:v>
                      </c:pt>
                      <c:pt idx="23" formatCode="General">
                        <c:v>-51.174499243570345</c:v>
                      </c:pt>
                      <c:pt idx="24" formatCode="General">
                        <c:v>-51.609454545454547</c:v>
                      </c:pt>
                      <c:pt idx="25" formatCode="General">
                        <c:v>-52.031272727272729</c:v>
                      </c:pt>
                      <c:pt idx="26" formatCode="General">
                        <c:v>-52.447272727272733</c:v>
                      </c:pt>
                      <c:pt idx="27" formatCode="General">
                        <c:v>-52.859393939393939</c:v>
                      </c:pt>
                      <c:pt idx="28" formatCode="General">
                        <c:v>-53.257696969696973</c:v>
                      </c:pt>
                      <c:pt idx="29" formatCode="General">
                        <c:v>-53.652363636363638</c:v>
                      </c:pt>
                      <c:pt idx="30" formatCode="General">
                        <c:v>-54.040242424242429</c:v>
                      </c:pt>
                      <c:pt idx="31" formatCode="General">
                        <c:v>-54.411219364599091</c:v>
                      </c:pt>
                      <c:pt idx="32" formatCode="General">
                        <c:v>-54.773095310136156</c:v>
                      </c:pt>
                      <c:pt idx="33" formatCode="General">
                        <c:v>-55.134971255673221</c:v>
                      </c:pt>
                      <c:pt idx="34" formatCode="General">
                        <c:v>-55.496847201210286</c:v>
                      </c:pt>
                      <c:pt idx="35" formatCode="General">
                        <c:v>-55.858723146747352</c:v>
                      </c:pt>
                      <c:pt idx="36" formatCode="General">
                        <c:v>-56.220599092284417</c:v>
                      </c:pt>
                      <c:pt idx="37" formatCode="General">
                        <c:v>-56.58131316187594</c:v>
                      </c:pt>
                      <c:pt idx="38" formatCode="General">
                        <c:v>-56.914142208774578</c:v>
                      </c:pt>
                      <c:pt idx="39" formatCode="General">
                        <c:v>-57.246971255673223</c:v>
                      </c:pt>
                      <c:pt idx="40" formatCode="General">
                        <c:v>-57.579800302571861</c:v>
                      </c:pt>
                      <c:pt idx="41" formatCode="General">
                        <c:v>-57.9126293494705</c:v>
                      </c:pt>
                      <c:pt idx="42" formatCode="General">
                        <c:v>-58.245458396369138</c:v>
                      </c:pt>
                      <c:pt idx="43" formatCode="General">
                        <c:v>-58.578287443267776</c:v>
                      </c:pt>
                      <c:pt idx="44" formatCode="General">
                        <c:v>-58.906953101361573</c:v>
                      </c:pt>
                      <c:pt idx="45" formatCode="General">
                        <c:v>-59.230099848714069</c:v>
                      </c:pt>
                      <c:pt idx="46" formatCode="General">
                        <c:v>-59.553246596066565</c:v>
                      </c:pt>
                      <c:pt idx="47" formatCode="General">
                        <c:v>-59.876393343419068</c:v>
                      </c:pt>
                      <c:pt idx="48" formatCode="General">
                        <c:v>-60.199540090771563</c:v>
                      </c:pt>
                      <c:pt idx="49" formatCode="General">
                        <c:v>-60.522686838124059</c:v>
                      </c:pt>
                      <c:pt idx="50" formatCode="General">
                        <c:v>-60.845833585476555</c:v>
                      </c:pt>
                      <c:pt idx="51" formatCode="General">
                        <c:v>-61.175345454545457</c:v>
                      </c:pt>
                      <c:pt idx="52" formatCode="General">
                        <c:v>-61.506254545454553</c:v>
                      </c:pt>
                      <c:pt idx="53" formatCode="General">
                        <c:v>-61.837163636363641</c:v>
                      </c:pt>
                      <c:pt idx="54" formatCode="General">
                        <c:v>-62.16807272727273</c:v>
                      </c:pt>
                      <c:pt idx="55" formatCode="General">
                        <c:v>-62.498981818181818</c:v>
                      </c:pt>
                      <c:pt idx="56" formatCode="General">
                        <c:v>-62.829890909090913</c:v>
                      </c:pt>
                      <c:pt idx="57" formatCode="General">
                        <c:v>-63.168145234493196</c:v>
                      </c:pt>
                      <c:pt idx="58" formatCode="General">
                        <c:v>-63.532441754916796</c:v>
                      </c:pt>
                      <c:pt idx="59" formatCode="General">
                        <c:v>-63.896738275340397</c:v>
                      </c:pt>
                      <c:pt idx="60" formatCode="General">
                        <c:v>-64.26103479576399</c:v>
                      </c:pt>
                      <c:pt idx="61" formatCode="General">
                        <c:v>-64.625331316187598</c:v>
                      </c:pt>
                      <c:pt idx="62" formatCode="General">
                        <c:v>-64.989627836611191</c:v>
                      </c:pt>
                      <c:pt idx="63" formatCode="General">
                        <c:v>-65.353924357034799</c:v>
                      </c:pt>
                      <c:pt idx="64" formatCode="General">
                        <c:v>-65.741478787878791</c:v>
                      </c:pt>
                      <c:pt idx="65" formatCode="General">
                        <c:v>-66.143903030303022</c:v>
                      </c:pt>
                      <c:pt idx="66" formatCode="General">
                        <c:v>-66.562506024096379</c:v>
                      </c:pt>
                      <c:pt idx="67" formatCode="General">
                        <c:v>-66.98981818181818</c:v>
                      </c:pt>
                      <c:pt idx="68" formatCode="General">
                        <c:v>-67.435878787878792</c:v>
                      </c:pt>
                      <c:pt idx="69" formatCode="General">
                        <c:v>-67.897696969696966</c:v>
                      </c:pt>
                      <c:pt idx="70" formatCode="General">
                        <c:v>-68.367999999999995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-10.188499243570348</c:v>
                      </c:pt>
                      <c:pt idx="1">
                        <c:v>-10.295004538577912</c:v>
                      </c:pt>
                      <c:pt idx="2" formatCode="General">
                        <c:v>-10.401509833585477</c:v>
                      </c:pt>
                      <c:pt idx="3" formatCode="General">
                        <c:v>-10.508015128593041</c:v>
                      </c:pt>
                      <c:pt idx="4" formatCode="General">
                        <c:v>-10.615416036308623</c:v>
                      </c:pt>
                      <c:pt idx="5" formatCode="General">
                        <c:v>-10.733116490166415</c:v>
                      </c:pt>
                      <c:pt idx="6" formatCode="General">
                        <c:v>-10.850816944024206</c:v>
                      </c:pt>
                      <c:pt idx="7" formatCode="General">
                        <c:v>-10.968517397881998</c:v>
                      </c:pt>
                      <c:pt idx="8" formatCode="General">
                        <c:v>-11.086217851739788</c:v>
                      </c:pt>
                      <c:pt idx="9" formatCode="General">
                        <c:v>-11.203918305597579</c:v>
                      </c:pt>
                      <c:pt idx="10" formatCode="General">
                        <c:v>-11.321618759455371</c:v>
                      </c:pt>
                      <c:pt idx="11" formatCode="General">
                        <c:v>-11.438465960665658</c:v>
                      </c:pt>
                      <c:pt idx="12" formatCode="General">
                        <c:v>-11.554350983358548</c:v>
                      </c:pt>
                      <c:pt idx="13" formatCode="General">
                        <c:v>-11.670236006051438</c:v>
                      </c:pt>
                      <c:pt idx="14" formatCode="General">
                        <c:v>-11.786121028744327</c:v>
                      </c:pt>
                      <c:pt idx="15" formatCode="General">
                        <c:v>-11.902006051437217</c:v>
                      </c:pt>
                      <c:pt idx="16" formatCode="General">
                        <c:v>-12.017891074130107</c:v>
                      </c:pt>
                      <c:pt idx="17" formatCode="General">
                        <c:v>-12.133776096822997</c:v>
                      </c:pt>
                      <c:pt idx="18" formatCode="General">
                        <c:v>-12.244456883509834</c:v>
                      </c:pt>
                      <c:pt idx="19" formatCode="General">
                        <c:v>-12.354290468986385</c:v>
                      </c:pt>
                      <c:pt idx="20" formatCode="General">
                        <c:v>-12.464124054462935</c:v>
                      </c:pt>
                      <c:pt idx="21" formatCode="General">
                        <c:v>-12.573957639939486</c:v>
                      </c:pt>
                      <c:pt idx="22" formatCode="General">
                        <c:v>-12.683791225416035</c:v>
                      </c:pt>
                      <c:pt idx="23" formatCode="General">
                        <c:v>-12.793624810892586</c:v>
                      </c:pt>
                      <c:pt idx="24" formatCode="General">
                        <c:v>-12.902363636363637</c:v>
                      </c:pt>
                      <c:pt idx="25" formatCode="General">
                        <c:v>-13.007818181818182</c:v>
                      </c:pt>
                      <c:pt idx="26" formatCode="General">
                        <c:v>-13.111818181818183</c:v>
                      </c:pt>
                      <c:pt idx="27" formatCode="General">
                        <c:v>-13.214848484848485</c:v>
                      </c:pt>
                      <c:pt idx="28" formatCode="General">
                        <c:v>-13.314424242424243</c:v>
                      </c:pt>
                      <c:pt idx="29" formatCode="General">
                        <c:v>-13.41309090909091</c:v>
                      </c:pt>
                      <c:pt idx="30" formatCode="General">
                        <c:v>-13.510060606060607</c:v>
                      </c:pt>
                      <c:pt idx="31" formatCode="General">
                        <c:v>-13.602804841149773</c:v>
                      </c:pt>
                      <c:pt idx="32" formatCode="General">
                        <c:v>-13.693273827534039</c:v>
                      </c:pt>
                      <c:pt idx="33" formatCode="General">
                        <c:v>-13.783742813918305</c:v>
                      </c:pt>
                      <c:pt idx="34" formatCode="General">
                        <c:v>-13.874211800302572</c:v>
                      </c:pt>
                      <c:pt idx="35" formatCode="General">
                        <c:v>-13.964680786686838</c:v>
                      </c:pt>
                      <c:pt idx="36" formatCode="General">
                        <c:v>-14.055149773071104</c:v>
                      </c:pt>
                      <c:pt idx="37" formatCode="General">
                        <c:v>-14.145328290468985</c:v>
                      </c:pt>
                      <c:pt idx="38" formatCode="General">
                        <c:v>-14.228535552193645</c:v>
                      </c:pt>
                      <c:pt idx="39" formatCode="General">
                        <c:v>-14.311742813918306</c:v>
                      </c:pt>
                      <c:pt idx="40" formatCode="General">
                        <c:v>-14.394950075642965</c:v>
                      </c:pt>
                      <c:pt idx="41" formatCode="General">
                        <c:v>-14.478157337367625</c:v>
                      </c:pt>
                      <c:pt idx="42" formatCode="General">
                        <c:v>-14.561364599092284</c:v>
                      </c:pt>
                      <c:pt idx="43" formatCode="General">
                        <c:v>-14.644571860816944</c:v>
                      </c:pt>
                      <c:pt idx="44" formatCode="General">
                        <c:v>-14.726738275340393</c:v>
                      </c:pt>
                      <c:pt idx="45" formatCode="General">
                        <c:v>-14.807524962178517</c:v>
                      </c:pt>
                      <c:pt idx="46" formatCode="General">
                        <c:v>-14.888311649016641</c:v>
                      </c:pt>
                      <c:pt idx="47" formatCode="General">
                        <c:v>-14.969098335854767</c:v>
                      </c:pt>
                      <c:pt idx="48" formatCode="General">
                        <c:v>-15.049885022692891</c:v>
                      </c:pt>
                      <c:pt idx="49" formatCode="General">
                        <c:v>-15.130671709531015</c:v>
                      </c:pt>
                      <c:pt idx="50" formatCode="General">
                        <c:v>-15.211458396369139</c:v>
                      </c:pt>
                      <c:pt idx="51" formatCode="General">
                        <c:v>-15.293836363636364</c:v>
                      </c:pt>
                      <c:pt idx="52" formatCode="General">
                        <c:v>-15.376563636363638</c:v>
                      </c:pt>
                      <c:pt idx="53" formatCode="General">
                        <c:v>-15.45929090909091</c:v>
                      </c:pt>
                      <c:pt idx="54" formatCode="General">
                        <c:v>-15.542018181818182</c:v>
                      </c:pt>
                      <c:pt idx="55" formatCode="General">
                        <c:v>-15.624745454545454</c:v>
                      </c:pt>
                      <c:pt idx="56" formatCode="General">
                        <c:v>-15.707472727272728</c:v>
                      </c:pt>
                      <c:pt idx="57" formatCode="General">
                        <c:v>-15.792036308623299</c:v>
                      </c:pt>
                      <c:pt idx="58" formatCode="General">
                        <c:v>-15.883110438729199</c:v>
                      </c:pt>
                      <c:pt idx="59" formatCode="General">
                        <c:v>-15.974184568835099</c:v>
                      </c:pt>
                      <c:pt idx="60" formatCode="General">
                        <c:v>-16.065258698940998</c:v>
                      </c:pt>
                      <c:pt idx="61" formatCode="General">
                        <c:v>-16.156332829046899</c:v>
                      </c:pt>
                      <c:pt idx="62" formatCode="General">
                        <c:v>-16.247406959152798</c:v>
                      </c:pt>
                      <c:pt idx="63" formatCode="General">
                        <c:v>-16.3384810892587</c:v>
                      </c:pt>
                      <c:pt idx="64" formatCode="General">
                        <c:v>-16.435369696969698</c:v>
                      </c:pt>
                      <c:pt idx="65" formatCode="General">
                        <c:v>-16.535975757575756</c:v>
                      </c:pt>
                      <c:pt idx="66" formatCode="General">
                        <c:v>-16.640626506024095</c:v>
                      </c:pt>
                      <c:pt idx="67" formatCode="General">
                        <c:v>-16.747454545454545</c:v>
                      </c:pt>
                      <c:pt idx="68" formatCode="General">
                        <c:v>-16.858969696969698</c:v>
                      </c:pt>
                      <c:pt idx="69" formatCode="General">
                        <c:v>-16.974424242424242</c:v>
                      </c:pt>
                      <c:pt idx="70" formatCode="General">
                        <c:v>-17.091999999999999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-18.054697428139182</c:v>
                      </c:pt>
                      <c:pt idx="1">
                        <c:v>-18.256815431164902</c:v>
                      </c:pt>
                      <c:pt idx="2" formatCode="General">
                        <c:v>-18.458933434190619</c:v>
                      </c:pt>
                      <c:pt idx="3" formatCode="General">
                        <c:v>-18.66105143721634</c:v>
                      </c:pt>
                      <c:pt idx="4" formatCode="General">
                        <c:v>-18.86235854765507</c:v>
                      </c:pt>
                      <c:pt idx="5" formatCode="General">
                        <c:v>-19.05434039334342</c:v>
                      </c:pt>
                      <c:pt idx="6" formatCode="General">
                        <c:v>-19.24632223903177</c:v>
                      </c:pt>
                      <c:pt idx="7" formatCode="General">
                        <c:v>-19.438304084720123</c:v>
                      </c:pt>
                      <c:pt idx="8" formatCode="General">
                        <c:v>-19.630285930408473</c:v>
                      </c:pt>
                      <c:pt idx="9" formatCode="General">
                        <c:v>-19.822267776096822</c:v>
                      </c:pt>
                      <c:pt idx="10" formatCode="General">
                        <c:v>-20.014249621785172</c:v>
                      </c:pt>
                      <c:pt idx="11" formatCode="General">
                        <c:v>-20.19926323751891</c:v>
                      </c:pt>
                      <c:pt idx="12" formatCode="General">
                        <c:v>-20.376419062027232</c:v>
                      </c:pt>
                      <c:pt idx="13" formatCode="General">
                        <c:v>-20.55357488653555</c:v>
                      </c:pt>
                      <c:pt idx="14" formatCode="General">
                        <c:v>-20.730730711043872</c:v>
                      </c:pt>
                      <c:pt idx="15" formatCode="General">
                        <c:v>-20.907886535552194</c:v>
                      </c:pt>
                      <c:pt idx="16" formatCode="General">
                        <c:v>-21.085042360060513</c:v>
                      </c:pt>
                      <c:pt idx="17" formatCode="General">
                        <c:v>-21.262198184568835</c:v>
                      </c:pt>
                      <c:pt idx="18" formatCode="General">
                        <c:v>-21.429465960665659</c:v>
                      </c:pt>
                      <c:pt idx="19" formatCode="General">
                        <c:v>-21.595124054462936</c:v>
                      </c:pt>
                      <c:pt idx="20" formatCode="General">
                        <c:v>-21.760782148260212</c:v>
                      </c:pt>
                      <c:pt idx="21" formatCode="General">
                        <c:v>-21.926440242057488</c:v>
                      </c:pt>
                      <c:pt idx="22" formatCode="General">
                        <c:v>-22.092098335854768</c:v>
                      </c:pt>
                      <c:pt idx="23" formatCode="General">
                        <c:v>-22.257756429652044</c:v>
                      </c:pt>
                      <c:pt idx="24" formatCode="General">
                        <c:v>-22.423363636363639</c:v>
                      </c:pt>
                      <c:pt idx="25" formatCode="General">
                        <c:v>-22.588818181818183</c:v>
                      </c:pt>
                      <c:pt idx="26" formatCode="General">
                        <c:v>-22.754999999999999</c:v>
                      </c:pt>
                      <c:pt idx="27" formatCode="General">
                        <c:v>-22.921666666666667</c:v>
                      </c:pt>
                      <c:pt idx="28" formatCode="General">
                        <c:v>-23.09121212121212</c:v>
                      </c:pt>
                      <c:pt idx="29" formatCode="General">
                        <c:v>-23.262727272727272</c:v>
                      </c:pt>
                      <c:pt idx="30" formatCode="General">
                        <c:v>-23.438484848484848</c:v>
                      </c:pt>
                      <c:pt idx="31" formatCode="General">
                        <c:v>-23.627148260211801</c:v>
                      </c:pt>
                      <c:pt idx="32" formatCode="General">
                        <c:v>-23.822760968229954</c:v>
                      </c:pt>
                      <c:pt idx="33" formatCode="General">
                        <c:v>-24.018373676248107</c:v>
                      </c:pt>
                      <c:pt idx="34" formatCode="General">
                        <c:v>-24.213986384266263</c:v>
                      </c:pt>
                      <c:pt idx="35" formatCode="General">
                        <c:v>-24.409599092284417</c:v>
                      </c:pt>
                      <c:pt idx="36" formatCode="General">
                        <c:v>-24.60521180030257</c:v>
                      </c:pt>
                      <c:pt idx="37" formatCode="General">
                        <c:v>-24.801853252647504</c:v>
                      </c:pt>
                      <c:pt idx="38" formatCode="General">
                        <c:v>-25.023184568835099</c:v>
                      </c:pt>
                      <c:pt idx="39" formatCode="General">
                        <c:v>-25.244515885022693</c:v>
                      </c:pt>
                      <c:pt idx="40" formatCode="General">
                        <c:v>-25.465847201210288</c:v>
                      </c:pt>
                      <c:pt idx="41" formatCode="General">
                        <c:v>-25.687178517397882</c:v>
                      </c:pt>
                      <c:pt idx="42" formatCode="General">
                        <c:v>-25.908509833585477</c:v>
                      </c:pt>
                      <c:pt idx="43" formatCode="General">
                        <c:v>-26.129841149773071</c:v>
                      </c:pt>
                      <c:pt idx="44" formatCode="General">
                        <c:v>-26.350782148260212</c:v>
                      </c:pt>
                      <c:pt idx="45" formatCode="General">
                        <c:v>-26.571205748865356</c:v>
                      </c:pt>
                      <c:pt idx="46" formatCode="General">
                        <c:v>-26.791629349470501</c:v>
                      </c:pt>
                      <c:pt idx="47" formatCode="General">
                        <c:v>-27.012052950075642</c:v>
                      </c:pt>
                      <c:pt idx="48" formatCode="General">
                        <c:v>-27.232476550680786</c:v>
                      </c:pt>
                      <c:pt idx="49" formatCode="General">
                        <c:v>-27.452900151285931</c:v>
                      </c:pt>
                      <c:pt idx="50" formatCode="General">
                        <c:v>-27.673323751891076</c:v>
                      </c:pt>
                      <c:pt idx="51" formatCode="General">
                        <c:v>-27.883584848484851</c:v>
                      </c:pt>
                      <c:pt idx="52" formatCode="General">
                        <c:v>-28.091615151515153</c:v>
                      </c:pt>
                      <c:pt idx="53" formatCode="General">
                        <c:v>-28.299645454545455</c:v>
                      </c:pt>
                      <c:pt idx="54" formatCode="General">
                        <c:v>-28.507675757575758</c:v>
                      </c:pt>
                      <c:pt idx="55" formatCode="General">
                        <c:v>-28.71570606060606</c:v>
                      </c:pt>
                      <c:pt idx="56" formatCode="General">
                        <c:v>-28.923736363636365</c:v>
                      </c:pt>
                      <c:pt idx="57" formatCode="General">
                        <c:v>-29.127969742813917</c:v>
                      </c:pt>
                      <c:pt idx="58" formatCode="General">
                        <c:v>-29.318741301059003</c:v>
                      </c:pt>
                      <c:pt idx="59" formatCode="General">
                        <c:v>-29.509512859304085</c:v>
                      </c:pt>
                      <c:pt idx="60" formatCode="General">
                        <c:v>-29.70028441754917</c:v>
                      </c:pt>
                      <c:pt idx="61" formatCode="General">
                        <c:v>-29.891055975794252</c:v>
                      </c:pt>
                      <c:pt idx="62" formatCode="General">
                        <c:v>-30.081827534039334</c:v>
                      </c:pt>
                      <c:pt idx="63" formatCode="General">
                        <c:v>-30.27259909228442</c:v>
                      </c:pt>
                      <c:pt idx="64" formatCode="General">
                        <c:v>-30.459018181818184</c:v>
                      </c:pt>
                      <c:pt idx="65" formatCode="General">
                        <c:v>-30.642654545454544</c:v>
                      </c:pt>
                      <c:pt idx="66" formatCode="General">
                        <c:v>-30.815975903614454</c:v>
                      </c:pt>
                      <c:pt idx="67" formatCode="General">
                        <c:v>-30.990090909090906</c:v>
                      </c:pt>
                      <c:pt idx="68" formatCode="General">
                        <c:v>-31.167060606060605</c:v>
                      </c:pt>
                      <c:pt idx="69" formatCode="General">
                        <c:v>-31.338121212121212</c:v>
                      </c:pt>
                      <c:pt idx="70" formatCode="General">
                        <c:v>-31.506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-57.82181818181818</c:v>
                      </c:pt>
                      <c:pt idx="2" formatCode="General">
                        <c:v>-56.458181818181821</c:v>
                      </c:pt>
                      <c:pt idx="3" formatCode="General">
                        <c:v>-55.240545454545455</c:v>
                      </c:pt>
                      <c:pt idx="4" formatCode="General">
                        <c:v>-54.169515151515157</c:v>
                      </c:pt>
                      <c:pt idx="5" formatCode="General">
                        <c:v>-54.163454545454542</c:v>
                      </c:pt>
                      <c:pt idx="6" formatCode="General">
                        <c:v>-53.748132530120479</c:v>
                      </c:pt>
                      <c:pt idx="7" formatCode="General">
                        <c:v>-52.790301204819279</c:v>
                      </c:pt>
                      <c:pt idx="8" formatCode="General">
                        <c:v>-52.266666666666666</c:v>
                      </c:pt>
                      <c:pt idx="9" formatCode="General">
                        <c:v>-51.88</c:v>
                      </c:pt>
                      <c:pt idx="10" formatCode="General">
                        <c:v>-51.546666666666674</c:v>
                      </c:pt>
                      <c:pt idx="11" formatCode="General">
                        <c:v>-51.257726172465965</c:v>
                      </c:pt>
                      <c:pt idx="12" formatCode="General">
                        <c:v>-51.018845688350986</c:v>
                      </c:pt>
                      <c:pt idx="13" formatCode="General">
                        <c:v>-50.779965204236014</c:v>
                      </c:pt>
                      <c:pt idx="14" formatCode="General">
                        <c:v>-50.541084720121034</c:v>
                      </c:pt>
                      <c:pt idx="15" formatCode="General">
                        <c:v>-50.302204236006055</c:v>
                      </c:pt>
                      <c:pt idx="16" formatCode="General">
                        <c:v>-50.063323751891076</c:v>
                      </c:pt>
                      <c:pt idx="17" formatCode="General">
                        <c:v>-49.824443267776097</c:v>
                      </c:pt>
                      <c:pt idx="18" formatCode="General">
                        <c:v>-49.652878787878791</c:v>
                      </c:pt>
                      <c:pt idx="19" formatCode="General">
                        <c:v>-49.495072727272728</c:v>
                      </c:pt>
                      <c:pt idx="20" formatCode="General">
                        <c:v>-49.347799999999999</c:v>
                      </c:pt>
                      <c:pt idx="21" formatCode="General">
                        <c:v>-49.220212121212121</c:v>
                      </c:pt>
                      <c:pt idx="22" formatCode="General">
                        <c:v>-49.108090909090905</c:v>
                      </c:pt>
                      <c:pt idx="23" formatCode="General">
                        <c:v>-49.151174698795181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-60.923190620272315</c:v>
                      </c:pt>
                      <c:pt idx="65" formatCode="General">
                        <c:v>-61.184158850226929</c:v>
                      </c:pt>
                      <c:pt idx="66" formatCode="General">
                        <c:v>-61.445127080181543</c:v>
                      </c:pt>
                      <c:pt idx="67" formatCode="General">
                        <c:v>-61.706095310136156</c:v>
                      </c:pt>
                      <c:pt idx="68" formatCode="General">
                        <c:v>-61.967063540090777</c:v>
                      </c:pt>
                      <c:pt idx="69" formatCode="General">
                        <c:v>-62.228031770045391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-21.105757575757575</c:v>
                      </c:pt>
                      <c:pt idx="1">
                        <c:v>-20.527333333333335</c:v>
                      </c:pt>
                      <c:pt idx="2" formatCode="General">
                        <c:v>-19.994</c:v>
                      </c:pt>
                      <c:pt idx="3" formatCode="General">
                        <c:v>-19.721696969696971</c:v>
                      </c:pt>
                      <c:pt idx="4" formatCode="General">
                        <c:v>-19.592969696969696</c:v>
                      </c:pt>
                      <c:pt idx="5" formatCode="General">
                        <c:v>-20.005090909090907</c:v>
                      </c:pt>
                      <c:pt idx="6" formatCode="General">
                        <c:v>-20.188192771084335</c:v>
                      </c:pt>
                      <c:pt idx="7" formatCode="General">
                        <c:v>-20.067710843373494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-185.65945454545451</c:v>
                      </c:pt>
                      <c:pt idx="1">
                        <c:v>-180.33072727272724</c:v>
                      </c:pt>
                      <c:pt idx="2" formatCode="General">
                        <c:v>-175.38527272727273</c:v>
                      </c:pt>
                      <c:pt idx="3" formatCode="General">
                        <c:v>-170.78933333333333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-100.42183358547655</c:v>
                      </c:pt>
                      <c:pt idx="65" formatCode="General">
                        <c:v>-100.90352798789712</c:v>
                      </c:pt>
                      <c:pt idx="66" formatCode="General">
                        <c:v>-101.38522239031769</c:v>
                      </c:pt>
                      <c:pt idx="67" formatCode="General">
                        <c:v>-101.86691679273828</c:v>
                      </c:pt>
                      <c:pt idx="68" formatCode="General">
                        <c:v>-102.34861119515885</c:v>
                      </c:pt>
                      <c:pt idx="69" formatCode="General">
                        <c:v>-102.83030559757943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-36.464181818181821</c:v>
                      </c:pt>
                      <c:pt idx="3" formatCode="General">
                        <c:v>-35.518848484848483</c:v>
                      </c:pt>
                      <c:pt idx="4" formatCode="General">
                        <c:v>-34.576545454545453</c:v>
                      </c:pt>
                      <c:pt idx="5" formatCode="General">
                        <c:v>-34.158363636363639</c:v>
                      </c:pt>
                      <c:pt idx="6" formatCode="General">
                        <c:v>-33.559939759036148</c:v>
                      </c:pt>
                      <c:pt idx="7" formatCode="General">
                        <c:v>-32.722590361445782</c:v>
                      </c:pt>
                      <c:pt idx="8" formatCode="General">
                        <c:v>-32.114666666666665</c:v>
                      </c:pt>
                      <c:pt idx="9" formatCode="General">
                        <c:v>-31.581818181818182</c:v>
                      </c:pt>
                      <c:pt idx="10" formatCode="General">
                        <c:v>-31.096969696969701</c:v>
                      </c:pt>
                      <c:pt idx="11" formatCode="General">
                        <c:v>-30.656621785173982</c:v>
                      </c:pt>
                      <c:pt idx="12" formatCode="General">
                        <c:v>-30.266455370650533</c:v>
                      </c:pt>
                      <c:pt idx="13" formatCode="General">
                        <c:v>-29.876288956127084</c:v>
                      </c:pt>
                      <c:pt idx="14" formatCode="General">
                        <c:v>-29.486122541603635</c:v>
                      </c:pt>
                      <c:pt idx="15" formatCode="General">
                        <c:v>-29.095956127080186</c:v>
                      </c:pt>
                      <c:pt idx="16" formatCode="General">
                        <c:v>-28.705789712556733</c:v>
                      </c:pt>
                      <c:pt idx="17" formatCode="General">
                        <c:v>-28.315623298033284</c:v>
                      </c:pt>
                      <c:pt idx="18" formatCode="General">
                        <c:v>-27.992575757575761</c:v>
                      </c:pt>
                      <c:pt idx="19" formatCode="General">
                        <c:v>-27.684527272727273</c:v>
                      </c:pt>
                      <c:pt idx="20" formatCode="General">
                        <c:v>-27.3918</c:v>
                      </c:pt>
                      <c:pt idx="21" formatCode="General">
                        <c:v>-27.115363636363636</c:v>
                      </c:pt>
                      <c:pt idx="22" formatCode="General">
                        <c:v>-26.85172727272727</c:v>
                      </c:pt>
                      <c:pt idx="23" formatCode="General">
                        <c:v>-26.744126506024095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-33.02028593040847</c:v>
                      </c:pt>
                      <c:pt idx="65" formatCode="General">
                        <c:v>-33.16173827534039</c:v>
                      </c:pt>
                      <c:pt idx="66" formatCode="General">
                        <c:v>-33.303190620272311</c:v>
                      </c:pt>
                      <c:pt idx="67" formatCode="General">
                        <c:v>-33.444642965204238</c:v>
                      </c:pt>
                      <c:pt idx="68" formatCode="General">
                        <c:v>-33.586095310136159</c:v>
                      </c:pt>
                      <c:pt idx="69" formatCode="General">
                        <c:v>-33.727547655068079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-143.44793939393938</c:v>
                      </c:pt>
                      <c:pt idx="1">
                        <c:v>-139.27606060606061</c:v>
                      </c:pt>
                      <c:pt idx="2" formatCode="General">
                        <c:v>-135.39727272727271</c:v>
                      </c:pt>
                      <c:pt idx="3" formatCode="General">
                        <c:v>-131.34593939393937</c:v>
                      </c:pt>
                      <c:pt idx="4" formatCode="General">
                        <c:v>-127.1730909090909</c:v>
                      </c:pt>
                      <c:pt idx="5" formatCode="General">
                        <c:v>-122.33672727272727</c:v>
                      </c:pt>
                      <c:pt idx="6" formatCode="General">
                        <c:v>-118.12421686746988</c:v>
                      </c:pt>
                      <c:pt idx="7" formatCode="General">
                        <c:v>-114.73867469879519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-44.616024205748872</c:v>
                      </c:pt>
                      <c:pt idx="65" formatCode="General">
                        <c:v>-44.858686838124058</c:v>
                      </c:pt>
                      <c:pt idx="66" formatCode="General">
                        <c:v>-45.101349470499244</c:v>
                      </c:pt>
                      <c:pt idx="67" formatCode="General">
                        <c:v>-45.344012102874437</c:v>
                      </c:pt>
                      <c:pt idx="68" formatCode="General">
                        <c:v>-45.586674735249623</c:v>
                      </c:pt>
                      <c:pt idx="69" formatCode="General">
                        <c:v>-45.829337367624817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-19.02</c:v>
                      </c:pt>
                      <c:pt idx="1">
                        <c:v>-19.02</c:v>
                      </c:pt>
                      <c:pt idx="2" formatCode="General">
                        <c:v>-19.02</c:v>
                      </c:pt>
                      <c:pt idx="3" formatCode="General">
                        <c:v>-19.152727272727272</c:v>
                      </c:pt>
                      <c:pt idx="4" formatCode="General">
                        <c:v>-19.306909090909091</c:v>
                      </c:pt>
                      <c:pt idx="5" formatCode="General">
                        <c:v>-19.143272727272727</c:v>
                      </c:pt>
                      <c:pt idx="6" formatCode="General">
                        <c:v>-19.130301204819279</c:v>
                      </c:pt>
                      <c:pt idx="7" formatCode="General">
                        <c:v>-19.317048192771082</c:v>
                      </c:pt>
                      <c:pt idx="8" formatCode="General">
                        <c:v>-19.369333333333334</c:v>
                      </c:pt>
                      <c:pt idx="9" formatCode="General">
                        <c:v>-19.382181818181817</c:v>
                      </c:pt>
                      <c:pt idx="10" formatCode="General">
                        <c:v>-19.400363636363636</c:v>
                      </c:pt>
                      <c:pt idx="11" formatCode="General">
                        <c:v>-19.418532526475037</c:v>
                      </c:pt>
                      <c:pt idx="12" formatCode="General">
                        <c:v>-19.436686838124054</c:v>
                      </c:pt>
                      <c:pt idx="13" formatCode="General">
                        <c:v>-19.45484114977307</c:v>
                      </c:pt>
                      <c:pt idx="14" formatCode="General">
                        <c:v>-19.472995461422087</c:v>
                      </c:pt>
                      <c:pt idx="15" formatCode="General">
                        <c:v>-19.491149773071104</c:v>
                      </c:pt>
                      <c:pt idx="16" formatCode="General">
                        <c:v>-19.509304084720121</c:v>
                      </c:pt>
                      <c:pt idx="17" formatCode="General">
                        <c:v>-19.527458396369138</c:v>
                      </c:pt>
                      <c:pt idx="18" formatCode="General">
                        <c:v>-19.545636363636362</c:v>
                      </c:pt>
                      <c:pt idx="19" formatCode="General">
                        <c:v>-19.565090909090909</c:v>
                      </c:pt>
                      <c:pt idx="20" formatCode="General">
                        <c:v>-19.589333333333332</c:v>
                      </c:pt>
                      <c:pt idx="21" formatCode="General">
                        <c:v>-19.610181818181818</c:v>
                      </c:pt>
                      <c:pt idx="22" formatCode="General">
                        <c:v>-19.628363636363634</c:v>
                      </c:pt>
                      <c:pt idx="23" formatCode="General">
                        <c:v>-19.542289156626506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-36.464181818181821</c:v>
                      </c:pt>
                      <c:pt idx="3" formatCode="General">
                        <c:v>-35.518848484848483</c:v>
                      </c:pt>
                      <c:pt idx="4" formatCode="General">
                        <c:v>-34.576545454545453</c:v>
                      </c:pt>
                      <c:pt idx="5" formatCode="General">
                        <c:v>-34.158363636363639</c:v>
                      </c:pt>
                      <c:pt idx="6" formatCode="General">
                        <c:v>-33.559939759036148</c:v>
                      </c:pt>
                      <c:pt idx="7" formatCode="General">
                        <c:v>-32.722590361445782</c:v>
                      </c:pt>
                      <c:pt idx="8" formatCode="General">
                        <c:v>-32.114666666666665</c:v>
                      </c:pt>
                      <c:pt idx="9" formatCode="General">
                        <c:v>-31.581818181818182</c:v>
                      </c:pt>
                      <c:pt idx="10" formatCode="General">
                        <c:v>-31.096969696969701</c:v>
                      </c:pt>
                      <c:pt idx="11" formatCode="General">
                        <c:v>-30.656621785173982</c:v>
                      </c:pt>
                      <c:pt idx="12" formatCode="General">
                        <c:v>-30.266455370650533</c:v>
                      </c:pt>
                      <c:pt idx="13" formatCode="General">
                        <c:v>-29.876288956127084</c:v>
                      </c:pt>
                      <c:pt idx="14" formatCode="General">
                        <c:v>-29.486122541603635</c:v>
                      </c:pt>
                      <c:pt idx="15" formatCode="General">
                        <c:v>-29.095956127080186</c:v>
                      </c:pt>
                      <c:pt idx="16" formatCode="General">
                        <c:v>-28.705789712556733</c:v>
                      </c:pt>
                      <c:pt idx="17" formatCode="General">
                        <c:v>-28.315623298033284</c:v>
                      </c:pt>
                      <c:pt idx="18" formatCode="General">
                        <c:v>-27.992575757575761</c:v>
                      </c:pt>
                      <c:pt idx="19" formatCode="General">
                        <c:v>-27.684527272727273</c:v>
                      </c:pt>
                      <c:pt idx="20" formatCode="General">
                        <c:v>-27.3918</c:v>
                      </c:pt>
                      <c:pt idx="21" formatCode="General">
                        <c:v>-27.115363636363636</c:v>
                      </c:pt>
                      <c:pt idx="22" formatCode="General">
                        <c:v>-26.85172727272727</c:v>
                      </c:pt>
                      <c:pt idx="23" formatCode="General">
                        <c:v>-26.744126506024095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-33.02028593040847</c:v>
                      </c:pt>
                      <c:pt idx="65" formatCode="General">
                        <c:v>-33.16173827534039</c:v>
                      </c:pt>
                      <c:pt idx="66" formatCode="General">
                        <c:v>-33.303190620272311</c:v>
                      </c:pt>
                      <c:pt idx="67" formatCode="General">
                        <c:v>-33.444642965204238</c:v>
                      </c:pt>
                      <c:pt idx="68" formatCode="General">
                        <c:v>-33.586095310136159</c:v>
                      </c:pt>
                      <c:pt idx="69" formatCode="General">
                        <c:v>-33.727547655068079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-19.02</c:v>
                      </c:pt>
                      <c:pt idx="1">
                        <c:v>-19.02</c:v>
                      </c:pt>
                      <c:pt idx="2" formatCode="General">
                        <c:v>-19.02</c:v>
                      </c:pt>
                      <c:pt idx="3" formatCode="General">
                        <c:v>-19.152727272727272</c:v>
                      </c:pt>
                      <c:pt idx="4" formatCode="General">
                        <c:v>-19.306909090909091</c:v>
                      </c:pt>
                      <c:pt idx="5" formatCode="General">
                        <c:v>-19.143272727272727</c:v>
                      </c:pt>
                      <c:pt idx="6" formatCode="General">
                        <c:v>-19.130301204819279</c:v>
                      </c:pt>
                      <c:pt idx="7" formatCode="General">
                        <c:v>-19.317048192771082</c:v>
                      </c:pt>
                      <c:pt idx="8" formatCode="General">
                        <c:v>-19.369333333333334</c:v>
                      </c:pt>
                      <c:pt idx="9" formatCode="General">
                        <c:v>-19.382181818181817</c:v>
                      </c:pt>
                      <c:pt idx="10" formatCode="General">
                        <c:v>-19.400363636363636</c:v>
                      </c:pt>
                      <c:pt idx="11" formatCode="General">
                        <c:v>-19.418532526475037</c:v>
                      </c:pt>
                      <c:pt idx="12" formatCode="General">
                        <c:v>-19.436686838124054</c:v>
                      </c:pt>
                      <c:pt idx="13" formatCode="General">
                        <c:v>-19.45484114977307</c:v>
                      </c:pt>
                      <c:pt idx="14" formatCode="General">
                        <c:v>-19.472995461422087</c:v>
                      </c:pt>
                      <c:pt idx="15" formatCode="General">
                        <c:v>-19.491149773071104</c:v>
                      </c:pt>
                      <c:pt idx="16" formatCode="General">
                        <c:v>-19.509304084720121</c:v>
                      </c:pt>
                      <c:pt idx="17" formatCode="General">
                        <c:v>-19.527458396369138</c:v>
                      </c:pt>
                      <c:pt idx="18" formatCode="General">
                        <c:v>-19.545636363636362</c:v>
                      </c:pt>
                      <c:pt idx="19" formatCode="General">
                        <c:v>-19.565090909090909</c:v>
                      </c:pt>
                      <c:pt idx="20" formatCode="General">
                        <c:v>-19.589333333333332</c:v>
                      </c:pt>
                      <c:pt idx="21" formatCode="General">
                        <c:v>-19.610181818181818</c:v>
                      </c:pt>
                      <c:pt idx="22" formatCode="General">
                        <c:v>-19.628363636363634</c:v>
                      </c:pt>
                      <c:pt idx="23" formatCode="General">
                        <c:v>-19.542289156626506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-21.105757575757575</c:v>
                      </c:pt>
                      <c:pt idx="1">
                        <c:v>-20.527333333333335</c:v>
                      </c:pt>
                      <c:pt idx="2" formatCode="General">
                        <c:v>-19.994</c:v>
                      </c:pt>
                      <c:pt idx="3" formatCode="General">
                        <c:v>-19.721696969696971</c:v>
                      </c:pt>
                      <c:pt idx="4" formatCode="General">
                        <c:v>-19.592969696969696</c:v>
                      </c:pt>
                      <c:pt idx="5" formatCode="General">
                        <c:v>-20.005090909090907</c:v>
                      </c:pt>
                      <c:pt idx="6" formatCode="General">
                        <c:v>-20.188192771084335</c:v>
                      </c:pt>
                      <c:pt idx="7" formatCode="General">
                        <c:v>-20.067710843373494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-60.236787878787872</c:v>
                      </c:pt>
                      <c:pt idx="1">
                        <c:v>-58.907818181818179</c:v>
                      </c:pt>
                      <c:pt idx="2" formatCode="General">
                        <c:v>-57.744181818181815</c:v>
                      </c:pt>
                      <c:pt idx="3" formatCode="General">
                        <c:v>-56.770787878787878</c:v>
                      </c:pt>
                      <c:pt idx="4" formatCode="General">
                        <c:v>-55.919636363636364</c:v>
                      </c:pt>
                      <c:pt idx="5" formatCode="General">
                        <c:v>-55.665090909090907</c:v>
                      </c:pt>
                      <c:pt idx="6" formatCode="General">
                        <c:v>-55.214337349397596</c:v>
                      </c:pt>
                      <c:pt idx="7" formatCode="General">
                        <c:v>-54.503493975903616</c:v>
                      </c:pt>
                      <c:pt idx="8" formatCode="General">
                        <c:v>-53.92</c:v>
                      </c:pt>
                      <c:pt idx="9" formatCode="General">
                        <c:v>-53.390327272727269</c:v>
                      </c:pt>
                      <c:pt idx="10" formatCode="General">
                        <c:v>-52.976387878787875</c:v>
                      </c:pt>
                      <c:pt idx="11" formatCode="General">
                        <c:v>-52.647143721633888</c:v>
                      </c:pt>
                      <c:pt idx="12" formatCode="General">
                        <c:v>-52.413406959152795</c:v>
                      </c:pt>
                      <c:pt idx="13" formatCode="General">
                        <c:v>-52.179670196671708</c:v>
                      </c:pt>
                      <c:pt idx="14" formatCode="General">
                        <c:v>-51.945933434190614</c:v>
                      </c:pt>
                      <c:pt idx="15" formatCode="General">
                        <c:v>-51.712196671709528</c:v>
                      </c:pt>
                      <c:pt idx="16" formatCode="General">
                        <c:v>-51.478459909228441</c:v>
                      </c:pt>
                      <c:pt idx="17" formatCode="General">
                        <c:v>-51.244723146747347</c:v>
                      </c:pt>
                      <c:pt idx="18" formatCode="General">
                        <c:v>-51.166654545454541</c:v>
                      </c:pt>
                      <c:pt idx="19" formatCode="General">
                        <c:v>-51.135054545454544</c:v>
                      </c:pt>
                      <c:pt idx="20" formatCode="General">
                        <c:v>-51.182933333333331</c:v>
                      </c:pt>
                      <c:pt idx="21" formatCode="General">
                        <c:v>-51.28070303030303</c:v>
                      </c:pt>
                      <c:pt idx="22" formatCode="General">
                        <c:v>-51.417672727272731</c:v>
                      </c:pt>
                      <c:pt idx="23" formatCode="General">
                        <c:v>-51.628993975903619</c:v>
                      </c:pt>
                      <c:pt idx="24" formatCode="General">
                        <c:v>-51.862848484848492</c:v>
                      </c:pt>
                      <c:pt idx="25" formatCode="General">
                        <c:v>-52.142242424242433</c:v>
                      </c:pt>
                      <c:pt idx="26" formatCode="General">
                        <c:v>-52.432545454545455</c:v>
                      </c:pt>
                      <c:pt idx="27" formatCode="General">
                        <c:v>-52.730121212121212</c:v>
                      </c:pt>
                      <c:pt idx="28" formatCode="General">
                        <c:v>-53.034606060606059</c:v>
                      </c:pt>
                      <c:pt idx="29" formatCode="General">
                        <c:v>-53.343454545454541</c:v>
                      </c:pt>
                      <c:pt idx="30" formatCode="General">
                        <c:v>-53.661636363636369</c:v>
                      </c:pt>
                      <c:pt idx="31" formatCode="General">
                        <c:v>-53.972818456883516</c:v>
                      </c:pt>
                      <c:pt idx="32" formatCode="General">
                        <c:v>-54.280231467473527</c:v>
                      </c:pt>
                      <c:pt idx="33" formatCode="General">
                        <c:v>-54.587644478063538</c:v>
                      </c:pt>
                      <c:pt idx="34" formatCode="General">
                        <c:v>-54.895057488653556</c:v>
                      </c:pt>
                      <c:pt idx="35" formatCode="General">
                        <c:v>-55.202470499243567</c:v>
                      </c:pt>
                      <c:pt idx="36" formatCode="General">
                        <c:v>-55.509883509833585</c:v>
                      </c:pt>
                      <c:pt idx="37" formatCode="General">
                        <c:v>-55.816757942511344</c:v>
                      </c:pt>
                      <c:pt idx="38" formatCode="General">
                        <c:v>-56.110706505295006</c:v>
                      </c:pt>
                      <c:pt idx="39" formatCode="General">
                        <c:v>-56.404655068078668</c:v>
                      </c:pt>
                      <c:pt idx="40" formatCode="General">
                        <c:v>-56.69860363086233</c:v>
                      </c:pt>
                      <c:pt idx="41" formatCode="General">
                        <c:v>-56.992552193645992</c:v>
                      </c:pt>
                      <c:pt idx="42" formatCode="General">
                        <c:v>-57.286500756429653</c:v>
                      </c:pt>
                      <c:pt idx="43" formatCode="General">
                        <c:v>-57.580449319213315</c:v>
                      </c:pt>
                      <c:pt idx="44" formatCode="General">
                        <c:v>-57.869193645990926</c:v>
                      </c:pt>
                      <c:pt idx="45" formatCode="General">
                        <c:v>-58.15103933434191</c:v>
                      </c:pt>
                      <c:pt idx="46" formatCode="General">
                        <c:v>-58.432885022692894</c:v>
                      </c:pt>
                      <c:pt idx="47" formatCode="General">
                        <c:v>-58.714730711043877</c:v>
                      </c:pt>
                      <c:pt idx="48" formatCode="General">
                        <c:v>-58.996576399394861</c:v>
                      </c:pt>
                      <c:pt idx="49" formatCode="General">
                        <c:v>-59.278422087745845</c:v>
                      </c:pt>
                      <c:pt idx="50" formatCode="General">
                        <c:v>-59.560267776096829</c:v>
                      </c:pt>
                      <c:pt idx="51" formatCode="General">
                        <c:v>-59.834139393939395</c:v>
                      </c:pt>
                      <c:pt idx="52" formatCode="General">
                        <c:v>-60.106260606060609</c:v>
                      </c:pt>
                      <c:pt idx="53" formatCode="General">
                        <c:v>-60.378381818181822</c:v>
                      </c:pt>
                      <c:pt idx="54" formatCode="General">
                        <c:v>-60.650503030303028</c:v>
                      </c:pt>
                      <c:pt idx="55" formatCode="General">
                        <c:v>-60.922624242424241</c:v>
                      </c:pt>
                      <c:pt idx="56" formatCode="General">
                        <c:v>-61.194745454545455</c:v>
                      </c:pt>
                      <c:pt idx="57" formatCode="General">
                        <c:v>-61.46743373493976</c:v>
                      </c:pt>
                      <c:pt idx="58" formatCode="General">
                        <c:v>-61.742132530120479</c:v>
                      </c:pt>
                      <c:pt idx="59" formatCode="General">
                        <c:v>-62.009278787878785</c:v>
                      </c:pt>
                      <c:pt idx="60" formatCode="General">
                        <c:v>-62.27049090909091</c:v>
                      </c:pt>
                      <c:pt idx="61" formatCode="General">
                        <c:v>-62.539975757575753</c:v>
                      </c:pt>
                      <c:pt idx="62" formatCode="General">
                        <c:v>-62.809648484848481</c:v>
                      </c:pt>
                      <c:pt idx="63" formatCode="General">
                        <c:v>-63.077527272727274</c:v>
                      </c:pt>
                      <c:pt idx="64" formatCode="General">
                        <c:v>-63.33999092284418</c:v>
                      </c:pt>
                      <c:pt idx="65" formatCode="General">
                        <c:v>-63.598992435703479</c:v>
                      </c:pt>
                      <c:pt idx="66" formatCode="General">
                        <c:v>-63.857993948562786</c:v>
                      </c:pt>
                      <c:pt idx="67" formatCode="General">
                        <c:v>-64.116995461422093</c:v>
                      </c:pt>
                      <c:pt idx="68" formatCode="General">
                        <c:v>-64.375996974281392</c:v>
                      </c:pt>
                      <c:pt idx="69" formatCode="General">
                        <c:v>-64.634998487140706</c:v>
                      </c:pt>
                      <c:pt idx="70" formatCode="General">
                        <c:v>-64.894000000000005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-38.512484848484846</c:v>
                      </c:pt>
                      <c:pt idx="1">
                        <c:v>-37.55684848484848</c:v>
                      </c:pt>
                      <c:pt idx="2" formatCode="General">
                        <c:v>-36.653818181818181</c:v>
                      </c:pt>
                      <c:pt idx="3" formatCode="General">
                        <c:v>-35.821575757575751</c:v>
                      </c:pt>
                      <c:pt idx="4" formatCode="General">
                        <c:v>-35.031515151515151</c:v>
                      </c:pt>
                      <c:pt idx="5" formatCode="General">
                        <c:v>-34.425454545454542</c:v>
                      </c:pt>
                      <c:pt idx="6" formatCode="General">
                        <c:v>-33.800240963855423</c:v>
                      </c:pt>
                      <c:pt idx="7" formatCode="General">
                        <c:v>-33.149638554216871</c:v>
                      </c:pt>
                      <c:pt idx="8" formatCode="General">
                        <c:v>-32.556666666666665</c:v>
                      </c:pt>
                      <c:pt idx="9" formatCode="General">
                        <c:v>-31.989418181818181</c:v>
                      </c:pt>
                      <c:pt idx="10" formatCode="General">
                        <c:v>-31.484569696969697</c:v>
                      </c:pt>
                      <c:pt idx="11" formatCode="General">
                        <c:v>-31.045993948562781</c:v>
                      </c:pt>
                      <c:pt idx="12" formatCode="General">
                        <c:v>-30.682151285930406</c:v>
                      </c:pt>
                      <c:pt idx="13" formatCode="General">
                        <c:v>-30.31830862329803</c:v>
                      </c:pt>
                      <c:pt idx="14" formatCode="General">
                        <c:v>-29.954465960665654</c:v>
                      </c:pt>
                      <c:pt idx="15" formatCode="General">
                        <c:v>-29.590623298033279</c:v>
                      </c:pt>
                      <c:pt idx="16" formatCode="General">
                        <c:v>-29.226780635400907</c:v>
                      </c:pt>
                      <c:pt idx="17" formatCode="General">
                        <c:v>-28.862937972768528</c:v>
                      </c:pt>
                      <c:pt idx="18" formatCode="General">
                        <c:v>-28.662412121212121</c:v>
                      </c:pt>
                      <c:pt idx="19" formatCode="General">
                        <c:v>-28.51087272727273</c:v>
                      </c:pt>
                      <c:pt idx="20" formatCode="General">
                        <c:v>-28.4436</c:v>
                      </c:pt>
                      <c:pt idx="21" formatCode="General">
                        <c:v>-28.426218181818179</c:v>
                      </c:pt>
                      <c:pt idx="22" formatCode="General">
                        <c:v>-28.448036363636362</c:v>
                      </c:pt>
                      <c:pt idx="23" formatCode="General">
                        <c:v>-28.533873493975904</c:v>
                      </c:pt>
                      <c:pt idx="24" formatCode="General">
                        <c:v>-28.638000000000002</c:v>
                      </c:pt>
                      <c:pt idx="25" formatCode="General">
                        <c:v>-28.778000000000002</c:v>
                      </c:pt>
                      <c:pt idx="26" formatCode="General">
                        <c:v>-28.928909090909091</c:v>
                      </c:pt>
                      <c:pt idx="27" formatCode="General">
                        <c:v>-29.087090909090907</c:v>
                      </c:pt>
                      <c:pt idx="28" formatCode="General">
                        <c:v>-29.252181818181818</c:v>
                      </c:pt>
                      <c:pt idx="29" formatCode="General">
                        <c:v>-29.419818181818179</c:v>
                      </c:pt>
                      <c:pt idx="30" formatCode="General">
                        <c:v>-29.592545454545455</c:v>
                      </c:pt>
                      <c:pt idx="31" formatCode="General">
                        <c:v>-29.761366111951592</c:v>
                      </c:pt>
                      <c:pt idx="32" formatCode="General">
                        <c:v>-29.928083207261729</c:v>
                      </c:pt>
                      <c:pt idx="33" formatCode="General">
                        <c:v>-30.094800302571862</c:v>
                      </c:pt>
                      <c:pt idx="34" formatCode="General">
                        <c:v>-30.261517397881999</c:v>
                      </c:pt>
                      <c:pt idx="35" formatCode="General">
                        <c:v>-30.428234493192136</c:v>
                      </c:pt>
                      <c:pt idx="36" formatCode="General">
                        <c:v>-30.594951588502273</c:v>
                      </c:pt>
                      <c:pt idx="37" formatCode="General">
                        <c:v>-30.761372163388806</c:v>
                      </c:pt>
                      <c:pt idx="38" formatCode="General">
                        <c:v>-30.920676248108929</c:v>
                      </c:pt>
                      <c:pt idx="39" formatCode="General">
                        <c:v>-31.079980332829049</c:v>
                      </c:pt>
                      <c:pt idx="40" formatCode="General">
                        <c:v>-31.239284417549168</c:v>
                      </c:pt>
                      <c:pt idx="41" formatCode="General">
                        <c:v>-31.398588502269288</c:v>
                      </c:pt>
                      <c:pt idx="42" formatCode="General">
                        <c:v>-31.557892586989411</c:v>
                      </c:pt>
                      <c:pt idx="43" formatCode="General">
                        <c:v>-31.71719667170953</c:v>
                      </c:pt>
                      <c:pt idx="44" formatCode="General">
                        <c:v>-31.87454916792738</c:v>
                      </c:pt>
                      <c:pt idx="45" formatCode="General">
                        <c:v>-32.029314674735247</c:v>
                      </c:pt>
                      <c:pt idx="46" formatCode="General">
                        <c:v>-32.184080181543116</c:v>
                      </c:pt>
                      <c:pt idx="47" formatCode="General">
                        <c:v>-32.338845688350986</c:v>
                      </c:pt>
                      <c:pt idx="48" formatCode="General">
                        <c:v>-32.493611195158856</c:v>
                      </c:pt>
                      <c:pt idx="49" formatCode="General">
                        <c:v>-32.648376701966718</c:v>
                      </c:pt>
                      <c:pt idx="50" formatCode="General">
                        <c:v>-32.803142208774588</c:v>
                      </c:pt>
                      <c:pt idx="51" formatCode="General">
                        <c:v>-32.957230303030308</c:v>
                      </c:pt>
                      <c:pt idx="52" formatCode="General">
                        <c:v>-33.111169696969704</c:v>
                      </c:pt>
                      <c:pt idx="53" formatCode="General">
                        <c:v>-33.265109090909093</c:v>
                      </c:pt>
                      <c:pt idx="54" formatCode="General">
                        <c:v>-33.419048484848489</c:v>
                      </c:pt>
                      <c:pt idx="55" formatCode="General">
                        <c:v>-33.572987878787885</c:v>
                      </c:pt>
                      <c:pt idx="56" formatCode="General">
                        <c:v>-33.726927272727274</c:v>
                      </c:pt>
                      <c:pt idx="57" formatCode="General">
                        <c:v>-33.880927710843373</c:v>
                      </c:pt>
                      <c:pt idx="58" formatCode="General">
                        <c:v>-34.035144578313258</c:v>
                      </c:pt>
                      <c:pt idx="59" formatCode="General">
                        <c:v>-34.184793939393941</c:v>
                      </c:pt>
                      <c:pt idx="60" formatCode="General">
                        <c:v>-34.33085454545455</c:v>
                      </c:pt>
                      <c:pt idx="61" formatCode="General">
                        <c:v>-34.479672727272728</c:v>
                      </c:pt>
                      <c:pt idx="62" formatCode="General">
                        <c:v>-34.628133333333331</c:v>
                      </c:pt>
                      <c:pt idx="63" formatCode="General">
                        <c:v>-34.774799999999999</c:v>
                      </c:pt>
                      <c:pt idx="64" formatCode="General">
                        <c:v>-34.918009077155823</c:v>
                      </c:pt>
                      <c:pt idx="65" formatCode="General">
                        <c:v>-35.059007564296522</c:v>
                      </c:pt>
                      <c:pt idx="66" formatCode="General">
                        <c:v>-35.200006051437214</c:v>
                      </c:pt>
                      <c:pt idx="67" formatCode="General">
                        <c:v>-35.341004538577913</c:v>
                      </c:pt>
                      <c:pt idx="68" formatCode="General">
                        <c:v>-35.482003025718605</c:v>
                      </c:pt>
                      <c:pt idx="69" formatCode="General">
                        <c:v>-35.623001512859304</c:v>
                      </c:pt>
                      <c:pt idx="70" formatCode="General">
                        <c:v>-35.763999999999996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-18.888727272727273</c:v>
                      </c:pt>
                      <c:pt idx="1">
                        <c:v>-18.91151515151515</c:v>
                      </c:pt>
                      <c:pt idx="2" formatCode="General">
                        <c:v>-18.941818181818181</c:v>
                      </c:pt>
                      <c:pt idx="3" formatCode="General">
                        <c:v>-18.976545454545455</c:v>
                      </c:pt>
                      <c:pt idx="4" formatCode="General">
                        <c:v>-19.008545454545455</c:v>
                      </c:pt>
                      <c:pt idx="5" formatCode="General">
                        <c:v>-18.990363636363636</c:v>
                      </c:pt>
                      <c:pt idx="6" formatCode="General">
                        <c:v>-18.995542168674699</c:v>
                      </c:pt>
                      <c:pt idx="7" formatCode="General">
                        <c:v>-19.031686746987951</c:v>
                      </c:pt>
                      <c:pt idx="8" formatCode="General">
                        <c:v>-19.063333333333333</c:v>
                      </c:pt>
                      <c:pt idx="9" formatCode="General">
                        <c:v>-19.093636363636364</c:v>
                      </c:pt>
                      <c:pt idx="10" formatCode="General">
                        <c:v>-19.123939393939395</c:v>
                      </c:pt>
                      <c:pt idx="11" formatCode="General">
                        <c:v>-19.142844175491678</c:v>
                      </c:pt>
                      <c:pt idx="12" formatCode="General">
                        <c:v>-19.148895612708017</c:v>
                      </c:pt>
                      <c:pt idx="13" formatCode="General">
                        <c:v>-19.154947049924356</c:v>
                      </c:pt>
                      <c:pt idx="14" formatCode="General">
                        <c:v>-19.160998487140695</c:v>
                      </c:pt>
                      <c:pt idx="15" formatCode="General">
                        <c:v>-19.167049924357034</c:v>
                      </c:pt>
                      <c:pt idx="16" formatCode="General">
                        <c:v>-19.173101361573373</c:v>
                      </c:pt>
                      <c:pt idx="17" formatCode="General">
                        <c:v>-19.179152798789712</c:v>
                      </c:pt>
                      <c:pt idx="18" formatCode="General">
                        <c:v>-19.153939393939392</c:v>
                      </c:pt>
                      <c:pt idx="19" formatCode="General">
                        <c:v>-19.123636363636361</c:v>
                      </c:pt>
                      <c:pt idx="20" formatCode="General">
                        <c:v>-19.09333333333333</c:v>
                      </c:pt>
                      <c:pt idx="21" formatCode="General">
                        <c:v>-19.06642424242424</c:v>
                      </c:pt>
                      <c:pt idx="22" formatCode="General">
                        <c:v>-19.042181818181817</c:v>
                      </c:pt>
                      <c:pt idx="23" formatCode="General">
                        <c:v>-19.034518072289156</c:v>
                      </c:pt>
                      <c:pt idx="24" formatCode="General">
                        <c:v>-19.031515151515151</c:v>
                      </c:pt>
                      <c:pt idx="25" formatCode="General">
                        <c:v>-19.037575757575759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-19.07151515151515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-60.236787878787872</c:v>
                      </c:pt>
                      <c:pt idx="1">
                        <c:v>-58.907818181818179</c:v>
                      </c:pt>
                      <c:pt idx="2" formatCode="General">
                        <c:v>-57.744181818181815</c:v>
                      </c:pt>
                      <c:pt idx="3" formatCode="General">
                        <c:v>-56.770787878787878</c:v>
                      </c:pt>
                      <c:pt idx="4" formatCode="General">
                        <c:v>-55.919636363636364</c:v>
                      </c:pt>
                      <c:pt idx="5" formatCode="General">
                        <c:v>-55.665090909090907</c:v>
                      </c:pt>
                      <c:pt idx="6" formatCode="General">
                        <c:v>-55.214337349397596</c:v>
                      </c:pt>
                      <c:pt idx="7" formatCode="General">
                        <c:v>-54.503493975903616</c:v>
                      </c:pt>
                      <c:pt idx="8" formatCode="General">
                        <c:v>-53.92</c:v>
                      </c:pt>
                      <c:pt idx="9" formatCode="General">
                        <c:v>-53.390327272727269</c:v>
                      </c:pt>
                      <c:pt idx="10" formatCode="General">
                        <c:v>-52.976387878787875</c:v>
                      </c:pt>
                      <c:pt idx="11" formatCode="General">
                        <c:v>-52.647143721633888</c:v>
                      </c:pt>
                      <c:pt idx="12" formatCode="General">
                        <c:v>-52.413406959152795</c:v>
                      </c:pt>
                      <c:pt idx="13" formatCode="General">
                        <c:v>-52.179670196671708</c:v>
                      </c:pt>
                      <c:pt idx="14" formatCode="General">
                        <c:v>-51.945933434190614</c:v>
                      </c:pt>
                      <c:pt idx="15" formatCode="General">
                        <c:v>-51.712196671709528</c:v>
                      </c:pt>
                      <c:pt idx="16" formatCode="General">
                        <c:v>-51.478459909228441</c:v>
                      </c:pt>
                      <c:pt idx="17" formatCode="General">
                        <c:v>-51.244723146747347</c:v>
                      </c:pt>
                      <c:pt idx="18" formatCode="General">
                        <c:v>-51.166654545454541</c:v>
                      </c:pt>
                      <c:pt idx="19" formatCode="General">
                        <c:v>-51.135054545454544</c:v>
                      </c:pt>
                      <c:pt idx="20" formatCode="General">
                        <c:v>-51.182933333333331</c:v>
                      </c:pt>
                      <c:pt idx="21" formatCode="General">
                        <c:v>-51.28070303030303</c:v>
                      </c:pt>
                      <c:pt idx="22" formatCode="General">
                        <c:v>-51.417672727272731</c:v>
                      </c:pt>
                      <c:pt idx="23" formatCode="General">
                        <c:v>-51.628993975903619</c:v>
                      </c:pt>
                      <c:pt idx="24" formatCode="General">
                        <c:v>-51.862848484848492</c:v>
                      </c:pt>
                      <c:pt idx="25" formatCode="General">
                        <c:v>-52.142242424242433</c:v>
                      </c:pt>
                      <c:pt idx="26" formatCode="General">
                        <c:v>-52.432545454545455</c:v>
                      </c:pt>
                      <c:pt idx="27" formatCode="General">
                        <c:v>-52.730121212121212</c:v>
                      </c:pt>
                      <c:pt idx="28" formatCode="General">
                        <c:v>-53.034606060606059</c:v>
                      </c:pt>
                      <c:pt idx="29" formatCode="General">
                        <c:v>-53.343454545454541</c:v>
                      </c:pt>
                      <c:pt idx="30" formatCode="General">
                        <c:v>-53.661636363636369</c:v>
                      </c:pt>
                      <c:pt idx="31" formatCode="General">
                        <c:v>-53.972818456883516</c:v>
                      </c:pt>
                      <c:pt idx="32" formatCode="General">
                        <c:v>-54.280231467473527</c:v>
                      </c:pt>
                      <c:pt idx="33" formatCode="General">
                        <c:v>-54.587644478063538</c:v>
                      </c:pt>
                      <c:pt idx="34" formatCode="General">
                        <c:v>-54.895057488653556</c:v>
                      </c:pt>
                      <c:pt idx="35" formatCode="General">
                        <c:v>-55.202470499243567</c:v>
                      </c:pt>
                      <c:pt idx="36" formatCode="General">
                        <c:v>-55.509883509833585</c:v>
                      </c:pt>
                      <c:pt idx="37" formatCode="General">
                        <c:v>-55.816757942511344</c:v>
                      </c:pt>
                      <c:pt idx="38" formatCode="General">
                        <c:v>-56.110706505295006</c:v>
                      </c:pt>
                      <c:pt idx="39" formatCode="General">
                        <c:v>-56.404655068078668</c:v>
                      </c:pt>
                      <c:pt idx="40" formatCode="General">
                        <c:v>-56.69860363086233</c:v>
                      </c:pt>
                      <c:pt idx="41" formatCode="General">
                        <c:v>-56.992552193645992</c:v>
                      </c:pt>
                      <c:pt idx="42" formatCode="General">
                        <c:v>-57.286500756429653</c:v>
                      </c:pt>
                      <c:pt idx="43" formatCode="General">
                        <c:v>-57.580449319213315</c:v>
                      </c:pt>
                      <c:pt idx="44" formatCode="General">
                        <c:v>-57.869193645990926</c:v>
                      </c:pt>
                      <c:pt idx="45" formatCode="General">
                        <c:v>-58.15103933434191</c:v>
                      </c:pt>
                      <c:pt idx="46" formatCode="General">
                        <c:v>-58.432885022692894</c:v>
                      </c:pt>
                      <c:pt idx="47" formatCode="General">
                        <c:v>-58.714730711043877</c:v>
                      </c:pt>
                      <c:pt idx="48" formatCode="General">
                        <c:v>-58.996576399394861</c:v>
                      </c:pt>
                      <c:pt idx="49" formatCode="General">
                        <c:v>-59.278422087745845</c:v>
                      </c:pt>
                      <c:pt idx="50" formatCode="General">
                        <c:v>-59.560267776096829</c:v>
                      </c:pt>
                      <c:pt idx="51" formatCode="General">
                        <c:v>-59.834139393939395</c:v>
                      </c:pt>
                      <c:pt idx="52" formatCode="General">
                        <c:v>-60.106260606060609</c:v>
                      </c:pt>
                      <c:pt idx="53" formatCode="General">
                        <c:v>-60.378381818181822</c:v>
                      </c:pt>
                      <c:pt idx="54" formatCode="General">
                        <c:v>-60.650503030303028</c:v>
                      </c:pt>
                      <c:pt idx="55" formatCode="General">
                        <c:v>-60.922624242424241</c:v>
                      </c:pt>
                      <c:pt idx="56" formatCode="General">
                        <c:v>-61.194745454545455</c:v>
                      </c:pt>
                      <c:pt idx="57" formatCode="General">
                        <c:v>-61.46743373493976</c:v>
                      </c:pt>
                      <c:pt idx="58" formatCode="General">
                        <c:v>-61.742132530120479</c:v>
                      </c:pt>
                      <c:pt idx="59" formatCode="General">
                        <c:v>-62.009278787878785</c:v>
                      </c:pt>
                      <c:pt idx="60" formatCode="General">
                        <c:v>-62.27049090909091</c:v>
                      </c:pt>
                      <c:pt idx="61" formatCode="General">
                        <c:v>-62.539975757575753</c:v>
                      </c:pt>
                      <c:pt idx="62" formatCode="General">
                        <c:v>-62.809648484848481</c:v>
                      </c:pt>
                      <c:pt idx="63" formatCode="General">
                        <c:v>-63.077527272727274</c:v>
                      </c:pt>
                      <c:pt idx="64" formatCode="General">
                        <c:v>-63.33999092284418</c:v>
                      </c:pt>
                      <c:pt idx="65" formatCode="General">
                        <c:v>-63.598992435703479</c:v>
                      </c:pt>
                      <c:pt idx="66" formatCode="General">
                        <c:v>-63.857993948562786</c:v>
                      </c:pt>
                      <c:pt idx="67" formatCode="General">
                        <c:v>-64.116995461422093</c:v>
                      </c:pt>
                      <c:pt idx="68" formatCode="General">
                        <c:v>-64.375996974281392</c:v>
                      </c:pt>
                      <c:pt idx="69" formatCode="General">
                        <c:v>-64.634998487140706</c:v>
                      </c:pt>
                      <c:pt idx="70" formatCode="General">
                        <c:v>-64.894000000000005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-38.512484848484846</c:v>
                      </c:pt>
                      <c:pt idx="1">
                        <c:v>-37.55684848484848</c:v>
                      </c:pt>
                      <c:pt idx="2" formatCode="General">
                        <c:v>-36.653818181818181</c:v>
                      </c:pt>
                      <c:pt idx="3" formatCode="General">
                        <c:v>-35.821575757575751</c:v>
                      </c:pt>
                      <c:pt idx="4" formatCode="General">
                        <c:v>-35.031515151515151</c:v>
                      </c:pt>
                      <c:pt idx="5" formatCode="General">
                        <c:v>-34.425454545454542</c:v>
                      </c:pt>
                      <c:pt idx="6" formatCode="General">
                        <c:v>-33.800240963855423</c:v>
                      </c:pt>
                      <c:pt idx="7" formatCode="General">
                        <c:v>-33.149638554216871</c:v>
                      </c:pt>
                      <c:pt idx="8" formatCode="General">
                        <c:v>-32.556666666666665</c:v>
                      </c:pt>
                      <c:pt idx="9" formatCode="General">
                        <c:v>-31.989418181818181</c:v>
                      </c:pt>
                      <c:pt idx="10" formatCode="General">
                        <c:v>-31.484569696969697</c:v>
                      </c:pt>
                      <c:pt idx="11" formatCode="General">
                        <c:v>-31.045993948562781</c:v>
                      </c:pt>
                      <c:pt idx="12" formatCode="General">
                        <c:v>-30.682151285930406</c:v>
                      </c:pt>
                      <c:pt idx="13" formatCode="General">
                        <c:v>-30.31830862329803</c:v>
                      </c:pt>
                      <c:pt idx="14" formatCode="General">
                        <c:v>-29.954465960665654</c:v>
                      </c:pt>
                      <c:pt idx="15" formatCode="General">
                        <c:v>-29.590623298033279</c:v>
                      </c:pt>
                      <c:pt idx="16" formatCode="General">
                        <c:v>-29.226780635400907</c:v>
                      </c:pt>
                      <c:pt idx="17" formatCode="General">
                        <c:v>-28.862937972768528</c:v>
                      </c:pt>
                      <c:pt idx="18" formatCode="General">
                        <c:v>-28.662412121212121</c:v>
                      </c:pt>
                      <c:pt idx="19" formatCode="General">
                        <c:v>-28.51087272727273</c:v>
                      </c:pt>
                      <c:pt idx="20" formatCode="General">
                        <c:v>-28.4436</c:v>
                      </c:pt>
                      <c:pt idx="21" formatCode="General">
                        <c:v>-28.426218181818179</c:v>
                      </c:pt>
                      <c:pt idx="22" formatCode="General">
                        <c:v>-28.448036363636362</c:v>
                      </c:pt>
                      <c:pt idx="23" formatCode="General">
                        <c:v>-28.533873493975904</c:v>
                      </c:pt>
                      <c:pt idx="24" formatCode="General">
                        <c:v>-28.638000000000002</c:v>
                      </c:pt>
                      <c:pt idx="25" formatCode="General">
                        <c:v>-28.778000000000002</c:v>
                      </c:pt>
                      <c:pt idx="26" formatCode="General">
                        <c:v>-28.928909090909091</c:v>
                      </c:pt>
                      <c:pt idx="27" formatCode="General">
                        <c:v>-29.087090909090907</c:v>
                      </c:pt>
                      <c:pt idx="28" formatCode="General">
                        <c:v>-29.252181818181818</c:v>
                      </c:pt>
                      <c:pt idx="29" formatCode="General">
                        <c:v>-29.419818181818179</c:v>
                      </c:pt>
                      <c:pt idx="30" formatCode="General">
                        <c:v>-29.592545454545455</c:v>
                      </c:pt>
                      <c:pt idx="31" formatCode="General">
                        <c:v>-29.761366111951592</c:v>
                      </c:pt>
                      <c:pt idx="32" formatCode="General">
                        <c:v>-29.928083207261729</c:v>
                      </c:pt>
                      <c:pt idx="33" formatCode="General">
                        <c:v>-30.094800302571862</c:v>
                      </c:pt>
                      <c:pt idx="34" formatCode="General">
                        <c:v>-30.261517397881999</c:v>
                      </c:pt>
                      <c:pt idx="35" formatCode="General">
                        <c:v>-30.428234493192136</c:v>
                      </c:pt>
                      <c:pt idx="36" formatCode="General">
                        <c:v>-30.594951588502273</c:v>
                      </c:pt>
                      <c:pt idx="37" formatCode="General">
                        <c:v>-30.761372163388806</c:v>
                      </c:pt>
                      <c:pt idx="38" formatCode="General">
                        <c:v>-30.920676248108929</c:v>
                      </c:pt>
                      <c:pt idx="39" formatCode="General">
                        <c:v>-31.079980332829049</c:v>
                      </c:pt>
                      <c:pt idx="40" formatCode="General">
                        <c:v>-31.239284417549168</c:v>
                      </c:pt>
                      <c:pt idx="41" formatCode="General">
                        <c:v>-31.398588502269288</c:v>
                      </c:pt>
                      <c:pt idx="42" formatCode="General">
                        <c:v>-31.557892586989411</c:v>
                      </c:pt>
                      <c:pt idx="43" formatCode="General">
                        <c:v>-31.71719667170953</c:v>
                      </c:pt>
                      <c:pt idx="44" formatCode="General">
                        <c:v>-31.87454916792738</c:v>
                      </c:pt>
                      <c:pt idx="45" formatCode="General">
                        <c:v>-32.029314674735247</c:v>
                      </c:pt>
                      <c:pt idx="46" formatCode="General">
                        <c:v>-32.184080181543116</c:v>
                      </c:pt>
                      <c:pt idx="47" formatCode="General">
                        <c:v>-32.338845688350986</c:v>
                      </c:pt>
                      <c:pt idx="48" formatCode="General">
                        <c:v>-32.493611195158856</c:v>
                      </c:pt>
                      <c:pt idx="49" formatCode="General">
                        <c:v>-32.648376701966718</c:v>
                      </c:pt>
                      <c:pt idx="50" formatCode="General">
                        <c:v>-32.803142208774588</c:v>
                      </c:pt>
                      <c:pt idx="51" formatCode="General">
                        <c:v>-32.957230303030308</c:v>
                      </c:pt>
                      <c:pt idx="52" formatCode="General">
                        <c:v>-33.111169696969704</c:v>
                      </c:pt>
                      <c:pt idx="53" formatCode="General">
                        <c:v>-33.265109090909093</c:v>
                      </c:pt>
                      <c:pt idx="54" formatCode="General">
                        <c:v>-33.419048484848489</c:v>
                      </c:pt>
                      <c:pt idx="55" formatCode="General">
                        <c:v>-33.572987878787885</c:v>
                      </c:pt>
                      <c:pt idx="56" formatCode="General">
                        <c:v>-33.726927272727274</c:v>
                      </c:pt>
                      <c:pt idx="57" formatCode="General">
                        <c:v>-33.880927710843373</c:v>
                      </c:pt>
                      <c:pt idx="58" formatCode="General">
                        <c:v>-34.035144578313258</c:v>
                      </c:pt>
                      <c:pt idx="59" formatCode="General">
                        <c:v>-34.184793939393941</c:v>
                      </c:pt>
                      <c:pt idx="60" formatCode="General">
                        <c:v>-34.33085454545455</c:v>
                      </c:pt>
                      <c:pt idx="61" formatCode="General">
                        <c:v>-34.479672727272728</c:v>
                      </c:pt>
                      <c:pt idx="62" formatCode="General">
                        <c:v>-34.628133333333331</c:v>
                      </c:pt>
                      <c:pt idx="63" formatCode="General">
                        <c:v>-34.774799999999999</c:v>
                      </c:pt>
                      <c:pt idx="64" formatCode="General">
                        <c:v>-34.918009077155823</c:v>
                      </c:pt>
                      <c:pt idx="65" formatCode="General">
                        <c:v>-35.059007564296522</c:v>
                      </c:pt>
                      <c:pt idx="66" formatCode="General">
                        <c:v>-35.200006051437214</c:v>
                      </c:pt>
                      <c:pt idx="67" formatCode="General">
                        <c:v>-35.341004538577913</c:v>
                      </c:pt>
                      <c:pt idx="68" formatCode="General">
                        <c:v>-35.482003025718605</c:v>
                      </c:pt>
                      <c:pt idx="69" formatCode="General">
                        <c:v>-35.623001512859304</c:v>
                      </c:pt>
                      <c:pt idx="70" formatCode="General">
                        <c:v>-35.763999999999996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-186.94066666666666</c:v>
                      </c:pt>
                      <c:pt idx="1">
                        <c:v>-181.6330303030303</c:v>
                      </c:pt>
                      <c:pt idx="2" formatCode="General">
                        <c:v>-176.69363636363636</c:v>
                      </c:pt>
                      <c:pt idx="3" formatCode="General">
                        <c:v>-172.13030303030303</c:v>
                      </c:pt>
                      <c:pt idx="4" formatCode="General">
                        <c:v>-167.7351515151515</c:v>
                      </c:pt>
                      <c:pt idx="5" formatCode="General">
                        <c:v>-163.67454545454547</c:v>
                      </c:pt>
                      <c:pt idx="6" formatCode="General">
                        <c:v>-159.8109638554217</c:v>
                      </c:pt>
                      <c:pt idx="7" formatCode="General">
                        <c:v>-156.20855421686747</c:v>
                      </c:pt>
                      <c:pt idx="8" formatCode="General">
                        <c:v>-152.846</c:v>
                      </c:pt>
                      <c:pt idx="9" formatCode="General">
                        <c:v>-149.58854545454545</c:v>
                      </c:pt>
                      <c:pt idx="10" formatCode="General">
                        <c:v>-146.57642424242425</c:v>
                      </c:pt>
                      <c:pt idx="11" formatCode="General">
                        <c:v>-143.84090771558246</c:v>
                      </c:pt>
                      <c:pt idx="12" formatCode="General">
                        <c:v>-141.41730711043874</c:v>
                      </c:pt>
                      <c:pt idx="13" formatCode="General">
                        <c:v>-138.99370650529502</c:v>
                      </c:pt>
                      <c:pt idx="14" formatCode="General">
                        <c:v>-136.57010590015128</c:v>
                      </c:pt>
                      <c:pt idx="15" formatCode="General">
                        <c:v>-134.14650529500756</c:v>
                      </c:pt>
                      <c:pt idx="16" formatCode="General">
                        <c:v>-131.72290468986381</c:v>
                      </c:pt>
                      <c:pt idx="17" formatCode="General">
                        <c:v>-129.29930408472009</c:v>
                      </c:pt>
                      <c:pt idx="18" formatCode="General">
                        <c:v>-127.32339393939394</c:v>
                      </c:pt>
                      <c:pt idx="19" formatCode="General">
                        <c:v>-125.45727272727274</c:v>
                      </c:pt>
                      <c:pt idx="20" formatCode="General">
                        <c:v>-123.73</c:v>
                      </c:pt>
                      <c:pt idx="21" formatCode="General">
                        <c:v>-122.06381818181818</c:v>
                      </c:pt>
                      <c:pt idx="22" formatCode="General">
                        <c:v>-120.44563636363635</c:v>
                      </c:pt>
                      <c:pt idx="23" formatCode="General">
                        <c:v>-118.97885542168675</c:v>
                      </c:pt>
                      <c:pt idx="24" formatCode="General">
                        <c:v>-117.55818181818184</c:v>
                      </c:pt>
                      <c:pt idx="25" formatCode="General">
                        <c:v>-116.23090909090909</c:v>
                      </c:pt>
                      <c:pt idx="26" formatCode="General">
                        <c:v>-114.98363636363636</c:v>
                      </c:pt>
                      <c:pt idx="27" formatCode="General">
                        <c:v>-113.78969696969696</c:v>
                      </c:pt>
                      <c:pt idx="28" formatCode="General">
                        <c:v>-112.72242424242424</c:v>
                      </c:pt>
                      <c:pt idx="29" formatCode="General">
                        <c:v>-111.70363636363636</c:v>
                      </c:pt>
                      <c:pt idx="30" formatCode="General">
                        <c:v>-110.78242424242426</c:v>
                      </c:pt>
                      <c:pt idx="31" formatCode="General">
                        <c:v>-109.98503782148261</c:v>
                      </c:pt>
                      <c:pt idx="32" formatCode="General">
                        <c:v>-109.25432677760969</c:v>
                      </c:pt>
                      <c:pt idx="33" formatCode="General">
                        <c:v>-108.52361573373678</c:v>
                      </c:pt>
                      <c:pt idx="34" formatCode="General">
                        <c:v>-107.79290468986385</c:v>
                      </c:pt>
                      <c:pt idx="35" formatCode="General">
                        <c:v>-107.06219364599093</c:v>
                      </c:pt>
                      <c:pt idx="36" formatCode="General">
                        <c:v>-106.33148260211802</c:v>
                      </c:pt>
                      <c:pt idx="37" formatCode="General">
                        <c:v>-105.60851739788201</c:v>
                      </c:pt>
                      <c:pt idx="38" formatCode="General">
                        <c:v>-105.07145234493193</c:v>
                      </c:pt>
                      <c:pt idx="39" formatCode="General">
                        <c:v>-104.53438729198186</c:v>
                      </c:pt>
                      <c:pt idx="40" formatCode="General">
                        <c:v>-103.99732223903179</c:v>
                      </c:pt>
                      <c:pt idx="41" formatCode="General">
                        <c:v>-103.46025718608171</c:v>
                      </c:pt>
                      <c:pt idx="42" formatCode="General">
                        <c:v>-102.92319213313164</c:v>
                      </c:pt>
                      <c:pt idx="43" formatCode="General">
                        <c:v>-102.38612708018155</c:v>
                      </c:pt>
                      <c:pt idx="44" formatCode="General">
                        <c:v>-101.92972768532528</c:v>
                      </c:pt>
                      <c:pt idx="45" formatCode="General">
                        <c:v>-101.58025718608171</c:v>
                      </c:pt>
                      <c:pt idx="46" formatCode="General">
                        <c:v>-101.23078668683813</c:v>
                      </c:pt>
                      <c:pt idx="47" formatCode="General">
                        <c:v>-100.88131618759456</c:v>
                      </c:pt>
                      <c:pt idx="48" formatCode="General">
                        <c:v>-100.531845688351</c:v>
                      </c:pt>
                      <c:pt idx="49" formatCode="General">
                        <c:v>-100.18237518910742</c:v>
                      </c:pt>
                      <c:pt idx="50" formatCode="General">
                        <c:v>-99.832904689863852</c:v>
                      </c:pt>
                      <c:pt idx="51" formatCode="General">
                        <c:v>-99.75384848484849</c:v>
                      </c:pt>
                      <c:pt idx="52" formatCode="General">
                        <c:v>-99.734151515151524</c:v>
                      </c:pt>
                      <c:pt idx="53" formatCode="General">
                        <c:v>-99.714454545454544</c:v>
                      </c:pt>
                      <c:pt idx="54" formatCode="General">
                        <c:v>-99.694757575757578</c:v>
                      </c:pt>
                      <c:pt idx="55" formatCode="General">
                        <c:v>-99.675060606060597</c:v>
                      </c:pt>
                      <c:pt idx="56" formatCode="General">
                        <c:v>-99.655363636363631</c:v>
                      </c:pt>
                      <c:pt idx="57" formatCode="General">
                        <c:v>-99.690891566265051</c:v>
                      </c:pt>
                      <c:pt idx="58" formatCode="General">
                        <c:v>-99.922216867469871</c:v>
                      </c:pt>
                      <c:pt idx="59" formatCode="General">
                        <c:v>-100.1808</c:v>
                      </c:pt>
                      <c:pt idx="60" formatCode="General">
                        <c:v>-100.46079999999999</c:v>
                      </c:pt>
                      <c:pt idx="61" formatCode="General">
                        <c:v>-100.79705454545453</c:v>
                      </c:pt>
                      <c:pt idx="62" formatCode="General">
                        <c:v>-101.1461212121212</c:v>
                      </c:pt>
                      <c:pt idx="63" formatCode="General">
                        <c:v>-101.51581818181819</c:v>
                      </c:pt>
                      <c:pt idx="64" formatCode="General">
                        <c:v>-101.89569440242059</c:v>
                      </c:pt>
                      <c:pt idx="65" formatCode="General">
                        <c:v>-102.28207866868382</c:v>
                      </c:pt>
                      <c:pt idx="66" formatCode="General">
                        <c:v>-102.66846293494706</c:v>
                      </c:pt>
                      <c:pt idx="67" formatCode="General">
                        <c:v>-103.05484720121029</c:v>
                      </c:pt>
                      <c:pt idx="68" formatCode="General">
                        <c:v>-103.44123146747353</c:v>
                      </c:pt>
                      <c:pt idx="69" formatCode="General">
                        <c:v>-103.82761573373676</c:v>
                      </c:pt>
                      <c:pt idx="70" formatCode="General">
                        <c:v>-104.214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-82.608181818181805</c:v>
                      </c:pt>
                      <c:pt idx="1">
                        <c:v>-80.141030303030306</c:v>
                      </c:pt>
                      <c:pt idx="2" formatCode="General">
                        <c:v>-77.801636363636362</c:v>
                      </c:pt>
                      <c:pt idx="3" formatCode="General">
                        <c:v>-75.590545454545449</c:v>
                      </c:pt>
                      <c:pt idx="4" formatCode="General">
                        <c:v>-73.423515151515147</c:v>
                      </c:pt>
                      <c:pt idx="5" formatCode="General">
                        <c:v>-71.217454545454544</c:v>
                      </c:pt>
                      <c:pt idx="6" formatCode="General">
                        <c:v>-69.198433734939769</c:v>
                      </c:pt>
                      <c:pt idx="7" formatCode="General">
                        <c:v>-67.427349397590362</c:v>
                      </c:pt>
                      <c:pt idx="8" formatCode="General">
                        <c:v>-65.74133333333333</c:v>
                      </c:pt>
                      <c:pt idx="9" formatCode="General">
                        <c:v>-64.093818181818179</c:v>
                      </c:pt>
                      <c:pt idx="10" formatCode="General">
                        <c:v>-62.542303030303032</c:v>
                      </c:pt>
                      <c:pt idx="11" formatCode="General">
                        <c:v>-61.119878971255673</c:v>
                      </c:pt>
                      <c:pt idx="12" formatCode="General">
                        <c:v>-59.843025718608168</c:v>
                      </c:pt>
                      <c:pt idx="13" formatCode="General">
                        <c:v>-58.566172465960662</c:v>
                      </c:pt>
                      <c:pt idx="14" formatCode="General">
                        <c:v>-57.289319213313163</c:v>
                      </c:pt>
                      <c:pt idx="15" formatCode="General">
                        <c:v>-56.012465960665658</c:v>
                      </c:pt>
                      <c:pt idx="16" formatCode="General">
                        <c:v>-54.735612708018152</c:v>
                      </c:pt>
                      <c:pt idx="17" formatCode="General">
                        <c:v>-53.458759455370647</c:v>
                      </c:pt>
                      <c:pt idx="18" formatCode="General">
                        <c:v>-52.409575757575759</c:v>
                      </c:pt>
                      <c:pt idx="19" formatCode="General">
                        <c:v>-51.416545454545449</c:v>
                      </c:pt>
                      <c:pt idx="20" formatCode="General">
                        <c:v>-50.495333333333335</c:v>
                      </c:pt>
                      <c:pt idx="21" formatCode="General">
                        <c:v>-49.604666666666667</c:v>
                      </c:pt>
                      <c:pt idx="22" formatCode="General">
                        <c:v>-48.737999999999992</c:v>
                      </c:pt>
                      <c:pt idx="23" formatCode="General">
                        <c:v>-47.941867469879519</c:v>
                      </c:pt>
                      <c:pt idx="24" formatCode="General">
                        <c:v>-47.166666666666671</c:v>
                      </c:pt>
                      <c:pt idx="25" formatCode="General">
                        <c:v>-46.433333333333337</c:v>
                      </c:pt>
                      <c:pt idx="26" formatCode="General">
                        <c:v>-45.74</c:v>
                      </c:pt>
                      <c:pt idx="27" formatCode="General">
                        <c:v>-45.073333333333331</c:v>
                      </c:pt>
                      <c:pt idx="28" formatCode="General">
                        <c:v>-44.47</c:v>
                      </c:pt>
                      <c:pt idx="29" formatCode="General">
                        <c:v>-43.89</c:v>
                      </c:pt>
                      <c:pt idx="30" formatCode="General">
                        <c:v>-43.356666666666669</c:v>
                      </c:pt>
                      <c:pt idx="31" formatCode="General">
                        <c:v>-42.886792738275339</c:v>
                      </c:pt>
                      <c:pt idx="32" formatCode="General">
                        <c:v>-42.451089258698943</c:v>
                      </c:pt>
                      <c:pt idx="33" formatCode="General">
                        <c:v>-42.015385779122539</c:v>
                      </c:pt>
                      <c:pt idx="34" formatCode="General">
                        <c:v>-41.579682299546143</c:v>
                      </c:pt>
                      <c:pt idx="35" formatCode="General">
                        <c:v>-41.143978819969746</c:v>
                      </c:pt>
                      <c:pt idx="36" formatCode="General">
                        <c:v>-40.708275340393342</c:v>
                      </c:pt>
                      <c:pt idx="37" formatCode="General">
                        <c:v>-40.276565809379726</c:v>
                      </c:pt>
                      <c:pt idx="38" formatCode="General">
                        <c:v>-39.940711043872923</c:v>
                      </c:pt>
                      <c:pt idx="39" formatCode="General">
                        <c:v>-39.604856278366114</c:v>
                      </c:pt>
                      <c:pt idx="40" formatCode="General">
                        <c:v>-39.269001512859305</c:v>
                      </c:pt>
                      <c:pt idx="41" formatCode="General">
                        <c:v>-38.933146747352495</c:v>
                      </c:pt>
                      <c:pt idx="42" formatCode="General">
                        <c:v>-38.597291981845693</c:v>
                      </c:pt>
                      <c:pt idx="43" formatCode="General">
                        <c:v>-38.261437216338884</c:v>
                      </c:pt>
                      <c:pt idx="44" formatCode="General">
                        <c:v>-37.967541603630863</c:v>
                      </c:pt>
                      <c:pt idx="45" formatCode="General">
                        <c:v>-37.72926626323752</c:v>
                      </c:pt>
                      <c:pt idx="46" formatCode="General">
                        <c:v>-37.490990922844176</c:v>
                      </c:pt>
                      <c:pt idx="47" formatCode="General">
                        <c:v>-37.252715582450833</c:v>
                      </c:pt>
                      <c:pt idx="48" formatCode="General">
                        <c:v>-37.014440242057489</c:v>
                      </c:pt>
                      <c:pt idx="49" formatCode="General">
                        <c:v>-36.776164901664146</c:v>
                      </c:pt>
                      <c:pt idx="50" formatCode="General">
                        <c:v>-36.537889561270802</c:v>
                      </c:pt>
                      <c:pt idx="51" formatCode="General">
                        <c:v>-36.438469696969698</c:v>
                      </c:pt>
                      <c:pt idx="52" formatCode="General">
                        <c:v>-36.369530303030302</c:v>
                      </c:pt>
                      <c:pt idx="53" formatCode="General">
                        <c:v>-36.300590909090914</c:v>
                      </c:pt>
                      <c:pt idx="54" formatCode="General">
                        <c:v>-36.231651515151519</c:v>
                      </c:pt>
                      <c:pt idx="55" formatCode="General">
                        <c:v>-36.162712121212124</c:v>
                      </c:pt>
                      <c:pt idx="56" formatCode="General">
                        <c:v>-36.093772727272729</c:v>
                      </c:pt>
                      <c:pt idx="57" formatCode="General">
                        <c:v>-36.052192771084336</c:v>
                      </c:pt>
                      <c:pt idx="58" formatCode="General">
                        <c:v>-36.107614457831332</c:v>
                      </c:pt>
                      <c:pt idx="59" formatCode="General">
                        <c:v>-36.178157575757581</c:v>
                      </c:pt>
                      <c:pt idx="60" formatCode="General">
                        <c:v>-36.260581818181819</c:v>
                      </c:pt>
                      <c:pt idx="61" formatCode="General">
                        <c:v>-36.368375757575762</c:v>
                      </c:pt>
                      <c:pt idx="62" formatCode="General">
                        <c:v>-36.482303030303036</c:v>
                      </c:pt>
                      <c:pt idx="63" formatCode="General">
                        <c:v>-36.606545454545454</c:v>
                      </c:pt>
                      <c:pt idx="64" formatCode="General">
                        <c:v>-36.736856278366112</c:v>
                      </c:pt>
                      <c:pt idx="65" formatCode="General">
                        <c:v>-36.871046898638426</c:v>
                      </c:pt>
                      <c:pt idx="66" formatCode="General">
                        <c:v>-37.005237518910739</c:v>
                      </c:pt>
                      <c:pt idx="67" formatCode="General">
                        <c:v>-37.13942813918306</c:v>
                      </c:pt>
                      <c:pt idx="68" formatCode="General">
                        <c:v>-37.273618759455374</c:v>
                      </c:pt>
                      <c:pt idx="69" formatCode="General">
                        <c:v>-37.407809379727688</c:v>
                      </c:pt>
                      <c:pt idx="70" formatCode="General">
                        <c:v>-37.542000000000002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-143.49206060606059</c:v>
                      </c:pt>
                      <c:pt idx="1">
                        <c:v>-138.9310909090909</c:v>
                      </c:pt>
                      <c:pt idx="2" formatCode="General">
                        <c:v>-134.51290909090909</c:v>
                      </c:pt>
                      <c:pt idx="3" formatCode="General">
                        <c:v>-130.23187878787877</c:v>
                      </c:pt>
                      <c:pt idx="4" formatCode="General">
                        <c:v>-125.95890909090909</c:v>
                      </c:pt>
                      <c:pt idx="5" formatCode="General">
                        <c:v>-121.19527272727272</c:v>
                      </c:pt>
                      <c:pt idx="6" formatCode="General">
                        <c:v>-116.98277108433736</c:v>
                      </c:pt>
                      <c:pt idx="7" formatCode="General">
                        <c:v>-113.50084337349398</c:v>
                      </c:pt>
                      <c:pt idx="8" formatCode="General">
                        <c:v>-110.11933333333334</c:v>
                      </c:pt>
                      <c:pt idx="9" formatCode="General">
                        <c:v>-106.78672727272728</c:v>
                      </c:pt>
                      <c:pt idx="10" formatCode="General">
                        <c:v>-103.59278787878789</c:v>
                      </c:pt>
                      <c:pt idx="11" formatCode="General">
                        <c:v>-100.63860816944025</c:v>
                      </c:pt>
                      <c:pt idx="12" formatCode="General">
                        <c:v>-97.954795763993957</c:v>
                      </c:pt>
                      <c:pt idx="13" formatCode="General">
                        <c:v>-95.270983358547653</c:v>
                      </c:pt>
                      <c:pt idx="14" formatCode="General">
                        <c:v>-92.587170953101364</c:v>
                      </c:pt>
                      <c:pt idx="15" formatCode="General">
                        <c:v>-89.90335854765506</c:v>
                      </c:pt>
                      <c:pt idx="16" formatCode="General">
                        <c:v>-87.21954614220877</c:v>
                      </c:pt>
                      <c:pt idx="17" formatCode="General">
                        <c:v>-84.535733736762467</c:v>
                      </c:pt>
                      <c:pt idx="18" formatCode="General">
                        <c:v>-82.314909090909083</c:v>
                      </c:pt>
                      <c:pt idx="19" formatCode="General">
                        <c:v>-80.208909090909088</c:v>
                      </c:pt>
                      <c:pt idx="20" formatCode="General">
                        <c:v>-78.251333333333335</c:v>
                      </c:pt>
                      <c:pt idx="21" formatCode="General">
                        <c:v>-76.354848484848489</c:v>
                      </c:pt>
                      <c:pt idx="22" formatCode="General">
                        <c:v>-74.506363636363631</c:v>
                      </c:pt>
                      <c:pt idx="23" formatCode="General">
                        <c:v>-72.788614457831329</c:v>
                      </c:pt>
                      <c:pt idx="24" formatCode="General">
                        <c:v>-71.108484848484849</c:v>
                      </c:pt>
                      <c:pt idx="25" formatCode="General">
                        <c:v>-69.50242424242424</c:v>
                      </c:pt>
                      <c:pt idx="26" formatCode="General">
                        <c:v>-67.976363636363644</c:v>
                      </c:pt>
                      <c:pt idx="27" formatCode="General">
                        <c:v>-66.503636363636375</c:v>
                      </c:pt>
                      <c:pt idx="28" formatCode="General">
                        <c:v>-65.157575757575756</c:v>
                      </c:pt>
                      <c:pt idx="29" formatCode="General">
                        <c:v>-63.856363636363632</c:v>
                      </c:pt>
                      <c:pt idx="30" formatCode="General">
                        <c:v>-62.644242424242421</c:v>
                      </c:pt>
                      <c:pt idx="31" formatCode="General">
                        <c:v>-61.562133131618758</c:v>
                      </c:pt>
                      <c:pt idx="32" formatCode="General">
                        <c:v>-60.55003025718608</c:v>
                      </c:pt>
                      <c:pt idx="33" formatCode="General">
                        <c:v>-59.537927382753402</c:v>
                      </c:pt>
                      <c:pt idx="34" formatCode="General">
                        <c:v>-58.525824508320724</c:v>
                      </c:pt>
                      <c:pt idx="35" formatCode="General">
                        <c:v>-57.513721633888053</c:v>
                      </c:pt>
                      <c:pt idx="36" formatCode="General">
                        <c:v>-56.501618759455376</c:v>
                      </c:pt>
                      <c:pt idx="37" formatCode="General">
                        <c:v>-55.49774583963692</c:v>
                      </c:pt>
                      <c:pt idx="38" formatCode="General">
                        <c:v>-54.691391830559759</c:v>
                      </c:pt>
                      <c:pt idx="39" formatCode="General">
                        <c:v>-53.885037821482605</c:v>
                      </c:pt>
                      <c:pt idx="40" formatCode="General">
                        <c:v>-53.078683812405451</c:v>
                      </c:pt>
                      <c:pt idx="41" formatCode="General">
                        <c:v>-52.272329803328297</c:v>
                      </c:pt>
                      <c:pt idx="42" formatCode="General">
                        <c:v>-51.465975794251143</c:v>
                      </c:pt>
                      <c:pt idx="43" formatCode="General">
                        <c:v>-50.659621785173982</c:v>
                      </c:pt>
                      <c:pt idx="44" formatCode="General">
                        <c:v>-49.940438729198192</c:v>
                      </c:pt>
                      <c:pt idx="45" formatCode="General">
                        <c:v>-49.336807866868384</c:v>
                      </c:pt>
                      <c:pt idx="46" formatCode="General">
                        <c:v>-48.733177004538582</c:v>
                      </c:pt>
                      <c:pt idx="47" formatCode="General">
                        <c:v>-48.129546142208774</c:v>
                      </c:pt>
                      <c:pt idx="48" formatCode="General">
                        <c:v>-47.525915279878973</c:v>
                      </c:pt>
                      <c:pt idx="49" formatCode="General">
                        <c:v>-46.922284417549164</c:v>
                      </c:pt>
                      <c:pt idx="50" formatCode="General">
                        <c:v>-46.318653555219363</c:v>
                      </c:pt>
                      <c:pt idx="51" formatCode="General">
                        <c:v>-46.0000303030303</c:v>
                      </c:pt>
                      <c:pt idx="52" formatCode="General">
                        <c:v>-45.743969696969693</c:v>
                      </c:pt>
                      <c:pt idx="53" formatCode="General">
                        <c:v>-45.487909090909092</c:v>
                      </c:pt>
                      <c:pt idx="54" formatCode="General">
                        <c:v>-45.231848484848484</c:v>
                      </c:pt>
                      <c:pt idx="55" formatCode="General">
                        <c:v>-44.975787878787877</c:v>
                      </c:pt>
                      <c:pt idx="56" formatCode="General">
                        <c:v>-44.719727272727269</c:v>
                      </c:pt>
                      <c:pt idx="57" formatCode="General">
                        <c:v>-44.517879518072284</c:v>
                      </c:pt>
                      <c:pt idx="58" formatCode="General">
                        <c:v>-44.508240963855421</c:v>
                      </c:pt>
                      <c:pt idx="59" formatCode="General">
                        <c:v>-44.531830303030304</c:v>
                      </c:pt>
                      <c:pt idx="60" formatCode="General">
                        <c:v>-44.581527272727271</c:v>
                      </c:pt>
                      <c:pt idx="61" formatCode="General">
                        <c:v>-44.676448484848486</c:v>
                      </c:pt>
                      <c:pt idx="62" formatCode="General">
                        <c:v>-44.783090909090909</c:v>
                      </c:pt>
                      <c:pt idx="63" formatCode="General">
                        <c:v>-44.910363636363634</c:v>
                      </c:pt>
                      <c:pt idx="64" formatCode="General">
                        <c:v>-45.051730711043874</c:v>
                      </c:pt>
                      <c:pt idx="65" formatCode="General">
                        <c:v>-45.202108925869894</c:v>
                      </c:pt>
                      <c:pt idx="66" formatCode="General">
                        <c:v>-45.352487140695914</c:v>
                      </c:pt>
                      <c:pt idx="67" formatCode="General">
                        <c:v>-45.502865355521941</c:v>
                      </c:pt>
                      <c:pt idx="68" formatCode="General">
                        <c:v>-45.653243570347961</c:v>
                      </c:pt>
                      <c:pt idx="69" formatCode="General">
                        <c:v>-45.803621785173981</c:v>
                      </c:pt>
                      <c:pt idx="70" formatCode="General">
                        <c:v>-45.954000000000001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-18.888727272727273</c:v>
                      </c:pt>
                      <c:pt idx="1">
                        <c:v>-18.91151515151515</c:v>
                      </c:pt>
                      <c:pt idx="2" formatCode="General">
                        <c:v>-18.941818181818181</c:v>
                      </c:pt>
                      <c:pt idx="3" formatCode="General">
                        <c:v>-18.976545454545455</c:v>
                      </c:pt>
                      <c:pt idx="4" formatCode="General">
                        <c:v>-19.008545454545455</c:v>
                      </c:pt>
                      <c:pt idx="5" formatCode="General">
                        <c:v>-18.990363636363636</c:v>
                      </c:pt>
                      <c:pt idx="6" formatCode="General">
                        <c:v>-18.995542168674699</c:v>
                      </c:pt>
                      <c:pt idx="7" formatCode="General">
                        <c:v>-19.031686746987951</c:v>
                      </c:pt>
                      <c:pt idx="8" formatCode="General">
                        <c:v>-19.063333333333333</c:v>
                      </c:pt>
                      <c:pt idx="9" formatCode="General">
                        <c:v>-19.093636363636364</c:v>
                      </c:pt>
                      <c:pt idx="10" formatCode="General">
                        <c:v>-19.123939393939395</c:v>
                      </c:pt>
                      <c:pt idx="11" formatCode="General">
                        <c:v>-19.142844175491678</c:v>
                      </c:pt>
                      <c:pt idx="12" formatCode="General">
                        <c:v>-19.148895612708017</c:v>
                      </c:pt>
                      <c:pt idx="13" formatCode="General">
                        <c:v>-19.154947049924356</c:v>
                      </c:pt>
                      <c:pt idx="14" formatCode="General">
                        <c:v>-19.160998487140695</c:v>
                      </c:pt>
                      <c:pt idx="15" formatCode="General">
                        <c:v>-19.167049924357034</c:v>
                      </c:pt>
                      <c:pt idx="16" formatCode="General">
                        <c:v>-19.173101361573373</c:v>
                      </c:pt>
                      <c:pt idx="17" formatCode="General">
                        <c:v>-19.179152798789712</c:v>
                      </c:pt>
                      <c:pt idx="18" formatCode="General">
                        <c:v>-19.153939393939392</c:v>
                      </c:pt>
                      <c:pt idx="19" formatCode="General">
                        <c:v>-19.123636363636361</c:v>
                      </c:pt>
                      <c:pt idx="20" formatCode="General">
                        <c:v>-19.09333333333333</c:v>
                      </c:pt>
                      <c:pt idx="21" formatCode="General">
                        <c:v>-19.06642424242424</c:v>
                      </c:pt>
                      <c:pt idx="22" formatCode="General">
                        <c:v>-19.042181818181817</c:v>
                      </c:pt>
                      <c:pt idx="23" formatCode="General">
                        <c:v>-19.034518072289156</c:v>
                      </c:pt>
                      <c:pt idx="24" formatCode="General">
                        <c:v>-19.031515151515151</c:v>
                      </c:pt>
                      <c:pt idx="25" formatCode="General">
                        <c:v>-19.037575757575759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-19.07151515151515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26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-15.28274886535552</c:v>
                </c:pt>
                <c:pt idx="1">
                  <c:v>-15.442506807866867</c:v>
                </c:pt>
                <c:pt idx="2" formatCode="General">
                  <c:v>-15.602264750378213</c:v>
                </c:pt>
                <c:pt idx="3" formatCode="General">
                  <c:v>-15.762022692889561</c:v>
                </c:pt>
                <c:pt idx="4" formatCode="General">
                  <c:v>-15.923124054462933</c:v>
                </c:pt>
                <c:pt idx="5" formatCode="General">
                  <c:v>-16.099674735249621</c:v>
                </c:pt>
                <c:pt idx="6" formatCode="General">
                  <c:v>-16.276225416036308</c:v>
                </c:pt>
                <c:pt idx="7" formatCode="General">
                  <c:v>-16.452776096822994</c:v>
                </c:pt>
                <c:pt idx="8" formatCode="General">
                  <c:v>-16.629326777609684</c:v>
                </c:pt>
                <c:pt idx="9" formatCode="General">
                  <c:v>-16.80587745839637</c:v>
                </c:pt>
                <c:pt idx="10" formatCode="General">
                  <c:v>-16.982428139183057</c:v>
                </c:pt>
                <c:pt idx="11" formatCode="General">
                  <c:v>-17.157698940998486</c:v>
                </c:pt>
                <c:pt idx="12" formatCode="General">
                  <c:v>-17.331526475037823</c:v>
                </c:pt>
                <c:pt idx="13" formatCode="General">
                  <c:v>-17.505354009077156</c:v>
                </c:pt>
                <c:pt idx="14" formatCode="General">
                  <c:v>-17.679181543116492</c:v>
                </c:pt>
                <c:pt idx="15" formatCode="General">
                  <c:v>-17.853009077155825</c:v>
                </c:pt>
                <c:pt idx="16" formatCode="General">
                  <c:v>-18.026836611195161</c:v>
                </c:pt>
                <c:pt idx="17" formatCode="General">
                  <c:v>-18.200664145234494</c:v>
                </c:pt>
                <c:pt idx="18" formatCode="General">
                  <c:v>-18.366685325264751</c:v>
                </c:pt>
                <c:pt idx="19" formatCode="General">
                  <c:v>-18.531435703479577</c:v>
                </c:pt>
                <c:pt idx="20" formatCode="General">
                  <c:v>-18.696186081694403</c:v>
                </c:pt>
                <c:pt idx="21" formatCode="General">
                  <c:v>-18.86093645990923</c:v>
                </c:pt>
                <c:pt idx="22" formatCode="General">
                  <c:v>-19.025686838124056</c:v>
                </c:pt>
                <c:pt idx="23" formatCode="General">
                  <c:v>-19.190437216338882</c:v>
                </c:pt>
                <c:pt idx="24" formatCode="General">
                  <c:v>-19.353545454545454</c:v>
                </c:pt>
                <c:pt idx="25" formatCode="General">
                  <c:v>-19.511727272727274</c:v>
                </c:pt>
                <c:pt idx="26" formatCode="General">
                  <c:v>-19.667727272727276</c:v>
                </c:pt>
                <c:pt idx="27" formatCode="General">
                  <c:v>-19.822272727272729</c:v>
                </c:pt>
                <c:pt idx="28" formatCode="General">
                  <c:v>-19.971636363636364</c:v>
                </c:pt>
                <c:pt idx="29" formatCode="General">
                  <c:v>-20.119636363636364</c:v>
                </c:pt>
                <c:pt idx="30" formatCode="General">
                  <c:v>-20.265090909090912</c:v>
                </c:pt>
                <c:pt idx="31" formatCode="General">
                  <c:v>-20.404207261724661</c:v>
                </c:pt>
                <c:pt idx="32" formatCode="General">
                  <c:v>-20.53991074130106</c:v>
                </c:pt>
                <c:pt idx="33" formatCode="General">
                  <c:v>-20.67561422087746</c:v>
                </c:pt>
                <c:pt idx="34" formatCode="General">
                  <c:v>-20.811317700453859</c:v>
                </c:pt>
                <c:pt idx="35" formatCode="General">
                  <c:v>-20.947021180030259</c:v>
                </c:pt>
                <c:pt idx="36" formatCode="General">
                  <c:v>-21.082724659606658</c:v>
                </c:pt>
                <c:pt idx="37" formatCode="General">
                  <c:v>-21.217992435703479</c:v>
                </c:pt>
                <c:pt idx="38" formatCode="General">
                  <c:v>-21.342803328290469</c:v>
                </c:pt>
                <c:pt idx="39" formatCode="General">
                  <c:v>-21.467614220877458</c:v>
                </c:pt>
                <c:pt idx="40" formatCode="General">
                  <c:v>-21.592425113464447</c:v>
                </c:pt>
                <c:pt idx="41" formatCode="General">
                  <c:v>-21.717236006051436</c:v>
                </c:pt>
                <c:pt idx="42" formatCode="General">
                  <c:v>-21.842046898638426</c:v>
                </c:pt>
                <c:pt idx="43" formatCode="General">
                  <c:v>-21.966857791225415</c:v>
                </c:pt>
                <c:pt idx="44" formatCode="General">
                  <c:v>-22.090107413010589</c:v>
                </c:pt>
                <c:pt idx="45" formatCode="General">
                  <c:v>-22.211287443267775</c:v>
                </c:pt>
                <c:pt idx="46" formatCode="General">
                  <c:v>-22.332467473524964</c:v>
                </c:pt>
                <c:pt idx="47" formatCode="General">
                  <c:v>-22.45364750378215</c:v>
                </c:pt>
                <c:pt idx="48" formatCode="General">
                  <c:v>-22.574827534039336</c:v>
                </c:pt>
                <c:pt idx="49" formatCode="General">
                  <c:v>-22.696007564296522</c:v>
                </c:pt>
                <c:pt idx="50" formatCode="General">
                  <c:v>-22.817187594553708</c:v>
                </c:pt>
                <c:pt idx="51" formatCode="General">
                  <c:v>-22.940754545454549</c:v>
                </c:pt>
                <c:pt idx="52" formatCode="General">
                  <c:v>-23.064845454545456</c:v>
                </c:pt>
                <c:pt idx="53" formatCode="General">
                  <c:v>-23.188936363636365</c:v>
                </c:pt>
                <c:pt idx="54" formatCode="General">
                  <c:v>-23.313027272727275</c:v>
                </c:pt>
                <c:pt idx="55" formatCode="General">
                  <c:v>-23.437118181818185</c:v>
                </c:pt>
                <c:pt idx="56" formatCode="General">
                  <c:v>-23.561209090909092</c:v>
                </c:pt>
                <c:pt idx="57" formatCode="General">
                  <c:v>-23.68805446293495</c:v>
                </c:pt>
                <c:pt idx="58" formatCode="General">
                  <c:v>-23.824665658093799</c:v>
                </c:pt>
                <c:pt idx="59" formatCode="General">
                  <c:v>-23.961276853252649</c:v>
                </c:pt>
                <c:pt idx="60" formatCode="General">
                  <c:v>-24.097888048411498</c:v>
                </c:pt>
                <c:pt idx="61" formatCode="General">
                  <c:v>-24.234499243570347</c:v>
                </c:pt>
                <c:pt idx="62" formatCode="General">
                  <c:v>-24.3711104387292</c:v>
                </c:pt>
                <c:pt idx="63" formatCode="General">
                  <c:v>-24.50772163388805</c:v>
                </c:pt>
                <c:pt idx="64" formatCode="General">
                  <c:v>-24.653054545454545</c:v>
                </c:pt>
                <c:pt idx="65" formatCode="General">
                  <c:v>-24.803963636363637</c:v>
                </c:pt>
                <c:pt idx="66" formatCode="General">
                  <c:v>-24.960939759036144</c:v>
                </c:pt>
                <c:pt idx="67" formatCode="General">
                  <c:v>-25.121181818181817</c:v>
                </c:pt>
                <c:pt idx="68" formatCode="General">
                  <c:v>-25.288454545454545</c:v>
                </c:pt>
                <c:pt idx="69" formatCode="General">
                  <c:v>-25.461636363636362</c:v>
                </c:pt>
                <c:pt idx="70" formatCode="General">
                  <c:v>-25.637999999999998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-59.298181818181817</c:v>
                </c:pt>
                <c:pt idx="1">
                  <c:v>-57.82181818181818</c:v>
                </c:pt>
                <c:pt idx="2" formatCode="General">
                  <c:v>-56.458181818181821</c:v>
                </c:pt>
                <c:pt idx="3" formatCode="General">
                  <c:v>-55.240545454545455</c:v>
                </c:pt>
                <c:pt idx="4" formatCode="General">
                  <c:v>-54.169515151515157</c:v>
                </c:pt>
                <c:pt idx="5" formatCode="General">
                  <c:v>-54.163454545454542</c:v>
                </c:pt>
                <c:pt idx="6" formatCode="General">
                  <c:v>-53.748132530120479</c:v>
                </c:pt>
                <c:pt idx="7" formatCode="General">
                  <c:v>-52.790301204819279</c:v>
                </c:pt>
                <c:pt idx="8" formatCode="General">
                  <c:v>-52.266666666666666</c:v>
                </c:pt>
                <c:pt idx="9" formatCode="General">
                  <c:v>-51.88</c:v>
                </c:pt>
                <c:pt idx="10" formatCode="General">
                  <c:v>-51.546666666666674</c:v>
                </c:pt>
                <c:pt idx="11" formatCode="General">
                  <c:v>-51.257726172465965</c:v>
                </c:pt>
                <c:pt idx="12" formatCode="General">
                  <c:v>-51.018845688350986</c:v>
                </c:pt>
                <c:pt idx="13" formatCode="General">
                  <c:v>-50.779965204236014</c:v>
                </c:pt>
                <c:pt idx="14" formatCode="General">
                  <c:v>-50.541084720121034</c:v>
                </c:pt>
                <c:pt idx="15" formatCode="General">
                  <c:v>-50.302204236006055</c:v>
                </c:pt>
                <c:pt idx="16" formatCode="General">
                  <c:v>-50.063323751891076</c:v>
                </c:pt>
                <c:pt idx="17" formatCode="General">
                  <c:v>-49.824443267776097</c:v>
                </c:pt>
                <c:pt idx="18" formatCode="General">
                  <c:v>-49.652878787878791</c:v>
                </c:pt>
                <c:pt idx="19" formatCode="General">
                  <c:v>-49.495072727272728</c:v>
                </c:pt>
                <c:pt idx="20" formatCode="General">
                  <c:v>-49.347799999999999</c:v>
                </c:pt>
                <c:pt idx="21" formatCode="General">
                  <c:v>-49.220212121212121</c:v>
                </c:pt>
                <c:pt idx="22" formatCode="General">
                  <c:v>-49.108090909090905</c:v>
                </c:pt>
                <c:pt idx="23" formatCode="General">
                  <c:v>-49.151174698795181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-60.923190620272315</c:v>
                </c:pt>
                <c:pt idx="65" formatCode="General">
                  <c:v>-61.184158850226929</c:v>
                </c:pt>
                <c:pt idx="66" formatCode="General">
                  <c:v>-61.445127080181543</c:v>
                </c:pt>
                <c:pt idx="67" formatCode="General">
                  <c:v>-61.706095310136156</c:v>
                </c:pt>
                <c:pt idx="68" formatCode="General">
                  <c:v>-61.967063540090777</c:v>
                </c:pt>
                <c:pt idx="69" formatCode="General">
                  <c:v>-62.228031770045391</c:v>
                </c:pt>
                <c:pt idx="70" formatCode="General">
                  <c:v>-62.489000000000004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-38.512484848484846</c:v>
                </c:pt>
                <c:pt idx="1">
                  <c:v>-37.55684848484848</c:v>
                </c:pt>
                <c:pt idx="2" formatCode="General">
                  <c:v>-36.653818181818181</c:v>
                </c:pt>
                <c:pt idx="3" formatCode="General">
                  <c:v>-35.821575757575751</c:v>
                </c:pt>
                <c:pt idx="4" formatCode="General">
                  <c:v>-35.031515151515151</c:v>
                </c:pt>
                <c:pt idx="5" formatCode="General">
                  <c:v>-34.425454545454542</c:v>
                </c:pt>
                <c:pt idx="6" formatCode="General">
                  <c:v>-33.800240963855423</c:v>
                </c:pt>
                <c:pt idx="7" formatCode="General">
                  <c:v>-33.149638554216871</c:v>
                </c:pt>
                <c:pt idx="8" formatCode="General">
                  <c:v>-32.556666666666665</c:v>
                </c:pt>
                <c:pt idx="9" formatCode="General">
                  <c:v>-31.989418181818181</c:v>
                </c:pt>
                <c:pt idx="10" formatCode="General">
                  <c:v>-31.484569696969697</c:v>
                </c:pt>
                <c:pt idx="11" formatCode="General">
                  <c:v>-31.045993948562781</c:v>
                </c:pt>
                <c:pt idx="12" formatCode="General">
                  <c:v>-30.682151285930406</c:v>
                </c:pt>
                <c:pt idx="13" formatCode="General">
                  <c:v>-30.31830862329803</c:v>
                </c:pt>
                <c:pt idx="14" formatCode="General">
                  <c:v>-29.954465960665654</c:v>
                </c:pt>
                <c:pt idx="15" formatCode="General">
                  <c:v>-29.590623298033279</c:v>
                </c:pt>
                <c:pt idx="16" formatCode="General">
                  <c:v>-29.226780635400907</c:v>
                </c:pt>
                <c:pt idx="17" formatCode="General">
                  <c:v>-28.862937972768528</c:v>
                </c:pt>
                <c:pt idx="18" formatCode="General">
                  <c:v>-28.662412121212121</c:v>
                </c:pt>
                <c:pt idx="19" formatCode="General">
                  <c:v>-28.51087272727273</c:v>
                </c:pt>
                <c:pt idx="20" formatCode="General">
                  <c:v>-28.4436</c:v>
                </c:pt>
                <c:pt idx="21" formatCode="General">
                  <c:v>-28.426218181818179</c:v>
                </c:pt>
                <c:pt idx="22" formatCode="General">
                  <c:v>-28.448036363636362</c:v>
                </c:pt>
                <c:pt idx="23" formatCode="General">
                  <c:v>-28.533873493975904</c:v>
                </c:pt>
                <c:pt idx="24" formatCode="General">
                  <c:v>-28.638000000000002</c:v>
                </c:pt>
                <c:pt idx="25" formatCode="General">
                  <c:v>-28.778000000000002</c:v>
                </c:pt>
                <c:pt idx="26" formatCode="General">
                  <c:v>-28.928909090909091</c:v>
                </c:pt>
                <c:pt idx="27" formatCode="General">
                  <c:v>-29.087090909090907</c:v>
                </c:pt>
                <c:pt idx="28" formatCode="General">
                  <c:v>-29.252181818181818</c:v>
                </c:pt>
                <c:pt idx="29" formatCode="General">
                  <c:v>-29.419818181818179</c:v>
                </c:pt>
                <c:pt idx="30" formatCode="General">
                  <c:v>-29.592545454545455</c:v>
                </c:pt>
                <c:pt idx="31" formatCode="General">
                  <c:v>-29.761366111951592</c:v>
                </c:pt>
                <c:pt idx="32" formatCode="General">
                  <c:v>-29.928083207261729</c:v>
                </c:pt>
                <c:pt idx="33" formatCode="General">
                  <c:v>-30.094800302571862</c:v>
                </c:pt>
                <c:pt idx="34" formatCode="General">
                  <c:v>-30.261517397881999</c:v>
                </c:pt>
                <c:pt idx="35" formatCode="General">
                  <c:v>-30.428234493192136</c:v>
                </c:pt>
                <c:pt idx="36" formatCode="General">
                  <c:v>-30.594951588502273</c:v>
                </c:pt>
                <c:pt idx="37" formatCode="General">
                  <c:v>-30.761372163388806</c:v>
                </c:pt>
                <c:pt idx="38" formatCode="General">
                  <c:v>-30.920676248108929</c:v>
                </c:pt>
                <c:pt idx="39" formatCode="General">
                  <c:v>-31.079980332829049</c:v>
                </c:pt>
                <c:pt idx="40" formatCode="General">
                  <c:v>-31.239284417549168</c:v>
                </c:pt>
                <c:pt idx="41" formatCode="General">
                  <c:v>-31.398588502269288</c:v>
                </c:pt>
                <c:pt idx="42" formatCode="General">
                  <c:v>-31.557892586989411</c:v>
                </c:pt>
                <c:pt idx="43" formatCode="General">
                  <c:v>-31.71719667170953</c:v>
                </c:pt>
                <c:pt idx="44" formatCode="General">
                  <c:v>-31.87454916792738</c:v>
                </c:pt>
                <c:pt idx="45" formatCode="General">
                  <c:v>-32.029314674735247</c:v>
                </c:pt>
                <c:pt idx="46" formatCode="General">
                  <c:v>-32.184080181543116</c:v>
                </c:pt>
                <c:pt idx="47" formatCode="General">
                  <c:v>-32.338845688350986</c:v>
                </c:pt>
                <c:pt idx="48" formatCode="General">
                  <c:v>-32.493611195158856</c:v>
                </c:pt>
                <c:pt idx="49" formatCode="General">
                  <c:v>-32.648376701966718</c:v>
                </c:pt>
                <c:pt idx="50" formatCode="General">
                  <c:v>-32.803142208774588</c:v>
                </c:pt>
                <c:pt idx="51" formatCode="General">
                  <c:v>-32.957230303030308</c:v>
                </c:pt>
                <c:pt idx="52" formatCode="General">
                  <c:v>-33.111169696969704</c:v>
                </c:pt>
                <c:pt idx="53" formatCode="General">
                  <c:v>-33.265109090909093</c:v>
                </c:pt>
                <c:pt idx="54" formatCode="General">
                  <c:v>-33.419048484848489</c:v>
                </c:pt>
                <c:pt idx="55" formatCode="General">
                  <c:v>-33.572987878787885</c:v>
                </c:pt>
                <c:pt idx="56" formatCode="General">
                  <c:v>-33.726927272727274</c:v>
                </c:pt>
                <c:pt idx="57" formatCode="General">
                  <c:v>-33.880927710843373</c:v>
                </c:pt>
                <c:pt idx="58" formatCode="General">
                  <c:v>-34.035144578313258</c:v>
                </c:pt>
                <c:pt idx="59" formatCode="General">
                  <c:v>-34.184793939393941</c:v>
                </c:pt>
                <c:pt idx="60" formatCode="General">
                  <c:v>-34.33085454545455</c:v>
                </c:pt>
                <c:pt idx="61" formatCode="General">
                  <c:v>-34.479672727272728</c:v>
                </c:pt>
                <c:pt idx="62" formatCode="General">
                  <c:v>-34.628133333333331</c:v>
                </c:pt>
                <c:pt idx="63" formatCode="General">
                  <c:v>-34.774799999999999</c:v>
                </c:pt>
                <c:pt idx="64" formatCode="General">
                  <c:v>-34.918009077155823</c:v>
                </c:pt>
                <c:pt idx="65" formatCode="General">
                  <c:v>-35.059007564296522</c:v>
                </c:pt>
                <c:pt idx="66" formatCode="General">
                  <c:v>-35.200006051437214</c:v>
                </c:pt>
                <c:pt idx="67" formatCode="General">
                  <c:v>-35.341004538577913</c:v>
                </c:pt>
                <c:pt idx="68" formatCode="General">
                  <c:v>-35.482003025718605</c:v>
                </c:pt>
                <c:pt idx="69" formatCode="General">
                  <c:v>-35.623001512859304</c:v>
                </c:pt>
                <c:pt idx="70" formatCode="General">
                  <c:v>-35.763999999999996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-20.376998487140696</c:v>
                      </c:pt>
                      <c:pt idx="1">
                        <c:v>-20.590009077155823</c:v>
                      </c:pt>
                      <c:pt idx="2" formatCode="General">
                        <c:v>-20.803019667170954</c:v>
                      </c:pt>
                      <c:pt idx="3" formatCode="General">
                        <c:v>-21.016030257186081</c:v>
                      </c:pt>
                      <c:pt idx="4" formatCode="General">
                        <c:v>-21.230832072617247</c:v>
                      </c:pt>
                      <c:pt idx="5" formatCode="General">
                        <c:v>-21.46623298033283</c:v>
                      </c:pt>
                      <c:pt idx="6" formatCode="General">
                        <c:v>-21.701633888048413</c:v>
                      </c:pt>
                      <c:pt idx="7" formatCode="General">
                        <c:v>-21.937034795763996</c:v>
                      </c:pt>
                      <c:pt idx="8" formatCode="General">
                        <c:v>-22.172435703479575</c:v>
                      </c:pt>
                      <c:pt idx="9" formatCode="General">
                        <c:v>-22.407836611195158</c:v>
                      </c:pt>
                      <c:pt idx="10" formatCode="General">
                        <c:v>-22.643237518910741</c:v>
                      </c:pt>
                      <c:pt idx="11" formatCode="General">
                        <c:v>-22.876931921331316</c:v>
                      </c:pt>
                      <c:pt idx="12" formatCode="General">
                        <c:v>-23.108701966717096</c:v>
                      </c:pt>
                      <c:pt idx="13" formatCode="General">
                        <c:v>-23.340472012102875</c:v>
                      </c:pt>
                      <c:pt idx="14" formatCode="General">
                        <c:v>-23.572242057488655</c:v>
                      </c:pt>
                      <c:pt idx="15" formatCode="General">
                        <c:v>-23.804012102874434</c:v>
                      </c:pt>
                      <c:pt idx="16" formatCode="General">
                        <c:v>-24.035782148260214</c:v>
                      </c:pt>
                      <c:pt idx="17" formatCode="General">
                        <c:v>-24.267552193645994</c:v>
                      </c:pt>
                      <c:pt idx="18" formatCode="General">
                        <c:v>-24.488913767019667</c:v>
                      </c:pt>
                      <c:pt idx="19" formatCode="General">
                        <c:v>-24.708580937972769</c:v>
                      </c:pt>
                      <c:pt idx="20" formatCode="General">
                        <c:v>-24.928248108925871</c:v>
                      </c:pt>
                      <c:pt idx="21" formatCode="General">
                        <c:v>-25.147915279878973</c:v>
                      </c:pt>
                      <c:pt idx="22" formatCode="General">
                        <c:v>-25.367582450832071</c:v>
                      </c:pt>
                      <c:pt idx="23" formatCode="General">
                        <c:v>-25.587249621785173</c:v>
                      </c:pt>
                      <c:pt idx="24" formatCode="General">
                        <c:v>-25.804727272727273</c:v>
                      </c:pt>
                      <c:pt idx="25" formatCode="General">
                        <c:v>-26.015636363636364</c:v>
                      </c:pt>
                      <c:pt idx="26" formatCode="General">
                        <c:v>-26.223636363636366</c:v>
                      </c:pt>
                      <c:pt idx="27" formatCode="General">
                        <c:v>-26.42969696969697</c:v>
                      </c:pt>
                      <c:pt idx="28" formatCode="General">
                        <c:v>-26.628848484848486</c:v>
                      </c:pt>
                      <c:pt idx="29" formatCode="General">
                        <c:v>-26.826181818181819</c:v>
                      </c:pt>
                      <c:pt idx="30" formatCode="General">
                        <c:v>-27.020121212121214</c:v>
                      </c:pt>
                      <c:pt idx="31" formatCode="General">
                        <c:v>-27.205609682299546</c:v>
                      </c:pt>
                      <c:pt idx="32" formatCode="General">
                        <c:v>-27.386547655068078</c:v>
                      </c:pt>
                      <c:pt idx="33" formatCode="General">
                        <c:v>-27.567485627836611</c:v>
                      </c:pt>
                      <c:pt idx="34" formatCode="General">
                        <c:v>-27.748423600605143</c:v>
                      </c:pt>
                      <c:pt idx="35" formatCode="General">
                        <c:v>-27.929361573373676</c:v>
                      </c:pt>
                      <c:pt idx="36" formatCode="General">
                        <c:v>-28.110299546142208</c:v>
                      </c:pt>
                      <c:pt idx="37" formatCode="General">
                        <c:v>-28.29065658093797</c:v>
                      </c:pt>
                      <c:pt idx="38" formatCode="General">
                        <c:v>-28.457071104387289</c:v>
                      </c:pt>
                      <c:pt idx="39" formatCode="General">
                        <c:v>-28.623485627836612</c:v>
                      </c:pt>
                      <c:pt idx="40" formatCode="General">
                        <c:v>-28.789900151285931</c:v>
                      </c:pt>
                      <c:pt idx="41" formatCode="General">
                        <c:v>-28.95631467473525</c:v>
                      </c:pt>
                      <c:pt idx="42" formatCode="General">
                        <c:v>-29.122729198184569</c:v>
                      </c:pt>
                      <c:pt idx="43" formatCode="General">
                        <c:v>-29.289143721633888</c:v>
                      </c:pt>
                      <c:pt idx="44" formatCode="General">
                        <c:v>-29.453476550680787</c:v>
                      </c:pt>
                      <c:pt idx="45" formatCode="General">
                        <c:v>-29.615049924357034</c:v>
                      </c:pt>
                      <c:pt idx="46" formatCode="General">
                        <c:v>-29.776623298033282</c:v>
                      </c:pt>
                      <c:pt idx="47" formatCode="General">
                        <c:v>-29.938196671709534</c:v>
                      </c:pt>
                      <c:pt idx="48" formatCode="General">
                        <c:v>-30.099770045385782</c:v>
                      </c:pt>
                      <c:pt idx="49" formatCode="General">
                        <c:v>-30.26134341906203</c:v>
                      </c:pt>
                      <c:pt idx="50" formatCode="General">
                        <c:v>-30.422916792738278</c:v>
                      </c:pt>
                      <c:pt idx="51" formatCode="General">
                        <c:v>-30.587672727272729</c:v>
                      </c:pt>
                      <c:pt idx="52" formatCode="General">
                        <c:v>-30.753127272727276</c:v>
                      </c:pt>
                      <c:pt idx="53" formatCode="General">
                        <c:v>-30.918581818181821</c:v>
                      </c:pt>
                      <c:pt idx="54" formatCode="General">
                        <c:v>-31.084036363636365</c:v>
                      </c:pt>
                      <c:pt idx="55" formatCode="General">
                        <c:v>-31.249490909090909</c:v>
                      </c:pt>
                      <c:pt idx="56" formatCode="General">
                        <c:v>-31.414945454545457</c:v>
                      </c:pt>
                      <c:pt idx="57" formatCode="General">
                        <c:v>-31.584072617246598</c:v>
                      </c:pt>
                      <c:pt idx="58" formatCode="General">
                        <c:v>-31.766220877458398</c:v>
                      </c:pt>
                      <c:pt idx="59" formatCode="General">
                        <c:v>-31.948369137670198</c:v>
                      </c:pt>
                      <c:pt idx="60" formatCode="General">
                        <c:v>-32.130517397881995</c:v>
                      </c:pt>
                      <c:pt idx="61" formatCode="General">
                        <c:v>-32.312665658093799</c:v>
                      </c:pt>
                      <c:pt idx="62" formatCode="General">
                        <c:v>-32.494813918305596</c:v>
                      </c:pt>
                      <c:pt idx="63" formatCode="General">
                        <c:v>-32.6769621785174</c:v>
                      </c:pt>
                      <c:pt idx="64" formatCode="General">
                        <c:v>-32.870739393939395</c:v>
                      </c:pt>
                      <c:pt idx="65" formatCode="General">
                        <c:v>-33.071951515151511</c:v>
                      </c:pt>
                      <c:pt idx="66" formatCode="General">
                        <c:v>-33.28125301204819</c:v>
                      </c:pt>
                      <c:pt idx="67" formatCode="General">
                        <c:v>-33.49490909090909</c:v>
                      </c:pt>
                      <c:pt idx="68" formatCode="General">
                        <c:v>-33.717939393939396</c:v>
                      </c:pt>
                      <c:pt idx="69" formatCode="General">
                        <c:v>-33.948848484848483</c:v>
                      </c:pt>
                      <c:pt idx="70" formatCode="General">
                        <c:v>-34.183999999999997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-25.47124810892587</c:v>
                      </c:pt>
                      <c:pt idx="1">
                        <c:v>-25.73751134644478</c:v>
                      </c:pt>
                      <c:pt idx="2" formatCode="General">
                        <c:v>-26.00377458396369</c:v>
                      </c:pt>
                      <c:pt idx="3" formatCode="General">
                        <c:v>-26.270037821482603</c:v>
                      </c:pt>
                      <c:pt idx="4" formatCode="General">
                        <c:v>-26.538540090771559</c:v>
                      </c:pt>
                      <c:pt idx="5" formatCode="General">
                        <c:v>-26.832791225416038</c:v>
                      </c:pt>
                      <c:pt idx="6" formatCode="General">
                        <c:v>-27.127042360060514</c:v>
                      </c:pt>
                      <c:pt idx="7" formatCode="General">
                        <c:v>-27.421293494704994</c:v>
                      </c:pt>
                      <c:pt idx="8" formatCode="General">
                        <c:v>-27.71554462934947</c:v>
                      </c:pt>
                      <c:pt idx="9" formatCode="General">
                        <c:v>-28.009795763993949</c:v>
                      </c:pt>
                      <c:pt idx="10" formatCode="General">
                        <c:v>-28.304046898638425</c:v>
                      </c:pt>
                      <c:pt idx="11" formatCode="General">
                        <c:v>-28.596164901664146</c:v>
                      </c:pt>
                      <c:pt idx="12" formatCode="General">
                        <c:v>-28.885877458396369</c:v>
                      </c:pt>
                      <c:pt idx="13" formatCode="General">
                        <c:v>-29.175590015128595</c:v>
                      </c:pt>
                      <c:pt idx="14" formatCode="General">
                        <c:v>-29.465302571860818</c:v>
                      </c:pt>
                      <c:pt idx="15" formatCode="General">
                        <c:v>-29.75501512859304</c:v>
                      </c:pt>
                      <c:pt idx="16" formatCode="General">
                        <c:v>-30.044727685325267</c:v>
                      </c:pt>
                      <c:pt idx="17" formatCode="General">
                        <c:v>-30.334440242057489</c:v>
                      </c:pt>
                      <c:pt idx="18" formatCode="General">
                        <c:v>-30.611142208774584</c:v>
                      </c:pt>
                      <c:pt idx="19" formatCode="General">
                        <c:v>-30.885726172465962</c:v>
                      </c:pt>
                      <c:pt idx="20" formatCode="General">
                        <c:v>-31.160310136157335</c:v>
                      </c:pt>
                      <c:pt idx="21" formatCode="General">
                        <c:v>-31.434894099848712</c:v>
                      </c:pt>
                      <c:pt idx="22" formatCode="General">
                        <c:v>-31.709478063540089</c:v>
                      </c:pt>
                      <c:pt idx="23" formatCode="General">
                        <c:v>-31.984062027231467</c:v>
                      </c:pt>
                      <c:pt idx="24" formatCode="General">
                        <c:v>-32.255909090909086</c:v>
                      </c:pt>
                      <c:pt idx="25" formatCode="General">
                        <c:v>-32.519545454545451</c:v>
                      </c:pt>
                      <c:pt idx="26" formatCode="General">
                        <c:v>-32.779545454545456</c:v>
                      </c:pt>
                      <c:pt idx="27" formatCode="General">
                        <c:v>-33.037121212121214</c:v>
                      </c:pt>
                      <c:pt idx="28" formatCode="General">
                        <c:v>-33.286060606060609</c:v>
                      </c:pt>
                      <c:pt idx="29" formatCode="General">
                        <c:v>-33.532727272727271</c:v>
                      </c:pt>
                      <c:pt idx="30" formatCode="General">
                        <c:v>-33.775151515151514</c:v>
                      </c:pt>
                      <c:pt idx="31" formatCode="General">
                        <c:v>-34.007012102874434</c:v>
                      </c:pt>
                      <c:pt idx="32" formatCode="General">
                        <c:v>-34.2331845688351</c:v>
                      </c:pt>
                      <c:pt idx="33" formatCode="General">
                        <c:v>-34.459357034795765</c:v>
                      </c:pt>
                      <c:pt idx="34" formatCode="General">
                        <c:v>-34.685529500756431</c:v>
                      </c:pt>
                      <c:pt idx="35" formatCode="General">
                        <c:v>-34.911701966717089</c:v>
                      </c:pt>
                      <c:pt idx="36" formatCode="General">
                        <c:v>-35.137874432677755</c:v>
                      </c:pt>
                      <c:pt idx="37" formatCode="General">
                        <c:v>-35.363320726172461</c:v>
                      </c:pt>
                      <c:pt idx="38" formatCode="General">
                        <c:v>-35.571338880484113</c:v>
                      </c:pt>
                      <c:pt idx="39" formatCode="General">
                        <c:v>-35.779357034795765</c:v>
                      </c:pt>
                      <c:pt idx="40" formatCode="General">
                        <c:v>-35.987375189107411</c:v>
                      </c:pt>
                      <c:pt idx="41" formatCode="General">
                        <c:v>-36.195393343419063</c:v>
                      </c:pt>
                      <c:pt idx="42" formatCode="General">
                        <c:v>-36.403411497730715</c:v>
                      </c:pt>
                      <c:pt idx="43" formatCode="General">
                        <c:v>-36.611429652042361</c:v>
                      </c:pt>
                      <c:pt idx="44" formatCode="General">
                        <c:v>-36.816845688350988</c:v>
                      </c:pt>
                      <c:pt idx="45" formatCode="General">
                        <c:v>-37.018812405446297</c:v>
                      </c:pt>
                      <c:pt idx="46" formatCode="General">
                        <c:v>-37.220779122541607</c:v>
                      </c:pt>
                      <c:pt idx="47" formatCode="General">
                        <c:v>-37.422745839636917</c:v>
                      </c:pt>
                      <c:pt idx="48" formatCode="General">
                        <c:v>-37.624712556732227</c:v>
                      </c:pt>
                      <c:pt idx="49" formatCode="General">
                        <c:v>-37.826679273827537</c:v>
                      </c:pt>
                      <c:pt idx="50" formatCode="General">
                        <c:v>-38.028645990922847</c:v>
                      </c:pt>
                      <c:pt idx="51" formatCode="General">
                        <c:v>-38.234590909090912</c:v>
                      </c:pt>
                      <c:pt idx="52" formatCode="General">
                        <c:v>-38.441409090909097</c:v>
                      </c:pt>
                      <c:pt idx="53" formatCode="General">
                        <c:v>-38.648227272727276</c:v>
                      </c:pt>
                      <c:pt idx="54" formatCode="General">
                        <c:v>-38.855045454545454</c:v>
                      </c:pt>
                      <c:pt idx="55" formatCode="General">
                        <c:v>-39.06186363636364</c:v>
                      </c:pt>
                      <c:pt idx="56" formatCode="General">
                        <c:v>-39.268681818181818</c:v>
                      </c:pt>
                      <c:pt idx="57" formatCode="General">
                        <c:v>-39.480090771558245</c:v>
                      </c:pt>
                      <c:pt idx="58" formatCode="General">
                        <c:v>-39.707776096822997</c:v>
                      </c:pt>
                      <c:pt idx="59" formatCode="General">
                        <c:v>-39.935461422087748</c:v>
                      </c:pt>
                      <c:pt idx="60" formatCode="General">
                        <c:v>-40.163146747352492</c:v>
                      </c:pt>
                      <c:pt idx="61" formatCode="General">
                        <c:v>-40.390832072617243</c:v>
                      </c:pt>
                      <c:pt idx="62" formatCode="General">
                        <c:v>-40.618517397881995</c:v>
                      </c:pt>
                      <c:pt idx="63" formatCode="General">
                        <c:v>-40.846202723146746</c:v>
                      </c:pt>
                      <c:pt idx="64" formatCode="General">
                        <c:v>-41.088424242424239</c:v>
                      </c:pt>
                      <c:pt idx="65" formatCode="General">
                        <c:v>-41.339939393939389</c:v>
                      </c:pt>
                      <c:pt idx="66" formatCode="General">
                        <c:v>-41.601566265060235</c:v>
                      </c:pt>
                      <c:pt idx="67" formatCode="General">
                        <c:v>-41.868636363636362</c:v>
                      </c:pt>
                      <c:pt idx="68" formatCode="General">
                        <c:v>-42.147424242424236</c:v>
                      </c:pt>
                      <c:pt idx="69" formatCode="General">
                        <c:v>-42.4360606060606</c:v>
                      </c:pt>
                      <c:pt idx="70" formatCode="General">
                        <c:v>-42.73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-40.753996974281392</c:v>
                      </c:pt>
                      <c:pt idx="1">
                        <c:v>-41.180018154311647</c:v>
                      </c:pt>
                      <c:pt idx="2" formatCode="General">
                        <c:v>-41.606039334341908</c:v>
                      </c:pt>
                      <c:pt idx="3" formatCode="General">
                        <c:v>-42.032060514372162</c:v>
                      </c:pt>
                      <c:pt idx="4" formatCode="General">
                        <c:v>-42.461664145234494</c:v>
                      </c:pt>
                      <c:pt idx="5" formatCode="General">
                        <c:v>-42.93246596066566</c:v>
                      </c:pt>
                      <c:pt idx="6" formatCode="General">
                        <c:v>-43.403267776096826</c:v>
                      </c:pt>
                      <c:pt idx="7" formatCode="General">
                        <c:v>-43.874069591527991</c:v>
                      </c:pt>
                      <c:pt idx="8" formatCode="General">
                        <c:v>-44.34487140695915</c:v>
                      </c:pt>
                      <c:pt idx="9" formatCode="General">
                        <c:v>-44.815673222390316</c:v>
                      </c:pt>
                      <c:pt idx="10" formatCode="General">
                        <c:v>-45.286475037821482</c:v>
                      </c:pt>
                      <c:pt idx="11" formatCode="General">
                        <c:v>-45.753863842662632</c:v>
                      </c:pt>
                      <c:pt idx="12" formatCode="General">
                        <c:v>-46.217403933434191</c:v>
                      </c:pt>
                      <c:pt idx="13" formatCode="General">
                        <c:v>-46.680944024205751</c:v>
                      </c:pt>
                      <c:pt idx="14" formatCode="General">
                        <c:v>-47.14448411497731</c:v>
                      </c:pt>
                      <c:pt idx="15" formatCode="General">
                        <c:v>-47.608024205748869</c:v>
                      </c:pt>
                      <c:pt idx="16" formatCode="General">
                        <c:v>-48.071564296520428</c:v>
                      </c:pt>
                      <c:pt idx="17" formatCode="General">
                        <c:v>-48.535104387291987</c:v>
                      </c:pt>
                      <c:pt idx="18" formatCode="General">
                        <c:v>-48.977827534039335</c:v>
                      </c:pt>
                      <c:pt idx="19" formatCode="General">
                        <c:v>-49.417161875945538</c:v>
                      </c:pt>
                      <c:pt idx="20" formatCode="General">
                        <c:v>-49.856496217851742</c:v>
                      </c:pt>
                      <c:pt idx="21" formatCode="General">
                        <c:v>-50.295830559757945</c:v>
                      </c:pt>
                      <c:pt idx="22" formatCode="General">
                        <c:v>-50.735164901664142</c:v>
                      </c:pt>
                      <c:pt idx="23" formatCode="General">
                        <c:v>-51.174499243570345</c:v>
                      </c:pt>
                      <c:pt idx="24" formatCode="General">
                        <c:v>-51.609454545454547</c:v>
                      </c:pt>
                      <c:pt idx="25" formatCode="General">
                        <c:v>-52.031272727272729</c:v>
                      </c:pt>
                      <c:pt idx="26" formatCode="General">
                        <c:v>-52.447272727272733</c:v>
                      </c:pt>
                      <c:pt idx="27" formatCode="General">
                        <c:v>-52.859393939393939</c:v>
                      </c:pt>
                      <c:pt idx="28" formatCode="General">
                        <c:v>-53.257696969696973</c:v>
                      </c:pt>
                      <c:pt idx="29" formatCode="General">
                        <c:v>-53.652363636363638</c:v>
                      </c:pt>
                      <c:pt idx="30" formatCode="General">
                        <c:v>-54.040242424242429</c:v>
                      </c:pt>
                      <c:pt idx="31" formatCode="General">
                        <c:v>-54.411219364599091</c:v>
                      </c:pt>
                      <c:pt idx="32" formatCode="General">
                        <c:v>-54.773095310136156</c:v>
                      </c:pt>
                      <c:pt idx="33" formatCode="General">
                        <c:v>-55.134971255673221</c:v>
                      </c:pt>
                      <c:pt idx="34" formatCode="General">
                        <c:v>-55.496847201210286</c:v>
                      </c:pt>
                      <c:pt idx="35" formatCode="General">
                        <c:v>-55.858723146747352</c:v>
                      </c:pt>
                      <c:pt idx="36" formatCode="General">
                        <c:v>-56.220599092284417</c:v>
                      </c:pt>
                      <c:pt idx="37" formatCode="General">
                        <c:v>-56.58131316187594</c:v>
                      </c:pt>
                      <c:pt idx="38" formatCode="General">
                        <c:v>-56.914142208774578</c:v>
                      </c:pt>
                      <c:pt idx="39" formatCode="General">
                        <c:v>-57.246971255673223</c:v>
                      </c:pt>
                      <c:pt idx="40" formatCode="General">
                        <c:v>-57.579800302571861</c:v>
                      </c:pt>
                      <c:pt idx="41" formatCode="General">
                        <c:v>-57.9126293494705</c:v>
                      </c:pt>
                      <c:pt idx="42" formatCode="General">
                        <c:v>-58.245458396369138</c:v>
                      </c:pt>
                      <c:pt idx="43" formatCode="General">
                        <c:v>-58.578287443267776</c:v>
                      </c:pt>
                      <c:pt idx="44" formatCode="General">
                        <c:v>-58.906953101361573</c:v>
                      </c:pt>
                      <c:pt idx="45" formatCode="General">
                        <c:v>-59.230099848714069</c:v>
                      </c:pt>
                      <c:pt idx="46" formatCode="General">
                        <c:v>-59.553246596066565</c:v>
                      </c:pt>
                      <c:pt idx="47" formatCode="General">
                        <c:v>-59.876393343419068</c:v>
                      </c:pt>
                      <c:pt idx="48" formatCode="General">
                        <c:v>-60.199540090771563</c:v>
                      </c:pt>
                      <c:pt idx="49" formatCode="General">
                        <c:v>-60.522686838124059</c:v>
                      </c:pt>
                      <c:pt idx="50" formatCode="General">
                        <c:v>-60.845833585476555</c:v>
                      </c:pt>
                      <c:pt idx="51" formatCode="General">
                        <c:v>-61.175345454545457</c:v>
                      </c:pt>
                      <c:pt idx="52" formatCode="General">
                        <c:v>-61.506254545454553</c:v>
                      </c:pt>
                      <c:pt idx="53" formatCode="General">
                        <c:v>-61.837163636363641</c:v>
                      </c:pt>
                      <c:pt idx="54" formatCode="General">
                        <c:v>-62.16807272727273</c:v>
                      </c:pt>
                      <c:pt idx="55" formatCode="General">
                        <c:v>-62.498981818181818</c:v>
                      </c:pt>
                      <c:pt idx="56" formatCode="General">
                        <c:v>-62.829890909090913</c:v>
                      </c:pt>
                      <c:pt idx="57" formatCode="General">
                        <c:v>-63.168145234493196</c:v>
                      </c:pt>
                      <c:pt idx="58" formatCode="General">
                        <c:v>-63.532441754916796</c:v>
                      </c:pt>
                      <c:pt idx="59" formatCode="General">
                        <c:v>-63.896738275340397</c:v>
                      </c:pt>
                      <c:pt idx="60" formatCode="General">
                        <c:v>-64.26103479576399</c:v>
                      </c:pt>
                      <c:pt idx="61" formatCode="General">
                        <c:v>-64.625331316187598</c:v>
                      </c:pt>
                      <c:pt idx="62" formatCode="General">
                        <c:v>-64.989627836611191</c:v>
                      </c:pt>
                      <c:pt idx="63" formatCode="General">
                        <c:v>-65.353924357034799</c:v>
                      </c:pt>
                      <c:pt idx="64" formatCode="General">
                        <c:v>-65.741478787878791</c:v>
                      </c:pt>
                      <c:pt idx="65" formatCode="General">
                        <c:v>-66.143903030303022</c:v>
                      </c:pt>
                      <c:pt idx="66" formatCode="General">
                        <c:v>-66.562506024096379</c:v>
                      </c:pt>
                      <c:pt idx="67" formatCode="General">
                        <c:v>-66.98981818181818</c:v>
                      </c:pt>
                      <c:pt idx="68" formatCode="General">
                        <c:v>-67.435878787878792</c:v>
                      </c:pt>
                      <c:pt idx="69" formatCode="General">
                        <c:v>-67.897696969696966</c:v>
                      </c:pt>
                      <c:pt idx="70" formatCode="General">
                        <c:v>-68.367999999999995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-10.188499243570348</c:v>
                      </c:pt>
                      <c:pt idx="1">
                        <c:v>-10.295004538577912</c:v>
                      </c:pt>
                      <c:pt idx="2" formatCode="General">
                        <c:v>-10.401509833585477</c:v>
                      </c:pt>
                      <c:pt idx="3" formatCode="General">
                        <c:v>-10.508015128593041</c:v>
                      </c:pt>
                      <c:pt idx="4" formatCode="General">
                        <c:v>-10.615416036308623</c:v>
                      </c:pt>
                      <c:pt idx="5" formatCode="General">
                        <c:v>-10.733116490166415</c:v>
                      </c:pt>
                      <c:pt idx="6" formatCode="General">
                        <c:v>-10.850816944024206</c:v>
                      </c:pt>
                      <c:pt idx="7" formatCode="General">
                        <c:v>-10.968517397881998</c:v>
                      </c:pt>
                      <c:pt idx="8" formatCode="General">
                        <c:v>-11.086217851739788</c:v>
                      </c:pt>
                      <c:pt idx="9" formatCode="General">
                        <c:v>-11.203918305597579</c:v>
                      </c:pt>
                      <c:pt idx="10" formatCode="General">
                        <c:v>-11.321618759455371</c:v>
                      </c:pt>
                      <c:pt idx="11" formatCode="General">
                        <c:v>-11.438465960665658</c:v>
                      </c:pt>
                      <c:pt idx="12" formatCode="General">
                        <c:v>-11.554350983358548</c:v>
                      </c:pt>
                      <c:pt idx="13" formatCode="General">
                        <c:v>-11.670236006051438</c:v>
                      </c:pt>
                      <c:pt idx="14" formatCode="General">
                        <c:v>-11.786121028744327</c:v>
                      </c:pt>
                      <c:pt idx="15" formatCode="General">
                        <c:v>-11.902006051437217</c:v>
                      </c:pt>
                      <c:pt idx="16" formatCode="General">
                        <c:v>-12.017891074130107</c:v>
                      </c:pt>
                      <c:pt idx="17" formatCode="General">
                        <c:v>-12.133776096822997</c:v>
                      </c:pt>
                      <c:pt idx="18" formatCode="General">
                        <c:v>-12.244456883509834</c:v>
                      </c:pt>
                      <c:pt idx="19" formatCode="General">
                        <c:v>-12.354290468986385</c:v>
                      </c:pt>
                      <c:pt idx="20" formatCode="General">
                        <c:v>-12.464124054462935</c:v>
                      </c:pt>
                      <c:pt idx="21" formatCode="General">
                        <c:v>-12.573957639939486</c:v>
                      </c:pt>
                      <c:pt idx="22" formatCode="General">
                        <c:v>-12.683791225416035</c:v>
                      </c:pt>
                      <c:pt idx="23" formatCode="General">
                        <c:v>-12.793624810892586</c:v>
                      </c:pt>
                      <c:pt idx="24" formatCode="General">
                        <c:v>-12.902363636363637</c:v>
                      </c:pt>
                      <c:pt idx="25" formatCode="General">
                        <c:v>-13.007818181818182</c:v>
                      </c:pt>
                      <c:pt idx="26" formatCode="General">
                        <c:v>-13.111818181818183</c:v>
                      </c:pt>
                      <c:pt idx="27" formatCode="General">
                        <c:v>-13.214848484848485</c:v>
                      </c:pt>
                      <c:pt idx="28" formatCode="General">
                        <c:v>-13.314424242424243</c:v>
                      </c:pt>
                      <c:pt idx="29" formatCode="General">
                        <c:v>-13.41309090909091</c:v>
                      </c:pt>
                      <c:pt idx="30" formatCode="General">
                        <c:v>-13.510060606060607</c:v>
                      </c:pt>
                      <c:pt idx="31" formatCode="General">
                        <c:v>-13.602804841149773</c:v>
                      </c:pt>
                      <c:pt idx="32" formatCode="General">
                        <c:v>-13.693273827534039</c:v>
                      </c:pt>
                      <c:pt idx="33" formatCode="General">
                        <c:v>-13.783742813918305</c:v>
                      </c:pt>
                      <c:pt idx="34" formatCode="General">
                        <c:v>-13.874211800302572</c:v>
                      </c:pt>
                      <c:pt idx="35" formatCode="General">
                        <c:v>-13.964680786686838</c:v>
                      </c:pt>
                      <c:pt idx="36" formatCode="General">
                        <c:v>-14.055149773071104</c:v>
                      </c:pt>
                      <c:pt idx="37" formatCode="General">
                        <c:v>-14.145328290468985</c:v>
                      </c:pt>
                      <c:pt idx="38" formatCode="General">
                        <c:v>-14.228535552193645</c:v>
                      </c:pt>
                      <c:pt idx="39" formatCode="General">
                        <c:v>-14.311742813918306</c:v>
                      </c:pt>
                      <c:pt idx="40" formatCode="General">
                        <c:v>-14.394950075642965</c:v>
                      </c:pt>
                      <c:pt idx="41" formatCode="General">
                        <c:v>-14.478157337367625</c:v>
                      </c:pt>
                      <c:pt idx="42" formatCode="General">
                        <c:v>-14.561364599092284</c:v>
                      </c:pt>
                      <c:pt idx="43" formatCode="General">
                        <c:v>-14.644571860816944</c:v>
                      </c:pt>
                      <c:pt idx="44" formatCode="General">
                        <c:v>-14.726738275340393</c:v>
                      </c:pt>
                      <c:pt idx="45" formatCode="General">
                        <c:v>-14.807524962178517</c:v>
                      </c:pt>
                      <c:pt idx="46" formatCode="General">
                        <c:v>-14.888311649016641</c:v>
                      </c:pt>
                      <c:pt idx="47" formatCode="General">
                        <c:v>-14.969098335854767</c:v>
                      </c:pt>
                      <c:pt idx="48" formatCode="General">
                        <c:v>-15.049885022692891</c:v>
                      </c:pt>
                      <c:pt idx="49" formatCode="General">
                        <c:v>-15.130671709531015</c:v>
                      </c:pt>
                      <c:pt idx="50" formatCode="General">
                        <c:v>-15.211458396369139</c:v>
                      </c:pt>
                      <c:pt idx="51" formatCode="General">
                        <c:v>-15.293836363636364</c:v>
                      </c:pt>
                      <c:pt idx="52" formatCode="General">
                        <c:v>-15.376563636363638</c:v>
                      </c:pt>
                      <c:pt idx="53" formatCode="General">
                        <c:v>-15.45929090909091</c:v>
                      </c:pt>
                      <c:pt idx="54" formatCode="General">
                        <c:v>-15.542018181818182</c:v>
                      </c:pt>
                      <c:pt idx="55" formatCode="General">
                        <c:v>-15.624745454545454</c:v>
                      </c:pt>
                      <c:pt idx="56" formatCode="General">
                        <c:v>-15.707472727272728</c:v>
                      </c:pt>
                      <c:pt idx="57" formatCode="General">
                        <c:v>-15.792036308623299</c:v>
                      </c:pt>
                      <c:pt idx="58" formatCode="General">
                        <c:v>-15.883110438729199</c:v>
                      </c:pt>
                      <c:pt idx="59" formatCode="General">
                        <c:v>-15.974184568835099</c:v>
                      </c:pt>
                      <c:pt idx="60" formatCode="General">
                        <c:v>-16.065258698940998</c:v>
                      </c:pt>
                      <c:pt idx="61" formatCode="General">
                        <c:v>-16.156332829046899</c:v>
                      </c:pt>
                      <c:pt idx="62" formatCode="General">
                        <c:v>-16.247406959152798</c:v>
                      </c:pt>
                      <c:pt idx="63" formatCode="General">
                        <c:v>-16.3384810892587</c:v>
                      </c:pt>
                      <c:pt idx="64" formatCode="General">
                        <c:v>-16.435369696969698</c:v>
                      </c:pt>
                      <c:pt idx="65" formatCode="General">
                        <c:v>-16.535975757575756</c:v>
                      </c:pt>
                      <c:pt idx="66" formatCode="General">
                        <c:v>-16.640626506024095</c:v>
                      </c:pt>
                      <c:pt idx="67" formatCode="General">
                        <c:v>-16.747454545454545</c:v>
                      </c:pt>
                      <c:pt idx="68" formatCode="General">
                        <c:v>-16.858969696969698</c:v>
                      </c:pt>
                      <c:pt idx="69" formatCode="General">
                        <c:v>-16.974424242424242</c:v>
                      </c:pt>
                      <c:pt idx="70" formatCode="General">
                        <c:v>-17.091999999999999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-18.054697428139182</c:v>
                      </c:pt>
                      <c:pt idx="1">
                        <c:v>-18.256815431164902</c:v>
                      </c:pt>
                      <c:pt idx="2" formatCode="General">
                        <c:v>-18.458933434190619</c:v>
                      </c:pt>
                      <c:pt idx="3" formatCode="General">
                        <c:v>-18.66105143721634</c:v>
                      </c:pt>
                      <c:pt idx="4" formatCode="General">
                        <c:v>-18.86235854765507</c:v>
                      </c:pt>
                      <c:pt idx="5" formatCode="General">
                        <c:v>-19.05434039334342</c:v>
                      </c:pt>
                      <c:pt idx="6" formatCode="General">
                        <c:v>-19.24632223903177</c:v>
                      </c:pt>
                      <c:pt idx="7" formatCode="General">
                        <c:v>-19.438304084720123</c:v>
                      </c:pt>
                      <c:pt idx="8" formatCode="General">
                        <c:v>-19.630285930408473</c:v>
                      </c:pt>
                      <c:pt idx="9" formatCode="General">
                        <c:v>-19.822267776096822</c:v>
                      </c:pt>
                      <c:pt idx="10" formatCode="General">
                        <c:v>-20.014249621785172</c:v>
                      </c:pt>
                      <c:pt idx="11" formatCode="General">
                        <c:v>-20.19926323751891</c:v>
                      </c:pt>
                      <c:pt idx="12" formatCode="General">
                        <c:v>-20.376419062027232</c:v>
                      </c:pt>
                      <c:pt idx="13" formatCode="General">
                        <c:v>-20.55357488653555</c:v>
                      </c:pt>
                      <c:pt idx="14" formatCode="General">
                        <c:v>-20.730730711043872</c:v>
                      </c:pt>
                      <c:pt idx="15" formatCode="General">
                        <c:v>-20.907886535552194</c:v>
                      </c:pt>
                      <c:pt idx="16" formatCode="General">
                        <c:v>-21.085042360060513</c:v>
                      </c:pt>
                      <c:pt idx="17" formatCode="General">
                        <c:v>-21.262198184568835</c:v>
                      </c:pt>
                      <c:pt idx="18" formatCode="General">
                        <c:v>-21.429465960665659</c:v>
                      </c:pt>
                      <c:pt idx="19" formatCode="General">
                        <c:v>-21.595124054462936</c:v>
                      </c:pt>
                      <c:pt idx="20" formatCode="General">
                        <c:v>-21.760782148260212</c:v>
                      </c:pt>
                      <c:pt idx="21" formatCode="General">
                        <c:v>-21.926440242057488</c:v>
                      </c:pt>
                      <c:pt idx="22" formatCode="General">
                        <c:v>-22.092098335854768</c:v>
                      </c:pt>
                      <c:pt idx="23" formatCode="General">
                        <c:v>-22.257756429652044</c:v>
                      </c:pt>
                      <c:pt idx="24" formatCode="General">
                        <c:v>-22.423363636363639</c:v>
                      </c:pt>
                      <c:pt idx="25" formatCode="General">
                        <c:v>-22.588818181818183</c:v>
                      </c:pt>
                      <c:pt idx="26" formatCode="General">
                        <c:v>-22.754999999999999</c:v>
                      </c:pt>
                      <c:pt idx="27" formatCode="General">
                        <c:v>-22.921666666666667</c:v>
                      </c:pt>
                      <c:pt idx="28" formatCode="General">
                        <c:v>-23.09121212121212</c:v>
                      </c:pt>
                      <c:pt idx="29" formatCode="General">
                        <c:v>-23.262727272727272</c:v>
                      </c:pt>
                      <c:pt idx="30" formatCode="General">
                        <c:v>-23.438484848484848</c:v>
                      </c:pt>
                      <c:pt idx="31" formatCode="General">
                        <c:v>-23.627148260211801</c:v>
                      </c:pt>
                      <c:pt idx="32" formatCode="General">
                        <c:v>-23.822760968229954</c:v>
                      </c:pt>
                      <c:pt idx="33" formatCode="General">
                        <c:v>-24.018373676248107</c:v>
                      </c:pt>
                      <c:pt idx="34" formatCode="General">
                        <c:v>-24.213986384266263</c:v>
                      </c:pt>
                      <c:pt idx="35" formatCode="General">
                        <c:v>-24.409599092284417</c:v>
                      </c:pt>
                      <c:pt idx="36" formatCode="General">
                        <c:v>-24.60521180030257</c:v>
                      </c:pt>
                      <c:pt idx="37" formatCode="General">
                        <c:v>-24.801853252647504</c:v>
                      </c:pt>
                      <c:pt idx="38" formatCode="General">
                        <c:v>-25.023184568835099</c:v>
                      </c:pt>
                      <c:pt idx="39" formatCode="General">
                        <c:v>-25.244515885022693</c:v>
                      </c:pt>
                      <c:pt idx="40" formatCode="General">
                        <c:v>-25.465847201210288</c:v>
                      </c:pt>
                      <c:pt idx="41" formatCode="General">
                        <c:v>-25.687178517397882</c:v>
                      </c:pt>
                      <c:pt idx="42" formatCode="General">
                        <c:v>-25.908509833585477</c:v>
                      </c:pt>
                      <c:pt idx="43" formatCode="General">
                        <c:v>-26.129841149773071</c:v>
                      </c:pt>
                      <c:pt idx="44" formatCode="General">
                        <c:v>-26.350782148260212</c:v>
                      </c:pt>
                      <c:pt idx="45" formatCode="General">
                        <c:v>-26.571205748865356</c:v>
                      </c:pt>
                      <c:pt idx="46" formatCode="General">
                        <c:v>-26.791629349470501</c:v>
                      </c:pt>
                      <c:pt idx="47" formatCode="General">
                        <c:v>-27.012052950075642</c:v>
                      </c:pt>
                      <c:pt idx="48" formatCode="General">
                        <c:v>-27.232476550680786</c:v>
                      </c:pt>
                      <c:pt idx="49" formatCode="General">
                        <c:v>-27.452900151285931</c:v>
                      </c:pt>
                      <c:pt idx="50" formatCode="General">
                        <c:v>-27.673323751891076</c:v>
                      </c:pt>
                      <c:pt idx="51" formatCode="General">
                        <c:v>-27.883584848484851</c:v>
                      </c:pt>
                      <c:pt idx="52" formatCode="General">
                        <c:v>-28.091615151515153</c:v>
                      </c:pt>
                      <c:pt idx="53" formatCode="General">
                        <c:v>-28.299645454545455</c:v>
                      </c:pt>
                      <c:pt idx="54" formatCode="General">
                        <c:v>-28.507675757575758</c:v>
                      </c:pt>
                      <c:pt idx="55" formatCode="General">
                        <c:v>-28.71570606060606</c:v>
                      </c:pt>
                      <c:pt idx="56" formatCode="General">
                        <c:v>-28.923736363636365</c:v>
                      </c:pt>
                      <c:pt idx="57" formatCode="General">
                        <c:v>-29.127969742813917</c:v>
                      </c:pt>
                      <c:pt idx="58" formatCode="General">
                        <c:v>-29.318741301059003</c:v>
                      </c:pt>
                      <c:pt idx="59" formatCode="General">
                        <c:v>-29.509512859304085</c:v>
                      </c:pt>
                      <c:pt idx="60" formatCode="General">
                        <c:v>-29.70028441754917</c:v>
                      </c:pt>
                      <c:pt idx="61" formatCode="General">
                        <c:v>-29.891055975794252</c:v>
                      </c:pt>
                      <c:pt idx="62" formatCode="General">
                        <c:v>-30.081827534039334</c:v>
                      </c:pt>
                      <c:pt idx="63" formatCode="General">
                        <c:v>-30.27259909228442</c:v>
                      </c:pt>
                      <c:pt idx="64" formatCode="General">
                        <c:v>-30.459018181818184</c:v>
                      </c:pt>
                      <c:pt idx="65" formatCode="General">
                        <c:v>-30.642654545454544</c:v>
                      </c:pt>
                      <c:pt idx="66" formatCode="General">
                        <c:v>-30.815975903614454</c:v>
                      </c:pt>
                      <c:pt idx="67" formatCode="General">
                        <c:v>-30.990090909090906</c:v>
                      </c:pt>
                      <c:pt idx="68" formatCode="General">
                        <c:v>-31.167060606060605</c:v>
                      </c:pt>
                      <c:pt idx="69" formatCode="General">
                        <c:v>-31.338121212121212</c:v>
                      </c:pt>
                      <c:pt idx="70" formatCode="General">
                        <c:v>-31.506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-21.105757575757575</c:v>
                      </c:pt>
                      <c:pt idx="1">
                        <c:v>-20.527333333333335</c:v>
                      </c:pt>
                      <c:pt idx="2" formatCode="General">
                        <c:v>-19.994</c:v>
                      </c:pt>
                      <c:pt idx="3" formatCode="General">
                        <c:v>-19.721696969696971</c:v>
                      </c:pt>
                      <c:pt idx="4" formatCode="General">
                        <c:v>-19.592969696969696</c:v>
                      </c:pt>
                      <c:pt idx="5" formatCode="General">
                        <c:v>-20.005090909090907</c:v>
                      </c:pt>
                      <c:pt idx="6" formatCode="General">
                        <c:v>-20.188192771084335</c:v>
                      </c:pt>
                      <c:pt idx="7" formatCode="General">
                        <c:v>-20.067710843373494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-185.65945454545451</c:v>
                      </c:pt>
                      <c:pt idx="1">
                        <c:v>-180.33072727272724</c:v>
                      </c:pt>
                      <c:pt idx="2" formatCode="General">
                        <c:v>-175.38527272727273</c:v>
                      </c:pt>
                      <c:pt idx="3" formatCode="General">
                        <c:v>-170.78933333333333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-100.42183358547655</c:v>
                      </c:pt>
                      <c:pt idx="65" formatCode="General">
                        <c:v>-100.90352798789712</c:v>
                      </c:pt>
                      <c:pt idx="66" formatCode="General">
                        <c:v>-101.38522239031769</c:v>
                      </c:pt>
                      <c:pt idx="67" formatCode="General">
                        <c:v>-101.86691679273828</c:v>
                      </c:pt>
                      <c:pt idx="68" formatCode="General">
                        <c:v>-102.34861119515885</c:v>
                      </c:pt>
                      <c:pt idx="69" formatCode="General">
                        <c:v>-102.83030559757943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-75.533818181818177</c:v>
                      </c:pt>
                      <c:pt idx="4" formatCode="General">
                        <c:v>-73.383030303030296</c:v>
                      </c:pt>
                      <c:pt idx="5" formatCode="General">
                        <c:v>-71.170909090909092</c:v>
                      </c:pt>
                      <c:pt idx="6" formatCode="General">
                        <c:v>-69.156204819277107</c:v>
                      </c:pt>
                      <c:pt idx="7" formatCode="General">
                        <c:v>-67.403192771084335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-36.259464447806359</c:v>
                      </c:pt>
                      <c:pt idx="65" formatCode="General">
                        <c:v>-36.440553706505298</c:v>
                      </c:pt>
                      <c:pt idx="66" formatCode="General">
                        <c:v>-36.621642965204238</c:v>
                      </c:pt>
                      <c:pt idx="67" formatCode="General">
                        <c:v>-36.802732223903178</c:v>
                      </c:pt>
                      <c:pt idx="68" formatCode="General">
                        <c:v>-36.983821482602124</c:v>
                      </c:pt>
                      <c:pt idx="69" formatCode="General">
                        <c:v>-37.164910741301064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-36.464181818181821</c:v>
                      </c:pt>
                      <c:pt idx="3" formatCode="General">
                        <c:v>-35.518848484848483</c:v>
                      </c:pt>
                      <c:pt idx="4" formatCode="General">
                        <c:v>-34.576545454545453</c:v>
                      </c:pt>
                      <c:pt idx="5" formatCode="General">
                        <c:v>-34.158363636363639</c:v>
                      </c:pt>
                      <c:pt idx="6" formatCode="General">
                        <c:v>-33.559939759036148</c:v>
                      </c:pt>
                      <c:pt idx="7" formatCode="General">
                        <c:v>-32.722590361445782</c:v>
                      </c:pt>
                      <c:pt idx="8" formatCode="General">
                        <c:v>-32.114666666666665</c:v>
                      </c:pt>
                      <c:pt idx="9" formatCode="General">
                        <c:v>-31.581818181818182</c:v>
                      </c:pt>
                      <c:pt idx="10" formatCode="General">
                        <c:v>-31.096969696969701</c:v>
                      </c:pt>
                      <c:pt idx="11" formatCode="General">
                        <c:v>-30.656621785173982</c:v>
                      </c:pt>
                      <c:pt idx="12" formatCode="General">
                        <c:v>-30.266455370650533</c:v>
                      </c:pt>
                      <c:pt idx="13" formatCode="General">
                        <c:v>-29.876288956127084</c:v>
                      </c:pt>
                      <c:pt idx="14" formatCode="General">
                        <c:v>-29.486122541603635</c:v>
                      </c:pt>
                      <c:pt idx="15" formatCode="General">
                        <c:v>-29.095956127080186</c:v>
                      </c:pt>
                      <c:pt idx="16" formatCode="General">
                        <c:v>-28.705789712556733</c:v>
                      </c:pt>
                      <c:pt idx="17" formatCode="General">
                        <c:v>-28.315623298033284</c:v>
                      </c:pt>
                      <c:pt idx="18" formatCode="General">
                        <c:v>-27.992575757575761</c:v>
                      </c:pt>
                      <c:pt idx="19" formatCode="General">
                        <c:v>-27.684527272727273</c:v>
                      </c:pt>
                      <c:pt idx="20" formatCode="General">
                        <c:v>-27.3918</c:v>
                      </c:pt>
                      <c:pt idx="21" formatCode="General">
                        <c:v>-27.115363636363636</c:v>
                      </c:pt>
                      <c:pt idx="22" formatCode="General">
                        <c:v>-26.85172727272727</c:v>
                      </c:pt>
                      <c:pt idx="23" formatCode="General">
                        <c:v>-26.744126506024095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-33.02028593040847</c:v>
                      </c:pt>
                      <c:pt idx="65" formatCode="General">
                        <c:v>-33.16173827534039</c:v>
                      </c:pt>
                      <c:pt idx="66" formatCode="General">
                        <c:v>-33.303190620272311</c:v>
                      </c:pt>
                      <c:pt idx="67" formatCode="General">
                        <c:v>-33.444642965204238</c:v>
                      </c:pt>
                      <c:pt idx="68" formatCode="General">
                        <c:v>-33.586095310136159</c:v>
                      </c:pt>
                      <c:pt idx="69" formatCode="General">
                        <c:v>-33.727547655068079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-143.44793939393938</c:v>
                      </c:pt>
                      <c:pt idx="1">
                        <c:v>-139.27606060606061</c:v>
                      </c:pt>
                      <c:pt idx="2" formatCode="General">
                        <c:v>-135.39727272727271</c:v>
                      </c:pt>
                      <c:pt idx="3" formatCode="General">
                        <c:v>-131.34593939393937</c:v>
                      </c:pt>
                      <c:pt idx="4" formatCode="General">
                        <c:v>-127.1730909090909</c:v>
                      </c:pt>
                      <c:pt idx="5" formatCode="General">
                        <c:v>-122.33672727272727</c:v>
                      </c:pt>
                      <c:pt idx="6" formatCode="General">
                        <c:v>-118.12421686746988</c:v>
                      </c:pt>
                      <c:pt idx="7" formatCode="General">
                        <c:v>-114.73867469879519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-44.616024205748872</c:v>
                      </c:pt>
                      <c:pt idx="65" formatCode="General">
                        <c:v>-44.858686838124058</c:v>
                      </c:pt>
                      <c:pt idx="66" formatCode="General">
                        <c:v>-45.101349470499244</c:v>
                      </c:pt>
                      <c:pt idx="67" formatCode="General">
                        <c:v>-45.344012102874437</c:v>
                      </c:pt>
                      <c:pt idx="68" formatCode="General">
                        <c:v>-45.586674735249623</c:v>
                      </c:pt>
                      <c:pt idx="69" formatCode="General">
                        <c:v>-45.829337367624817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-19.02</c:v>
                      </c:pt>
                      <c:pt idx="1">
                        <c:v>-19.02</c:v>
                      </c:pt>
                      <c:pt idx="2" formatCode="General">
                        <c:v>-19.02</c:v>
                      </c:pt>
                      <c:pt idx="3" formatCode="General">
                        <c:v>-19.152727272727272</c:v>
                      </c:pt>
                      <c:pt idx="4" formatCode="General">
                        <c:v>-19.306909090909091</c:v>
                      </c:pt>
                      <c:pt idx="5" formatCode="General">
                        <c:v>-19.143272727272727</c:v>
                      </c:pt>
                      <c:pt idx="6" formatCode="General">
                        <c:v>-19.130301204819279</c:v>
                      </c:pt>
                      <c:pt idx="7" formatCode="General">
                        <c:v>-19.317048192771082</c:v>
                      </c:pt>
                      <c:pt idx="8" formatCode="General">
                        <c:v>-19.369333333333334</c:v>
                      </c:pt>
                      <c:pt idx="9" formatCode="General">
                        <c:v>-19.382181818181817</c:v>
                      </c:pt>
                      <c:pt idx="10" formatCode="General">
                        <c:v>-19.400363636363636</c:v>
                      </c:pt>
                      <c:pt idx="11" formatCode="General">
                        <c:v>-19.418532526475037</c:v>
                      </c:pt>
                      <c:pt idx="12" formatCode="General">
                        <c:v>-19.436686838124054</c:v>
                      </c:pt>
                      <c:pt idx="13" formatCode="General">
                        <c:v>-19.45484114977307</c:v>
                      </c:pt>
                      <c:pt idx="14" formatCode="General">
                        <c:v>-19.472995461422087</c:v>
                      </c:pt>
                      <c:pt idx="15" formatCode="General">
                        <c:v>-19.491149773071104</c:v>
                      </c:pt>
                      <c:pt idx="16" formatCode="General">
                        <c:v>-19.509304084720121</c:v>
                      </c:pt>
                      <c:pt idx="17" formatCode="General">
                        <c:v>-19.527458396369138</c:v>
                      </c:pt>
                      <c:pt idx="18" formatCode="General">
                        <c:v>-19.545636363636362</c:v>
                      </c:pt>
                      <c:pt idx="19" formatCode="General">
                        <c:v>-19.565090909090909</c:v>
                      </c:pt>
                      <c:pt idx="20" formatCode="General">
                        <c:v>-19.589333333333332</c:v>
                      </c:pt>
                      <c:pt idx="21" formatCode="General">
                        <c:v>-19.610181818181818</c:v>
                      </c:pt>
                      <c:pt idx="22" formatCode="General">
                        <c:v>-19.628363636363634</c:v>
                      </c:pt>
                      <c:pt idx="23" formatCode="General">
                        <c:v>-19.542289156626506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-36.464181818181821</c:v>
                      </c:pt>
                      <c:pt idx="3" formatCode="General">
                        <c:v>-35.518848484848483</c:v>
                      </c:pt>
                      <c:pt idx="4" formatCode="General">
                        <c:v>-34.576545454545453</c:v>
                      </c:pt>
                      <c:pt idx="5" formatCode="General">
                        <c:v>-34.158363636363639</c:v>
                      </c:pt>
                      <c:pt idx="6" formatCode="General">
                        <c:v>-33.559939759036148</c:v>
                      </c:pt>
                      <c:pt idx="7" formatCode="General">
                        <c:v>-32.722590361445782</c:v>
                      </c:pt>
                      <c:pt idx="8" formatCode="General">
                        <c:v>-32.114666666666665</c:v>
                      </c:pt>
                      <c:pt idx="9" formatCode="General">
                        <c:v>-31.581818181818182</c:v>
                      </c:pt>
                      <c:pt idx="10" formatCode="General">
                        <c:v>-31.096969696969701</c:v>
                      </c:pt>
                      <c:pt idx="11" formatCode="General">
                        <c:v>-30.656621785173982</c:v>
                      </c:pt>
                      <c:pt idx="12" formatCode="General">
                        <c:v>-30.266455370650533</c:v>
                      </c:pt>
                      <c:pt idx="13" formatCode="General">
                        <c:v>-29.876288956127084</c:v>
                      </c:pt>
                      <c:pt idx="14" formatCode="General">
                        <c:v>-29.486122541603635</c:v>
                      </c:pt>
                      <c:pt idx="15" formatCode="General">
                        <c:v>-29.095956127080186</c:v>
                      </c:pt>
                      <c:pt idx="16" formatCode="General">
                        <c:v>-28.705789712556733</c:v>
                      </c:pt>
                      <c:pt idx="17" formatCode="General">
                        <c:v>-28.315623298033284</c:v>
                      </c:pt>
                      <c:pt idx="18" formatCode="General">
                        <c:v>-27.992575757575761</c:v>
                      </c:pt>
                      <c:pt idx="19" formatCode="General">
                        <c:v>-27.684527272727273</c:v>
                      </c:pt>
                      <c:pt idx="20" formatCode="General">
                        <c:v>-27.3918</c:v>
                      </c:pt>
                      <c:pt idx="21" formatCode="General">
                        <c:v>-27.115363636363636</c:v>
                      </c:pt>
                      <c:pt idx="22" formatCode="General">
                        <c:v>-26.85172727272727</c:v>
                      </c:pt>
                      <c:pt idx="23" formatCode="General">
                        <c:v>-26.744126506024095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-33.02028593040847</c:v>
                      </c:pt>
                      <c:pt idx="65" formatCode="General">
                        <c:v>-33.16173827534039</c:v>
                      </c:pt>
                      <c:pt idx="66" formatCode="General">
                        <c:v>-33.303190620272311</c:v>
                      </c:pt>
                      <c:pt idx="67" formatCode="General">
                        <c:v>-33.444642965204238</c:v>
                      </c:pt>
                      <c:pt idx="68" formatCode="General">
                        <c:v>-33.586095310136159</c:v>
                      </c:pt>
                      <c:pt idx="69" formatCode="General">
                        <c:v>-33.727547655068079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-19.02</c:v>
                      </c:pt>
                      <c:pt idx="1">
                        <c:v>-19.02</c:v>
                      </c:pt>
                      <c:pt idx="2" formatCode="General">
                        <c:v>-19.02</c:v>
                      </c:pt>
                      <c:pt idx="3" formatCode="General">
                        <c:v>-19.152727272727272</c:v>
                      </c:pt>
                      <c:pt idx="4" formatCode="General">
                        <c:v>-19.306909090909091</c:v>
                      </c:pt>
                      <c:pt idx="5" formatCode="General">
                        <c:v>-19.143272727272727</c:v>
                      </c:pt>
                      <c:pt idx="6" formatCode="General">
                        <c:v>-19.130301204819279</c:v>
                      </c:pt>
                      <c:pt idx="7" formatCode="General">
                        <c:v>-19.317048192771082</c:v>
                      </c:pt>
                      <c:pt idx="8" formatCode="General">
                        <c:v>-19.369333333333334</c:v>
                      </c:pt>
                      <c:pt idx="9" formatCode="General">
                        <c:v>-19.382181818181817</c:v>
                      </c:pt>
                      <c:pt idx="10" formatCode="General">
                        <c:v>-19.400363636363636</c:v>
                      </c:pt>
                      <c:pt idx="11" formatCode="General">
                        <c:v>-19.418532526475037</c:v>
                      </c:pt>
                      <c:pt idx="12" formatCode="General">
                        <c:v>-19.436686838124054</c:v>
                      </c:pt>
                      <c:pt idx="13" formatCode="General">
                        <c:v>-19.45484114977307</c:v>
                      </c:pt>
                      <c:pt idx="14" formatCode="General">
                        <c:v>-19.472995461422087</c:v>
                      </c:pt>
                      <c:pt idx="15" formatCode="General">
                        <c:v>-19.491149773071104</c:v>
                      </c:pt>
                      <c:pt idx="16" formatCode="General">
                        <c:v>-19.509304084720121</c:v>
                      </c:pt>
                      <c:pt idx="17" formatCode="General">
                        <c:v>-19.527458396369138</c:v>
                      </c:pt>
                      <c:pt idx="18" formatCode="General">
                        <c:v>-19.545636363636362</c:v>
                      </c:pt>
                      <c:pt idx="19" formatCode="General">
                        <c:v>-19.565090909090909</c:v>
                      </c:pt>
                      <c:pt idx="20" formatCode="General">
                        <c:v>-19.589333333333332</c:v>
                      </c:pt>
                      <c:pt idx="21" formatCode="General">
                        <c:v>-19.610181818181818</c:v>
                      </c:pt>
                      <c:pt idx="22" formatCode="General">
                        <c:v>-19.628363636363634</c:v>
                      </c:pt>
                      <c:pt idx="23" formatCode="General">
                        <c:v>-19.542289156626506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-21.105757575757575</c:v>
                      </c:pt>
                      <c:pt idx="1">
                        <c:v>-20.527333333333335</c:v>
                      </c:pt>
                      <c:pt idx="2" formatCode="General">
                        <c:v>-19.994</c:v>
                      </c:pt>
                      <c:pt idx="3" formatCode="General">
                        <c:v>-19.721696969696971</c:v>
                      </c:pt>
                      <c:pt idx="4" formatCode="General">
                        <c:v>-19.592969696969696</c:v>
                      </c:pt>
                      <c:pt idx="5" formatCode="General">
                        <c:v>-20.005090909090907</c:v>
                      </c:pt>
                      <c:pt idx="6" formatCode="General">
                        <c:v>-20.188192771084335</c:v>
                      </c:pt>
                      <c:pt idx="7" formatCode="General">
                        <c:v>-20.067710843373494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-60.236787878787872</c:v>
                      </c:pt>
                      <c:pt idx="1">
                        <c:v>-58.907818181818179</c:v>
                      </c:pt>
                      <c:pt idx="2" formatCode="General">
                        <c:v>-57.744181818181815</c:v>
                      </c:pt>
                      <c:pt idx="3" formatCode="General">
                        <c:v>-56.770787878787878</c:v>
                      </c:pt>
                      <c:pt idx="4" formatCode="General">
                        <c:v>-55.919636363636364</c:v>
                      </c:pt>
                      <c:pt idx="5" formatCode="General">
                        <c:v>-55.665090909090907</c:v>
                      </c:pt>
                      <c:pt idx="6" formatCode="General">
                        <c:v>-55.214337349397596</c:v>
                      </c:pt>
                      <c:pt idx="7" formatCode="General">
                        <c:v>-54.503493975903616</c:v>
                      </c:pt>
                      <c:pt idx="8" formatCode="General">
                        <c:v>-53.92</c:v>
                      </c:pt>
                      <c:pt idx="9" formatCode="General">
                        <c:v>-53.390327272727269</c:v>
                      </c:pt>
                      <c:pt idx="10" formatCode="General">
                        <c:v>-52.976387878787875</c:v>
                      </c:pt>
                      <c:pt idx="11" formatCode="General">
                        <c:v>-52.647143721633888</c:v>
                      </c:pt>
                      <c:pt idx="12" formatCode="General">
                        <c:v>-52.413406959152795</c:v>
                      </c:pt>
                      <c:pt idx="13" formatCode="General">
                        <c:v>-52.179670196671708</c:v>
                      </c:pt>
                      <c:pt idx="14" formatCode="General">
                        <c:v>-51.945933434190614</c:v>
                      </c:pt>
                      <c:pt idx="15" formatCode="General">
                        <c:v>-51.712196671709528</c:v>
                      </c:pt>
                      <c:pt idx="16" formatCode="General">
                        <c:v>-51.478459909228441</c:v>
                      </c:pt>
                      <c:pt idx="17" formatCode="General">
                        <c:v>-51.244723146747347</c:v>
                      </c:pt>
                      <c:pt idx="18" formatCode="General">
                        <c:v>-51.166654545454541</c:v>
                      </c:pt>
                      <c:pt idx="19" formatCode="General">
                        <c:v>-51.135054545454544</c:v>
                      </c:pt>
                      <c:pt idx="20" formatCode="General">
                        <c:v>-51.182933333333331</c:v>
                      </c:pt>
                      <c:pt idx="21" formatCode="General">
                        <c:v>-51.28070303030303</c:v>
                      </c:pt>
                      <c:pt idx="22" formatCode="General">
                        <c:v>-51.417672727272731</c:v>
                      </c:pt>
                      <c:pt idx="23" formatCode="General">
                        <c:v>-51.628993975903619</c:v>
                      </c:pt>
                      <c:pt idx="24" formatCode="General">
                        <c:v>-51.862848484848492</c:v>
                      </c:pt>
                      <c:pt idx="25" formatCode="General">
                        <c:v>-52.142242424242433</c:v>
                      </c:pt>
                      <c:pt idx="26" formatCode="General">
                        <c:v>-52.432545454545455</c:v>
                      </c:pt>
                      <c:pt idx="27" formatCode="General">
                        <c:v>-52.730121212121212</c:v>
                      </c:pt>
                      <c:pt idx="28" formatCode="General">
                        <c:v>-53.034606060606059</c:v>
                      </c:pt>
                      <c:pt idx="29" formatCode="General">
                        <c:v>-53.343454545454541</c:v>
                      </c:pt>
                      <c:pt idx="30" formatCode="General">
                        <c:v>-53.661636363636369</c:v>
                      </c:pt>
                      <c:pt idx="31" formatCode="General">
                        <c:v>-53.972818456883516</c:v>
                      </c:pt>
                      <c:pt idx="32" formatCode="General">
                        <c:v>-54.280231467473527</c:v>
                      </c:pt>
                      <c:pt idx="33" formatCode="General">
                        <c:v>-54.587644478063538</c:v>
                      </c:pt>
                      <c:pt idx="34" formatCode="General">
                        <c:v>-54.895057488653556</c:v>
                      </c:pt>
                      <c:pt idx="35" formatCode="General">
                        <c:v>-55.202470499243567</c:v>
                      </c:pt>
                      <c:pt idx="36" formatCode="General">
                        <c:v>-55.509883509833585</c:v>
                      </c:pt>
                      <c:pt idx="37" formatCode="General">
                        <c:v>-55.816757942511344</c:v>
                      </c:pt>
                      <c:pt idx="38" formatCode="General">
                        <c:v>-56.110706505295006</c:v>
                      </c:pt>
                      <c:pt idx="39" formatCode="General">
                        <c:v>-56.404655068078668</c:v>
                      </c:pt>
                      <c:pt idx="40" formatCode="General">
                        <c:v>-56.69860363086233</c:v>
                      </c:pt>
                      <c:pt idx="41" formatCode="General">
                        <c:v>-56.992552193645992</c:v>
                      </c:pt>
                      <c:pt idx="42" formatCode="General">
                        <c:v>-57.286500756429653</c:v>
                      </c:pt>
                      <c:pt idx="43" formatCode="General">
                        <c:v>-57.580449319213315</c:v>
                      </c:pt>
                      <c:pt idx="44" formatCode="General">
                        <c:v>-57.869193645990926</c:v>
                      </c:pt>
                      <c:pt idx="45" formatCode="General">
                        <c:v>-58.15103933434191</c:v>
                      </c:pt>
                      <c:pt idx="46" formatCode="General">
                        <c:v>-58.432885022692894</c:v>
                      </c:pt>
                      <c:pt idx="47" formatCode="General">
                        <c:v>-58.714730711043877</c:v>
                      </c:pt>
                      <c:pt idx="48" formatCode="General">
                        <c:v>-58.996576399394861</c:v>
                      </c:pt>
                      <c:pt idx="49" formatCode="General">
                        <c:v>-59.278422087745845</c:v>
                      </c:pt>
                      <c:pt idx="50" formatCode="General">
                        <c:v>-59.560267776096829</c:v>
                      </c:pt>
                      <c:pt idx="51" formatCode="General">
                        <c:v>-59.834139393939395</c:v>
                      </c:pt>
                      <c:pt idx="52" formatCode="General">
                        <c:v>-60.106260606060609</c:v>
                      </c:pt>
                      <c:pt idx="53" formatCode="General">
                        <c:v>-60.378381818181822</c:v>
                      </c:pt>
                      <c:pt idx="54" formatCode="General">
                        <c:v>-60.650503030303028</c:v>
                      </c:pt>
                      <c:pt idx="55" formatCode="General">
                        <c:v>-60.922624242424241</c:v>
                      </c:pt>
                      <c:pt idx="56" formatCode="General">
                        <c:v>-61.194745454545455</c:v>
                      </c:pt>
                      <c:pt idx="57" formatCode="General">
                        <c:v>-61.46743373493976</c:v>
                      </c:pt>
                      <c:pt idx="58" formatCode="General">
                        <c:v>-61.742132530120479</c:v>
                      </c:pt>
                      <c:pt idx="59" formatCode="General">
                        <c:v>-62.009278787878785</c:v>
                      </c:pt>
                      <c:pt idx="60" formatCode="General">
                        <c:v>-62.27049090909091</c:v>
                      </c:pt>
                      <c:pt idx="61" formatCode="General">
                        <c:v>-62.539975757575753</c:v>
                      </c:pt>
                      <c:pt idx="62" formatCode="General">
                        <c:v>-62.809648484848481</c:v>
                      </c:pt>
                      <c:pt idx="63" formatCode="General">
                        <c:v>-63.077527272727274</c:v>
                      </c:pt>
                      <c:pt idx="64" formatCode="General">
                        <c:v>-63.33999092284418</c:v>
                      </c:pt>
                      <c:pt idx="65" formatCode="General">
                        <c:v>-63.598992435703479</c:v>
                      </c:pt>
                      <c:pt idx="66" formatCode="General">
                        <c:v>-63.857993948562786</c:v>
                      </c:pt>
                      <c:pt idx="67" formatCode="General">
                        <c:v>-64.116995461422093</c:v>
                      </c:pt>
                      <c:pt idx="68" formatCode="General">
                        <c:v>-64.375996974281392</c:v>
                      </c:pt>
                      <c:pt idx="69" formatCode="General">
                        <c:v>-64.634998487140706</c:v>
                      </c:pt>
                      <c:pt idx="70" formatCode="General">
                        <c:v>-64.894000000000005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-143.49206060606059</c:v>
                      </c:pt>
                      <c:pt idx="1">
                        <c:v>-138.9310909090909</c:v>
                      </c:pt>
                      <c:pt idx="2" formatCode="General">
                        <c:v>-134.51290909090909</c:v>
                      </c:pt>
                      <c:pt idx="3" formatCode="General">
                        <c:v>-130.23187878787877</c:v>
                      </c:pt>
                      <c:pt idx="4" formatCode="General">
                        <c:v>-125.95890909090909</c:v>
                      </c:pt>
                      <c:pt idx="5" formatCode="General">
                        <c:v>-121.19527272727272</c:v>
                      </c:pt>
                      <c:pt idx="6" formatCode="General">
                        <c:v>-116.98277108433736</c:v>
                      </c:pt>
                      <c:pt idx="7" formatCode="General">
                        <c:v>-113.50084337349398</c:v>
                      </c:pt>
                      <c:pt idx="8" formatCode="General">
                        <c:v>-110.11933333333334</c:v>
                      </c:pt>
                      <c:pt idx="9" formatCode="General">
                        <c:v>-106.78672727272728</c:v>
                      </c:pt>
                      <c:pt idx="10" formatCode="General">
                        <c:v>-103.59278787878789</c:v>
                      </c:pt>
                      <c:pt idx="11" formatCode="General">
                        <c:v>-100.63860816944025</c:v>
                      </c:pt>
                      <c:pt idx="12" formatCode="General">
                        <c:v>-97.954795763993957</c:v>
                      </c:pt>
                      <c:pt idx="13" formatCode="General">
                        <c:v>-95.270983358547653</c:v>
                      </c:pt>
                      <c:pt idx="14" formatCode="General">
                        <c:v>-92.587170953101364</c:v>
                      </c:pt>
                      <c:pt idx="15" formatCode="General">
                        <c:v>-89.90335854765506</c:v>
                      </c:pt>
                      <c:pt idx="16" formatCode="General">
                        <c:v>-87.21954614220877</c:v>
                      </c:pt>
                      <c:pt idx="17" formatCode="General">
                        <c:v>-84.535733736762467</c:v>
                      </c:pt>
                      <c:pt idx="18" formatCode="General">
                        <c:v>-82.314909090909083</c:v>
                      </c:pt>
                      <c:pt idx="19" formatCode="General">
                        <c:v>-80.208909090909088</c:v>
                      </c:pt>
                      <c:pt idx="20" formatCode="General">
                        <c:v>-78.251333333333335</c:v>
                      </c:pt>
                      <c:pt idx="21" formatCode="General">
                        <c:v>-76.354848484848489</c:v>
                      </c:pt>
                      <c:pt idx="22" formatCode="General">
                        <c:v>-74.506363636363631</c:v>
                      </c:pt>
                      <c:pt idx="23" formatCode="General">
                        <c:v>-72.788614457831329</c:v>
                      </c:pt>
                      <c:pt idx="24" formatCode="General">
                        <c:v>-71.108484848484849</c:v>
                      </c:pt>
                      <c:pt idx="25" formatCode="General">
                        <c:v>-69.50242424242424</c:v>
                      </c:pt>
                      <c:pt idx="26" formatCode="General">
                        <c:v>-67.976363636363644</c:v>
                      </c:pt>
                      <c:pt idx="27" formatCode="General">
                        <c:v>-66.503636363636375</c:v>
                      </c:pt>
                      <c:pt idx="28" formatCode="General">
                        <c:v>-65.157575757575756</c:v>
                      </c:pt>
                      <c:pt idx="29" formatCode="General">
                        <c:v>-63.856363636363632</c:v>
                      </c:pt>
                      <c:pt idx="30" formatCode="General">
                        <c:v>-62.644242424242421</c:v>
                      </c:pt>
                      <c:pt idx="31" formatCode="General">
                        <c:v>-61.562133131618758</c:v>
                      </c:pt>
                      <c:pt idx="32" formatCode="General">
                        <c:v>-60.55003025718608</c:v>
                      </c:pt>
                      <c:pt idx="33" formatCode="General">
                        <c:v>-59.537927382753402</c:v>
                      </c:pt>
                      <c:pt idx="34" formatCode="General">
                        <c:v>-58.525824508320724</c:v>
                      </c:pt>
                      <c:pt idx="35" formatCode="General">
                        <c:v>-57.513721633888053</c:v>
                      </c:pt>
                      <c:pt idx="36" formatCode="General">
                        <c:v>-56.501618759455376</c:v>
                      </c:pt>
                      <c:pt idx="37" formatCode="General">
                        <c:v>-55.49774583963692</c:v>
                      </c:pt>
                      <c:pt idx="38" formatCode="General">
                        <c:v>-54.691391830559759</c:v>
                      </c:pt>
                      <c:pt idx="39" formatCode="General">
                        <c:v>-53.885037821482605</c:v>
                      </c:pt>
                      <c:pt idx="40" formatCode="General">
                        <c:v>-53.078683812405451</c:v>
                      </c:pt>
                      <c:pt idx="41" formatCode="General">
                        <c:v>-52.272329803328297</c:v>
                      </c:pt>
                      <c:pt idx="42" formatCode="General">
                        <c:v>-51.465975794251143</c:v>
                      </c:pt>
                      <c:pt idx="43" formatCode="General">
                        <c:v>-50.659621785173982</c:v>
                      </c:pt>
                      <c:pt idx="44" formatCode="General">
                        <c:v>-49.940438729198192</c:v>
                      </c:pt>
                      <c:pt idx="45" formatCode="General">
                        <c:v>-49.336807866868384</c:v>
                      </c:pt>
                      <c:pt idx="46" formatCode="General">
                        <c:v>-48.733177004538582</c:v>
                      </c:pt>
                      <c:pt idx="47" formatCode="General">
                        <c:v>-48.129546142208774</c:v>
                      </c:pt>
                      <c:pt idx="48" formatCode="General">
                        <c:v>-47.525915279878973</c:v>
                      </c:pt>
                      <c:pt idx="49" formatCode="General">
                        <c:v>-46.922284417549164</c:v>
                      </c:pt>
                      <c:pt idx="50" formatCode="General">
                        <c:v>-46.318653555219363</c:v>
                      </c:pt>
                      <c:pt idx="51" formatCode="General">
                        <c:v>-46.0000303030303</c:v>
                      </c:pt>
                      <c:pt idx="52" formatCode="General">
                        <c:v>-45.743969696969693</c:v>
                      </c:pt>
                      <c:pt idx="53" formatCode="General">
                        <c:v>-45.487909090909092</c:v>
                      </c:pt>
                      <c:pt idx="54" formatCode="General">
                        <c:v>-45.231848484848484</c:v>
                      </c:pt>
                      <c:pt idx="55" formatCode="General">
                        <c:v>-44.975787878787877</c:v>
                      </c:pt>
                      <c:pt idx="56" formatCode="General">
                        <c:v>-44.719727272727269</c:v>
                      </c:pt>
                      <c:pt idx="57" formatCode="General">
                        <c:v>-44.517879518072284</c:v>
                      </c:pt>
                      <c:pt idx="58" formatCode="General">
                        <c:v>-44.508240963855421</c:v>
                      </c:pt>
                      <c:pt idx="59" formatCode="General">
                        <c:v>-44.531830303030304</c:v>
                      </c:pt>
                      <c:pt idx="60" formatCode="General">
                        <c:v>-44.581527272727271</c:v>
                      </c:pt>
                      <c:pt idx="61" formatCode="General">
                        <c:v>-44.676448484848486</c:v>
                      </c:pt>
                      <c:pt idx="62" formatCode="General">
                        <c:v>-44.783090909090909</c:v>
                      </c:pt>
                      <c:pt idx="63" formatCode="General">
                        <c:v>-44.910363636363634</c:v>
                      </c:pt>
                      <c:pt idx="64" formatCode="General">
                        <c:v>-45.051730711043874</c:v>
                      </c:pt>
                      <c:pt idx="65" formatCode="General">
                        <c:v>-45.202108925869894</c:v>
                      </c:pt>
                      <c:pt idx="66" formatCode="General">
                        <c:v>-45.352487140695914</c:v>
                      </c:pt>
                      <c:pt idx="67" formatCode="General">
                        <c:v>-45.502865355521941</c:v>
                      </c:pt>
                      <c:pt idx="68" formatCode="General">
                        <c:v>-45.653243570347961</c:v>
                      </c:pt>
                      <c:pt idx="69" formatCode="General">
                        <c:v>-45.803621785173981</c:v>
                      </c:pt>
                      <c:pt idx="70" formatCode="General">
                        <c:v>-45.954000000000001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-18.888727272727273</c:v>
                      </c:pt>
                      <c:pt idx="1">
                        <c:v>-18.91151515151515</c:v>
                      </c:pt>
                      <c:pt idx="2" formatCode="General">
                        <c:v>-18.941818181818181</c:v>
                      </c:pt>
                      <c:pt idx="3" formatCode="General">
                        <c:v>-18.976545454545455</c:v>
                      </c:pt>
                      <c:pt idx="4" formatCode="General">
                        <c:v>-19.008545454545455</c:v>
                      </c:pt>
                      <c:pt idx="5" formatCode="General">
                        <c:v>-18.990363636363636</c:v>
                      </c:pt>
                      <c:pt idx="6" formatCode="General">
                        <c:v>-18.995542168674699</c:v>
                      </c:pt>
                      <c:pt idx="7" formatCode="General">
                        <c:v>-19.031686746987951</c:v>
                      </c:pt>
                      <c:pt idx="8" formatCode="General">
                        <c:v>-19.063333333333333</c:v>
                      </c:pt>
                      <c:pt idx="9" formatCode="General">
                        <c:v>-19.093636363636364</c:v>
                      </c:pt>
                      <c:pt idx="10" formatCode="General">
                        <c:v>-19.123939393939395</c:v>
                      </c:pt>
                      <c:pt idx="11" formatCode="General">
                        <c:v>-19.142844175491678</c:v>
                      </c:pt>
                      <c:pt idx="12" formatCode="General">
                        <c:v>-19.148895612708017</c:v>
                      </c:pt>
                      <c:pt idx="13" formatCode="General">
                        <c:v>-19.154947049924356</c:v>
                      </c:pt>
                      <c:pt idx="14" formatCode="General">
                        <c:v>-19.160998487140695</c:v>
                      </c:pt>
                      <c:pt idx="15" formatCode="General">
                        <c:v>-19.167049924357034</c:v>
                      </c:pt>
                      <c:pt idx="16" formatCode="General">
                        <c:v>-19.173101361573373</c:v>
                      </c:pt>
                      <c:pt idx="17" formatCode="General">
                        <c:v>-19.179152798789712</c:v>
                      </c:pt>
                      <c:pt idx="18" formatCode="General">
                        <c:v>-19.153939393939392</c:v>
                      </c:pt>
                      <c:pt idx="19" formatCode="General">
                        <c:v>-19.123636363636361</c:v>
                      </c:pt>
                      <c:pt idx="20" formatCode="General">
                        <c:v>-19.09333333333333</c:v>
                      </c:pt>
                      <c:pt idx="21" formatCode="General">
                        <c:v>-19.06642424242424</c:v>
                      </c:pt>
                      <c:pt idx="22" formatCode="General">
                        <c:v>-19.042181818181817</c:v>
                      </c:pt>
                      <c:pt idx="23" formatCode="General">
                        <c:v>-19.034518072289156</c:v>
                      </c:pt>
                      <c:pt idx="24" formatCode="General">
                        <c:v>-19.031515151515151</c:v>
                      </c:pt>
                      <c:pt idx="25" formatCode="General">
                        <c:v>-19.037575757575759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-19.07151515151515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-60.236787878787872</c:v>
                      </c:pt>
                      <c:pt idx="1">
                        <c:v>-58.907818181818179</c:v>
                      </c:pt>
                      <c:pt idx="2" formatCode="General">
                        <c:v>-57.744181818181815</c:v>
                      </c:pt>
                      <c:pt idx="3" formatCode="General">
                        <c:v>-56.770787878787878</c:v>
                      </c:pt>
                      <c:pt idx="4" formatCode="General">
                        <c:v>-55.919636363636364</c:v>
                      </c:pt>
                      <c:pt idx="5" formatCode="General">
                        <c:v>-55.665090909090907</c:v>
                      </c:pt>
                      <c:pt idx="6" formatCode="General">
                        <c:v>-55.214337349397596</c:v>
                      </c:pt>
                      <c:pt idx="7" formatCode="General">
                        <c:v>-54.503493975903616</c:v>
                      </c:pt>
                      <c:pt idx="8" formatCode="General">
                        <c:v>-53.92</c:v>
                      </c:pt>
                      <c:pt idx="9" formatCode="General">
                        <c:v>-53.390327272727269</c:v>
                      </c:pt>
                      <c:pt idx="10" formatCode="General">
                        <c:v>-52.976387878787875</c:v>
                      </c:pt>
                      <c:pt idx="11" formatCode="General">
                        <c:v>-52.647143721633888</c:v>
                      </c:pt>
                      <c:pt idx="12" formatCode="General">
                        <c:v>-52.413406959152795</c:v>
                      </c:pt>
                      <c:pt idx="13" formatCode="General">
                        <c:v>-52.179670196671708</c:v>
                      </c:pt>
                      <c:pt idx="14" formatCode="General">
                        <c:v>-51.945933434190614</c:v>
                      </c:pt>
                      <c:pt idx="15" formatCode="General">
                        <c:v>-51.712196671709528</c:v>
                      </c:pt>
                      <c:pt idx="16" formatCode="General">
                        <c:v>-51.478459909228441</c:v>
                      </c:pt>
                      <c:pt idx="17" formatCode="General">
                        <c:v>-51.244723146747347</c:v>
                      </c:pt>
                      <c:pt idx="18" formatCode="General">
                        <c:v>-51.166654545454541</c:v>
                      </c:pt>
                      <c:pt idx="19" formatCode="General">
                        <c:v>-51.135054545454544</c:v>
                      </c:pt>
                      <c:pt idx="20" formatCode="General">
                        <c:v>-51.182933333333331</c:v>
                      </c:pt>
                      <c:pt idx="21" formatCode="General">
                        <c:v>-51.28070303030303</c:v>
                      </c:pt>
                      <c:pt idx="22" formatCode="General">
                        <c:v>-51.417672727272731</c:v>
                      </c:pt>
                      <c:pt idx="23" formatCode="General">
                        <c:v>-51.628993975903619</c:v>
                      </c:pt>
                      <c:pt idx="24" formatCode="General">
                        <c:v>-51.862848484848492</c:v>
                      </c:pt>
                      <c:pt idx="25" formatCode="General">
                        <c:v>-52.142242424242433</c:v>
                      </c:pt>
                      <c:pt idx="26" formatCode="General">
                        <c:v>-52.432545454545455</c:v>
                      </c:pt>
                      <c:pt idx="27" formatCode="General">
                        <c:v>-52.730121212121212</c:v>
                      </c:pt>
                      <c:pt idx="28" formatCode="General">
                        <c:v>-53.034606060606059</c:v>
                      </c:pt>
                      <c:pt idx="29" formatCode="General">
                        <c:v>-53.343454545454541</c:v>
                      </c:pt>
                      <c:pt idx="30" formatCode="General">
                        <c:v>-53.661636363636369</c:v>
                      </c:pt>
                      <c:pt idx="31" formatCode="General">
                        <c:v>-53.972818456883516</c:v>
                      </c:pt>
                      <c:pt idx="32" formatCode="General">
                        <c:v>-54.280231467473527</c:v>
                      </c:pt>
                      <c:pt idx="33" formatCode="General">
                        <c:v>-54.587644478063538</c:v>
                      </c:pt>
                      <c:pt idx="34" formatCode="General">
                        <c:v>-54.895057488653556</c:v>
                      </c:pt>
                      <c:pt idx="35" formatCode="General">
                        <c:v>-55.202470499243567</c:v>
                      </c:pt>
                      <c:pt idx="36" formatCode="General">
                        <c:v>-55.509883509833585</c:v>
                      </c:pt>
                      <c:pt idx="37" formatCode="General">
                        <c:v>-55.816757942511344</c:v>
                      </c:pt>
                      <c:pt idx="38" formatCode="General">
                        <c:v>-56.110706505295006</c:v>
                      </c:pt>
                      <c:pt idx="39" formatCode="General">
                        <c:v>-56.404655068078668</c:v>
                      </c:pt>
                      <c:pt idx="40" formatCode="General">
                        <c:v>-56.69860363086233</c:v>
                      </c:pt>
                      <c:pt idx="41" formatCode="General">
                        <c:v>-56.992552193645992</c:v>
                      </c:pt>
                      <c:pt idx="42" formatCode="General">
                        <c:v>-57.286500756429653</c:v>
                      </c:pt>
                      <c:pt idx="43" formatCode="General">
                        <c:v>-57.580449319213315</c:v>
                      </c:pt>
                      <c:pt idx="44" formatCode="General">
                        <c:v>-57.869193645990926</c:v>
                      </c:pt>
                      <c:pt idx="45" formatCode="General">
                        <c:v>-58.15103933434191</c:v>
                      </c:pt>
                      <c:pt idx="46" formatCode="General">
                        <c:v>-58.432885022692894</c:v>
                      </c:pt>
                      <c:pt idx="47" formatCode="General">
                        <c:v>-58.714730711043877</c:v>
                      </c:pt>
                      <c:pt idx="48" formatCode="General">
                        <c:v>-58.996576399394861</c:v>
                      </c:pt>
                      <c:pt idx="49" formatCode="General">
                        <c:v>-59.278422087745845</c:v>
                      </c:pt>
                      <c:pt idx="50" formatCode="General">
                        <c:v>-59.560267776096829</c:v>
                      </c:pt>
                      <c:pt idx="51" formatCode="General">
                        <c:v>-59.834139393939395</c:v>
                      </c:pt>
                      <c:pt idx="52" formatCode="General">
                        <c:v>-60.106260606060609</c:v>
                      </c:pt>
                      <c:pt idx="53" formatCode="General">
                        <c:v>-60.378381818181822</c:v>
                      </c:pt>
                      <c:pt idx="54" formatCode="General">
                        <c:v>-60.650503030303028</c:v>
                      </c:pt>
                      <c:pt idx="55" formatCode="General">
                        <c:v>-60.922624242424241</c:v>
                      </c:pt>
                      <c:pt idx="56" formatCode="General">
                        <c:v>-61.194745454545455</c:v>
                      </c:pt>
                      <c:pt idx="57" formatCode="General">
                        <c:v>-61.46743373493976</c:v>
                      </c:pt>
                      <c:pt idx="58" formatCode="General">
                        <c:v>-61.742132530120479</c:v>
                      </c:pt>
                      <c:pt idx="59" formatCode="General">
                        <c:v>-62.009278787878785</c:v>
                      </c:pt>
                      <c:pt idx="60" formatCode="General">
                        <c:v>-62.27049090909091</c:v>
                      </c:pt>
                      <c:pt idx="61" formatCode="General">
                        <c:v>-62.539975757575753</c:v>
                      </c:pt>
                      <c:pt idx="62" formatCode="General">
                        <c:v>-62.809648484848481</c:v>
                      </c:pt>
                      <c:pt idx="63" formatCode="General">
                        <c:v>-63.077527272727274</c:v>
                      </c:pt>
                      <c:pt idx="64" formatCode="General">
                        <c:v>-63.33999092284418</c:v>
                      </c:pt>
                      <c:pt idx="65" formatCode="General">
                        <c:v>-63.598992435703479</c:v>
                      </c:pt>
                      <c:pt idx="66" formatCode="General">
                        <c:v>-63.857993948562786</c:v>
                      </c:pt>
                      <c:pt idx="67" formatCode="General">
                        <c:v>-64.116995461422093</c:v>
                      </c:pt>
                      <c:pt idx="68" formatCode="General">
                        <c:v>-64.375996974281392</c:v>
                      </c:pt>
                      <c:pt idx="69" formatCode="General">
                        <c:v>-64.634998487140706</c:v>
                      </c:pt>
                      <c:pt idx="70" formatCode="General">
                        <c:v>-64.894000000000005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-38.512484848484846</c:v>
                      </c:pt>
                      <c:pt idx="1">
                        <c:v>-37.55684848484848</c:v>
                      </c:pt>
                      <c:pt idx="2" formatCode="General">
                        <c:v>-36.653818181818181</c:v>
                      </c:pt>
                      <c:pt idx="3" formatCode="General">
                        <c:v>-35.821575757575751</c:v>
                      </c:pt>
                      <c:pt idx="4" formatCode="General">
                        <c:v>-35.031515151515151</c:v>
                      </c:pt>
                      <c:pt idx="5" formatCode="General">
                        <c:v>-34.425454545454542</c:v>
                      </c:pt>
                      <c:pt idx="6" formatCode="General">
                        <c:v>-33.800240963855423</c:v>
                      </c:pt>
                      <c:pt idx="7" formatCode="General">
                        <c:v>-33.149638554216871</c:v>
                      </c:pt>
                      <c:pt idx="8" formatCode="General">
                        <c:v>-32.556666666666665</c:v>
                      </c:pt>
                      <c:pt idx="9" formatCode="General">
                        <c:v>-31.989418181818181</c:v>
                      </c:pt>
                      <c:pt idx="10" formatCode="General">
                        <c:v>-31.484569696969697</c:v>
                      </c:pt>
                      <c:pt idx="11" formatCode="General">
                        <c:v>-31.045993948562781</c:v>
                      </c:pt>
                      <c:pt idx="12" formatCode="General">
                        <c:v>-30.682151285930406</c:v>
                      </c:pt>
                      <c:pt idx="13" formatCode="General">
                        <c:v>-30.31830862329803</c:v>
                      </c:pt>
                      <c:pt idx="14" formatCode="General">
                        <c:v>-29.954465960665654</c:v>
                      </c:pt>
                      <c:pt idx="15" formatCode="General">
                        <c:v>-29.590623298033279</c:v>
                      </c:pt>
                      <c:pt idx="16" formatCode="General">
                        <c:v>-29.226780635400907</c:v>
                      </c:pt>
                      <c:pt idx="17" formatCode="General">
                        <c:v>-28.862937972768528</c:v>
                      </c:pt>
                      <c:pt idx="18" formatCode="General">
                        <c:v>-28.662412121212121</c:v>
                      </c:pt>
                      <c:pt idx="19" formatCode="General">
                        <c:v>-28.51087272727273</c:v>
                      </c:pt>
                      <c:pt idx="20" formatCode="General">
                        <c:v>-28.4436</c:v>
                      </c:pt>
                      <c:pt idx="21" formatCode="General">
                        <c:v>-28.426218181818179</c:v>
                      </c:pt>
                      <c:pt idx="22" formatCode="General">
                        <c:v>-28.448036363636362</c:v>
                      </c:pt>
                      <c:pt idx="23" formatCode="General">
                        <c:v>-28.533873493975904</c:v>
                      </c:pt>
                      <c:pt idx="24" formatCode="General">
                        <c:v>-28.638000000000002</c:v>
                      </c:pt>
                      <c:pt idx="25" formatCode="General">
                        <c:v>-28.778000000000002</c:v>
                      </c:pt>
                      <c:pt idx="26" formatCode="General">
                        <c:v>-28.928909090909091</c:v>
                      </c:pt>
                      <c:pt idx="27" formatCode="General">
                        <c:v>-29.087090909090907</c:v>
                      </c:pt>
                      <c:pt idx="28" formatCode="General">
                        <c:v>-29.252181818181818</c:v>
                      </c:pt>
                      <c:pt idx="29" formatCode="General">
                        <c:v>-29.419818181818179</c:v>
                      </c:pt>
                      <c:pt idx="30" formatCode="General">
                        <c:v>-29.592545454545455</c:v>
                      </c:pt>
                      <c:pt idx="31" formatCode="General">
                        <c:v>-29.761366111951592</c:v>
                      </c:pt>
                      <c:pt idx="32" formatCode="General">
                        <c:v>-29.928083207261729</c:v>
                      </c:pt>
                      <c:pt idx="33" formatCode="General">
                        <c:v>-30.094800302571862</c:v>
                      </c:pt>
                      <c:pt idx="34" formatCode="General">
                        <c:v>-30.261517397881999</c:v>
                      </c:pt>
                      <c:pt idx="35" formatCode="General">
                        <c:v>-30.428234493192136</c:v>
                      </c:pt>
                      <c:pt idx="36" formatCode="General">
                        <c:v>-30.594951588502273</c:v>
                      </c:pt>
                      <c:pt idx="37" formatCode="General">
                        <c:v>-30.761372163388806</c:v>
                      </c:pt>
                      <c:pt idx="38" formatCode="General">
                        <c:v>-30.920676248108929</c:v>
                      </c:pt>
                      <c:pt idx="39" formatCode="General">
                        <c:v>-31.079980332829049</c:v>
                      </c:pt>
                      <c:pt idx="40" formatCode="General">
                        <c:v>-31.239284417549168</c:v>
                      </c:pt>
                      <c:pt idx="41" formatCode="General">
                        <c:v>-31.398588502269288</c:v>
                      </c:pt>
                      <c:pt idx="42" formatCode="General">
                        <c:v>-31.557892586989411</c:v>
                      </c:pt>
                      <c:pt idx="43" formatCode="General">
                        <c:v>-31.71719667170953</c:v>
                      </c:pt>
                      <c:pt idx="44" formatCode="General">
                        <c:v>-31.87454916792738</c:v>
                      </c:pt>
                      <c:pt idx="45" formatCode="General">
                        <c:v>-32.029314674735247</c:v>
                      </c:pt>
                      <c:pt idx="46" formatCode="General">
                        <c:v>-32.184080181543116</c:v>
                      </c:pt>
                      <c:pt idx="47" formatCode="General">
                        <c:v>-32.338845688350986</c:v>
                      </c:pt>
                      <c:pt idx="48" formatCode="General">
                        <c:v>-32.493611195158856</c:v>
                      </c:pt>
                      <c:pt idx="49" formatCode="General">
                        <c:v>-32.648376701966718</c:v>
                      </c:pt>
                      <c:pt idx="50" formatCode="General">
                        <c:v>-32.803142208774588</c:v>
                      </c:pt>
                      <c:pt idx="51" formatCode="General">
                        <c:v>-32.957230303030308</c:v>
                      </c:pt>
                      <c:pt idx="52" formatCode="General">
                        <c:v>-33.111169696969704</c:v>
                      </c:pt>
                      <c:pt idx="53" formatCode="General">
                        <c:v>-33.265109090909093</c:v>
                      </c:pt>
                      <c:pt idx="54" formatCode="General">
                        <c:v>-33.419048484848489</c:v>
                      </c:pt>
                      <c:pt idx="55" formatCode="General">
                        <c:v>-33.572987878787885</c:v>
                      </c:pt>
                      <c:pt idx="56" formatCode="General">
                        <c:v>-33.726927272727274</c:v>
                      </c:pt>
                      <c:pt idx="57" formatCode="General">
                        <c:v>-33.880927710843373</c:v>
                      </c:pt>
                      <c:pt idx="58" formatCode="General">
                        <c:v>-34.035144578313258</c:v>
                      </c:pt>
                      <c:pt idx="59" formatCode="General">
                        <c:v>-34.184793939393941</c:v>
                      </c:pt>
                      <c:pt idx="60" formatCode="General">
                        <c:v>-34.33085454545455</c:v>
                      </c:pt>
                      <c:pt idx="61" formatCode="General">
                        <c:v>-34.479672727272728</c:v>
                      </c:pt>
                      <c:pt idx="62" formatCode="General">
                        <c:v>-34.628133333333331</c:v>
                      </c:pt>
                      <c:pt idx="63" formatCode="General">
                        <c:v>-34.774799999999999</c:v>
                      </c:pt>
                      <c:pt idx="64" formatCode="General">
                        <c:v>-34.918009077155823</c:v>
                      </c:pt>
                      <c:pt idx="65" formatCode="General">
                        <c:v>-35.059007564296522</c:v>
                      </c:pt>
                      <c:pt idx="66" formatCode="General">
                        <c:v>-35.200006051437214</c:v>
                      </c:pt>
                      <c:pt idx="67" formatCode="General">
                        <c:v>-35.341004538577913</c:v>
                      </c:pt>
                      <c:pt idx="68" formatCode="General">
                        <c:v>-35.482003025718605</c:v>
                      </c:pt>
                      <c:pt idx="69" formatCode="General">
                        <c:v>-35.623001512859304</c:v>
                      </c:pt>
                      <c:pt idx="70" formatCode="General">
                        <c:v>-35.763999999999996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-186.94066666666666</c:v>
                      </c:pt>
                      <c:pt idx="1">
                        <c:v>-181.6330303030303</c:v>
                      </c:pt>
                      <c:pt idx="2" formatCode="General">
                        <c:v>-176.69363636363636</c:v>
                      </c:pt>
                      <c:pt idx="3" formatCode="General">
                        <c:v>-172.13030303030303</c:v>
                      </c:pt>
                      <c:pt idx="4" formatCode="General">
                        <c:v>-167.7351515151515</c:v>
                      </c:pt>
                      <c:pt idx="5" formatCode="General">
                        <c:v>-163.67454545454547</c:v>
                      </c:pt>
                      <c:pt idx="6" formatCode="General">
                        <c:v>-159.8109638554217</c:v>
                      </c:pt>
                      <c:pt idx="7" formatCode="General">
                        <c:v>-156.20855421686747</c:v>
                      </c:pt>
                      <c:pt idx="8" formatCode="General">
                        <c:v>-152.846</c:v>
                      </c:pt>
                      <c:pt idx="9" formatCode="General">
                        <c:v>-149.58854545454545</c:v>
                      </c:pt>
                      <c:pt idx="10" formatCode="General">
                        <c:v>-146.57642424242425</c:v>
                      </c:pt>
                      <c:pt idx="11" formatCode="General">
                        <c:v>-143.84090771558246</c:v>
                      </c:pt>
                      <c:pt idx="12" formatCode="General">
                        <c:v>-141.41730711043874</c:v>
                      </c:pt>
                      <c:pt idx="13" formatCode="General">
                        <c:v>-138.99370650529502</c:v>
                      </c:pt>
                      <c:pt idx="14" formatCode="General">
                        <c:v>-136.57010590015128</c:v>
                      </c:pt>
                      <c:pt idx="15" formatCode="General">
                        <c:v>-134.14650529500756</c:v>
                      </c:pt>
                      <c:pt idx="16" formatCode="General">
                        <c:v>-131.72290468986381</c:v>
                      </c:pt>
                      <c:pt idx="17" formatCode="General">
                        <c:v>-129.29930408472009</c:v>
                      </c:pt>
                      <c:pt idx="18" formatCode="General">
                        <c:v>-127.32339393939394</c:v>
                      </c:pt>
                      <c:pt idx="19" formatCode="General">
                        <c:v>-125.45727272727274</c:v>
                      </c:pt>
                      <c:pt idx="20" formatCode="General">
                        <c:v>-123.73</c:v>
                      </c:pt>
                      <c:pt idx="21" formatCode="General">
                        <c:v>-122.06381818181818</c:v>
                      </c:pt>
                      <c:pt idx="22" formatCode="General">
                        <c:v>-120.44563636363635</c:v>
                      </c:pt>
                      <c:pt idx="23" formatCode="General">
                        <c:v>-118.97885542168675</c:v>
                      </c:pt>
                      <c:pt idx="24" formatCode="General">
                        <c:v>-117.55818181818184</c:v>
                      </c:pt>
                      <c:pt idx="25" formatCode="General">
                        <c:v>-116.23090909090909</c:v>
                      </c:pt>
                      <c:pt idx="26" formatCode="General">
                        <c:v>-114.98363636363636</c:v>
                      </c:pt>
                      <c:pt idx="27" formatCode="General">
                        <c:v>-113.78969696969696</c:v>
                      </c:pt>
                      <c:pt idx="28" formatCode="General">
                        <c:v>-112.72242424242424</c:v>
                      </c:pt>
                      <c:pt idx="29" formatCode="General">
                        <c:v>-111.70363636363636</c:v>
                      </c:pt>
                      <c:pt idx="30" formatCode="General">
                        <c:v>-110.78242424242426</c:v>
                      </c:pt>
                      <c:pt idx="31" formatCode="General">
                        <c:v>-109.98503782148261</c:v>
                      </c:pt>
                      <c:pt idx="32" formatCode="General">
                        <c:v>-109.25432677760969</c:v>
                      </c:pt>
                      <c:pt idx="33" formatCode="General">
                        <c:v>-108.52361573373678</c:v>
                      </c:pt>
                      <c:pt idx="34" formatCode="General">
                        <c:v>-107.79290468986385</c:v>
                      </c:pt>
                      <c:pt idx="35" formatCode="General">
                        <c:v>-107.06219364599093</c:v>
                      </c:pt>
                      <c:pt idx="36" formatCode="General">
                        <c:v>-106.33148260211802</c:v>
                      </c:pt>
                      <c:pt idx="37" formatCode="General">
                        <c:v>-105.60851739788201</c:v>
                      </c:pt>
                      <c:pt idx="38" formatCode="General">
                        <c:v>-105.07145234493193</c:v>
                      </c:pt>
                      <c:pt idx="39" formatCode="General">
                        <c:v>-104.53438729198186</c:v>
                      </c:pt>
                      <c:pt idx="40" formatCode="General">
                        <c:v>-103.99732223903179</c:v>
                      </c:pt>
                      <c:pt idx="41" formatCode="General">
                        <c:v>-103.46025718608171</c:v>
                      </c:pt>
                      <c:pt idx="42" formatCode="General">
                        <c:v>-102.92319213313164</c:v>
                      </c:pt>
                      <c:pt idx="43" formatCode="General">
                        <c:v>-102.38612708018155</c:v>
                      </c:pt>
                      <c:pt idx="44" formatCode="General">
                        <c:v>-101.92972768532528</c:v>
                      </c:pt>
                      <c:pt idx="45" formatCode="General">
                        <c:v>-101.58025718608171</c:v>
                      </c:pt>
                      <c:pt idx="46" formatCode="General">
                        <c:v>-101.23078668683813</c:v>
                      </c:pt>
                      <c:pt idx="47" formatCode="General">
                        <c:v>-100.88131618759456</c:v>
                      </c:pt>
                      <c:pt idx="48" formatCode="General">
                        <c:v>-100.531845688351</c:v>
                      </c:pt>
                      <c:pt idx="49" formatCode="General">
                        <c:v>-100.18237518910742</c:v>
                      </c:pt>
                      <c:pt idx="50" formatCode="General">
                        <c:v>-99.832904689863852</c:v>
                      </c:pt>
                      <c:pt idx="51" formatCode="General">
                        <c:v>-99.75384848484849</c:v>
                      </c:pt>
                      <c:pt idx="52" formatCode="General">
                        <c:v>-99.734151515151524</c:v>
                      </c:pt>
                      <c:pt idx="53" formatCode="General">
                        <c:v>-99.714454545454544</c:v>
                      </c:pt>
                      <c:pt idx="54" formatCode="General">
                        <c:v>-99.694757575757578</c:v>
                      </c:pt>
                      <c:pt idx="55" formatCode="General">
                        <c:v>-99.675060606060597</c:v>
                      </c:pt>
                      <c:pt idx="56" formatCode="General">
                        <c:v>-99.655363636363631</c:v>
                      </c:pt>
                      <c:pt idx="57" formatCode="General">
                        <c:v>-99.690891566265051</c:v>
                      </c:pt>
                      <c:pt idx="58" formatCode="General">
                        <c:v>-99.922216867469871</c:v>
                      </c:pt>
                      <c:pt idx="59" formatCode="General">
                        <c:v>-100.1808</c:v>
                      </c:pt>
                      <c:pt idx="60" formatCode="General">
                        <c:v>-100.46079999999999</c:v>
                      </c:pt>
                      <c:pt idx="61" formatCode="General">
                        <c:v>-100.79705454545453</c:v>
                      </c:pt>
                      <c:pt idx="62" formatCode="General">
                        <c:v>-101.1461212121212</c:v>
                      </c:pt>
                      <c:pt idx="63" formatCode="General">
                        <c:v>-101.51581818181819</c:v>
                      </c:pt>
                      <c:pt idx="64" formatCode="General">
                        <c:v>-101.89569440242059</c:v>
                      </c:pt>
                      <c:pt idx="65" formatCode="General">
                        <c:v>-102.28207866868382</c:v>
                      </c:pt>
                      <c:pt idx="66" formatCode="General">
                        <c:v>-102.66846293494706</c:v>
                      </c:pt>
                      <c:pt idx="67" formatCode="General">
                        <c:v>-103.05484720121029</c:v>
                      </c:pt>
                      <c:pt idx="68" formatCode="General">
                        <c:v>-103.44123146747353</c:v>
                      </c:pt>
                      <c:pt idx="69" formatCode="General">
                        <c:v>-103.82761573373676</c:v>
                      </c:pt>
                      <c:pt idx="70" formatCode="General">
                        <c:v>-104.214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-82.608181818181805</c:v>
                      </c:pt>
                      <c:pt idx="1">
                        <c:v>-80.141030303030306</c:v>
                      </c:pt>
                      <c:pt idx="2" formatCode="General">
                        <c:v>-77.801636363636362</c:v>
                      </c:pt>
                      <c:pt idx="3" formatCode="General">
                        <c:v>-75.590545454545449</c:v>
                      </c:pt>
                      <c:pt idx="4" formatCode="General">
                        <c:v>-73.423515151515147</c:v>
                      </c:pt>
                      <c:pt idx="5" formatCode="General">
                        <c:v>-71.217454545454544</c:v>
                      </c:pt>
                      <c:pt idx="6" formatCode="General">
                        <c:v>-69.198433734939769</c:v>
                      </c:pt>
                      <c:pt idx="7" formatCode="General">
                        <c:v>-67.427349397590362</c:v>
                      </c:pt>
                      <c:pt idx="8" formatCode="General">
                        <c:v>-65.74133333333333</c:v>
                      </c:pt>
                      <c:pt idx="9" formatCode="General">
                        <c:v>-64.093818181818179</c:v>
                      </c:pt>
                      <c:pt idx="10" formatCode="General">
                        <c:v>-62.542303030303032</c:v>
                      </c:pt>
                      <c:pt idx="11" formatCode="General">
                        <c:v>-61.119878971255673</c:v>
                      </c:pt>
                      <c:pt idx="12" formatCode="General">
                        <c:v>-59.843025718608168</c:v>
                      </c:pt>
                      <c:pt idx="13" formatCode="General">
                        <c:v>-58.566172465960662</c:v>
                      </c:pt>
                      <c:pt idx="14" formatCode="General">
                        <c:v>-57.289319213313163</c:v>
                      </c:pt>
                      <c:pt idx="15" formatCode="General">
                        <c:v>-56.012465960665658</c:v>
                      </c:pt>
                      <c:pt idx="16" formatCode="General">
                        <c:v>-54.735612708018152</c:v>
                      </c:pt>
                      <c:pt idx="17" formatCode="General">
                        <c:v>-53.458759455370647</c:v>
                      </c:pt>
                      <c:pt idx="18" formatCode="General">
                        <c:v>-52.409575757575759</c:v>
                      </c:pt>
                      <c:pt idx="19" formatCode="General">
                        <c:v>-51.416545454545449</c:v>
                      </c:pt>
                      <c:pt idx="20" formatCode="General">
                        <c:v>-50.495333333333335</c:v>
                      </c:pt>
                      <c:pt idx="21" formatCode="General">
                        <c:v>-49.604666666666667</c:v>
                      </c:pt>
                      <c:pt idx="22" formatCode="General">
                        <c:v>-48.737999999999992</c:v>
                      </c:pt>
                      <c:pt idx="23" formatCode="General">
                        <c:v>-47.941867469879519</c:v>
                      </c:pt>
                      <c:pt idx="24" formatCode="General">
                        <c:v>-47.166666666666671</c:v>
                      </c:pt>
                      <c:pt idx="25" formatCode="General">
                        <c:v>-46.433333333333337</c:v>
                      </c:pt>
                      <c:pt idx="26" formatCode="General">
                        <c:v>-45.74</c:v>
                      </c:pt>
                      <c:pt idx="27" formatCode="General">
                        <c:v>-45.073333333333331</c:v>
                      </c:pt>
                      <c:pt idx="28" formatCode="General">
                        <c:v>-44.47</c:v>
                      </c:pt>
                      <c:pt idx="29" formatCode="General">
                        <c:v>-43.89</c:v>
                      </c:pt>
                      <c:pt idx="30" formatCode="General">
                        <c:v>-43.356666666666669</c:v>
                      </c:pt>
                      <c:pt idx="31" formatCode="General">
                        <c:v>-42.886792738275339</c:v>
                      </c:pt>
                      <c:pt idx="32" formatCode="General">
                        <c:v>-42.451089258698943</c:v>
                      </c:pt>
                      <c:pt idx="33" formatCode="General">
                        <c:v>-42.015385779122539</c:v>
                      </c:pt>
                      <c:pt idx="34" formatCode="General">
                        <c:v>-41.579682299546143</c:v>
                      </c:pt>
                      <c:pt idx="35" formatCode="General">
                        <c:v>-41.143978819969746</c:v>
                      </c:pt>
                      <c:pt idx="36" formatCode="General">
                        <c:v>-40.708275340393342</c:v>
                      </c:pt>
                      <c:pt idx="37" formatCode="General">
                        <c:v>-40.276565809379726</c:v>
                      </c:pt>
                      <c:pt idx="38" formatCode="General">
                        <c:v>-39.940711043872923</c:v>
                      </c:pt>
                      <c:pt idx="39" formatCode="General">
                        <c:v>-39.604856278366114</c:v>
                      </c:pt>
                      <c:pt idx="40" formatCode="General">
                        <c:v>-39.269001512859305</c:v>
                      </c:pt>
                      <c:pt idx="41" formatCode="General">
                        <c:v>-38.933146747352495</c:v>
                      </c:pt>
                      <c:pt idx="42" formatCode="General">
                        <c:v>-38.597291981845693</c:v>
                      </c:pt>
                      <c:pt idx="43" formatCode="General">
                        <c:v>-38.261437216338884</c:v>
                      </c:pt>
                      <c:pt idx="44" formatCode="General">
                        <c:v>-37.967541603630863</c:v>
                      </c:pt>
                      <c:pt idx="45" formatCode="General">
                        <c:v>-37.72926626323752</c:v>
                      </c:pt>
                      <c:pt idx="46" formatCode="General">
                        <c:v>-37.490990922844176</c:v>
                      </c:pt>
                      <c:pt idx="47" formatCode="General">
                        <c:v>-37.252715582450833</c:v>
                      </c:pt>
                      <c:pt idx="48" formatCode="General">
                        <c:v>-37.014440242057489</c:v>
                      </c:pt>
                      <c:pt idx="49" formatCode="General">
                        <c:v>-36.776164901664146</c:v>
                      </c:pt>
                      <c:pt idx="50" formatCode="General">
                        <c:v>-36.537889561270802</c:v>
                      </c:pt>
                      <c:pt idx="51" formatCode="General">
                        <c:v>-36.438469696969698</c:v>
                      </c:pt>
                      <c:pt idx="52" formatCode="General">
                        <c:v>-36.369530303030302</c:v>
                      </c:pt>
                      <c:pt idx="53" formatCode="General">
                        <c:v>-36.300590909090914</c:v>
                      </c:pt>
                      <c:pt idx="54" formatCode="General">
                        <c:v>-36.231651515151519</c:v>
                      </c:pt>
                      <c:pt idx="55" formatCode="General">
                        <c:v>-36.162712121212124</c:v>
                      </c:pt>
                      <c:pt idx="56" formatCode="General">
                        <c:v>-36.093772727272729</c:v>
                      </c:pt>
                      <c:pt idx="57" formatCode="General">
                        <c:v>-36.052192771084336</c:v>
                      </c:pt>
                      <c:pt idx="58" formatCode="General">
                        <c:v>-36.107614457831332</c:v>
                      </c:pt>
                      <c:pt idx="59" formatCode="General">
                        <c:v>-36.178157575757581</c:v>
                      </c:pt>
                      <c:pt idx="60" formatCode="General">
                        <c:v>-36.260581818181819</c:v>
                      </c:pt>
                      <c:pt idx="61" formatCode="General">
                        <c:v>-36.368375757575762</c:v>
                      </c:pt>
                      <c:pt idx="62" formatCode="General">
                        <c:v>-36.482303030303036</c:v>
                      </c:pt>
                      <c:pt idx="63" formatCode="General">
                        <c:v>-36.606545454545454</c:v>
                      </c:pt>
                      <c:pt idx="64" formatCode="General">
                        <c:v>-36.736856278366112</c:v>
                      </c:pt>
                      <c:pt idx="65" formatCode="General">
                        <c:v>-36.871046898638426</c:v>
                      </c:pt>
                      <c:pt idx="66" formatCode="General">
                        <c:v>-37.005237518910739</c:v>
                      </c:pt>
                      <c:pt idx="67" formatCode="General">
                        <c:v>-37.13942813918306</c:v>
                      </c:pt>
                      <c:pt idx="68" formatCode="General">
                        <c:v>-37.273618759455374</c:v>
                      </c:pt>
                      <c:pt idx="69" formatCode="General">
                        <c:v>-37.407809379727688</c:v>
                      </c:pt>
                      <c:pt idx="70" formatCode="General">
                        <c:v>-37.542000000000002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-143.49206060606059</c:v>
                      </c:pt>
                      <c:pt idx="1">
                        <c:v>-138.9310909090909</c:v>
                      </c:pt>
                      <c:pt idx="2" formatCode="General">
                        <c:v>-134.51290909090909</c:v>
                      </c:pt>
                      <c:pt idx="3" formatCode="General">
                        <c:v>-130.23187878787877</c:v>
                      </c:pt>
                      <c:pt idx="4" formatCode="General">
                        <c:v>-125.95890909090909</c:v>
                      </c:pt>
                      <c:pt idx="5" formatCode="General">
                        <c:v>-121.19527272727272</c:v>
                      </c:pt>
                      <c:pt idx="6" formatCode="General">
                        <c:v>-116.98277108433736</c:v>
                      </c:pt>
                      <c:pt idx="7" formatCode="General">
                        <c:v>-113.50084337349398</c:v>
                      </c:pt>
                      <c:pt idx="8" formatCode="General">
                        <c:v>-110.11933333333334</c:v>
                      </c:pt>
                      <c:pt idx="9" formatCode="General">
                        <c:v>-106.78672727272728</c:v>
                      </c:pt>
                      <c:pt idx="10" formatCode="General">
                        <c:v>-103.59278787878789</c:v>
                      </c:pt>
                      <c:pt idx="11" formatCode="General">
                        <c:v>-100.63860816944025</c:v>
                      </c:pt>
                      <c:pt idx="12" formatCode="General">
                        <c:v>-97.954795763993957</c:v>
                      </c:pt>
                      <c:pt idx="13" formatCode="General">
                        <c:v>-95.270983358547653</c:v>
                      </c:pt>
                      <c:pt idx="14" formatCode="General">
                        <c:v>-92.587170953101364</c:v>
                      </c:pt>
                      <c:pt idx="15" formatCode="General">
                        <c:v>-89.90335854765506</c:v>
                      </c:pt>
                      <c:pt idx="16" formatCode="General">
                        <c:v>-87.21954614220877</c:v>
                      </c:pt>
                      <c:pt idx="17" formatCode="General">
                        <c:v>-84.535733736762467</c:v>
                      </c:pt>
                      <c:pt idx="18" formatCode="General">
                        <c:v>-82.314909090909083</c:v>
                      </c:pt>
                      <c:pt idx="19" formatCode="General">
                        <c:v>-80.208909090909088</c:v>
                      </c:pt>
                      <c:pt idx="20" formatCode="General">
                        <c:v>-78.251333333333335</c:v>
                      </c:pt>
                      <c:pt idx="21" formatCode="General">
                        <c:v>-76.354848484848489</c:v>
                      </c:pt>
                      <c:pt idx="22" formatCode="General">
                        <c:v>-74.506363636363631</c:v>
                      </c:pt>
                      <c:pt idx="23" formatCode="General">
                        <c:v>-72.788614457831329</c:v>
                      </c:pt>
                      <c:pt idx="24" formatCode="General">
                        <c:v>-71.108484848484849</c:v>
                      </c:pt>
                      <c:pt idx="25" formatCode="General">
                        <c:v>-69.50242424242424</c:v>
                      </c:pt>
                      <c:pt idx="26" formatCode="General">
                        <c:v>-67.976363636363644</c:v>
                      </c:pt>
                      <c:pt idx="27" formatCode="General">
                        <c:v>-66.503636363636375</c:v>
                      </c:pt>
                      <c:pt idx="28" formatCode="General">
                        <c:v>-65.157575757575756</c:v>
                      </c:pt>
                      <c:pt idx="29" formatCode="General">
                        <c:v>-63.856363636363632</c:v>
                      </c:pt>
                      <c:pt idx="30" formatCode="General">
                        <c:v>-62.644242424242421</c:v>
                      </c:pt>
                      <c:pt idx="31" formatCode="General">
                        <c:v>-61.562133131618758</c:v>
                      </c:pt>
                      <c:pt idx="32" formatCode="General">
                        <c:v>-60.55003025718608</c:v>
                      </c:pt>
                      <c:pt idx="33" formatCode="General">
                        <c:v>-59.537927382753402</c:v>
                      </c:pt>
                      <c:pt idx="34" formatCode="General">
                        <c:v>-58.525824508320724</c:v>
                      </c:pt>
                      <c:pt idx="35" formatCode="General">
                        <c:v>-57.513721633888053</c:v>
                      </c:pt>
                      <c:pt idx="36" formatCode="General">
                        <c:v>-56.501618759455376</c:v>
                      </c:pt>
                      <c:pt idx="37" formatCode="General">
                        <c:v>-55.49774583963692</c:v>
                      </c:pt>
                      <c:pt idx="38" formatCode="General">
                        <c:v>-54.691391830559759</c:v>
                      </c:pt>
                      <c:pt idx="39" formatCode="General">
                        <c:v>-53.885037821482605</c:v>
                      </c:pt>
                      <c:pt idx="40" formatCode="General">
                        <c:v>-53.078683812405451</c:v>
                      </c:pt>
                      <c:pt idx="41" formatCode="General">
                        <c:v>-52.272329803328297</c:v>
                      </c:pt>
                      <c:pt idx="42" formatCode="General">
                        <c:v>-51.465975794251143</c:v>
                      </c:pt>
                      <c:pt idx="43" formatCode="General">
                        <c:v>-50.659621785173982</c:v>
                      </c:pt>
                      <c:pt idx="44" formatCode="General">
                        <c:v>-49.940438729198192</c:v>
                      </c:pt>
                      <c:pt idx="45" formatCode="General">
                        <c:v>-49.336807866868384</c:v>
                      </c:pt>
                      <c:pt idx="46" formatCode="General">
                        <c:v>-48.733177004538582</c:v>
                      </c:pt>
                      <c:pt idx="47" formatCode="General">
                        <c:v>-48.129546142208774</c:v>
                      </c:pt>
                      <c:pt idx="48" formatCode="General">
                        <c:v>-47.525915279878973</c:v>
                      </c:pt>
                      <c:pt idx="49" formatCode="General">
                        <c:v>-46.922284417549164</c:v>
                      </c:pt>
                      <c:pt idx="50" formatCode="General">
                        <c:v>-46.318653555219363</c:v>
                      </c:pt>
                      <c:pt idx="51" formatCode="General">
                        <c:v>-46.0000303030303</c:v>
                      </c:pt>
                      <c:pt idx="52" formatCode="General">
                        <c:v>-45.743969696969693</c:v>
                      </c:pt>
                      <c:pt idx="53" formatCode="General">
                        <c:v>-45.487909090909092</c:v>
                      </c:pt>
                      <c:pt idx="54" formatCode="General">
                        <c:v>-45.231848484848484</c:v>
                      </c:pt>
                      <c:pt idx="55" formatCode="General">
                        <c:v>-44.975787878787877</c:v>
                      </c:pt>
                      <c:pt idx="56" formatCode="General">
                        <c:v>-44.719727272727269</c:v>
                      </c:pt>
                      <c:pt idx="57" formatCode="General">
                        <c:v>-44.517879518072284</c:v>
                      </c:pt>
                      <c:pt idx="58" formatCode="General">
                        <c:v>-44.508240963855421</c:v>
                      </c:pt>
                      <c:pt idx="59" formatCode="General">
                        <c:v>-44.531830303030304</c:v>
                      </c:pt>
                      <c:pt idx="60" formatCode="General">
                        <c:v>-44.581527272727271</c:v>
                      </c:pt>
                      <c:pt idx="61" formatCode="General">
                        <c:v>-44.676448484848486</c:v>
                      </c:pt>
                      <c:pt idx="62" formatCode="General">
                        <c:v>-44.783090909090909</c:v>
                      </c:pt>
                      <c:pt idx="63" formatCode="General">
                        <c:v>-44.910363636363634</c:v>
                      </c:pt>
                      <c:pt idx="64" formatCode="General">
                        <c:v>-45.051730711043874</c:v>
                      </c:pt>
                      <c:pt idx="65" formatCode="General">
                        <c:v>-45.202108925869894</c:v>
                      </c:pt>
                      <c:pt idx="66" formatCode="General">
                        <c:v>-45.352487140695914</c:v>
                      </c:pt>
                      <c:pt idx="67" formatCode="General">
                        <c:v>-45.502865355521941</c:v>
                      </c:pt>
                      <c:pt idx="68" formatCode="General">
                        <c:v>-45.653243570347961</c:v>
                      </c:pt>
                      <c:pt idx="69" formatCode="General">
                        <c:v>-45.803621785173981</c:v>
                      </c:pt>
                      <c:pt idx="70" formatCode="General">
                        <c:v>-45.954000000000001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-18.888727272727273</c:v>
                      </c:pt>
                      <c:pt idx="1">
                        <c:v>-18.91151515151515</c:v>
                      </c:pt>
                      <c:pt idx="2" formatCode="General">
                        <c:v>-18.941818181818181</c:v>
                      </c:pt>
                      <c:pt idx="3" formatCode="General">
                        <c:v>-18.976545454545455</c:v>
                      </c:pt>
                      <c:pt idx="4" formatCode="General">
                        <c:v>-19.008545454545455</c:v>
                      </c:pt>
                      <c:pt idx="5" formatCode="General">
                        <c:v>-18.990363636363636</c:v>
                      </c:pt>
                      <c:pt idx="6" formatCode="General">
                        <c:v>-18.995542168674699</c:v>
                      </c:pt>
                      <c:pt idx="7" formatCode="General">
                        <c:v>-19.031686746987951</c:v>
                      </c:pt>
                      <c:pt idx="8" formatCode="General">
                        <c:v>-19.063333333333333</c:v>
                      </c:pt>
                      <c:pt idx="9" formatCode="General">
                        <c:v>-19.093636363636364</c:v>
                      </c:pt>
                      <c:pt idx="10" formatCode="General">
                        <c:v>-19.123939393939395</c:v>
                      </c:pt>
                      <c:pt idx="11" formatCode="General">
                        <c:v>-19.142844175491678</c:v>
                      </c:pt>
                      <c:pt idx="12" formatCode="General">
                        <c:v>-19.148895612708017</c:v>
                      </c:pt>
                      <c:pt idx="13" formatCode="General">
                        <c:v>-19.154947049924356</c:v>
                      </c:pt>
                      <c:pt idx="14" formatCode="General">
                        <c:v>-19.160998487140695</c:v>
                      </c:pt>
                      <c:pt idx="15" formatCode="General">
                        <c:v>-19.167049924357034</c:v>
                      </c:pt>
                      <c:pt idx="16" formatCode="General">
                        <c:v>-19.173101361573373</c:v>
                      </c:pt>
                      <c:pt idx="17" formatCode="General">
                        <c:v>-19.179152798789712</c:v>
                      </c:pt>
                      <c:pt idx="18" formatCode="General">
                        <c:v>-19.153939393939392</c:v>
                      </c:pt>
                      <c:pt idx="19" formatCode="General">
                        <c:v>-19.123636363636361</c:v>
                      </c:pt>
                      <c:pt idx="20" formatCode="General">
                        <c:v>-19.09333333333333</c:v>
                      </c:pt>
                      <c:pt idx="21" formatCode="General">
                        <c:v>-19.06642424242424</c:v>
                      </c:pt>
                      <c:pt idx="22" formatCode="General">
                        <c:v>-19.042181818181817</c:v>
                      </c:pt>
                      <c:pt idx="23" formatCode="General">
                        <c:v>-19.034518072289156</c:v>
                      </c:pt>
                      <c:pt idx="24" formatCode="General">
                        <c:v>-19.031515151515151</c:v>
                      </c:pt>
                      <c:pt idx="25" formatCode="General">
                        <c:v>-19.037575757575759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-19.07151515151515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-17.086666666666666</c:v>
                </c:pt>
                <c:pt idx="1">
                  <c:v>-16.767151515151514</c:v>
                </c:pt>
                <c:pt idx="2" formatCode="General">
                  <c:v>-16.470181818181818</c:v>
                </c:pt>
                <c:pt idx="3" formatCode="General">
                  <c:v>-15.797151515151516</c:v>
                </c:pt>
                <c:pt idx="4" formatCode="General">
                  <c:v>-14.983575757575757</c:v>
                </c:pt>
                <c:pt idx="5" formatCode="General">
                  <c:v>-14.153272727272727</c:v>
                </c:pt>
                <c:pt idx="6" formatCode="General">
                  <c:v>-13.371746987951807</c:v>
                </c:pt>
                <c:pt idx="7" formatCode="General">
                  <c:v>-12.65487951807229</c:v>
                </c:pt>
                <c:pt idx="8" formatCode="General">
                  <c:v>-11.962666666666667</c:v>
                </c:pt>
                <c:pt idx="9" formatCode="General">
                  <c:v>-11.283636363636363</c:v>
                </c:pt>
                <c:pt idx="10" formatCode="General">
                  <c:v>-10.647272727272728</c:v>
                </c:pt>
                <c:pt idx="11" formatCode="General">
                  <c:v>-10.055517397881998</c:v>
                </c:pt>
                <c:pt idx="12" formatCode="General">
                  <c:v>-9.5140650529500768</c:v>
                </c:pt>
                <c:pt idx="13" formatCode="General">
                  <c:v>-8.9726127080181541</c:v>
                </c:pt>
                <c:pt idx="14" formatCode="General">
                  <c:v>-8.4311603630862333</c:v>
                </c:pt>
                <c:pt idx="15" formatCode="General">
                  <c:v>-7.8897080181543107</c:v>
                </c:pt>
                <c:pt idx="16" formatCode="General">
                  <c:v>-7.3482556732223898</c:v>
                </c:pt>
                <c:pt idx="17" formatCode="General">
                  <c:v>-6.8068033282904672</c:v>
                </c:pt>
                <c:pt idx="18" formatCode="General">
                  <c:v>-6.3322727272727262</c:v>
                </c:pt>
                <c:pt idx="19" formatCode="General">
                  <c:v>-5.8739818181818171</c:v>
                </c:pt>
                <c:pt idx="20" formatCode="General">
                  <c:v>-5.4357999999999995</c:v>
                </c:pt>
                <c:pt idx="21" formatCode="General">
                  <c:v>-5.0105151515151505</c:v>
                </c:pt>
                <c:pt idx="22" formatCode="General">
                  <c:v>-4.5953636363636354</c:v>
                </c:pt>
                <c:pt idx="23" formatCode="General">
                  <c:v>-4.337078313253012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-5.1173812405446295</c:v>
                </c:pt>
                <c:pt idx="65" formatCode="General">
                  <c:v>-5.1393177004538577</c:v>
                </c:pt>
                <c:pt idx="66" formatCode="General">
                  <c:v>-5.1612541603630859</c:v>
                </c:pt>
                <c:pt idx="67" formatCode="General">
                  <c:v>-5.1831906202723141</c:v>
                </c:pt>
                <c:pt idx="68" formatCode="General">
                  <c:v>-5.2051270801815432</c:v>
                </c:pt>
                <c:pt idx="69" formatCode="General">
                  <c:v>-5.2270635400907715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-38.512484848484846</c:v>
                </c:pt>
                <c:pt idx="1">
                  <c:v>-37.55684848484848</c:v>
                </c:pt>
                <c:pt idx="2" formatCode="General">
                  <c:v>-36.653818181818181</c:v>
                </c:pt>
                <c:pt idx="3" formatCode="General">
                  <c:v>-35.821575757575751</c:v>
                </c:pt>
                <c:pt idx="4" formatCode="General">
                  <c:v>-35.031515151515151</c:v>
                </c:pt>
                <c:pt idx="5" formatCode="General">
                  <c:v>-34.425454545454542</c:v>
                </c:pt>
                <c:pt idx="6" formatCode="General">
                  <c:v>-33.800240963855423</c:v>
                </c:pt>
                <c:pt idx="7" formatCode="General">
                  <c:v>-33.149638554216871</c:v>
                </c:pt>
                <c:pt idx="8" formatCode="General">
                  <c:v>-32.556666666666665</c:v>
                </c:pt>
                <c:pt idx="9" formatCode="General">
                  <c:v>-31.989418181818181</c:v>
                </c:pt>
                <c:pt idx="10" formatCode="General">
                  <c:v>-31.484569696969697</c:v>
                </c:pt>
                <c:pt idx="11" formatCode="General">
                  <c:v>-31.045993948562781</c:v>
                </c:pt>
                <c:pt idx="12" formatCode="General">
                  <c:v>-30.682151285930406</c:v>
                </c:pt>
                <c:pt idx="13" formatCode="General">
                  <c:v>-30.31830862329803</c:v>
                </c:pt>
                <c:pt idx="14" formatCode="General">
                  <c:v>-29.954465960665654</c:v>
                </c:pt>
                <c:pt idx="15" formatCode="General">
                  <c:v>-29.590623298033279</c:v>
                </c:pt>
                <c:pt idx="16" formatCode="General">
                  <c:v>-29.226780635400907</c:v>
                </c:pt>
                <c:pt idx="17" formatCode="General">
                  <c:v>-28.862937972768528</c:v>
                </c:pt>
                <c:pt idx="18" formatCode="General">
                  <c:v>-28.662412121212121</c:v>
                </c:pt>
                <c:pt idx="19" formatCode="General">
                  <c:v>-28.51087272727273</c:v>
                </c:pt>
                <c:pt idx="20" formatCode="General">
                  <c:v>-28.4436</c:v>
                </c:pt>
                <c:pt idx="21" formatCode="General">
                  <c:v>-28.426218181818179</c:v>
                </c:pt>
                <c:pt idx="22" formatCode="General">
                  <c:v>-28.448036363636362</c:v>
                </c:pt>
                <c:pt idx="23" formatCode="General">
                  <c:v>-28.533873493975904</c:v>
                </c:pt>
                <c:pt idx="24" formatCode="General">
                  <c:v>-28.638000000000002</c:v>
                </c:pt>
                <c:pt idx="25" formatCode="General">
                  <c:v>-28.778000000000002</c:v>
                </c:pt>
                <c:pt idx="26" formatCode="General">
                  <c:v>-28.928909090909091</c:v>
                </c:pt>
                <c:pt idx="27" formatCode="General">
                  <c:v>-29.087090909090907</c:v>
                </c:pt>
                <c:pt idx="28" formatCode="General">
                  <c:v>-29.252181818181818</c:v>
                </c:pt>
                <c:pt idx="29" formatCode="General">
                  <c:v>-29.419818181818179</c:v>
                </c:pt>
                <c:pt idx="30" formatCode="General">
                  <c:v>-29.592545454545455</c:v>
                </c:pt>
                <c:pt idx="31" formatCode="General">
                  <c:v>-29.761366111951592</c:v>
                </c:pt>
                <c:pt idx="32" formatCode="General">
                  <c:v>-29.928083207261729</c:v>
                </c:pt>
                <c:pt idx="33" formatCode="General">
                  <c:v>-30.094800302571862</c:v>
                </c:pt>
                <c:pt idx="34" formatCode="General">
                  <c:v>-30.261517397881999</c:v>
                </c:pt>
                <c:pt idx="35" formatCode="General">
                  <c:v>-30.428234493192136</c:v>
                </c:pt>
                <c:pt idx="36" formatCode="General">
                  <c:v>-30.594951588502273</c:v>
                </c:pt>
                <c:pt idx="37" formatCode="General">
                  <c:v>-30.761372163388806</c:v>
                </c:pt>
                <c:pt idx="38" formatCode="General">
                  <c:v>-30.920676248108929</c:v>
                </c:pt>
                <c:pt idx="39" formatCode="General">
                  <c:v>-31.079980332829049</c:v>
                </c:pt>
                <c:pt idx="40" formatCode="General">
                  <c:v>-31.239284417549168</c:v>
                </c:pt>
                <c:pt idx="41" formatCode="General">
                  <c:v>-31.398588502269288</c:v>
                </c:pt>
                <c:pt idx="42" formatCode="General">
                  <c:v>-31.557892586989411</c:v>
                </c:pt>
                <c:pt idx="43" formatCode="General">
                  <c:v>-31.71719667170953</c:v>
                </c:pt>
                <c:pt idx="44" formatCode="General">
                  <c:v>-31.87454916792738</c:v>
                </c:pt>
                <c:pt idx="45" formatCode="General">
                  <c:v>-32.029314674735247</c:v>
                </c:pt>
                <c:pt idx="46" formatCode="General">
                  <c:v>-32.184080181543116</c:v>
                </c:pt>
                <c:pt idx="47" formatCode="General">
                  <c:v>-32.338845688350986</c:v>
                </c:pt>
                <c:pt idx="48" formatCode="General">
                  <c:v>-32.493611195158856</c:v>
                </c:pt>
                <c:pt idx="49" formatCode="General">
                  <c:v>-32.648376701966718</c:v>
                </c:pt>
                <c:pt idx="50" formatCode="General">
                  <c:v>-32.803142208774588</c:v>
                </c:pt>
                <c:pt idx="51" formatCode="General">
                  <c:v>-32.957230303030308</c:v>
                </c:pt>
                <c:pt idx="52" formatCode="General">
                  <c:v>-33.111169696969704</c:v>
                </c:pt>
                <c:pt idx="53" formatCode="General">
                  <c:v>-33.265109090909093</c:v>
                </c:pt>
                <c:pt idx="54" formatCode="General">
                  <c:v>-33.419048484848489</c:v>
                </c:pt>
                <c:pt idx="55" formatCode="General">
                  <c:v>-33.572987878787885</c:v>
                </c:pt>
                <c:pt idx="56" formatCode="General">
                  <c:v>-33.726927272727274</c:v>
                </c:pt>
                <c:pt idx="57" formatCode="General">
                  <c:v>-33.880927710843373</c:v>
                </c:pt>
                <c:pt idx="58" formatCode="General">
                  <c:v>-34.035144578313258</c:v>
                </c:pt>
                <c:pt idx="59" formatCode="General">
                  <c:v>-34.184793939393941</c:v>
                </c:pt>
                <c:pt idx="60" formatCode="General">
                  <c:v>-34.33085454545455</c:v>
                </c:pt>
                <c:pt idx="61" formatCode="General">
                  <c:v>-34.479672727272728</c:v>
                </c:pt>
                <c:pt idx="62" formatCode="General">
                  <c:v>-34.628133333333331</c:v>
                </c:pt>
                <c:pt idx="63" formatCode="General">
                  <c:v>-34.774799999999999</c:v>
                </c:pt>
                <c:pt idx="64" formatCode="General">
                  <c:v>-34.918009077155823</c:v>
                </c:pt>
                <c:pt idx="65" formatCode="General">
                  <c:v>-35.059007564296522</c:v>
                </c:pt>
                <c:pt idx="66" formatCode="General">
                  <c:v>-35.200006051437214</c:v>
                </c:pt>
                <c:pt idx="67" formatCode="General">
                  <c:v>-35.341004538577913</c:v>
                </c:pt>
                <c:pt idx="68" formatCode="General">
                  <c:v>-35.482003025718605</c:v>
                </c:pt>
                <c:pt idx="69" formatCode="General">
                  <c:v>-35.623001512859304</c:v>
                </c:pt>
                <c:pt idx="70" formatCode="General">
                  <c:v>-35.763999999999996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-15.28274886535552</c:v>
                      </c:pt>
                      <c:pt idx="1">
                        <c:v>-15.442506807866867</c:v>
                      </c:pt>
                      <c:pt idx="2" formatCode="General">
                        <c:v>-15.602264750378213</c:v>
                      </c:pt>
                      <c:pt idx="3" formatCode="General">
                        <c:v>-15.762022692889561</c:v>
                      </c:pt>
                      <c:pt idx="4" formatCode="General">
                        <c:v>-15.923124054462933</c:v>
                      </c:pt>
                      <c:pt idx="5" formatCode="General">
                        <c:v>-16.099674735249621</c:v>
                      </c:pt>
                      <c:pt idx="6" formatCode="General">
                        <c:v>-16.276225416036308</c:v>
                      </c:pt>
                      <c:pt idx="7" formatCode="General">
                        <c:v>-16.452776096822994</c:v>
                      </c:pt>
                      <c:pt idx="8" formatCode="General">
                        <c:v>-16.629326777609684</c:v>
                      </c:pt>
                      <c:pt idx="9" formatCode="General">
                        <c:v>-16.80587745839637</c:v>
                      </c:pt>
                      <c:pt idx="10" formatCode="General">
                        <c:v>-16.982428139183057</c:v>
                      </c:pt>
                      <c:pt idx="11" formatCode="General">
                        <c:v>-17.157698940998486</c:v>
                      </c:pt>
                      <c:pt idx="12" formatCode="General">
                        <c:v>-17.331526475037823</c:v>
                      </c:pt>
                      <c:pt idx="13" formatCode="General">
                        <c:v>-17.505354009077156</c:v>
                      </c:pt>
                      <c:pt idx="14" formatCode="General">
                        <c:v>-17.679181543116492</c:v>
                      </c:pt>
                      <c:pt idx="15" formatCode="General">
                        <c:v>-17.853009077155825</c:v>
                      </c:pt>
                      <c:pt idx="16" formatCode="General">
                        <c:v>-18.026836611195161</c:v>
                      </c:pt>
                      <c:pt idx="17" formatCode="General">
                        <c:v>-18.200664145234494</c:v>
                      </c:pt>
                      <c:pt idx="18" formatCode="General">
                        <c:v>-18.366685325264751</c:v>
                      </c:pt>
                      <c:pt idx="19" formatCode="General">
                        <c:v>-18.531435703479577</c:v>
                      </c:pt>
                      <c:pt idx="20" formatCode="General">
                        <c:v>-18.696186081694403</c:v>
                      </c:pt>
                      <c:pt idx="21" formatCode="General">
                        <c:v>-18.86093645990923</c:v>
                      </c:pt>
                      <c:pt idx="22" formatCode="General">
                        <c:v>-19.025686838124056</c:v>
                      </c:pt>
                      <c:pt idx="23" formatCode="General">
                        <c:v>-19.190437216338882</c:v>
                      </c:pt>
                      <c:pt idx="24" formatCode="General">
                        <c:v>-19.353545454545454</c:v>
                      </c:pt>
                      <c:pt idx="25" formatCode="General">
                        <c:v>-19.511727272727274</c:v>
                      </c:pt>
                      <c:pt idx="26" formatCode="General">
                        <c:v>-19.667727272727276</c:v>
                      </c:pt>
                      <c:pt idx="27" formatCode="General">
                        <c:v>-19.822272727272729</c:v>
                      </c:pt>
                      <c:pt idx="28" formatCode="General">
                        <c:v>-19.971636363636364</c:v>
                      </c:pt>
                      <c:pt idx="29" formatCode="General">
                        <c:v>-20.119636363636364</c:v>
                      </c:pt>
                      <c:pt idx="30" formatCode="General">
                        <c:v>-20.265090909090912</c:v>
                      </c:pt>
                      <c:pt idx="31" formatCode="General">
                        <c:v>-20.404207261724661</c:v>
                      </c:pt>
                      <c:pt idx="32" formatCode="General">
                        <c:v>-20.53991074130106</c:v>
                      </c:pt>
                      <c:pt idx="33" formatCode="General">
                        <c:v>-20.67561422087746</c:v>
                      </c:pt>
                      <c:pt idx="34" formatCode="General">
                        <c:v>-20.811317700453859</c:v>
                      </c:pt>
                      <c:pt idx="35" formatCode="General">
                        <c:v>-20.947021180030259</c:v>
                      </c:pt>
                      <c:pt idx="36" formatCode="General">
                        <c:v>-21.082724659606658</c:v>
                      </c:pt>
                      <c:pt idx="37" formatCode="General">
                        <c:v>-21.217992435703479</c:v>
                      </c:pt>
                      <c:pt idx="38" formatCode="General">
                        <c:v>-21.342803328290469</c:v>
                      </c:pt>
                      <c:pt idx="39" formatCode="General">
                        <c:v>-21.467614220877458</c:v>
                      </c:pt>
                      <c:pt idx="40" formatCode="General">
                        <c:v>-21.592425113464447</c:v>
                      </c:pt>
                      <c:pt idx="41" formatCode="General">
                        <c:v>-21.717236006051436</c:v>
                      </c:pt>
                      <c:pt idx="42" formatCode="General">
                        <c:v>-21.842046898638426</c:v>
                      </c:pt>
                      <c:pt idx="43" formatCode="General">
                        <c:v>-21.966857791225415</c:v>
                      </c:pt>
                      <c:pt idx="44" formatCode="General">
                        <c:v>-22.090107413010589</c:v>
                      </c:pt>
                      <c:pt idx="45" formatCode="General">
                        <c:v>-22.211287443267775</c:v>
                      </c:pt>
                      <c:pt idx="46" formatCode="General">
                        <c:v>-22.332467473524964</c:v>
                      </c:pt>
                      <c:pt idx="47" formatCode="General">
                        <c:v>-22.45364750378215</c:v>
                      </c:pt>
                      <c:pt idx="48" formatCode="General">
                        <c:v>-22.574827534039336</c:v>
                      </c:pt>
                      <c:pt idx="49" formatCode="General">
                        <c:v>-22.696007564296522</c:v>
                      </c:pt>
                      <c:pt idx="50" formatCode="General">
                        <c:v>-22.817187594553708</c:v>
                      </c:pt>
                      <c:pt idx="51" formatCode="General">
                        <c:v>-22.940754545454549</c:v>
                      </c:pt>
                      <c:pt idx="52" formatCode="General">
                        <c:v>-23.064845454545456</c:v>
                      </c:pt>
                      <c:pt idx="53" formatCode="General">
                        <c:v>-23.188936363636365</c:v>
                      </c:pt>
                      <c:pt idx="54" formatCode="General">
                        <c:v>-23.313027272727275</c:v>
                      </c:pt>
                      <c:pt idx="55" formatCode="General">
                        <c:v>-23.437118181818185</c:v>
                      </c:pt>
                      <c:pt idx="56" formatCode="General">
                        <c:v>-23.561209090909092</c:v>
                      </c:pt>
                      <c:pt idx="57" formatCode="General">
                        <c:v>-23.68805446293495</c:v>
                      </c:pt>
                      <c:pt idx="58" formatCode="General">
                        <c:v>-23.824665658093799</c:v>
                      </c:pt>
                      <c:pt idx="59" formatCode="General">
                        <c:v>-23.961276853252649</c:v>
                      </c:pt>
                      <c:pt idx="60" formatCode="General">
                        <c:v>-24.097888048411498</c:v>
                      </c:pt>
                      <c:pt idx="61" formatCode="General">
                        <c:v>-24.234499243570347</c:v>
                      </c:pt>
                      <c:pt idx="62" formatCode="General">
                        <c:v>-24.3711104387292</c:v>
                      </c:pt>
                      <c:pt idx="63" formatCode="General">
                        <c:v>-24.50772163388805</c:v>
                      </c:pt>
                      <c:pt idx="64" formatCode="General">
                        <c:v>-24.653054545454545</c:v>
                      </c:pt>
                      <c:pt idx="65" formatCode="General">
                        <c:v>-24.803963636363637</c:v>
                      </c:pt>
                      <c:pt idx="66" formatCode="General">
                        <c:v>-24.960939759036144</c:v>
                      </c:pt>
                      <c:pt idx="67" formatCode="General">
                        <c:v>-25.121181818181817</c:v>
                      </c:pt>
                      <c:pt idx="68" formatCode="General">
                        <c:v>-25.288454545454545</c:v>
                      </c:pt>
                      <c:pt idx="69" formatCode="General">
                        <c:v>-25.461636363636362</c:v>
                      </c:pt>
                      <c:pt idx="70" formatCode="General">
                        <c:v>-25.637999999999998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-20.376998487140696</c:v>
                      </c:pt>
                      <c:pt idx="1">
                        <c:v>-20.590009077155823</c:v>
                      </c:pt>
                      <c:pt idx="2" formatCode="General">
                        <c:v>-20.803019667170954</c:v>
                      </c:pt>
                      <c:pt idx="3" formatCode="General">
                        <c:v>-21.016030257186081</c:v>
                      </c:pt>
                      <c:pt idx="4" formatCode="General">
                        <c:v>-21.230832072617247</c:v>
                      </c:pt>
                      <c:pt idx="5" formatCode="General">
                        <c:v>-21.46623298033283</c:v>
                      </c:pt>
                      <c:pt idx="6" formatCode="General">
                        <c:v>-21.701633888048413</c:v>
                      </c:pt>
                      <c:pt idx="7" formatCode="General">
                        <c:v>-21.937034795763996</c:v>
                      </c:pt>
                      <c:pt idx="8" formatCode="General">
                        <c:v>-22.172435703479575</c:v>
                      </c:pt>
                      <c:pt idx="9" formatCode="General">
                        <c:v>-22.407836611195158</c:v>
                      </c:pt>
                      <c:pt idx="10" formatCode="General">
                        <c:v>-22.643237518910741</c:v>
                      </c:pt>
                      <c:pt idx="11" formatCode="General">
                        <c:v>-22.876931921331316</c:v>
                      </c:pt>
                      <c:pt idx="12" formatCode="General">
                        <c:v>-23.108701966717096</c:v>
                      </c:pt>
                      <c:pt idx="13" formatCode="General">
                        <c:v>-23.340472012102875</c:v>
                      </c:pt>
                      <c:pt idx="14" formatCode="General">
                        <c:v>-23.572242057488655</c:v>
                      </c:pt>
                      <c:pt idx="15" formatCode="General">
                        <c:v>-23.804012102874434</c:v>
                      </c:pt>
                      <c:pt idx="16" formatCode="General">
                        <c:v>-24.035782148260214</c:v>
                      </c:pt>
                      <c:pt idx="17" formatCode="General">
                        <c:v>-24.267552193645994</c:v>
                      </c:pt>
                      <c:pt idx="18" formatCode="General">
                        <c:v>-24.488913767019667</c:v>
                      </c:pt>
                      <c:pt idx="19" formatCode="General">
                        <c:v>-24.708580937972769</c:v>
                      </c:pt>
                      <c:pt idx="20" formatCode="General">
                        <c:v>-24.928248108925871</c:v>
                      </c:pt>
                      <c:pt idx="21" formatCode="General">
                        <c:v>-25.147915279878973</c:v>
                      </c:pt>
                      <c:pt idx="22" formatCode="General">
                        <c:v>-25.367582450832071</c:v>
                      </c:pt>
                      <c:pt idx="23" formatCode="General">
                        <c:v>-25.587249621785173</c:v>
                      </c:pt>
                      <c:pt idx="24" formatCode="General">
                        <c:v>-25.804727272727273</c:v>
                      </c:pt>
                      <c:pt idx="25" formatCode="General">
                        <c:v>-26.015636363636364</c:v>
                      </c:pt>
                      <c:pt idx="26" formatCode="General">
                        <c:v>-26.223636363636366</c:v>
                      </c:pt>
                      <c:pt idx="27" formatCode="General">
                        <c:v>-26.42969696969697</c:v>
                      </c:pt>
                      <c:pt idx="28" formatCode="General">
                        <c:v>-26.628848484848486</c:v>
                      </c:pt>
                      <c:pt idx="29" formatCode="General">
                        <c:v>-26.826181818181819</c:v>
                      </c:pt>
                      <c:pt idx="30" formatCode="General">
                        <c:v>-27.020121212121214</c:v>
                      </c:pt>
                      <c:pt idx="31" formatCode="General">
                        <c:v>-27.205609682299546</c:v>
                      </c:pt>
                      <c:pt idx="32" formatCode="General">
                        <c:v>-27.386547655068078</c:v>
                      </c:pt>
                      <c:pt idx="33" formatCode="General">
                        <c:v>-27.567485627836611</c:v>
                      </c:pt>
                      <c:pt idx="34" formatCode="General">
                        <c:v>-27.748423600605143</c:v>
                      </c:pt>
                      <c:pt idx="35" formatCode="General">
                        <c:v>-27.929361573373676</c:v>
                      </c:pt>
                      <c:pt idx="36" formatCode="General">
                        <c:v>-28.110299546142208</c:v>
                      </c:pt>
                      <c:pt idx="37" formatCode="General">
                        <c:v>-28.29065658093797</c:v>
                      </c:pt>
                      <c:pt idx="38" formatCode="General">
                        <c:v>-28.457071104387289</c:v>
                      </c:pt>
                      <c:pt idx="39" formatCode="General">
                        <c:v>-28.623485627836612</c:v>
                      </c:pt>
                      <c:pt idx="40" formatCode="General">
                        <c:v>-28.789900151285931</c:v>
                      </c:pt>
                      <c:pt idx="41" formatCode="General">
                        <c:v>-28.95631467473525</c:v>
                      </c:pt>
                      <c:pt idx="42" formatCode="General">
                        <c:v>-29.122729198184569</c:v>
                      </c:pt>
                      <c:pt idx="43" formatCode="General">
                        <c:v>-29.289143721633888</c:v>
                      </c:pt>
                      <c:pt idx="44" formatCode="General">
                        <c:v>-29.453476550680787</c:v>
                      </c:pt>
                      <c:pt idx="45" formatCode="General">
                        <c:v>-29.615049924357034</c:v>
                      </c:pt>
                      <c:pt idx="46" formatCode="General">
                        <c:v>-29.776623298033282</c:v>
                      </c:pt>
                      <c:pt idx="47" formatCode="General">
                        <c:v>-29.938196671709534</c:v>
                      </c:pt>
                      <c:pt idx="48" formatCode="General">
                        <c:v>-30.099770045385782</c:v>
                      </c:pt>
                      <c:pt idx="49" formatCode="General">
                        <c:v>-30.26134341906203</c:v>
                      </c:pt>
                      <c:pt idx="50" formatCode="General">
                        <c:v>-30.422916792738278</c:v>
                      </c:pt>
                      <c:pt idx="51" formatCode="General">
                        <c:v>-30.587672727272729</c:v>
                      </c:pt>
                      <c:pt idx="52" formatCode="General">
                        <c:v>-30.753127272727276</c:v>
                      </c:pt>
                      <c:pt idx="53" formatCode="General">
                        <c:v>-30.918581818181821</c:v>
                      </c:pt>
                      <c:pt idx="54" formatCode="General">
                        <c:v>-31.084036363636365</c:v>
                      </c:pt>
                      <c:pt idx="55" formatCode="General">
                        <c:v>-31.249490909090909</c:v>
                      </c:pt>
                      <c:pt idx="56" formatCode="General">
                        <c:v>-31.414945454545457</c:v>
                      </c:pt>
                      <c:pt idx="57" formatCode="General">
                        <c:v>-31.584072617246598</c:v>
                      </c:pt>
                      <c:pt idx="58" formatCode="General">
                        <c:v>-31.766220877458398</c:v>
                      </c:pt>
                      <c:pt idx="59" formatCode="General">
                        <c:v>-31.948369137670198</c:v>
                      </c:pt>
                      <c:pt idx="60" formatCode="General">
                        <c:v>-32.130517397881995</c:v>
                      </c:pt>
                      <c:pt idx="61" formatCode="General">
                        <c:v>-32.312665658093799</c:v>
                      </c:pt>
                      <c:pt idx="62" formatCode="General">
                        <c:v>-32.494813918305596</c:v>
                      </c:pt>
                      <c:pt idx="63" formatCode="General">
                        <c:v>-32.6769621785174</c:v>
                      </c:pt>
                      <c:pt idx="64" formatCode="General">
                        <c:v>-32.870739393939395</c:v>
                      </c:pt>
                      <c:pt idx="65" formatCode="General">
                        <c:v>-33.071951515151511</c:v>
                      </c:pt>
                      <c:pt idx="66" formatCode="General">
                        <c:v>-33.28125301204819</c:v>
                      </c:pt>
                      <c:pt idx="67" formatCode="General">
                        <c:v>-33.49490909090909</c:v>
                      </c:pt>
                      <c:pt idx="68" formatCode="General">
                        <c:v>-33.717939393939396</c:v>
                      </c:pt>
                      <c:pt idx="69" formatCode="General">
                        <c:v>-33.948848484848483</c:v>
                      </c:pt>
                      <c:pt idx="70" formatCode="General">
                        <c:v>-34.183999999999997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-25.47124810892587</c:v>
                      </c:pt>
                      <c:pt idx="1">
                        <c:v>-25.73751134644478</c:v>
                      </c:pt>
                      <c:pt idx="2" formatCode="General">
                        <c:v>-26.00377458396369</c:v>
                      </c:pt>
                      <c:pt idx="3" formatCode="General">
                        <c:v>-26.270037821482603</c:v>
                      </c:pt>
                      <c:pt idx="4" formatCode="General">
                        <c:v>-26.538540090771559</c:v>
                      </c:pt>
                      <c:pt idx="5" formatCode="General">
                        <c:v>-26.832791225416038</c:v>
                      </c:pt>
                      <c:pt idx="6" formatCode="General">
                        <c:v>-27.127042360060514</c:v>
                      </c:pt>
                      <c:pt idx="7" formatCode="General">
                        <c:v>-27.421293494704994</c:v>
                      </c:pt>
                      <c:pt idx="8" formatCode="General">
                        <c:v>-27.71554462934947</c:v>
                      </c:pt>
                      <c:pt idx="9" formatCode="General">
                        <c:v>-28.009795763993949</c:v>
                      </c:pt>
                      <c:pt idx="10" formatCode="General">
                        <c:v>-28.304046898638425</c:v>
                      </c:pt>
                      <c:pt idx="11" formatCode="General">
                        <c:v>-28.596164901664146</c:v>
                      </c:pt>
                      <c:pt idx="12" formatCode="General">
                        <c:v>-28.885877458396369</c:v>
                      </c:pt>
                      <c:pt idx="13" formatCode="General">
                        <c:v>-29.175590015128595</c:v>
                      </c:pt>
                      <c:pt idx="14" formatCode="General">
                        <c:v>-29.465302571860818</c:v>
                      </c:pt>
                      <c:pt idx="15" formatCode="General">
                        <c:v>-29.75501512859304</c:v>
                      </c:pt>
                      <c:pt idx="16" formatCode="General">
                        <c:v>-30.044727685325267</c:v>
                      </c:pt>
                      <c:pt idx="17" formatCode="General">
                        <c:v>-30.334440242057489</c:v>
                      </c:pt>
                      <c:pt idx="18" formatCode="General">
                        <c:v>-30.611142208774584</c:v>
                      </c:pt>
                      <c:pt idx="19" formatCode="General">
                        <c:v>-30.885726172465962</c:v>
                      </c:pt>
                      <c:pt idx="20" formatCode="General">
                        <c:v>-31.160310136157335</c:v>
                      </c:pt>
                      <c:pt idx="21" formatCode="General">
                        <c:v>-31.434894099848712</c:v>
                      </c:pt>
                      <c:pt idx="22" formatCode="General">
                        <c:v>-31.709478063540089</c:v>
                      </c:pt>
                      <c:pt idx="23" formatCode="General">
                        <c:v>-31.984062027231467</c:v>
                      </c:pt>
                      <c:pt idx="24" formatCode="General">
                        <c:v>-32.255909090909086</c:v>
                      </c:pt>
                      <c:pt idx="25" formatCode="General">
                        <c:v>-32.519545454545451</c:v>
                      </c:pt>
                      <c:pt idx="26" formatCode="General">
                        <c:v>-32.779545454545456</c:v>
                      </c:pt>
                      <c:pt idx="27" formatCode="General">
                        <c:v>-33.037121212121214</c:v>
                      </c:pt>
                      <c:pt idx="28" formatCode="General">
                        <c:v>-33.286060606060609</c:v>
                      </c:pt>
                      <c:pt idx="29" formatCode="General">
                        <c:v>-33.532727272727271</c:v>
                      </c:pt>
                      <c:pt idx="30" formatCode="General">
                        <c:v>-33.775151515151514</c:v>
                      </c:pt>
                      <c:pt idx="31" formatCode="General">
                        <c:v>-34.007012102874434</c:v>
                      </c:pt>
                      <c:pt idx="32" formatCode="General">
                        <c:v>-34.2331845688351</c:v>
                      </c:pt>
                      <c:pt idx="33" formatCode="General">
                        <c:v>-34.459357034795765</c:v>
                      </c:pt>
                      <c:pt idx="34" formatCode="General">
                        <c:v>-34.685529500756431</c:v>
                      </c:pt>
                      <c:pt idx="35" formatCode="General">
                        <c:v>-34.911701966717089</c:v>
                      </c:pt>
                      <c:pt idx="36" formatCode="General">
                        <c:v>-35.137874432677755</c:v>
                      </c:pt>
                      <c:pt idx="37" formatCode="General">
                        <c:v>-35.363320726172461</c:v>
                      </c:pt>
                      <c:pt idx="38" formatCode="General">
                        <c:v>-35.571338880484113</c:v>
                      </c:pt>
                      <c:pt idx="39" formatCode="General">
                        <c:v>-35.779357034795765</c:v>
                      </c:pt>
                      <c:pt idx="40" formatCode="General">
                        <c:v>-35.987375189107411</c:v>
                      </c:pt>
                      <c:pt idx="41" formatCode="General">
                        <c:v>-36.195393343419063</c:v>
                      </c:pt>
                      <c:pt idx="42" formatCode="General">
                        <c:v>-36.403411497730715</c:v>
                      </c:pt>
                      <c:pt idx="43" formatCode="General">
                        <c:v>-36.611429652042361</c:v>
                      </c:pt>
                      <c:pt idx="44" formatCode="General">
                        <c:v>-36.816845688350988</c:v>
                      </c:pt>
                      <c:pt idx="45" formatCode="General">
                        <c:v>-37.018812405446297</c:v>
                      </c:pt>
                      <c:pt idx="46" formatCode="General">
                        <c:v>-37.220779122541607</c:v>
                      </c:pt>
                      <c:pt idx="47" formatCode="General">
                        <c:v>-37.422745839636917</c:v>
                      </c:pt>
                      <c:pt idx="48" formatCode="General">
                        <c:v>-37.624712556732227</c:v>
                      </c:pt>
                      <c:pt idx="49" formatCode="General">
                        <c:v>-37.826679273827537</c:v>
                      </c:pt>
                      <c:pt idx="50" formatCode="General">
                        <c:v>-38.028645990922847</c:v>
                      </c:pt>
                      <c:pt idx="51" formatCode="General">
                        <c:v>-38.234590909090912</c:v>
                      </c:pt>
                      <c:pt idx="52" formatCode="General">
                        <c:v>-38.441409090909097</c:v>
                      </c:pt>
                      <c:pt idx="53" formatCode="General">
                        <c:v>-38.648227272727276</c:v>
                      </c:pt>
                      <c:pt idx="54" formatCode="General">
                        <c:v>-38.855045454545454</c:v>
                      </c:pt>
                      <c:pt idx="55" formatCode="General">
                        <c:v>-39.06186363636364</c:v>
                      </c:pt>
                      <c:pt idx="56" formatCode="General">
                        <c:v>-39.268681818181818</c:v>
                      </c:pt>
                      <c:pt idx="57" formatCode="General">
                        <c:v>-39.480090771558245</c:v>
                      </c:pt>
                      <c:pt idx="58" formatCode="General">
                        <c:v>-39.707776096822997</c:v>
                      </c:pt>
                      <c:pt idx="59" formatCode="General">
                        <c:v>-39.935461422087748</c:v>
                      </c:pt>
                      <c:pt idx="60" formatCode="General">
                        <c:v>-40.163146747352492</c:v>
                      </c:pt>
                      <c:pt idx="61" formatCode="General">
                        <c:v>-40.390832072617243</c:v>
                      </c:pt>
                      <c:pt idx="62" formatCode="General">
                        <c:v>-40.618517397881995</c:v>
                      </c:pt>
                      <c:pt idx="63" formatCode="General">
                        <c:v>-40.846202723146746</c:v>
                      </c:pt>
                      <c:pt idx="64" formatCode="General">
                        <c:v>-41.088424242424239</c:v>
                      </c:pt>
                      <c:pt idx="65" formatCode="General">
                        <c:v>-41.339939393939389</c:v>
                      </c:pt>
                      <c:pt idx="66" formatCode="General">
                        <c:v>-41.601566265060235</c:v>
                      </c:pt>
                      <c:pt idx="67" formatCode="General">
                        <c:v>-41.868636363636362</c:v>
                      </c:pt>
                      <c:pt idx="68" formatCode="General">
                        <c:v>-42.147424242424236</c:v>
                      </c:pt>
                      <c:pt idx="69" formatCode="General">
                        <c:v>-42.4360606060606</c:v>
                      </c:pt>
                      <c:pt idx="70" formatCode="General">
                        <c:v>-42.73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-40.753996974281392</c:v>
                      </c:pt>
                      <c:pt idx="1">
                        <c:v>-41.180018154311647</c:v>
                      </c:pt>
                      <c:pt idx="2" formatCode="General">
                        <c:v>-41.606039334341908</c:v>
                      </c:pt>
                      <c:pt idx="3" formatCode="General">
                        <c:v>-42.032060514372162</c:v>
                      </c:pt>
                      <c:pt idx="4" formatCode="General">
                        <c:v>-42.461664145234494</c:v>
                      </c:pt>
                      <c:pt idx="5" formatCode="General">
                        <c:v>-42.93246596066566</c:v>
                      </c:pt>
                      <c:pt idx="6" formatCode="General">
                        <c:v>-43.403267776096826</c:v>
                      </c:pt>
                      <c:pt idx="7" formatCode="General">
                        <c:v>-43.874069591527991</c:v>
                      </c:pt>
                      <c:pt idx="8" formatCode="General">
                        <c:v>-44.34487140695915</c:v>
                      </c:pt>
                      <c:pt idx="9" formatCode="General">
                        <c:v>-44.815673222390316</c:v>
                      </c:pt>
                      <c:pt idx="10" formatCode="General">
                        <c:v>-45.286475037821482</c:v>
                      </c:pt>
                      <c:pt idx="11" formatCode="General">
                        <c:v>-45.753863842662632</c:v>
                      </c:pt>
                      <c:pt idx="12" formatCode="General">
                        <c:v>-46.217403933434191</c:v>
                      </c:pt>
                      <c:pt idx="13" formatCode="General">
                        <c:v>-46.680944024205751</c:v>
                      </c:pt>
                      <c:pt idx="14" formatCode="General">
                        <c:v>-47.14448411497731</c:v>
                      </c:pt>
                      <c:pt idx="15" formatCode="General">
                        <c:v>-47.608024205748869</c:v>
                      </c:pt>
                      <c:pt idx="16" formatCode="General">
                        <c:v>-48.071564296520428</c:v>
                      </c:pt>
                      <c:pt idx="17" formatCode="General">
                        <c:v>-48.535104387291987</c:v>
                      </c:pt>
                      <c:pt idx="18" formatCode="General">
                        <c:v>-48.977827534039335</c:v>
                      </c:pt>
                      <c:pt idx="19" formatCode="General">
                        <c:v>-49.417161875945538</c:v>
                      </c:pt>
                      <c:pt idx="20" formatCode="General">
                        <c:v>-49.856496217851742</c:v>
                      </c:pt>
                      <c:pt idx="21" formatCode="General">
                        <c:v>-50.295830559757945</c:v>
                      </c:pt>
                      <c:pt idx="22" formatCode="General">
                        <c:v>-50.735164901664142</c:v>
                      </c:pt>
                      <c:pt idx="23" formatCode="General">
                        <c:v>-51.174499243570345</c:v>
                      </c:pt>
                      <c:pt idx="24" formatCode="General">
                        <c:v>-51.609454545454547</c:v>
                      </c:pt>
                      <c:pt idx="25" formatCode="General">
                        <c:v>-52.031272727272729</c:v>
                      </c:pt>
                      <c:pt idx="26" formatCode="General">
                        <c:v>-52.447272727272733</c:v>
                      </c:pt>
                      <c:pt idx="27" formatCode="General">
                        <c:v>-52.859393939393939</c:v>
                      </c:pt>
                      <c:pt idx="28" formatCode="General">
                        <c:v>-53.257696969696973</c:v>
                      </c:pt>
                      <c:pt idx="29" formatCode="General">
                        <c:v>-53.652363636363638</c:v>
                      </c:pt>
                      <c:pt idx="30" formatCode="General">
                        <c:v>-54.040242424242429</c:v>
                      </c:pt>
                      <c:pt idx="31" formatCode="General">
                        <c:v>-54.411219364599091</c:v>
                      </c:pt>
                      <c:pt idx="32" formatCode="General">
                        <c:v>-54.773095310136156</c:v>
                      </c:pt>
                      <c:pt idx="33" formatCode="General">
                        <c:v>-55.134971255673221</c:v>
                      </c:pt>
                      <c:pt idx="34" formatCode="General">
                        <c:v>-55.496847201210286</c:v>
                      </c:pt>
                      <c:pt idx="35" formatCode="General">
                        <c:v>-55.858723146747352</c:v>
                      </c:pt>
                      <c:pt idx="36" formatCode="General">
                        <c:v>-56.220599092284417</c:v>
                      </c:pt>
                      <c:pt idx="37" formatCode="General">
                        <c:v>-56.58131316187594</c:v>
                      </c:pt>
                      <c:pt idx="38" formatCode="General">
                        <c:v>-56.914142208774578</c:v>
                      </c:pt>
                      <c:pt idx="39" formatCode="General">
                        <c:v>-57.246971255673223</c:v>
                      </c:pt>
                      <c:pt idx="40" formatCode="General">
                        <c:v>-57.579800302571861</c:v>
                      </c:pt>
                      <c:pt idx="41" formatCode="General">
                        <c:v>-57.9126293494705</c:v>
                      </c:pt>
                      <c:pt idx="42" formatCode="General">
                        <c:v>-58.245458396369138</c:v>
                      </c:pt>
                      <c:pt idx="43" formatCode="General">
                        <c:v>-58.578287443267776</c:v>
                      </c:pt>
                      <c:pt idx="44" formatCode="General">
                        <c:v>-58.906953101361573</c:v>
                      </c:pt>
                      <c:pt idx="45" formatCode="General">
                        <c:v>-59.230099848714069</c:v>
                      </c:pt>
                      <c:pt idx="46" formatCode="General">
                        <c:v>-59.553246596066565</c:v>
                      </c:pt>
                      <c:pt idx="47" formatCode="General">
                        <c:v>-59.876393343419068</c:v>
                      </c:pt>
                      <c:pt idx="48" formatCode="General">
                        <c:v>-60.199540090771563</c:v>
                      </c:pt>
                      <c:pt idx="49" formatCode="General">
                        <c:v>-60.522686838124059</c:v>
                      </c:pt>
                      <c:pt idx="50" formatCode="General">
                        <c:v>-60.845833585476555</c:v>
                      </c:pt>
                      <c:pt idx="51" formatCode="General">
                        <c:v>-61.175345454545457</c:v>
                      </c:pt>
                      <c:pt idx="52" formatCode="General">
                        <c:v>-61.506254545454553</c:v>
                      </c:pt>
                      <c:pt idx="53" formatCode="General">
                        <c:v>-61.837163636363641</c:v>
                      </c:pt>
                      <c:pt idx="54" formatCode="General">
                        <c:v>-62.16807272727273</c:v>
                      </c:pt>
                      <c:pt idx="55" formatCode="General">
                        <c:v>-62.498981818181818</c:v>
                      </c:pt>
                      <c:pt idx="56" formatCode="General">
                        <c:v>-62.829890909090913</c:v>
                      </c:pt>
                      <c:pt idx="57" formatCode="General">
                        <c:v>-63.168145234493196</c:v>
                      </c:pt>
                      <c:pt idx="58" formatCode="General">
                        <c:v>-63.532441754916796</c:v>
                      </c:pt>
                      <c:pt idx="59" formatCode="General">
                        <c:v>-63.896738275340397</c:v>
                      </c:pt>
                      <c:pt idx="60" formatCode="General">
                        <c:v>-64.26103479576399</c:v>
                      </c:pt>
                      <c:pt idx="61" formatCode="General">
                        <c:v>-64.625331316187598</c:v>
                      </c:pt>
                      <c:pt idx="62" formatCode="General">
                        <c:v>-64.989627836611191</c:v>
                      </c:pt>
                      <c:pt idx="63" formatCode="General">
                        <c:v>-65.353924357034799</c:v>
                      </c:pt>
                      <c:pt idx="64" formatCode="General">
                        <c:v>-65.741478787878791</c:v>
                      </c:pt>
                      <c:pt idx="65" formatCode="General">
                        <c:v>-66.143903030303022</c:v>
                      </c:pt>
                      <c:pt idx="66" formatCode="General">
                        <c:v>-66.562506024096379</c:v>
                      </c:pt>
                      <c:pt idx="67" formatCode="General">
                        <c:v>-66.98981818181818</c:v>
                      </c:pt>
                      <c:pt idx="68" formatCode="General">
                        <c:v>-67.435878787878792</c:v>
                      </c:pt>
                      <c:pt idx="69" formatCode="General">
                        <c:v>-67.897696969696966</c:v>
                      </c:pt>
                      <c:pt idx="70" formatCode="General">
                        <c:v>-68.367999999999995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-10.188499243570348</c:v>
                      </c:pt>
                      <c:pt idx="1">
                        <c:v>-10.295004538577912</c:v>
                      </c:pt>
                      <c:pt idx="2" formatCode="General">
                        <c:v>-10.401509833585477</c:v>
                      </c:pt>
                      <c:pt idx="3" formatCode="General">
                        <c:v>-10.508015128593041</c:v>
                      </c:pt>
                      <c:pt idx="4" formatCode="General">
                        <c:v>-10.615416036308623</c:v>
                      </c:pt>
                      <c:pt idx="5" formatCode="General">
                        <c:v>-10.733116490166415</c:v>
                      </c:pt>
                      <c:pt idx="6" formatCode="General">
                        <c:v>-10.850816944024206</c:v>
                      </c:pt>
                      <c:pt idx="7" formatCode="General">
                        <c:v>-10.968517397881998</c:v>
                      </c:pt>
                      <c:pt idx="8" formatCode="General">
                        <c:v>-11.086217851739788</c:v>
                      </c:pt>
                      <c:pt idx="9" formatCode="General">
                        <c:v>-11.203918305597579</c:v>
                      </c:pt>
                      <c:pt idx="10" formatCode="General">
                        <c:v>-11.321618759455371</c:v>
                      </c:pt>
                      <c:pt idx="11" formatCode="General">
                        <c:v>-11.438465960665658</c:v>
                      </c:pt>
                      <c:pt idx="12" formatCode="General">
                        <c:v>-11.554350983358548</c:v>
                      </c:pt>
                      <c:pt idx="13" formatCode="General">
                        <c:v>-11.670236006051438</c:v>
                      </c:pt>
                      <c:pt idx="14" formatCode="General">
                        <c:v>-11.786121028744327</c:v>
                      </c:pt>
                      <c:pt idx="15" formatCode="General">
                        <c:v>-11.902006051437217</c:v>
                      </c:pt>
                      <c:pt idx="16" formatCode="General">
                        <c:v>-12.017891074130107</c:v>
                      </c:pt>
                      <c:pt idx="17" formatCode="General">
                        <c:v>-12.133776096822997</c:v>
                      </c:pt>
                      <c:pt idx="18" formatCode="General">
                        <c:v>-12.244456883509834</c:v>
                      </c:pt>
                      <c:pt idx="19" formatCode="General">
                        <c:v>-12.354290468986385</c:v>
                      </c:pt>
                      <c:pt idx="20" formatCode="General">
                        <c:v>-12.464124054462935</c:v>
                      </c:pt>
                      <c:pt idx="21" formatCode="General">
                        <c:v>-12.573957639939486</c:v>
                      </c:pt>
                      <c:pt idx="22" formatCode="General">
                        <c:v>-12.683791225416035</c:v>
                      </c:pt>
                      <c:pt idx="23" formatCode="General">
                        <c:v>-12.793624810892586</c:v>
                      </c:pt>
                      <c:pt idx="24" formatCode="General">
                        <c:v>-12.902363636363637</c:v>
                      </c:pt>
                      <c:pt idx="25" formatCode="General">
                        <c:v>-13.007818181818182</c:v>
                      </c:pt>
                      <c:pt idx="26" formatCode="General">
                        <c:v>-13.111818181818183</c:v>
                      </c:pt>
                      <c:pt idx="27" formatCode="General">
                        <c:v>-13.214848484848485</c:v>
                      </c:pt>
                      <c:pt idx="28" formatCode="General">
                        <c:v>-13.314424242424243</c:v>
                      </c:pt>
                      <c:pt idx="29" formatCode="General">
                        <c:v>-13.41309090909091</c:v>
                      </c:pt>
                      <c:pt idx="30" formatCode="General">
                        <c:v>-13.510060606060607</c:v>
                      </c:pt>
                      <c:pt idx="31" formatCode="General">
                        <c:v>-13.602804841149773</c:v>
                      </c:pt>
                      <c:pt idx="32" formatCode="General">
                        <c:v>-13.693273827534039</c:v>
                      </c:pt>
                      <c:pt idx="33" formatCode="General">
                        <c:v>-13.783742813918305</c:v>
                      </c:pt>
                      <c:pt idx="34" formatCode="General">
                        <c:v>-13.874211800302572</c:v>
                      </c:pt>
                      <c:pt idx="35" formatCode="General">
                        <c:v>-13.964680786686838</c:v>
                      </c:pt>
                      <c:pt idx="36" formatCode="General">
                        <c:v>-14.055149773071104</c:v>
                      </c:pt>
                      <c:pt idx="37" formatCode="General">
                        <c:v>-14.145328290468985</c:v>
                      </c:pt>
                      <c:pt idx="38" formatCode="General">
                        <c:v>-14.228535552193645</c:v>
                      </c:pt>
                      <c:pt idx="39" formatCode="General">
                        <c:v>-14.311742813918306</c:v>
                      </c:pt>
                      <c:pt idx="40" formatCode="General">
                        <c:v>-14.394950075642965</c:v>
                      </c:pt>
                      <c:pt idx="41" formatCode="General">
                        <c:v>-14.478157337367625</c:v>
                      </c:pt>
                      <c:pt idx="42" formatCode="General">
                        <c:v>-14.561364599092284</c:v>
                      </c:pt>
                      <c:pt idx="43" formatCode="General">
                        <c:v>-14.644571860816944</c:v>
                      </c:pt>
                      <c:pt idx="44" formatCode="General">
                        <c:v>-14.726738275340393</c:v>
                      </c:pt>
                      <c:pt idx="45" formatCode="General">
                        <c:v>-14.807524962178517</c:v>
                      </c:pt>
                      <c:pt idx="46" formatCode="General">
                        <c:v>-14.888311649016641</c:v>
                      </c:pt>
                      <c:pt idx="47" formatCode="General">
                        <c:v>-14.969098335854767</c:v>
                      </c:pt>
                      <c:pt idx="48" formatCode="General">
                        <c:v>-15.049885022692891</c:v>
                      </c:pt>
                      <c:pt idx="49" formatCode="General">
                        <c:v>-15.130671709531015</c:v>
                      </c:pt>
                      <c:pt idx="50" formatCode="General">
                        <c:v>-15.211458396369139</c:v>
                      </c:pt>
                      <c:pt idx="51" formatCode="General">
                        <c:v>-15.293836363636364</c:v>
                      </c:pt>
                      <c:pt idx="52" formatCode="General">
                        <c:v>-15.376563636363638</c:v>
                      </c:pt>
                      <c:pt idx="53" formatCode="General">
                        <c:v>-15.45929090909091</c:v>
                      </c:pt>
                      <c:pt idx="54" formatCode="General">
                        <c:v>-15.542018181818182</c:v>
                      </c:pt>
                      <c:pt idx="55" formatCode="General">
                        <c:v>-15.624745454545454</c:v>
                      </c:pt>
                      <c:pt idx="56" formatCode="General">
                        <c:v>-15.707472727272728</c:v>
                      </c:pt>
                      <c:pt idx="57" formatCode="General">
                        <c:v>-15.792036308623299</c:v>
                      </c:pt>
                      <c:pt idx="58" formatCode="General">
                        <c:v>-15.883110438729199</c:v>
                      </c:pt>
                      <c:pt idx="59" formatCode="General">
                        <c:v>-15.974184568835099</c:v>
                      </c:pt>
                      <c:pt idx="60" formatCode="General">
                        <c:v>-16.065258698940998</c:v>
                      </c:pt>
                      <c:pt idx="61" formatCode="General">
                        <c:v>-16.156332829046899</c:v>
                      </c:pt>
                      <c:pt idx="62" formatCode="General">
                        <c:v>-16.247406959152798</c:v>
                      </c:pt>
                      <c:pt idx="63" formatCode="General">
                        <c:v>-16.3384810892587</c:v>
                      </c:pt>
                      <c:pt idx="64" formatCode="General">
                        <c:v>-16.435369696969698</c:v>
                      </c:pt>
                      <c:pt idx="65" formatCode="General">
                        <c:v>-16.535975757575756</c:v>
                      </c:pt>
                      <c:pt idx="66" formatCode="General">
                        <c:v>-16.640626506024095</c:v>
                      </c:pt>
                      <c:pt idx="67" formatCode="General">
                        <c:v>-16.747454545454545</c:v>
                      </c:pt>
                      <c:pt idx="68" formatCode="General">
                        <c:v>-16.858969696969698</c:v>
                      </c:pt>
                      <c:pt idx="69" formatCode="General">
                        <c:v>-16.974424242424242</c:v>
                      </c:pt>
                      <c:pt idx="70" formatCode="General">
                        <c:v>-17.091999999999999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-18.054697428139182</c:v>
                      </c:pt>
                      <c:pt idx="1">
                        <c:v>-18.256815431164902</c:v>
                      </c:pt>
                      <c:pt idx="2" formatCode="General">
                        <c:v>-18.458933434190619</c:v>
                      </c:pt>
                      <c:pt idx="3" formatCode="General">
                        <c:v>-18.66105143721634</c:v>
                      </c:pt>
                      <c:pt idx="4" formatCode="General">
                        <c:v>-18.86235854765507</c:v>
                      </c:pt>
                      <c:pt idx="5" formatCode="General">
                        <c:v>-19.05434039334342</c:v>
                      </c:pt>
                      <c:pt idx="6" formatCode="General">
                        <c:v>-19.24632223903177</c:v>
                      </c:pt>
                      <c:pt idx="7" formatCode="General">
                        <c:v>-19.438304084720123</c:v>
                      </c:pt>
                      <c:pt idx="8" formatCode="General">
                        <c:v>-19.630285930408473</c:v>
                      </c:pt>
                      <c:pt idx="9" formatCode="General">
                        <c:v>-19.822267776096822</c:v>
                      </c:pt>
                      <c:pt idx="10" formatCode="General">
                        <c:v>-20.014249621785172</c:v>
                      </c:pt>
                      <c:pt idx="11" formatCode="General">
                        <c:v>-20.19926323751891</c:v>
                      </c:pt>
                      <c:pt idx="12" formatCode="General">
                        <c:v>-20.376419062027232</c:v>
                      </c:pt>
                      <c:pt idx="13" formatCode="General">
                        <c:v>-20.55357488653555</c:v>
                      </c:pt>
                      <c:pt idx="14" formatCode="General">
                        <c:v>-20.730730711043872</c:v>
                      </c:pt>
                      <c:pt idx="15" formatCode="General">
                        <c:v>-20.907886535552194</c:v>
                      </c:pt>
                      <c:pt idx="16" formatCode="General">
                        <c:v>-21.085042360060513</c:v>
                      </c:pt>
                      <c:pt idx="17" formatCode="General">
                        <c:v>-21.262198184568835</c:v>
                      </c:pt>
                      <c:pt idx="18" formatCode="General">
                        <c:v>-21.429465960665659</c:v>
                      </c:pt>
                      <c:pt idx="19" formatCode="General">
                        <c:v>-21.595124054462936</c:v>
                      </c:pt>
                      <c:pt idx="20" formatCode="General">
                        <c:v>-21.760782148260212</c:v>
                      </c:pt>
                      <c:pt idx="21" formatCode="General">
                        <c:v>-21.926440242057488</c:v>
                      </c:pt>
                      <c:pt idx="22" formatCode="General">
                        <c:v>-22.092098335854768</c:v>
                      </c:pt>
                      <c:pt idx="23" formatCode="General">
                        <c:v>-22.257756429652044</c:v>
                      </c:pt>
                      <c:pt idx="24" formatCode="General">
                        <c:v>-22.423363636363639</c:v>
                      </c:pt>
                      <c:pt idx="25" formatCode="General">
                        <c:v>-22.588818181818183</c:v>
                      </c:pt>
                      <c:pt idx="26" formatCode="General">
                        <c:v>-22.754999999999999</c:v>
                      </c:pt>
                      <c:pt idx="27" formatCode="General">
                        <c:v>-22.921666666666667</c:v>
                      </c:pt>
                      <c:pt idx="28" formatCode="General">
                        <c:v>-23.09121212121212</c:v>
                      </c:pt>
                      <c:pt idx="29" formatCode="General">
                        <c:v>-23.262727272727272</c:v>
                      </c:pt>
                      <c:pt idx="30" formatCode="General">
                        <c:v>-23.438484848484848</c:v>
                      </c:pt>
                      <c:pt idx="31" formatCode="General">
                        <c:v>-23.627148260211801</c:v>
                      </c:pt>
                      <c:pt idx="32" formatCode="General">
                        <c:v>-23.822760968229954</c:v>
                      </c:pt>
                      <c:pt idx="33" formatCode="General">
                        <c:v>-24.018373676248107</c:v>
                      </c:pt>
                      <c:pt idx="34" formatCode="General">
                        <c:v>-24.213986384266263</c:v>
                      </c:pt>
                      <c:pt idx="35" formatCode="General">
                        <c:v>-24.409599092284417</c:v>
                      </c:pt>
                      <c:pt idx="36" formatCode="General">
                        <c:v>-24.60521180030257</c:v>
                      </c:pt>
                      <c:pt idx="37" formatCode="General">
                        <c:v>-24.801853252647504</c:v>
                      </c:pt>
                      <c:pt idx="38" formatCode="General">
                        <c:v>-25.023184568835099</c:v>
                      </c:pt>
                      <c:pt idx="39" formatCode="General">
                        <c:v>-25.244515885022693</c:v>
                      </c:pt>
                      <c:pt idx="40" formatCode="General">
                        <c:v>-25.465847201210288</c:v>
                      </c:pt>
                      <c:pt idx="41" formatCode="General">
                        <c:v>-25.687178517397882</c:v>
                      </c:pt>
                      <c:pt idx="42" formatCode="General">
                        <c:v>-25.908509833585477</c:v>
                      </c:pt>
                      <c:pt idx="43" formatCode="General">
                        <c:v>-26.129841149773071</c:v>
                      </c:pt>
                      <c:pt idx="44" formatCode="General">
                        <c:v>-26.350782148260212</c:v>
                      </c:pt>
                      <c:pt idx="45" formatCode="General">
                        <c:v>-26.571205748865356</c:v>
                      </c:pt>
                      <c:pt idx="46" formatCode="General">
                        <c:v>-26.791629349470501</c:v>
                      </c:pt>
                      <c:pt idx="47" formatCode="General">
                        <c:v>-27.012052950075642</c:v>
                      </c:pt>
                      <c:pt idx="48" formatCode="General">
                        <c:v>-27.232476550680786</c:v>
                      </c:pt>
                      <c:pt idx="49" formatCode="General">
                        <c:v>-27.452900151285931</c:v>
                      </c:pt>
                      <c:pt idx="50" formatCode="General">
                        <c:v>-27.673323751891076</c:v>
                      </c:pt>
                      <c:pt idx="51" formatCode="General">
                        <c:v>-27.883584848484851</c:v>
                      </c:pt>
                      <c:pt idx="52" formatCode="General">
                        <c:v>-28.091615151515153</c:v>
                      </c:pt>
                      <c:pt idx="53" formatCode="General">
                        <c:v>-28.299645454545455</c:v>
                      </c:pt>
                      <c:pt idx="54" formatCode="General">
                        <c:v>-28.507675757575758</c:v>
                      </c:pt>
                      <c:pt idx="55" formatCode="General">
                        <c:v>-28.71570606060606</c:v>
                      </c:pt>
                      <c:pt idx="56" formatCode="General">
                        <c:v>-28.923736363636365</c:v>
                      </c:pt>
                      <c:pt idx="57" formatCode="General">
                        <c:v>-29.127969742813917</c:v>
                      </c:pt>
                      <c:pt idx="58" formatCode="General">
                        <c:v>-29.318741301059003</c:v>
                      </c:pt>
                      <c:pt idx="59" formatCode="General">
                        <c:v>-29.509512859304085</c:v>
                      </c:pt>
                      <c:pt idx="60" formatCode="General">
                        <c:v>-29.70028441754917</c:v>
                      </c:pt>
                      <c:pt idx="61" formatCode="General">
                        <c:v>-29.891055975794252</c:v>
                      </c:pt>
                      <c:pt idx="62" formatCode="General">
                        <c:v>-30.081827534039334</c:v>
                      </c:pt>
                      <c:pt idx="63" formatCode="General">
                        <c:v>-30.27259909228442</c:v>
                      </c:pt>
                      <c:pt idx="64" formatCode="General">
                        <c:v>-30.459018181818184</c:v>
                      </c:pt>
                      <c:pt idx="65" formatCode="General">
                        <c:v>-30.642654545454544</c:v>
                      </c:pt>
                      <c:pt idx="66" formatCode="General">
                        <c:v>-30.815975903614454</c:v>
                      </c:pt>
                      <c:pt idx="67" formatCode="General">
                        <c:v>-30.990090909090906</c:v>
                      </c:pt>
                      <c:pt idx="68" formatCode="General">
                        <c:v>-31.167060606060605</c:v>
                      </c:pt>
                      <c:pt idx="69" formatCode="General">
                        <c:v>-31.338121212121212</c:v>
                      </c:pt>
                      <c:pt idx="70" formatCode="General">
                        <c:v>-31.506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-57.82181818181818</c:v>
                      </c:pt>
                      <c:pt idx="2" formatCode="General">
                        <c:v>-56.458181818181821</c:v>
                      </c:pt>
                      <c:pt idx="3" formatCode="General">
                        <c:v>-55.240545454545455</c:v>
                      </c:pt>
                      <c:pt idx="4" formatCode="General">
                        <c:v>-54.169515151515157</c:v>
                      </c:pt>
                      <c:pt idx="5" formatCode="General">
                        <c:v>-54.163454545454542</c:v>
                      </c:pt>
                      <c:pt idx="6" formatCode="General">
                        <c:v>-53.748132530120479</c:v>
                      </c:pt>
                      <c:pt idx="7" formatCode="General">
                        <c:v>-52.790301204819279</c:v>
                      </c:pt>
                      <c:pt idx="8" formatCode="General">
                        <c:v>-52.266666666666666</c:v>
                      </c:pt>
                      <c:pt idx="9" formatCode="General">
                        <c:v>-51.88</c:v>
                      </c:pt>
                      <c:pt idx="10" formatCode="General">
                        <c:v>-51.546666666666674</c:v>
                      </c:pt>
                      <c:pt idx="11" formatCode="General">
                        <c:v>-51.257726172465965</c:v>
                      </c:pt>
                      <c:pt idx="12" formatCode="General">
                        <c:v>-51.018845688350986</c:v>
                      </c:pt>
                      <c:pt idx="13" formatCode="General">
                        <c:v>-50.779965204236014</c:v>
                      </c:pt>
                      <c:pt idx="14" formatCode="General">
                        <c:v>-50.541084720121034</c:v>
                      </c:pt>
                      <c:pt idx="15" formatCode="General">
                        <c:v>-50.302204236006055</c:v>
                      </c:pt>
                      <c:pt idx="16" formatCode="General">
                        <c:v>-50.063323751891076</c:v>
                      </c:pt>
                      <c:pt idx="17" formatCode="General">
                        <c:v>-49.824443267776097</c:v>
                      </c:pt>
                      <c:pt idx="18" formatCode="General">
                        <c:v>-49.652878787878791</c:v>
                      </c:pt>
                      <c:pt idx="19" formatCode="General">
                        <c:v>-49.495072727272728</c:v>
                      </c:pt>
                      <c:pt idx="20" formatCode="General">
                        <c:v>-49.347799999999999</c:v>
                      </c:pt>
                      <c:pt idx="21" formatCode="General">
                        <c:v>-49.220212121212121</c:v>
                      </c:pt>
                      <c:pt idx="22" formatCode="General">
                        <c:v>-49.108090909090905</c:v>
                      </c:pt>
                      <c:pt idx="23" formatCode="General">
                        <c:v>-49.151174698795181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-60.923190620272315</c:v>
                      </c:pt>
                      <c:pt idx="65" formatCode="General">
                        <c:v>-61.184158850226929</c:v>
                      </c:pt>
                      <c:pt idx="66" formatCode="General">
                        <c:v>-61.445127080181543</c:v>
                      </c:pt>
                      <c:pt idx="67" formatCode="General">
                        <c:v>-61.706095310136156</c:v>
                      </c:pt>
                      <c:pt idx="68" formatCode="General">
                        <c:v>-61.967063540090777</c:v>
                      </c:pt>
                      <c:pt idx="69" formatCode="General">
                        <c:v>-62.228031770045391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-21.105757575757575</c:v>
                      </c:pt>
                      <c:pt idx="1">
                        <c:v>-20.527333333333335</c:v>
                      </c:pt>
                      <c:pt idx="2" formatCode="General">
                        <c:v>-19.994</c:v>
                      </c:pt>
                      <c:pt idx="3" formatCode="General">
                        <c:v>-19.721696969696971</c:v>
                      </c:pt>
                      <c:pt idx="4" formatCode="General">
                        <c:v>-19.592969696969696</c:v>
                      </c:pt>
                      <c:pt idx="5" formatCode="General">
                        <c:v>-20.005090909090907</c:v>
                      </c:pt>
                      <c:pt idx="6" formatCode="General">
                        <c:v>-20.188192771084335</c:v>
                      </c:pt>
                      <c:pt idx="7" formatCode="General">
                        <c:v>-20.067710843373494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-185.65945454545451</c:v>
                      </c:pt>
                      <c:pt idx="1">
                        <c:v>-180.33072727272724</c:v>
                      </c:pt>
                      <c:pt idx="2" formatCode="General">
                        <c:v>-175.38527272727273</c:v>
                      </c:pt>
                      <c:pt idx="3" formatCode="General">
                        <c:v>-170.78933333333333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-100.42183358547655</c:v>
                      </c:pt>
                      <c:pt idx="65" formatCode="General">
                        <c:v>-100.90352798789712</c:v>
                      </c:pt>
                      <c:pt idx="66" formatCode="General">
                        <c:v>-101.38522239031769</c:v>
                      </c:pt>
                      <c:pt idx="67" formatCode="General">
                        <c:v>-101.86691679273828</c:v>
                      </c:pt>
                      <c:pt idx="68" formatCode="General">
                        <c:v>-102.34861119515885</c:v>
                      </c:pt>
                      <c:pt idx="69" formatCode="General">
                        <c:v>-102.83030559757943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-75.533818181818177</c:v>
                      </c:pt>
                      <c:pt idx="4" formatCode="General">
                        <c:v>-73.383030303030296</c:v>
                      </c:pt>
                      <c:pt idx="5" formatCode="General">
                        <c:v>-71.170909090909092</c:v>
                      </c:pt>
                      <c:pt idx="6" formatCode="General">
                        <c:v>-69.156204819277107</c:v>
                      </c:pt>
                      <c:pt idx="7" formatCode="General">
                        <c:v>-67.403192771084335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-36.259464447806359</c:v>
                      </c:pt>
                      <c:pt idx="65" formatCode="General">
                        <c:v>-36.440553706505298</c:v>
                      </c:pt>
                      <c:pt idx="66" formatCode="General">
                        <c:v>-36.621642965204238</c:v>
                      </c:pt>
                      <c:pt idx="67" formatCode="General">
                        <c:v>-36.802732223903178</c:v>
                      </c:pt>
                      <c:pt idx="68" formatCode="General">
                        <c:v>-36.983821482602124</c:v>
                      </c:pt>
                      <c:pt idx="69" formatCode="General">
                        <c:v>-37.164910741301064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-36.464181818181821</c:v>
                      </c:pt>
                      <c:pt idx="3" formatCode="General">
                        <c:v>-35.518848484848483</c:v>
                      </c:pt>
                      <c:pt idx="4" formatCode="General">
                        <c:v>-34.576545454545453</c:v>
                      </c:pt>
                      <c:pt idx="5" formatCode="General">
                        <c:v>-34.158363636363639</c:v>
                      </c:pt>
                      <c:pt idx="6" formatCode="General">
                        <c:v>-33.559939759036148</c:v>
                      </c:pt>
                      <c:pt idx="7" formatCode="General">
                        <c:v>-32.722590361445782</c:v>
                      </c:pt>
                      <c:pt idx="8" formatCode="General">
                        <c:v>-32.114666666666665</c:v>
                      </c:pt>
                      <c:pt idx="9" formatCode="General">
                        <c:v>-31.581818181818182</c:v>
                      </c:pt>
                      <c:pt idx="10" formatCode="General">
                        <c:v>-31.096969696969701</c:v>
                      </c:pt>
                      <c:pt idx="11" formatCode="General">
                        <c:v>-30.656621785173982</c:v>
                      </c:pt>
                      <c:pt idx="12" formatCode="General">
                        <c:v>-30.266455370650533</c:v>
                      </c:pt>
                      <c:pt idx="13" formatCode="General">
                        <c:v>-29.876288956127084</c:v>
                      </c:pt>
                      <c:pt idx="14" formatCode="General">
                        <c:v>-29.486122541603635</c:v>
                      </c:pt>
                      <c:pt idx="15" formatCode="General">
                        <c:v>-29.095956127080186</c:v>
                      </c:pt>
                      <c:pt idx="16" formatCode="General">
                        <c:v>-28.705789712556733</c:v>
                      </c:pt>
                      <c:pt idx="17" formatCode="General">
                        <c:v>-28.315623298033284</c:v>
                      </c:pt>
                      <c:pt idx="18" formatCode="General">
                        <c:v>-27.992575757575761</c:v>
                      </c:pt>
                      <c:pt idx="19" formatCode="General">
                        <c:v>-27.684527272727273</c:v>
                      </c:pt>
                      <c:pt idx="20" formatCode="General">
                        <c:v>-27.3918</c:v>
                      </c:pt>
                      <c:pt idx="21" formatCode="General">
                        <c:v>-27.115363636363636</c:v>
                      </c:pt>
                      <c:pt idx="22" formatCode="General">
                        <c:v>-26.85172727272727</c:v>
                      </c:pt>
                      <c:pt idx="23" formatCode="General">
                        <c:v>-26.744126506024095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-33.02028593040847</c:v>
                      </c:pt>
                      <c:pt idx="65" formatCode="General">
                        <c:v>-33.16173827534039</c:v>
                      </c:pt>
                      <c:pt idx="66" formatCode="General">
                        <c:v>-33.303190620272311</c:v>
                      </c:pt>
                      <c:pt idx="67" formatCode="General">
                        <c:v>-33.444642965204238</c:v>
                      </c:pt>
                      <c:pt idx="68" formatCode="General">
                        <c:v>-33.586095310136159</c:v>
                      </c:pt>
                      <c:pt idx="69" formatCode="General">
                        <c:v>-33.727547655068079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-143.44793939393938</c:v>
                      </c:pt>
                      <c:pt idx="1">
                        <c:v>-139.27606060606061</c:v>
                      </c:pt>
                      <c:pt idx="2" formatCode="General">
                        <c:v>-135.39727272727271</c:v>
                      </c:pt>
                      <c:pt idx="3" formatCode="General">
                        <c:v>-131.34593939393937</c:v>
                      </c:pt>
                      <c:pt idx="4" formatCode="General">
                        <c:v>-127.1730909090909</c:v>
                      </c:pt>
                      <c:pt idx="5" formatCode="General">
                        <c:v>-122.33672727272727</c:v>
                      </c:pt>
                      <c:pt idx="6" formatCode="General">
                        <c:v>-118.12421686746988</c:v>
                      </c:pt>
                      <c:pt idx="7" formatCode="General">
                        <c:v>-114.73867469879519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-44.616024205748872</c:v>
                      </c:pt>
                      <c:pt idx="65" formatCode="General">
                        <c:v>-44.858686838124058</c:v>
                      </c:pt>
                      <c:pt idx="66" formatCode="General">
                        <c:v>-45.101349470499244</c:v>
                      </c:pt>
                      <c:pt idx="67" formatCode="General">
                        <c:v>-45.344012102874437</c:v>
                      </c:pt>
                      <c:pt idx="68" formatCode="General">
                        <c:v>-45.586674735249623</c:v>
                      </c:pt>
                      <c:pt idx="69" formatCode="General">
                        <c:v>-45.829337367624817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-19.02</c:v>
                      </c:pt>
                      <c:pt idx="1">
                        <c:v>-19.02</c:v>
                      </c:pt>
                      <c:pt idx="2" formatCode="General">
                        <c:v>-19.02</c:v>
                      </c:pt>
                      <c:pt idx="3" formatCode="General">
                        <c:v>-19.152727272727272</c:v>
                      </c:pt>
                      <c:pt idx="4" formatCode="General">
                        <c:v>-19.306909090909091</c:v>
                      </c:pt>
                      <c:pt idx="5" formatCode="General">
                        <c:v>-19.143272727272727</c:v>
                      </c:pt>
                      <c:pt idx="6" formatCode="General">
                        <c:v>-19.130301204819279</c:v>
                      </c:pt>
                      <c:pt idx="7" formatCode="General">
                        <c:v>-19.317048192771082</c:v>
                      </c:pt>
                      <c:pt idx="8" formatCode="General">
                        <c:v>-19.369333333333334</c:v>
                      </c:pt>
                      <c:pt idx="9" formatCode="General">
                        <c:v>-19.382181818181817</c:v>
                      </c:pt>
                      <c:pt idx="10" formatCode="General">
                        <c:v>-19.400363636363636</c:v>
                      </c:pt>
                      <c:pt idx="11" formatCode="General">
                        <c:v>-19.418532526475037</c:v>
                      </c:pt>
                      <c:pt idx="12" formatCode="General">
                        <c:v>-19.436686838124054</c:v>
                      </c:pt>
                      <c:pt idx="13" formatCode="General">
                        <c:v>-19.45484114977307</c:v>
                      </c:pt>
                      <c:pt idx="14" formatCode="General">
                        <c:v>-19.472995461422087</c:v>
                      </c:pt>
                      <c:pt idx="15" formatCode="General">
                        <c:v>-19.491149773071104</c:v>
                      </c:pt>
                      <c:pt idx="16" formatCode="General">
                        <c:v>-19.509304084720121</c:v>
                      </c:pt>
                      <c:pt idx="17" formatCode="General">
                        <c:v>-19.527458396369138</c:v>
                      </c:pt>
                      <c:pt idx="18" formatCode="General">
                        <c:v>-19.545636363636362</c:v>
                      </c:pt>
                      <c:pt idx="19" formatCode="General">
                        <c:v>-19.565090909090909</c:v>
                      </c:pt>
                      <c:pt idx="20" formatCode="General">
                        <c:v>-19.589333333333332</c:v>
                      </c:pt>
                      <c:pt idx="21" formatCode="General">
                        <c:v>-19.610181818181818</c:v>
                      </c:pt>
                      <c:pt idx="22" formatCode="General">
                        <c:v>-19.628363636363634</c:v>
                      </c:pt>
                      <c:pt idx="23" formatCode="General">
                        <c:v>-19.542289156626506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-36.464181818181821</c:v>
                      </c:pt>
                      <c:pt idx="3" formatCode="General">
                        <c:v>-35.518848484848483</c:v>
                      </c:pt>
                      <c:pt idx="4" formatCode="General">
                        <c:v>-34.576545454545453</c:v>
                      </c:pt>
                      <c:pt idx="5" formatCode="General">
                        <c:v>-34.158363636363639</c:v>
                      </c:pt>
                      <c:pt idx="6" formatCode="General">
                        <c:v>-33.559939759036148</c:v>
                      </c:pt>
                      <c:pt idx="7" formatCode="General">
                        <c:v>-32.722590361445782</c:v>
                      </c:pt>
                      <c:pt idx="8" formatCode="General">
                        <c:v>-32.114666666666665</c:v>
                      </c:pt>
                      <c:pt idx="9" formatCode="General">
                        <c:v>-31.581818181818182</c:v>
                      </c:pt>
                      <c:pt idx="10" formatCode="General">
                        <c:v>-31.096969696969701</c:v>
                      </c:pt>
                      <c:pt idx="11" formatCode="General">
                        <c:v>-30.656621785173982</c:v>
                      </c:pt>
                      <c:pt idx="12" formatCode="General">
                        <c:v>-30.266455370650533</c:v>
                      </c:pt>
                      <c:pt idx="13" formatCode="General">
                        <c:v>-29.876288956127084</c:v>
                      </c:pt>
                      <c:pt idx="14" formatCode="General">
                        <c:v>-29.486122541603635</c:v>
                      </c:pt>
                      <c:pt idx="15" formatCode="General">
                        <c:v>-29.095956127080186</c:v>
                      </c:pt>
                      <c:pt idx="16" formatCode="General">
                        <c:v>-28.705789712556733</c:v>
                      </c:pt>
                      <c:pt idx="17" formatCode="General">
                        <c:v>-28.315623298033284</c:v>
                      </c:pt>
                      <c:pt idx="18" formatCode="General">
                        <c:v>-27.992575757575761</c:v>
                      </c:pt>
                      <c:pt idx="19" formatCode="General">
                        <c:v>-27.684527272727273</c:v>
                      </c:pt>
                      <c:pt idx="20" formatCode="General">
                        <c:v>-27.3918</c:v>
                      </c:pt>
                      <c:pt idx="21" formatCode="General">
                        <c:v>-27.115363636363636</c:v>
                      </c:pt>
                      <c:pt idx="22" formatCode="General">
                        <c:v>-26.85172727272727</c:v>
                      </c:pt>
                      <c:pt idx="23" formatCode="General">
                        <c:v>-26.744126506024095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-33.02028593040847</c:v>
                      </c:pt>
                      <c:pt idx="65" formatCode="General">
                        <c:v>-33.16173827534039</c:v>
                      </c:pt>
                      <c:pt idx="66" formatCode="General">
                        <c:v>-33.303190620272311</c:v>
                      </c:pt>
                      <c:pt idx="67" formatCode="General">
                        <c:v>-33.444642965204238</c:v>
                      </c:pt>
                      <c:pt idx="68" formatCode="General">
                        <c:v>-33.586095310136159</c:v>
                      </c:pt>
                      <c:pt idx="69" formatCode="General">
                        <c:v>-33.727547655068079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-19.02</c:v>
                      </c:pt>
                      <c:pt idx="1">
                        <c:v>-19.02</c:v>
                      </c:pt>
                      <c:pt idx="2" formatCode="General">
                        <c:v>-19.02</c:v>
                      </c:pt>
                      <c:pt idx="3" formatCode="General">
                        <c:v>-19.152727272727272</c:v>
                      </c:pt>
                      <c:pt idx="4" formatCode="General">
                        <c:v>-19.306909090909091</c:v>
                      </c:pt>
                      <c:pt idx="5" formatCode="General">
                        <c:v>-19.143272727272727</c:v>
                      </c:pt>
                      <c:pt idx="6" formatCode="General">
                        <c:v>-19.130301204819279</c:v>
                      </c:pt>
                      <c:pt idx="7" formatCode="General">
                        <c:v>-19.317048192771082</c:v>
                      </c:pt>
                      <c:pt idx="8" formatCode="General">
                        <c:v>-19.369333333333334</c:v>
                      </c:pt>
                      <c:pt idx="9" formatCode="General">
                        <c:v>-19.382181818181817</c:v>
                      </c:pt>
                      <c:pt idx="10" formatCode="General">
                        <c:v>-19.400363636363636</c:v>
                      </c:pt>
                      <c:pt idx="11" formatCode="General">
                        <c:v>-19.418532526475037</c:v>
                      </c:pt>
                      <c:pt idx="12" formatCode="General">
                        <c:v>-19.436686838124054</c:v>
                      </c:pt>
                      <c:pt idx="13" formatCode="General">
                        <c:v>-19.45484114977307</c:v>
                      </c:pt>
                      <c:pt idx="14" formatCode="General">
                        <c:v>-19.472995461422087</c:v>
                      </c:pt>
                      <c:pt idx="15" formatCode="General">
                        <c:v>-19.491149773071104</c:v>
                      </c:pt>
                      <c:pt idx="16" formatCode="General">
                        <c:v>-19.509304084720121</c:v>
                      </c:pt>
                      <c:pt idx="17" formatCode="General">
                        <c:v>-19.527458396369138</c:v>
                      </c:pt>
                      <c:pt idx="18" formatCode="General">
                        <c:v>-19.545636363636362</c:v>
                      </c:pt>
                      <c:pt idx="19" formatCode="General">
                        <c:v>-19.565090909090909</c:v>
                      </c:pt>
                      <c:pt idx="20" formatCode="General">
                        <c:v>-19.589333333333332</c:v>
                      </c:pt>
                      <c:pt idx="21" formatCode="General">
                        <c:v>-19.610181818181818</c:v>
                      </c:pt>
                      <c:pt idx="22" formatCode="General">
                        <c:v>-19.628363636363634</c:v>
                      </c:pt>
                      <c:pt idx="23" formatCode="General">
                        <c:v>-19.542289156626506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-21.105757575757575</c:v>
                      </c:pt>
                      <c:pt idx="1">
                        <c:v>-20.527333333333335</c:v>
                      </c:pt>
                      <c:pt idx="2" formatCode="General">
                        <c:v>-19.994</c:v>
                      </c:pt>
                      <c:pt idx="3" formatCode="General">
                        <c:v>-19.721696969696971</c:v>
                      </c:pt>
                      <c:pt idx="4" formatCode="General">
                        <c:v>-19.592969696969696</c:v>
                      </c:pt>
                      <c:pt idx="5" formatCode="General">
                        <c:v>-20.005090909090907</c:v>
                      </c:pt>
                      <c:pt idx="6" formatCode="General">
                        <c:v>-20.188192771084335</c:v>
                      </c:pt>
                      <c:pt idx="7" formatCode="General">
                        <c:v>-20.067710843373494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-60.236787878787872</c:v>
                      </c:pt>
                      <c:pt idx="1">
                        <c:v>-58.907818181818179</c:v>
                      </c:pt>
                      <c:pt idx="2" formatCode="General">
                        <c:v>-57.744181818181815</c:v>
                      </c:pt>
                      <c:pt idx="3" formatCode="General">
                        <c:v>-56.770787878787878</c:v>
                      </c:pt>
                      <c:pt idx="4" formatCode="General">
                        <c:v>-55.919636363636364</c:v>
                      </c:pt>
                      <c:pt idx="5" formatCode="General">
                        <c:v>-55.665090909090907</c:v>
                      </c:pt>
                      <c:pt idx="6" formatCode="General">
                        <c:v>-55.214337349397596</c:v>
                      </c:pt>
                      <c:pt idx="7" formatCode="General">
                        <c:v>-54.503493975903616</c:v>
                      </c:pt>
                      <c:pt idx="8" formatCode="General">
                        <c:v>-53.92</c:v>
                      </c:pt>
                      <c:pt idx="9" formatCode="General">
                        <c:v>-53.390327272727269</c:v>
                      </c:pt>
                      <c:pt idx="10" formatCode="General">
                        <c:v>-52.976387878787875</c:v>
                      </c:pt>
                      <c:pt idx="11" formatCode="General">
                        <c:v>-52.647143721633888</c:v>
                      </c:pt>
                      <c:pt idx="12" formatCode="General">
                        <c:v>-52.413406959152795</c:v>
                      </c:pt>
                      <c:pt idx="13" formatCode="General">
                        <c:v>-52.179670196671708</c:v>
                      </c:pt>
                      <c:pt idx="14" formatCode="General">
                        <c:v>-51.945933434190614</c:v>
                      </c:pt>
                      <c:pt idx="15" formatCode="General">
                        <c:v>-51.712196671709528</c:v>
                      </c:pt>
                      <c:pt idx="16" formatCode="General">
                        <c:v>-51.478459909228441</c:v>
                      </c:pt>
                      <c:pt idx="17" formatCode="General">
                        <c:v>-51.244723146747347</c:v>
                      </c:pt>
                      <c:pt idx="18" formatCode="General">
                        <c:v>-51.166654545454541</c:v>
                      </c:pt>
                      <c:pt idx="19" formatCode="General">
                        <c:v>-51.135054545454544</c:v>
                      </c:pt>
                      <c:pt idx="20" formatCode="General">
                        <c:v>-51.182933333333331</c:v>
                      </c:pt>
                      <c:pt idx="21" formatCode="General">
                        <c:v>-51.28070303030303</c:v>
                      </c:pt>
                      <c:pt idx="22" formatCode="General">
                        <c:v>-51.417672727272731</c:v>
                      </c:pt>
                      <c:pt idx="23" formatCode="General">
                        <c:v>-51.628993975903619</c:v>
                      </c:pt>
                      <c:pt idx="24" formatCode="General">
                        <c:v>-51.862848484848492</c:v>
                      </c:pt>
                      <c:pt idx="25" formatCode="General">
                        <c:v>-52.142242424242433</c:v>
                      </c:pt>
                      <c:pt idx="26" formatCode="General">
                        <c:v>-52.432545454545455</c:v>
                      </c:pt>
                      <c:pt idx="27" formatCode="General">
                        <c:v>-52.730121212121212</c:v>
                      </c:pt>
                      <c:pt idx="28" formatCode="General">
                        <c:v>-53.034606060606059</c:v>
                      </c:pt>
                      <c:pt idx="29" formatCode="General">
                        <c:v>-53.343454545454541</c:v>
                      </c:pt>
                      <c:pt idx="30" formatCode="General">
                        <c:v>-53.661636363636369</c:v>
                      </c:pt>
                      <c:pt idx="31" formatCode="General">
                        <c:v>-53.972818456883516</c:v>
                      </c:pt>
                      <c:pt idx="32" formatCode="General">
                        <c:v>-54.280231467473527</c:v>
                      </c:pt>
                      <c:pt idx="33" formatCode="General">
                        <c:v>-54.587644478063538</c:v>
                      </c:pt>
                      <c:pt idx="34" formatCode="General">
                        <c:v>-54.895057488653556</c:v>
                      </c:pt>
                      <c:pt idx="35" formatCode="General">
                        <c:v>-55.202470499243567</c:v>
                      </c:pt>
                      <c:pt idx="36" formatCode="General">
                        <c:v>-55.509883509833585</c:v>
                      </c:pt>
                      <c:pt idx="37" formatCode="General">
                        <c:v>-55.816757942511344</c:v>
                      </c:pt>
                      <c:pt idx="38" formatCode="General">
                        <c:v>-56.110706505295006</c:v>
                      </c:pt>
                      <c:pt idx="39" formatCode="General">
                        <c:v>-56.404655068078668</c:v>
                      </c:pt>
                      <c:pt idx="40" formatCode="General">
                        <c:v>-56.69860363086233</c:v>
                      </c:pt>
                      <c:pt idx="41" formatCode="General">
                        <c:v>-56.992552193645992</c:v>
                      </c:pt>
                      <c:pt idx="42" formatCode="General">
                        <c:v>-57.286500756429653</c:v>
                      </c:pt>
                      <c:pt idx="43" formatCode="General">
                        <c:v>-57.580449319213315</c:v>
                      </c:pt>
                      <c:pt idx="44" formatCode="General">
                        <c:v>-57.869193645990926</c:v>
                      </c:pt>
                      <c:pt idx="45" formatCode="General">
                        <c:v>-58.15103933434191</c:v>
                      </c:pt>
                      <c:pt idx="46" formatCode="General">
                        <c:v>-58.432885022692894</c:v>
                      </c:pt>
                      <c:pt idx="47" formatCode="General">
                        <c:v>-58.714730711043877</c:v>
                      </c:pt>
                      <c:pt idx="48" formatCode="General">
                        <c:v>-58.996576399394861</c:v>
                      </c:pt>
                      <c:pt idx="49" formatCode="General">
                        <c:v>-59.278422087745845</c:v>
                      </c:pt>
                      <c:pt idx="50" formatCode="General">
                        <c:v>-59.560267776096829</c:v>
                      </c:pt>
                      <c:pt idx="51" formatCode="General">
                        <c:v>-59.834139393939395</c:v>
                      </c:pt>
                      <c:pt idx="52" formatCode="General">
                        <c:v>-60.106260606060609</c:v>
                      </c:pt>
                      <c:pt idx="53" formatCode="General">
                        <c:v>-60.378381818181822</c:v>
                      </c:pt>
                      <c:pt idx="54" formatCode="General">
                        <c:v>-60.650503030303028</c:v>
                      </c:pt>
                      <c:pt idx="55" formatCode="General">
                        <c:v>-60.922624242424241</c:v>
                      </c:pt>
                      <c:pt idx="56" formatCode="General">
                        <c:v>-61.194745454545455</c:v>
                      </c:pt>
                      <c:pt idx="57" formatCode="General">
                        <c:v>-61.46743373493976</c:v>
                      </c:pt>
                      <c:pt idx="58" formatCode="General">
                        <c:v>-61.742132530120479</c:v>
                      </c:pt>
                      <c:pt idx="59" formatCode="General">
                        <c:v>-62.009278787878785</c:v>
                      </c:pt>
                      <c:pt idx="60" formatCode="General">
                        <c:v>-62.27049090909091</c:v>
                      </c:pt>
                      <c:pt idx="61" formatCode="General">
                        <c:v>-62.539975757575753</c:v>
                      </c:pt>
                      <c:pt idx="62" formatCode="General">
                        <c:v>-62.809648484848481</c:v>
                      </c:pt>
                      <c:pt idx="63" formatCode="General">
                        <c:v>-63.077527272727274</c:v>
                      </c:pt>
                      <c:pt idx="64" formatCode="General">
                        <c:v>-63.33999092284418</c:v>
                      </c:pt>
                      <c:pt idx="65" formatCode="General">
                        <c:v>-63.598992435703479</c:v>
                      </c:pt>
                      <c:pt idx="66" formatCode="General">
                        <c:v>-63.857993948562786</c:v>
                      </c:pt>
                      <c:pt idx="67" formatCode="General">
                        <c:v>-64.116995461422093</c:v>
                      </c:pt>
                      <c:pt idx="68" formatCode="General">
                        <c:v>-64.375996974281392</c:v>
                      </c:pt>
                      <c:pt idx="69" formatCode="General">
                        <c:v>-64.634998487140706</c:v>
                      </c:pt>
                      <c:pt idx="70" formatCode="General">
                        <c:v>-64.894000000000005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-38.512484848484846</c:v>
                      </c:pt>
                      <c:pt idx="1">
                        <c:v>-37.55684848484848</c:v>
                      </c:pt>
                      <c:pt idx="2" formatCode="General">
                        <c:v>-36.653818181818181</c:v>
                      </c:pt>
                      <c:pt idx="3" formatCode="General">
                        <c:v>-35.821575757575751</c:v>
                      </c:pt>
                      <c:pt idx="4" formatCode="General">
                        <c:v>-35.031515151515151</c:v>
                      </c:pt>
                      <c:pt idx="5" formatCode="General">
                        <c:v>-34.425454545454542</c:v>
                      </c:pt>
                      <c:pt idx="6" formatCode="General">
                        <c:v>-33.800240963855423</c:v>
                      </c:pt>
                      <c:pt idx="7" formatCode="General">
                        <c:v>-33.149638554216871</c:v>
                      </c:pt>
                      <c:pt idx="8" formatCode="General">
                        <c:v>-32.556666666666665</c:v>
                      </c:pt>
                      <c:pt idx="9" formatCode="General">
                        <c:v>-31.989418181818181</c:v>
                      </c:pt>
                      <c:pt idx="10" formatCode="General">
                        <c:v>-31.484569696969697</c:v>
                      </c:pt>
                      <c:pt idx="11" formatCode="General">
                        <c:v>-31.045993948562781</c:v>
                      </c:pt>
                      <c:pt idx="12" formatCode="General">
                        <c:v>-30.682151285930406</c:v>
                      </c:pt>
                      <c:pt idx="13" formatCode="General">
                        <c:v>-30.31830862329803</c:v>
                      </c:pt>
                      <c:pt idx="14" formatCode="General">
                        <c:v>-29.954465960665654</c:v>
                      </c:pt>
                      <c:pt idx="15" formatCode="General">
                        <c:v>-29.590623298033279</c:v>
                      </c:pt>
                      <c:pt idx="16" formatCode="General">
                        <c:v>-29.226780635400907</c:v>
                      </c:pt>
                      <c:pt idx="17" formatCode="General">
                        <c:v>-28.862937972768528</c:v>
                      </c:pt>
                      <c:pt idx="18" formatCode="General">
                        <c:v>-28.662412121212121</c:v>
                      </c:pt>
                      <c:pt idx="19" formatCode="General">
                        <c:v>-28.51087272727273</c:v>
                      </c:pt>
                      <c:pt idx="20" formatCode="General">
                        <c:v>-28.4436</c:v>
                      </c:pt>
                      <c:pt idx="21" formatCode="General">
                        <c:v>-28.426218181818179</c:v>
                      </c:pt>
                      <c:pt idx="22" formatCode="General">
                        <c:v>-28.448036363636362</c:v>
                      </c:pt>
                      <c:pt idx="23" formatCode="General">
                        <c:v>-28.533873493975904</c:v>
                      </c:pt>
                      <c:pt idx="24" formatCode="General">
                        <c:v>-28.638000000000002</c:v>
                      </c:pt>
                      <c:pt idx="25" formatCode="General">
                        <c:v>-28.778000000000002</c:v>
                      </c:pt>
                      <c:pt idx="26" formatCode="General">
                        <c:v>-28.928909090909091</c:v>
                      </c:pt>
                      <c:pt idx="27" formatCode="General">
                        <c:v>-29.087090909090907</c:v>
                      </c:pt>
                      <c:pt idx="28" formatCode="General">
                        <c:v>-29.252181818181818</c:v>
                      </c:pt>
                      <c:pt idx="29" formatCode="General">
                        <c:v>-29.419818181818179</c:v>
                      </c:pt>
                      <c:pt idx="30" formatCode="General">
                        <c:v>-29.592545454545455</c:v>
                      </c:pt>
                      <c:pt idx="31" formatCode="General">
                        <c:v>-29.761366111951592</c:v>
                      </c:pt>
                      <c:pt idx="32" formatCode="General">
                        <c:v>-29.928083207261729</c:v>
                      </c:pt>
                      <c:pt idx="33" formatCode="General">
                        <c:v>-30.094800302571862</c:v>
                      </c:pt>
                      <c:pt idx="34" formatCode="General">
                        <c:v>-30.261517397881999</c:v>
                      </c:pt>
                      <c:pt idx="35" formatCode="General">
                        <c:v>-30.428234493192136</c:v>
                      </c:pt>
                      <c:pt idx="36" formatCode="General">
                        <c:v>-30.594951588502273</c:v>
                      </c:pt>
                      <c:pt idx="37" formatCode="General">
                        <c:v>-30.761372163388806</c:v>
                      </c:pt>
                      <c:pt idx="38" formatCode="General">
                        <c:v>-30.920676248108929</c:v>
                      </c:pt>
                      <c:pt idx="39" formatCode="General">
                        <c:v>-31.079980332829049</c:v>
                      </c:pt>
                      <c:pt idx="40" formatCode="General">
                        <c:v>-31.239284417549168</c:v>
                      </c:pt>
                      <c:pt idx="41" formatCode="General">
                        <c:v>-31.398588502269288</c:v>
                      </c:pt>
                      <c:pt idx="42" formatCode="General">
                        <c:v>-31.557892586989411</c:v>
                      </c:pt>
                      <c:pt idx="43" formatCode="General">
                        <c:v>-31.71719667170953</c:v>
                      </c:pt>
                      <c:pt idx="44" formatCode="General">
                        <c:v>-31.87454916792738</c:v>
                      </c:pt>
                      <c:pt idx="45" formatCode="General">
                        <c:v>-32.029314674735247</c:v>
                      </c:pt>
                      <c:pt idx="46" formatCode="General">
                        <c:v>-32.184080181543116</c:v>
                      </c:pt>
                      <c:pt idx="47" formatCode="General">
                        <c:v>-32.338845688350986</c:v>
                      </c:pt>
                      <c:pt idx="48" formatCode="General">
                        <c:v>-32.493611195158856</c:v>
                      </c:pt>
                      <c:pt idx="49" formatCode="General">
                        <c:v>-32.648376701966718</c:v>
                      </c:pt>
                      <c:pt idx="50" formatCode="General">
                        <c:v>-32.803142208774588</c:v>
                      </c:pt>
                      <c:pt idx="51" formatCode="General">
                        <c:v>-32.957230303030308</c:v>
                      </c:pt>
                      <c:pt idx="52" formatCode="General">
                        <c:v>-33.111169696969704</c:v>
                      </c:pt>
                      <c:pt idx="53" formatCode="General">
                        <c:v>-33.265109090909093</c:v>
                      </c:pt>
                      <c:pt idx="54" formatCode="General">
                        <c:v>-33.419048484848489</c:v>
                      </c:pt>
                      <c:pt idx="55" formatCode="General">
                        <c:v>-33.572987878787885</c:v>
                      </c:pt>
                      <c:pt idx="56" formatCode="General">
                        <c:v>-33.726927272727274</c:v>
                      </c:pt>
                      <c:pt idx="57" formatCode="General">
                        <c:v>-33.880927710843373</c:v>
                      </c:pt>
                      <c:pt idx="58" formatCode="General">
                        <c:v>-34.035144578313258</c:v>
                      </c:pt>
                      <c:pt idx="59" formatCode="General">
                        <c:v>-34.184793939393941</c:v>
                      </c:pt>
                      <c:pt idx="60" formatCode="General">
                        <c:v>-34.33085454545455</c:v>
                      </c:pt>
                      <c:pt idx="61" formatCode="General">
                        <c:v>-34.479672727272728</c:v>
                      </c:pt>
                      <c:pt idx="62" formatCode="General">
                        <c:v>-34.628133333333331</c:v>
                      </c:pt>
                      <c:pt idx="63" formatCode="General">
                        <c:v>-34.774799999999999</c:v>
                      </c:pt>
                      <c:pt idx="64" formatCode="General">
                        <c:v>-34.918009077155823</c:v>
                      </c:pt>
                      <c:pt idx="65" formatCode="General">
                        <c:v>-35.059007564296522</c:v>
                      </c:pt>
                      <c:pt idx="66" formatCode="General">
                        <c:v>-35.200006051437214</c:v>
                      </c:pt>
                      <c:pt idx="67" formatCode="General">
                        <c:v>-35.341004538577913</c:v>
                      </c:pt>
                      <c:pt idx="68" formatCode="General">
                        <c:v>-35.482003025718605</c:v>
                      </c:pt>
                      <c:pt idx="69" formatCode="General">
                        <c:v>-35.623001512859304</c:v>
                      </c:pt>
                      <c:pt idx="70" formatCode="General">
                        <c:v>-35.763999999999996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-143.49206060606059</c:v>
                      </c:pt>
                      <c:pt idx="1">
                        <c:v>-138.9310909090909</c:v>
                      </c:pt>
                      <c:pt idx="2" formatCode="General">
                        <c:v>-134.51290909090909</c:v>
                      </c:pt>
                      <c:pt idx="3" formatCode="General">
                        <c:v>-130.23187878787877</c:v>
                      </c:pt>
                      <c:pt idx="4" formatCode="General">
                        <c:v>-125.95890909090909</c:v>
                      </c:pt>
                      <c:pt idx="5" formatCode="General">
                        <c:v>-121.19527272727272</c:v>
                      </c:pt>
                      <c:pt idx="6" formatCode="General">
                        <c:v>-116.98277108433736</c:v>
                      </c:pt>
                      <c:pt idx="7" formatCode="General">
                        <c:v>-113.50084337349398</c:v>
                      </c:pt>
                      <c:pt idx="8" formatCode="General">
                        <c:v>-110.11933333333334</c:v>
                      </c:pt>
                      <c:pt idx="9" formatCode="General">
                        <c:v>-106.78672727272728</c:v>
                      </c:pt>
                      <c:pt idx="10" formatCode="General">
                        <c:v>-103.59278787878789</c:v>
                      </c:pt>
                      <c:pt idx="11" formatCode="General">
                        <c:v>-100.63860816944025</c:v>
                      </c:pt>
                      <c:pt idx="12" formatCode="General">
                        <c:v>-97.954795763993957</c:v>
                      </c:pt>
                      <c:pt idx="13" formatCode="General">
                        <c:v>-95.270983358547653</c:v>
                      </c:pt>
                      <c:pt idx="14" formatCode="General">
                        <c:v>-92.587170953101364</c:v>
                      </c:pt>
                      <c:pt idx="15" formatCode="General">
                        <c:v>-89.90335854765506</c:v>
                      </c:pt>
                      <c:pt idx="16" formatCode="General">
                        <c:v>-87.21954614220877</c:v>
                      </c:pt>
                      <c:pt idx="17" formatCode="General">
                        <c:v>-84.535733736762467</c:v>
                      </c:pt>
                      <c:pt idx="18" formatCode="General">
                        <c:v>-82.314909090909083</c:v>
                      </c:pt>
                      <c:pt idx="19" formatCode="General">
                        <c:v>-80.208909090909088</c:v>
                      </c:pt>
                      <c:pt idx="20" formatCode="General">
                        <c:v>-78.251333333333335</c:v>
                      </c:pt>
                      <c:pt idx="21" formatCode="General">
                        <c:v>-76.354848484848489</c:v>
                      </c:pt>
                      <c:pt idx="22" formatCode="General">
                        <c:v>-74.506363636363631</c:v>
                      </c:pt>
                      <c:pt idx="23" formatCode="General">
                        <c:v>-72.788614457831329</c:v>
                      </c:pt>
                      <c:pt idx="24" formatCode="General">
                        <c:v>-71.108484848484849</c:v>
                      </c:pt>
                      <c:pt idx="25" formatCode="General">
                        <c:v>-69.50242424242424</c:v>
                      </c:pt>
                      <c:pt idx="26" formatCode="General">
                        <c:v>-67.976363636363644</c:v>
                      </c:pt>
                      <c:pt idx="27" formatCode="General">
                        <c:v>-66.503636363636375</c:v>
                      </c:pt>
                      <c:pt idx="28" formatCode="General">
                        <c:v>-65.157575757575756</c:v>
                      </c:pt>
                      <c:pt idx="29" formatCode="General">
                        <c:v>-63.856363636363632</c:v>
                      </c:pt>
                      <c:pt idx="30" formatCode="General">
                        <c:v>-62.644242424242421</c:v>
                      </c:pt>
                      <c:pt idx="31" formatCode="General">
                        <c:v>-61.562133131618758</c:v>
                      </c:pt>
                      <c:pt idx="32" formatCode="General">
                        <c:v>-60.55003025718608</c:v>
                      </c:pt>
                      <c:pt idx="33" formatCode="General">
                        <c:v>-59.537927382753402</c:v>
                      </c:pt>
                      <c:pt idx="34" formatCode="General">
                        <c:v>-58.525824508320724</c:v>
                      </c:pt>
                      <c:pt idx="35" formatCode="General">
                        <c:v>-57.513721633888053</c:v>
                      </c:pt>
                      <c:pt idx="36" formatCode="General">
                        <c:v>-56.501618759455376</c:v>
                      </c:pt>
                      <c:pt idx="37" formatCode="General">
                        <c:v>-55.49774583963692</c:v>
                      </c:pt>
                      <c:pt idx="38" formatCode="General">
                        <c:v>-54.691391830559759</c:v>
                      </c:pt>
                      <c:pt idx="39" formatCode="General">
                        <c:v>-53.885037821482605</c:v>
                      </c:pt>
                      <c:pt idx="40" formatCode="General">
                        <c:v>-53.078683812405451</c:v>
                      </c:pt>
                      <c:pt idx="41" formatCode="General">
                        <c:v>-52.272329803328297</c:v>
                      </c:pt>
                      <c:pt idx="42" formatCode="General">
                        <c:v>-51.465975794251143</c:v>
                      </c:pt>
                      <c:pt idx="43" formatCode="General">
                        <c:v>-50.659621785173982</c:v>
                      </c:pt>
                      <c:pt idx="44" formatCode="General">
                        <c:v>-49.940438729198192</c:v>
                      </c:pt>
                      <c:pt idx="45" formatCode="General">
                        <c:v>-49.336807866868384</c:v>
                      </c:pt>
                      <c:pt idx="46" formatCode="General">
                        <c:v>-48.733177004538582</c:v>
                      </c:pt>
                      <c:pt idx="47" formatCode="General">
                        <c:v>-48.129546142208774</c:v>
                      </c:pt>
                      <c:pt idx="48" formatCode="General">
                        <c:v>-47.525915279878973</c:v>
                      </c:pt>
                      <c:pt idx="49" formatCode="General">
                        <c:v>-46.922284417549164</c:v>
                      </c:pt>
                      <c:pt idx="50" formatCode="General">
                        <c:v>-46.318653555219363</c:v>
                      </c:pt>
                      <c:pt idx="51" formatCode="General">
                        <c:v>-46.0000303030303</c:v>
                      </c:pt>
                      <c:pt idx="52" formatCode="General">
                        <c:v>-45.743969696969693</c:v>
                      </c:pt>
                      <c:pt idx="53" formatCode="General">
                        <c:v>-45.487909090909092</c:v>
                      </c:pt>
                      <c:pt idx="54" formatCode="General">
                        <c:v>-45.231848484848484</c:v>
                      </c:pt>
                      <c:pt idx="55" formatCode="General">
                        <c:v>-44.975787878787877</c:v>
                      </c:pt>
                      <c:pt idx="56" formatCode="General">
                        <c:v>-44.719727272727269</c:v>
                      </c:pt>
                      <c:pt idx="57" formatCode="General">
                        <c:v>-44.517879518072284</c:v>
                      </c:pt>
                      <c:pt idx="58" formatCode="General">
                        <c:v>-44.508240963855421</c:v>
                      </c:pt>
                      <c:pt idx="59" formatCode="General">
                        <c:v>-44.531830303030304</c:v>
                      </c:pt>
                      <c:pt idx="60" formatCode="General">
                        <c:v>-44.581527272727271</c:v>
                      </c:pt>
                      <c:pt idx="61" formatCode="General">
                        <c:v>-44.676448484848486</c:v>
                      </c:pt>
                      <c:pt idx="62" formatCode="General">
                        <c:v>-44.783090909090909</c:v>
                      </c:pt>
                      <c:pt idx="63" formatCode="General">
                        <c:v>-44.910363636363634</c:v>
                      </c:pt>
                      <c:pt idx="64" formatCode="General">
                        <c:v>-45.051730711043874</c:v>
                      </c:pt>
                      <c:pt idx="65" formatCode="General">
                        <c:v>-45.202108925869894</c:v>
                      </c:pt>
                      <c:pt idx="66" formatCode="General">
                        <c:v>-45.352487140695914</c:v>
                      </c:pt>
                      <c:pt idx="67" formatCode="General">
                        <c:v>-45.502865355521941</c:v>
                      </c:pt>
                      <c:pt idx="68" formatCode="General">
                        <c:v>-45.653243570347961</c:v>
                      </c:pt>
                      <c:pt idx="69" formatCode="General">
                        <c:v>-45.803621785173981</c:v>
                      </c:pt>
                      <c:pt idx="70" formatCode="General">
                        <c:v>-45.954000000000001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-18.888727272727273</c:v>
                      </c:pt>
                      <c:pt idx="1">
                        <c:v>-18.91151515151515</c:v>
                      </c:pt>
                      <c:pt idx="2" formatCode="General">
                        <c:v>-18.941818181818181</c:v>
                      </c:pt>
                      <c:pt idx="3" formatCode="General">
                        <c:v>-18.976545454545455</c:v>
                      </c:pt>
                      <c:pt idx="4" formatCode="General">
                        <c:v>-19.008545454545455</c:v>
                      </c:pt>
                      <c:pt idx="5" formatCode="General">
                        <c:v>-18.990363636363636</c:v>
                      </c:pt>
                      <c:pt idx="6" formatCode="General">
                        <c:v>-18.995542168674699</c:v>
                      </c:pt>
                      <c:pt idx="7" formatCode="General">
                        <c:v>-19.031686746987951</c:v>
                      </c:pt>
                      <c:pt idx="8" formatCode="General">
                        <c:v>-19.063333333333333</c:v>
                      </c:pt>
                      <c:pt idx="9" formatCode="General">
                        <c:v>-19.093636363636364</c:v>
                      </c:pt>
                      <c:pt idx="10" formatCode="General">
                        <c:v>-19.123939393939395</c:v>
                      </c:pt>
                      <c:pt idx="11" formatCode="General">
                        <c:v>-19.142844175491678</c:v>
                      </c:pt>
                      <c:pt idx="12" formatCode="General">
                        <c:v>-19.148895612708017</c:v>
                      </c:pt>
                      <c:pt idx="13" formatCode="General">
                        <c:v>-19.154947049924356</c:v>
                      </c:pt>
                      <c:pt idx="14" formatCode="General">
                        <c:v>-19.160998487140695</c:v>
                      </c:pt>
                      <c:pt idx="15" formatCode="General">
                        <c:v>-19.167049924357034</c:v>
                      </c:pt>
                      <c:pt idx="16" formatCode="General">
                        <c:v>-19.173101361573373</c:v>
                      </c:pt>
                      <c:pt idx="17" formatCode="General">
                        <c:v>-19.179152798789712</c:v>
                      </c:pt>
                      <c:pt idx="18" formatCode="General">
                        <c:v>-19.153939393939392</c:v>
                      </c:pt>
                      <c:pt idx="19" formatCode="General">
                        <c:v>-19.123636363636361</c:v>
                      </c:pt>
                      <c:pt idx="20" formatCode="General">
                        <c:v>-19.09333333333333</c:v>
                      </c:pt>
                      <c:pt idx="21" formatCode="General">
                        <c:v>-19.06642424242424</c:v>
                      </c:pt>
                      <c:pt idx="22" formatCode="General">
                        <c:v>-19.042181818181817</c:v>
                      </c:pt>
                      <c:pt idx="23" formatCode="General">
                        <c:v>-19.034518072289156</c:v>
                      </c:pt>
                      <c:pt idx="24" formatCode="General">
                        <c:v>-19.031515151515151</c:v>
                      </c:pt>
                      <c:pt idx="25" formatCode="General">
                        <c:v>-19.037575757575759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-19.07151515151515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-60.236787878787872</c:v>
                      </c:pt>
                      <c:pt idx="1">
                        <c:v>-58.907818181818179</c:v>
                      </c:pt>
                      <c:pt idx="2" formatCode="General">
                        <c:v>-57.744181818181815</c:v>
                      </c:pt>
                      <c:pt idx="3" formatCode="General">
                        <c:v>-56.770787878787878</c:v>
                      </c:pt>
                      <c:pt idx="4" formatCode="General">
                        <c:v>-55.919636363636364</c:v>
                      </c:pt>
                      <c:pt idx="5" formatCode="General">
                        <c:v>-55.665090909090907</c:v>
                      </c:pt>
                      <c:pt idx="6" formatCode="General">
                        <c:v>-55.214337349397596</c:v>
                      </c:pt>
                      <c:pt idx="7" formatCode="General">
                        <c:v>-54.503493975903616</c:v>
                      </c:pt>
                      <c:pt idx="8" formatCode="General">
                        <c:v>-53.92</c:v>
                      </c:pt>
                      <c:pt idx="9" formatCode="General">
                        <c:v>-53.390327272727269</c:v>
                      </c:pt>
                      <c:pt idx="10" formatCode="General">
                        <c:v>-52.976387878787875</c:v>
                      </c:pt>
                      <c:pt idx="11" formatCode="General">
                        <c:v>-52.647143721633888</c:v>
                      </c:pt>
                      <c:pt idx="12" formatCode="General">
                        <c:v>-52.413406959152795</c:v>
                      </c:pt>
                      <c:pt idx="13" formatCode="General">
                        <c:v>-52.179670196671708</c:v>
                      </c:pt>
                      <c:pt idx="14" formatCode="General">
                        <c:v>-51.945933434190614</c:v>
                      </c:pt>
                      <c:pt idx="15" formatCode="General">
                        <c:v>-51.712196671709528</c:v>
                      </c:pt>
                      <c:pt idx="16" formatCode="General">
                        <c:v>-51.478459909228441</c:v>
                      </c:pt>
                      <c:pt idx="17" formatCode="General">
                        <c:v>-51.244723146747347</c:v>
                      </c:pt>
                      <c:pt idx="18" formatCode="General">
                        <c:v>-51.166654545454541</c:v>
                      </c:pt>
                      <c:pt idx="19" formatCode="General">
                        <c:v>-51.135054545454544</c:v>
                      </c:pt>
                      <c:pt idx="20" formatCode="General">
                        <c:v>-51.182933333333331</c:v>
                      </c:pt>
                      <c:pt idx="21" formatCode="General">
                        <c:v>-51.28070303030303</c:v>
                      </c:pt>
                      <c:pt idx="22" formatCode="General">
                        <c:v>-51.417672727272731</c:v>
                      </c:pt>
                      <c:pt idx="23" formatCode="General">
                        <c:v>-51.628993975903619</c:v>
                      </c:pt>
                      <c:pt idx="24" formatCode="General">
                        <c:v>-51.862848484848492</c:v>
                      </c:pt>
                      <c:pt idx="25" formatCode="General">
                        <c:v>-52.142242424242433</c:v>
                      </c:pt>
                      <c:pt idx="26" formatCode="General">
                        <c:v>-52.432545454545455</c:v>
                      </c:pt>
                      <c:pt idx="27" formatCode="General">
                        <c:v>-52.730121212121212</c:v>
                      </c:pt>
                      <c:pt idx="28" formatCode="General">
                        <c:v>-53.034606060606059</c:v>
                      </c:pt>
                      <c:pt idx="29" formatCode="General">
                        <c:v>-53.343454545454541</c:v>
                      </c:pt>
                      <c:pt idx="30" formatCode="General">
                        <c:v>-53.661636363636369</c:v>
                      </c:pt>
                      <c:pt idx="31" formatCode="General">
                        <c:v>-53.972818456883516</c:v>
                      </c:pt>
                      <c:pt idx="32" formatCode="General">
                        <c:v>-54.280231467473527</c:v>
                      </c:pt>
                      <c:pt idx="33" formatCode="General">
                        <c:v>-54.587644478063538</c:v>
                      </c:pt>
                      <c:pt idx="34" formatCode="General">
                        <c:v>-54.895057488653556</c:v>
                      </c:pt>
                      <c:pt idx="35" formatCode="General">
                        <c:v>-55.202470499243567</c:v>
                      </c:pt>
                      <c:pt idx="36" formatCode="General">
                        <c:v>-55.509883509833585</c:v>
                      </c:pt>
                      <c:pt idx="37" formatCode="General">
                        <c:v>-55.816757942511344</c:v>
                      </c:pt>
                      <c:pt idx="38" formatCode="General">
                        <c:v>-56.110706505295006</c:v>
                      </c:pt>
                      <c:pt idx="39" formatCode="General">
                        <c:v>-56.404655068078668</c:v>
                      </c:pt>
                      <c:pt idx="40" formatCode="General">
                        <c:v>-56.69860363086233</c:v>
                      </c:pt>
                      <c:pt idx="41" formatCode="General">
                        <c:v>-56.992552193645992</c:v>
                      </c:pt>
                      <c:pt idx="42" formatCode="General">
                        <c:v>-57.286500756429653</c:v>
                      </c:pt>
                      <c:pt idx="43" formatCode="General">
                        <c:v>-57.580449319213315</c:v>
                      </c:pt>
                      <c:pt idx="44" formatCode="General">
                        <c:v>-57.869193645990926</c:v>
                      </c:pt>
                      <c:pt idx="45" formatCode="General">
                        <c:v>-58.15103933434191</c:v>
                      </c:pt>
                      <c:pt idx="46" formatCode="General">
                        <c:v>-58.432885022692894</c:v>
                      </c:pt>
                      <c:pt idx="47" formatCode="General">
                        <c:v>-58.714730711043877</c:v>
                      </c:pt>
                      <c:pt idx="48" formatCode="General">
                        <c:v>-58.996576399394861</c:v>
                      </c:pt>
                      <c:pt idx="49" formatCode="General">
                        <c:v>-59.278422087745845</c:v>
                      </c:pt>
                      <c:pt idx="50" formatCode="General">
                        <c:v>-59.560267776096829</c:v>
                      </c:pt>
                      <c:pt idx="51" formatCode="General">
                        <c:v>-59.834139393939395</c:v>
                      </c:pt>
                      <c:pt idx="52" formatCode="General">
                        <c:v>-60.106260606060609</c:v>
                      </c:pt>
                      <c:pt idx="53" formatCode="General">
                        <c:v>-60.378381818181822</c:v>
                      </c:pt>
                      <c:pt idx="54" formatCode="General">
                        <c:v>-60.650503030303028</c:v>
                      </c:pt>
                      <c:pt idx="55" formatCode="General">
                        <c:v>-60.922624242424241</c:v>
                      </c:pt>
                      <c:pt idx="56" formatCode="General">
                        <c:v>-61.194745454545455</c:v>
                      </c:pt>
                      <c:pt idx="57" formatCode="General">
                        <c:v>-61.46743373493976</c:v>
                      </c:pt>
                      <c:pt idx="58" formatCode="General">
                        <c:v>-61.742132530120479</c:v>
                      </c:pt>
                      <c:pt idx="59" formatCode="General">
                        <c:v>-62.009278787878785</c:v>
                      </c:pt>
                      <c:pt idx="60" formatCode="General">
                        <c:v>-62.27049090909091</c:v>
                      </c:pt>
                      <c:pt idx="61" formatCode="General">
                        <c:v>-62.539975757575753</c:v>
                      </c:pt>
                      <c:pt idx="62" formatCode="General">
                        <c:v>-62.809648484848481</c:v>
                      </c:pt>
                      <c:pt idx="63" formatCode="General">
                        <c:v>-63.077527272727274</c:v>
                      </c:pt>
                      <c:pt idx="64" formatCode="General">
                        <c:v>-63.33999092284418</c:v>
                      </c:pt>
                      <c:pt idx="65" formatCode="General">
                        <c:v>-63.598992435703479</c:v>
                      </c:pt>
                      <c:pt idx="66" formatCode="General">
                        <c:v>-63.857993948562786</c:v>
                      </c:pt>
                      <c:pt idx="67" formatCode="General">
                        <c:v>-64.116995461422093</c:v>
                      </c:pt>
                      <c:pt idx="68" formatCode="General">
                        <c:v>-64.375996974281392</c:v>
                      </c:pt>
                      <c:pt idx="69" formatCode="General">
                        <c:v>-64.634998487140706</c:v>
                      </c:pt>
                      <c:pt idx="70" formatCode="General">
                        <c:v>-64.894000000000005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-186.94066666666666</c:v>
                      </c:pt>
                      <c:pt idx="1">
                        <c:v>-181.6330303030303</c:v>
                      </c:pt>
                      <c:pt idx="2" formatCode="General">
                        <c:v>-176.69363636363636</c:v>
                      </c:pt>
                      <c:pt idx="3" formatCode="General">
                        <c:v>-172.13030303030303</c:v>
                      </c:pt>
                      <c:pt idx="4" formatCode="General">
                        <c:v>-167.7351515151515</c:v>
                      </c:pt>
                      <c:pt idx="5" formatCode="General">
                        <c:v>-163.67454545454547</c:v>
                      </c:pt>
                      <c:pt idx="6" formatCode="General">
                        <c:v>-159.8109638554217</c:v>
                      </c:pt>
                      <c:pt idx="7" formatCode="General">
                        <c:v>-156.20855421686747</c:v>
                      </c:pt>
                      <c:pt idx="8" formatCode="General">
                        <c:v>-152.846</c:v>
                      </c:pt>
                      <c:pt idx="9" formatCode="General">
                        <c:v>-149.58854545454545</c:v>
                      </c:pt>
                      <c:pt idx="10" formatCode="General">
                        <c:v>-146.57642424242425</c:v>
                      </c:pt>
                      <c:pt idx="11" formatCode="General">
                        <c:v>-143.84090771558246</c:v>
                      </c:pt>
                      <c:pt idx="12" formatCode="General">
                        <c:v>-141.41730711043874</c:v>
                      </c:pt>
                      <c:pt idx="13" formatCode="General">
                        <c:v>-138.99370650529502</c:v>
                      </c:pt>
                      <c:pt idx="14" formatCode="General">
                        <c:v>-136.57010590015128</c:v>
                      </c:pt>
                      <c:pt idx="15" formatCode="General">
                        <c:v>-134.14650529500756</c:v>
                      </c:pt>
                      <c:pt idx="16" formatCode="General">
                        <c:v>-131.72290468986381</c:v>
                      </c:pt>
                      <c:pt idx="17" formatCode="General">
                        <c:v>-129.29930408472009</c:v>
                      </c:pt>
                      <c:pt idx="18" formatCode="General">
                        <c:v>-127.32339393939394</c:v>
                      </c:pt>
                      <c:pt idx="19" formatCode="General">
                        <c:v>-125.45727272727274</c:v>
                      </c:pt>
                      <c:pt idx="20" formatCode="General">
                        <c:v>-123.73</c:v>
                      </c:pt>
                      <c:pt idx="21" formatCode="General">
                        <c:v>-122.06381818181818</c:v>
                      </c:pt>
                      <c:pt idx="22" formatCode="General">
                        <c:v>-120.44563636363635</c:v>
                      </c:pt>
                      <c:pt idx="23" formatCode="General">
                        <c:v>-118.97885542168675</c:v>
                      </c:pt>
                      <c:pt idx="24" formatCode="General">
                        <c:v>-117.55818181818184</c:v>
                      </c:pt>
                      <c:pt idx="25" formatCode="General">
                        <c:v>-116.23090909090909</c:v>
                      </c:pt>
                      <c:pt idx="26" formatCode="General">
                        <c:v>-114.98363636363636</c:v>
                      </c:pt>
                      <c:pt idx="27" formatCode="General">
                        <c:v>-113.78969696969696</c:v>
                      </c:pt>
                      <c:pt idx="28" formatCode="General">
                        <c:v>-112.72242424242424</c:v>
                      </c:pt>
                      <c:pt idx="29" formatCode="General">
                        <c:v>-111.70363636363636</c:v>
                      </c:pt>
                      <c:pt idx="30" formatCode="General">
                        <c:v>-110.78242424242426</c:v>
                      </c:pt>
                      <c:pt idx="31" formatCode="General">
                        <c:v>-109.98503782148261</c:v>
                      </c:pt>
                      <c:pt idx="32" formatCode="General">
                        <c:v>-109.25432677760969</c:v>
                      </c:pt>
                      <c:pt idx="33" formatCode="General">
                        <c:v>-108.52361573373678</c:v>
                      </c:pt>
                      <c:pt idx="34" formatCode="General">
                        <c:v>-107.79290468986385</c:v>
                      </c:pt>
                      <c:pt idx="35" formatCode="General">
                        <c:v>-107.06219364599093</c:v>
                      </c:pt>
                      <c:pt idx="36" formatCode="General">
                        <c:v>-106.33148260211802</c:v>
                      </c:pt>
                      <c:pt idx="37" formatCode="General">
                        <c:v>-105.60851739788201</c:v>
                      </c:pt>
                      <c:pt idx="38" formatCode="General">
                        <c:v>-105.07145234493193</c:v>
                      </c:pt>
                      <c:pt idx="39" formatCode="General">
                        <c:v>-104.53438729198186</c:v>
                      </c:pt>
                      <c:pt idx="40" formatCode="General">
                        <c:v>-103.99732223903179</c:v>
                      </c:pt>
                      <c:pt idx="41" formatCode="General">
                        <c:v>-103.46025718608171</c:v>
                      </c:pt>
                      <c:pt idx="42" formatCode="General">
                        <c:v>-102.92319213313164</c:v>
                      </c:pt>
                      <c:pt idx="43" formatCode="General">
                        <c:v>-102.38612708018155</c:v>
                      </c:pt>
                      <c:pt idx="44" formatCode="General">
                        <c:v>-101.92972768532528</c:v>
                      </c:pt>
                      <c:pt idx="45" formatCode="General">
                        <c:v>-101.58025718608171</c:v>
                      </c:pt>
                      <c:pt idx="46" formatCode="General">
                        <c:v>-101.23078668683813</c:v>
                      </c:pt>
                      <c:pt idx="47" formatCode="General">
                        <c:v>-100.88131618759456</c:v>
                      </c:pt>
                      <c:pt idx="48" formatCode="General">
                        <c:v>-100.531845688351</c:v>
                      </c:pt>
                      <c:pt idx="49" formatCode="General">
                        <c:v>-100.18237518910742</c:v>
                      </c:pt>
                      <c:pt idx="50" formatCode="General">
                        <c:v>-99.832904689863852</c:v>
                      </c:pt>
                      <c:pt idx="51" formatCode="General">
                        <c:v>-99.75384848484849</c:v>
                      </c:pt>
                      <c:pt idx="52" formatCode="General">
                        <c:v>-99.734151515151524</c:v>
                      </c:pt>
                      <c:pt idx="53" formatCode="General">
                        <c:v>-99.714454545454544</c:v>
                      </c:pt>
                      <c:pt idx="54" formatCode="General">
                        <c:v>-99.694757575757578</c:v>
                      </c:pt>
                      <c:pt idx="55" formatCode="General">
                        <c:v>-99.675060606060597</c:v>
                      </c:pt>
                      <c:pt idx="56" formatCode="General">
                        <c:v>-99.655363636363631</c:v>
                      </c:pt>
                      <c:pt idx="57" formatCode="General">
                        <c:v>-99.690891566265051</c:v>
                      </c:pt>
                      <c:pt idx="58" formatCode="General">
                        <c:v>-99.922216867469871</c:v>
                      </c:pt>
                      <c:pt idx="59" formatCode="General">
                        <c:v>-100.1808</c:v>
                      </c:pt>
                      <c:pt idx="60" formatCode="General">
                        <c:v>-100.46079999999999</c:v>
                      </c:pt>
                      <c:pt idx="61" formatCode="General">
                        <c:v>-100.79705454545453</c:v>
                      </c:pt>
                      <c:pt idx="62" formatCode="General">
                        <c:v>-101.1461212121212</c:v>
                      </c:pt>
                      <c:pt idx="63" formatCode="General">
                        <c:v>-101.51581818181819</c:v>
                      </c:pt>
                      <c:pt idx="64" formatCode="General">
                        <c:v>-101.89569440242059</c:v>
                      </c:pt>
                      <c:pt idx="65" formatCode="General">
                        <c:v>-102.28207866868382</c:v>
                      </c:pt>
                      <c:pt idx="66" formatCode="General">
                        <c:v>-102.66846293494706</c:v>
                      </c:pt>
                      <c:pt idx="67" formatCode="General">
                        <c:v>-103.05484720121029</c:v>
                      </c:pt>
                      <c:pt idx="68" formatCode="General">
                        <c:v>-103.44123146747353</c:v>
                      </c:pt>
                      <c:pt idx="69" formatCode="General">
                        <c:v>-103.82761573373676</c:v>
                      </c:pt>
                      <c:pt idx="70" formatCode="General">
                        <c:v>-104.214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-82.608181818181805</c:v>
                      </c:pt>
                      <c:pt idx="1">
                        <c:v>-80.141030303030306</c:v>
                      </c:pt>
                      <c:pt idx="2" formatCode="General">
                        <c:v>-77.801636363636362</c:v>
                      </c:pt>
                      <c:pt idx="3" formatCode="General">
                        <c:v>-75.590545454545449</c:v>
                      </c:pt>
                      <c:pt idx="4" formatCode="General">
                        <c:v>-73.423515151515147</c:v>
                      </c:pt>
                      <c:pt idx="5" formatCode="General">
                        <c:v>-71.217454545454544</c:v>
                      </c:pt>
                      <c:pt idx="6" formatCode="General">
                        <c:v>-69.198433734939769</c:v>
                      </c:pt>
                      <c:pt idx="7" formatCode="General">
                        <c:v>-67.427349397590362</c:v>
                      </c:pt>
                      <c:pt idx="8" formatCode="General">
                        <c:v>-65.74133333333333</c:v>
                      </c:pt>
                      <c:pt idx="9" formatCode="General">
                        <c:v>-64.093818181818179</c:v>
                      </c:pt>
                      <c:pt idx="10" formatCode="General">
                        <c:v>-62.542303030303032</c:v>
                      </c:pt>
                      <c:pt idx="11" formatCode="General">
                        <c:v>-61.119878971255673</c:v>
                      </c:pt>
                      <c:pt idx="12" formatCode="General">
                        <c:v>-59.843025718608168</c:v>
                      </c:pt>
                      <c:pt idx="13" formatCode="General">
                        <c:v>-58.566172465960662</c:v>
                      </c:pt>
                      <c:pt idx="14" formatCode="General">
                        <c:v>-57.289319213313163</c:v>
                      </c:pt>
                      <c:pt idx="15" formatCode="General">
                        <c:v>-56.012465960665658</c:v>
                      </c:pt>
                      <c:pt idx="16" formatCode="General">
                        <c:v>-54.735612708018152</c:v>
                      </c:pt>
                      <c:pt idx="17" formatCode="General">
                        <c:v>-53.458759455370647</c:v>
                      </c:pt>
                      <c:pt idx="18" formatCode="General">
                        <c:v>-52.409575757575759</c:v>
                      </c:pt>
                      <c:pt idx="19" formatCode="General">
                        <c:v>-51.416545454545449</c:v>
                      </c:pt>
                      <c:pt idx="20" formatCode="General">
                        <c:v>-50.495333333333335</c:v>
                      </c:pt>
                      <c:pt idx="21" formatCode="General">
                        <c:v>-49.604666666666667</c:v>
                      </c:pt>
                      <c:pt idx="22" formatCode="General">
                        <c:v>-48.737999999999992</c:v>
                      </c:pt>
                      <c:pt idx="23" formatCode="General">
                        <c:v>-47.941867469879519</c:v>
                      </c:pt>
                      <c:pt idx="24" formatCode="General">
                        <c:v>-47.166666666666671</c:v>
                      </c:pt>
                      <c:pt idx="25" formatCode="General">
                        <c:v>-46.433333333333337</c:v>
                      </c:pt>
                      <c:pt idx="26" formatCode="General">
                        <c:v>-45.74</c:v>
                      </c:pt>
                      <c:pt idx="27" formatCode="General">
                        <c:v>-45.073333333333331</c:v>
                      </c:pt>
                      <c:pt idx="28" formatCode="General">
                        <c:v>-44.47</c:v>
                      </c:pt>
                      <c:pt idx="29" formatCode="General">
                        <c:v>-43.89</c:v>
                      </c:pt>
                      <c:pt idx="30" formatCode="General">
                        <c:v>-43.356666666666669</c:v>
                      </c:pt>
                      <c:pt idx="31" formatCode="General">
                        <c:v>-42.886792738275339</c:v>
                      </c:pt>
                      <c:pt idx="32" formatCode="General">
                        <c:v>-42.451089258698943</c:v>
                      </c:pt>
                      <c:pt idx="33" formatCode="General">
                        <c:v>-42.015385779122539</c:v>
                      </c:pt>
                      <c:pt idx="34" formatCode="General">
                        <c:v>-41.579682299546143</c:v>
                      </c:pt>
                      <c:pt idx="35" formatCode="General">
                        <c:v>-41.143978819969746</c:v>
                      </c:pt>
                      <c:pt idx="36" formatCode="General">
                        <c:v>-40.708275340393342</c:v>
                      </c:pt>
                      <c:pt idx="37" formatCode="General">
                        <c:v>-40.276565809379726</c:v>
                      </c:pt>
                      <c:pt idx="38" formatCode="General">
                        <c:v>-39.940711043872923</c:v>
                      </c:pt>
                      <c:pt idx="39" formatCode="General">
                        <c:v>-39.604856278366114</c:v>
                      </c:pt>
                      <c:pt idx="40" formatCode="General">
                        <c:v>-39.269001512859305</c:v>
                      </c:pt>
                      <c:pt idx="41" formatCode="General">
                        <c:v>-38.933146747352495</c:v>
                      </c:pt>
                      <c:pt idx="42" formatCode="General">
                        <c:v>-38.597291981845693</c:v>
                      </c:pt>
                      <c:pt idx="43" formatCode="General">
                        <c:v>-38.261437216338884</c:v>
                      </c:pt>
                      <c:pt idx="44" formatCode="General">
                        <c:v>-37.967541603630863</c:v>
                      </c:pt>
                      <c:pt idx="45" formatCode="General">
                        <c:v>-37.72926626323752</c:v>
                      </c:pt>
                      <c:pt idx="46" formatCode="General">
                        <c:v>-37.490990922844176</c:v>
                      </c:pt>
                      <c:pt idx="47" formatCode="General">
                        <c:v>-37.252715582450833</c:v>
                      </c:pt>
                      <c:pt idx="48" formatCode="General">
                        <c:v>-37.014440242057489</c:v>
                      </c:pt>
                      <c:pt idx="49" formatCode="General">
                        <c:v>-36.776164901664146</c:v>
                      </c:pt>
                      <c:pt idx="50" formatCode="General">
                        <c:v>-36.537889561270802</c:v>
                      </c:pt>
                      <c:pt idx="51" formatCode="General">
                        <c:v>-36.438469696969698</c:v>
                      </c:pt>
                      <c:pt idx="52" formatCode="General">
                        <c:v>-36.369530303030302</c:v>
                      </c:pt>
                      <c:pt idx="53" formatCode="General">
                        <c:v>-36.300590909090914</c:v>
                      </c:pt>
                      <c:pt idx="54" formatCode="General">
                        <c:v>-36.231651515151519</c:v>
                      </c:pt>
                      <c:pt idx="55" formatCode="General">
                        <c:v>-36.162712121212124</c:v>
                      </c:pt>
                      <c:pt idx="56" formatCode="General">
                        <c:v>-36.093772727272729</c:v>
                      </c:pt>
                      <c:pt idx="57" formatCode="General">
                        <c:v>-36.052192771084336</c:v>
                      </c:pt>
                      <c:pt idx="58" formatCode="General">
                        <c:v>-36.107614457831332</c:v>
                      </c:pt>
                      <c:pt idx="59" formatCode="General">
                        <c:v>-36.178157575757581</c:v>
                      </c:pt>
                      <c:pt idx="60" formatCode="General">
                        <c:v>-36.260581818181819</c:v>
                      </c:pt>
                      <c:pt idx="61" formatCode="General">
                        <c:v>-36.368375757575762</c:v>
                      </c:pt>
                      <c:pt idx="62" formatCode="General">
                        <c:v>-36.482303030303036</c:v>
                      </c:pt>
                      <c:pt idx="63" formatCode="General">
                        <c:v>-36.606545454545454</c:v>
                      </c:pt>
                      <c:pt idx="64" formatCode="General">
                        <c:v>-36.736856278366112</c:v>
                      </c:pt>
                      <c:pt idx="65" formatCode="General">
                        <c:v>-36.871046898638426</c:v>
                      </c:pt>
                      <c:pt idx="66" formatCode="General">
                        <c:v>-37.005237518910739</c:v>
                      </c:pt>
                      <c:pt idx="67" formatCode="General">
                        <c:v>-37.13942813918306</c:v>
                      </c:pt>
                      <c:pt idx="68" formatCode="General">
                        <c:v>-37.273618759455374</c:v>
                      </c:pt>
                      <c:pt idx="69" formatCode="General">
                        <c:v>-37.407809379727688</c:v>
                      </c:pt>
                      <c:pt idx="70" formatCode="General">
                        <c:v>-37.542000000000002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-143.49206060606059</c:v>
                      </c:pt>
                      <c:pt idx="1">
                        <c:v>-138.9310909090909</c:v>
                      </c:pt>
                      <c:pt idx="2" formatCode="General">
                        <c:v>-134.51290909090909</c:v>
                      </c:pt>
                      <c:pt idx="3" formatCode="General">
                        <c:v>-130.23187878787877</c:v>
                      </c:pt>
                      <c:pt idx="4" formatCode="General">
                        <c:v>-125.95890909090909</c:v>
                      </c:pt>
                      <c:pt idx="5" formatCode="General">
                        <c:v>-121.19527272727272</c:v>
                      </c:pt>
                      <c:pt idx="6" formatCode="General">
                        <c:v>-116.98277108433736</c:v>
                      </c:pt>
                      <c:pt idx="7" formatCode="General">
                        <c:v>-113.50084337349398</c:v>
                      </c:pt>
                      <c:pt idx="8" formatCode="General">
                        <c:v>-110.11933333333334</c:v>
                      </c:pt>
                      <c:pt idx="9" formatCode="General">
                        <c:v>-106.78672727272728</c:v>
                      </c:pt>
                      <c:pt idx="10" formatCode="General">
                        <c:v>-103.59278787878789</c:v>
                      </c:pt>
                      <c:pt idx="11" formatCode="General">
                        <c:v>-100.63860816944025</c:v>
                      </c:pt>
                      <c:pt idx="12" formatCode="General">
                        <c:v>-97.954795763993957</c:v>
                      </c:pt>
                      <c:pt idx="13" formatCode="General">
                        <c:v>-95.270983358547653</c:v>
                      </c:pt>
                      <c:pt idx="14" formatCode="General">
                        <c:v>-92.587170953101364</c:v>
                      </c:pt>
                      <c:pt idx="15" formatCode="General">
                        <c:v>-89.90335854765506</c:v>
                      </c:pt>
                      <c:pt idx="16" formatCode="General">
                        <c:v>-87.21954614220877</c:v>
                      </c:pt>
                      <c:pt idx="17" formatCode="General">
                        <c:v>-84.535733736762467</c:v>
                      </c:pt>
                      <c:pt idx="18" formatCode="General">
                        <c:v>-82.314909090909083</c:v>
                      </c:pt>
                      <c:pt idx="19" formatCode="General">
                        <c:v>-80.208909090909088</c:v>
                      </c:pt>
                      <c:pt idx="20" formatCode="General">
                        <c:v>-78.251333333333335</c:v>
                      </c:pt>
                      <c:pt idx="21" formatCode="General">
                        <c:v>-76.354848484848489</c:v>
                      </c:pt>
                      <c:pt idx="22" formatCode="General">
                        <c:v>-74.506363636363631</c:v>
                      </c:pt>
                      <c:pt idx="23" formatCode="General">
                        <c:v>-72.788614457831329</c:v>
                      </c:pt>
                      <c:pt idx="24" formatCode="General">
                        <c:v>-71.108484848484849</c:v>
                      </c:pt>
                      <c:pt idx="25" formatCode="General">
                        <c:v>-69.50242424242424</c:v>
                      </c:pt>
                      <c:pt idx="26" formatCode="General">
                        <c:v>-67.976363636363644</c:v>
                      </c:pt>
                      <c:pt idx="27" formatCode="General">
                        <c:v>-66.503636363636375</c:v>
                      </c:pt>
                      <c:pt idx="28" formatCode="General">
                        <c:v>-65.157575757575756</c:v>
                      </c:pt>
                      <c:pt idx="29" formatCode="General">
                        <c:v>-63.856363636363632</c:v>
                      </c:pt>
                      <c:pt idx="30" formatCode="General">
                        <c:v>-62.644242424242421</c:v>
                      </c:pt>
                      <c:pt idx="31" formatCode="General">
                        <c:v>-61.562133131618758</c:v>
                      </c:pt>
                      <c:pt idx="32" formatCode="General">
                        <c:v>-60.55003025718608</c:v>
                      </c:pt>
                      <c:pt idx="33" formatCode="General">
                        <c:v>-59.537927382753402</c:v>
                      </c:pt>
                      <c:pt idx="34" formatCode="General">
                        <c:v>-58.525824508320724</c:v>
                      </c:pt>
                      <c:pt idx="35" formatCode="General">
                        <c:v>-57.513721633888053</c:v>
                      </c:pt>
                      <c:pt idx="36" formatCode="General">
                        <c:v>-56.501618759455376</c:v>
                      </c:pt>
                      <c:pt idx="37" formatCode="General">
                        <c:v>-55.49774583963692</c:v>
                      </c:pt>
                      <c:pt idx="38" formatCode="General">
                        <c:v>-54.691391830559759</c:v>
                      </c:pt>
                      <c:pt idx="39" formatCode="General">
                        <c:v>-53.885037821482605</c:v>
                      </c:pt>
                      <c:pt idx="40" formatCode="General">
                        <c:v>-53.078683812405451</c:v>
                      </c:pt>
                      <c:pt idx="41" formatCode="General">
                        <c:v>-52.272329803328297</c:v>
                      </c:pt>
                      <c:pt idx="42" formatCode="General">
                        <c:v>-51.465975794251143</c:v>
                      </c:pt>
                      <c:pt idx="43" formatCode="General">
                        <c:v>-50.659621785173982</c:v>
                      </c:pt>
                      <c:pt idx="44" formatCode="General">
                        <c:v>-49.940438729198192</c:v>
                      </c:pt>
                      <c:pt idx="45" formatCode="General">
                        <c:v>-49.336807866868384</c:v>
                      </c:pt>
                      <c:pt idx="46" formatCode="General">
                        <c:v>-48.733177004538582</c:v>
                      </c:pt>
                      <c:pt idx="47" formatCode="General">
                        <c:v>-48.129546142208774</c:v>
                      </c:pt>
                      <c:pt idx="48" formatCode="General">
                        <c:v>-47.525915279878973</c:v>
                      </c:pt>
                      <c:pt idx="49" formatCode="General">
                        <c:v>-46.922284417549164</c:v>
                      </c:pt>
                      <c:pt idx="50" formatCode="General">
                        <c:v>-46.318653555219363</c:v>
                      </c:pt>
                      <c:pt idx="51" formatCode="General">
                        <c:v>-46.0000303030303</c:v>
                      </c:pt>
                      <c:pt idx="52" formatCode="General">
                        <c:v>-45.743969696969693</c:v>
                      </c:pt>
                      <c:pt idx="53" formatCode="General">
                        <c:v>-45.487909090909092</c:v>
                      </c:pt>
                      <c:pt idx="54" formatCode="General">
                        <c:v>-45.231848484848484</c:v>
                      </c:pt>
                      <c:pt idx="55" formatCode="General">
                        <c:v>-44.975787878787877</c:v>
                      </c:pt>
                      <c:pt idx="56" formatCode="General">
                        <c:v>-44.719727272727269</c:v>
                      </c:pt>
                      <c:pt idx="57" formatCode="General">
                        <c:v>-44.517879518072284</c:v>
                      </c:pt>
                      <c:pt idx="58" formatCode="General">
                        <c:v>-44.508240963855421</c:v>
                      </c:pt>
                      <c:pt idx="59" formatCode="General">
                        <c:v>-44.531830303030304</c:v>
                      </c:pt>
                      <c:pt idx="60" formatCode="General">
                        <c:v>-44.581527272727271</c:v>
                      </c:pt>
                      <c:pt idx="61" formatCode="General">
                        <c:v>-44.676448484848486</c:v>
                      </c:pt>
                      <c:pt idx="62" formatCode="General">
                        <c:v>-44.783090909090909</c:v>
                      </c:pt>
                      <c:pt idx="63" formatCode="General">
                        <c:v>-44.910363636363634</c:v>
                      </c:pt>
                      <c:pt idx="64" formatCode="General">
                        <c:v>-45.051730711043874</c:v>
                      </c:pt>
                      <c:pt idx="65" formatCode="General">
                        <c:v>-45.202108925869894</c:v>
                      </c:pt>
                      <c:pt idx="66" formatCode="General">
                        <c:v>-45.352487140695914</c:v>
                      </c:pt>
                      <c:pt idx="67" formatCode="General">
                        <c:v>-45.502865355521941</c:v>
                      </c:pt>
                      <c:pt idx="68" formatCode="General">
                        <c:v>-45.653243570347961</c:v>
                      </c:pt>
                      <c:pt idx="69" formatCode="General">
                        <c:v>-45.803621785173981</c:v>
                      </c:pt>
                      <c:pt idx="70" formatCode="General">
                        <c:v>-45.954000000000001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-18.888727272727273</c:v>
                      </c:pt>
                      <c:pt idx="1">
                        <c:v>-18.91151515151515</c:v>
                      </c:pt>
                      <c:pt idx="2" formatCode="General">
                        <c:v>-18.941818181818181</c:v>
                      </c:pt>
                      <c:pt idx="3" formatCode="General">
                        <c:v>-18.976545454545455</c:v>
                      </c:pt>
                      <c:pt idx="4" formatCode="General">
                        <c:v>-19.008545454545455</c:v>
                      </c:pt>
                      <c:pt idx="5" formatCode="General">
                        <c:v>-18.990363636363636</c:v>
                      </c:pt>
                      <c:pt idx="6" formatCode="General">
                        <c:v>-18.995542168674699</c:v>
                      </c:pt>
                      <c:pt idx="7" formatCode="General">
                        <c:v>-19.031686746987951</c:v>
                      </c:pt>
                      <c:pt idx="8" formatCode="General">
                        <c:v>-19.063333333333333</c:v>
                      </c:pt>
                      <c:pt idx="9" formatCode="General">
                        <c:v>-19.093636363636364</c:v>
                      </c:pt>
                      <c:pt idx="10" formatCode="General">
                        <c:v>-19.123939393939395</c:v>
                      </c:pt>
                      <c:pt idx="11" formatCode="General">
                        <c:v>-19.142844175491678</c:v>
                      </c:pt>
                      <c:pt idx="12" formatCode="General">
                        <c:v>-19.148895612708017</c:v>
                      </c:pt>
                      <c:pt idx="13" formatCode="General">
                        <c:v>-19.154947049924356</c:v>
                      </c:pt>
                      <c:pt idx="14" formatCode="General">
                        <c:v>-19.160998487140695</c:v>
                      </c:pt>
                      <c:pt idx="15" formatCode="General">
                        <c:v>-19.167049924357034</c:v>
                      </c:pt>
                      <c:pt idx="16" formatCode="General">
                        <c:v>-19.173101361573373</c:v>
                      </c:pt>
                      <c:pt idx="17" formatCode="General">
                        <c:v>-19.179152798789712</c:v>
                      </c:pt>
                      <c:pt idx="18" formatCode="General">
                        <c:v>-19.153939393939392</c:v>
                      </c:pt>
                      <c:pt idx="19" formatCode="General">
                        <c:v>-19.123636363636361</c:v>
                      </c:pt>
                      <c:pt idx="20" formatCode="General">
                        <c:v>-19.09333333333333</c:v>
                      </c:pt>
                      <c:pt idx="21" formatCode="General">
                        <c:v>-19.06642424242424</c:v>
                      </c:pt>
                      <c:pt idx="22" formatCode="General">
                        <c:v>-19.042181818181817</c:v>
                      </c:pt>
                      <c:pt idx="23" formatCode="General">
                        <c:v>-19.034518072289156</c:v>
                      </c:pt>
                      <c:pt idx="24" formatCode="General">
                        <c:v>-19.031515151515151</c:v>
                      </c:pt>
                      <c:pt idx="25" formatCode="General">
                        <c:v>-19.037575757575759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-19.07151515151515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"/>
          <c:y val="1.41269686334021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-185.65945454545451</c:v>
                </c:pt>
                <c:pt idx="1">
                  <c:v>-180.33072727272724</c:v>
                </c:pt>
                <c:pt idx="2" formatCode="General">
                  <c:v>-175.38527272727273</c:v>
                </c:pt>
                <c:pt idx="3" formatCode="General">
                  <c:v>-170.78933333333333</c:v>
                </c:pt>
                <c:pt idx="4" formatCode="General">
                  <c:v>-166.35903030303029</c:v>
                </c:pt>
                <c:pt idx="5" formatCode="General">
                  <c:v>-162.34690909090909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-100.42183358547655</c:v>
                </c:pt>
                <c:pt idx="65" formatCode="General">
                  <c:v>-100.90352798789712</c:v>
                </c:pt>
                <c:pt idx="66" formatCode="General">
                  <c:v>-101.38522239031769</c:v>
                </c:pt>
                <c:pt idx="67" formatCode="General">
                  <c:v>-101.86691679273828</c:v>
                </c:pt>
                <c:pt idx="68" formatCode="General">
                  <c:v>-102.34861119515885</c:v>
                </c:pt>
                <c:pt idx="69" formatCode="General">
                  <c:v>-102.83030559757943</c:v>
                </c:pt>
                <c:pt idx="70" formatCode="General">
                  <c:v>-103.312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-60.236787878787872</c:v>
                </c:pt>
                <c:pt idx="1">
                  <c:v>-58.907818181818179</c:v>
                </c:pt>
                <c:pt idx="2" formatCode="General">
                  <c:v>-57.744181818181815</c:v>
                </c:pt>
                <c:pt idx="3" formatCode="General">
                  <c:v>-56.770787878787878</c:v>
                </c:pt>
                <c:pt idx="4" formatCode="General">
                  <c:v>-55.919636363636364</c:v>
                </c:pt>
                <c:pt idx="5" formatCode="General">
                  <c:v>-55.665090909090907</c:v>
                </c:pt>
                <c:pt idx="6" formatCode="General">
                  <c:v>-55.214337349397596</c:v>
                </c:pt>
                <c:pt idx="7" formatCode="General">
                  <c:v>-54.503493975903616</c:v>
                </c:pt>
                <c:pt idx="8" formatCode="General">
                  <c:v>-53.92</c:v>
                </c:pt>
                <c:pt idx="9" formatCode="General">
                  <c:v>-53.390327272727269</c:v>
                </c:pt>
                <c:pt idx="10" formatCode="General">
                  <c:v>-52.976387878787875</c:v>
                </c:pt>
                <c:pt idx="11" formatCode="General">
                  <c:v>-52.647143721633888</c:v>
                </c:pt>
                <c:pt idx="12" formatCode="General">
                  <c:v>-52.413406959152795</c:v>
                </c:pt>
                <c:pt idx="13" formatCode="General">
                  <c:v>-52.179670196671708</c:v>
                </c:pt>
                <c:pt idx="14" formatCode="General">
                  <c:v>-51.945933434190614</c:v>
                </c:pt>
                <c:pt idx="15" formatCode="General">
                  <c:v>-51.712196671709528</c:v>
                </c:pt>
                <c:pt idx="16" formatCode="General">
                  <c:v>-51.478459909228441</c:v>
                </c:pt>
                <c:pt idx="17" formatCode="General">
                  <c:v>-51.244723146747347</c:v>
                </c:pt>
                <c:pt idx="18" formatCode="General">
                  <c:v>-51.166654545454541</c:v>
                </c:pt>
                <c:pt idx="19" formatCode="General">
                  <c:v>-51.135054545454544</c:v>
                </c:pt>
                <c:pt idx="20" formatCode="General">
                  <c:v>-51.182933333333331</c:v>
                </c:pt>
                <c:pt idx="21" formatCode="General">
                  <c:v>-51.28070303030303</c:v>
                </c:pt>
                <c:pt idx="22" formatCode="General">
                  <c:v>-51.417672727272731</c:v>
                </c:pt>
                <c:pt idx="23" formatCode="General">
                  <c:v>-51.628993975903619</c:v>
                </c:pt>
                <c:pt idx="24" formatCode="General">
                  <c:v>-51.862848484848492</c:v>
                </c:pt>
                <c:pt idx="25" formatCode="General">
                  <c:v>-52.142242424242433</c:v>
                </c:pt>
                <c:pt idx="26" formatCode="General">
                  <c:v>-52.432545454545455</c:v>
                </c:pt>
                <c:pt idx="27" formatCode="General">
                  <c:v>-52.730121212121212</c:v>
                </c:pt>
                <c:pt idx="28" formatCode="General">
                  <c:v>-53.034606060606059</c:v>
                </c:pt>
                <c:pt idx="29" formatCode="General">
                  <c:v>-53.343454545454541</c:v>
                </c:pt>
                <c:pt idx="30" formatCode="General">
                  <c:v>-53.661636363636369</c:v>
                </c:pt>
                <c:pt idx="31" formatCode="General">
                  <c:v>-53.972818456883516</c:v>
                </c:pt>
                <c:pt idx="32" formatCode="General">
                  <c:v>-54.280231467473527</c:v>
                </c:pt>
                <c:pt idx="33" formatCode="General">
                  <c:v>-54.587644478063538</c:v>
                </c:pt>
                <c:pt idx="34" formatCode="General">
                  <c:v>-54.895057488653556</c:v>
                </c:pt>
                <c:pt idx="35" formatCode="General">
                  <c:v>-55.202470499243567</c:v>
                </c:pt>
                <c:pt idx="36" formatCode="General">
                  <c:v>-55.509883509833585</c:v>
                </c:pt>
                <c:pt idx="37" formatCode="General">
                  <c:v>-55.816757942511344</c:v>
                </c:pt>
                <c:pt idx="38" formatCode="General">
                  <c:v>-56.110706505295006</c:v>
                </c:pt>
                <c:pt idx="39" formatCode="General">
                  <c:v>-56.404655068078668</c:v>
                </c:pt>
                <c:pt idx="40" formatCode="General">
                  <c:v>-56.69860363086233</c:v>
                </c:pt>
                <c:pt idx="41" formatCode="General">
                  <c:v>-56.992552193645992</c:v>
                </c:pt>
                <c:pt idx="42" formatCode="General">
                  <c:v>-57.286500756429653</c:v>
                </c:pt>
                <c:pt idx="43" formatCode="General">
                  <c:v>-57.580449319213315</c:v>
                </c:pt>
                <c:pt idx="44" formatCode="General">
                  <c:v>-57.869193645990926</c:v>
                </c:pt>
                <c:pt idx="45" formatCode="General">
                  <c:v>-58.15103933434191</c:v>
                </c:pt>
                <c:pt idx="46" formatCode="General">
                  <c:v>-58.432885022692894</c:v>
                </c:pt>
                <c:pt idx="47" formatCode="General">
                  <c:v>-58.714730711043877</c:v>
                </c:pt>
                <c:pt idx="48" formatCode="General">
                  <c:v>-58.996576399394861</c:v>
                </c:pt>
                <c:pt idx="49" formatCode="General">
                  <c:v>-59.278422087745845</c:v>
                </c:pt>
                <c:pt idx="50" formatCode="General">
                  <c:v>-59.560267776096829</c:v>
                </c:pt>
                <c:pt idx="51" formatCode="General">
                  <c:v>-59.834139393939395</c:v>
                </c:pt>
                <c:pt idx="52" formatCode="General">
                  <c:v>-60.106260606060609</c:v>
                </c:pt>
                <c:pt idx="53" formatCode="General">
                  <c:v>-60.378381818181822</c:v>
                </c:pt>
                <c:pt idx="54" formatCode="General">
                  <c:v>-60.650503030303028</c:v>
                </c:pt>
                <c:pt idx="55" formatCode="General">
                  <c:v>-60.922624242424241</c:v>
                </c:pt>
                <c:pt idx="56" formatCode="General">
                  <c:v>-61.194745454545455</c:v>
                </c:pt>
                <c:pt idx="57" formatCode="General">
                  <c:v>-61.46743373493976</c:v>
                </c:pt>
                <c:pt idx="58" formatCode="General">
                  <c:v>-61.742132530120479</c:v>
                </c:pt>
                <c:pt idx="59" formatCode="General">
                  <c:v>-62.009278787878785</c:v>
                </c:pt>
                <c:pt idx="60" formatCode="General">
                  <c:v>-62.27049090909091</c:v>
                </c:pt>
                <c:pt idx="61" formatCode="General">
                  <c:v>-62.539975757575753</c:v>
                </c:pt>
                <c:pt idx="62" formatCode="General">
                  <c:v>-62.809648484848481</c:v>
                </c:pt>
                <c:pt idx="63" formatCode="General">
                  <c:v>-63.077527272727274</c:v>
                </c:pt>
                <c:pt idx="64" formatCode="General">
                  <c:v>-63.33999092284418</c:v>
                </c:pt>
                <c:pt idx="65" formatCode="General">
                  <c:v>-63.598992435703479</c:v>
                </c:pt>
                <c:pt idx="66" formatCode="General">
                  <c:v>-63.857993948562786</c:v>
                </c:pt>
                <c:pt idx="67" formatCode="General">
                  <c:v>-64.116995461422093</c:v>
                </c:pt>
                <c:pt idx="68" formatCode="General">
                  <c:v>-64.375996974281392</c:v>
                </c:pt>
                <c:pt idx="69" formatCode="General">
                  <c:v>-64.634998487140706</c:v>
                </c:pt>
                <c:pt idx="70" formatCode="General">
                  <c:v>-64.894000000000005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-15.28274886535552</c:v>
                      </c:pt>
                      <c:pt idx="1">
                        <c:v>-15.442506807866867</c:v>
                      </c:pt>
                      <c:pt idx="2" formatCode="General">
                        <c:v>-15.602264750378213</c:v>
                      </c:pt>
                      <c:pt idx="3" formatCode="General">
                        <c:v>-15.762022692889561</c:v>
                      </c:pt>
                      <c:pt idx="4" formatCode="General">
                        <c:v>-15.923124054462933</c:v>
                      </c:pt>
                      <c:pt idx="5" formatCode="General">
                        <c:v>-16.099674735249621</c:v>
                      </c:pt>
                      <c:pt idx="6" formatCode="General">
                        <c:v>-16.276225416036308</c:v>
                      </c:pt>
                      <c:pt idx="7" formatCode="General">
                        <c:v>-16.452776096822994</c:v>
                      </c:pt>
                      <c:pt idx="8" formatCode="General">
                        <c:v>-16.629326777609684</c:v>
                      </c:pt>
                      <c:pt idx="9" formatCode="General">
                        <c:v>-16.80587745839637</c:v>
                      </c:pt>
                      <c:pt idx="10" formatCode="General">
                        <c:v>-16.982428139183057</c:v>
                      </c:pt>
                      <c:pt idx="11" formatCode="General">
                        <c:v>-17.157698940998486</c:v>
                      </c:pt>
                      <c:pt idx="12" formatCode="General">
                        <c:v>-17.331526475037823</c:v>
                      </c:pt>
                      <c:pt idx="13" formatCode="General">
                        <c:v>-17.505354009077156</c:v>
                      </c:pt>
                      <c:pt idx="14" formatCode="General">
                        <c:v>-17.679181543116492</c:v>
                      </c:pt>
                      <c:pt idx="15" formatCode="General">
                        <c:v>-17.853009077155825</c:v>
                      </c:pt>
                      <c:pt idx="16" formatCode="General">
                        <c:v>-18.026836611195161</c:v>
                      </c:pt>
                      <c:pt idx="17" formatCode="General">
                        <c:v>-18.200664145234494</c:v>
                      </c:pt>
                      <c:pt idx="18" formatCode="General">
                        <c:v>-18.366685325264751</c:v>
                      </c:pt>
                      <c:pt idx="19" formatCode="General">
                        <c:v>-18.531435703479577</c:v>
                      </c:pt>
                      <c:pt idx="20" formatCode="General">
                        <c:v>-18.696186081694403</c:v>
                      </c:pt>
                      <c:pt idx="21" formatCode="General">
                        <c:v>-18.86093645990923</c:v>
                      </c:pt>
                      <c:pt idx="22" formatCode="General">
                        <c:v>-19.025686838124056</c:v>
                      </c:pt>
                      <c:pt idx="23" formatCode="General">
                        <c:v>-19.190437216338882</c:v>
                      </c:pt>
                      <c:pt idx="24" formatCode="General">
                        <c:v>-19.353545454545454</c:v>
                      </c:pt>
                      <c:pt idx="25" formatCode="General">
                        <c:v>-19.511727272727274</c:v>
                      </c:pt>
                      <c:pt idx="26" formatCode="General">
                        <c:v>-19.667727272727276</c:v>
                      </c:pt>
                      <c:pt idx="27" formatCode="General">
                        <c:v>-19.822272727272729</c:v>
                      </c:pt>
                      <c:pt idx="28" formatCode="General">
                        <c:v>-19.971636363636364</c:v>
                      </c:pt>
                      <c:pt idx="29" formatCode="General">
                        <c:v>-20.119636363636364</c:v>
                      </c:pt>
                      <c:pt idx="30" formatCode="General">
                        <c:v>-20.265090909090912</c:v>
                      </c:pt>
                      <c:pt idx="31" formatCode="General">
                        <c:v>-20.404207261724661</c:v>
                      </c:pt>
                      <c:pt idx="32" formatCode="General">
                        <c:v>-20.53991074130106</c:v>
                      </c:pt>
                      <c:pt idx="33" formatCode="General">
                        <c:v>-20.67561422087746</c:v>
                      </c:pt>
                      <c:pt idx="34" formatCode="General">
                        <c:v>-20.811317700453859</c:v>
                      </c:pt>
                      <c:pt idx="35" formatCode="General">
                        <c:v>-20.947021180030259</c:v>
                      </c:pt>
                      <c:pt idx="36" formatCode="General">
                        <c:v>-21.082724659606658</c:v>
                      </c:pt>
                      <c:pt idx="37" formatCode="General">
                        <c:v>-21.217992435703479</c:v>
                      </c:pt>
                      <c:pt idx="38" formatCode="General">
                        <c:v>-21.342803328290469</c:v>
                      </c:pt>
                      <c:pt idx="39" formatCode="General">
                        <c:v>-21.467614220877458</c:v>
                      </c:pt>
                      <c:pt idx="40" formatCode="General">
                        <c:v>-21.592425113464447</c:v>
                      </c:pt>
                      <c:pt idx="41" formatCode="General">
                        <c:v>-21.717236006051436</c:v>
                      </c:pt>
                      <c:pt idx="42" formatCode="General">
                        <c:v>-21.842046898638426</c:v>
                      </c:pt>
                      <c:pt idx="43" formatCode="General">
                        <c:v>-21.966857791225415</c:v>
                      </c:pt>
                      <c:pt idx="44" formatCode="General">
                        <c:v>-22.090107413010589</c:v>
                      </c:pt>
                      <c:pt idx="45" formatCode="General">
                        <c:v>-22.211287443267775</c:v>
                      </c:pt>
                      <c:pt idx="46" formatCode="General">
                        <c:v>-22.332467473524964</c:v>
                      </c:pt>
                      <c:pt idx="47" formatCode="General">
                        <c:v>-22.45364750378215</c:v>
                      </c:pt>
                      <c:pt idx="48" formatCode="General">
                        <c:v>-22.574827534039336</c:v>
                      </c:pt>
                      <c:pt idx="49" formatCode="General">
                        <c:v>-22.696007564296522</c:v>
                      </c:pt>
                      <c:pt idx="50" formatCode="General">
                        <c:v>-22.817187594553708</c:v>
                      </c:pt>
                      <c:pt idx="51" formatCode="General">
                        <c:v>-22.940754545454549</c:v>
                      </c:pt>
                      <c:pt idx="52" formatCode="General">
                        <c:v>-23.064845454545456</c:v>
                      </c:pt>
                      <c:pt idx="53" formatCode="General">
                        <c:v>-23.188936363636365</c:v>
                      </c:pt>
                      <c:pt idx="54" formatCode="General">
                        <c:v>-23.313027272727275</c:v>
                      </c:pt>
                      <c:pt idx="55" formatCode="General">
                        <c:v>-23.437118181818185</c:v>
                      </c:pt>
                      <c:pt idx="56" formatCode="General">
                        <c:v>-23.561209090909092</c:v>
                      </c:pt>
                      <c:pt idx="57" formatCode="General">
                        <c:v>-23.68805446293495</c:v>
                      </c:pt>
                      <c:pt idx="58" formatCode="General">
                        <c:v>-23.824665658093799</c:v>
                      </c:pt>
                      <c:pt idx="59" formatCode="General">
                        <c:v>-23.961276853252649</c:v>
                      </c:pt>
                      <c:pt idx="60" formatCode="General">
                        <c:v>-24.097888048411498</c:v>
                      </c:pt>
                      <c:pt idx="61" formatCode="General">
                        <c:v>-24.234499243570347</c:v>
                      </c:pt>
                      <c:pt idx="62" formatCode="General">
                        <c:v>-24.3711104387292</c:v>
                      </c:pt>
                      <c:pt idx="63" formatCode="General">
                        <c:v>-24.50772163388805</c:v>
                      </c:pt>
                      <c:pt idx="64" formatCode="General">
                        <c:v>-24.653054545454545</c:v>
                      </c:pt>
                      <c:pt idx="65" formatCode="General">
                        <c:v>-24.803963636363637</c:v>
                      </c:pt>
                      <c:pt idx="66" formatCode="General">
                        <c:v>-24.960939759036144</c:v>
                      </c:pt>
                      <c:pt idx="67" formatCode="General">
                        <c:v>-25.121181818181817</c:v>
                      </c:pt>
                      <c:pt idx="68" formatCode="General">
                        <c:v>-25.288454545454545</c:v>
                      </c:pt>
                      <c:pt idx="69" formatCode="General">
                        <c:v>-25.461636363636362</c:v>
                      </c:pt>
                      <c:pt idx="70" formatCode="General">
                        <c:v>-25.637999999999998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-20.376998487140696</c:v>
                      </c:pt>
                      <c:pt idx="1">
                        <c:v>-20.590009077155823</c:v>
                      </c:pt>
                      <c:pt idx="2" formatCode="General">
                        <c:v>-20.803019667170954</c:v>
                      </c:pt>
                      <c:pt idx="3" formatCode="General">
                        <c:v>-21.016030257186081</c:v>
                      </c:pt>
                      <c:pt idx="4" formatCode="General">
                        <c:v>-21.230832072617247</c:v>
                      </c:pt>
                      <c:pt idx="5" formatCode="General">
                        <c:v>-21.46623298033283</c:v>
                      </c:pt>
                      <c:pt idx="6" formatCode="General">
                        <c:v>-21.701633888048413</c:v>
                      </c:pt>
                      <c:pt idx="7" formatCode="General">
                        <c:v>-21.937034795763996</c:v>
                      </c:pt>
                      <c:pt idx="8" formatCode="General">
                        <c:v>-22.172435703479575</c:v>
                      </c:pt>
                      <c:pt idx="9" formatCode="General">
                        <c:v>-22.407836611195158</c:v>
                      </c:pt>
                      <c:pt idx="10" formatCode="General">
                        <c:v>-22.643237518910741</c:v>
                      </c:pt>
                      <c:pt idx="11" formatCode="General">
                        <c:v>-22.876931921331316</c:v>
                      </c:pt>
                      <c:pt idx="12" formatCode="General">
                        <c:v>-23.108701966717096</c:v>
                      </c:pt>
                      <c:pt idx="13" formatCode="General">
                        <c:v>-23.340472012102875</c:v>
                      </c:pt>
                      <c:pt idx="14" formatCode="General">
                        <c:v>-23.572242057488655</c:v>
                      </c:pt>
                      <c:pt idx="15" formatCode="General">
                        <c:v>-23.804012102874434</c:v>
                      </c:pt>
                      <c:pt idx="16" formatCode="General">
                        <c:v>-24.035782148260214</c:v>
                      </c:pt>
                      <c:pt idx="17" formatCode="General">
                        <c:v>-24.267552193645994</c:v>
                      </c:pt>
                      <c:pt idx="18" formatCode="General">
                        <c:v>-24.488913767019667</c:v>
                      </c:pt>
                      <c:pt idx="19" formatCode="General">
                        <c:v>-24.708580937972769</c:v>
                      </c:pt>
                      <c:pt idx="20" formatCode="General">
                        <c:v>-24.928248108925871</c:v>
                      </c:pt>
                      <c:pt idx="21" formatCode="General">
                        <c:v>-25.147915279878973</c:v>
                      </c:pt>
                      <c:pt idx="22" formatCode="General">
                        <c:v>-25.367582450832071</c:v>
                      </c:pt>
                      <c:pt idx="23" formatCode="General">
                        <c:v>-25.587249621785173</c:v>
                      </c:pt>
                      <c:pt idx="24" formatCode="General">
                        <c:v>-25.804727272727273</c:v>
                      </c:pt>
                      <c:pt idx="25" formatCode="General">
                        <c:v>-26.015636363636364</c:v>
                      </c:pt>
                      <c:pt idx="26" formatCode="General">
                        <c:v>-26.223636363636366</c:v>
                      </c:pt>
                      <c:pt idx="27" formatCode="General">
                        <c:v>-26.42969696969697</c:v>
                      </c:pt>
                      <c:pt idx="28" formatCode="General">
                        <c:v>-26.628848484848486</c:v>
                      </c:pt>
                      <c:pt idx="29" formatCode="General">
                        <c:v>-26.826181818181819</c:v>
                      </c:pt>
                      <c:pt idx="30" formatCode="General">
                        <c:v>-27.020121212121214</c:v>
                      </c:pt>
                      <c:pt idx="31" formatCode="General">
                        <c:v>-27.205609682299546</c:v>
                      </c:pt>
                      <c:pt idx="32" formatCode="General">
                        <c:v>-27.386547655068078</c:v>
                      </c:pt>
                      <c:pt idx="33" formatCode="General">
                        <c:v>-27.567485627836611</c:v>
                      </c:pt>
                      <c:pt idx="34" formatCode="General">
                        <c:v>-27.748423600605143</c:v>
                      </c:pt>
                      <c:pt idx="35" formatCode="General">
                        <c:v>-27.929361573373676</c:v>
                      </c:pt>
                      <c:pt idx="36" formatCode="General">
                        <c:v>-28.110299546142208</c:v>
                      </c:pt>
                      <c:pt idx="37" formatCode="General">
                        <c:v>-28.29065658093797</c:v>
                      </c:pt>
                      <c:pt idx="38" formatCode="General">
                        <c:v>-28.457071104387289</c:v>
                      </c:pt>
                      <c:pt idx="39" formatCode="General">
                        <c:v>-28.623485627836612</c:v>
                      </c:pt>
                      <c:pt idx="40" formatCode="General">
                        <c:v>-28.789900151285931</c:v>
                      </c:pt>
                      <c:pt idx="41" formatCode="General">
                        <c:v>-28.95631467473525</c:v>
                      </c:pt>
                      <c:pt idx="42" formatCode="General">
                        <c:v>-29.122729198184569</c:v>
                      </c:pt>
                      <c:pt idx="43" formatCode="General">
                        <c:v>-29.289143721633888</c:v>
                      </c:pt>
                      <c:pt idx="44" formatCode="General">
                        <c:v>-29.453476550680787</c:v>
                      </c:pt>
                      <c:pt idx="45" formatCode="General">
                        <c:v>-29.615049924357034</c:v>
                      </c:pt>
                      <c:pt idx="46" formatCode="General">
                        <c:v>-29.776623298033282</c:v>
                      </c:pt>
                      <c:pt idx="47" formatCode="General">
                        <c:v>-29.938196671709534</c:v>
                      </c:pt>
                      <c:pt idx="48" formatCode="General">
                        <c:v>-30.099770045385782</c:v>
                      </c:pt>
                      <c:pt idx="49" formatCode="General">
                        <c:v>-30.26134341906203</c:v>
                      </c:pt>
                      <c:pt idx="50" formatCode="General">
                        <c:v>-30.422916792738278</c:v>
                      </c:pt>
                      <c:pt idx="51" formatCode="General">
                        <c:v>-30.587672727272729</c:v>
                      </c:pt>
                      <c:pt idx="52" formatCode="General">
                        <c:v>-30.753127272727276</c:v>
                      </c:pt>
                      <c:pt idx="53" formatCode="General">
                        <c:v>-30.918581818181821</c:v>
                      </c:pt>
                      <c:pt idx="54" formatCode="General">
                        <c:v>-31.084036363636365</c:v>
                      </c:pt>
                      <c:pt idx="55" formatCode="General">
                        <c:v>-31.249490909090909</c:v>
                      </c:pt>
                      <c:pt idx="56" formatCode="General">
                        <c:v>-31.414945454545457</c:v>
                      </c:pt>
                      <c:pt idx="57" formatCode="General">
                        <c:v>-31.584072617246598</c:v>
                      </c:pt>
                      <c:pt idx="58" formatCode="General">
                        <c:v>-31.766220877458398</c:v>
                      </c:pt>
                      <c:pt idx="59" formatCode="General">
                        <c:v>-31.948369137670198</c:v>
                      </c:pt>
                      <c:pt idx="60" formatCode="General">
                        <c:v>-32.130517397881995</c:v>
                      </c:pt>
                      <c:pt idx="61" formatCode="General">
                        <c:v>-32.312665658093799</c:v>
                      </c:pt>
                      <c:pt idx="62" formatCode="General">
                        <c:v>-32.494813918305596</c:v>
                      </c:pt>
                      <c:pt idx="63" formatCode="General">
                        <c:v>-32.6769621785174</c:v>
                      </c:pt>
                      <c:pt idx="64" formatCode="General">
                        <c:v>-32.870739393939395</c:v>
                      </c:pt>
                      <c:pt idx="65" formatCode="General">
                        <c:v>-33.071951515151511</c:v>
                      </c:pt>
                      <c:pt idx="66" formatCode="General">
                        <c:v>-33.28125301204819</c:v>
                      </c:pt>
                      <c:pt idx="67" formatCode="General">
                        <c:v>-33.49490909090909</c:v>
                      </c:pt>
                      <c:pt idx="68" formatCode="General">
                        <c:v>-33.717939393939396</c:v>
                      </c:pt>
                      <c:pt idx="69" formatCode="General">
                        <c:v>-33.948848484848483</c:v>
                      </c:pt>
                      <c:pt idx="70" formatCode="General">
                        <c:v>-34.183999999999997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-25.47124810892587</c:v>
                      </c:pt>
                      <c:pt idx="1">
                        <c:v>-25.73751134644478</c:v>
                      </c:pt>
                      <c:pt idx="2" formatCode="General">
                        <c:v>-26.00377458396369</c:v>
                      </c:pt>
                      <c:pt idx="3" formatCode="General">
                        <c:v>-26.270037821482603</c:v>
                      </c:pt>
                      <c:pt idx="4" formatCode="General">
                        <c:v>-26.538540090771559</c:v>
                      </c:pt>
                      <c:pt idx="5" formatCode="General">
                        <c:v>-26.832791225416038</c:v>
                      </c:pt>
                      <c:pt idx="6" formatCode="General">
                        <c:v>-27.127042360060514</c:v>
                      </c:pt>
                      <c:pt idx="7" formatCode="General">
                        <c:v>-27.421293494704994</c:v>
                      </c:pt>
                      <c:pt idx="8" formatCode="General">
                        <c:v>-27.71554462934947</c:v>
                      </c:pt>
                      <c:pt idx="9" formatCode="General">
                        <c:v>-28.009795763993949</c:v>
                      </c:pt>
                      <c:pt idx="10" formatCode="General">
                        <c:v>-28.304046898638425</c:v>
                      </c:pt>
                      <c:pt idx="11" formatCode="General">
                        <c:v>-28.596164901664146</c:v>
                      </c:pt>
                      <c:pt idx="12" formatCode="General">
                        <c:v>-28.885877458396369</c:v>
                      </c:pt>
                      <c:pt idx="13" formatCode="General">
                        <c:v>-29.175590015128595</c:v>
                      </c:pt>
                      <c:pt idx="14" formatCode="General">
                        <c:v>-29.465302571860818</c:v>
                      </c:pt>
                      <c:pt idx="15" formatCode="General">
                        <c:v>-29.75501512859304</c:v>
                      </c:pt>
                      <c:pt idx="16" formatCode="General">
                        <c:v>-30.044727685325267</c:v>
                      </c:pt>
                      <c:pt idx="17" formatCode="General">
                        <c:v>-30.334440242057489</c:v>
                      </c:pt>
                      <c:pt idx="18" formatCode="General">
                        <c:v>-30.611142208774584</c:v>
                      </c:pt>
                      <c:pt idx="19" formatCode="General">
                        <c:v>-30.885726172465962</c:v>
                      </c:pt>
                      <c:pt idx="20" formatCode="General">
                        <c:v>-31.160310136157335</c:v>
                      </c:pt>
                      <c:pt idx="21" formatCode="General">
                        <c:v>-31.434894099848712</c:v>
                      </c:pt>
                      <c:pt idx="22" formatCode="General">
                        <c:v>-31.709478063540089</c:v>
                      </c:pt>
                      <c:pt idx="23" formatCode="General">
                        <c:v>-31.984062027231467</c:v>
                      </c:pt>
                      <c:pt idx="24" formatCode="General">
                        <c:v>-32.255909090909086</c:v>
                      </c:pt>
                      <c:pt idx="25" formatCode="General">
                        <c:v>-32.519545454545451</c:v>
                      </c:pt>
                      <c:pt idx="26" formatCode="General">
                        <c:v>-32.779545454545456</c:v>
                      </c:pt>
                      <c:pt idx="27" formatCode="General">
                        <c:v>-33.037121212121214</c:v>
                      </c:pt>
                      <c:pt idx="28" formatCode="General">
                        <c:v>-33.286060606060609</c:v>
                      </c:pt>
                      <c:pt idx="29" formatCode="General">
                        <c:v>-33.532727272727271</c:v>
                      </c:pt>
                      <c:pt idx="30" formatCode="General">
                        <c:v>-33.775151515151514</c:v>
                      </c:pt>
                      <c:pt idx="31" formatCode="General">
                        <c:v>-34.007012102874434</c:v>
                      </c:pt>
                      <c:pt idx="32" formatCode="General">
                        <c:v>-34.2331845688351</c:v>
                      </c:pt>
                      <c:pt idx="33" formatCode="General">
                        <c:v>-34.459357034795765</c:v>
                      </c:pt>
                      <c:pt idx="34" formatCode="General">
                        <c:v>-34.685529500756431</c:v>
                      </c:pt>
                      <c:pt idx="35" formatCode="General">
                        <c:v>-34.911701966717089</c:v>
                      </c:pt>
                      <c:pt idx="36" formatCode="General">
                        <c:v>-35.137874432677755</c:v>
                      </c:pt>
                      <c:pt idx="37" formatCode="General">
                        <c:v>-35.363320726172461</c:v>
                      </c:pt>
                      <c:pt idx="38" formatCode="General">
                        <c:v>-35.571338880484113</c:v>
                      </c:pt>
                      <c:pt idx="39" formatCode="General">
                        <c:v>-35.779357034795765</c:v>
                      </c:pt>
                      <c:pt idx="40" formatCode="General">
                        <c:v>-35.987375189107411</c:v>
                      </c:pt>
                      <c:pt idx="41" formatCode="General">
                        <c:v>-36.195393343419063</c:v>
                      </c:pt>
                      <c:pt idx="42" formatCode="General">
                        <c:v>-36.403411497730715</c:v>
                      </c:pt>
                      <c:pt idx="43" formatCode="General">
                        <c:v>-36.611429652042361</c:v>
                      </c:pt>
                      <c:pt idx="44" formatCode="General">
                        <c:v>-36.816845688350988</c:v>
                      </c:pt>
                      <c:pt idx="45" formatCode="General">
                        <c:v>-37.018812405446297</c:v>
                      </c:pt>
                      <c:pt idx="46" formatCode="General">
                        <c:v>-37.220779122541607</c:v>
                      </c:pt>
                      <c:pt idx="47" formatCode="General">
                        <c:v>-37.422745839636917</c:v>
                      </c:pt>
                      <c:pt idx="48" formatCode="General">
                        <c:v>-37.624712556732227</c:v>
                      </c:pt>
                      <c:pt idx="49" formatCode="General">
                        <c:v>-37.826679273827537</c:v>
                      </c:pt>
                      <c:pt idx="50" formatCode="General">
                        <c:v>-38.028645990922847</c:v>
                      </c:pt>
                      <c:pt idx="51" formatCode="General">
                        <c:v>-38.234590909090912</c:v>
                      </c:pt>
                      <c:pt idx="52" formatCode="General">
                        <c:v>-38.441409090909097</c:v>
                      </c:pt>
                      <c:pt idx="53" formatCode="General">
                        <c:v>-38.648227272727276</c:v>
                      </c:pt>
                      <c:pt idx="54" formatCode="General">
                        <c:v>-38.855045454545454</c:v>
                      </c:pt>
                      <c:pt idx="55" formatCode="General">
                        <c:v>-39.06186363636364</c:v>
                      </c:pt>
                      <c:pt idx="56" formatCode="General">
                        <c:v>-39.268681818181818</c:v>
                      </c:pt>
                      <c:pt idx="57" formatCode="General">
                        <c:v>-39.480090771558245</c:v>
                      </c:pt>
                      <c:pt idx="58" formatCode="General">
                        <c:v>-39.707776096822997</c:v>
                      </c:pt>
                      <c:pt idx="59" formatCode="General">
                        <c:v>-39.935461422087748</c:v>
                      </c:pt>
                      <c:pt idx="60" formatCode="General">
                        <c:v>-40.163146747352492</c:v>
                      </c:pt>
                      <c:pt idx="61" formatCode="General">
                        <c:v>-40.390832072617243</c:v>
                      </c:pt>
                      <c:pt idx="62" formatCode="General">
                        <c:v>-40.618517397881995</c:v>
                      </c:pt>
                      <c:pt idx="63" formatCode="General">
                        <c:v>-40.846202723146746</c:v>
                      </c:pt>
                      <c:pt idx="64" formatCode="General">
                        <c:v>-41.088424242424239</c:v>
                      </c:pt>
                      <c:pt idx="65" formatCode="General">
                        <c:v>-41.339939393939389</c:v>
                      </c:pt>
                      <c:pt idx="66" formatCode="General">
                        <c:v>-41.601566265060235</c:v>
                      </c:pt>
                      <c:pt idx="67" formatCode="General">
                        <c:v>-41.868636363636362</c:v>
                      </c:pt>
                      <c:pt idx="68" formatCode="General">
                        <c:v>-42.147424242424236</c:v>
                      </c:pt>
                      <c:pt idx="69" formatCode="General">
                        <c:v>-42.4360606060606</c:v>
                      </c:pt>
                      <c:pt idx="70" formatCode="General">
                        <c:v>-42.73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-40.753996974281392</c:v>
                      </c:pt>
                      <c:pt idx="1">
                        <c:v>-41.180018154311647</c:v>
                      </c:pt>
                      <c:pt idx="2" formatCode="General">
                        <c:v>-41.606039334341908</c:v>
                      </c:pt>
                      <c:pt idx="3" formatCode="General">
                        <c:v>-42.032060514372162</c:v>
                      </c:pt>
                      <c:pt idx="4" formatCode="General">
                        <c:v>-42.461664145234494</c:v>
                      </c:pt>
                      <c:pt idx="5" formatCode="General">
                        <c:v>-42.93246596066566</c:v>
                      </c:pt>
                      <c:pt idx="6" formatCode="General">
                        <c:v>-43.403267776096826</c:v>
                      </c:pt>
                      <c:pt idx="7" formatCode="General">
                        <c:v>-43.874069591527991</c:v>
                      </c:pt>
                      <c:pt idx="8" formatCode="General">
                        <c:v>-44.34487140695915</c:v>
                      </c:pt>
                      <c:pt idx="9" formatCode="General">
                        <c:v>-44.815673222390316</c:v>
                      </c:pt>
                      <c:pt idx="10" formatCode="General">
                        <c:v>-45.286475037821482</c:v>
                      </c:pt>
                      <c:pt idx="11" formatCode="General">
                        <c:v>-45.753863842662632</c:v>
                      </c:pt>
                      <c:pt idx="12" formatCode="General">
                        <c:v>-46.217403933434191</c:v>
                      </c:pt>
                      <c:pt idx="13" formatCode="General">
                        <c:v>-46.680944024205751</c:v>
                      </c:pt>
                      <c:pt idx="14" formatCode="General">
                        <c:v>-47.14448411497731</c:v>
                      </c:pt>
                      <c:pt idx="15" formatCode="General">
                        <c:v>-47.608024205748869</c:v>
                      </c:pt>
                      <c:pt idx="16" formatCode="General">
                        <c:v>-48.071564296520428</c:v>
                      </c:pt>
                      <c:pt idx="17" formatCode="General">
                        <c:v>-48.535104387291987</c:v>
                      </c:pt>
                      <c:pt idx="18" formatCode="General">
                        <c:v>-48.977827534039335</c:v>
                      </c:pt>
                      <c:pt idx="19" formatCode="General">
                        <c:v>-49.417161875945538</c:v>
                      </c:pt>
                      <c:pt idx="20" formatCode="General">
                        <c:v>-49.856496217851742</c:v>
                      </c:pt>
                      <c:pt idx="21" formatCode="General">
                        <c:v>-50.295830559757945</c:v>
                      </c:pt>
                      <c:pt idx="22" formatCode="General">
                        <c:v>-50.735164901664142</c:v>
                      </c:pt>
                      <c:pt idx="23" formatCode="General">
                        <c:v>-51.174499243570345</c:v>
                      </c:pt>
                      <c:pt idx="24" formatCode="General">
                        <c:v>-51.609454545454547</c:v>
                      </c:pt>
                      <c:pt idx="25" formatCode="General">
                        <c:v>-52.031272727272729</c:v>
                      </c:pt>
                      <c:pt idx="26" formatCode="General">
                        <c:v>-52.447272727272733</c:v>
                      </c:pt>
                      <c:pt idx="27" formatCode="General">
                        <c:v>-52.859393939393939</c:v>
                      </c:pt>
                      <c:pt idx="28" formatCode="General">
                        <c:v>-53.257696969696973</c:v>
                      </c:pt>
                      <c:pt idx="29" formatCode="General">
                        <c:v>-53.652363636363638</c:v>
                      </c:pt>
                      <c:pt idx="30" formatCode="General">
                        <c:v>-54.040242424242429</c:v>
                      </c:pt>
                      <c:pt idx="31" formatCode="General">
                        <c:v>-54.411219364599091</c:v>
                      </c:pt>
                      <c:pt idx="32" formatCode="General">
                        <c:v>-54.773095310136156</c:v>
                      </c:pt>
                      <c:pt idx="33" formatCode="General">
                        <c:v>-55.134971255673221</c:v>
                      </c:pt>
                      <c:pt idx="34" formatCode="General">
                        <c:v>-55.496847201210286</c:v>
                      </c:pt>
                      <c:pt idx="35" formatCode="General">
                        <c:v>-55.858723146747352</c:v>
                      </c:pt>
                      <c:pt idx="36" formatCode="General">
                        <c:v>-56.220599092284417</c:v>
                      </c:pt>
                      <c:pt idx="37" formatCode="General">
                        <c:v>-56.58131316187594</c:v>
                      </c:pt>
                      <c:pt idx="38" formatCode="General">
                        <c:v>-56.914142208774578</c:v>
                      </c:pt>
                      <c:pt idx="39" formatCode="General">
                        <c:v>-57.246971255673223</c:v>
                      </c:pt>
                      <c:pt idx="40" formatCode="General">
                        <c:v>-57.579800302571861</c:v>
                      </c:pt>
                      <c:pt idx="41" formatCode="General">
                        <c:v>-57.9126293494705</c:v>
                      </c:pt>
                      <c:pt idx="42" formatCode="General">
                        <c:v>-58.245458396369138</c:v>
                      </c:pt>
                      <c:pt idx="43" formatCode="General">
                        <c:v>-58.578287443267776</c:v>
                      </c:pt>
                      <c:pt idx="44" formatCode="General">
                        <c:v>-58.906953101361573</c:v>
                      </c:pt>
                      <c:pt idx="45" formatCode="General">
                        <c:v>-59.230099848714069</c:v>
                      </c:pt>
                      <c:pt idx="46" formatCode="General">
                        <c:v>-59.553246596066565</c:v>
                      </c:pt>
                      <c:pt idx="47" formatCode="General">
                        <c:v>-59.876393343419068</c:v>
                      </c:pt>
                      <c:pt idx="48" formatCode="General">
                        <c:v>-60.199540090771563</c:v>
                      </c:pt>
                      <c:pt idx="49" formatCode="General">
                        <c:v>-60.522686838124059</c:v>
                      </c:pt>
                      <c:pt idx="50" formatCode="General">
                        <c:v>-60.845833585476555</c:v>
                      </c:pt>
                      <c:pt idx="51" formatCode="General">
                        <c:v>-61.175345454545457</c:v>
                      </c:pt>
                      <c:pt idx="52" formatCode="General">
                        <c:v>-61.506254545454553</c:v>
                      </c:pt>
                      <c:pt idx="53" formatCode="General">
                        <c:v>-61.837163636363641</c:v>
                      </c:pt>
                      <c:pt idx="54" formatCode="General">
                        <c:v>-62.16807272727273</c:v>
                      </c:pt>
                      <c:pt idx="55" formatCode="General">
                        <c:v>-62.498981818181818</c:v>
                      </c:pt>
                      <c:pt idx="56" formatCode="General">
                        <c:v>-62.829890909090913</c:v>
                      </c:pt>
                      <c:pt idx="57" formatCode="General">
                        <c:v>-63.168145234493196</c:v>
                      </c:pt>
                      <c:pt idx="58" formatCode="General">
                        <c:v>-63.532441754916796</c:v>
                      </c:pt>
                      <c:pt idx="59" formatCode="General">
                        <c:v>-63.896738275340397</c:v>
                      </c:pt>
                      <c:pt idx="60" formatCode="General">
                        <c:v>-64.26103479576399</c:v>
                      </c:pt>
                      <c:pt idx="61" formatCode="General">
                        <c:v>-64.625331316187598</c:v>
                      </c:pt>
                      <c:pt idx="62" formatCode="General">
                        <c:v>-64.989627836611191</c:v>
                      </c:pt>
                      <c:pt idx="63" formatCode="General">
                        <c:v>-65.353924357034799</c:v>
                      </c:pt>
                      <c:pt idx="64" formatCode="General">
                        <c:v>-65.741478787878791</c:v>
                      </c:pt>
                      <c:pt idx="65" formatCode="General">
                        <c:v>-66.143903030303022</c:v>
                      </c:pt>
                      <c:pt idx="66" formatCode="General">
                        <c:v>-66.562506024096379</c:v>
                      </c:pt>
                      <c:pt idx="67" formatCode="General">
                        <c:v>-66.98981818181818</c:v>
                      </c:pt>
                      <c:pt idx="68" formatCode="General">
                        <c:v>-67.435878787878792</c:v>
                      </c:pt>
                      <c:pt idx="69" formatCode="General">
                        <c:v>-67.897696969696966</c:v>
                      </c:pt>
                      <c:pt idx="70" formatCode="General">
                        <c:v>-68.367999999999995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-10.188499243570348</c:v>
                      </c:pt>
                      <c:pt idx="1">
                        <c:v>-10.295004538577912</c:v>
                      </c:pt>
                      <c:pt idx="2" formatCode="General">
                        <c:v>-10.401509833585477</c:v>
                      </c:pt>
                      <c:pt idx="3" formatCode="General">
                        <c:v>-10.508015128593041</c:v>
                      </c:pt>
                      <c:pt idx="4" formatCode="General">
                        <c:v>-10.615416036308623</c:v>
                      </c:pt>
                      <c:pt idx="5" formatCode="General">
                        <c:v>-10.733116490166415</c:v>
                      </c:pt>
                      <c:pt idx="6" formatCode="General">
                        <c:v>-10.850816944024206</c:v>
                      </c:pt>
                      <c:pt idx="7" formatCode="General">
                        <c:v>-10.968517397881998</c:v>
                      </c:pt>
                      <c:pt idx="8" formatCode="General">
                        <c:v>-11.086217851739788</c:v>
                      </c:pt>
                      <c:pt idx="9" formatCode="General">
                        <c:v>-11.203918305597579</c:v>
                      </c:pt>
                      <c:pt idx="10" formatCode="General">
                        <c:v>-11.321618759455371</c:v>
                      </c:pt>
                      <c:pt idx="11" formatCode="General">
                        <c:v>-11.438465960665658</c:v>
                      </c:pt>
                      <c:pt idx="12" formatCode="General">
                        <c:v>-11.554350983358548</c:v>
                      </c:pt>
                      <c:pt idx="13" formatCode="General">
                        <c:v>-11.670236006051438</c:v>
                      </c:pt>
                      <c:pt idx="14" formatCode="General">
                        <c:v>-11.786121028744327</c:v>
                      </c:pt>
                      <c:pt idx="15" formatCode="General">
                        <c:v>-11.902006051437217</c:v>
                      </c:pt>
                      <c:pt idx="16" formatCode="General">
                        <c:v>-12.017891074130107</c:v>
                      </c:pt>
                      <c:pt idx="17" formatCode="General">
                        <c:v>-12.133776096822997</c:v>
                      </c:pt>
                      <c:pt idx="18" formatCode="General">
                        <c:v>-12.244456883509834</c:v>
                      </c:pt>
                      <c:pt idx="19" formatCode="General">
                        <c:v>-12.354290468986385</c:v>
                      </c:pt>
                      <c:pt idx="20" formatCode="General">
                        <c:v>-12.464124054462935</c:v>
                      </c:pt>
                      <c:pt idx="21" formatCode="General">
                        <c:v>-12.573957639939486</c:v>
                      </c:pt>
                      <c:pt idx="22" formatCode="General">
                        <c:v>-12.683791225416035</c:v>
                      </c:pt>
                      <c:pt idx="23" formatCode="General">
                        <c:v>-12.793624810892586</c:v>
                      </c:pt>
                      <c:pt idx="24" formatCode="General">
                        <c:v>-12.902363636363637</c:v>
                      </c:pt>
                      <c:pt idx="25" formatCode="General">
                        <c:v>-13.007818181818182</c:v>
                      </c:pt>
                      <c:pt idx="26" formatCode="General">
                        <c:v>-13.111818181818183</c:v>
                      </c:pt>
                      <c:pt idx="27" formatCode="General">
                        <c:v>-13.214848484848485</c:v>
                      </c:pt>
                      <c:pt idx="28" formatCode="General">
                        <c:v>-13.314424242424243</c:v>
                      </c:pt>
                      <c:pt idx="29" formatCode="General">
                        <c:v>-13.41309090909091</c:v>
                      </c:pt>
                      <c:pt idx="30" formatCode="General">
                        <c:v>-13.510060606060607</c:v>
                      </c:pt>
                      <c:pt idx="31" formatCode="General">
                        <c:v>-13.602804841149773</c:v>
                      </c:pt>
                      <c:pt idx="32" formatCode="General">
                        <c:v>-13.693273827534039</c:v>
                      </c:pt>
                      <c:pt idx="33" formatCode="General">
                        <c:v>-13.783742813918305</c:v>
                      </c:pt>
                      <c:pt idx="34" formatCode="General">
                        <c:v>-13.874211800302572</c:v>
                      </c:pt>
                      <c:pt idx="35" formatCode="General">
                        <c:v>-13.964680786686838</c:v>
                      </c:pt>
                      <c:pt idx="36" formatCode="General">
                        <c:v>-14.055149773071104</c:v>
                      </c:pt>
                      <c:pt idx="37" formatCode="General">
                        <c:v>-14.145328290468985</c:v>
                      </c:pt>
                      <c:pt idx="38" formatCode="General">
                        <c:v>-14.228535552193645</c:v>
                      </c:pt>
                      <c:pt idx="39" formatCode="General">
                        <c:v>-14.311742813918306</c:v>
                      </c:pt>
                      <c:pt idx="40" formatCode="General">
                        <c:v>-14.394950075642965</c:v>
                      </c:pt>
                      <c:pt idx="41" formatCode="General">
                        <c:v>-14.478157337367625</c:v>
                      </c:pt>
                      <c:pt idx="42" formatCode="General">
                        <c:v>-14.561364599092284</c:v>
                      </c:pt>
                      <c:pt idx="43" formatCode="General">
                        <c:v>-14.644571860816944</c:v>
                      </c:pt>
                      <c:pt idx="44" formatCode="General">
                        <c:v>-14.726738275340393</c:v>
                      </c:pt>
                      <c:pt idx="45" formatCode="General">
                        <c:v>-14.807524962178517</c:v>
                      </c:pt>
                      <c:pt idx="46" formatCode="General">
                        <c:v>-14.888311649016641</c:v>
                      </c:pt>
                      <c:pt idx="47" formatCode="General">
                        <c:v>-14.969098335854767</c:v>
                      </c:pt>
                      <c:pt idx="48" formatCode="General">
                        <c:v>-15.049885022692891</c:v>
                      </c:pt>
                      <c:pt idx="49" formatCode="General">
                        <c:v>-15.130671709531015</c:v>
                      </c:pt>
                      <c:pt idx="50" formatCode="General">
                        <c:v>-15.211458396369139</c:v>
                      </c:pt>
                      <c:pt idx="51" formatCode="General">
                        <c:v>-15.293836363636364</c:v>
                      </c:pt>
                      <c:pt idx="52" formatCode="General">
                        <c:v>-15.376563636363638</c:v>
                      </c:pt>
                      <c:pt idx="53" formatCode="General">
                        <c:v>-15.45929090909091</c:v>
                      </c:pt>
                      <c:pt idx="54" formatCode="General">
                        <c:v>-15.542018181818182</c:v>
                      </c:pt>
                      <c:pt idx="55" formatCode="General">
                        <c:v>-15.624745454545454</c:v>
                      </c:pt>
                      <c:pt idx="56" formatCode="General">
                        <c:v>-15.707472727272728</c:v>
                      </c:pt>
                      <c:pt idx="57" formatCode="General">
                        <c:v>-15.792036308623299</c:v>
                      </c:pt>
                      <c:pt idx="58" formatCode="General">
                        <c:v>-15.883110438729199</c:v>
                      </c:pt>
                      <c:pt idx="59" formatCode="General">
                        <c:v>-15.974184568835099</c:v>
                      </c:pt>
                      <c:pt idx="60" formatCode="General">
                        <c:v>-16.065258698940998</c:v>
                      </c:pt>
                      <c:pt idx="61" formatCode="General">
                        <c:v>-16.156332829046899</c:v>
                      </c:pt>
                      <c:pt idx="62" formatCode="General">
                        <c:v>-16.247406959152798</c:v>
                      </c:pt>
                      <c:pt idx="63" formatCode="General">
                        <c:v>-16.3384810892587</c:v>
                      </c:pt>
                      <c:pt idx="64" formatCode="General">
                        <c:v>-16.435369696969698</c:v>
                      </c:pt>
                      <c:pt idx="65" formatCode="General">
                        <c:v>-16.535975757575756</c:v>
                      </c:pt>
                      <c:pt idx="66" formatCode="General">
                        <c:v>-16.640626506024095</c:v>
                      </c:pt>
                      <c:pt idx="67" formatCode="General">
                        <c:v>-16.747454545454545</c:v>
                      </c:pt>
                      <c:pt idx="68" formatCode="General">
                        <c:v>-16.858969696969698</c:v>
                      </c:pt>
                      <c:pt idx="69" formatCode="General">
                        <c:v>-16.974424242424242</c:v>
                      </c:pt>
                      <c:pt idx="70" formatCode="General">
                        <c:v>-17.091999999999999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-18.054697428139182</c:v>
                      </c:pt>
                      <c:pt idx="1">
                        <c:v>-18.256815431164902</c:v>
                      </c:pt>
                      <c:pt idx="2" formatCode="General">
                        <c:v>-18.458933434190619</c:v>
                      </c:pt>
                      <c:pt idx="3" formatCode="General">
                        <c:v>-18.66105143721634</c:v>
                      </c:pt>
                      <c:pt idx="4" formatCode="General">
                        <c:v>-18.86235854765507</c:v>
                      </c:pt>
                      <c:pt idx="5" formatCode="General">
                        <c:v>-19.05434039334342</c:v>
                      </c:pt>
                      <c:pt idx="6" formatCode="General">
                        <c:v>-19.24632223903177</c:v>
                      </c:pt>
                      <c:pt idx="7" formatCode="General">
                        <c:v>-19.438304084720123</c:v>
                      </c:pt>
                      <c:pt idx="8" formatCode="General">
                        <c:v>-19.630285930408473</c:v>
                      </c:pt>
                      <c:pt idx="9" formatCode="General">
                        <c:v>-19.822267776096822</c:v>
                      </c:pt>
                      <c:pt idx="10" formatCode="General">
                        <c:v>-20.014249621785172</c:v>
                      </c:pt>
                      <c:pt idx="11" formatCode="General">
                        <c:v>-20.19926323751891</c:v>
                      </c:pt>
                      <c:pt idx="12" formatCode="General">
                        <c:v>-20.376419062027232</c:v>
                      </c:pt>
                      <c:pt idx="13" formatCode="General">
                        <c:v>-20.55357488653555</c:v>
                      </c:pt>
                      <c:pt idx="14" formatCode="General">
                        <c:v>-20.730730711043872</c:v>
                      </c:pt>
                      <c:pt idx="15" formatCode="General">
                        <c:v>-20.907886535552194</c:v>
                      </c:pt>
                      <c:pt idx="16" formatCode="General">
                        <c:v>-21.085042360060513</c:v>
                      </c:pt>
                      <c:pt idx="17" formatCode="General">
                        <c:v>-21.262198184568835</c:v>
                      </c:pt>
                      <c:pt idx="18" formatCode="General">
                        <c:v>-21.429465960665659</c:v>
                      </c:pt>
                      <c:pt idx="19" formatCode="General">
                        <c:v>-21.595124054462936</c:v>
                      </c:pt>
                      <c:pt idx="20" formatCode="General">
                        <c:v>-21.760782148260212</c:v>
                      </c:pt>
                      <c:pt idx="21" formatCode="General">
                        <c:v>-21.926440242057488</c:v>
                      </c:pt>
                      <c:pt idx="22" formatCode="General">
                        <c:v>-22.092098335854768</c:v>
                      </c:pt>
                      <c:pt idx="23" formatCode="General">
                        <c:v>-22.257756429652044</c:v>
                      </c:pt>
                      <c:pt idx="24" formatCode="General">
                        <c:v>-22.423363636363639</c:v>
                      </c:pt>
                      <c:pt idx="25" formatCode="General">
                        <c:v>-22.588818181818183</c:v>
                      </c:pt>
                      <c:pt idx="26" formatCode="General">
                        <c:v>-22.754999999999999</c:v>
                      </c:pt>
                      <c:pt idx="27" formatCode="General">
                        <c:v>-22.921666666666667</c:v>
                      </c:pt>
                      <c:pt idx="28" formatCode="General">
                        <c:v>-23.09121212121212</c:v>
                      </c:pt>
                      <c:pt idx="29" formatCode="General">
                        <c:v>-23.262727272727272</c:v>
                      </c:pt>
                      <c:pt idx="30" formatCode="General">
                        <c:v>-23.438484848484848</c:v>
                      </c:pt>
                      <c:pt idx="31" formatCode="General">
                        <c:v>-23.627148260211801</c:v>
                      </c:pt>
                      <c:pt idx="32" formatCode="General">
                        <c:v>-23.822760968229954</c:v>
                      </c:pt>
                      <c:pt idx="33" formatCode="General">
                        <c:v>-24.018373676248107</c:v>
                      </c:pt>
                      <c:pt idx="34" formatCode="General">
                        <c:v>-24.213986384266263</c:v>
                      </c:pt>
                      <c:pt idx="35" formatCode="General">
                        <c:v>-24.409599092284417</c:v>
                      </c:pt>
                      <c:pt idx="36" formatCode="General">
                        <c:v>-24.60521180030257</c:v>
                      </c:pt>
                      <c:pt idx="37" formatCode="General">
                        <c:v>-24.801853252647504</c:v>
                      </c:pt>
                      <c:pt idx="38" formatCode="General">
                        <c:v>-25.023184568835099</c:v>
                      </c:pt>
                      <c:pt idx="39" formatCode="General">
                        <c:v>-25.244515885022693</c:v>
                      </c:pt>
                      <c:pt idx="40" formatCode="General">
                        <c:v>-25.465847201210288</c:v>
                      </c:pt>
                      <c:pt idx="41" formatCode="General">
                        <c:v>-25.687178517397882</c:v>
                      </c:pt>
                      <c:pt idx="42" formatCode="General">
                        <c:v>-25.908509833585477</c:v>
                      </c:pt>
                      <c:pt idx="43" formatCode="General">
                        <c:v>-26.129841149773071</c:v>
                      </c:pt>
                      <c:pt idx="44" formatCode="General">
                        <c:v>-26.350782148260212</c:v>
                      </c:pt>
                      <c:pt idx="45" formatCode="General">
                        <c:v>-26.571205748865356</c:v>
                      </c:pt>
                      <c:pt idx="46" formatCode="General">
                        <c:v>-26.791629349470501</c:v>
                      </c:pt>
                      <c:pt idx="47" formatCode="General">
                        <c:v>-27.012052950075642</c:v>
                      </c:pt>
                      <c:pt idx="48" formatCode="General">
                        <c:v>-27.232476550680786</c:v>
                      </c:pt>
                      <c:pt idx="49" formatCode="General">
                        <c:v>-27.452900151285931</c:v>
                      </c:pt>
                      <c:pt idx="50" formatCode="General">
                        <c:v>-27.673323751891076</c:v>
                      </c:pt>
                      <c:pt idx="51" formatCode="General">
                        <c:v>-27.883584848484851</c:v>
                      </c:pt>
                      <c:pt idx="52" formatCode="General">
                        <c:v>-28.091615151515153</c:v>
                      </c:pt>
                      <c:pt idx="53" formatCode="General">
                        <c:v>-28.299645454545455</c:v>
                      </c:pt>
                      <c:pt idx="54" formatCode="General">
                        <c:v>-28.507675757575758</c:v>
                      </c:pt>
                      <c:pt idx="55" formatCode="General">
                        <c:v>-28.71570606060606</c:v>
                      </c:pt>
                      <c:pt idx="56" formatCode="General">
                        <c:v>-28.923736363636365</c:v>
                      </c:pt>
                      <c:pt idx="57" formatCode="General">
                        <c:v>-29.127969742813917</c:v>
                      </c:pt>
                      <c:pt idx="58" formatCode="General">
                        <c:v>-29.318741301059003</c:v>
                      </c:pt>
                      <c:pt idx="59" formatCode="General">
                        <c:v>-29.509512859304085</c:v>
                      </c:pt>
                      <c:pt idx="60" formatCode="General">
                        <c:v>-29.70028441754917</c:v>
                      </c:pt>
                      <c:pt idx="61" formatCode="General">
                        <c:v>-29.891055975794252</c:v>
                      </c:pt>
                      <c:pt idx="62" formatCode="General">
                        <c:v>-30.081827534039334</c:v>
                      </c:pt>
                      <c:pt idx="63" formatCode="General">
                        <c:v>-30.27259909228442</c:v>
                      </c:pt>
                      <c:pt idx="64" formatCode="General">
                        <c:v>-30.459018181818184</c:v>
                      </c:pt>
                      <c:pt idx="65" formatCode="General">
                        <c:v>-30.642654545454544</c:v>
                      </c:pt>
                      <c:pt idx="66" formatCode="General">
                        <c:v>-30.815975903614454</c:v>
                      </c:pt>
                      <c:pt idx="67" formatCode="General">
                        <c:v>-30.990090909090906</c:v>
                      </c:pt>
                      <c:pt idx="68" formatCode="General">
                        <c:v>-31.167060606060605</c:v>
                      </c:pt>
                      <c:pt idx="69" formatCode="General">
                        <c:v>-31.338121212121212</c:v>
                      </c:pt>
                      <c:pt idx="70" formatCode="General">
                        <c:v>-31.506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-32.550376701966719</c:v>
                      </c:pt>
                      <c:pt idx="1">
                        <c:v>-31.910739788199699</c:v>
                      </c:pt>
                      <c:pt idx="2" formatCode="General">
                        <c:v>-31.271102874432678</c:v>
                      </c:pt>
                      <c:pt idx="3" formatCode="General">
                        <c:v>-30.631465960665658</c:v>
                      </c:pt>
                      <c:pt idx="4" formatCode="General">
                        <c:v>-30.011399394856277</c:v>
                      </c:pt>
                      <c:pt idx="5" formatCode="General">
                        <c:v>-29.616391830559756</c:v>
                      </c:pt>
                      <c:pt idx="6" formatCode="General">
                        <c:v>-29.221384266263236</c:v>
                      </c:pt>
                      <c:pt idx="7" formatCode="General">
                        <c:v>-28.826376701966716</c:v>
                      </c:pt>
                      <c:pt idx="8" formatCode="General">
                        <c:v>-28.431369137670195</c:v>
                      </c:pt>
                      <c:pt idx="9" formatCode="General">
                        <c:v>-28.036361573373675</c:v>
                      </c:pt>
                      <c:pt idx="10" formatCode="General">
                        <c:v>-27.641354009077155</c:v>
                      </c:pt>
                      <c:pt idx="11" formatCode="General">
                        <c:v>-27.310624810892588</c:v>
                      </c:pt>
                      <c:pt idx="12" formatCode="General">
                        <c:v>-27.052379727685324</c:v>
                      </c:pt>
                      <c:pt idx="13" formatCode="General">
                        <c:v>-26.794134644478063</c:v>
                      </c:pt>
                      <c:pt idx="14" formatCode="General">
                        <c:v>-26.5358895612708</c:v>
                      </c:pt>
                      <c:pt idx="15" formatCode="General">
                        <c:v>-26.277644478063539</c:v>
                      </c:pt>
                      <c:pt idx="16" formatCode="General">
                        <c:v>-26.019399394856276</c:v>
                      </c:pt>
                      <c:pt idx="17" formatCode="General">
                        <c:v>-25.761154311649015</c:v>
                      </c:pt>
                      <c:pt idx="18" formatCode="General">
                        <c:v>-25.574467473524958</c:v>
                      </c:pt>
                      <c:pt idx="19" formatCode="General">
                        <c:v>-25.399429652042357</c:v>
                      </c:pt>
                      <c:pt idx="20" formatCode="General">
                        <c:v>-25.224391830559757</c:v>
                      </c:pt>
                      <c:pt idx="21" formatCode="General">
                        <c:v>-25.049354009077152</c:v>
                      </c:pt>
                      <c:pt idx="22" formatCode="General">
                        <c:v>-24.874316187594552</c:v>
                      </c:pt>
                      <c:pt idx="23" formatCode="General">
                        <c:v>-24.699278366111951</c:v>
                      </c:pt>
                      <c:pt idx="24" formatCode="General">
                        <c:v>-24.534212121212118</c:v>
                      </c:pt>
                      <c:pt idx="25" formatCode="General">
                        <c:v>-24.399060606060605</c:v>
                      </c:pt>
                      <c:pt idx="26" formatCode="General">
                        <c:v>-24.266818181818181</c:v>
                      </c:pt>
                      <c:pt idx="27" formatCode="General">
                        <c:v>-24.136515151515152</c:v>
                      </c:pt>
                      <c:pt idx="28" formatCode="General">
                        <c:v>-24.015999999999998</c:v>
                      </c:pt>
                      <c:pt idx="29" formatCode="General">
                        <c:v>-23.897454545454544</c:v>
                      </c:pt>
                      <c:pt idx="30" formatCode="General">
                        <c:v>-23.782303030303027</c:v>
                      </c:pt>
                      <c:pt idx="31" formatCode="General">
                        <c:v>-23.680933434190617</c:v>
                      </c:pt>
                      <c:pt idx="32" formatCode="General">
                        <c:v>-23.586984871406958</c:v>
                      </c:pt>
                      <c:pt idx="33" formatCode="General">
                        <c:v>-23.493036308623296</c:v>
                      </c:pt>
                      <c:pt idx="34" formatCode="General">
                        <c:v>-23.399087745839637</c:v>
                      </c:pt>
                      <c:pt idx="35" formatCode="General">
                        <c:v>-23.305139183055978</c:v>
                      </c:pt>
                      <c:pt idx="36" formatCode="General">
                        <c:v>-23.211190620272315</c:v>
                      </c:pt>
                      <c:pt idx="37" formatCode="General">
                        <c:v>-23.118186081694404</c:v>
                      </c:pt>
                      <c:pt idx="38" formatCode="General">
                        <c:v>-23.047838124054465</c:v>
                      </c:pt>
                      <c:pt idx="39" formatCode="General">
                        <c:v>-22.977490166414526</c:v>
                      </c:pt>
                      <c:pt idx="40" formatCode="General">
                        <c:v>-22.907142208774584</c:v>
                      </c:pt>
                      <c:pt idx="41" formatCode="General">
                        <c:v>-22.836794251134645</c:v>
                      </c:pt>
                      <c:pt idx="42" formatCode="General">
                        <c:v>-22.766446293494706</c:v>
                      </c:pt>
                      <c:pt idx="43" formatCode="General">
                        <c:v>-22.696098335854764</c:v>
                      </c:pt>
                      <c:pt idx="44" formatCode="General">
                        <c:v>-22.634337367624809</c:v>
                      </c:pt>
                      <c:pt idx="45" formatCode="General">
                        <c:v>-22.583959152798791</c:v>
                      </c:pt>
                      <c:pt idx="46" formatCode="General">
                        <c:v>-22.533580937972769</c:v>
                      </c:pt>
                      <c:pt idx="47" formatCode="General">
                        <c:v>-22.483202723146746</c:v>
                      </c:pt>
                      <c:pt idx="48" formatCode="General">
                        <c:v>-22.432824508320724</c:v>
                      </c:pt>
                      <c:pt idx="49" formatCode="General">
                        <c:v>-22.382446293494706</c:v>
                      </c:pt>
                      <c:pt idx="50" formatCode="General">
                        <c:v>-22.332068078668684</c:v>
                      </c:pt>
                      <c:pt idx="51" formatCode="General">
                        <c:v>-22.293554545454544</c:v>
                      </c:pt>
                      <c:pt idx="52" formatCode="General">
                        <c:v>-22.257645454545454</c:v>
                      </c:pt>
                      <c:pt idx="53" formatCode="General">
                        <c:v>-22.221736363636364</c:v>
                      </c:pt>
                      <c:pt idx="54" formatCode="General">
                        <c:v>-22.185827272727273</c:v>
                      </c:pt>
                      <c:pt idx="55" formatCode="General">
                        <c:v>-22.14991818181818</c:v>
                      </c:pt>
                      <c:pt idx="56" formatCode="General">
                        <c:v>-22.114009090909089</c:v>
                      </c:pt>
                      <c:pt idx="57" formatCode="General">
                        <c:v>-22.079376701966716</c:v>
                      </c:pt>
                      <c:pt idx="58" formatCode="General">
                        <c:v>-22.049270801815428</c:v>
                      </c:pt>
                      <c:pt idx="59" formatCode="General">
                        <c:v>-22.019164901664144</c:v>
                      </c:pt>
                      <c:pt idx="60" formatCode="General">
                        <c:v>-21.98905900151286</c:v>
                      </c:pt>
                      <c:pt idx="61" formatCode="General">
                        <c:v>-21.958953101361573</c:v>
                      </c:pt>
                      <c:pt idx="62" formatCode="General">
                        <c:v>-21.928847201210289</c:v>
                      </c:pt>
                      <c:pt idx="63" formatCode="General">
                        <c:v>-21.898741301059001</c:v>
                      </c:pt>
                      <c:pt idx="64" formatCode="General">
                        <c:v>-21.869624242424244</c:v>
                      </c:pt>
                      <c:pt idx="65" formatCode="General">
                        <c:v>-21.841139393939393</c:v>
                      </c:pt>
                      <c:pt idx="66" formatCode="General">
                        <c:v>-21.815132530120479</c:v>
                      </c:pt>
                      <c:pt idx="67" formatCode="General">
                        <c:v>-21.788272727272727</c:v>
                      </c:pt>
                      <c:pt idx="68" formatCode="General">
                        <c:v>-21.759181818181819</c:v>
                      </c:pt>
                      <c:pt idx="69" formatCode="General">
                        <c:v>-21.732060606060607</c:v>
                      </c:pt>
                      <c:pt idx="70" formatCode="General">
                        <c:v>-21.706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-19.034545454545455</c:v>
                      </c:pt>
                      <c:pt idx="27" formatCode="General">
                        <c:v>-19.058787878787879</c:v>
                      </c:pt>
                      <c:pt idx="28" formatCode="General">
                        <c:v>-19.083030303030302</c:v>
                      </c:pt>
                      <c:pt idx="29" formatCode="General">
                        <c:v>-19.107272727272729</c:v>
                      </c:pt>
                      <c:pt idx="30" formatCode="General">
                        <c:v>-19.131515151515153</c:v>
                      </c:pt>
                      <c:pt idx="31" formatCode="General">
                        <c:v>-19.159667170953103</c:v>
                      </c:pt>
                      <c:pt idx="32" formatCode="General">
                        <c:v>-19.189924357034798</c:v>
                      </c:pt>
                      <c:pt idx="33" formatCode="General">
                        <c:v>-19.220181543116489</c:v>
                      </c:pt>
                      <c:pt idx="34" formatCode="General">
                        <c:v>-19.250438729198184</c:v>
                      </c:pt>
                      <c:pt idx="35" formatCode="General">
                        <c:v>-19.280695915279878</c:v>
                      </c:pt>
                      <c:pt idx="36" formatCode="General">
                        <c:v>-19.310953101361573</c:v>
                      </c:pt>
                      <c:pt idx="37" formatCode="General">
                        <c:v>-19.341210287443268</c:v>
                      </c:pt>
                      <c:pt idx="38" formatCode="General">
                        <c:v>-19.371467473524962</c:v>
                      </c:pt>
                      <c:pt idx="39" formatCode="General">
                        <c:v>-19.401724659606657</c:v>
                      </c:pt>
                      <c:pt idx="40" formatCode="General">
                        <c:v>-19.431981845688352</c:v>
                      </c:pt>
                      <c:pt idx="41" formatCode="General">
                        <c:v>-19.462239031770046</c:v>
                      </c:pt>
                      <c:pt idx="42" formatCode="General">
                        <c:v>-19.492496217851738</c:v>
                      </c:pt>
                      <c:pt idx="43" formatCode="General">
                        <c:v>-19.522753403933432</c:v>
                      </c:pt>
                      <c:pt idx="44" formatCode="General">
                        <c:v>-19.551059001512858</c:v>
                      </c:pt>
                      <c:pt idx="45" formatCode="General">
                        <c:v>-19.576777609682299</c:v>
                      </c:pt>
                      <c:pt idx="46" formatCode="General">
                        <c:v>-19.602496217851741</c:v>
                      </c:pt>
                      <c:pt idx="47" formatCode="General">
                        <c:v>-19.628214826021178</c:v>
                      </c:pt>
                      <c:pt idx="48" formatCode="General">
                        <c:v>-19.65393343419062</c:v>
                      </c:pt>
                      <c:pt idx="49" formatCode="General">
                        <c:v>-19.679652042360061</c:v>
                      </c:pt>
                      <c:pt idx="50" formatCode="General">
                        <c:v>-19.705370650529503</c:v>
                      </c:pt>
                      <c:pt idx="51" formatCode="General">
                        <c:v>-19.731121212121213</c:v>
                      </c:pt>
                      <c:pt idx="52" formatCode="General">
                        <c:v>-19.756878787878787</c:v>
                      </c:pt>
                      <c:pt idx="53" formatCode="General">
                        <c:v>-19.782636363636364</c:v>
                      </c:pt>
                      <c:pt idx="54" formatCode="General">
                        <c:v>-19.808393939393941</c:v>
                      </c:pt>
                      <c:pt idx="55" formatCode="General">
                        <c:v>-19.834151515151515</c:v>
                      </c:pt>
                      <c:pt idx="56" formatCode="General">
                        <c:v>-19.859909090909092</c:v>
                      </c:pt>
                      <c:pt idx="57" formatCode="General">
                        <c:v>-19.885990922844176</c:v>
                      </c:pt>
                      <c:pt idx="58" formatCode="General">
                        <c:v>-19.913222390317699</c:v>
                      </c:pt>
                      <c:pt idx="59" formatCode="General">
                        <c:v>-19.940453857791223</c:v>
                      </c:pt>
                      <c:pt idx="60" formatCode="General">
                        <c:v>-19.96768532526475</c:v>
                      </c:pt>
                      <c:pt idx="61" formatCode="General">
                        <c:v>-19.994916792738273</c:v>
                      </c:pt>
                      <c:pt idx="62" formatCode="General">
                        <c:v>-20.0221482602118</c:v>
                      </c:pt>
                      <c:pt idx="63" formatCode="General">
                        <c:v>-20.049379727685324</c:v>
                      </c:pt>
                      <c:pt idx="64" formatCode="General">
                        <c:v>-20.074787878787877</c:v>
                      </c:pt>
                      <c:pt idx="65" formatCode="General">
                        <c:v>-20.099030303030304</c:v>
                      </c:pt>
                      <c:pt idx="66" formatCode="General">
                        <c:v>-20.128915662650602</c:v>
                      </c:pt>
                      <c:pt idx="67" formatCode="General">
                        <c:v>-20.159090909090907</c:v>
                      </c:pt>
                      <c:pt idx="68" formatCode="General">
                        <c:v>-20.189393939393938</c:v>
                      </c:pt>
                      <c:pt idx="69" formatCode="General">
                        <c:v>-20.219696969696969</c:v>
                      </c:pt>
                      <c:pt idx="70" formatCode="General">
                        <c:v>-20.25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-6.4802239031770048</c:v>
                      </c:pt>
                      <c:pt idx="1">
                        <c:v>-6.5546565809379729</c:v>
                      </c:pt>
                      <c:pt idx="2" formatCode="General">
                        <c:v>-6.6290892586989409</c:v>
                      </c:pt>
                      <c:pt idx="3" formatCode="General">
                        <c:v>-6.7035219364599099</c:v>
                      </c:pt>
                      <c:pt idx="4" formatCode="General">
                        <c:v>-6.7773252647503783</c:v>
                      </c:pt>
                      <c:pt idx="5" formatCode="General">
                        <c:v>-6.8438910741301058</c:v>
                      </c:pt>
                      <c:pt idx="6" formatCode="General">
                        <c:v>-6.9104568835098341</c:v>
                      </c:pt>
                      <c:pt idx="7" formatCode="General">
                        <c:v>-6.9770226928895616</c:v>
                      </c:pt>
                      <c:pt idx="8" formatCode="General">
                        <c:v>-7.043588502269289</c:v>
                      </c:pt>
                      <c:pt idx="9" formatCode="General">
                        <c:v>-7.1101543116490165</c:v>
                      </c:pt>
                      <c:pt idx="10" formatCode="General">
                        <c:v>-7.1767201210287439</c:v>
                      </c:pt>
                      <c:pt idx="11" formatCode="General">
                        <c:v>-7.2400151285930407</c:v>
                      </c:pt>
                      <c:pt idx="12" formatCode="General">
                        <c:v>-7.2996217851739784</c:v>
                      </c:pt>
                      <c:pt idx="13" formatCode="General">
                        <c:v>-7.359228441754917</c:v>
                      </c:pt>
                      <c:pt idx="14" formatCode="General">
                        <c:v>-7.4188350983358546</c:v>
                      </c:pt>
                      <c:pt idx="15" formatCode="General">
                        <c:v>-7.4784417549167923</c:v>
                      </c:pt>
                      <c:pt idx="16" formatCode="General">
                        <c:v>-7.5380484114977309</c:v>
                      </c:pt>
                      <c:pt idx="17" formatCode="General">
                        <c:v>-7.5976550680786685</c:v>
                      </c:pt>
                      <c:pt idx="18" formatCode="General">
                        <c:v>-7.6536187594553704</c:v>
                      </c:pt>
                      <c:pt idx="19" formatCode="General">
                        <c:v>-7.7089894099848717</c:v>
                      </c:pt>
                      <c:pt idx="20" formatCode="General">
                        <c:v>-7.7643600605143721</c:v>
                      </c:pt>
                      <c:pt idx="21" formatCode="General">
                        <c:v>-7.8197307110438734</c:v>
                      </c:pt>
                      <c:pt idx="22" formatCode="General">
                        <c:v>-7.8751013615733738</c:v>
                      </c:pt>
                      <c:pt idx="23" formatCode="General">
                        <c:v>-7.9304720121028751</c:v>
                      </c:pt>
                      <c:pt idx="24" formatCode="General">
                        <c:v>-7.9860909090909091</c:v>
                      </c:pt>
                      <c:pt idx="25" formatCode="General">
                        <c:v>-8.0424545454545449</c:v>
                      </c:pt>
                      <c:pt idx="26" formatCode="General">
                        <c:v>-8.0995454545454546</c:v>
                      </c:pt>
                      <c:pt idx="27" formatCode="General">
                        <c:v>-8.1571212121212131</c:v>
                      </c:pt>
                      <c:pt idx="28" formatCode="General">
                        <c:v>-8.2170000000000005</c:v>
                      </c:pt>
                      <c:pt idx="29" formatCode="General">
                        <c:v>-8.2780909090909098</c:v>
                      </c:pt>
                      <c:pt idx="30" formatCode="General">
                        <c:v>-8.3417272727272742</c:v>
                      </c:pt>
                      <c:pt idx="31" formatCode="General">
                        <c:v>-8.412872919818458</c:v>
                      </c:pt>
                      <c:pt idx="32" formatCode="General">
                        <c:v>-8.488062027231468</c:v>
                      </c:pt>
                      <c:pt idx="33" formatCode="General">
                        <c:v>-8.563251134644478</c:v>
                      </c:pt>
                      <c:pt idx="34" formatCode="General">
                        <c:v>-8.6384402420574897</c:v>
                      </c:pt>
                      <c:pt idx="35" formatCode="General">
                        <c:v>-8.7136293494704997</c:v>
                      </c:pt>
                      <c:pt idx="36" formatCode="General">
                        <c:v>-8.7888184568835097</c:v>
                      </c:pt>
                      <c:pt idx="37" formatCode="General">
                        <c:v>-8.864594553706505</c:v>
                      </c:pt>
                      <c:pt idx="38" formatCode="General">
                        <c:v>-8.9544583963691373</c:v>
                      </c:pt>
                      <c:pt idx="39" formatCode="General">
                        <c:v>-9.0443222390317697</c:v>
                      </c:pt>
                      <c:pt idx="40" formatCode="General">
                        <c:v>-9.134186081694402</c:v>
                      </c:pt>
                      <c:pt idx="41" formatCode="General">
                        <c:v>-9.2240499243570344</c:v>
                      </c:pt>
                      <c:pt idx="42" formatCode="General">
                        <c:v>-9.3139137670196668</c:v>
                      </c:pt>
                      <c:pt idx="43" formatCode="General">
                        <c:v>-9.4037776096822991</c:v>
                      </c:pt>
                      <c:pt idx="44" formatCode="General">
                        <c:v>-9.4937065052950071</c:v>
                      </c:pt>
                      <c:pt idx="45" formatCode="General">
                        <c:v>-9.5837216338880484</c:v>
                      </c:pt>
                      <c:pt idx="46" formatCode="General">
                        <c:v>-9.6737367624810897</c:v>
                      </c:pt>
                      <c:pt idx="47" formatCode="General">
                        <c:v>-9.763751891074131</c:v>
                      </c:pt>
                      <c:pt idx="48" formatCode="General">
                        <c:v>-9.8537670196671723</c:v>
                      </c:pt>
                      <c:pt idx="49" formatCode="General">
                        <c:v>-9.9437821482602118</c:v>
                      </c:pt>
                      <c:pt idx="50" formatCode="General">
                        <c:v>-10.033797276853253</c:v>
                      </c:pt>
                      <c:pt idx="51" formatCode="General">
                        <c:v>-10.118333333333334</c:v>
                      </c:pt>
                      <c:pt idx="52" formatCode="General">
                        <c:v>-10.201666666666668</c:v>
                      </c:pt>
                      <c:pt idx="53" formatCode="General">
                        <c:v>-10.285</c:v>
                      </c:pt>
                      <c:pt idx="54" formatCode="General">
                        <c:v>-10.368333333333334</c:v>
                      </c:pt>
                      <c:pt idx="55" formatCode="General">
                        <c:v>-10.451666666666666</c:v>
                      </c:pt>
                      <c:pt idx="56" formatCode="General">
                        <c:v>-10.535</c:v>
                      </c:pt>
                      <c:pt idx="57" formatCode="General">
                        <c:v>-10.615975794251135</c:v>
                      </c:pt>
                      <c:pt idx="58" formatCode="General">
                        <c:v>-10.688593040847202</c:v>
                      </c:pt>
                      <c:pt idx="59" formatCode="General">
                        <c:v>-10.761210287443268</c:v>
                      </c:pt>
                      <c:pt idx="60" formatCode="General">
                        <c:v>-10.833827534039335</c:v>
                      </c:pt>
                      <c:pt idx="61" formatCode="General">
                        <c:v>-10.9064447806354</c:v>
                      </c:pt>
                      <c:pt idx="62" formatCode="General">
                        <c:v>-10.979062027231468</c:v>
                      </c:pt>
                      <c:pt idx="63" formatCode="General">
                        <c:v>-11.051679273827535</c:v>
                      </c:pt>
                      <c:pt idx="64" formatCode="General">
                        <c:v>-11.120666666666667</c:v>
                      </c:pt>
                      <c:pt idx="65" formatCode="General">
                        <c:v>-11.187333333333333</c:v>
                      </c:pt>
                      <c:pt idx="66" formatCode="General">
                        <c:v>-11.247831325301204</c:v>
                      </c:pt>
                      <c:pt idx="67" formatCode="General">
                        <c:v>-11.308181818181817</c:v>
                      </c:pt>
                      <c:pt idx="68" formatCode="General">
                        <c:v>-11.368787878787879</c:v>
                      </c:pt>
                      <c:pt idx="69" formatCode="General">
                        <c:v>-11.425454545454546</c:v>
                      </c:pt>
                      <c:pt idx="70" formatCode="General">
                        <c:v>-11.48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-27.456127080181542</c:v>
                      </c:pt>
                      <c:pt idx="1">
                        <c:v>-26.763237518910742</c:v>
                      </c:pt>
                      <c:pt idx="2" formatCode="General">
                        <c:v>-26.070347957639939</c:v>
                      </c:pt>
                      <c:pt idx="3" formatCode="General">
                        <c:v>-25.377458396369136</c:v>
                      </c:pt>
                      <c:pt idx="4" formatCode="General">
                        <c:v>-24.703691376701965</c:v>
                      </c:pt>
                      <c:pt idx="5" formatCode="General">
                        <c:v>-24.249833585476548</c:v>
                      </c:pt>
                      <c:pt idx="6" formatCode="General">
                        <c:v>-23.795975794251135</c:v>
                      </c:pt>
                      <c:pt idx="7" formatCode="General">
                        <c:v>-23.342118003025718</c:v>
                      </c:pt>
                      <c:pt idx="8" formatCode="General">
                        <c:v>-22.888260211800301</c:v>
                      </c:pt>
                      <c:pt idx="9" formatCode="General">
                        <c:v>-22.434402420574884</c:v>
                      </c:pt>
                      <c:pt idx="10" formatCode="General">
                        <c:v>-21.98054462934947</c:v>
                      </c:pt>
                      <c:pt idx="11" formatCode="General">
                        <c:v>-21.591391830559758</c:v>
                      </c:pt>
                      <c:pt idx="12" formatCode="General">
                        <c:v>-21.275204236006051</c:v>
                      </c:pt>
                      <c:pt idx="13" formatCode="General">
                        <c:v>-20.959016641452344</c:v>
                      </c:pt>
                      <c:pt idx="14" formatCode="General">
                        <c:v>-20.642829046898637</c:v>
                      </c:pt>
                      <c:pt idx="15" formatCode="General">
                        <c:v>-20.32664145234493</c:v>
                      </c:pt>
                      <c:pt idx="16" formatCode="General">
                        <c:v>-20.010453857791223</c:v>
                      </c:pt>
                      <c:pt idx="17" formatCode="General">
                        <c:v>-19.694266263237516</c:v>
                      </c:pt>
                      <c:pt idx="18" formatCode="General">
                        <c:v>-19.452239031770045</c:v>
                      </c:pt>
                      <c:pt idx="19" formatCode="General">
                        <c:v>-19.222284417549165</c:v>
                      </c:pt>
                      <c:pt idx="20" formatCode="General">
                        <c:v>-18.992329803328289</c:v>
                      </c:pt>
                      <c:pt idx="21" formatCode="General">
                        <c:v>-18.762375189107413</c:v>
                      </c:pt>
                      <c:pt idx="22" formatCode="General">
                        <c:v>-18.532420574886533</c:v>
                      </c:pt>
                      <c:pt idx="23" formatCode="General">
                        <c:v>-18.302465960665657</c:v>
                      </c:pt>
                      <c:pt idx="24" formatCode="General">
                        <c:v>-18.083030303030302</c:v>
                      </c:pt>
                      <c:pt idx="25" formatCode="General">
                        <c:v>-17.895151515151515</c:v>
                      </c:pt>
                      <c:pt idx="26" formatCode="General">
                        <c:v>-17.710909090909091</c:v>
                      </c:pt>
                      <c:pt idx="27" formatCode="General">
                        <c:v>-17.529090909090908</c:v>
                      </c:pt>
                      <c:pt idx="28" formatCode="General">
                        <c:v>-17.358787878787879</c:v>
                      </c:pt>
                      <c:pt idx="29" formatCode="General">
                        <c:v>-17.190909090909088</c:v>
                      </c:pt>
                      <c:pt idx="30" formatCode="General">
                        <c:v>-17.027272727272727</c:v>
                      </c:pt>
                      <c:pt idx="31" formatCode="General">
                        <c:v>-16.879531013615733</c:v>
                      </c:pt>
                      <c:pt idx="32" formatCode="General">
                        <c:v>-16.740347957639941</c:v>
                      </c:pt>
                      <c:pt idx="33" formatCode="General">
                        <c:v>-16.601164901664145</c:v>
                      </c:pt>
                      <c:pt idx="34" formatCode="General">
                        <c:v>-16.461981845688349</c:v>
                      </c:pt>
                      <c:pt idx="35" formatCode="General">
                        <c:v>-16.322798789712557</c:v>
                      </c:pt>
                      <c:pt idx="36" formatCode="General">
                        <c:v>-16.183615733736762</c:v>
                      </c:pt>
                      <c:pt idx="37" formatCode="General">
                        <c:v>-16.04552193645991</c:v>
                      </c:pt>
                      <c:pt idx="38" formatCode="General">
                        <c:v>-15.933570347957641</c:v>
                      </c:pt>
                      <c:pt idx="39" formatCode="General">
                        <c:v>-15.821618759455372</c:v>
                      </c:pt>
                      <c:pt idx="40" formatCode="General">
                        <c:v>-15.709667170953102</c:v>
                      </c:pt>
                      <c:pt idx="41" formatCode="General">
                        <c:v>-15.597715582450833</c:v>
                      </c:pt>
                      <c:pt idx="42" formatCode="General">
                        <c:v>-15.485763993948563</c:v>
                      </c:pt>
                      <c:pt idx="43" formatCode="General">
                        <c:v>-15.373812405446294</c:v>
                      </c:pt>
                      <c:pt idx="44" formatCode="General">
                        <c:v>-15.270968229954615</c:v>
                      </c:pt>
                      <c:pt idx="45" formatCode="General">
                        <c:v>-15.180196671709531</c:v>
                      </c:pt>
                      <c:pt idx="46" formatCode="General">
                        <c:v>-15.089425113464449</c:v>
                      </c:pt>
                      <c:pt idx="47" formatCode="General">
                        <c:v>-14.998653555219365</c:v>
                      </c:pt>
                      <c:pt idx="48" formatCode="General">
                        <c:v>-14.907881996974282</c:v>
                      </c:pt>
                      <c:pt idx="49" formatCode="General">
                        <c:v>-14.817110438729198</c:v>
                      </c:pt>
                      <c:pt idx="50" formatCode="General">
                        <c:v>-14.726338880484116</c:v>
                      </c:pt>
                      <c:pt idx="51" formatCode="General">
                        <c:v>-14.646636363636365</c:v>
                      </c:pt>
                      <c:pt idx="52" formatCode="General">
                        <c:v>-14.569363636363637</c:v>
                      </c:pt>
                      <c:pt idx="53" formatCode="General">
                        <c:v>-14.492090909090908</c:v>
                      </c:pt>
                      <c:pt idx="54" formatCode="General">
                        <c:v>-14.414818181818182</c:v>
                      </c:pt>
                      <c:pt idx="55" formatCode="General">
                        <c:v>-14.337545454545454</c:v>
                      </c:pt>
                      <c:pt idx="56" formatCode="General">
                        <c:v>-14.260272727272726</c:v>
                      </c:pt>
                      <c:pt idx="57" formatCode="General">
                        <c:v>-14.183358547655066</c:v>
                      </c:pt>
                      <c:pt idx="58" formatCode="General">
                        <c:v>-14.107715582450831</c:v>
                      </c:pt>
                      <c:pt idx="59" formatCode="General">
                        <c:v>-14.032072617246595</c:v>
                      </c:pt>
                      <c:pt idx="60" formatCode="General">
                        <c:v>-13.95642965204236</c:v>
                      </c:pt>
                      <c:pt idx="61" formatCode="General">
                        <c:v>-13.880786686838123</c:v>
                      </c:pt>
                      <c:pt idx="62" formatCode="General">
                        <c:v>-13.805143721633888</c:v>
                      </c:pt>
                      <c:pt idx="63" formatCode="General">
                        <c:v>-13.729500756429651</c:v>
                      </c:pt>
                      <c:pt idx="64" formatCode="General">
                        <c:v>-13.651939393939394</c:v>
                      </c:pt>
                      <c:pt idx="65" formatCode="General">
                        <c:v>-13.573151515151515</c:v>
                      </c:pt>
                      <c:pt idx="66" formatCode="General">
                        <c:v>-13.494819277108434</c:v>
                      </c:pt>
                      <c:pt idx="67" formatCode="General">
                        <c:v>-13.414545454545454</c:v>
                      </c:pt>
                      <c:pt idx="68" formatCode="General">
                        <c:v>-13.32969696969697</c:v>
                      </c:pt>
                      <c:pt idx="69" formatCode="General">
                        <c:v>-13.244848484848486</c:v>
                      </c:pt>
                      <c:pt idx="70" formatCode="General">
                        <c:v>-13.16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-5.094249621785174</c:v>
                      </c:pt>
                      <c:pt idx="1">
                        <c:v>-5.1475022692889558</c:v>
                      </c:pt>
                      <c:pt idx="2" formatCode="General">
                        <c:v>-5.2007549167927385</c:v>
                      </c:pt>
                      <c:pt idx="3" formatCode="General">
                        <c:v>-5.2540075642965203</c:v>
                      </c:pt>
                      <c:pt idx="4" formatCode="General">
                        <c:v>-5.3077080181543117</c:v>
                      </c:pt>
                      <c:pt idx="5" formatCode="General">
                        <c:v>-5.3665582450832074</c:v>
                      </c:pt>
                      <c:pt idx="6" formatCode="General">
                        <c:v>-5.4254084720121032</c:v>
                      </c:pt>
                      <c:pt idx="7" formatCode="General">
                        <c:v>-5.4842586989409989</c:v>
                      </c:pt>
                      <c:pt idx="8" formatCode="General">
                        <c:v>-5.5431089258698938</c:v>
                      </c:pt>
                      <c:pt idx="9" formatCode="General">
                        <c:v>-5.6019591527987895</c:v>
                      </c:pt>
                      <c:pt idx="10" formatCode="General">
                        <c:v>-5.6608093797276853</c:v>
                      </c:pt>
                      <c:pt idx="11" formatCode="General">
                        <c:v>-5.719232980332829</c:v>
                      </c:pt>
                      <c:pt idx="12" formatCode="General">
                        <c:v>-5.7771754916792739</c:v>
                      </c:pt>
                      <c:pt idx="13" formatCode="General">
                        <c:v>-5.8351180030257188</c:v>
                      </c:pt>
                      <c:pt idx="14" formatCode="General">
                        <c:v>-5.8930605143721637</c:v>
                      </c:pt>
                      <c:pt idx="15" formatCode="General">
                        <c:v>-5.9510030257186086</c:v>
                      </c:pt>
                      <c:pt idx="16" formatCode="General">
                        <c:v>-6.0089455370650535</c:v>
                      </c:pt>
                      <c:pt idx="17" formatCode="General">
                        <c:v>-6.0668880484114984</c:v>
                      </c:pt>
                      <c:pt idx="18" formatCode="General">
                        <c:v>-6.1222284417549169</c:v>
                      </c:pt>
                      <c:pt idx="19" formatCode="General">
                        <c:v>-6.1771452344931923</c:v>
                      </c:pt>
                      <c:pt idx="20" formatCode="General">
                        <c:v>-6.2320620272314677</c:v>
                      </c:pt>
                      <c:pt idx="21" formatCode="General">
                        <c:v>-6.2869788199697432</c:v>
                      </c:pt>
                      <c:pt idx="22" formatCode="General">
                        <c:v>-6.3418956127080177</c:v>
                      </c:pt>
                      <c:pt idx="23" formatCode="General">
                        <c:v>-6.3968124054462931</c:v>
                      </c:pt>
                      <c:pt idx="24" formatCode="General">
                        <c:v>-6.4511818181818184</c:v>
                      </c:pt>
                      <c:pt idx="25" formatCode="General">
                        <c:v>-6.5039090909090911</c:v>
                      </c:pt>
                      <c:pt idx="26" formatCode="General">
                        <c:v>-6.5559090909090916</c:v>
                      </c:pt>
                      <c:pt idx="27" formatCode="General">
                        <c:v>-6.6074242424242424</c:v>
                      </c:pt>
                      <c:pt idx="28" formatCode="General">
                        <c:v>-6.6572121212121216</c:v>
                      </c:pt>
                      <c:pt idx="29" formatCode="General">
                        <c:v>-6.7065454545454548</c:v>
                      </c:pt>
                      <c:pt idx="30" formatCode="General">
                        <c:v>-6.7550303030303036</c:v>
                      </c:pt>
                      <c:pt idx="31" formatCode="General">
                        <c:v>-6.8014024205748864</c:v>
                      </c:pt>
                      <c:pt idx="32" formatCode="General">
                        <c:v>-6.8466369137670195</c:v>
                      </c:pt>
                      <c:pt idx="33" formatCode="General">
                        <c:v>-6.8918714069591527</c:v>
                      </c:pt>
                      <c:pt idx="34" formatCode="General">
                        <c:v>-6.9371059001512858</c:v>
                      </c:pt>
                      <c:pt idx="35" formatCode="General">
                        <c:v>-6.9823403933434189</c:v>
                      </c:pt>
                      <c:pt idx="36" formatCode="General">
                        <c:v>-7.0275748865355521</c:v>
                      </c:pt>
                      <c:pt idx="37" formatCode="General">
                        <c:v>-7.0726641452344925</c:v>
                      </c:pt>
                      <c:pt idx="38" formatCode="General">
                        <c:v>-7.1142677760968223</c:v>
                      </c:pt>
                      <c:pt idx="39" formatCode="General">
                        <c:v>-7.1558714069591529</c:v>
                      </c:pt>
                      <c:pt idx="40" formatCode="General">
                        <c:v>-7.1974750378214827</c:v>
                      </c:pt>
                      <c:pt idx="41" formatCode="General">
                        <c:v>-7.2390786686838124</c:v>
                      </c:pt>
                      <c:pt idx="42" formatCode="General">
                        <c:v>-7.2806822995461422</c:v>
                      </c:pt>
                      <c:pt idx="43" formatCode="General">
                        <c:v>-7.322285930408472</c:v>
                      </c:pt>
                      <c:pt idx="44" formatCode="General">
                        <c:v>-7.3633691376701966</c:v>
                      </c:pt>
                      <c:pt idx="45" formatCode="General">
                        <c:v>-7.4037624810892586</c:v>
                      </c:pt>
                      <c:pt idx="46" formatCode="General">
                        <c:v>-7.4441558245083206</c:v>
                      </c:pt>
                      <c:pt idx="47" formatCode="General">
                        <c:v>-7.4845491679273835</c:v>
                      </c:pt>
                      <c:pt idx="48" formatCode="General">
                        <c:v>-7.5249425113464454</c:v>
                      </c:pt>
                      <c:pt idx="49" formatCode="General">
                        <c:v>-7.5653358547655074</c:v>
                      </c:pt>
                      <c:pt idx="50" formatCode="General">
                        <c:v>-7.6057291981845694</c:v>
                      </c:pt>
                      <c:pt idx="51" formatCode="General">
                        <c:v>-7.6469181818181822</c:v>
                      </c:pt>
                      <c:pt idx="52" formatCode="General">
                        <c:v>-7.6882818181818191</c:v>
                      </c:pt>
                      <c:pt idx="53" formatCode="General">
                        <c:v>-7.7296454545454552</c:v>
                      </c:pt>
                      <c:pt idx="54" formatCode="General">
                        <c:v>-7.7710090909090912</c:v>
                      </c:pt>
                      <c:pt idx="55" formatCode="General">
                        <c:v>-7.8123727272727272</c:v>
                      </c:pt>
                      <c:pt idx="56" formatCode="General">
                        <c:v>-7.8537363636363642</c:v>
                      </c:pt>
                      <c:pt idx="57" formatCode="General">
                        <c:v>-7.8960181543116494</c:v>
                      </c:pt>
                      <c:pt idx="58" formatCode="General">
                        <c:v>-7.9415552193645995</c:v>
                      </c:pt>
                      <c:pt idx="59" formatCode="General">
                        <c:v>-7.9870922844175496</c:v>
                      </c:pt>
                      <c:pt idx="60" formatCode="General">
                        <c:v>-8.0326293494704988</c:v>
                      </c:pt>
                      <c:pt idx="61" formatCode="General">
                        <c:v>-8.0781664145234497</c:v>
                      </c:pt>
                      <c:pt idx="62" formatCode="General">
                        <c:v>-8.1237034795763989</c:v>
                      </c:pt>
                      <c:pt idx="63" formatCode="General">
                        <c:v>-8.1692405446293499</c:v>
                      </c:pt>
                      <c:pt idx="64" formatCode="General">
                        <c:v>-8.2176848484848488</c:v>
                      </c:pt>
                      <c:pt idx="65" formatCode="General">
                        <c:v>-8.2679878787878778</c:v>
                      </c:pt>
                      <c:pt idx="66" formatCode="General">
                        <c:v>-8.3203132530120474</c:v>
                      </c:pt>
                      <c:pt idx="67" formatCode="General">
                        <c:v>-8.3737272727272725</c:v>
                      </c:pt>
                      <c:pt idx="68" formatCode="General">
                        <c:v>-8.429484848484849</c:v>
                      </c:pt>
                      <c:pt idx="69" formatCode="General">
                        <c:v>-8.4872121212121208</c:v>
                      </c:pt>
                      <c:pt idx="70" formatCode="General">
                        <c:v>-8.5459999999999994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-59.298181818181817</c:v>
                      </c:pt>
                      <c:pt idx="1">
                        <c:v>-57.82181818181818</c:v>
                      </c:pt>
                      <c:pt idx="2" formatCode="General">
                        <c:v>-56.458181818181821</c:v>
                      </c:pt>
                      <c:pt idx="3" formatCode="General">
                        <c:v>-55.240545454545455</c:v>
                      </c:pt>
                      <c:pt idx="4" formatCode="General">
                        <c:v>-54.169515151515157</c:v>
                      </c:pt>
                      <c:pt idx="5" formatCode="General">
                        <c:v>-54.163454545454542</c:v>
                      </c:pt>
                      <c:pt idx="6" formatCode="General">
                        <c:v>-53.748132530120479</c:v>
                      </c:pt>
                      <c:pt idx="7" formatCode="General">
                        <c:v>-52.790301204819279</c:v>
                      </c:pt>
                      <c:pt idx="8" formatCode="General">
                        <c:v>-52.266666666666666</c:v>
                      </c:pt>
                      <c:pt idx="9" formatCode="General">
                        <c:v>-51.88</c:v>
                      </c:pt>
                      <c:pt idx="10" formatCode="General">
                        <c:v>-51.546666666666674</c:v>
                      </c:pt>
                      <c:pt idx="11" formatCode="General">
                        <c:v>-51.257726172465965</c:v>
                      </c:pt>
                      <c:pt idx="12" formatCode="General">
                        <c:v>-51.018845688350986</c:v>
                      </c:pt>
                      <c:pt idx="13" formatCode="General">
                        <c:v>-50.779965204236014</c:v>
                      </c:pt>
                      <c:pt idx="14" formatCode="General">
                        <c:v>-50.541084720121034</c:v>
                      </c:pt>
                      <c:pt idx="15" formatCode="General">
                        <c:v>-50.302204236006055</c:v>
                      </c:pt>
                      <c:pt idx="16" formatCode="General">
                        <c:v>-50.063323751891076</c:v>
                      </c:pt>
                      <c:pt idx="17" formatCode="General">
                        <c:v>-49.824443267776097</c:v>
                      </c:pt>
                      <c:pt idx="18" formatCode="General">
                        <c:v>-49.652878787878791</c:v>
                      </c:pt>
                      <c:pt idx="19" formatCode="General">
                        <c:v>-49.495072727272728</c:v>
                      </c:pt>
                      <c:pt idx="20" formatCode="General">
                        <c:v>-49.347799999999999</c:v>
                      </c:pt>
                      <c:pt idx="21" formatCode="General">
                        <c:v>-49.220212121212121</c:v>
                      </c:pt>
                      <c:pt idx="22" formatCode="General">
                        <c:v>-49.108090909090905</c:v>
                      </c:pt>
                      <c:pt idx="23" formatCode="General">
                        <c:v>-49.151174698795181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-60.923190620272315</c:v>
                      </c:pt>
                      <c:pt idx="65" formatCode="General">
                        <c:v>-61.184158850226929</c:v>
                      </c:pt>
                      <c:pt idx="66" formatCode="General">
                        <c:v>-61.445127080181543</c:v>
                      </c:pt>
                      <c:pt idx="67" formatCode="General">
                        <c:v>-61.706095310136156</c:v>
                      </c:pt>
                      <c:pt idx="68" formatCode="General">
                        <c:v>-61.967063540090777</c:v>
                      </c:pt>
                      <c:pt idx="69" formatCode="General">
                        <c:v>-62.228031770045391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-21.105757575757575</c:v>
                      </c:pt>
                      <c:pt idx="1">
                        <c:v>-20.527333333333335</c:v>
                      </c:pt>
                      <c:pt idx="2" formatCode="General">
                        <c:v>-19.994</c:v>
                      </c:pt>
                      <c:pt idx="3" formatCode="General">
                        <c:v>-19.721696969696971</c:v>
                      </c:pt>
                      <c:pt idx="4" formatCode="General">
                        <c:v>-19.592969696969696</c:v>
                      </c:pt>
                      <c:pt idx="5" formatCode="General">
                        <c:v>-20.005090909090907</c:v>
                      </c:pt>
                      <c:pt idx="6" formatCode="General">
                        <c:v>-20.188192771084335</c:v>
                      </c:pt>
                      <c:pt idx="7" formatCode="General">
                        <c:v>-20.067710843373494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-75.533818181818177</c:v>
                      </c:pt>
                      <c:pt idx="4" formatCode="General">
                        <c:v>-73.383030303030296</c:v>
                      </c:pt>
                      <c:pt idx="5" formatCode="General">
                        <c:v>-71.170909090909092</c:v>
                      </c:pt>
                      <c:pt idx="6" formatCode="General">
                        <c:v>-69.156204819277107</c:v>
                      </c:pt>
                      <c:pt idx="7" formatCode="General">
                        <c:v>-67.403192771084335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-36.259464447806359</c:v>
                      </c:pt>
                      <c:pt idx="65" formatCode="General">
                        <c:v>-36.440553706505298</c:v>
                      </c:pt>
                      <c:pt idx="66" formatCode="General">
                        <c:v>-36.621642965204238</c:v>
                      </c:pt>
                      <c:pt idx="67" formatCode="General">
                        <c:v>-36.802732223903178</c:v>
                      </c:pt>
                      <c:pt idx="68" formatCode="General">
                        <c:v>-36.983821482602124</c:v>
                      </c:pt>
                      <c:pt idx="69" formatCode="General">
                        <c:v>-37.164910741301064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-36.464181818181821</c:v>
                      </c:pt>
                      <c:pt idx="3" formatCode="General">
                        <c:v>-35.518848484848483</c:v>
                      </c:pt>
                      <c:pt idx="4" formatCode="General">
                        <c:v>-34.576545454545453</c:v>
                      </c:pt>
                      <c:pt idx="5" formatCode="General">
                        <c:v>-34.158363636363639</c:v>
                      </c:pt>
                      <c:pt idx="6" formatCode="General">
                        <c:v>-33.559939759036148</c:v>
                      </c:pt>
                      <c:pt idx="7" formatCode="General">
                        <c:v>-32.722590361445782</c:v>
                      </c:pt>
                      <c:pt idx="8" formatCode="General">
                        <c:v>-32.114666666666665</c:v>
                      </c:pt>
                      <c:pt idx="9" formatCode="General">
                        <c:v>-31.581818181818182</c:v>
                      </c:pt>
                      <c:pt idx="10" formatCode="General">
                        <c:v>-31.096969696969701</c:v>
                      </c:pt>
                      <c:pt idx="11" formatCode="General">
                        <c:v>-30.656621785173982</c:v>
                      </c:pt>
                      <c:pt idx="12" formatCode="General">
                        <c:v>-30.266455370650533</c:v>
                      </c:pt>
                      <c:pt idx="13" formatCode="General">
                        <c:v>-29.876288956127084</c:v>
                      </c:pt>
                      <c:pt idx="14" formatCode="General">
                        <c:v>-29.486122541603635</c:v>
                      </c:pt>
                      <c:pt idx="15" formatCode="General">
                        <c:v>-29.095956127080186</c:v>
                      </c:pt>
                      <c:pt idx="16" formatCode="General">
                        <c:v>-28.705789712556733</c:v>
                      </c:pt>
                      <c:pt idx="17" formatCode="General">
                        <c:v>-28.315623298033284</c:v>
                      </c:pt>
                      <c:pt idx="18" formatCode="General">
                        <c:v>-27.992575757575761</c:v>
                      </c:pt>
                      <c:pt idx="19" formatCode="General">
                        <c:v>-27.684527272727273</c:v>
                      </c:pt>
                      <c:pt idx="20" formatCode="General">
                        <c:v>-27.3918</c:v>
                      </c:pt>
                      <c:pt idx="21" formatCode="General">
                        <c:v>-27.115363636363636</c:v>
                      </c:pt>
                      <c:pt idx="22" formatCode="General">
                        <c:v>-26.85172727272727</c:v>
                      </c:pt>
                      <c:pt idx="23" formatCode="General">
                        <c:v>-26.744126506024095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-33.02028593040847</c:v>
                      </c:pt>
                      <c:pt idx="65" formatCode="General">
                        <c:v>-33.16173827534039</c:v>
                      </c:pt>
                      <c:pt idx="66" formatCode="General">
                        <c:v>-33.303190620272311</c:v>
                      </c:pt>
                      <c:pt idx="67" formatCode="General">
                        <c:v>-33.444642965204238</c:v>
                      </c:pt>
                      <c:pt idx="68" formatCode="General">
                        <c:v>-33.586095310136159</c:v>
                      </c:pt>
                      <c:pt idx="69" formatCode="General">
                        <c:v>-33.727547655068079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-143.44793939393938</c:v>
                      </c:pt>
                      <c:pt idx="1">
                        <c:v>-139.27606060606061</c:v>
                      </c:pt>
                      <c:pt idx="2" formatCode="General">
                        <c:v>-135.39727272727271</c:v>
                      </c:pt>
                      <c:pt idx="3" formatCode="General">
                        <c:v>-131.34593939393937</c:v>
                      </c:pt>
                      <c:pt idx="4" formatCode="General">
                        <c:v>-127.1730909090909</c:v>
                      </c:pt>
                      <c:pt idx="5" formatCode="General">
                        <c:v>-122.33672727272727</c:v>
                      </c:pt>
                      <c:pt idx="6" formatCode="General">
                        <c:v>-118.12421686746988</c:v>
                      </c:pt>
                      <c:pt idx="7" formatCode="General">
                        <c:v>-114.73867469879519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-44.616024205748872</c:v>
                      </c:pt>
                      <c:pt idx="65" formatCode="General">
                        <c:v>-44.858686838124058</c:v>
                      </c:pt>
                      <c:pt idx="66" formatCode="General">
                        <c:v>-45.101349470499244</c:v>
                      </c:pt>
                      <c:pt idx="67" formatCode="General">
                        <c:v>-45.344012102874437</c:v>
                      </c:pt>
                      <c:pt idx="68" formatCode="General">
                        <c:v>-45.586674735249623</c:v>
                      </c:pt>
                      <c:pt idx="69" formatCode="General">
                        <c:v>-45.829337367624817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-19.02</c:v>
                      </c:pt>
                      <c:pt idx="1">
                        <c:v>-19.02</c:v>
                      </c:pt>
                      <c:pt idx="2" formatCode="General">
                        <c:v>-19.02</c:v>
                      </c:pt>
                      <c:pt idx="3" formatCode="General">
                        <c:v>-19.152727272727272</c:v>
                      </c:pt>
                      <c:pt idx="4" formatCode="General">
                        <c:v>-19.306909090909091</c:v>
                      </c:pt>
                      <c:pt idx="5" formatCode="General">
                        <c:v>-19.143272727272727</c:v>
                      </c:pt>
                      <c:pt idx="6" formatCode="General">
                        <c:v>-19.130301204819279</c:v>
                      </c:pt>
                      <c:pt idx="7" formatCode="General">
                        <c:v>-19.317048192771082</c:v>
                      </c:pt>
                      <c:pt idx="8" formatCode="General">
                        <c:v>-19.369333333333334</c:v>
                      </c:pt>
                      <c:pt idx="9" formatCode="General">
                        <c:v>-19.382181818181817</c:v>
                      </c:pt>
                      <c:pt idx="10" formatCode="General">
                        <c:v>-19.400363636363636</c:v>
                      </c:pt>
                      <c:pt idx="11" formatCode="General">
                        <c:v>-19.418532526475037</c:v>
                      </c:pt>
                      <c:pt idx="12" formatCode="General">
                        <c:v>-19.436686838124054</c:v>
                      </c:pt>
                      <c:pt idx="13" formatCode="General">
                        <c:v>-19.45484114977307</c:v>
                      </c:pt>
                      <c:pt idx="14" formatCode="General">
                        <c:v>-19.472995461422087</c:v>
                      </c:pt>
                      <c:pt idx="15" formatCode="General">
                        <c:v>-19.491149773071104</c:v>
                      </c:pt>
                      <c:pt idx="16" formatCode="General">
                        <c:v>-19.509304084720121</c:v>
                      </c:pt>
                      <c:pt idx="17" formatCode="General">
                        <c:v>-19.527458396369138</c:v>
                      </c:pt>
                      <c:pt idx="18" formatCode="General">
                        <c:v>-19.545636363636362</c:v>
                      </c:pt>
                      <c:pt idx="19" formatCode="General">
                        <c:v>-19.565090909090909</c:v>
                      </c:pt>
                      <c:pt idx="20" formatCode="General">
                        <c:v>-19.589333333333332</c:v>
                      </c:pt>
                      <c:pt idx="21" formatCode="General">
                        <c:v>-19.610181818181818</c:v>
                      </c:pt>
                      <c:pt idx="22" formatCode="General">
                        <c:v>-19.628363636363634</c:v>
                      </c:pt>
                      <c:pt idx="23" formatCode="General">
                        <c:v>-19.542289156626506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-36.464181818181821</c:v>
                      </c:pt>
                      <c:pt idx="3" formatCode="General">
                        <c:v>-35.518848484848483</c:v>
                      </c:pt>
                      <c:pt idx="4" formatCode="General">
                        <c:v>-34.576545454545453</c:v>
                      </c:pt>
                      <c:pt idx="5" formatCode="General">
                        <c:v>-34.158363636363639</c:v>
                      </c:pt>
                      <c:pt idx="6" formatCode="General">
                        <c:v>-33.559939759036148</c:v>
                      </c:pt>
                      <c:pt idx="7" formatCode="General">
                        <c:v>-32.722590361445782</c:v>
                      </c:pt>
                      <c:pt idx="8" formatCode="General">
                        <c:v>-32.114666666666665</c:v>
                      </c:pt>
                      <c:pt idx="9" formatCode="General">
                        <c:v>-31.581818181818182</c:v>
                      </c:pt>
                      <c:pt idx="10" formatCode="General">
                        <c:v>-31.096969696969701</c:v>
                      </c:pt>
                      <c:pt idx="11" formatCode="General">
                        <c:v>-30.656621785173982</c:v>
                      </c:pt>
                      <c:pt idx="12" formatCode="General">
                        <c:v>-30.266455370650533</c:v>
                      </c:pt>
                      <c:pt idx="13" formatCode="General">
                        <c:v>-29.876288956127084</c:v>
                      </c:pt>
                      <c:pt idx="14" formatCode="General">
                        <c:v>-29.486122541603635</c:v>
                      </c:pt>
                      <c:pt idx="15" formatCode="General">
                        <c:v>-29.095956127080186</c:v>
                      </c:pt>
                      <c:pt idx="16" formatCode="General">
                        <c:v>-28.705789712556733</c:v>
                      </c:pt>
                      <c:pt idx="17" formatCode="General">
                        <c:v>-28.315623298033284</c:v>
                      </c:pt>
                      <c:pt idx="18" formatCode="General">
                        <c:v>-27.992575757575761</c:v>
                      </c:pt>
                      <c:pt idx="19" formatCode="General">
                        <c:v>-27.684527272727273</c:v>
                      </c:pt>
                      <c:pt idx="20" formatCode="General">
                        <c:v>-27.3918</c:v>
                      </c:pt>
                      <c:pt idx="21" formatCode="General">
                        <c:v>-27.115363636363636</c:v>
                      </c:pt>
                      <c:pt idx="22" formatCode="General">
                        <c:v>-26.85172727272727</c:v>
                      </c:pt>
                      <c:pt idx="23" formatCode="General">
                        <c:v>-26.744126506024095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-33.02028593040847</c:v>
                      </c:pt>
                      <c:pt idx="65" formatCode="General">
                        <c:v>-33.16173827534039</c:v>
                      </c:pt>
                      <c:pt idx="66" formatCode="General">
                        <c:v>-33.303190620272311</c:v>
                      </c:pt>
                      <c:pt idx="67" formatCode="General">
                        <c:v>-33.444642965204238</c:v>
                      </c:pt>
                      <c:pt idx="68" formatCode="General">
                        <c:v>-33.586095310136159</c:v>
                      </c:pt>
                      <c:pt idx="69" formatCode="General">
                        <c:v>-33.727547655068079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-19.02</c:v>
                      </c:pt>
                      <c:pt idx="1">
                        <c:v>-19.02</c:v>
                      </c:pt>
                      <c:pt idx="2" formatCode="General">
                        <c:v>-19.02</c:v>
                      </c:pt>
                      <c:pt idx="3" formatCode="General">
                        <c:v>-19.152727272727272</c:v>
                      </c:pt>
                      <c:pt idx="4" formatCode="General">
                        <c:v>-19.306909090909091</c:v>
                      </c:pt>
                      <c:pt idx="5" formatCode="General">
                        <c:v>-19.143272727272727</c:v>
                      </c:pt>
                      <c:pt idx="6" formatCode="General">
                        <c:v>-19.130301204819279</c:v>
                      </c:pt>
                      <c:pt idx="7" formatCode="General">
                        <c:v>-19.317048192771082</c:v>
                      </c:pt>
                      <c:pt idx="8" formatCode="General">
                        <c:v>-19.369333333333334</c:v>
                      </c:pt>
                      <c:pt idx="9" formatCode="General">
                        <c:v>-19.382181818181817</c:v>
                      </c:pt>
                      <c:pt idx="10" formatCode="General">
                        <c:v>-19.400363636363636</c:v>
                      </c:pt>
                      <c:pt idx="11" formatCode="General">
                        <c:v>-19.418532526475037</c:v>
                      </c:pt>
                      <c:pt idx="12" formatCode="General">
                        <c:v>-19.436686838124054</c:v>
                      </c:pt>
                      <c:pt idx="13" formatCode="General">
                        <c:v>-19.45484114977307</c:v>
                      </c:pt>
                      <c:pt idx="14" formatCode="General">
                        <c:v>-19.472995461422087</c:v>
                      </c:pt>
                      <c:pt idx="15" formatCode="General">
                        <c:v>-19.491149773071104</c:v>
                      </c:pt>
                      <c:pt idx="16" formatCode="General">
                        <c:v>-19.509304084720121</c:v>
                      </c:pt>
                      <c:pt idx="17" formatCode="General">
                        <c:v>-19.527458396369138</c:v>
                      </c:pt>
                      <c:pt idx="18" formatCode="General">
                        <c:v>-19.545636363636362</c:v>
                      </c:pt>
                      <c:pt idx="19" formatCode="General">
                        <c:v>-19.565090909090909</c:v>
                      </c:pt>
                      <c:pt idx="20" formatCode="General">
                        <c:v>-19.589333333333332</c:v>
                      </c:pt>
                      <c:pt idx="21" formatCode="General">
                        <c:v>-19.610181818181818</c:v>
                      </c:pt>
                      <c:pt idx="22" formatCode="General">
                        <c:v>-19.628363636363634</c:v>
                      </c:pt>
                      <c:pt idx="23" formatCode="General">
                        <c:v>-19.542289156626506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-61.171090909090907</c:v>
                      </c:pt>
                      <c:pt idx="1">
                        <c:v>-59.374363636363633</c:v>
                      </c:pt>
                      <c:pt idx="2" formatCode="General">
                        <c:v>-57.701636363636361</c:v>
                      </c:pt>
                      <c:pt idx="3" formatCode="General">
                        <c:v>-55.812121212121212</c:v>
                      </c:pt>
                      <c:pt idx="4" formatCode="General">
                        <c:v>-53.790060606060607</c:v>
                      </c:pt>
                      <c:pt idx="5" formatCode="General">
                        <c:v>-51.165818181818182</c:v>
                      </c:pt>
                      <c:pt idx="6" formatCode="General">
                        <c:v>-48.968012048192769</c:v>
                      </c:pt>
                      <c:pt idx="7" formatCode="General">
                        <c:v>-47.335481927710845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-8.356559757942513</c:v>
                      </c:pt>
                      <c:pt idx="65" formatCode="General">
                        <c:v>-8.4181331316187595</c:v>
                      </c:pt>
                      <c:pt idx="66" formatCode="General">
                        <c:v>-8.4797065052950078</c:v>
                      </c:pt>
                      <c:pt idx="67" formatCode="General">
                        <c:v>-8.5412798789712561</c:v>
                      </c:pt>
                      <c:pt idx="68" formatCode="General">
                        <c:v>-8.6028532526475043</c:v>
                      </c:pt>
                      <c:pt idx="69" formatCode="General">
                        <c:v>-8.6644266263237526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-17.086666666666666</c:v>
                      </c:pt>
                      <c:pt idx="1">
                        <c:v>-16.767151515151514</c:v>
                      </c:pt>
                      <c:pt idx="2" formatCode="General">
                        <c:v>-16.470181818181818</c:v>
                      </c:pt>
                      <c:pt idx="3" formatCode="General">
                        <c:v>-15.797151515151516</c:v>
                      </c:pt>
                      <c:pt idx="4" formatCode="General">
                        <c:v>-14.983575757575757</c:v>
                      </c:pt>
                      <c:pt idx="5" formatCode="General">
                        <c:v>-14.153272727272727</c:v>
                      </c:pt>
                      <c:pt idx="6" formatCode="General">
                        <c:v>-13.371746987951807</c:v>
                      </c:pt>
                      <c:pt idx="7" formatCode="General">
                        <c:v>-12.65487951807229</c:v>
                      </c:pt>
                      <c:pt idx="8" formatCode="General">
                        <c:v>-11.962666666666667</c:v>
                      </c:pt>
                      <c:pt idx="9" formatCode="General">
                        <c:v>-11.283636363636363</c:v>
                      </c:pt>
                      <c:pt idx="10" formatCode="General">
                        <c:v>-10.647272727272728</c:v>
                      </c:pt>
                      <c:pt idx="11" formatCode="General">
                        <c:v>-10.055517397881998</c:v>
                      </c:pt>
                      <c:pt idx="12" formatCode="General">
                        <c:v>-9.5140650529500768</c:v>
                      </c:pt>
                      <c:pt idx="13" formatCode="General">
                        <c:v>-8.9726127080181541</c:v>
                      </c:pt>
                      <c:pt idx="14" formatCode="General">
                        <c:v>-8.4311603630862333</c:v>
                      </c:pt>
                      <c:pt idx="15" formatCode="General">
                        <c:v>-7.8897080181543107</c:v>
                      </c:pt>
                      <c:pt idx="16" formatCode="General">
                        <c:v>-7.3482556732223898</c:v>
                      </c:pt>
                      <c:pt idx="17" formatCode="General">
                        <c:v>-6.8068033282904672</c:v>
                      </c:pt>
                      <c:pt idx="18" formatCode="General">
                        <c:v>-6.3322727272727262</c:v>
                      </c:pt>
                      <c:pt idx="19" formatCode="General">
                        <c:v>-5.8739818181818171</c:v>
                      </c:pt>
                      <c:pt idx="20" formatCode="General">
                        <c:v>-5.4357999999999995</c:v>
                      </c:pt>
                      <c:pt idx="21" formatCode="General">
                        <c:v>-5.0105151515151505</c:v>
                      </c:pt>
                      <c:pt idx="22" formatCode="General">
                        <c:v>-4.5953636363636354</c:v>
                      </c:pt>
                      <c:pt idx="23" formatCode="General">
                        <c:v>-4.337078313253012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-5.1173812405446295</c:v>
                      </c:pt>
                      <c:pt idx="65" formatCode="General">
                        <c:v>-5.1393177004538577</c:v>
                      </c:pt>
                      <c:pt idx="66" formatCode="General">
                        <c:v>-5.1612541603630859</c:v>
                      </c:pt>
                      <c:pt idx="67" formatCode="General">
                        <c:v>-5.1831906202723141</c:v>
                      </c:pt>
                      <c:pt idx="68" formatCode="General">
                        <c:v>-5.2051270801815432</c:v>
                      </c:pt>
                      <c:pt idx="69" formatCode="General">
                        <c:v>-5.2270635400907715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-21.105757575757575</c:v>
                      </c:pt>
                      <c:pt idx="1">
                        <c:v>-20.527333333333335</c:v>
                      </c:pt>
                      <c:pt idx="2" formatCode="General">
                        <c:v>-19.994</c:v>
                      </c:pt>
                      <c:pt idx="3" formatCode="General">
                        <c:v>-19.721696969696971</c:v>
                      </c:pt>
                      <c:pt idx="4" formatCode="General">
                        <c:v>-19.592969696969696</c:v>
                      </c:pt>
                      <c:pt idx="5" formatCode="General">
                        <c:v>-20.005090909090907</c:v>
                      </c:pt>
                      <c:pt idx="6" formatCode="General">
                        <c:v>-20.188192771084335</c:v>
                      </c:pt>
                      <c:pt idx="7" formatCode="General">
                        <c:v>-20.067710843373494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-27.902904689863842</c:v>
                      </c:pt>
                      <c:pt idx="65" formatCode="General">
                        <c:v>-28.022420574886535</c:v>
                      </c:pt>
                      <c:pt idx="66" formatCode="General">
                        <c:v>-28.141936459909228</c:v>
                      </c:pt>
                      <c:pt idx="67" formatCode="General">
                        <c:v>-28.261452344931921</c:v>
                      </c:pt>
                      <c:pt idx="68" formatCode="General">
                        <c:v>-28.380968229954615</c:v>
                      </c:pt>
                      <c:pt idx="69" formatCode="General">
                        <c:v>-28.500484114977308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-60.236787878787872</c:v>
                      </c:pt>
                      <c:pt idx="1">
                        <c:v>-58.907818181818179</c:v>
                      </c:pt>
                      <c:pt idx="2" formatCode="General">
                        <c:v>-57.744181818181815</c:v>
                      </c:pt>
                      <c:pt idx="3" formatCode="General">
                        <c:v>-56.770787878787878</c:v>
                      </c:pt>
                      <c:pt idx="4" formatCode="General">
                        <c:v>-55.919636363636364</c:v>
                      </c:pt>
                      <c:pt idx="5" formatCode="General">
                        <c:v>-55.665090909090907</c:v>
                      </c:pt>
                      <c:pt idx="6" formatCode="General">
                        <c:v>-55.214337349397596</c:v>
                      </c:pt>
                      <c:pt idx="7" formatCode="General">
                        <c:v>-54.503493975903616</c:v>
                      </c:pt>
                      <c:pt idx="8" formatCode="General">
                        <c:v>-53.92</c:v>
                      </c:pt>
                      <c:pt idx="9" formatCode="General">
                        <c:v>-53.390327272727269</c:v>
                      </c:pt>
                      <c:pt idx="10" formatCode="General">
                        <c:v>-52.976387878787875</c:v>
                      </c:pt>
                      <c:pt idx="11" formatCode="General">
                        <c:v>-52.647143721633888</c:v>
                      </c:pt>
                      <c:pt idx="12" formatCode="General">
                        <c:v>-52.413406959152795</c:v>
                      </c:pt>
                      <c:pt idx="13" formatCode="General">
                        <c:v>-52.179670196671708</c:v>
                      </c:pt>
                      <c:pt idx="14" formatCode="General">
                        <c:v>-51.945933434190614</c:v>
                      </c:pt>
                      <c:pt idx="15" formatCode="General">
                        <c:v>-51.712196671709528</c:v>
                      </c:pt>
                      <c:pt idx="16" formatCode="General">
                        <c:v>-51.478459909228441</c:v>
                      </c:pt>
                      <c:pt idx="17" formatCode="General">
                        <c:v>-51.244723146747347</c:v>
                      </c:pt>
                      <c:pt idx="18" formatCode="General">
                        <c:v>-51.166654545454541</c:v>
                      </c:pt>
                      <c:pt idx="19" formatCode="General">
                        <c:v>-51.135054545454544</c:v>
                      </c:pt>
                      <c:pt idx="20" formatCode="General">
                        <c:v>-51.182933333333331</c:v>
                      </c:pt>
                      <c:pt idx="21" formatCode="General">
                        <c:v>-51.28070303030303</c:v>
                      </c:pt>
                      <c:pt idx="22" formatCode="General">
                        <c:v>-51.417672727272731</c:v>
                      </c:pt>
                      <c:pt idx="23" formatCode="General">
                        <c:v>-51.628993975903619</c:v>
                      </c:pt>
                      <c:pt idx="24" formatCode="General">
                        <c:v>-51.862848484848492</c:v>
                      </c:pt>
                      <c:pt idx="25" formatCode="General">
                        <c:v>-52.142242424242433</c:v>
                      </c:pt>
                      <c:pt idx="26" formatCode="General">
                        <c:v>-52.432545454545455</c:v>
                      </c:pt>
                      <c:pt idx="27" formatCode="General">
                        <c:v>-52.730121212121212</c:v>
                      </c:pt>
                      <c:pt idx="28" formatCode="General">
                        <c:v>-53.034606060606059</c:v>
                      </c:pt>
                      <c:pt idx="29" formatCode="General">
                        <c:v>-53.343454545454541</c:v>
                      </c:pt>
                      <c:pt idx="30" formatCode="General">
                        <c:v>-53.661636363636369</c:v>
                      </c:pt>
                      <c:pt idx="31" formatCode="General">
                        <c:v>-53.972818456883516</c:v>
                      </c:pt>
                      <c:pt idx="32" formatCode="General">
                        <c:v>-54.280231467473527</c:v>
                      </c:pt>
                      <c:pt idx="33" formatCode="General">
                        <c:v>-54.587644478063538</c:v>
                      </c:pt>
                      <c:pt idx="34" formatCode="General">
                        <c:v>-54.895057488653556</c:v>
                      </c:pt>
                      <c:pt idx="35" formatCode="General">
                        <c:v>-55.202470499243567</c:v>
                      </c:pt>
                      <c:pt idx="36" formatCode="General">
                        <c:v>-55.509883509833585</c:v>
                      </c:pt>
                      <c:pt idx="37" formatCode="General">
                        <c:v>-55.816757942511344</c:v>
                      </c:pt>
                      <c:pt idx="38" formatCode="General">
                        <c:v>-56.110706505295006</c:v>
                      </c:pt>
                      <c:pt idx="39" formatCode="General">
                        <c:v>-56.404655068078668</c:v>
                      </c:pt>
                      <c:pt idx="40" formatCode="General">
                        <c:v>-56.69860363086233</c:v>
                      </c:pt>
                      <c:pt idx="41" formatCode="General">
                        <c:v>-56.992552193645992</c:v>
                      </c:pt>
                      <c:pt idx="42" formatCode="General">
                        <c:v>-57.286500756429653</c:v>
                      </c:pt>
                      <c:pt idx="43" formatCode="General">
                        <c:v>-57.580449319213315</c:v>
                      </c:pt>
                      <c:pt idx="44" formatCode="General">
                        <c:v>-57.869193645990926</c:v>
                      </c:pt>
                      <c:pt idx="45" formatCode="General">
                        <c:v>-58.15103933434191</c:v>
                      </c:pt>
                      <c:pt idx="46" formatCode="General">
                        <c:v>-58.432885022692894</c:v>
                      </c:pt>
                      <c:pt idx="47" formatCode="General">
                        <c:v>-58.714730711043877</c:v>
                      </c:pt>
                      <c:pt idx="48" formatCode="General">
                        <c:v>-58.996576399394861</c:v>
                      </c:pt>
                      <c:pt idx="49" formatCode="General">
                        <c:v>-59.278422087745845</c:v>
                      </c:pt>
                      <c:pt idx="50" formatCode="General">
                        <c:v>-59.560267776096829</c:v>
                      </c:pt>
                      <c:pt idx="51" formatCode="General">
                        <c:v>-59.834139393939395</c:v>
                      </c:pt>
                      <c:pt idx="52" formatCode="General">
                        <c:v>-60.106260606060609</c:v>
                      </c:pt>
                      <c:pt idx="53" formatCode="General">
                        <c:v>-60.378381818181822</c:v>
                      </c:pt>
                      <c:pt idx="54" formatCode="General">
                        <c:v>-60.650503030303028</c:v>
                      </c:pt>
                      <c:pt idx="55" formatCode="General">
                        <c:v>-60.922624242424241</c:v>
                      </c:pt>
                      <c:pt idx="56" formatCode="General">
                        <c:v>-61.194745454545455</c:v>
                      </c:pt>
                      <c:pt idx="57" formatCode="General">
                        <c:v>-61.46743373493976</c:v>
                      </c:pt>
                      <c:pt idx="58" formatCode="General">
                        <c:v>-61.742132530120479</c:v>
                      </c:pt>
                      <c:pt idx="59" formatCode="General">
                        <c:v>-62.009278787878785</c:v>
                      </c:pt>
                      <c:pt idx="60" formatCode="General">
                        <c:v>-62.27049090909091</c:v>
                      </c:pt>
                      <c:pt idx="61" formatCode="General">
                        <c:v>-62.539975757575753</c:v>
                      </c:pt>
                      <c:pt idx="62" formatCode="General">
                        <c:v>-62.809648484848481</c:v>
                      </c:pt>
                      <c:pt idx="63" formatCode="General">
                        <c:v>-63.077527272727274</c:v>
                      </c:pt>
                      <c:pt idx="64" formatCode="General">
                        <c:v>-63.33999092284418</c:v>
                      </c:pt>
                      <c:pt idx="65" formatCode="General">
                        <c:v>-63.598992435703479</c:v>
                      </c:pt>
                      <c:pt idx="66" formatCode="General">
                        <c:v>-63.857993948562786</c:v>
                      </c:pt>
                      <c:pt idx="67" formatCode="General">
                        <c:v>-64.116995461422093</c:v>
                      </c:pt>
                      <c:pt idx="68" formatCode="General">
                        <c:v>-64.375996974281392</c:v>
                      </c:pt>
                      <c:pt idx="69" formatCode="General">
                        <c:v>-64.634998487140706</c:v>
                      </c:pt>
                      <c:pt idx="70" formatCode="General">
                        <c:v>-64.894000000000005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-38.512484848484846</c:v>
                      </c:pt>
                      <c:pt idx="1">
                        <c:v>-37.55684848484848</c:v>
                      </c:pt>
                      <c:pt idx="2" formatCode="General">
                        <c:v>-36.653818181818181</c:v>
                      </c:pt>
                      <c:pt idx="3" formatCode="General">
                        <c:v>-35.821575757575751</c:v>
                      </c:pt>
                      <c:pt idx="4" formatCode="General">
                        <c:v>-35.031515151515151</c:v>
                      </c:pt>
                      <c:pt idx="5" formatCode="General">
                        <c:v>-34.425454545454542</c:v>
                      </c:pt>
                      <c:pt idx="6" formatCode="General">
                        <c:v>-33.800240963855423</c:v>
                      </c:pt>
                      <c:pt idx="7" formatCode="General">
                        <c:v>-33.149638554216871</c:v>
                      </c:pt>
                      <c:pt idx="8" formatCode="General">
                        <c:v>-32.556666666666665</c:v>
                      </c:pt>
                      <c:pt idx="9" formatCode="General">
                        <c:v>-31.989418181818181</c:v>
                      </c:pt>
                      <c:pt idx="10" formatCode="General">
                        <c:v>-31.484569696969697</c:v>
                      </c:pt>
                      <c:pt idx="11" formatCode="General">
                        <c:v>-31.045993948562781</c:v>
                      </c:pt>
                      <c:pt idx="12" formatCode="General">
                        <c:v>-30.682151285930406</c:v>
                      </c:pt>
                      <c:pt idx="13" formatCode="General">
                        <c:v>-30.31830862329803</c:v>
                      </c:pt>
                      <c:pt idx="14" formatCode="General">
                        <c:v>-29.954465960665654</c:v>
                      </c:pt>
                      <c:pt idx="15" formatCode="General">
                        <c:v>-29.590623298033279</c:v>
                      </c:pt>
                      <c:pt idx="16" formatCode="General">
                        <c:v>-29.226780635400907</c:v>
                      </c:pt>
                      <c:pt idx="17" formatCode="General">
                        <c:v>-28.862937972768528</c:v>
                      </c:pt>
                      <c:pt idx="18" formatCode="General">
                        <c:v>-28.662412121212121</c:v>
                      </c:pt>
                      <c:pt idx="19" formatCode="General">
                        <c:v>-28.51087272727273</c:v>
                      </c:pt>
                      <c:pt idx="20" formatCode="General">
                        <c:v>-28.4436</c:v>
                      </c:pt>
                      <c:pt idx="21" formatCode="General">
                        <c:v>-28.426218181818179</c:v>
                      </c:pt>
                      <c:pt idx="22" formatCode="General">
                        <c:v>-28.448036363636362</c:v>
                      </c:pt>
                      <c:pt idx="23" formatCode="General">
                        <c:v>-28.533873493975904</c:v>
                      </c:pt>
                      <c:pt idx="24" formatCode="General">
                        <c:v>-28.638000000000002</c:v>
                      </c:pt>
                      <c:pt idx="25" formatCode="General">
                        <c:v>-28.778000000000002</c:v>
                      </c:pt>
                      <c:pt idx="26" formatCode="General">
                        <c:v>-28.928909090909091</c:v>
                      </c:pt>
                      <c:pt idx="27" formatCode="General">
                        <c:v>-29.087090909090907</c:v>
                      </c:pt>
                      <c:pt idx="28" formatCode="General">
                        <c:v>-29.252181818181818</c:v>
                      </c:pt>
                      <c:pt idx="29" formatCode="General">
                        <c:v>-29.419818181818179</c:v>
                      </c:pt>
                      <c:pt idx="30" formatCode="General">
                        <c:v>-29.592545454545455</c:v>
                      </c:pt>
                      <c:pt idx="31" formatCode="General">
                        <c:v>-29.761366111951592</c:v>
                      </c:pt>
                      <c:pt idx="32" formatCode="General">
                        <c:v>-29.928083207261729</c:v>
                      </c:pt>
                      <c:pt idx="33" formatCode="General">
                        <c:v>-30.094800302571862</c:v>
                      </c:pt>
                      <c:pt idx="34" formatCode="General">
                        <c:v>-30.261517397881999</c:v>
                      </c:pt>
                      <c:pt idx="35" formatCode="General">
                        <c:v>-30.428234493192136</c:v>
                      </c:pt>
                      <c:pt idx="36" formatCode="General">
                        <c:v>-30.594951588502273</c:v>
                      </c:pt>
                      <c:pt idx="37" formatCode="General">
                        <c:v>-30.761372163388806</c:v>
                      </c:pt>
                      <c:pt idx="38" formatCode="General">
                        <c:v>-30.920676248108929</c:v>
                      </c:pt>
                      <c:pt idx="39" formatCode="General">
                        <c:v>-31.079980332829049</c:v>
                      </c:pt>
                      <c:pt idx="40" formatCode="General">
                        <c:v>-31.239284417549168</c:v>
                      </c:pt>
                      <c:pt idx="41" formatCode="General">
                        <c:v>-31.398588502269288</c:v>
                      </c:pt>
                      <c:pt idx="42" formatCode="General">
                        <c:v>-31.557892586989411</c:v>
                      </c:pt>
                      <c:pt idx="43" formatCode="General">
                        <c:v>-31.71719667170953</c:v>
                      </c:pt>
                      <c:pt idx="44" formatCode="General">
                        <c:v>-31.87454916792738</c:v>
                      </c:pt>
                      <c:pt idx="45" formatCode="General">
                        <c:v>-32.029314674735247</c:v>
                      </c:pt>
                      <c:pt idx="46" formatCode="General">
                        <c:v>-32.184080181543116</c:v>
                      </c:pt>
                      <c:pt idx="47" formatCode="General">
                        <c:v>-32.338845688350986</c:v>
                      </c:pt>
                      <c:pt idx="48" formatCode="General">
                        <c:v>-32.493611195158856</c:v>
                      </c:pt>
                      <c:pt idx="49" formatCode="General">
                        <c:v>-32.648376701966718</c:v>
                      </c:pt>
                      <c:pt idx="50" formatCode="General">
                        <c:v>-32.803142208774588</c:v>
                      </c:pt>
                      <c:pt idx="51" formatCode="General">
                        <c:v>-32.957230303030308</c:v>
                      </c:pt>
                      <c:pt idx="52" formatCode="General">
                        <c:v>-33.111169696969704</c:v>
                      </c:pt>
                      <c:pt idx="53" formatCode="General">
                        <c:v>-33.265109090909093</c:v>
                      </c:pt>
                      <c:pt idx="54" formatCode="General">
                        <c:v>-33.419048484848489</c:v>
                      </c:pt>
                      <c:pt idx="55" formatCode="General">
                        <c:v>-33.572987878787885</c:v>
                      </c:pt>
                      <c:pt idx="56" formatCode="General">
                        <c:v>-33.726927272727274</c:v>
                      </c:pt>
                      <c:pt idx="57" formatCode="General">
                        <c:v>-33.880927710843373</c:v>
                      </c:pt>
                      <c:pt idx="58" formatCode="General">
                        <c:v>-34.035144578313258</c:v>
                      </c:pt>
                      <c:pt idx="59" formatCode="General">
                        <c:v>-34.184793939393941</c:v>
                      </c:pt>
                      <c:pt idx="60" formatCode="General">
                        <c:v>-34.33085454545455</c:v>
                      </c:pt>
                      <c:pt idx="61" formatCode="General">
                        <c:v>-34.479672727272728</c:v>
                      </c:pt>
                      <c:pt idx="62" formatCode="General">
                        <c:v>-34.628133333333331</c:v>
                      </c:pt>
                      <c:pt idx="63" formatCode="General">
                        <c:v>-34.774799999999999</c:v>
                      </c:pt>
                      <c:pt idx="64" formatCode="General">
                        <c:v>-34.918009077155823</c:v>
                      </c:pt>
                      <c:pt idx="65" formatCode="General">
                        <c:v>-35.059007564296522</c:v>
                      </c:pt>
                      <c:pt idx="66" formatCode="General">
                        <c:v>-35.200006051437214</c:v>
                      </c:pt>
                      <c:pt idx="67" formatCode="General">
                        <c:v>-35.341004538577913</c:v>
                      </c:pt>
                      <c:pt idx="68" formatCode="General">
                        <c:v>-35.482003025718605</c:v>
                      </c:pt>
                      <c:pt idx="69" formatCode="General">
                        <c:v>-35.623001512859304</c:v>
                      </c:pt>
                      <c:pt idx="70" formatCode="General">
                        <c:v>-35.763999999999996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-143.49206060606059</c:v>
                      </c:pt>
                      <c:pt idx="1">
                        <c:v>-138.9310909090909</c:v>
                      </c:pt>
                      <c:pt idx="2" formatCode="General">
                        <c:v>-134.51290909090909</c:v>
                      </c:pt>
                      <c:pt idx="3" formatCode="General">
                        <c:v>-130.23187878787877</c:v>
                      </c:pt>
                      <c:pt idx="4" formatCode="General">
                        <c:v>-125.95890909090909</c:v>
                      </c:pt>
                      <c:pt idx="5" formatCode="General">
                        <c:v>-121.19527272727272</c:v>
                      </c:pt>
                      <c:pt idx="6" formatCode="General">
                        <c:v>-116.98277108433736</c:v>
                      </c:pt>
                      <c:pt idx="7" formatCode="General">
                        <c:v>-113.50084337349398</c:v>
                      </c:pt>
                      <c:pt idx="8" formatCode="General">
                        <c:v>-110.11933333333334</c:v>
                      </c:pt>
                      <c:pt idx="9" formatCode="General">
                        <c:v>-106.78672727272728</c:v>
                      </c:pt>
                      <c:pt idx="10" formatCode="General">
                        <c:v>-103.59278787878789</c:v>
                      </c:pt>
                      <c:pt idx="11" formatCode="General">
                        <c:v>-100.63860816944025</c:v>
                      </c:pt>
                      <c:pt idx="12" formatCode="General">
                        <c:v>-97.954795763993957</c:v>
                      </c:pt>
                      <c:pt idx="13" formatCode="General">
                        <c:v>-95.270983358547653</c:v>
                      </c:pt>
                      <c:pt idx="14" formatCode="General">
                        <c:v>-92.587170953101364</c:v>
                      </c:pt>
                      <c:pt idx="15" formatCode="General">
                        <c:v>-89.90335854765506</c:v>
                      </c:pt>
                      <c:pt idx="16" formatCode="General">
                        <c:v>-87.21954614220877</c:v>
                      </c:pt>
                      <c:pt idx="17" formatCode="General">
                        <c:v>-84.535733736762467</c:v>
                      </c:pt>
                      <c:pt idx="18" formatCode="General">
                        <c:v>-82.314909090909083</c:v>
                      </c:pt>
                      <c:pt idx="19" formatCode="General">
                        <c:v>-80.208909090909088</c:v>
                      </c:pt>
                      <c:pt idx="20" formatCode="General">
                        <c:v>-78.251333333333335</c:v>
                      </c:pt>
                      <c:pt idx="21" formatCode="General">
                        <c:v>-76.354848484848489</c:v>
                      </c:pt>
                      <c:pt idx="22" formatCode="General">
                        <c:v>-74.506363636363631</c:v>
                      </c:pt>
                      <c:pt idx="23" formatCode="General">
                        <c:v>-72.788614457831329</c:v>
                      </c:pt>
                      <c:pt idx="24" formatCode="General">
                        <c:v>-71.108484848484849</c:v>
                      </c:pt>
                      <c:pt idx="25" formatCode="General">
                        <c:v>-69.50242424242424</c:v>
                      </c:pt>
                      <c:pt idx="26" formatCode="General">
                        <c:v>-67.976363636363644</c:v>
                      </c:pt>
                      <c:pt idx="27" formatCode="General">
                        <c:v>-66.503636363636375</c:v>
                      </c:pt>
                      <c:pt idx="28" formatCode="General">
                        <c:v>-65.157575757575756</c:v>
                      </c:pt>
                      <c:pt idx="29" formatCode="General">
                        <c:v>-63.856363636363632</c:v>
                      </c:pt>
                      <c:pt idx="30" formatCode="General">
                        <c:v>-62.644242424242421</c:v>
                      </c:pt>
                      <c:pt idx="31" formatCode="General">
                        <c:v>-61.562133131618758</c:v>
                      </c:pt>
                      <c:pt idx="32" formatCode="General">
                        <c:v>-60.55003025718608</c:v>
                      </c:pt>
                      <c:pt idx="33" formatCode="General">
                        <c:v>-59.537927382753402</c:v>
                      </c:pt>
                      <c:pt idx="34" formatCode="General">
                        <c:v>-58.525824508320724</c:v>
                      </c:pt>
                      <c:pt idx="35" formatCode="General">
                        <c:v>-57.513721633888053</c:v>
                      </c:pt>
                      <c:pt idx="36" formatCode="General">
                        <c:v>-56.501618759455376</c:v>
                      </c:pt>
                      <c:pt idx="37" formatCode="General">
                        <c:v>-55.49774583963692</c:v>
                      </c:pt>
                      <c:pt idx="38" formatCode="General">
                        <c:v>-54.691391830559759</c:v>
                      </c:pt>
                      <c:pt idx="39" formatCode="General">
                        <c:v>-53.885037821482605</c:v>
                      </c:pt>
                      <c:pt idx="40" formatCode="General">
                        <c:v>-53.078683812405451</c:v>
                      </c:pt>
                      <c:pt idx="41" formatCode="General">
                        <c:v>-52.272329803328297</c:v>
                      </c:pt>
                      <c:pt idx="42" formatCode="General">
                        <c:v>-51.465975794251143</c:v>
                      </c:pt>
                      <c:pt idx="43" formatCode="General">
                        <c:v>-50.659621785173982</c:v>
                      </c:pt>
                      <c:pt idx="44" formatCode="General">
                        <c:v>-49.940438729198192</c:v>
                      </c:pt>
                      <c:pt idx="45" formatCode="General">
                        <c:v>-49.336807866868384</c:v>
                      </c:pt>
                      <c:pt idx="46" formatCode="General">
                        <c:v>-48.733177004538582</c:v>
                      </c:pt>
                      <c:pt idx="47" formatCode="General">
                        <c:v>-48.129546142208774</c:v>
                      </c:pt>
                      <c:pt idx="48" formatCode="General">
                        <c:v>-47.525915279878973</c:v>
                      </c:pt>
                      <c:pt idx="49" formatCode="General">
                        <c:v>-46.922284417549164</c:v>
                      </c:pt>
                      <c:pt idx="50" formatCode="General">
                        <c:v>-46.318653555219363</c:v>
                      </c:pt>
                      <c:pt idx="51" formatCode="General">
                        <c:v>-46.0000303030303</c:v>
                      </c:pt>
                      <c:pt idx="52" formatCode="General">
                        <c:v>-45.743969696969693</c:v>
                      </c:pt>
                      <c:pt idx="53" formatCode="General">
                        <c:v>-45.487909090909092</c:v>
                      </c:pt>
                      <c:pt idx="54" formatCode="General">
                        <c:v>-45.231848484848484</c:v>
                      </c:pt>
                      <c:pt idx="55" formatCode="General">
                        <c:v>-44.975787878787877</c:v>
                      </c:pt>
                      <c:pt idx="56" formatCode="General">
                        <c:v>-44.719727272727269</c:v>
                      </c:pt>
                      <c:pt idx="57" formatCode="General">
                        <c:v>-44.517879518072284</c:v>
                      </c:pt>
                      <c:pt idx="58" formatCode="General">
                        <c:v>-44.508240963855421</c:v>
                      </c:pt>
                      <c:pt idx="59" formatCode="General">
                        <c:v>-44.531830303030304</c:v>
                      </c:pt>
                      <c:pt idx="60" formatCode="General">
                        <c:v>-44.581527272727271</c:v>
                      </c:pt>
                      <c:pt idx="61" formatCode="General">
                        <c:v>-44.676448484848486</c:v>
                      </c:pt>
                      <c:pt idx="62" formatCode="General">
                        <c:v>-44.783090909090909</c:v>
                      </c:pt>
                      <c:pt idx="63" formatCode="General">
                        <c:v>-44.910363636363634</c:v>
                      </c:pt>
                      <c:pt idx="64" formatCode="General">
                        <c:v>-45.051730711043874</c:v>
                      </c:pt>
                      <c:pt idx="65" formatCode="General">
                        <c:v>-45.202108925869894</c:v>
                      </c:pt>
                      <c:pt idx="66" formatCode="General">
                        <c:v>-45.352487140695914</c:v>
                      </c:pt>
                      <c:pt idx="67" formatCode="General">
                        <c:v>-45.502865355521941</c:v>
                      </c:pt>
                      <c:pt idx="68" formatCode="General">
                        <c:v>-45.653243570347961</c:v>
                      </c:pt>
                      <c:pt idx="69" formatCode="General">
                        <c:v>-45.803621785173981</c:v>
                      </c:pt>
                      <c:pt idx="70" formatCode="General">
                        <c:v>-45.954000000000001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-18.888727272727273</c:v>
                      </c:pt>
                      <c:pt idx="1">
                        <c:v>-18.91151515151515</c:v>
                      </c:pt>
                      <c:pt idx="2" formatCode="General">
                        <c:v>-18.941818181818181</c:v>
                      </c:pt>
                      <c:pt idx="3" formatCode="General">
                        <c:v>-18.976545454545455</c:v>
                      </c:pt>
                      <c:pt idx="4" formatCode="General">
                        <c:v>-19.008545454545455</c:v>
                      </c:pt>
                      <c:pt idx="5" formatCode="General">
                        <c:v>-18.990363636363636</c:v>
                      </c:pt>
                      <c:pt idx="6" formatCode="General">
                        <c:v>-18.995542168674699</c:v>
                      </c:pt>
                      <c:pt idx="7" formatCode="General">
                        <c:v>-19.031686746987951</c:v>
                      </c:pt>
                      <c:pt idx="8" formatCode="General">
                        <c:v>-19.063333333333333</c:v>
                      </c:pt>
                      <c:pt idx="9" formatCode="General">
                        <c:v>-19.093636363636364</c:v>
                      </c:pt>
                      <c:pt idx="10" formatCode="General">
                        <c:v>-19.123939393939395</c:v>
                      </c:pt>
                      <c:pt idx="11" formatCode="General">
                        <c:v>-19.142844175491678</c:v>
                      </c:pt>
                      <c:pt idx="12" formatCode="General">
                        <c:v>-19.148895612708017</c:v>
                      </c:pt>
                      <c:pt idx="13" formatCode="General">
                        <c:v>-19.154947049924356</c:v>
                      </c:pt>
                      <c:pt idx="14" formatCode="General">
                        <c:v>-19.160998487140695</c:v>
                      </c:pt>
                      <c:pt idx="15" formatCode="General">
                        <c:v>-19.167049924357034</c:v>
                      </c:pt>
                      <c:pt idx="16" formatCode="General">
                        <c:v>-19.173101361573373</c:v>
                      </c:pt>
                      <c:pt idx="17" formatCode="General">
                        <c:v>-19.179152798789712</c:v>
                      </c:pt>
                      <c:pt idx="18" formatCode="General">
                        <c:v>-19.153939393939392</c:v>
                      </c:pt>
                      <c:pt idx="19" formatCode="General">
                        <c:v>-19.123636363636361</c:v>
                      </c:pt>
                      <c:pt idx="20" formatCode="General">
                        <c:v>-19.09333333333333</c:v>
                      </c:pt>
                      <c:pt idx="21" formatCode="General">
                        <c:v>-19.06642424242424</c:v>
                      </c:pt>
                      <c:pt idx="22" formatCode="General">
                        <c:v>-19.042181818181817</c:v>
                      </c:pt>
                      <c:pt idx="23" formatCode="General">
                        <c:v>-19.034518072289156</c:v>
                      </c:pt>
                      <c:pt idx="24" formatCode="General">
                        <c:v>-19.031515151515151</c:v>
                      </c:pt>
                      <c:pt idx="25" formatCode="General">
                        <c:v>-19.037575757575759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-19.07151515151515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-38.512484848484846</c:v>
                      </c:pt>
                      <c:pt idx="1">
                        <c:v>-37.55684848484848</c:v>
                      </c:pt>
                      <c:pt idx="2" formatCode="General">
                        <c:v>-36.653818181818181</c:v>
                      </c:pt>
                      <c:pt idx="3" formatCode="General">
                        <c:v>-35.821575757575751</c:v>
                      </c:pt>
                      <c:pt idx="4" formatCode="General">
                        <c:v>-35.031515151515151</c:v>
                      </c:pt>
                      <c:pt idx="5" formatCode="General">
                        <c:v>-34.425454545454542</c:v>
                      </c:pt>
                      <c:pt idx="6" formatCode="General">
                        <c:v>-33.800240963855423</c:v>
                      </c:pt>
                      <c:pt idx="7" formatCode="General">
                        <c:v>-33.149638554216871</c:v>
                      </c:pt>
                      <c:pt idx="8" formatCode="General">
                        <c:v>-32.556666666666665</c:v>
                      </c:pt>
                      <c:pt idx="9" formatCode="General">
                        <c:v>-31.989418181818181</c:v>
                      </c:pt>
                      <c:pt idx="10" formatCode="General">
                        <c:v>-31.484569696969697</c:v>
                      </c:pt>
                      <c:pt idx="11" formatCode="General">
                        <c:v>-31.045993948562781</c:v>
                      </c:pt>
                      <c:pt idx="12" formatCode="General">
                        <c:v>-30.682151285930406</c:v>
                      </c:pt>
                      <c:pt idx="13" formatCode="General">
                        <c:v>-30.31830862329803</c:v>
                      </c:pt>
                      <c:pt idx="14" formatCode="General">
                        <c:v>-29.954465960665654</c:v>
                      </c:pt>
                      <c:pt idx="15" formatCode="General">
                        <c:v>-29.590623298033279</c:v>
                      </c:pt>
                      <c:pt idx="16" formatCode="General">
                        <c:v>-29.226780635400907</c:v>
                      </c:pt>
                      <c:pt idx="17" formatCode="General">
                        <c:v>-28.862937972768528</c:v>
                      </c:pt>
                      <c:pt idx="18" formatCode="General">
                        <c:v>-28.662412121212121</c:v>
                      </c:pt>
                      <c:pt idx="19" formatCode="General">
                        <c:v>-28.51087272727273</c:v>
                      </c:pt>
                      <c:pt idx="20" formatCode="General">
                        <c:v>-28.4436</c:v>
                      </c:pt>
                      <c:pt idx="21" formatCode="General">
                        <c:v>-28.426218181818179</c:v>
                      </c:pt>
                      <c:pt idx="22" formatCode="General">
                        <c:v>-28.448036363636362</c:v>
                      </c:pt>
                      <c:pt idx="23" formatCode="General">
                        <c:v>-28.533873493975904</c:v>
                      </c:pt>
                      <c:pt idx="24" formatCode="General">
                        <c:v>-28.638000000000002</c:v>
                      </c:pt>
                      <c:pt idx="25" formatCode="General">
                        <c:v>-28.778000000000002</c:v>
                      </c:pt>
                      <c:pt idx="26" formatCode="General">
                        <c:v>-28.928909090909091</c:v>
                      </c:pt>
                      <c:pt idx="27" formatCode="General">
                        <c:v>-29.087090909090907</c:v>
                      </c:pt>
                      <c:pt idx="28" formatCode="General">
                        <c:v>-29.252181818181818</c:v>
                      </c:pt>
                      <c:pt idx="29" formatCode="General">
                        <c:v>-29.419818181818179</c:v>
                      </c:pt>
                      <c:pt idx="30" formatCode="General">
                        <c:v>-29.592545454545455</c:v>
                      </c:pt>
                      <c:pt idx="31" formatCode="General">
                        <c:v>-29.761366111951592</c:v>
                      </c:pt>
                      <c:pt idx="32" formatCode="General">
                        <c:v>-29.928083207261729</c:v>
                      </c:pt>
                      <c:pt idx="33" formatCode="General">
                        <c:v>-30.094800302571862</c:v>
                      </c:pt>
                      <c:pt idx="34" formatCode="General">
                        <c:v>-30.261517397881999</c:v>
                      </c:pt>
                      <c:pt idx="35" formatCode="General">
                        <c:v>-30.428234493192136</c:v>
                      </c:pt>
                      <c:pt idx="36" formatCode="General">
                        <c:v>-30.594951588502273</c:v>
                      </c:pt>
                      <c:pt idx="37" formatCode="General">
                        <c:v>-30.761372163388806</c:v>
                      </c:pt>
                      <c:pt idx="38" formatCode="General">
                        <c:v>-30.920676248108929</c:v>
                      </c:pt>
                      <c:pt idx="39" formatCode="General">
                        <c:v>-31.079980332829049</c:v>
                      </c:pt>
                      <c:pt idx="40" formatCode="General">
                        <c:v>-31.239284417549168</c:v>
                      </c:pt>
                      <c:pt idx="41" formatCode="General">
                        <c:v>-31.398588502269288</c:v>
                      </c:pt>
                      <c:pt idx="42" formatCode="General">
                        <c:v>-31.557892586989411</c:v>
                      </c:pt>
                      <c:pt idx="43" formatCode="General">
                        <c:v>-31.71719667170953</c:v>
                      </c:pt>
                      <c:pt idx="44" formatCode="General">
                        <c:v>-31.87454916792738</c:v>
                      </c:pt>
                      <c:pt idx="45" formatCode="General">
                        <c:v>-32.029314674735247</c:v>
                      </c:pt>
                      <c:pt idx="46" formatCode="General">
                        <c:v>-32.184080181543116</c:v>
                      </c:pt>
                      <c:pt idx="47" formatCode="General">
                        <c:v>-32.338845688350986</c:v>
                      </c:pt>
                      <c:pt idx="48" formatCode="General">
                        <c:v>-32.493611195158856</c:v>
                      </c:pt>
                      <c:pt idx="49" formatCode="General">
                        <c:v>-32.648376701966718</c:v>
                      </c:pt>
                      <c:pt idx="50" formatCode="General">
                        <c:v>-32.803142208774588</c:v>
                      </c:pt>
                      <c:pt idx="51" formatCode="General">
                        <c:v>-32.957230303030308</c:v>
                      </c:pt>
                      <c:pt idx="52" formatCode="General">
                        <c:v>-33.111169696969704</c:v>
                      </c:pt>
                      <c:pt idx="53" formatCode="General">
                        <c:v>-33.265109090909093</c:v>
                      </c:pt>
                      <c:pt idx="54" formatCode="General">
                        <c:v>-33.419048484848489</c:v>
                      </c:pt>
                      <c:pt idx="55" formatCode="General">
                        <c:v>-33.572987878787885</c:v>
                      </c:pt>
                      <c:pt idx="56" formatCode="General">
                        <c:v>-33.726927272727274</c:v>
                      </c:pt>
                      <c:pt idx="57" formatCode="General">
                        <c:v>-33.880927710843373</c:v>
                      </c:pt>
                      <c:pt idx="58" formatCode="General">
                        <c:v>-34.035144578313258</c:v>
                      </c:pt>
                      <c:pt idx="59" formatCode="General">
                        <c:v>-34.184793939393941</c:v>
                      </c:pt>
                      <c:pt idx="60" formatCode="General">
                        <c:v>-34.33085454545455</c:v>
                      </c:pt>
                      <c:pt idx="61" formatCode="General">
                        <c:v>-34.479672727272728</c:v>
                      </c:pt>
                      <c:pt idx="62" formatCode="General">
                        <c:v>-34.628133333333331</c:v>
                      </c:pt>
                      <c:pt idx="63" formatCode="General">
                        <c:v>-34.774799999999999</c:v>
                      </c:pt>
                      <c:pt idx="64" formatCode="General">
                        <c:v>-34.918009077155823</c:v>
                      </c:pt>
                      <c:pt idx="65" formatCode="General">
                        <c:v>-35.059007564296522</c:v>
                      </c:pt>
                      <c:pt idx="66" formatCode="General">
                        <c:v>-35.200006051437214</c:v>
                      </c:pt>
                      <c:pt idx="67" formatCode="General">
                        <c:v>-35.341004538577913</c:v>
                      </c:pt>
                      <c:pt idx="68" formatCode="General">
                        <c:v>-35.482003025718605</c:v>
                      </c:pt>
                      <c:pt idx="69" formatCode="General">
                        <c:v>-35.623001512859304</c:v>
                      </c:pt>
                      <c:pt idx="70" formatCode="General">
                        <c:v>-35.763999999999996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-186.94066666666666</c:v>
                      </c:pt>
                      <c:pt idx="1">
                        <c:v>-181.6330303030303</c:v>
                      </c:pt>
                      <c:pt idx="2" formatCode="General">
                        <c:v>-176.69363636363636</c:v>
                      </c:pt>
                      <c:pt idx="3" formatCode="General">
                        <c:v>-172.13030303030303</c:v>
                      </c:pt>
                      <c:pt idx="4" formatCode="General">
                        <c:v>-167.7351515151515</c:v>
                      </c:pt>
                      <c:pt idx="5" formatCode="General">
                        <c:v>-163.67454545454547</c:v>
                      </c:pt>
                      <c:pt idx="6" formatCode="General">
                        <c:v>-159.8109638554217</c:v>
                      </c:pt>
                      <c:pt idx="7" formatCode="General">
                        <c:v>-156.20855421686747</c:v>
                      </c:pt>
                      <c:pt idx="8" formatCode="General">
                        <c:v>-152.846</c:v>
                      </c:pt>
                      <c:pt idx="9" formatCode="General">
                        <c:v>-149.58854545454545</c:v>
                      </c:pt>
                      <c:pt idx="10" formatCode="General">
                        <c:v>-146.57642424242425</c:v>
                      </c:pt>
                      <c:pt idx="11" formatCode="General">
                        <c:v>-143.84090771558246</c:v>
                      </c:pt>
                      <c:pt idx="12" formatCode="General">
                        <c:v>-141.41730711043874</c:v>
                      </c:pt>
                      <c:pt idx="13" formatCode="General">
                        <c:v>-138.99370650529502</c:v>
                      </c:pt>
                      <c:pt idx="14" formatCode="General">
                        <c:v>-136.57010590015128</c:v>
                      </c:pt>
                      <c:pt idx="15" formatCode="General">
                        <c:v>-134.14650529500756</c:v>
                      </c:pt>
                      <c:pt idx="16" formatCode="General">
                        <c:v>-131.72290468986381</c:v>
                      </c:pt>
                      <c:pt idx="17" formatCode="General">
                        <c:v>-129.29930408472009</c:v>
                      </c:pt>
                      <c:pt idx="18" formatCode="General">
                        <c:v>-127.32339393939394</c:v>
                      </c:pt>
                      <c:pt idx="19" formatCode="General">
                        <c:v>-125.45727272727274</c:v>
                      </c:pt>
                      <c:pt idx="20" formatCode="General">
                        <c:v>-123.73</c:v>
                      </c:pt>
                      <c:pt idx="21" formatCode="General">
                        <c:v>-122.06381818181818</c:v>
                      </c:pt>
                      <c:pt idx="22" formatCode="General">
                        <c:v>-120.44563636363635</c:v>
                      </c:pt>
                      <c:pt idx="23" formatCode="General">
                        <c:v>-118.97885542168675</c:v>
                      </c:pt>
                      <c:pt idx="24" formatCode="General">
                        <c:v>-117.55818181818184</c:v>
                      </c:pt>
                      <c:pt idx="25" formatCode="General">
                        <c:v>-116.23090909090909</c:v>
                      </c:pt>
                      <c:pt idx="26" formatCode="General">
                        <c:v>-114.98363636363636</c:v>
                      </c:pt>
                      <c:pt idx="27" formatCode="General">
                        <c:v>-113.78969696969696</c:v>
                      </c:pt>
                      <c:pt idx="28" formatCode="General">
                        <c:v>-112.72242424242424</c:v>
                      </c:pt>
                      <c:pt idx="29" formatCode="General">
                        <c:v>-111.70363636363636</c:v>
                      </c:pt>
                      <c:pt idx="30" formatCode="General">
                        <c:v>-110.78242424242426</c:v>
                      </c:pt>
                      <c:pt idx="31" formatCode="General">
                        <c:v>-109.98503782148261</c:v>
                      </c:pt>
                      <c:pt idx="32" formatCode="General">
                        <c:v>-109.25432677760969</c:v>
                      </c:pt>
                      <c:pt idx="33" formatCode="General">
                        <c:v>-108.52361573373678</c:v>
                      </c:pt>
                      <c:pt idx="34" formatCode="General">
                        <c:v>-107.79290468986385</c:v>
                      </c:pt>
                      <c:pt idx="35" formatCode="General">
                        <c:v>-107.06219364599093</c:v>
                      </c:pt>
                      <c:pt idx="36" formatCode="General">
                        <c:v>-106.33148260211802</c:v>
                      </c:pt>
                      <c:pt idx="37" formatCode="General">
                        <c:v>-105.60851739788201</c:v>
                      </c:pt>
                      <c:pt idx="38" formatCode="General">
                        <c:v>-105.07145234493193</c:v>
                      </c:pt>
                      <c:pt idx="39" formatCode="General">
                        <c:v>-104.53438729198186</c:v>
                      </c:pt>
                      <c:pt idx="40" formatCode="General">
                        <c:v>-103.99732223903179</c:v>
                      </c:pt>
                      <c:pt idx="41" formatCode="General">
                        <c:v>-103.46025718608171</c:v>
                      </c:pt>
                      <c:pt idx="42" formatCode="General">
                        <c:v>-102.92319213313164</c:v>
                      </c:pt>
                      <c:pt idx="43" formatCode="General">
                        <c:v>-102.38612708018155</c:v>
                      </c:pt>
                      <c:pt idx="44" formatCode="General">
                        <c:v>-101.92972768532528</c:v>
                      </c:pt>
                      <c:pt idx="45" formatCode="General">
                        <c:v>-101.58025718608171</c:v>
                      </c:pt>
                      <c:pt idx="46" formatCode="General">
                        <c:v>-101.23078668683813</c:v>
                      </c:pt>
                      <c:pt idx="47" formatCode="General">
                        <c:v>-100.88131618759456</c:v>
                      </c:pt>
                      <c:pt idx="48" formatCode="General">
                        <c:v>-100.531845688351</c:v>
                      </c:pt>
                      <c:pt idx="49" formatCode="General">
                        <c:v>-100.18237518910742</c:v>
                      </c:pt>
                      <c:pt idx="50" formatCode="General">
                        <c:v>-99.832904689863852</c:v>
                      </c:pt>
                      <c:pt idx="51" formatCode="General">
                        <c:v>-99.75384848484849</c:v>
                      </c:pt>
                      <c:pt idx="52" formatCode="General">
                        <c:v>-99.734151515151524</c:v>
                      </c:pt>
                      <c:pt idx="53" formatCode="General">
                        <c:v>-99.714454545454544</c:v>
                      </c:pt>
                      <c:pt idx="54" formatCode="General">
                        <c:v>-99.694757575757578</c:v>
                      </c:pt>
                      <c:pt idx="55" formatCode="General">
                        <c:v>-99.675060606060597</c:v>
                      </c:pt>
                      <c:pt idx="56" formatCode="General">
                        <c:v>-99.655363636363631</c:v>
                      </c:pt>
                      <c:pt idx="57" formatCode="General">
                        <c:v>-99.690891566265051</c:v>
                      </c:pt>
                      <c:pt idx="58" formatCode="General">
                        <c:v>-99.922216867469871</c:v>
                      </c:pt>
                      <c:pt idx="59" formatCode="General">
                        <c:v>-100.1808</c:v>
                      </c:pt>
                      <c:pt idx="60" formatCode="General">
                        <c:v>-100.46079999999999</c:v>
                      </c:pt>
                      <c:pt idx="61" formatCode="General">
                        <c:v>-100.79705454545453</c:v>
                      </c:pt>
                      <c:pt idx="62" formatCode="General">
                        <c:v>-101.1461212121212</c:v>
                      </c:pt>
                      <c:pt idx="63" formatCode="General">
                        <c:v>-101.51581818181819</c:v>
                      </c:pt>
                      <c:pt idx="64" formatCode="General">
                        <c:v>-101.89569440242059</c:v>
                      </c:pt>
                      <c:pt idx="65" formatCode="General">
                        <c:v>-102.28207866868382</c:v>
                      </c:pt>
                      <c:pt idx="66" formatCode="General">
                        <c:v>-102.66846293494706</c:v>
                      </c:pt>
                      <c:pt idx="67" formatCode="General">
                        <c:v>-103.05484720121029</c:v>
                      </c:pt>
                      <c:pt idx="68" formatCode="General">
                        <c:v>-103.44123146747353</c:v>
                      </c:pt>
                      <c:pt idx="69" formatCode="General">
                        <c:v>-103.82761573373676</c:v>
                      </c:pt>
                      <c:pt idx="70" formatCode="General">
                        <c:v>-104.214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-82.608181818181805</c:v>
                      </c:pt>
                      <c:pt idx="1">
                        <c:v>-80.141030303030306</c:v>
                      </c:pt>
                      <c:pt idx="2" formatCode="General">
                        <c:v>-77.801636363636362</c:v>
                      </c:pt>
                      <c:pt idx="3" formatCode="General">
                        <c:v>-75.590545454545449</c:v>
                      </c:pt>
                      <c:pt idx="4" formatCode="General">
                        <c:v>-73.423515151515147</c:v>
                      </c:pt>
                      <c:pt idx="5" formatCode="General">
                        <c:v>-71.217454545454544</c:v>
                      </c:pt>
                      <c:pt idx="6" formatCode="General">
                        <c:v>-69.198433734939769</c:v>
                      </c:pt>
                      <c:pt idx="7" formatCode="General">
                        <c:v>-67.427349397590362</c:v>
                      </c:pt>
                      <c:pt idx="8" formatCode="General">
                        <c:v>-65.74133333333333</c:v>
                      </c:pt>
                      <c:pt idx="9" formatCode="General">
                        <c:v>-64.093818181818179</c:v>
                      </c:pt>
                      <c:pt idx="10" formatCode="General">
                        <c:v>-62.542303030303032</c:v>
                      </c:pt>
                      <c:pt idx="11" formatCode="General">
                        <c:v>-61.119878971255673</c:v>
                      </c:pt>
                      <c:pt idx="12" formatCode="General">
                        <c:v>-59.843025718608168</c:v>
                      </c:pt>
                      <c:pt idx="13" formatCode="General">
                        <c:v>-58.566172465960662</c:v>
                      </c:pt>
                      <c:pt idx="14" formatCode="General">
                        <c:v>-57.289319213313163</c:v>
                      </c:pt>
                      <c:pt idx="15" formatCode="General">
                        <c:v>-56.012465960665658</c:v>
                      </c:pt>
                      <c:pt idx="16" formatCode="General">
                        <c:v>-54.735612708018152</c:v>
                      </c:pt>
                      <c:pt idx="17" formatCode="General">
                        <c:v>-53.458759455370647</c:v>
                      </c:pt>
                      <c:pt idx="18" formatCode="General">
                        <c:v>-52.409575757575759</c:v>
                      </c:pt>
                      <c:pt idx="19" formatCode="General">
                        <c:v>-51.416545454545449</c:v>
                      </c:pt>
                      <c:pt idx="20" formatCode="General">
                        <c:v>-50.495333333333335</c:v>
                      </c:pt>
                      <c:pt idx="21" formatCode="General">
                        <c:v>-49.604666666666667</c:v>
                      </c:pt>
                      <c:pt idx="22" formatCode="General">
                        <c:v>-48.737999999999992</c:v>
                      </c:pt>
                      <c:pt idx="23" formatCode="General">
                        <c:v>-47.941867469879519</c:v>
                      </c:pt>
                      <c:pt idx="24" formatCode="General">
                        <c:v>-47.166666666666671</c:v>
                      </c:pt>
                      <c:pt idx="25" formatCode="General">
                        <c:v>-46.433333333333337</c:v>
                      </c:pt>
                      <c:pt idx="26" formatCode="General">
                        <c:v>-45.74</c:v>
                      </c:pt>
                      <c:pt idx="27" formatCode="General">
                        <c:v>-45.073333333333331</c:v>
                      </c:pt>
                      <c:pt idx="28" formatCode="General">
                        <c:v>-44.47</c:v>
                      </c:pt>
                      <c:pt idx="29" formatCode="General">
                        <c:v>-43.89</c:v>
                      </c:pt>
                      <c:pt idx="30" formatCode="General">
                        <c:v>-43.356666666666669</c:v>
                      </c:pt>
                      <c:pt idx="31" formatCode="General">
                        <c:v>-42.886792738275339</c:v>
                      </c:pt>
                      <c:pt idx="32" formatCode="General">
                        <c:v>-42.451089258698943</c:v>
                      </c:pt>
                      <c:pt idx="33" formatCode="General">
                        <c:v>-42.015385779122539</c:v>
                      </c:pt>
                      <c:pt idx="34" formatCode="General">
                        <c:v>-41.579682299546143</c:v>
                      </c:pt>
                      <c:pt idx="35" formatCode="General">
                        <c:v>-41.143978819969746</c:v>
                      </c:pt>
                      <c:pt idx="36" formatCode="General">
                        <c:v>-40.708275340393342</c:v>
                      </c:pt>
                      <c:pt idx="37" formatCode="General">
                        <c:v>-40.276565809379726</c:v>
                      </c:pt>
                      <c:pt idx="38" formatCode="General">
                        <c:v>-39.940711043872923</c:v>
                      </c:pt>
                      <c:pt idx="39" formatCode="General">
                        <c:v>-39.604856278366114</c:v>
                      </c:pt>
                      <c:pt idx="40" formatCode="General">
                        <c:v>-39.269001512859305</c:v>
                      </c:pt>
                      <c:pt idx="41" formatCode="General">
                        <c:v>-38.933146747352495</c:v>
                      </c:pt>
                      <c:pt idx="42" formatCode="General">
                        <c:v>-38.597291981845693</c:v>
                      </c:pt>
                      <c:pt idx="43" formatCode="General">
                        <c:v>-38.261437216338884</c:v>
                      </c:pt>
                      <c:pt idx="44" formatCode="General">
                        <c:v>-37.967541603630863</c:v>
                      </c:pt>
                      <c:pt idx="45" formatCode="General">
                        <c:v>-37.72926626323752</c:v>
                      </c:pt>
                      <c:pt idx="46" formatCode="General">
                        <c:v>-37.490990922844176</c:v>
                      </c:pt>
                      <c:pt idx="47" formatCode="General">
                        <c:v>-37.252715582450833</c:v>
                      </c:pt>
                      <c:pt idx="48" formatCode="General">
                        <c:v>-37.014440242057489</c:v>
                      </c:pt>
                      <c:pt idx="49" formatCode="General">
                        <c:v>-36.776164901664146</c:v>
                      </c:pt>
                      <c:pt idx="50" formatCode="General">
                        <c:v>-36.537889561270802</c:v>
                      </c:pt>
                      <c:pt idx="51" formatCode="General">
                        <c:v>-36.438469696969698</c:v>
                      </c:pt>
                      <c:pt idx="52" formatCode="General">
                        <c:v>-36.369530303030302</c:v>
                      </c:pt>
                      <c:pt idx="53" formatCode="General">
                        <c:v>-36.300590909090914</c:v>
                      </c:pt>
                      <c:pt idx="54" formatCode="General">
                        <c:v>-36.231651515151519</c:v>
                      </c:pt>
                      <c:pt idx="55" formatCode="General">
                        <c:v>-36.162712121212124</c:v>
                      </c:pt>
                      <c:pt idx="56" formatCode="General">
                        <c:v>-36.093772727272729</c:v>
                      </c:pt>
                      <c:pt idx="57" formatCode="General">
                        <c:v>-36.052192771084336</c:v>
                      </c:pt>
                      <c:pt idx="58" formatCode="General">
                        <c:v>-36.107614457831332</c:v>
                      </c:pt>
                      <c:pt idx="59" formatCode="General">
                        <c:v>-36.178157575757581</c:v>
                      </c:pt>
                      <c:pt idx="60" formatCode="General">
                        <c:v>-36.260581818181819</c:v>
                      </c:pt>
                      <c:pt idx="61" formatCode="General">
                        <c:v>-36.368375757575762</c:v>
                      </c:pt>
                      <c:pt idx="62" formatCode="General">
                        <c:v>-36.482303030303036</c:v>
                      </c:pt>
                      <c:pt idx="63" formatCode="General">
                        <c:v>-36.606545454545454</c:v>
                      </c:pt>
                      <c:pt idx="64" formatCode="General">
                        <c:v>-36.736856278366112</c:v>
                      </c:pt>
                      <c:pt idx="65" formatCode="General">
                        <c:v>-36.871046898638426</c:v>
                      </c:pt>
                      <c:pt idx="66" formatCode="General">
                        <c:v>-37.005237518910739</c:v>
                      </c:pt>
                      <c:pt idx="67" formatCode="General">
                        <c:v>-37.13942813918306</c:v>
                      </c:pt>
                      <c:pt idx="68" formatCode="General">
                        <c:v>-37.273618759455374</c:v>
                      </c:pt>
                      <c:pt idx="69" formatCode="General">
                        <c:v>-37.407809379727688</c:v>
                      </c:pt>
                      <c:pt idx="70" formatCode="General">
                        <c:v>-37.542000000000002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-143.49206060606059</c:v>
                      </c:pt>
                      <c:pt idx="1">
                        <c:v>-138.9310909090909</c:v>
                      </c:pt>
                      <c:pt idx="2" formatCode="General">
                        <c:v>-134.51290909090909</c:v>
                      </c:pt>
                      <c:pt idx="3" formatCode="General">
                        <c:v>-130.23187878787877</c:v>
                      </c:pt>
                      <c:pt idx="4" formatCode="General">
                        <c:v>-125.95890909090909</c:v>
                      </c:pt>
                      <c:pt idx="5" formatCode="General">
                        <c:v>-121.19527272727272</c:v>
                      </c:pt>
                      <c:pt idx="6" formatCode="General">
                        <c:v>-116.98277108433736</c:v>
                      </c:pt>
                      <c:pt idx="7" formatCode="General">
                        <c:v>-113.50084337349398</c:v>
                      </c:pt>
                      <c:pt idx="8" formatCode="General">
                        <c:v>-110.11933333333334</c:v>
                      </c:pt>
                      <c:pt idx="9" formatCode="General">
                        <c:v>-106.78672727272728</c:v>
                      </c:pt>
                      <c:pt idx="10" formatCode="General">
                        <c:v>-103.59278787878789</c:v>
                      </c:pt>
                      <c:pt idx="11" formatCode="General">
                        <c:v>-100.63860816944025</c:v>
                      </c:pt>
                      <c:pt idx="12" formatCode="General">
                        <c:v>-97.954795763993957</c:v>
                      </c:pt>
                      <c:pt idx="13" formatCode="General">
                        <c:v>-95.270983358547653</c:v>
                      </c:pt>
                      <c:pt idx="14" formatCode="General">
                        <c:v>-92.587170953101364</c:v>
                      </c:pt>
                      <c:pt idx="15" formatCode="General">
                        <c:v>-89.90335854765506</c:v>
                      </c:pt>
                      <c:pt idx="16" formatCode="General">
                        <c:v>-87.21954614220877</c:v>
                      </c:pt>
                      <c:pt idx="17" formatCode="General">
                        <c:v>-84.535733736762467</c:v>
                      </c:pt>
                      <c:pt idx="18" formatCode="General">
                        <c:v>-82.314909090909083</c:v>
                      </c:pt>
                      <c:pt idx="19" formatCode="General">
                        <c:v>-80.208909090909088</c:v>
                      </c:pt>
                      <c:pt idx="20" formatCode="General">
                        <c:v>-78.251333333333335</c:v>
                      </c:pt>
                      <c:pt idx="21" formatCode="General">
                        <c:v>-76.354848484848489</c:v>
                      </c:pt>
                      <c:pt idx="22" formatCode="General">
                        <c:v>-74.506363636363631</c:v>
                      </c:pt>
                      <c:pt idx="23" formatCode="General">
                        <c:v>-72.788614457831329</c:v>
                      </c:pt>
                      <c:pt idx="24" formatCode="General">
                        <c:v>-71.108484848484849</c:v>
                      </c:pt>
                      <c:pt idx="25" formatCode="General">
                        <c:v>-69.50242424242424</c:v>
                      </c:pt>
                      <c:pt idx="26" formatCode="General">
                        <c:v>-67.976363636363644</c:v>
                      </c:pt>
                      <c:pt idx="27" formatCode="General">
                        <c:v>-66.503636363636375</c:v>
                      </c:pt>
                      <c:pt idx="28" formatCode="General">
                        <c:v>-65.157575757575756</c:v>
                      </c:pt>
                      <c:pt idx="29" formatCode="General">
                        <c:v>-63.856363636363632</c:v>
                      </c:pt>
                      <c:pt idx="30" formatCode="General">
                        <c:v>-62.644242424242421</c:v>
                      </c:pt>
                      <c:pt idx="31" formatCode="General">
                        <c:v>-61.562133131618758</c:v>
                      </c:pt>
                      <c:pt idx="32" formatCode="General">
                        <c:v>-60.55003025718608</c:v>
                      </c:pt>
                      <c:pt idx="33" formatCode="General">
                        <c:v>-59.537927382753402</c:v>
                      </c:pt>
                      <c:pt idx="34" formatCode="General">
                        <c:v>-58.525824508320724</c:v>
                      </c:pt>
                      <c:pt idx="35" formatCode="General">
                        <c:v>-57.513721633888053</c:v>
                      </c:pt>
                      <c:pt idx="36" formatCode="General">
                        <c:v>-56.501618759455376</c:v>
                      </c:pt>
                      <c:pt idx="37" formatCode="General">
                        <c:v>-55.49774583963692</c:v>
                      </c:pt>
                      <c:pt idx="38" formatCode="General">
                        <c:v>-54.691391830559759</c:v>
                      </c:pt>
                      <c:pt idx="39" formatCode="General">
                        <c:v>-53.885037821482605</c:v>
                      </c:pt>
                      <c:pt idx="40" formatCode="General">
                        <c:v>-53.078683812405451</c:v>
                      </c:pt>
                      <c:pt idx="41" formatCode="General">
                        <c:v>-52.272329803328297</c:v>
                      </c:pt>
                      <c:pt idx="42" formatCode="General">
                        <c:v>-51.465975794251143</c:v>
                      </c:pt>
                      <c:pt idx="43" formatCode="General">
                        <c:v>-50.659621785173982</c:v>
                      </c:pt>
                      <c:pt idx="44" formatCode="General">
                        <c:v>-49.940438729198192</c:v>
                      </c:pt>
                      <c:pt idx="45" formatCode="General">
                        <c:v>-49.336807866868384</c:v>
                      </c:pt>
                      <c:pt idx="46" formatCode="General">
                        <c:v>-48.733177004538582</c:v>
                      </c:pt>
                      <c:pt idx="47" formatCode="General">
                        <c:v>-48.129546142208774</c:v>
                      </c:pt>
                      <c:pt idx="48" formatCode="General">
                        <c:v>-47.525915279878973</c:v>
                      </c:pt>
                      <c:pt idx="49" formatCode="General">
                        <c:v>-46.922284417549164</c:v>
                      </c:pt>
                      <c:pt idx="50" formatCode="General">
                        <c:v>-46.318653555219363</c:v>
                      </c:pt>
                      <c:pt idx="51" formatCode="General">
                        <c:v>-46.0000303030303</c:v>
                      </c:pt>
                      <c:pt idx="52" formatCode="General">
                        <c:v>-45.743969696969693</c:v>
                      </c:pt>
                      <c:pt idx="53" formatCode="General">
                        <c:v>-45.487909090909092</c:v>
                      </c:pt>
                      <c:pt idx="54" formatCode="General">
                        <c:v>-45.231848484848484</c:v>
                      </c:pt>
                      <c:pt idx="55" formatCode="General">
                        <c:v>-44.975787878787877</c:v>
                      </c:pt>
                      <c:pt idx="56" formatCode="General">
                        <c:v>-44.719727272727269</c:v>
                      </c:pt>
                      <c:pt idx="57" formatCode="General">
                        <c:v>-44.517879518072284</c:v>
                      </c:pt>
                      <c:pt idx="58" formatCode="General">
                        <c:v>-44.508240963855421</c:v>
                      </c:pt>
                      <c:pt idx="59" formatCode="General">
                        <c:v>-44.531830303030304</c:v>
                      </c:pt>
                      <c:pt idx="60" formatCode="General">
                        <c:v>-44.581527272727271</c:v>
                      </c:pt>
                      <c:pt idx="61" formatCode="General">
                        <c:v>-44.676448484848486</c:v>
                      </c:pt>
                      <c:pt idx="62" formatCode="General">
                        <c:v>-44.783090909090909</c:v>
                      </c:pt>
                      <c:pt idx="63" formatCode="General">
                        <c:v>-44.910363636363634</c:v>
                      </c:pt>
                      <c:pt idx="64" formatCode="General">
                        <c:v>-45.051730711043874</c:v>
                      </c:pt>
                      <c:pt idx="65" formatCode="General">
                        <c:v>-45.202108925869894</c:v>
                      </c:pt>
                      <c:pt idx="66" formatCode="General">
                        <c:v>-45.352487140695914</c:v>
                      </c:pt>
                      <c:pt idx="67" formatCode="General">
                        <c:v>-45.502865355521941</c:v>
                      </c:pt>
                      <c:pt idx="68" formatCode="General">
                        <c:v>-45.653243570347961</c:v>
                      </c:pt>
                      <c:pt idx="69" formatCode="General">
                        <c:v>-45.803621785173981</c:v>
                      </c:pt>
                      <c:pt idx="70" formatCode="General">
                        <c:v>-45.954000000000001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-18.888727272727273</c:v>
                      </c:pt>
                      <c:pt idx="1">
                        <c:v>-18.91151515151515</c:v>
                      </c:pt>
                      <c:pt idx="2" formatCode="General">
                        <c:v>-18.941818181818181</c:v>
                      </c:pt>
                      <c:pt idx="3" formatCode="General">
                        <c:v>-18.976545454545455</c:v>
                      </c:pt>
                      <c:pt idx="4" formatCode="General">
                        <c:v>-19.008545454545455</c:v>
                      </c:pt>
                      <c:pt idx="5" formatCode="General">
                        <c:v>-18.990363636363636</c:v>
                      </c:pt>
                      <c:pt idx="6" formatCode="General">
                        <c:v>-18.995542168674699</c:v>
                      </c:pt>
                      <c:pt idx="7" formatCode="General">
                        <c:v>-19.031686746987951</c:v>
                      </c:pt>
                      <c:pt idx="8" formatCode="General">
                        <c:v>-19.063333333333333</c:v>
                      </c:pt>
                      <c:pt idx="9" formatCode="General">
                        <c:v>-19.093636363636364</c:v>
                      </c:pt>
                      <c:pt idx="10" formatCode="General">
                        <c:v>-19.123939393939395</c:v>
                      </c:pt>
                      <c:pt idx="11" formatCode="General">
                        <c:v>-19.142844175491678</c:v>
                      </c:pt>
                      <c:pt idx="12" formatCode="General">
                        <c:v>-19.148895612708017</c:v>
                      </c:pt>
                      <c:pt idx="13" formatCode="General">
                        <c:v>-19.154947049924356</c:v>
                      </c:pt>
                      <c:pt idx="14" formatCode="General">
                        <c:v>-19.160998487140695</c:v>
                      </c:pt>
                      <c:pt idx="15" formatCode="General">
                        <c:v>-19.167049924357034</c:v>
                      </c:pt>
                      <c:pt idx="16" formatCode="General">
                        <c:v>-19.173101361573373</c:v>
                      </c:pt>
                      <c:pt idx="17" formatCode="General">
                        <c:v>-19.179152798789712</c:v>
                      </c:pt>
                      <c:pt idx="18" formatCode="General">
                        <c:v>-19.153939393939392</c:v>
                      </c:pt>
                      <c:pt idx="19" formatCode="General">
                        <c:v>-19.123636363636361</c:v>
                      </c:pt>
                      <c:pt idx="20" formatCode="General">
                        <c:v>-19.09333333333333</c:v>
                      </c:pt>
                      <c:pt idx="21" formatCode="General">
                        <c:v>-19.06642424242424</c:v>
                      </c:pt>
                      <c:pt idx="22" formatCode="General">
                        <c:v>-19.042181818181817</c:v>
                      </c:pt>
                      <c:pt idx="23" formatCode="General">
                        <c:v>-19.034518072289156</c:v>
                      </c:pt>
                      <c:pt idx="24" formatCode="General">
                        <c:v>-19.031515151515151</c:v>
                      </c:pt>
                      <c:pt idx="25" formatCode="General">
                        <c:v>-19.037575757575759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-19.07151515151515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-60.883878787878785</c:v>
                      </c:pt>
                      <c:pt idx="1">
                        <c:v>-58.790060606060599</c:v>
                      </c:pt>
                      <c:pt idx="2" formatCode="General">
                        <c:v>-56.711272727272721</c:v>
                      </c:pt>
                      <c:pt idx="3" formatCode="General">
                        <c:v>-54.641333333333328</c:v>
                      </c:pt>
                      <c:pt idx="4" formatCode="General">
                        <c:v>-52.535393939393941</c:v>
                      </c:pt>
                      <c:pt idx="5" formatCode="General">
                        <c:v>-49.977818181818179</c:v>
                      </c:pt>
                      <c:pt idx="6" formatCode="General">
                        <c:v>-47.784337349397589</c:v>
                      </c:pt>
                      <c:pt idx="7" formatCode="General">
                        <c:v>-46.073493975903617</c:v>
                      </c:pt>
                      <c:pt idx="8" formatCode="General">
                        <c:v>-44.378</c:v>
                      </c:pt>
                      <c:pt idx="9" formatCode="General">
                        <c:v>-42.69290909090909</c:v>
                      </c:pt>
                      <c:pt idx="10" formatCode="General">
                        <c:v>-41.050484848484849</c:v>
                      </c:pt>
                      <c:pt idx="11" formatCode="General">
                        <c:v>-39.518729198184573</c:v>
                      </c:pt>
                      <c:pt idx="12" formatCode="General">
                        <c:v>-38.111770045385782</c:v>
                      </c:pt>
                      <c:pt idx="13" formatCode="General">
                        <c:v>-36.704810892586991</c:v>
                      </c:pt>
                      <c:pt idx="14" formatCode="General">
                        <c:v>-35.2978517397882</c:v>
                      </c:pt>
                      <c:pt idx="15" formatCode="General">
                        <c:v>-33.890892586989409</c:v>
                      </c:pt>
                      <c:pt idx="16" formatCode="General">
                        <c:v>-32.483933434190618</c:v>
                      </c:pt>
                      <c:pt idx="17" formatCode="General">
                        <c:v>-31.076974281391827</c:v>
                      </c:pt>
                      <c:pt idx="18" formatCode="General">
                        <c:v>-29.905333333333331</c:v>
                      </c:pt>
                      <c:pt idx="19" formatCode="General">
                        <c:v>-28.792363636363635</c:v>
                      </c:pt>
                      <c:pt idx="20" formatCode="General">
                        <c:v>-27.756</c:v>
                      </c:pt>
                      <c:pt idx="21" formatCode="General">
                        <c:v>-26.750181818181815</c:v>
                      </c:pt>
                      <c:pt idx="22" formatCode="General">
                        <c:v>-25.768363636363635</c:v>
                      </c:pt>
                      <c:pt idx="23" formatCode="General">
                        <c:v>-24.846746987951807</c:v>
                      </c:pt>
                      <c:pt idx="24" formatCode="General">
                        <c:v>-23.941818181818181</c:v>
                      </c:pt>
                      <c:pt idx="25" formatCode="General">
                        <c:v>-23.069090909090907</c:v>
                      </c:pt>
                      <c:pt idx="26" formatCode="General">
                        <c:v>-22.236363636363635</c:v>
                      </c:pt>
                      <c:pt idx="27" formatCode="General">
                        <c:v>-21.43030303030303</c:v>
                      </c:pt>
                      <c:pt idx="28" formatCode="General">
                        <c:v>-20.687575757575758</c:v>
                      </c:pt>
                      <c:pt idx="29" formatCode="General">
                        <c:v>-19.966363636363639</c:v>
                      </c:pt>
                      <c:pt idx="30" formatCode="General">
                        <c:v>-19.287575757575759</c:v>
                      </c:pt>
                      <c:pt idx="31" formatCode="General">
                        <c:v>-18.675340393343419</c:v>
                      </c:pt>
                      <c:pt idx="32" formatCode="General">
                        <c:v>-18.098940998487141</c:v>
                      </c:pt>
                      <c:pt idx="33" formatCode="General">
                        <c:v>-17.522541603630863</c:v>
                      </c:pt>
                      <c:pt idx="34" formatCode="General">
                        <c:v>-16.946142208774585</c:v>
                      </c:pt>
                      <c:pt idx="35" formatCode="General">
                        <c:v>-16.369742813918307</c:v>
                      </c:pt>
                      <c:pt idx="36" formatCode="General">
                        <c:v>-15.79334341906203</c:v>
                      </c:pt>
                      <c:pt idx="37" formatCode="General">
                        <c:v>-15.221180030257187</c:v>
                      </c:pt>
                      <c:pt idx="38" formatCode="General">
                        <c:v>-14.750680786686839</c:v>
                      </c:pt>
                      <c:pt idx="39" formatCode="General">
                        <c:v>-14.280181543116491</c:v>
                      </c:pt>
                      <c:pt idx="40" formatCode="General">
                        <c:v>-13.809682299546145</c:v>
                      </c:pt>
                      <c:pt idx="41" formatCode="General">
                        <c:v>-13.339183055975797</c:v>
                      </c:pt>
                      <c:pt idx="42" formatCode="General">
                        <c:v>-12.868683812405449</c:v>
                      </c:pt>
                      <c:pt idx="43" formatCode="General">
                        <c:v>-12.398184568835102</c:v>
                      </c:pt>
                      <c:pt idx="44" formatCode="General">
                        <c:v>-11.972897125567325</c:v>
                      </c:pt>
                      <c:pt idx="45" formatCode="General">
                        <c:v>-11.607541603630864</c:v>
                      </c:pt>
                      <c:pt idx="46" formatCode="General">
                        <c:v>-11.242186081694403</c:v>
                      </c:pt>
                      <c:pt idx="47" formatCode="General">
                        <c:v>-10.876830559757943</c:v>
                      </c:pt>
                      <c:pt idx="48" formatCode="General">
                        <c:v>-10.511475037821482</c:v>
                      </c:pt>
                      <c:pt idx="49" formatCode="General">
                        <c:v>-10.146119515885022</c:v>
                      </c:pt>
                      <c:pt idx="50" formatCode="General">
                        <c:v>-9.7807639939485611</c:v>
                      </c:pt>
                      <c:pt idx="51" formatCode="General">
                        <c:v>-9.5615606060606044</c:v>
                      </c:pt>
                      <c:pt idx="52" formatCode="General">
                        <c:v>-9.3744393939393937</c:v>
                      </c:pt>
                      <c:pt idx="53" formatCode="General">
                        <c:v>-9.1873181818181813</c:v>
                      </c:pt>
                      <c:pt idx="54" formatCode="General">
                        <c:v>-9.0001969696969688</c:v>
                      </c:pt>
                      <c:pt idx="55" formatCode="General">
                        <c:v>-8.8130757575757563</c:v>
                      </c:pt>
                      <c:pt idx="56" formatCode="General">
                        <c:v>-8.6259545454545457</c:v>
                      </c:pt>
                      <c:pt idx="57" formatCode="General">
                        <c:v>-8.4656867469879522</c:v>
                      </c:pt>
                      <c:pt idx="58" formatCode="General">
                        <c:v>-8.4006265060240963</c:v>
                      </c:pt>
                      <c:pt idx="59" formatCode="General">
                        <c:v>-8.3536727272727269</c:v>
                      </c:pt>
                      <c:pt idx="60" formatCode="General">
                        <c:v>-8.3209454545454538</c:v>
                      </c:pt>
                      <c:pt idx="61" formatCode="General">
                        <c:v>-8.3080727272727266</c:v>
                      </c:pt>
                      <c:pt idx="62" formatCode="General">
                        <c:v>-8.3007878787878795</c:v>
                      </c:pt>
                      <c:pt idx="63" formatCode="General">
                        <c:v>-8.3038181818181815</c:v>
                      </c:pt>
                      <c:pt idx="64" formatCode="General">
                        <c:v>-8.3148744326777599</c:v>
                      </c:pt>
                      <c:pt idx="65" formatCode="General">
                        <c:v>-8.3310620272314679</c:v>
                      </c:pt>
                      <c:pt idx="66" formatCode="General">
                        <c:v>-8.3472496217851742</c:v>
                      </c:pt>
                      <c:pt idx="67" formatCode="General">
                        <c:v>-8.3634372163388804</c:v>
                      </c:pt>
                      <c:pt idx="68" formatCode="General">
                        <c:v>-8.3796248108925866</c:v>
                      </c:pt>
                      <c:pt idx="69" formatCode="General">
                        <c:v>-8.3958124054462946</c:v>
                      </c:pt>
                      <c:pt idx="70" formatCode="General">
                        <c:v>-8.4120000000000008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-16.788181818181819</c:v>
                      </c:pt>
                      <c:pt idx="1">
                        <c:v>-16.205878787878788</c:v>
                      </c:pt>
                      <c:pt idx="2" formatCode="General">
                        <c:v>-15.563454545454546</c:v>
                      </c:pt>
                      <c:pt idx="3" formatCode="General">
                        <c:v>-14.872363636363636</c:v>
                      </c:pt>
                      <c:pt idx="4" formatCode="General">
                        <c:v>-14.143393939393938</c:v>
                      </c:pt>
                      <c:pt idx="5" formatCode="General">
                        <c:v>-13.185818181818181</c:v>
                      </c:pt>
                      <c:pt idx="6" formatCode="General">
                        <c:v>-12.386144578313253</c:v>
                      </c:pt>
                      <c:pt idx="7" formatCode="General">
                        <c:v>-11.795783132530122</c:v>
                      </c:pt>
                      <c:pt idx="8" formatCode="General">
                        <c:v>-11.193333333333333</c:v>
                      </c:pt>
                      <c:pt idx="9" formatCode="General">
                        <c:v>-10.588509090909092</c:v>
                      </c:pt>
                      <c:pt idx="10" formatCode="General">
                        <c:v>-9.9927515151515163</c:v>
                      </c:pt>
                      <c:pt idx="11" formatCode="General">
                        <c:v>-9.4448441754916796</c:v>
                      </c:pt>
                      <c:pt idx="12" formatCode="General">
                        <c:v>-8.9508956127080186</c:v>
                      </c:pt>
                      <c:pt idx="13" formatCode="General">
                        <c:v>-8.4569470499243575</c:v>
                      </c:pt>
                      <c:pt idx="14" formatCode="General">
                        <c:v>-7.9629984871406956</c:v>
                      </c:pt>
                      <c:pt idx="15" formatCode="General">
                        <c:v>-7.4690499243570336</c:v>
                      </c:pt>
                      <c:pt idx="16" formatCode="General">
                        <c:v>-6.9751013615733726</c:v>
                      </c:pt>
                      <c:pt idx="17" formatCode="General">
                        <c:v>-6.4811527987897115</c:v>
                      </c:pt>
                      <c:pt idx="18" formatCode="General">
                        <c:v>-6.1581696969696962</c:v>
                      </c:pt>
                      <c:pt idx="19" formatCode="General">
                        <c:v>-5.8866909090909081</c:v>
                      </c:pt>
                      <c:pt idx="20" formatCode="General">
                        <c:v>-5.7042666666666664</c:v>
                      </c:pt>
                      <c:pt idx="21" formatCode="General">
                        <c:v>-5.5717333333333325</c:v>
                      </c:pt>
                      <c:pt idx="22" formatCode="General">
                        <c:v>-5.4783999999999997</c:v>
                      </c:pt>
                      <c:pt idx="23" formatCode="General">
                        <c:v>-5.4387530120481928</c:v>
                      </c:pt>
                      <c:pt idx="24" formatCode="General">
                        <c:v>-5.4131515151515153</c:v>
                      </c:pt>
                      <c:pt idx="25" formatCode="General">
                        <c:v>-5.4137575757575753</c:v>
                      </c:pt>
                      <c:pt idx="26" formatCode="General">
                        <c:v>-5.425272727272727</c:v>
                      </c:pt>
                      <c:pt idx="27" formatCode="General">
                        <c:v>-5.4440606060606065</c:v>
                      </c:pt>
                      <c:pt idx="28" formatCode="General">
                        <c:v>-5.4697575757575763</c:v>
                      </c:pt>
                      <c:pt idx="29" formatCode="General">
                        <c:v>-5.4961818181818183</c:v>
                      </c:pt>
                      <c:pt idx="30" formatCode="General">
                        <c:v>-5.5234545454545456</c:v>
                      </c:pt>
                      <c:pt idx="31" formatCode="General">
                        <c:v>-5.5499137670196674</c:v>
                      </c:pt>
                      <c:pt idx="32" formatCode="General">
                        <c:v>-5.5759349470499249</c:v>
                      </c:pt>
                      <c:pt idx="33" formatCode="General">
                        <c:v>-5.6019561270801814</c:v>
                      </c:pt>
                      <c:pt idx="34" formatCode="General">
                        <c:v>-5.6279773071104389</c:v>
                      </c:pt>
                      <c:pt idx="35" formatCode="General">
                        <c:v>-5.6539984871406963</c:v>
                      </c:pt>
                      <c:pt idx="36" formatCode="General">
                        <c:v>-5.6800196671709529</c:v>
                      </c:pt>
                      <c:pt idx="37" formatCode="General">
                        <c:v>-5.7059863842662635</c:v>
                      </c:pt>
                      <c:pt idx="38" formatCode="General">
                        <c:v>-5.7306459909228442</c:v>
                      </c:pt>
                      <c:pt idx="39" formatCode="General">
                        <c:v>-5.7553055975794249</c:v>
                      </c:pt>
                      <c:pt idx="40" formatCode="General">
                        <c:v>-5.7799652042360066</c:v>
                      </c:pt>
                      <c:pt idx="41" formatCode="General">
                        <c:v>-5.8046248108925873</c:v>
                      </c:pt>
                      <c:pt idx="42" formatCode="General">
                        <c:v>-5.829284417549168</c:v>
                      </c:pt>
                      <c:pt idx="43" formatCode="General">
                        <c:v>-5.8539440242057488</c:v>
                      </c:pt>
                      <c:pt idx="44" formatCode="General">
                        <c:v>-5.8799046898638432</c:v>
                      </c:pt>
                      <c:pt idx="45" formatCode="General">
                        <c:v>-5.9075900151285934</c:v>
                      </c:pt>
                      <c:pt idx="46" formatCode="General">
                        <c:v>-5.9352753403933436</c:v>
                      </c:pt>
                      <c:pt idx="47" formatCode="General">
                        <c:v>-5.9629606656580938</c:v>
                      </c:pt>
                      <c:pt idx="48" formatCode="General">
                        <c:v>-5.990645990922844</c:v>
                      </c:pt>
                      <c:pt idx="49" formatCode="General">
                        <c:v>-6.0183313161875951</c:v>
                      </c:pt>
                      <c:pt idx="50" formatCode="General">
                        <c:v>-6.0460166414523453</c:v>
                      </c:pt>
                      <c:pt idx="51" formatCode="General">
                        <c:v>-6.0803212121212127</c:v>
                      </c:pt>
                      <c:pt idx="52" formatCode="General">
                        <c:v>-6.1160787878787879</c:v>
                      </c:pt>
                      <c:pt idx="53" formatCode="General">
                        <c:v>-6.151836363636364</c:v>
                      </c:pt>
                      <c:pt idx="54" formatCode="General">
                        <c:v>-6.1875939393939392</c:v>
                      </c:pt>
                      <c:pt idx="55" formatCode="General">
                        <c:v>-6.2233515151515153</c:v>
                      </c:pt>
                      <c:pt idx="56" formatCode="General">
                        <c:v>-6.2591090909090914</c:v>
                      </c:pt>
                      <c:pt idx="57" formatCode="General">
                        <c:v>-6.294421686746988</c:v>
                      </c:pt>
                      <c:pt idx="58" formatCode="General">
                        <c:v>-6.3281566265060238</c:v>
                      </c:pt>
                      <c:pt idx="59" formatCode="General">
                        <c:v>-6.3603090909090909</c:v>
                      </c:pt>
                      <c:pt idx="60" formatCode="General">
                        <c:v>-6.3912181818181821</c:v>
                      </c:pt>
                      <c:pt idx="61" formatCode="General">
                        <c:v>-6.4193696969696976</c:v>
                      </c:pt>
                      <c:pt idx="62" formatCode="General">
                        <c:v>-6.4466181818181818</c:v>
                      </c:pt>
                      <c:pt idx="63" formatCode="General">
                        <c:v>-6.4720727272727272</c:v>
                      </c:pt>
                      <c:pt idx="64" formatCode="General">
                        <c:v>-6.4960272314674734</c:v>
                      </c:pt>
                      <c:pt idx="65" formatCode="General">
                        <c:v>-6.5190226928895614</c:v>
                      </c:pt>
                      <c:pt idx="66" formatCode="General">
                        <c:v>-6.5420181543116493</c:v>
                      </c:pt>
                      <c:pt idx="67" formatCode="General">
                        <c:v>-6.5650136157337373</c:v>
                      </c:pt>
                      <c:pt idx="68" formatCode="General">
                        <c:v>-6.5880090771558244</c:v>
                      </c:pt>
                      <c:pt idx="69" formatCode="General">
                        <c:v>-6.6110045385779124</c:v>
                      </c:pt>
                      <c:pt idx="70" formatCode="General">
                        <c:v>-6.6340000000000003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-21.72430303030303</c:v>
                      </c:pt>
                      <c:pt idx="1">
                        <c:v>-21.350969696969695</c:v>
                      </c:pt>
                      <c:pt idx="2" formatCode="General">
                        <c:v>-21.090363636363637</c:v>
                      </c:pt>
                      <c:pt idx="3" formatCode="General">
                        <c:v>-20.949212121212121</c:v>
                      </c:pt>
                      <c:pt idx="4" formatCode="General">
                        <c:v>-20.888121212121213</c:v>
                      </c:pt>
                      <c:pt idx="5" formatCode="General">
                        <c:v>-21.239636363636365</c:v>
                      </c:pt>
                      <c:pt idx="6" formatCode="General">
                        <c:v>-21.41409638554217</c:v>
                      </c:pt>
                      <c:pt idx="7" formatCode="General">
                        <c:v>-21.353855421686745</c:v>
                      </c:pt>
                      <c:pt idx="8" formatCode="General">
                        <c:v>-21.363333333333333</c:v>
                      </c:pt>
                      <c:pt idx="9" formatCode="General">
                        <c:v>-21.400909090909092</c:v>
                      </c:pt>
                      <c:pt idx="10" formatCode="General">
                        <c:v>-21.491818181818182</c:v>
                      </c:pt>
                      <c:pt idx="11" formatCode="General">
                        <c:v>-21.601149773071104</c:v>
                      </c:pt>
                      <c:pt idx="12" formatCode="General">
                        <c:v>-21.731255673222389</c:v>
                      </c:pt>
                      <c:pt idx="13" formatCode="General">
                        <c:v>-21.861361573373674</c:v>
                      </c:pt>
                      <c:pt idx="14" formatCode="General">
                        <c:v>-21.99146747352496</c:v>
                      </c:pt>
                      <c:pt idx="15" formatCode="General">
                        <c:v>-22.121573373676249</c:v>
                      </c:pt>
                      <c:pt idx="16" formatCode="General">
                        <c:v>-22.251679273827534</c:v>
                      </c:pt>
                      <c:pt idx="17" formatCode="General">
                        <c:v>-22.38178517397882</c:v>
                      </c:pt>
                      <c:pt idx="18" formatCode="General">
                        <c:v>-22.504242424242424</c:v>
                      </c:pt>
                      <c:pt idx="19" formatCode="General">
                        <c:v>-22.624181818181821</c:v>
                      </c:pt>
                      <c:pt idx="20" formatCode="General">
                        <c:v>-22.739333333333335</c:v>
                      </c:pt>
                      <c:pt idx="21" formatCode="General">
                        <c:v>-22.854484848484848</c:v>
                      </c:pt>
                      <c:pt idx="22" formatCode="General">
                        <c:v>-22.969636363636365</c:v>
                      </c:pt>
                      <c:pt idx="23" formatCode="General">
                        <c:v>-23.095120481927712</c:v>
                      </c:pt>
                      <c:pt idx="24" formatCode="General">
                        <c:v>-23.224848484848486</c:v>
                      </c:pt>
                      <c:pt idx="25" formatCode="General">
                        <c:v>-23.364242424242427</c:v>
                      </c:pt>
                      <c:pt idx="26" formatCode="General">
                        <c:v>-23.503636363636364</c:v>
                      </c:pt>
                      <c:pt idx="27" formatCode="General">
                        <c:v>-23.643030303030301</c:v>
                      </c:pt>
                      <c:pt idx="28" formatCode="General">
                        <c:v>-23.782424242424241</c:v>
                      </c:pt>
                      <c:pt idx="29" formatCode="General">
                        <c:v>-23.923636363636362</c:v>
                      </c:pt>
                      <c:pt idx="30" formatCode="General">
                        <c:v>-24.06909090909091</c:v>
                      </c:pt>
                      <c:pt idx="31" formatCode="General">
                        <c:v>-24.211452344931921</c:v>
                      </c:pt>
                      <c:pt idx="32" formatCode="General">
                        <c:v>-24.352148260211802</c:v>
                      </c:pt>
                      <c:pt idx="33" formatCode="General">
                        <c:v>-24.49284417549168</c:v>
                      </c:pt>
                      <c:pt idx="34" formatCode="General">
                        <c:v>-24.633540090771557</c:v>
                      </c:pt>
                      <c:pt idx="35" formatCode="General">
                        <c:v>-24.774236006051439</c:v>
                      </c:pt>
                      <c:pt idx="36" formatCode="General">
                        <c:v>-24.914931921331316</c:v>
                      </c:pt>
                      <c:pt idx="37" formatCode="General">
                        <c:v>-25.055385779122542</c:v>
                      </c:pt>
                      <c:pt idx="38" formatCode="General">
                        <c:v>-25.190030257186081</c:v>
                      </c:pt>
                      <c:pt idx="39" formatCode="General">
                        <c:v>-25.324674735249623</c:v>
                      </c:pt>
                      <c:pt idx="40" formatCode="General">
                        <c:v>-25.459319213313162</c:v>
                      </c:pt>
                      <c:pt idx="41" formatCode="General">
                        <c:v>-25.593963691376704</c:v>
                      </c:pt>
                      <c:pt idx="42" formatCode="General">
                        <c:v>-25.728608169440243</c:v>
                      </c:pt>
                      <c:pt idx="43" formatCode="General">
                        <c:v>-25.863252647503781</c:v>
                      </c:pt>
                      <c:pt idx="44" formatCode="General">
                        <c:v>-25.994644478063542</c:v>
                      </c:pt>
                      <c:pt idx="45" formatCode="General">
                        <c:v>-26.121724659606656</c:v>
                      </c:pt>
                      <c:pt idx="46" formatCode="General">
                        <c:v>-26.248804841149774</c:v>
                      </c:pt>
                      <c:pt idx="47" formatCode="General">
                        <c:v>-26.375885022692891</c:v>
                      </c:pt>
                      <c:pt idx="48" formatCode="General">
                        <c:v>-26.502965204236009</c:v>
                      </c:pt>
                      <c:pt idx="49" formatCode="General">
                        <c:v>-26.630045385779123</c:v>
                      </c:pt>
                      <c:pt idx="50" formatCode="General">
                        <c:v>-26.757125567322241</c:v>
                      </c:pt>
                      <c:pt idx="51" formatCode="General">
                        <c:v>-26.876909090909091</c:v>
                      </c:pt>
                      <c:pt idx="52" formatCode="General">
                        <c:v>-26.995090909090909</c:v>
                      </c:pt>
                      <c:pt idx="53" formatCode="General">
                        <c:v>-27.113272727272729</c:v>
                      </c:pt>
                      <c:pt idx="54" formatCode="General">
                        <c:v>-27.231454545454547</c:v>
                      </c:pt>
                      <c:pt idx="55" formatCode="General">
                        <c:v>-27.349636363636364</c:v>
                      </c:pt>
                      <c:pt idx="56" formatCode="General">
                        <c:v>-27.467818181818181</c:v>
                      </c:pt>
                      <c:pt idx="57" formatCode="General">
                        <c:v>-27.586506024096384</c:v>
                      </c:pt>
                      <c:pt idx="58" formatCode="General">
                        <c:v>-27.706987951807228</c:v>
                      </c:pt>
                      <c:pt idx="59" formatCode="General">
                        <c:v>-27.82448484848485</c:v>
                      </c:pt>
                      <c:pt idx="60" formatCode="General">
                        <c:v>-27.939636363636364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-28.421981845688354</c:v>
                      </c:pt>
                      <c:pt idx="65" formatCode="General">
                        <c:v>-28.539984871406961</c:v>
                      </c:pt>
                      <c:pt idx="66" formatCode="General">
                        <c:v>-28.657987897125569</c:v>
                      </c:pt>
                      <c:pt idx="67" formatCode="General">
                        <c:v>-28.775990922844176</c:v>
                      </c:pt>
                      <c:pt idx="68" formatCode="General">
                        <c:v>-28.893993948562784</c:v>
                      </c:pt>
                      <c:pt idx="69" formatCode="General">
                        <c:v>-29.011996974281391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H5" sqref="H5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65" t="s">
        <v>37</v>
      </c>
      <c r="E1" s="166"/>
      <c r="F1" s="166"/>
      <c r="G1" s="166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/>
      <c r="F3" s="37"/>
      <c r="G3" s="37"/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17" zoomScaleNormal="100" zoomScaleSheetLayoutView="25" workbookViewId="0">
      <selection activeCell="CG19" sqref="CG19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72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51">
        <v>554</v>
      </c>
      <c r="U3" s="54">
        <v>570.5</v>
      </c>
      <c r="V3" s="3">
        <v>587</v>
      </c>
      <c r="W3" s="1">
        <v>603.5</v>
      </c>
      <c r="X3" s="52">
        <v>669.6</v>
      </c>
      <c r="Y3" s="3">
        <v>735.7</v>
      </c>
      <c r="Z3" s="3">
        <v>801.8</v>
      </c>
      <c r="AA3" s="3">
        <v>867.8</v>
      </c>
      <c r="AB3" s="4">
        <v>884.4</v>
      </c>
      <c r="AC3" s="4">
        <v>900.9</v>
      </c>
      <c r="AD3" s="4">
        <v>917.4</v>
      </c>
      <c r="AE3" s="4">
        <v>933.9</v>
      </c>
      <c r="AF3" s="4">
        <v>1000</v>
      </c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89</v>
      </c>
      <c r="F4" s="85">
        <v>4.1823000000000003E-9</v>
      </c>
      <c r="G4" s="85">
        <v>3.5658999999999999E-9</v>
      </c>
      <c r="H4" s="85">
        <v>1.105E-9</v>
      </c>
      <c r="I4" s="85">
        <v>9.1435000000000005E-11</v>
      </c>
      <c r="J4" s="85">
        <v>3.1193E-14</v>
      </c>
      <c r="K4" s="85">
        <v>5.4287000000000001E-11</v>
      </c>
      <c r="L4" s="85">
        <v>4.4297000000000002E-14</v>
      </c>
      <c r="M4" s="85">
        <v>5.4128000000000001E-20</v>
      </c>
      <c r="N4" s="85">
        <v>4.0770000000000003E-26</v>
      </c>
      <c r="O4" s="85">
        <v>0</v>
      </c>
      <c r="P4" s="85">
        <v>0</v>
      </c>
      <c r="Q4" s="85">
        <v>0</v>
      </c>
      <c r="R4" s="85">
        <v>0</v>
      </c>
      <c r="S4" s="85">
        <v>0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0</v>
      </c>
      <c r="D5" s="41">
        <f t="shared" si="0"/>
        <v>0</v>
      </c>
      <c r="E5" s="45" t="s">
        <v>49</v>
      </c>
      <c r="F5" s="85">
        <v>0</v>
      </c>
      <c r="G5" s="85">
        <v>9.4120000000000004E-31</v>
      </c>
      <c r="H5" s="85">
        <v>3.2174000000000001E-19</v>
      </c>
      <c r="I5" s="85">
        <v>3.6182000000000001E-12</v>
      </c>
      <c r="J5" s="85">
        <v>7.9805000000000005E-10</v>
      </c>
      <c r="K5" s="85">
        <v>6.2844999999999997E-12</v>
      </c>
      <c r="L5" s="85">
        <v>7.0559000000000004E-10</v>
      </c>
      <c r="M5" s="85">
        <v>1.179E-9</v>
      </c>
      <c r="N5" s="85">
        <v>2.4076999999999999E-9</v>
      </c>
      <c r="O5" s="85">
        <v>3.8363999999999997E-9</v>
      </c>
      <c r="P5" s="85">
        <v>4.3593999999999996E-9</v>
      </c>
      <c r="Q5" s="85">
        <v>7.6769999999999999E-9</v>
      </c>
      <c r="R5" s="85">
        <v>6.4545E-9</v>
      </c>
      <c r="S5" s="85">
        <v>8.5846000000000003E-9</v>
      </c>
      <c r="T5" s="85">
        <v>8.3344000000000005E-9</v>
      </c>
      <c r="U5" s="85">
        <v>1.2420999999999999E-8</v>
      </c>
      <c r="V5" s="85">
        <v>1.6213999999999999E-8</v>
      </c>
      <c r="W5" s="85">
        <v>1.0381E-8</v>
      </c>
      <c r="X5" s="85">
        <v>1.5279000000000001E-8</v>
      </c>
      <c r="Y5" s="85">
        <v>1.6630999999999999E-8</v>
      </c>
      <c r="Z5" s="85">
        <v>1.8374E-8</v>
      </c>
      <c r="AA5" s="85">
        <v>2.1967000000000001E-8</v>
      </c>
      <c r="AB5" s="85">
        <v>1.8927000000000001E-8</v>
      </c>
      <c r="AC5" s="85">
        <v>1.9089999999999999E-9</v>
      </c>
      <c r="AD5" s="85">
        <v>1.0988E-10</v>
      </c>
      <c r="AE5" s="85">
        <v>1.0156E-11</v>
      </c>
      <c r="AF5" s="85">
        <v>1.9516E-16</v>
      </c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1</v>
      </c>
      <c r="C6" s="41">
        <f t="shared" si="0"/>
        <v>1</v>
      </c>
      <c r="D6" s="41">
        <f t="shared" si="0"/>
        <v>0</v>
      </c>
      <c r="E6" s="45" t="s">
        <v>78</v>
      </c>
      <c r="F6" s="85">
        <v>5.6890999999999997E-2</v>
      </c>
      <c r="G6" s="85">
        <v>6.0013999999999998E-2</v>
      </c>
      <c r="H6" s="85">
        <v>6.7182000000000006E-2</v>
      </c>
      <c r="I6" s="85">
        <v>7.8593999999999997E-2</v>
      </c>
      <c r="J6" s="85">
        <v>9.1024999999999995E-2</v>
      </c>
      <c r="K6" s="85">
        <v>7.9388E-2</v>
      </c>
      <c r="L6" s="85">
        <v>9.0358999999999995E-2</v>
      </c>
      <c r="M6" s="85">
        <v>9.8905000000000007E-2</v>
      </c>
      <c r="N6" s="85">
        <v>0.10381</v>
      </c>
      <c r="O6" s="85">
        <v>8.1042000000000003E-2</v>
      </c>
      <c r="P6" s="85">
        <v>5.9419E-2</v>
      </c>
      <c r="Q6" s="85">
        <v>3.7888999999999999E-2</v>
      </c>
      <c r="R6" s="85">
        <v>2.1876E-2</v>
      </c>
      <c r="S6" s="85">
        <v>1.1953999999999999E-2</v>
      </c>
      <c r="T6" s="85">
        <v>6.3936000000000002E-3</v>
      </c>
      <c r="U6" s="85">
        <v>3.4253E-3</v>
      </c>
      <c r="V6" s="85">
        <v>1.8648E-3</v>
      </c>
      <c r="W6" s="85">
        <v>1.0388999999999999E-3</v>
      </c>
      <c r="X6" s="85">
        <v>1.2572000000000001E-4</v>
      </c>
      <c r="Y6" s="85">
        <v>2.0253000000000001E-5</v>
      </c>
      <c r="Z6" s="85">
        <v>4.0493000000000003E-6</v>
      </c>
      <c r="AA6" s="85">
        <v>9.3162000000000003E-7</v>
      </c>
      <c r="AB6" s="85">
        <v>6.5809000000000004E-7</v>
      </c>
      <c r="AC6" s="85">
        <v>4.6945000000000001E-7</v>
      </c>
      <c r="AD6" s="85">
        <v>3.3807000000000001E-7</v>
      </c>
      <c r="AE6" s="85">
        <v>2.4555999999999998E-7</v>
      </c>
      <c r="AF6" s="85">
        <v>7.3405000000000001E-8</v>
      </c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0</v>
      </c>
      <c r="D7" s="41">
        <f t="shared" si="0"/>
        <v>2</v>
      </c>
      <c r="E7" s="45" t="s">
        <v>90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0</v>
      </c>
      <c r="M7" s="85">
        <v>0</v>
      </c>
      <c r="N7" s="85">
        <v>0</v>
      </c>
      <c r="O7" s="85">
        <v>9.5786000000000003E-32</v>
      </c>
      <c r="P7" s="85">
        <v>7.6323999999999999E-30</v>
      </c>
      <c r="Q7" s="85">
        <v>4.2617000000000002E-28</v>
      </c>
      <c r="R7" s="85">
        <v>1.8622999999999999E-26</v>
      </c>
      <c r="S7" s="85">
        <v>6.6245000000000001E-25</v>
      </c>
      <c r="T7" s="85">
        <v>1.8928999999999999E-23</v>
      </c>
      <c r="U7" s="85">
        <v>4.2502999999999997E-22</v>
      </c>
      <c r="V7" s="85">
        <v>7.4691000000000006E-21</v>
      </c>
      <c r="W7" s="85">
        <v>1.0479E-19</v>
      </c>
      <c r="X7" s="85">
        <v>8.1084999999999995E-16</v>
      </c>
      <c r="Y7" s="85">
        <v>1.1342999999999999E-12</v>
      </c>
      <c r="Z7" s="85">
        <v>3.2051000000000001E-10</v>
      </c>
      <c r="AA7" s="85">
        <v>7.4021000000000003E-9</v>
      </c>
      <c r="AB7" s="85">
        <v>1.0564E-8</v>
      </c>
      <c r="AC7" s="85">
        <v>1.3380999999999999E-8</v>
      </c>
      <c r="AD7" s="85">
        <v>1.5594999999999998E-8</v>
      </c>
      <c r="AE7" s="85">
        <v>1.7211000000000001E-8</v>
      </c>
      <c r="AF7" s="85">
        <v>1.9883E-8</v>
      </c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1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 t="s">
        <v>1</v>
      </c>
      <c r="F8" s="85">
        <v>0.2</v>
      </c>
      <c r="G8" s="85">
        <v>0.2</v>
      </c>
      <c r="H8" s="85">
        <v>0.2</v>
      </c>
      <c r="I8" s="85">
        <v>0.2</v>
      </c>
      <c r="J8" s="85">
        <v>0.2</v>
      </c>
      <c r="K8" s="85">
        <v>0.2</v>
      </c>
      <c r="L8" s="85">
        <v>0.2</v>
      </c>
      <c r="M8" s="85">
        <v>0.2</v>
      </c>
      <c r="N8" s="85">
        <v>0.2</v>
      </c>
      <c r="O8" s="85">
        <v>0.2</v>
      </c>
      <c r="P8" s="85">
        <v>0.2</v>
      </c>
      <c r="Q8" s="85">
        <v>0.2</v>
      </c>
      <c r="R8" s="85">
        <v>0.2</v>
      </c>
      <c r="S8" s="85">
        <v>0.2</v>
      </c>
      <c r="T8" s="85">
        <v>0.2</v>
      </c>
      <c r="U8" s="85">
        <v>0.2</v>
      </c>
      <c r="V8" s="85">
        <v>0.2</v>
      </c>
      <c r="W8" s="85">
        <v>0.2</v>
      </c>
      <c r="X8" s="85">
        <v>0.2</v>
      </c>
      <c r="Y8" s="85">
        <v>0.2</v>
      </c>
      <c r="Z8" s="85">
        <v>0.2</v>
      </c>
      <c r="AA8" s="85">
        <v>0.2</v>
      </c>
      <c r="AB8" s="85">
        <v>0.2</v>
      </c>
      <c r="AC8" s="85">
        <v>0.2</v>
      </c>
      <c r="AD8" s="85">
        <v>0.2</v>
      </c>
      <c r="AE8" s="85">
        <v>0.2</v>
      </c>
      <c r="AF8" s="85">
        <v>0.2</v>
      </c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2</v>
      </c>
      <c r="C9" s="41">
        <f t="shared" si="0"/>
        <v>1</v>
      </c>
      <c r="D9" s="41">
        <f t="shared" si="0"/>
        <v>0</v>
      </c>
      <c r="E9" s="45" t="s">
        <v>91</v>
      </c>
      <c r="F9" s="85">
        <v>9.7596000000000002E-2</v>
      </c>
      <c r="G9" s="85">
        <v>9.1974E-2</v>
      </c>
      <c r="H9" s="85">
        <v>7.9069E-2</v>
      </c>
      <c r="I9" s="85">
        <v>5.8520000000000003E-2</v>
      </c>
      <c r="J9" s="85">
        <v>3.6125999999999998E-2</v>
      </c>
      <c r="K9" s="85">
        <v>5.7002999999999998E-2</v>
      </c>
      <c r="L9" s="85">
        <v>3.7092E-2</v>
      </c>
      <c r="M9" s="85">
        <v>2.1264999999999999E-2</v>
      </c>
      <c r="N9" s="85">
        <v>1.1269E-2</v>
      </c>
      <c r="O9" s="85">
        <v>9.7707999999999997E-6</v>
      </c>
      <c r="P9" s="85">
        <v>4.8648000000000004E-6</v>
      </c>
      <c r="Q9" s="85">
        <v>2.2141000000000001E-6</v>
      </c>
      <c r="R9" s="85">
        <v>8.8602999999999995E-7</v>
      </c>
      <c r="S9" s="85">
        <v>3.178E-7</v>
      </c>
      <c r="T9" s="85">
        <v>1.0694E-7</v>
      </c>
      <c r="U9" s="85">
        <v>3.5210999999999997E-8</v>
      </c>
      <c r="V9" s="85">
        <v>1.1662E-8</v>
      </c>
      <c r="W9" s="85">
        <v>3.9443999999999997E-9</v>
      </c>
      <c r="X9" s="85">
        <v>6.8974000000000004E-11</v>
      </c>
      <c r="Y9" s="85">
        <v>1.8893E-12</v>
      </c>
      <c r="Z9" s="85">
        <v>7.7871999999999994E-14</v>
      </c>
      <c r="AA9" s="85">
        <v>4.5578E-15</v>
      </c>
      <c r="AB9" s="85">
        <v>2.3075999999999999E-15</v>
      </c>
      <c r="AC9" s="85">
        <v>1.1769000000000001E-15</v>
      </c>
      <c r="AD9" s="85">
        <v>6.0503999999999997E-16</v>
      </c>
      <c r="AE9" s="85">
        <v>3.1379999999999999E-16</v>
      </c>
      <c r="AF9" s="85">
        <v>2.5028E-17</v>
      </c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79</v>
      </c>
      <c r="F10" s="85">
        <v>4.5512999999999998E-2</v>
      </c>
      <c r="G10" s="85">
        <v>4.8011999999999999E-2</v>
      </c>
      <c r="H10" s="85">
        <v>5.3748999999999998E-2</v>
      </c>
      <c r="I10" s="85">
        <v>6.2883999999999995E-2</v>
      </c>
      <c r="J10" s="85">
        <v>7.2843000000000005E-2</v>
      </c>
      <c r="K10" s="85">
        <v>6.3576999999999995E-2</v>
      </c>
      <c r="L10" s="85">
        <v>7.2458999999999996E-2</v>
      </c>
      <c r="M10" s="85">
        <v>7.9570000000000002E-2</v>
      </c>
      <c r="N10" s="85">
        <v>8.4186999999999998E-2</v>
      </c>
      <c r="O10" s="85">
        <v>9.0769000000000002E-2</v>
      </c>
      <c r="P10" s="85">
        <v>8.4641999999999995E-2</v>
      </c>
      <c r="Q10" s="85">
        <v>6.9443000000000005E-2</v>
      </c>
      <c r="R10" s="85">
        <v>4.9264000000000002E-2</v>
      </c>
      <c r="S10" s="85">
        <v>3.1146E-2</v>
      </c>
      <c r="T10" s="85">
        <v>1.8366E-2</v>
      </c>
      <c r="U10" s="85">
        <v>1.0496999999999999E-2</v>
      </c>
      <c r="V10" s="85">
        <v>5.9607000000000002E-3</v>
      </c>
      <c r="W10" s="85">
        <v>3.4093000000000001E-3</v>
      </c>
      <c r="X10" s="85">
        <v>4.2591999999999999E-4</v>
      </c>
      <c r="Y10" s="85">
        <v>6.8961000000000006E-5</v>
      </c>
      <c r="Z10" s="85">
        <v>1.4127E-5</v>
      </c>
      <c r="AA10" s="85">
        <v>3.5306000000000001E-6</v>
      </c>
      <c r="AB10" s="85">
        <v>2.5401999999999998E-6</v>
      </c>
      <c r="AC10" s="85">
        <v>1.8363000000000001E-6</v>
      </c>
      <c r="AD10" s="85">
        <v>1.3339000000000001E-6</v>
      </c>
      <c r="AE10" s="85">
        <v>9.7419999999999992E-7</v>
      </c>
      <c r="AF10" s="85">
        <v>2.9329E-7</v>
      </c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1</v>
      </c>
      <c r="D11" s="41">
        <f t="shared" si="0"/>
        <v>0</v>
      </c>
      <c r="E11" s="45" t="s">
        <v>57</v>
      </c>
      <c r="F11" s="85">
        <v>1.1710999999999999E-7</v>
      </c>
      <c r="G11" s="85">
        <v>2.5674000000000001E-7</v>
      </c>
      <c r="H11" s="85">
        <v>6.4908000000000004E-7</v>
      </c>
      <c r="I11" s="85">
        <v>1.9657999999999999E-6</v>
      </c>
      <c r="J11" s="85">
        <v>6.6646999999999999E-6</v>
      </c>
      <c r="K11" s="85">
        <v>3.1909999999999998E-5</v>
      </c>
      <c r="L11" s="85">
        <v>9.0048000000000002E-5</v>
      </c>
      <c r="M11" s="85">
        <v>2.5982000000000002E-4</v>
      </c>
      <c r="N11" s="85">
        <v>7.3362999999999998E-4</v>
      </c>
      <c r="O11" s="85">
        <v>2.8178999999999999E-2</v>
      </c>
      <c r="P11" s="85">
        <v>5.5932999999999997E-2</v>
      </c>
      <c r="Q11" s="85">
        <v>9.2665999999999998E-2</v>
      </c>
      <c r="R11" s="85">
        <v>0.12886</v>
      </c>
      <c r="S11" s="85">
        <v>0.15690000000000001</v>
      </c>
      <c r="T11" s="85">
        <v>0.17524000000000001</v>
      </c>
      <c r="U11" s="85">
        <v>0.18608</v>
      </c>
      <c r="V11" s="85">
        <v>0.19217000000000001</v>
      </c>
      <c r="W11" s="85">
        <v>0.19555</v>
      </c>
      <c r="X11" s="85">
        <v>0.19944999999999999</v>
      </c>
      <c r="Y11" s="85">
        <v>0.19991</v>
      </c>
      <c r="Z11" s="85">
        <v>0.19997999999999999</v>
      </c>
      <c r="AA11" s="85">
        <v>0.2</v>
      </c>
      <c r="AB11" s="85">
        <v>0.2</v>
      </c>
      <c r="AC11" s="85">
        <v>0.2</v>
      </c>
      <c r="AD11" s="85">
        <v>0.2</v>
      </c>
      <c r="AE11" s="85">
        <v>0.2</v>
      </c>
      <c r="AF11" s="85">
        <v>0.2</v>
      </c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3</v>
      </c>
      <c r="C12" s="41">
        <f t="shared" si="0"/>
        <v>0</v>
      </c>
      <c r="D12" s="41">
        <f t="shared" si="0"/>
        <v>2</v>
      </c>
      <c r="E12" s="45" t="s">
        <v>92</v>
      </c>
      <c r="F12" s="85">
        <v>5.9998999999999997E-2</v>
      </c>
      <c r="G12" s="85">
        <v>5.9998000000000003E-2</v>
      </c>
      <c r="H12" s="85">
        <v>5.9996000000000001E-2</v>
      </c>
      <c r="I12" s="85">
        <v>5.9991000000000003E-2</v>
      </c>
      <c r="J12" s="85">
        <v>5.9981E-2</v>
      </c>
      <c r="K12" s="85">
        <v>5.9948000000000001E-2</v>
      </c>
      <c r="L12" s="85">
        <v>5.9901000000000003E-2</v>
      </c>
      <c r="M12" s="85">
        <v>5.9809000000000001E-2</v>
      </c>
      <c r="N12" s="85">
        <v>5.9637000000000003E-2</v>
      </c>
      <c r="O12" s="85">
        <v>5.6177999999999999E-2</v>
      </c>
      <c r="P12" s="85">
        <v>5.3484999999999998E-2</v>
      </c>
      <c r="Q12" s="85">
        <v>4.9385999999999999E-2</v>
      </c>
      <c r="R12" s="85">
        <v>4.3660999999999998E-2</v>
      </c>
      <c r="S12" s="85">
        <v>3.6357E-2</v>
      </c>
      <c r="T12" s="85">
        <v>2.7993000000000001E-2</v>
      </c>
      <c r="U12" s="85">
        <v>1.9633999999999999E-2</v>
      </c>
      <c r="V12" s="85">
        <v>1.2524E-2</v>
      </c>
      <c r="W12" s="85">
        <v>7.3902999999999998E-3</v>
      </c>
      <c r="X12" s="85">
        <v>6.9225000000000005E-4</v>
      </c>
      <c r="Y12" s="85">
        <v>7.2624000000000001E-5</v>
      </c>
      <c r="Z12" s="85">
        <v>6.6896999999999997E-6</v>
      </c>
      <c r="AA12" s="85">
        <v>1.6880999999999999E-7</v>
      </c>
      <c r="AB12" s="85">
        <v>4.9899999999999997E-8</v>
      </c>
      <c r="AC12" s="85">
        <v>1.3614E-8</v>
      </c>
      <c r="AD12" s="85">
        <v>3.5506000000000001E-9</v>
      </c>
      <c r="AE12" s="85">
        <v>9.1128999999999996E-10</v>
      </c>
      <c r="AF12" s="85">
        <v>4.5008000000000004E-12</v>
      </c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1</v>
      </c>
      <c r="E13" s="45" t="s">
        <v>70</v>
      </c>
      <c r="F13" s="85">
        <v>2.3481999999999998E-6</v>
      </c>
      <c r="G13" s="85">
        <v>4.4712999999999999E-6</v>
      </c>
      <c r="H13" s="85">
        <v>8.6964000000000003E-6</v>
      </c>
      <c r="I13" s="85">
        <v>1.7813E-5</v>
      </c>
      <c r="J13" s="85">
        <v>3.8047999999999999E-5</v>
      </c>
      <c r="K13" s="85">
        <v>1.0480999999999999E-4</v>
      </c>
      <c r="L13" s="85">
        <v>1.9879000000000001E-4</v>
      </c>
      <c r="M13" s="85">
        <v>3.8164999999999998E-4</v>
      </c>
      <c r="N13" s="85">
        <v>7.2637000000000005E-4</v>
      </c>
      <c r="O13" s="85">
        <v>7.6448000000000002E-3</v>
      </c>
      <c r="P13" s="85">
        <v>1.303E-2</v>
      </c>
      <c r="Q13" s="85">
        <v>2.1228E-2</v>
      </c>
      <c r="R13" s="85">
        <v>3.2677999999999999E-2</v>
      </c>
      <c r="S13" s="85">
        <v>4.7285000000000001E-2</v>
      </c>
      <c r="T13" s="85">
        <v>6.4014000000000001E-2</v>
      </c>
      <c r="U13" s="85">
        <v>8.0731999999999998E-2</v>
      </c>
      <c r="V13" s="85">
        <v>9.4950000000000007E-2</v>
      </c>
      <c r="W13" s="85">
        <v>0.10521</v>
      </c>
      <c r="X13" s="85">
        <v>0.11840000000000001</v>
      </c>
      <c r="Y13" s="85">
        <v>0.11679</v>
      </c>
      <c r="Z13" s="85">
        <v>9.4005000000000005E-2</v>
      </c>
      <c r="AA13" s="85">
        <v>3.6080000000000001E-2</v>
      </c>
      <c r="AB13" s="85">
        <v>2.4143999999999999E-2</v>
      </c>
      <c r="AC13" s="85">
        <v>1.5429E-2</v>
      </c>
      <c r="AD13" s="85">
        <v>9.5852000000000003E-3</v>
      </c>
      <c r="AE13" s="85">
        <v>5.8760000000000001E-3</v>
      </c>
      <c r="AF13" s="85">
        <v>8.4699000000000005E-4</v>
      </c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2</v>
      </c>
      <c r="E14" s="45" t="s">
        <v>93</v>
      </c>
      <c r="F14" s="85">
        <v>1.8594E-28</v>
      </c>
      <c r="G14" s="85">
        <v>7.4295999999999994E-27</v>
      </c>
      <c r="H14" s="85">
        <v>2.6945000000000002E-25</v>
      </c>
      <c r="I14" s="85">
        <v>1.0285E-23</v>
      </c>
      <c r="J14" s="85">
        <v>4.1562999999999998E-22</v>
      </c>
      <c r="K14" s="85">
        <v>5.0184999999999998E-20</v>
      </c>
      <c r="L14" s="85">
        <v>1.0738E-18</v>
      </c>
      <c r="M14" s="85">
        <v>2.2907999999999999E-17</v>
      </c>
      <c r="N14" s="85">
        <v>4.5302000000000001E-16</v>
      </c>
      <c r="O14" s="85">
        <v>1.4255E-11</v>
      </c>
      <c r="P14" s="85">
        <v>1.1835000000000001E-10</v>
      </c>
      <c r="Q14" s="85">
        <v>8.1436999999999995E-10</v>
      </c>
      <c r="R14" s="85">
        <v>4.8252999999999999E-9</v>
      </c>
      <c r="S14" s="85">
        <v>2.4926999999999999E-8</v>
      </c>
      <c r="T14" s="85">
        <v>1.1086E-7</v>
      </c>
      <c r="U14" s="85">
        <v>4.1741999999999999E-7</v>
      </c>
      <c r="V14" s="85">
        <v>1.3272E-6</v>
      </c>
      <c r="W14" s="85">
        <v>3.6302E-6</v>
      </c>
      <c r="X14" s="85">
        <v>8.1812999999999997E-5</v>
      </c>
      <c r="Y14" s="85">
        <v>8.7615999999999996E-4</v>
      </c>
      <c r="Z14" s="85">
        <v>4.1006000000000003E-3</v>
      </c>
      <c r="AA14" s="85">
        <v>2.9838999999999998E-3</v>
      </c>
      <c r="AB14" s="85">
        <v>1.9321E-3</v>
      </c>
      <c r="AC14" s="85">
        <v>1.1352000000000001E-3</v>
      </c>
      <c r="AD14" s="85">
        <v>6.2693999999999998E-4</v>
      </c>
      <c r="AE14" s="85">
        <v>3.3488000000000002E-4</v>
      </c>
      <c r="AF14" s="85">
        <v>2.6115999999999999E-5</v>
      </c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1</v>
      </c>
      <c r="E15" s="45" t="s">
        <v>58</v>
      </c>
      <c r="F15" s="85">
        <v>3.1019999999999999E-28</v>
      </c>
      <c r="G15" s="85">
        <v>1.1738E-26</v>
      </c>
      <c r="H15" s="85">
        <v>3.8705000000000001E-25</v>
      </c>
      <c r="I15" s="85">
        <v>1.2552E-23</v>
      </c>
      <c r="J15" s="85">
        <v>4.0285000000000001E-22</v>
      </c>
      <c r="K15" s="85">
        <v>2.6877E-20</v>
      </c>
      <c r="L15" s="85">
        <v>4.8895000000000001E-19</v>
      </c>
      <c r="M15" s="85">
        <v>8.5231000000000005E-18</v>
      </c>
      <c r="N15" s="85">
        <v>1.3532E-16</v>
      </c>
      <c r="O15" s="85">
        <v>2.1923999999999998E-12</v>
      </c>
      <c r="P15" s="85">
        <v>1.7411E-11</v>
      </c>
      <c r="Q15" s="85">
        <v>1.1916999999999999E-10</v>
      </c>
      <c r="R15" s="85">
        <v>7.1440000000000004E-10</v>
      </c>
      <c r="S15" s="85">
        <v>3.7937000000000002E-9</v>
      </c>
      <c r="T15" s="85">
        <v>1.7843E-8</v>
      </c>
      <c r="U15" s="85">
        <v>7.4066999999999997E-8</v>
      </c>
      <c r="V15" s="85">
        <v>2.7186E-7</v>
      </c>
      <c r="W15" s="85">
        <v>8.9314999999999997E-7</v>
      </c>
      <c r="X15" s="85">
        <v>4.9323999999999997E-5</v>
      </c>
      <c r="Y15" s="85">
        <v>1.3162E-3</v>
      </c>
      <c r="Z15" s="85">
        <v>1.7780000000000001E-2</v>
      </c>
      <c r="AA15" s="85">
        <v>7.7951999999999994E-2</v>
      </c>
      <c r="AB15" s="85">
        <v>9.1992000000000004E-2</v>
      </c>
      <c r="AC15" s="85">
        <v>0.1023</v>
      </c>
      <c r="AD15" s="85">
        <v>0.10915999999999999</v>
      </c>
      <c r="AE15" s="85">
        <v>0.11345</v>
      </c>
      <c r="AF15" s="85">
        <v>0.1191</v>
      </c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80</v>
      </c>
      <c r="F16" s="85">
        <v>6.5483999999999998E-10</v>
      </c>
      <c r="G16" s="85">
        <v>2.0457000000000001E-9</v>
      </c>
      <c r="H16" s="85">
        <v>4.8861999999999999E-9</v>
      </c>
      <c r="I16" s="85">
        <v>8.7203999999999998E-9</v>
      </c>
      <c r="J16" s="85">
        <v>1.1932000000000001E-8</v>
      </c>
      <c r="K16" s="85">
        <v>7.0699999999999998E-9</v>
      </c>
      <c r="L16" s="85">
        <v>9.0227999999999999E-9</v>
      </c>
      <c r="M16" s="85">
        <v>9.7994999999999995E-9</v>
      </c>
      <c r="N16" s="85">
        <v>9.5685000000000006E-9</v>
      </c>
      <c r="O16" s="85">
        <v>7.4586999999999995E-9</v>
      </c>
      <c r="P16" s="85">
        <v>7.7952000000000005E-9</v>
      </c>
      <c r="Q16" s="85">
        <v>8.2755000000000002E-9</v>
      </c>
      <c r="R16" s="85">
        <v>8.4629999999999994E-9</v>
      </c>
      <c r="S16" s="85">
        <v>8.2064999999999997E-9</v>
      </c>
      <c r="T16" s="85">
        <v>7.6165000000000007E-9</v>
      </c>
      <c r="U16" s="85">
        <v>6.8584000000000002E-9</v>
      </c>
      <c r="V16" s="85">
        <v>6.0492999999999998E-9</v>
      </c>
      <c r="W16" s="85">
        <v>5.2586999999999996E-9</v>
      </c>
      <c r="X16" s="85">
        <v>2.8199000000000002E-9</v>
      </c>
      <c r="Y16" s="85">
        <v>1.4974E-9</v>
      </c>
      <c r="Z16" s="85">
        <v>8.4256000000000004E-10</v>
      </c>
      <c r="AA16" s="85">
        <v>5.2595000000000003E-10</v>
      </c>
      <c r="AB16" s="85">
        <v>4.6519000000000002E-10</v>
      </c>
      <c r="AC16" s="85">
        <v>4.0837999999999999E-10</v>
      </c>
      <c r="AD16" s="85">
        <v>3.5621999999999999E-10</v>
      </c>
      <c r="AE16" s="85">
        <v>3.0936E-10</v>
      </c>
      <c r="AF16" s="85">
        <v>1.7323000000000001E-10</v>
      </c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45" t="s">
        <v>94</v>
      </c>
      <c r="F17" s="85">
        <v>2.4052000000000001E-3</v>
      </c>
      <c r="G17" s="85">
        <v>8.0286000000000003E-3</v>
      </c>
      <c r="H17" s="85">
        <v>2.0936E-2</v>
      </c>
      <c r="I17" s="85">
        <v>4.1491E-2</v>
      </c>
      <c r="J17" s="85">
        <v>6.3899999999999998E-2</v>
      </c>
      <c r="K17" s="85">
        <v>4.3081000000000001E-2</v>
      </c>
      <c r="L17" s="85">
        <v>6.3097E-2</v>
      </c>
      <c r="M17" s="85">
        <v>7.9185000000000005E-2</v>
      </c>
      <c r="N17" s="85">
        <v>8.9828000000000005E-2</v>
      </c>
      <c r="O17" s="85">
        <v>0.13199</v>
      </c>
      <c r="P17" s="85">
        <v>0.16244</v>
      </c>
      <c r="Q17" s="85">
        <v>0.20327999999999999</v>
      </c>
      <c r="R17" s="85">
        <v>0.2452</v>
      </c>
      <c r="S17" s="85">
        <v>0.28054000000000001</v>
      </c>
      <c r="T17" s="85">
        <v>0.30725000000000002</v>
      </c>
      <c r="U17" s="85">
        <v>0.32645000000000002</v>
      </c>
      <c r="V17" s="85">
        <v>0.33965000000000001</v>
      </c>
      <c r="W17" s="85">
        <v>0.34816999999999998</v>
      </c>
      <c r="X17" s="85">
        <v>0.35888999999999999</v>
      </c>
      <c r="Y17" s="85">
        <v>0.36203000000000002</v>
      </c>
      <c r="Z17" s="85">
        <v>0.38185999999999998</v>
      </c>
      <c r="AA17" s="85">
        <v>0.44092999999999999</v>
      </c>
      <c r="AB17" s="85">
        <v>0.45391999999999999</v>
      </c>
      <c r="AC17" s="85">
        <v>0.46343000000000001</v>
      </c>
      <c r="AD17" s="85">
        <v>0.46978999999999999</v>
      </c>
      <c r="AE17" s="85">
        <v>0.47378999999999999</v>
      </c>
      <c r="AF17" s="85">
        <v>0.47913</v>
      </c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0</v>
      </c>
      <c r="D18" s="41">
        <f t="shared" si="0"/>
        <v>0</v>
      </c>
      <c r="E18" s="45" t="s">
        <v>82</v>
      </c>
      <c r="F18" s="85">
        <v>7.2503999999999999E-12</v>
      </c>
      <c r="G18" s="85">
        <v>2.9913000000000003E-11</v>
      </c>
      <c r="H18" s="85">
        <v>9.2025999999999996E-11</v>
      </c>
      <c r="I18" s="85">
        <v>2.0705E-10</v>
      </c>
      <c r="J18" s="85">
        <v>3.5058999999999998E-10</v>
      </c>
      <c r="K18" s="85">
        <v>2.5297000000000001E-10</v>
      </c>
      <c r="L18" s="85">
        <v>3.8759999999999999E-10</v>
      </c>
      <c r="M18" s="85">
        <v>4.9914999999999998E-10</v>
      </c>
      <c r="N18" s="85">
        <v>5.7152999999999999E-10</v>
      </c>
      <c r="O18" s="85">
        <v>7.7034000000000005E-10</v>
      </c>
      <c r="P18" s="85">
        <v>9.0657E-10</v>
      </c>
      <c r="Q18" s="85">
        <v>1.0773E-9</v>
      </c>
      <c r="R18" s="85">
        <v>1.2264E-9</v>
      </c>
      <c r="S18" s="85">
        <v>1.3172E-9</v>
      </c>
      <c r="T18" s="85">
        <v>1.3479000000000001E-9</v>
      </c>
      <c r="U18" s="85">
        <v>1.3325000000000001E-9</v>
      </c>
      <c r="V18" s="85">
        <v>1.2852000000000001E-9</v>
      </c>
      <c r="W18" s="85">
        <v>1.2172999999999999E-9</v>
      </c>
      <c r="X18" s="85">
        <v>8.9125999999999998E-10</v>
      </c>
      <c r="Y18" s="85">
        <v>6.1985999999999997E-10</v>
      </c>
      <c r="Z18" s="85">
        <v>4.4219E-10</v>
      </c>
      <c r="AA18" s="85">
        <v>3.4098E-10</v>
      </c>
      <c r="AB18" s="85">
        <v>3.1685E-10</v>
      </c>
      <c r="AC18" s="85">
        <v>2.9186000000000001E-10</v>
      </c>
      <c r="AD18" s="85">
        <v>2.6680999999999998E-10</v>
      </c>
      <c r="AE18" s="85">
        <v>2.4257000000000002E-10</v>
      </c>
      <c r="AF18" s="85">
        <v>1.6140999999999999E-10</v>
      </c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83</v>
      </c>
      <c r="F19" s="85">
        <v>2.8497000000000002E-9</v>
      </c>
      <c r="G19" s="85">
        <v>7.8554E-9</v>
      </c>
      <c r="H19" s="85">
        <v>1.6768000000000002E-8</v>
      </c>
      <c r="I19" s="85">
        <v>2.7035E-8</v>
      </c>
      <c r="J19" s="85">
        <v>3.3732000000000001E-8</v>
      </c>
      <c r="K19" s="85">
        <v>1.8375999999999999E-8</v>
      </c>
      <c r="L19" s="85">
        <v>2.1716000000000001E-8</v>
      </c>
      <c r="M19" s="85">
        <v>2.1976999999999999E-8</v>
      </c>
      <c r="N19" s="85">
        <v>2.0108E-8</v>
      </c>
      <c r="O19" s="85">
        <v>1.2638E-8</v>
      </c>
      <c r="P19" s="85">
        <v>1.2631000000000001E-8</v>
      </c>
      <c r="Q19" s="85">
        <v>1.3356000000000001E-8</v>
      </c>
      <c r="R19" s="85">
        <v>1.3774E-8</v>
      </c>
      <c r="S19" s="85">
        <v>1.3477000000000001E-8</v>
      </c>
      <c r="T19" s="85">
        <v>1.2623999999999999E-8</v>
      </c>
      <c r="U19" s="85">
        <v>1.1476E-8</v>
      </c>
      <c r="V19" s="85">
        <v>1.0220999999999999E-8</v>
      </c>
      <c r="W19" s="85">
        <v>8.9737000000000001E-9</v>
      </c>
      <c r="X19" s="85">
        <v>5.0090000000000004E-9</v>
      </c>
      <c r="Y19" s="85">
        <v>2.7683E-9</v>
      </c>
      <c r="Z19" s="85">
        <v>1.6196000000000001E-9</v>
      </c>
      <c r="AA19" s="85">
        <v>1.0500000000000001E-9</v>
      </c>
      <c r="AB19" s="85">
        <v>9.3737999999999992E-10</v>
      </c>
      <c r="AC19" s="85">
        <v>8.3052000000000004E-10</v>
      </c>
      <c r="AD19" s="85">
        <v>7.3111999999999995E-10</v>
      </c>
      <c r="AE19" s="85">
        <v>6.4075999999999997E-10</v>
      </c>
      <c r="AF19" s="85">
        <v>3.7194999999999999E-10</v>
      </c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1</v>
      </c>
      <c r="E20" s="45" t="s">
        <v>56</v>
      </c>
      <c r="F20" s="85">
        <v>0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0</v>
      </c>
      <c r="M20" s="85">
        <v>0</v>
      </c>
      <c r="N20" s="85">
        <v>0</v>
      </c>
      <c r="O20" s="85">
        <v>0</v>
      </c>
      <c r="P20" s="85">
        <v>0</v>
      </c>
      <c r="Q20" s="85">
        <v>0</v>
      </c>
      <c r="R20" s="85">
        <v>0</v>
      </c>
      <c r="S20" s="85">
        <v>0</v>
      </c>
      <c r="T20" s="85">
        <v>0</v>
      </c>
      <c r="U20" s="85">
        <v>0</v>
      </c>
      <c r="V20" s="85">
        <v>0</v>
      </c>
      <c r="W20" s="85">
        <v>0</v>
      </c>
      <c r="X20" s="85">
        <v>0</v>
      </c>
      <c r="Y20" s="85">
        <v>0</v>
      </c>
      <c r="Z20" s="85">
        <v>5.3633E-24</v>
      </c>
      <c r="AA20" s="85">
        <v>4.1780999999999998E-10</v>
      </c>
      <c r="AB20" s="85">
        <v>1.8819999999999999E-8</v>
      </c>
      <c r="AC20" s="85">
        <v>5.1797999999999998E-8</v>
      </c>
      <c r="AD20" s="85">
        <v>7.7835999999999996E-8</v>
      </c>
      <c r="AE20" s="85">
        <v>1.3689E-7</v>
      </c>
      <c r="AF20" s="85">
        <v>5.8815000000000004E-7</v>
      </c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1</v>
      </c>
      <c r="D21" s="41">
        <f t="shared" si="1"/>
        <v>0</v>
      </c>
      <c r="E21" s="45" t="s">
        <v>59</v>
      </c>
      <c r="F21" s="85">
        <v>0</v>
      </c>
      <c r="G21" s="85">
        <v>0</v>
      </c>
      <c r="H21" s="85">
        <v>0</v>
      </c>
      <c r="I21" s="85">
        <v>0</v>
      </c>
      <c r="J21" s="85">
        <v>0</v>
      </c>
      <c r="K21" s="85">
        <v>0</v>
      </c>
      <c r="L21" s="85">
        <v>0</v>
      </c>
      <c r="M21" s="85">
        <v>0</v>
      </c>
      <c r="N21" s="85">
        <v>0</v>
      </c>
      <c r="O21" s="85">
        <v>0</v>
      </c>
      <c r="P21" s="85">
        <v>0</v>
      </c>
      <c r="Q21" s="85">
        <v>0</v>
      </c>
      <c r="R21" s="85">
        <v>0</v>
      </c>
      <c r="S21" s="85">
        <v>0</v>
      </c>
      <c r="T21" s="85">
        <v>0</v>
      </c>
      <c r="U21" s="85">
        <v>0</v>
      </c>
      <c r="V21" s="85">
        <v>0</v>
      </c>
      <c r="W21" s="85">
        <v>0</v>
      </c>
      <c r="X21" s="85">
        <v>0</v>
      </c>
      <c r="Y21" s="85">
        <v>0</v>
      </c>
      <c r="Z21" s="85">
        <v>2.2334999999999998E-24</v>
      </c>
      <c r="AA21" s="85">
        <v>5.6443000000000001E-11</v>
      </c>
      <c r="AB21" s="85">
        <v>2.3336999999999999E-9</v>
      </c>
      <c r="AC21" s="85">
        <v>6.2382999999999999E-9</v>
      </c>
      <c r="AD21" s="85">
        <v>9.4627000000000004E-9</v>
      </c>
      <c r="AE21" s="85">
        <v>1.7202999999999999E-8</v>
      </c>
      <c r="AF21" s="85">
        <v>9.1625000000000002E-8</v>
      </c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1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 t="s">
        <v>26</v>
      </c>
      <c r="F22" s="85">
        <v>-18.87</v>
      </c>
      <c r="G22" s="85">
        <v>-18.87</v>
      </c>
      <c r="H22" s="85">
        <v>-18.899999999999999</v>
      </c>
      <c r="I22" s="85">
        <v>-18.95</v>
      </c>
      <c r="J22" s="85">
        <v>-19.010000000000002</v>
      </c>
      <c r="K22" s="85">
        <v>-18.98</v>
      </c>
      <c r="L22" s="85">
        <v>-19.04</v>
      </c>
      <c r="M22" s="85">
        <v>-19.09</v>
      </c>
      <c r="N22" s="85">
        <v>-19.14</v>
      </c>
      <c r="O22" s="85">
        <v>-19.18</v>
      </c>
      <c r="P22" s="85">
        <v>-19.13</v>
      </c>
      <c r="Q22" s="85">
        <v>-19.079999999999998</v>
      </c>
      <c r="R22" s="85">
        <v>-19.04</v>
      </c>
      <c r="S22" s="85">
        <v>-19.03</v>
      </c>
      <c r="T22" s="85">
        <v>-19.04</v>
      </c>
      <c r="U22" s="85">
        <v>-19.059999999999999</v>
      </c>
      <c r="V22" s="85">
        <v>-19.079999999999998</v>
      </c>
      <c r="W22" s="85">
        <v>-19.11</v>
      </c>
      <c r="X22" s="85">
        <v>-19.25</v>
      </c>
      <c r="Y22" s="85">
        <v>-19.38</v>
      </c>
      <c r="Z22" s="85">
        <v>-19.510000000000002</v>
      </c>
      <c r="AA22" s="85">
        <v>-19.64</v>
      </c>
      <c r="AB22" s="85">
        <v>-19.670000000000002</v>
      </c>
      <c r="AC22" s="85">
        <v>-19.7</v>
      </c>
      <c r="AD22" s="85">
        <v>-19.73</v>
      </c>
      <c r="AE22" s="85">
        <v>-19.760000000000002</v>
      </c>
      <c r="AF22" s="85">
        <v>-19.88</v>
      </c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1</v>
      </c>
      <c r="E23" s="83" t="s">
        <v>5</v>
      </c>
      <c r="F23" s="85">
        <v>-66.680000000000007</v>
      </c>
      <c r="G23" s="85">
        <v>-63.05</v>
      </c>
      <c r="H23" s="85">
        <v>-59.58</v>
      </c>
      <c r="I23" s="85">
        <v>-56.15</v>
      </c>
      <c r="J23" s="85">
        <v>-52.74</v>
      </c>
      <c r="K23" s="85">
        <v>-48.52</v>
      </c>
      <c r="L23" s="85">
        <v>-45.68</v>
      </c>
      <c r="M23" s="85">
        <v>-42.89</v>
      </c>
      <c r="N23" s="85">
        <v>-40.18</v>
      </c>
      <c r="O23" s="85">
        <v>-30.88</v>
      </c>
      <c r="P23" s="85">
        <v>-29.01</v>
      </c>
      <c r="Q23" s="85">
        <v>-27.3</v>
      </c>
      <c r="R23" s="85">
        <v>-25.68</v>
      </c>
      <c r="S23" s="85">
        <v>-24.16</v>
      </c>
      <c r="T23" s="85">
        <v>-22.72</v>
      </c>
      <c r="U23" s="85">
        <v>-21.39</v>
      </c>
      <c r="V23" s="85">
        <v>-20.170000000000002</v>
      </c>
      <c r="W23" s="85">
        <v>-19.05</v>
      </c>
      <c r="X23" s="85">
        <v>-15.24</v>
      </c>
      <c r="Y23" s="85">
        <v>-12.13</v>
      </c>
      <c r="Z23" s="85">
        <v>-9.7149999999999999</v>
      </c>
      <c r="AA23" s="85">
        <v>-8.48</v>
      </c>
      <c r="AB23" s="85">
        <v>-8.3719999999999999</v>
      </c>
      <c r="AC23" s="85">
        <v>-8.3179999999999996</v>
      </c>
      <c r="AD23" s="85">
        <v>-8.3000000000000007</v>
      </c>
      <c r="AE23" s="85">
        <v>-8.3049999999999997</v>
      </c>
      <c r="AF23" s="85">
        <v>-8.4120000000000008</v>
      </c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1</v>
      </c>
      <c r="D24" s="41">
        <f t="shared" si="1"/>
        <v>0</v>
      </c>
      <c r="E24" s="83" t="s">
        <v>6</v>
      </c>
      <c r="F24" s="85">
        <v>-18.13</v>
      </c>
      <c r="G24" s="85">
        <v>-17.350000000000001</v>
      </c>
      <c r="H24" s="85">
        <v>-16.45</v>
      </c>
      <c r="I24" s="85">
        <v>-15.39</v>
      </c>
      <c r="J24" s="85">
        <v>-14.22</v>
      </c>
      <c r="K24" s="85">
        <v>-12.64</v>
      </c>
      <c r="L24" s="85">
        <v>-11.66</v>
      </c>
      <c r="M24" s="85">
        <v>-10.66</v>
      </c>
      <c r="N24" s="85">
        <v>-9.6769999999999996</v>
      </c>
      <c r="O24" s="85">
        <v>-6.4119999999999999</v>
      </c>
      <c r="P24" s="85">
        <v>-5.9249999999999998</v>
      </c>
      <c r="Q24" s="85">
        <v>-5.6239999999999997</v>
      </c>
      <c r="R24" s="85">
        <v>-5.47</v>
      </c>
      <c r="S24" s="85">
        <v>-5.4130000000000003</v>
      </c>
      <c r="T24" s="85">
        <v>-5.4139999999999997</v>
      </c>
      <c r="U24" s="85">
        <v>-5.4450000000000003</v>
      </c>
      <c r="V24" s="85">
        <v>-5.4880000000000004</v>
      </c>
      <c r="W24" s="85">
        <v>-5.5330000000000004</v>
      </c>
      <c r="X24" s="85">
        <v>-5.7050000000000001</v>
      </c>
      <c r="Y24" s="85">
        <v>-5.8680000000000003</v>
      </c>
      <c r="Z24" s="85">
        <v>-6.0510000000000002</v>
      </c>
      <c r="AA24" s="85">
        <v>-6.2869999999999999</v>
      </c>
      <c r="AB24" s="85">
        <v>-6.343</v>
      </c>
      <c r="AC24" s="85">
        <v>-6.3940000000000001</v>
      </c>
      <c r="AD24" s="85">
        <v>-6.44</v>
      </c>
      <c r="AE24" s="85">
        <v>-6.4820000000000002</v>
      </c>
      <c r="AF24" s="85">
        <v>-6.6340000000000003</v>
      </c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1</v>
      </c>
      <c r="C25" s="41">
        <f t="shared" si="1"/>
        <v>0</v>
      </c>
      <c r="D25" s="41">
        <f t="shared" si="1"/>
        <v>0</v>
      </c>
      <c r="E25" s="83" t="s">
        <v>7</v>
      </c>
      <c r="F25" s="85">
        <v>-23.19</v>
      </c>
      <c r="G25" s="85">
        <v>-22.18</v>
      </c>
      <c r="H25" s="85">
        <v>-21.45</v>
      </c>
      <c r="I25" s="85">
        <v>-21.02</v>
      </c>
      <c r="J25" s="85">
        <v>-20.86</v>
      </c>
      <c r="K25" s="85">
        <v>-21.44</v>
      </c>
      <c r="L25" s="85">
        <v>-21.34</v>
      </c>
      <c r="M25" s="85">
        <v>-21.39</v>
      </c>
      <c r="N25" s="85">
        <v>-21.54</v>
      </c>
      <c r="O25" s="85">
        <v>-22.4</v>
      </c>
      <c r="P25" s="85">
        <v>-22.6</v>
      </c>
      <c r="Q25" s="85">
        <v>-22.79</v>
      </c>
      <c r="R25" s="85">
        <v>-22.98</v>
      </c>
      <c r="S25" s="85">
        <v>-23.19</v>
      </c>
      <c r="T25" s="85">
        <v>-23.42</v>
      </c>
      <c r="U25" s="85">
        <v>-23.65</v>
      </c>
      <c r="V25" s="85">
        <v>-23.88</v>
      </c>
      <c r="W25" s="85">
        <v>-24.12</v>
      </c>
      <c r="X25" s="85">
        <v>-25.05</v>
      </c>
      <c r="Y25" s="85">
        <v>-25.94</v>
      </c>
      <c r="Z25" s="85">
        <v>-26.78</v>
      </c>
      <c r="AA25" s="85">
        <v>-27.56</v>
      </c>
      <c r="AB25" s="85">
        <v>-27.76</v>
      </c>
      <c r="AC25" s="85">
        <v>-27.95</v>
      </c>
      <c r="AD25" s="85">
        <v>-28.15</v>
      </c>
      <c r="AE25" s="85">
        <v>-28.35</v>
      </c>
      <c r="AF25" s="85">
        <v>-29.13</v>
      </c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1</v>
      </c>
      <c r="G33" s="106">
        <f t="shared" ref="G33:BR33" si="4">IF(H3&gt;G3,1,0)</f>
        <v>1</v>
      </c>
      <c r="H33" s="106">
        <f t="shared" si="4"/>
        <v>1</v>
      </c>
      <c r="I33" s="106">
        <f t="shared" si="4"/>
        <v>1</v>
      </c>
      <c r="J33" s="106">
        <f t="shared" si="4"/>
        <v>1</v>
      </c>
      <c r="K33" s="106">
        <f t="shared" si="4"/>
        <v>1</v>
      </c>
      <c r="L33" s="106">
        <f t="shared" si="4"/>
        <v>1</v>
      </c>
      <c r="M33" s="106">
        <f t="shared" si="4"/>
        <v>1</v>
      </c>
      <c r="N33" s="106">
        <f t="shared" si="4"/>
        <v>1</v>
      </c>
      <c r="O33" s="106">
        <f t="shared" si="4"/>
        <v>1</v>
      </c>
      <c r="P33" s="106">
        <f t="shared" si="4"/>
        <v>1</v>
      </c>
      <c r="Q33" s="106">
        <f t="shared" si="4"/>
        <v>1</v>
      </c>
      <c r="R33" s="106">
        <f t="shared" si="4"/>
        <v>1</v>
      </c>
      <c r="S33" s="106">
        <f t="shared" si="4"/>
        <v>1</v>
      </c>
      <c r="T33" s="106">
        <f t="shared" si="4"/>
        <v>1</v>
      </c>
      <c r="U33" s="106">
        <f t="shared" si="4"/>
        <v>1</v>
      </c>
      <c r="V33" s="106">
        <f t="shared" si="4"/>
        <v>1</v>
      </c>
      <c r="W33" s="106">
        <f t="shared" si="4"/>
        <v>1</v>
      </c>
      <c r="X33" s="106">
        <f t="shared" si="4"/>
        <v>1</v>
      </c>
      <c r="Y33" s="106">
        <f t="shared" si="4"/>
        <v>1</v>
      </c>
      <c r="Z33" s="106">
        <f t="shared" si="4"/>
        <v>1</v>
      </c>
      <c r="AA33" s="106">
        <f t="shared" si="4"/>
        <v>1</v>
      </c>
      <c r="AB33" s="106">
        <f t="shared" si="4"/>
        <v>1</v>
      </c>
      <c r="AC33" s="106">
        <f t="shared" si="4"/>
        <v>1</v>
      </c>
      <c r="AD33" s="106">
        <f t="shared" si="4"/>
        <v>1</v>
      </c>
      <c r="AE33" s="106">
        <f t="shared" si="4"/>
        <v>1</v>
      </c>
      <c r="AF33" s="106">
        <f t="shared" si="4"/>
        <v>0</v>
      </c>
      <c r="AG33" s="106">
        <f t="shared" si="4"/>
        <v>0</v>
      </c>
      <c r="AH33" s="106">
        <f t="shared" si="4"/>
        <v>0</v>
      </c>
      <c r="AI33" s="106">
        <f t="shared" si="4"/>
        <v>0</v>
      </c>
      <c r="AJ33" s="106">
        <f t="shared" si="4"/>
        <v>0</v>
      </c>
      <c r="AK33" s="106">
        <f t="shared" si="4"/>
        <v>0</v>
      </c>
      <c r="AL33" s="106">
        <f t="shared" si="4"/>
        <v>0</v>
      </c>
      <c r="AM33" s="106">
        <f t="shared" si="4"/>
        <v>0</v>
      </c>
      <c r="AN33" s="106">
        <f t="shared" si="4"/>
        <v>0</v>
      </c>
      <c r="AO33" s="106">
        <f t="shared" si="4"/>
        <v>0</v>
      </c>
      <c r="AP33" s="106">
        <f t="shared" si="4"/>
        <v>0</v>
      </c>
      <c r="AQ33" s="106">
        <f t="shared" si="4"/>
        <v>0</v>
      </c>
      <c r="AR33" s="106">
        <f t="shared" si="4"/>
        <v>0</v>
      </c>
      <c r="AS33" s="106">
        <f t="shared" si="4"/>
        <v>0</v>
      </c>
      <c r="AT33" s="106">
        <f t="shared" si="4"/>
        <v>0</v>
      </c>
      <c r="AU33" s="106">
        <f t="shared" si="4"/>
        <v>0</v>
      </c>
      <c r="AV33" s="106">
        <f t="shared" si="4"/>
        <v>0</v>
      </c>
      <c r="AW33" s="106">
        <f t="shared" si="4"/>
        <v>0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19</v>
      </c>
      <c r="E34" s="11" t="str">
        <f ca="1">OFFSET($E$3:$AL$3,$D34,0)</f>
        <v>H (Ar)</v>
      </c>
      <c r="F34" s="14">
        <f ca="1">OFFSET($E$3:$BR$3,$D34,0)</f>
        <v>-18.87</v>
      </c>
      <c r="G34" s="14">
        <f t="shared" ref="G34:BR37" ca="1" si="5">OFFSET($E$3:$BR$3,$D34,0)</f>
        <v>-18.87</v>
      </c>
      <c r="H34" s="14">
        <f t="shared" ca="1" si="5"/>
        <v>-18.899999999999999</v>
      </c>
      <c r="I34" s="14">
        <f t="shared" ca="1" si="5"/>
        <v>-18.95</v>
      </c>
      <c r="J34" s="14">
        <f t="shared" ca="1" si="5"/>
        <v>-19.010000000000002</v>
      </c>
      <c r="K34" s="14">
        <f t="shared" ca="1" si="5"/>
        <v>-18.98</v>
      </c>
      <c r="L34" s="14">
        <f t="shared" ca="1" si="5"/>
        <v>-19.04</v>
      </c>
      <c r="M34" s="14">
        <f t="shared" ca="1" si="5"/>
        <v>-19.09</v>
      </c>
      <c r="N34" s="14">
        <f t="shared" ca="1" si="5"/>
        <v>-19.14</v>
      </c>
      <c r="O34" s="14">
        <f t="shared" ca="1" si="5"/>
        <v>-19.18</v>
      </c>
      <c r="P34" s="14">
        <f t="shared" ca="1" si="5"/>
        <v>-19.13</v>
      </c>
      <c r="Q34" s="14">
        <f t="shared" ca="1" si="5"/>
        <v>-19.079999999999998</v>
      </c>
      <c r="R34" s="14">
        <f t="shared" ca="1" si="5"/>
        <v>-19.04</v>
      </c>
      <c r="S34" s="14">
        <f t="shared" ca="1" si="5"/>
        <v>-19.03</v>
      </c>
      <c r="T34" s="14">
        <f t="shared" ca="1" si="5"/>
        <v>-19.04</v>
      </c>
      <c r="U34" s="14">
        <f t="shared" ca="1" si="5"/>
        <v>-19.059999999999999</v>
      </c>
      <c r="V34" s="14">
        <f t="shared" ca="1" si="5"/>
        <v>-19.079999999999998</v>
      </c>
      <c r="W34" s="14">
        <f t="shared" ca="1" si="5"/>
        <v>-19.11</v>
      </c>
      <c r="X34" s="14">
        <f t="shared" ca="1" si="5"/>
        <v>-19.25</v>
      </c>
      <c r="Y34" s="14">
        <f t="shared" ca="1" si="5"/>
        <v>-19.38</v>
      </c>
      <c r="Z34" s="14">
        <f t="shared" ca="1" si="5"/>
        <v>-19.510000000000002</v>
      </c>
      <c r="AA34" s="14">
        <f t="shared" ca="1" si="5"/>
        <v>-19.64</v>
      </c>
      <c r="AB34" s="14">
        <f t="shared" ca="1" si="5"/>
        <v>-19.670000000000002</v>
      </c>
      <c r="AC34" s="14">
        <f t="shared" ca="1" si="5"/>
        <v>-19.7</v>
      </c>
      <c r="AD34" s="14">
        <f t="shared" ca="1" si="5"/>
        <v>-19.73</v>
      </c>
      <c r="AE34" s="14">
        <f t="shared" ca="1" si="5"/>
        <v>-19.760000000000002</v>
      </c>
      <c r="AF34" s="14">
        <f t="shared" ca="1" si="5"/>
        <v>-19.88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20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-66.680000000000007</v>
      </c>
      <c r="G35" s="14">
        <f t="shared" ca="1" si="9"/>
        <v>-63.05</v>
      </c>
      <c r="H35" s="14">
        <f t="shared" ca="1" si="9"/>
        <v>-59.58</v>
      </c>
      <c r="I35" s="14">
        <f t="shared" ca="1" si="9"/>
        <v>-56.15</v>
      </c>
      <c r="J35" s="14">
        <f t="shared" ca="1" si="9"/>
        <v>-52.74</v>
      </c>
      <c r="K35" s="14">
        <f t="shared" ca="1" si="9"/>
        <v>-48.52</v>
      </c>
      <c r="L35" s="14">
        <f t="shared" ca="1" si="9"/>
        <v>-45.68</v>
      </c>
      <c r="M35" s="14">
        <f t="shared" ca="1" si="9"/>
        <v>-42.89</v>
      </c>
      <c r="N35" s="14">
        <f t="shared" ca="1" si="9"/>
        <v>-40.18</v>
      </c>
      <c r="O35" s="14">
        <f t="shared" ca="1" si="9"/>
        <v>-30.88</v>
      </c>
      <c r="P35" s="14">
        <f t="shared" ca="1" si="9"/>
        <v>-29.01</v>
      </c>
      <c r="Q35" s="14">
        <f t="shared" ca="1" si="9"/>
        <v>-27.3</v>
      </c>
      <c r="R35" s="14">
        <f t="shared" ca="1" si="9"/>
        <v>-25.68</v>
      </c>
      <c r="S35" s="14">
        <f t="shared" ca="1" si="9"/>
        <v>-24.16</v>
      </c>
      <c r="T35" s="14">
        <f t="shared" ca="1" si="9"/>
        <v>-22.72</v>
      </c>
      <c r="U35" s="14">
        <f t="shared" ca="1" si="9"/>
        <v>-21.39</v>
      </c>
      <c r="V35" s="14">
        <f t="shared" ca="1" si="5"/>
        <v>-20.170000000000002</v>
      </c>
      <c r="W35" s="14">
        <f t="shared" ca="1" si="5"/>
        <v>-19.05</v>
      </c>
      <c r="X35" s="14">
        <f t="shared" ca="1" si="5"/>
        <v>-15.24</v>
      </c>
      <c r="Y35" s="14">
        <f t="shared" ca="1" si="5"/>
        <v>-12.13</v>
      </c>
      <c r="Z35" s="14">
        <f t="shared" ca="1" si="5"/>
        <v>-9.7149999999999999</v>
      </c>
      <c r="AA35" s="14">
        <f t="shared" ca="1" si="5"/>
        <v>-8.48</v>
      </c>
      <c r="AB35" s="14">
        <f t="shared" ca="1" si="5"/>
        <v>-8.3719999999999999</v>
      </c>
      <c r="AC35" s="14">
        <f t="shared" ca="1" si="5"/>
        <v>-8.3179999999999996</v>
      </c>
      <c r="AD35" s="14">
        <f t="shared" ca="1" si="5"/>
        <v>-8.3000000000000007</v>
      </c>
      <c r="AE35" s="14">
        <f t="shared" ca="1" si="5"/>
        <v>-8.3049999999999997</v>
      </c>
      <c r="AF35" s="14">
        <f t="shared" ca="1" si="5"/>
        <v>-8.4120000000000008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21</v>
      </c>
      <c r="E36" s="11" t="str">
        <f t="shared" ca="1" si="8"/>
        <v>H (Ge)</v>
      </c>
      <c r="F36" s="14">
        <f t="shared" ca="1" si="9"/>
        <v>-18.13</v>
      </c>
      <c r="G36" s="14">
        <f t="shared" ca="1" si="5"/>
        <v>-17.350000000000001</v>
      </c>
      <c r="H36" s="14">
        <f t="shared" ca="1" si="5"/>
        <v>-16.45</v>
      </c>
      <c r="I36" s="14">
        <f t="shared" ca="1" si="5"/>
        <v>-15.39</v>
      </c>
      <c r="J36" s="14">
        <f t="shared" ca="1" si="5"/>
        <v>-14.22</v>
      </c>
      <c r="K36" s="14">
        <f t="shared" ca="1" si="5"/>
        <v>-12.64</v>
      </c>
      <c r="L36" s="14">
        <f t="shared" ca="1" si="5"/>
        <v>-11.66</v>
      </c>
      <c r="M36" s="14">
        <f t="shared" ca="1" si="5"/>
        <v>-10.66</v>
      </c>
      <c r="N36" s="14">
        <f t="shared" ca="1" si="5"/>
        <v>-9.6769999999999996</v>
      </c>
      <c r="O36" s="14">
        <f t="shared" ca="1" si="5"/>
        <v>-6.4119999999999999</v>
      </c>
      <c r="P36" s="14">
        <f t="shared" ca="1" si="5"/>
        <v>-5.9249999999999998</v>
      </c>
      <c r="Q36" s="14">
        <f t="shared" ca="1" si="5"/>
        <v>-5.6239999999999997</v>
      </c>
      <c r="R36" s="14">
        <f t="shared" ca="1" si="5"/>
        <v>-5.47</v>
      </c>
      <c r="S36" s="14">
        <f t="shared" ca="1" si="5"/>
        <v>-5.4130000000000003</v>
      </c>
      <c r="T36" s="14">
        <f t="shared" ca="1" si="5"/>
        <v>-5.4139999999999997</v>
      </c>
      <c r="U36" s="14">
        <f t="shared" ca="1" si="5"/>
        <v>-5.4450000000000003</v>
      </c>
      <c r="V36" s="14">
        <f t="shared" ca="1" si="5"/>
        <v>-5.4880000000000004</v>
      </c>
      <c r="W36" s="14">
        <f t="shared" ca="1" si="5"/>
        <v>-5.5330000000000004</v>
      </c>
      <c r="X36" s="14">
        <f t="shared" ca="1" si="5"/>
        <v>-5.7050000000000001</v>
      </c>
      <c r="Y36" s="14">
        <f t="shared" ca="1" si="5"/>
        <v>-5.8680000000000003</v>
      </c>
      <c r="Z36" s="14">
        <f t="shared" ca="1" si="5"/>
        <v>-6.0510000000000002</v>
      </c>
      <c r="AA36" s="14">
        <f t="shared" ca="1" si="5"/>
        <v>-6.2869999999999999</v>
      </c>
      <c r="AB36" s="14">
        <f t="shared" ca="1" si="5"/>
        <v>-6.343</v>
      </c>
      <c r="AC36" s="14">
        <f t="shared" ca="1" si="5"/>
        <v>-6.3940000000000001</v>
      </c>
      <c r="AD36" s="14">
        <f t="shared" ca="1" si="5"/>
        <v>-6.44</v>
      </c>
      <c r="AE36" s="14">
        <f t="shared" ca="1" si="5"/>
        <v>-6.4820000000000002</v>
      </c>
      <c r="AF36" s="14">
        <f t="shared" ca="1" si="5"/>
        <v>-6.6340000000000003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22</v>
      </c>
      <c r="E37" s="11" t="str">
        <f t="shared" ca="1" si="8"/>
        <v>H (Se)</v>
      </c>
      <c r="F37" s="14">
        <f t="shared" ca="1" si="9"/>
        <v>-23.19</v>
      </c>
      <c r="G37" s="14">
        <f t="shared" ca="1" si="5"/>
        <v>-22.18</v>
      </c>
      <c r="H37" s="14">
        <f t="shared" ca="1" si="5"/>
        <v>-21.45</v>
      </c>
      <c r="I37" s="14">
        <f t="shared" ca="1" si="5"/>
        <v>-21.02</v>
      </c>
      <c r="J37" s="14">
        <f t="shared" ca="1" si="5"/>
        <v>-20.86</v>
      </c>
      <c r="K37" s="14">
        <f t="shared" ca="1" si="5"/>
        <v>-21.44</v>
      </c>
      <c r="L37" s="14">
        <f t="shared" ca="1" si="5"/>
        <v>-21.34</v>
      </c>
      <c r="M37" s="14">
        <f t="shared" ca="1" si="5"/>
        <v>-21.39</v>
      </c>
      <c r="N37" s="14">
        <f t="shared" ca="1" si="5"/>
        <v>-21.54</v>
      </c>
      <c r="O37" s="14">
        <f t="shared" ca="1" si="5"/>
        <v>-22.4</v>
      </c>
      <c r="P37" s="14">
        <f t="shared" ca="1" si="5"/>
        <v>-22.6</v>
      </c>
      <c r="Q37" s="14">
        <f t="shared" ca="1" si="5"/>
        <v>-22.79</v>
      </c>
      <c r="R37" s="14">
        <f t="shared" ca="1" si="5"/>
        <v>-22.98</v>
      </c>
      <c r="S37" s="14">
        <f t="shared" ca="1" si="5"/>
        <v>-23.19</v>
      </c>
      <c r="T37" s="14">
        <f t="shared" ca="1" si="5"/>
        <v>-23.42</v>
      </c>
      <c r="U37" s="14">
        <f t="shared" ca="1" si="5"/>
        <v>-23.65</v>
      </c>
      <c r="V37" s="14">
        <f t="shared" ca="1" si="5"/>
        <v>-23.88</v>
      </c>
      <c r="W37" s="14">
        <f t="shared" ca="1" si="5"/>
        <v>-24.12</v>
      </c>
      <c r="X37" s="14">
        <f t="shared" ca="1" si="5"/>
        <v>-25.05</v>
      </c>
      <c r="Y37" s="14">
        <f t="shared" ca="1" si="5"/>
        <v>-25.94</v>
      </c>
      <c r="Z37" s="14">
        <f t="shared" ca="1" si="5"/>
        <v>-26.78</v>
      </c>
      <c r="AA37" s="14">
        <f t="shared" ca="1" si="5"/>
        <v>-27.56</v>
      </c>
      <c r="AB37" s="14">
        <f t="shared" ca="1" si="5"/>
        <v>-27.76</v>
      </c>
      <c r="AC37" s="14">
        <f t="shared" ca="1" si="5"/>
        <v>-27.95</v>
      </c>
      <c r="AD37" s="14">
        <f t="shared" ca="1" si="5"/>
        <v>-28.15</v>
      </c>
      <c r="AE37" s="14">
        <f t="shared" ca="1" si="5"/>
        <v>-28.35</v>
      </c>
      <c r="AF37" s="14">
        <f t="shared" ca="1" si="5"/>
        <v>-29.13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355.7</v>
      </c>
      <c r="L40" s="8">
        <f t="shared" si="10"/>
        <v>372.3</v>
      </c>
      <c r="M40" s="8">
        <f t="shared" si="10"/>
        <v>388.8</v>
      </c>
      <c r="N40" s="8">
        <f t="shared" si="10"/>
        <v>405.3</v>
      </c>
      <c r="O40" s="8">
        <f t="shared" si="10"/>
        <v>471.4</v>
      </c>
      <c r="P40" s="8">
        <f t="shared" si="10"/>
        <v>487.9</v>
      </c>
      <c r="Q40" s="8">
        <f t="shared" si="10"/>
        <v>504.4</v>
      </c>
      <c r="R40" s="8">
        <f t="shared" si="10"/>
        <v>520.9</v>
      </c>
      <c r="S40" s="8">
        <f t="shared" si="10"/>
        <v>537.5</v>
      </c>
      <c r="T40" s="8">
        <f t="shared" si="10"/>
        <v>554</v>
      </c>
      <c r="U40" s="8">
        <f t="shared" si="10"/>
        <v>570.5</v>
      </c>
      <c r="V40" s="8">
        <f t="shared" si="10"/>
        <v>587</v>
      </c>
      <c r="W40" s="8">
        <f t="shared" si="10"/>
        <v>603.5</v>
      </c>
      <c r="X40" s="8">
        <f t="shared" si="10"/>
        <v>669.6</v>
      </c>
      <c r="Y40" s="8">
        <f t="shared" si="10"/>
        <v>735.7</v>
      </c>
      <c r="Z40" s="8">
        <f t="shared" si="10"/>
        <v>801.8</v>
      </c>
      <c r="AA40" s="8">
        <f t="shared" si="10"/>
        <v>867.8</v>
      </c>
      <c r="AB40" s="8">
        <f t="shared" si="10"/>
        <v>884.4</v>
      </c>
      <c r="AC40" s="8">
        <f t="shared" si="10"/>
        <v>900.9</v>
      </c>
      <c r="AD40" s="8">
        <f t="shared" si="10"/>
        <v>917.4</v>
      </c>
      <c r="AE40" s="8">
        <f t="shared" si="10"/>
        <v>933.9</v>
      </c>
      <c r="AF40" s="8">
        <f t="shared" si="10"/>
        <v>1000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BQ41" ca="1" si="11">($B$41*H.Ge+$C$41*H.Ga+$D$41*H.Se)*F$40*$B$2/1000</f>
        <v>#DIV/0!</v>
      </c>
      <c r="G41" s="10" t="e">
        <f t="shared" ca="1" si="11"/>
        <v>#DIV/0!</v>
      </c>
      <c r="H41" s="10" t="e">
        <f t="shared" ca="1" si="11"/>
        <v>#DIV/0!</v>
      </c>
      <c r="I41" s="10" t="e">
        <f t="shared" ca="1" si="11"/>
        <v>#DIV/0!</v>
      </c>
      <c r="J41" s="10" t="e">
        <f t="shared" ca="1" si="11"/>
        <v>#DIV/0!</v>
      </c>
      <c r="K41" s="10" t="e">
        <f t="shared" ca="1" si="11"/>
        <v>#DIV/0!</v>
      </c>
      <c r="L41" s="10" t="e">
        <f t="shared" ca="1" si="11"/>
        <v>#DIV/0!</v>
      </c>
      <c r="M41" s="10" t="e">
        <f t="shared" ca="1" si="11"/>
        <v>#DIV/0!</v>
      </c>
      <c r="N41" s="10" t="e">
        <f t="shared" ca="1" si="11"/>
        <v>#DIV/0!</v>
      </c>
      <c r="O41" s="10" t="e">
        <f t="shared" ca="1" si="11"/>
        <v>#DIV/0!</v>
      </c>
      <c r="P41" s="10" t="e">
        <f t="shared" ca="1" si="11"/>
        <v>#DIV/0!</v>
      </c>
      <c r="Q41" s="10" t="e">
        <f t="shared" ca="1" si="11"/>
        <v>#DIV/0!</v>
      </c>
      <c r="R41" s="10" t="e">
        <f t="shared" ca="1" si="11"/>
        <v>#DIV/0!</v>
      </c>
      <c r="S41" s="10" t="e">
        <f t="shared" ca="1" si="11"/>
        <v>#DIV/0!</v>
      </c>
      <c r="T41" s="10" t="e">
        <f t="shared" ca="1" si="11"/>
        <v>#DIV/0!</v>
      </c>
      <c r="U41" s="10" t="e">
        <f t="shared" ca="1" si="11"/>
        <v>#DIV/0!</v>
      </c>
      <c r="V41" s="10" t="e">
        <f t="shared" ca="1" si="11"/>
        <v>#DIV/0!</v>
      </c>
      <c r="W41" s="10" t="e">
        <f t="shared" ca="1" si="11"/>
        <v>#DIV/0!</v>
      </c>
      <c r="X41" s="10" t="e">
        <f t="shared" ca="1" si="11"/>
        <v>#DIV/0!</v>
      </c>
      <c r="Y41" s="10" t="e">
        <f t="shared" ca="1" si="11"/>
        <v>#DIV/0!</v>
      </c>
      <c r="Z41" s="10" t="e">
        <f t="shared" ca="1" si="11"/>
        <v>#DIV/0!</v>
      </c>
      <c r="AA41" s="10" t="e">
        <f t="shared" ca="1" si="11"/>
        <v>#DIV/0!</v>
      </c>
      <c r="AB41" s="10" t="e">
        <f t="shared" ca="1" si="11"/>
        <v>#DIV/0!</v>
      </c>
      <c r="AC41" s="10" t="e">
        <f t="shared" ca="1" si="11"/>
        <v>#DIV/0!</v>
      </c>
      <c r="AD41" s="10" t="e">
        <f t="shared" ca="1" si="11"/>
        <v>#DIV/0!</v>
      </c>
      <c r="AE41" s="10" t="e">
        <f t="shared" ca="1" si="11"/>
        <v>#DIV/0!</v>
      </c>
      <c r="AF41" s="10" t="e">
        <f t="shared" ca="1" si="11"/>
        <v>#DIV/0!</v>
      </c>
      <c r="AG41" s="10" t="e">
        <f t="shared" ca="1" si="11"/>
        <v>#DIV/0!</v>
      </c>
      <c r="AH41" s="10" t="e">
        <f t="shared" ca="1" si="11"/>
        <v>#DIV/0!</v>
      </c>
      <c r="AI41" s="10" t="e">
        <f t="shared" ca="1" si="11"/>
        <v>#DIV/0!</v>
      </c>
      <c r="AJ41" s="10" t="e">
        <f t="shared" ca="1" si="11"/>
        <v>#DIV/0!</v>
      </c>
      <c r="AK41" s="10" t="e">
        <f t="shared" ca="1" si="11"/>
        <v>#DIV/0!</v>
      </c>
      <c r="AL41" s="10" t="e">
        <f t="shared" ca="1" si="11"/>
        <v>#DIV/0!</v>
      </c>
      <c r="AM41" s="10" t="e">
        <f t="shared" ca="1" si="11"/>
        <v>#DIV/0!</v>
      </c>
      <c r="AN41" s="10" t="e">
        <f t="shared" ca="1" si="11"/>
        <v>#DIV/0!</v>
      </c>
      <c r="AO41" s="10" t="e">
        <f t="shared" ca="1" si="11"/>
        <v>#DIV/0!</v>
      </c>
      <c r="AP41" s="10" t="e">
        <f t="shared" ca="1" si="11"/>
        <v>#DIV/0!</v>
      </c>
      <c r="AQ41" s="10" t="e">
        <f t="shared" ca="1" si="11"/>
        <v>#DIV/0!</v>
      </c>
      <c r="AR41" s="10" t="e">
        <f t="shared" ca="1" si="11"/>
        <v>#DIV/0!</v>
      </c>
      <c r="AS41" s="10" t="e">
        <f t="shared" ca="1" si="11"/>
        <v>#DIV/0!</v>
      </c>
      <c r="AT41" s="10" t="e">
        <f t="shared" ca="1" si="11"/>
        <v>#DIV/0!</v>
      </c>
      <c r="AU41" s="10" t="e">
        <f t="shared" ca="1" si="11"/>
        <v>#DIV/0!</v>
      </c>
      <c r="AV41" s="10" t="e">
        <f t="shared" ca="1" si="11"/>
        <v>#DIV/0!</v>
      </c>
      <c r="AW41" s="10" t="e">
        <f t="shared" ca="1" si="11"/>
        <v>#DIV/0!</v>
      </c>
      <c r="AX41" s="10" t="e">
        <f t="shared" ca="1" si="11"/>
        <v>#DIV/0!</v>
      </c>
      <c r="AY41" s="10" t="e">
        <f t="shared" ca="1" si="11"/>
        <v>#DIV/0!</v>
      </c>
      <c r="AZ41" s="10" t="e">
        <f t="shared" ca="1" si="11"/>
        <v>#DIV/0!</v>
      </c>
      <c r="BA41" s="10" t="e">
        <f t="shared" ca="1" si="11"/>
        <v>#DIV/0!</v>
      </c>
      <c r="BB41" s="10" t="e">
        <f t="shared" ca="1" si="11"/>
        <v>#DIV/0!</v>
      </c>
      <c r="BC41" s="10" t="e">
        <f t="shared" ca="1" si="11"/>
        <v>#DIV/0!</v>
      </c>
      <c r="BD41" s="10" t="e">
        <f t="shared" ca="1" si="11"/>
        <v>#DIV/0!</v>
      </c>
      <c r="BE41" s="10" t="e">
        <f t="shared" ca="1" si="11"/>
        <v>#DIV/0!</v>
      </c>
      <c r="BF41" s="10" t="e">
        <f t="shared" ca="1" si="11"/>
        <v>#DIV/0!</v>
      </c>
      <c r="BG41" s="10" t="e">
        <f t="shared" ca="1" si="11"/>
        <v>#DIV/0!</v>
      </c>
      <c r="BH41" s="10" t="e">
        <f t="shared" ca="1" si="11"/>
        <v>#DIV/0!</v>
      </c>
      <c r="BI41" s="10" t="e">
        <f t="shared" ca="1" si="11"/>
        <v>#DIV/0!</v>
      </c>
      <c r="BJ41" s="10" t="e">
        <f t="shared" ca="1" si="11"/>
        <v>#DIV/0!</v>
      </c>
      <c r="BK41" s="10" t="e">
        <f t="shared" ca="1" si="11"/>
        <v>#DIV/0!</v>
      </c>
      <c r="BL41" s="10" t="e">
        <f t="shared" ca="1" si="11"/>
        <v>#DIV/0!</v>
      </c>
      <c r="BM41" s="10" t="e">
        <f t="shared" ca="1" si="11"/>
        <v>#DIV/0!</v>
      </c>
      <c r="BN41" s="10" t="e">
        <f t="shared" ca="1" si="11"/>
        <v>#DIV/0!</v>
      </c>
      <c r="BO41" s="10" t="e">
        <f t="shared" ca="1" si="11"/>
        <v>#DIV/0!</v>
      </c>
      <c r="BP41" s="10" t="e">
        <f t="shared" ca="1" si="11"/>
        <v>#DIV/0!</v>
      </c>
      <c r="BQ41" s="10" t="e">
        <f t="shared" ca="1" si="11"/>
        <v>#DIV/0!</v>
      </c>
      <c r="BR41" s="10" t="e">
        <f t="shared" ref="BR41" ca="1" si="12">($B$41*H.Ge+$C$41*H.Ga+$D$41*H.Se)*BR$40*$B$2/1000</f>
        <v>#DIV/0!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Temperature,K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355.7</v>
      </c>
      <c r="L45" s="3">
        <f t="shared" si="14"/>
        <v>372.3</v>
      </c>
      <c r="M45" s="3">
        <f t="shared" si="14"/>
        <v>388.8</v>
      </c>
      <c r="N45" s="3">
        <f t="shared" si="14"/>
        <v>405.3</v>
      </c>
      <c r="O45" s="3">
        <f t="shared" si="14"/>
        <v>471.4</v>
      </c>
      <c r="P45" s="3">
        <f t="shared" si="14"/>
        <v>487.9</v>
      </c>
      <c r="Q45" s="3">
        <f t="shared" si="14"/>
        <v>504.4</v>
      </c>
      <c r="R45" s="3">
        <f t="shared" si="14"/>
        <v>520.9</v>
      </c>
      <c r="S45" s="3">
        <f t="shared" si="14"/>
        <v>537.5</v>
      </c>
      <c r="T45" s="3">
        <f t="shared" si="14"/>
        <v>554</v>
      </c>
      <c r="U45" s="3">
        <f t="shared" si="14"/>
        <v>570.5</v>
      </c>
      <c r="V45" s="3">
        <f t="shared" si="14"/>
        <v>587</v>
      </c>
      <c r="W45" s="3">
        <f t="shared" si="14"/>
        <v>603.5</v>
      </c>
      <c r="X45" s="3">
        <f t="shared" si="14"/>
        <v>669.6</v>
      </c>
      <c r="Y45" s="3">
        <f t="shared" si="14"/>
        <v>735.7</v>
      </c>
      <c r="Z45" s="3">
        <f t="shared" si="14"/>
        <v>801.8</v>
      </c>
      <c r="AA45" s="3">
        <f t="shared" si="14"/>
        <v>867.8</v>
      </c>
      <c r="AB45" s="3">
        <f t="shared" si="14"/>
        <v>884.4</v>
      </c>
      <c r="AC45" s="3">
        <f t="shared" si="14"/>
        <v>900.9</v>
      </c>
      <c r="AD45" s="3">
        <f t="shared" si="14"/>
        <v>917.4</v>
      </c>
      <c r="AE45" s="3">
        <f t="shared" si="14"/>
        <v>933.9</v>
      </c>
      <c r="AF45" s="3">
        <f t="shared" si="14"/>
        <v>1000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2</v>
      </c>
      <c r="C46" s="5">
        <f t="shared" si="15"/>
        <v>1</v>
      </c>
      <c r="D46" s="5">
        <f t="shared" si="15"/>
        <v>0</v>
      </c>
      <c r="E46" s="6" t="str">
        <f t="shared" si="15"/>
        <v>*GeSe2</v>
      </c>
      <c r="F46" s="14">
        <f t="shared" ref="F46:U55" ca="1" si="16">$A46*H.Ar + $B46*H.Se + $C46*H.Ge + $D46*H.Ga</f>
        <v>-64.510000000000005</v>
      </c>
      <c r="G46" s="14">
        <f t="shared" ca="1" si="16"/>
        <v>-61.71</v>
      </c>
      <c r="H46" s="14">
        <f t="shared" ca="1" si="16"/>
        <v>-59.349999999999994</v>
      </c>
      <c r="I46" s="14">
        <f t="shared" ca="1" si="16"/>
        <v>-57.43</v>
      </c>
      <c r="J46" s="14">
        <f t="shared" ca="1" si="16"/>
        <v>-55.94</v>
      </c>
      <c r="K46" s="14">
        <f t="shared" ca="1" si="16"/>
        <v>-55.52</v>
      </c>
      <c r="L46" s="14">
        <f t="shared" ca="1" si="16"/>
        <v>-54.34</v>
      </c>
      <c r="M46" s="14">
        <f t="shared" ca="1" si="16"/>
        <v>-53.44</v>
      </c>
      <c r="N46" s="14">
        <f t="shared" ca="1" si="16"/>
        <v>-52.756999999999998</v>
      </c>
      <c r="O46" s="14">
        <f t="shared" ca="1" si="16"/>
        <v>-51.211999999999996</v>
      </c>
      <c r="P46" s="14">
        <f t="shared" ca="1" si="16"/>
        <v>-51.125</v>
      </c>
      <c r="Q46" s="14">
        <f t="shared" ca="1" si="16"/>
        <v>-51.204000000000001</v>
      </c>
      <c r="R46" s="14">
        <f t="shared" ca="1" si="16"/>
        <v>-51.43</v>
      </c>
      <c r="S46" s="14">
        <f t="shared" ca="1" si="16"/>
        <v>-51.793000000000006</v>
      </c>
      <c r="T46" s="14">
        <f t="shared" ca="1" si="16"/>
        <v>-52.254000000000005</v>
      </c>
      <c r="U46" s="14">
        <f t="shared" ca="1" si="16"/>
        <v>-52.744999999999997</v>
      </c>
      <c r="V46" s="14">
        <f t="shared" ref="G46:BR50" ca="1" si="17">$A46*H.Ar + $B46*H.Se + $C46*H.Ge + $D46*H.Ga</f>
        <v>-53.247999999999998</v>
      </c>
      <c r="W46" s="14">
        <f t="shared" ca="1" si="17"/>
        <v>-53.773000000000003</v>
      </c>
      <c r="X46" s="14">
        <f t="shared" ca="1" si="17"/>
        <v>-55.805</v>
      </c>
      <c r="Y46" s="14">
        <f t="shared" ca="1" si="17"/>
        <v>-57.748000000000005</v>
      </c>
      <c r="Z46" s="14">
        <f t="shared" ca="1" si="17"/>
        <v>-59.611000000000004</v>
      </c>
      <c r="AA46" s="14">
        <f t="shared" ca="1" si="17"/>
        <v>-61.406999999999996</v>
      </c>
      <c r="AB46" s="14">
        <f t="shared" ca="1" si="17"/>
        <v>-61.863</v>
      </c>
      <c r="AC46" s="14">
        <f t="shared" ca="1" si="17"/>
        <v>-62.293999999999997</v>
      </c>
      <c r="AD46" s="14">
        <f t="shared" ca="1" si="17"/>
        <v>-62.739999999999995</v>
      </c>
      <c r="AE46" s="14">
        <f t="shared" ca="1" si="17"/>
        <v>-63.182000000000002</v>
      </c>
      <c r="AF46" s="14">
        <f t="shared" ca="1" si="17"/>
        <v>-64.894000000000005</v>
      </c>
      <c r="AG46" s="14">
        <f t="shared" ca="1" si="17"/>
        <v>0</v>
      </c>
      <c r="AH46" s="14">
        <f t="shared" ca="1" si="17"/>
        <v>0</v>
      </c>
      <c r="AI46" s="14">
        <f t="shared" ca="1" si="17"/>
        <v>0</v>
      </c>
      <c r="AJ46" s="14">
        <f t="shared" ca="1" si="17"/>
        <v>0</v>
      </c>
      <c r="AK46" s="14">
        <f t="shared" ca="1" si="17"/>
        <v>0</v>
      </c>
      <c r="AL46" s="14">
        <f t="shared" ca="1" si="17"/>
        <v>0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1</v>
      </c>
      <c r="C47" s="5">
        <f t="shared" si="15"/>
        <v>0</v>
      </c>
      <c r="D47" s="5">
        <f t="shared" si="15"/>
        <v>0</v>
      </c>
      <c r="E47" s="6" t="str">
        <f t="shared" si="15"/>
        <v>*Se[M]</v>
      </c>
      <c r="F47" s="14">
        <f t="shared" ca="1" si="16"/>
        <v>-23.19</v>
      </c>
      <c r="G47" s="14">
        <f t="shared" ca="1" si="17"/>
        <v>-22.18</v>
      </c>
      <c r="H47" s="14">
        <f t="shared" ca="1" si="17"/>
        <v>-21.45</v>
      </c>
      <c r="I47" s="14">
        <f t="shared" ca="1" si="17"/>
        <v>-21.02</v>
      </c>
      <c r="J47" s="14">
        <f t="shared" ca="1" si="17"/>
        <v>-20.86</v>
      </c>
      <c r="K47" s="14">
        <f t="shared" ca="1" si="17"/>
        <v>-21.44</v>
      </c>
      <c r="L47" s="14">
        <f t="shared" ca="1" si="17"/>
        <v>-21.34</v>
      </c>
      <c r="M47" s="14">
        <f t="shared" ca="1" si="17"/>
        <v>-21.39</v>
      </c>
      <c r="N47" s="14">
        <f t="shared" ca="1" si="17"/>
        <v>-21.54</v>
      </c>
      <c r="O47" s="14">
        <f t="shared" ca="1" si="17"/>
        <v>-22.4</v>
      </c>
      <c r="P47" s="14">
        <f t="shared" ca="1" si="17"/>
        <v>-22.6</v>
      </c>
      <c r="Q47" s="14">
        <f t="shared" ca="1" si="17"/>
        <v>-22.79</v>
      </c>
      <c r="R47" s="14">
        <f t="shared" ca="1" si="17"/>
        <v>-22.98</v>
      </c>
      <c r="S47" s="14">
        <f t="shared" ca="1" si="17"/>
        <v>-23.19</v>
      </c>
      <c r="T47" s="14">
        <f t="shared" ca="1" si="17"/>
        <v>-23.42</v>
      </c>
      <c r="U47" s="14">
        <f t="shared" ca="1" si="17"/>
        <v>-23.65</v>
      </c>
      <c r="V47" s="14">
        <f t="shared" ca="1" si="17"/>
        <v>-23.88</v>
      </c>
      <c r="W47" s="14">
        <f t="shared" ca="1" si="17"/>
        <v>-24.12</v>
      </c>
      <c r="X47" s="14">
        <f t="shared" ca="1" si="17"/>
        <v>-25.05</v>
      </c>
      <c r="Y47" s="14">
        <f t="shared" ca="1" si="17"/>
        <v>-25.94</v>
      </c>
      <c r="Z47" s="14">
        <f t="shared" ca="1" si="17"/>
        <v>-26.78</v>
      </c>
      <c r="AA47" s="14">
        <f t="shared" ca="1" si="17"/>
        <v>-27.56</v>
      </c>
      <c r="AB47" s="14">
        <f t="shared" ca="1" si="17"/>
        <v>-27.76</v>
      </c>
      <c r="AC47" s="14">
        <f t="shared" ca="1" si="17"/>
        <v>-27.95</v>
      </c>
      <c r="AD47" s="14">
        <f t="shared" ca="1" si="17"/>
        <v>-28.15</v>
      </c>
      <c r="AE47" s="14">
        <f t="shared" ca="1" si="17"/>
        <v>-28.35</v>
      </c>
      <c r="AF47" s="14">
        <f t="shared" ca="1" si="17"/>
        <v>-29.13</v>
      </c>
      <c r="AG47" s="14">
        <f t="shared" ca="1" si="17"/>
        <v>0</v>
      </c>
      <c r="AH47" s="14">
        <f t="shared" ca="1" si="17"/>
        <v>0</v>
      </c>
      <c r="AI47" s="14">
        <f t="shared" ca="1" si="17"/>
        <v>0</v>
      </c>
      <c r="AJ47" s="14">
        <f t="shared" ca="1" si="17"/>
        <v>0</v>
      </c>
      <c r="AK47" s="14">
        <f t="shared" ca="1" si="17"/>
        <v>0</v>
      </c>
      <c r="AL47" s="14">
        <f t="shared" ca="1" si="17"/>
        <v>0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customHeight="1" outlineLevel="1" thickBot="1" x14ac:dyDescent="0.4">
      <c r="A48" s="5">
        <f t="shared" si="15"/>
        <v>0</v>
      </c>
      <c r="B48" s="5">
        <f t="shared" si="15"/>
        <v>1</v>
      </c>
      <c r="C48" s="5">
        <f t="shared" si="15"/>
        <v>1</v>
      </c>
      <c r="D48" s="5">
        <f t="shared" si="15"/>
        <v>0</v>
      </c>
      <c r="E48" s="6" t="str">
        <f t="shared" si="15"/>
        <v>GeSe</v>
      </c>
      <c r="F48" s="14">
        <f t="shared" ca="1" si="16"/>
        <v>-41.32</v>
      </c>
      <c r="G48" s="14">
        <f t="shared" ca="1" si="17"/>
        <v>-39.53</v>
      </c>
      <c r="H48" s="14">
        <f t="shared" ca="1" si="17"/>
        <v>-37.9</v>
      </c>
      <c r="I48" s="14">
        <f t="shared" ca="1" si="17"/>
        <v>-36.409999999999997</v>
      </c>
      <c r="J48" s="14">
        <f t="shared" ca="1" si="17"/>
        <v>-35.08</v>
      </c>
      <c r="K48" s="14">
        <f t="shared" ca="1" si="17"/>
        <v>-34.08</v>
      </c>
      <c r="L48" s="14">
        <f t="shared" ca="1" si="17"/>
        <v>-33</v>
      </c>
      <c r="M48" s="14">
        <f t="shared" ca="1" si="17"/>
        <v>-32.049999999999997</v>
      </c>
      <c r="N48" s="14">
        <f t="shared" ca="1" si="17"/>
        <v>-31.216999999999999</v>
      </c>
      <c r="O48" s="14">
        <f t="shared" ca="1" si="17"/>
        <v>-28.811999999999998</v>
      </c>
      <c r="P48" s="14">
        <f t="shared" ca="1" si="17"/>
        <v>-28.525000000000002</v>
      </c>
      <c r="Q48" s="14">
        <f t="shared" ca="1" si="17"/>
        <v>-28.413999999999998</v>
      </c>
      <c r="R48" s="14">
        <f t="shared" ca="1" si="17"/>
        <v>-28.45</v>
      </c>
      <c r="S48" s="14">
        <f t="shared" ca="1" si="17"/>
        <v>-28.603000000000002</v>
      </c>
      <c r="T48" s="14">
        <f t="shared" ca="1" si="17"/>
        <v>-28.834000000000003</v>
      </c>
      <c r="U48" s="14">
        <f t="shared" ca="1" si="17"/>
        <v>-29.094999999999999</v>
      </c>
      <c r="V48" s="14">
        <f t="shared" ca="1" si="17"/>
        <v>-29.367999999999999</v>
      </c>
      <c r="W48" s="14">
        <f t="shared" ca="1" si="17"/>
        <v>-29.653000000000002</v>
      </c>
      <c r="X48" s="14">
        <f t="shared" ca="1" si="17"/>
        <v>-30.755000000000003</v>
      </c>
      <c r="Y48" s="14">
        <f t="shared" ca="1" si="17"/>
        <v>-31.808</v>
      </c>
      <c r="Z48" s="14">
        <f t="shared" ca="1" si="17"/>
        <v>-32.831000000000003</v>
      </c>
      <c r="AA48" s="14">
        <f t="shared" ca="1" si="17"/>
        <v>-33.847000000000001</v>
      </c>
      <c r="AB48" s="14">
        <f t="shared" ca="1" si="17"/>
        <v>-34.103000000000002</v>
      </c>
      <c r="AC48" s="14">
        <f t="shared" ca="1" si="17"/>
        <v>-34.344000000000001</v>
      </c>
      <c r="AD48" s="14">
        <f t="shared" ca="1" si="17"/>
        <v>-34.589999999999996</v>
      </c>
      <c r="AE48" s="14">
        <f t="shared" ca="1" si="17"/>
        <v>-34.832000000000001</v>
      </c>
      <c r="AF48" s="14">
        <f t="shared" ca="1" si="17"/>
        <v>-35.763999999999996</v>
      </c>
      <c r="AG48" s="14">
        <f t="shared" ca="1" si="17"/>
        <v>0</v>
      </c>
      <c r="AH48" s="14">
        <f t="shared" ca="1" si="17"/>
        <v>0</v>
      </c>
      <c r="AI48" s="14">
        <f t="shared" ca="1" si="17"/>
        <v>0</v>
      </c>
      <c r="AJ48" s="14">
        <f t="shared" ca="1" si="17"/>
        <v>0</v>
      </c>
      <c r="AK48" s="14">
        <f t="shared" ca="1" si="17"/>
        <v>0</v>
      </c>
      <c r="AL48" s="14">
        <f t="shared" ca="1" si="17"/>
        <v>0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1</v>
      </c>
      <c r="C49" s="5">
        <f t="shared" si="15"/>
        <v>0</v>
      </c>
      <c r="D49" s="5">
        <f t="shared" si="15"/>
        <v>2</v>
      </c>
      <c r="E49" s="6" t="str">
        <f t="shared" si="15"/>
        <v>Ga2Se</v>
      </c>
      <c r="F49" s="14">
        <f t="shared" ca="1" si="16"/>
        <v>-156.55000000000001</v>
      </c>
      <c r="G49" s="14">
        <f t="shared" ca="1" si="17"/>
        <v>-148.28</v>
      </c>
      <c r="H49" s="14">
        <f t="shared" ca="1" si="17"/>
        <v>-140.60999999999999</v>
      </c>
      <c r="I49" s="14">
        <f t="shared" ca="1" si="17"/>
        <v>-133.32</v>
      </c>
      <c r="J49" s="14">
        <f t="shared" ca="1" si="17"/>
        <v>-126.34</v>
      </c>
      <c r="K49" s="14">
        <f t="shared" ca="1" si="17"/>
        <v>-118.48</v>
      </c>
      <c r="L49" s="14">
        <f t="shared" ca="1" si="17"/>
        <v>-112.7</v>
      </c>
      <c r="M49" s="14">
        <f t="shared" ca="1" si="17"/>
        <v>-107.17</v>
      </c>
      <c r="N49" s="14">
        <f t="shared" ca="1" si="17"/>
        <v>-101.9</v>
      </c>
      <c r="O49" s="14">
        <f t="shared" ca="1" si="17"/>
        <v>-84.16</v>
      </c>
      <c r="P49" s="14">
        <f t="shared" ca="1" si="17"/>
        <v>-80.62</v>
      </c>
      <c r="Q49" s="14">
        <f t="shared" ca="1" si="17"/>
        <v>-77.39</v>
      </c>
      <c r="R49" s="14">
        <f t="shared" ca="1" si="17"/>
        <v>-74.34</v>
      </c>
      <c r="S49" s="14">
        <f t="shared" ca="1" si="17"/>
        <v>-71.510000000000005</v>
      </c>
      <c r="T49" s="14">
        <f t="shared" ca="1" si="17"/>
        <v>-68.86</v>
      </c>
      <c r="U49" s="14">
        <f t="shared" ca="1" si="17"/>
        <v>-66.430000000000007</v>
      </c>
      <c r="V49" s="14">
        <f t="shared" ca="1" si="17"/>
        <v>-64.22</v>
      </c>
      <c r="W49" s="14">
        <f t="shared" ca="1" si="17"/>
        <v>-62.22</v>
      </c>
      <c r="X49" s="14">
        <f t="shared" ca="1" si="17"/>
        <v>-55.53</v>
      </c>
      <c r="Y49" s="14">
        <f t="shared" ca="1" si="17"/>
        <v>-50.2</v>
      </c>
      <c r="Z49" s="14">
        <f t="shared" ca="1" si="17"/>
        <v>-46.21</v>
      </c>
      <c r="AA49" s="14">
        <f t="shared" ca="1" si="17"/>
        <v>-44.519999999999996</v>
      </c>
      <c r="AB49" s="14">
        <f t="shared" ca="1" si="17"/>
        <v>-44.504000000000005</v>
      </c>
      <c r="AC49" s="14">
        <f t="shared" ca="1" si="17"/>
        <v>-44.585999999999999</v>
      </c>
      <c r="AD49" s="14">
        <f t="shared" ca="1" si="17"/>
        <v>-44.75</v>
      </c>
      <c r="AE49" s="14">
        <f t="shared" ca="1" si="17"/>
        <v>-44.96</v>
      </c>
      <c r="AF49" s="14">
        <f t="shared" ca="1" si="17"/>
        <v>-45.954000000000001</v>
      </c>
      <c r="AG49" s="14">
        <f t="shared" ca="1" si="17"/>
        <v>0</v>
      </c>
      <c r="AH49" s="14">
        <f t="shared" ca="1" si="17"/>
        <v>0</v>
      </c>
      <c r="AI49" s="14">
        <f t="shared" ca="1" si="17"/>
        <v>0</v>
      </c>
      <c r="AJ49" s="14">
        <f t="shared" ca="1" si="17"/>
        <v>0</v>
      </c>
      <c r="AK49" s="14">
        <f t="shared" ca="1" si="17"/>
        <v>0</v>
      </c>
      <c r="AL49" s="14">
        <f t="shared" ca="1" si="17"/>
        <v>0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customHeight="1" outlineLevel="1" thickBot="1" x14ac:dyDescent="0.4">
      <c r="A50" s="5">
        <f t="shared" si="15"/>
        <v>1</v>
      </c>
      <c r="B50" s="5">
        <f t="shared" si="15"/>
        <v>0</v>
      </c>
      <c r="C50" s="5">
        <f t="shared" si="15"/>
        <v>0</v>
      </c>
      <c r="D50" s="5">
        <f t="shared" si="15"/>
        <v>0</v>
      </c>
      <c r="E50" s="6" t="str">
        <f t="shared" si="15"/>
        <v>Ar</v>
      </c>
      <c r="F50" s="14">
        <f t="shared" ca="1" si="16"/>
        <v>-18.87</v>
      </c>
      <c r="G50" s="14">
        <f t="shared" ca="1" si="17"/>
        <v>-18.87</v>
      </c>
      <c r="H50" s="14">
        <f t="shared" ca="1" si="17"/>
        <v>-18.899999999999999</v>
      </c>
      <c r="I50" s="14">
        <f t="shared" ca="1" si="17"/>
        <v>-18.95</v>
      </c>
      <c r="J50" s="14">
        <f t="shared" ca="1" si="17"/>
        <v>-19.010000000000002</v>
      </c>
      <c r="K50" s="14">
        <f t="shared" ca="1" si="17"/>
        <v>-18.98</v>
      </c>
      <c r="L50" s="14">
        <f t="shared" ca="1" si="17"/>
        <v>-19.04</v>
      </c>
      <c r="M50" s="14">
        <f t="shared" ca="1" si="17"/>
        <v>-19.09</v>
      </c>
      <c r="N50" s="14">
        <f t="shared" ca="1" si="17"/>
        <v>-19.14</v>
      </c>
      <c r="O50" s="14">
        <f t="shared" ca="1" si="17"/>
        <v>-19.18</v>
      </c>
      <c r="P50" s="14">
        <f t="shared" ca="1" si="17"/>
        <v>-19.13</v>
      </c>
      <c r="Q50" s="14">
        <f t="shared" ca="1" si="17"/>
        <v>-19.079999999999998</v>
      </c>
      <c r="R50" s="14">
        <f t="shared" ca="1" si="17"/>
        <v>-19.04</v>
      </c>
      <c r="S50" s="14">
        <f t="shared" ca="1" si="17"/>
        <v>-19.03</v>
      </c>
      <c r="T50" s="14">
        <f t="shared" ca="1" si="17"/>
        <v>-19.04</v>
      </c>
      <c r="U50" s="14">
        <f t="shared" ref="G50:BR54" ca="1" si="18">$A50*H.Ar + $B50*H.Se + $C50*H.Ge + $D50*H.Ga</f>
        <v>-19.059999999999999</v>
      </c>
      <c r="V50" s="14">
        <f t="shared" ca="1" si="18"/>
        <v>-19.079999999999998</v>
      </c>
      <c r="W50" s="14">
        <f t="shared" ca="1" si="18"/>
        <v>-19.11</v>
      </c>
      <c r="X50" s="14">
        <f t="shared" ca="1" si="18"/>
        <v>-19.25</v>
      </c>
      <c r="Y50" s="14">
        <f t="shared" ca="1" si="18"/>
        <v>-19.38</v>
      </c>
      <c r="Z50" s="14">
        <f t="shared" ca="1" si="18"/>
        <v>-19.510000000000002</v>
      </c>
      <c r="AA50" s="14">
        <f t="shared" ca="1" si="18"/>
        <v>-19.64</v>
      </c>
      <c r="AB50" s="14">
        <f t="shared" ca="1" si="18"/>
        <v>-19.670000000000002</v>
      </c>
      <c r="AC50" s="14">
        <f t="shared" ca="1" si="18"/>
        <v>-19.7</v>
      </c>
      <c r="AD50" s="14">
        <f t="shared" ca="1" si="18"/>
        <v>-19.73</v>
      </c>
      <c r="AE50" s="14">
        <f t="shared" ca="1" si="18"/>
        <v>-19.760000000000002</v>
      </c>
      <c r="AF50" s="14">
        <f t="shared" ca="1" si="18"/>
        <v>-19.88</v>
      </c>
      <c r="AG50" s="14">
        <f t="shared" ca="1" si="18"/>
        <v>0</v>
      </c>
      <c r="AH50" s="14">
        <f t="shared" ca="1" si="18"/>
        <v>0</v>
      </c>
      <c r="AI50" s="14">
        <f t="shared" ca="1" si="18"/>
        <v>0</v>
      </c>
      <c r="AJ50" s="14">
        <f t="shared" ca="1" si="18"/>
        <v>0</v>
      </c>
      <c r="AK50" s="14">
        <f t="shared" ca="1" si="18"/>
        <v>0</v>
      </c>
      <c r="AL50" s="14">
        <f t="shared" ca="1" si="18"/>
        <v>0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2</v>
      </c>
      <c r="C51" s="5">
        <f t="shared" si="15"/>
        <v>1</v>
      </c>
      <c r="D51" s="5">
        <f t="shared" si="15"/>
        <v>0</v>
      </c>
      <c r="E51" s="6" t="str">
        <f t="shared" si="15"/>
        <v>(l)GeSe2</v>
      </c>
      <c r="F51" s="14">
        <f t="shared" ca="1" si="16"/>
        <v>-64.510000000000005</v>
      </c>
      <c r="G51" s="14">
        <f t="shared" ca="1" si="18"/>
        <v>-61.71</v>
      </c>
      <c r="H51" s="14">
        <f t="shared" ca="1" si="18"/>
        <v>-59.349999999999994</v>
      </c>
      <c r="I51" s="14">
        <f t="shared" ca="1" si="18"/>
        <v>-57.43</v>
      </c>
      <c r="J51" s="14">
        <f t="shared" ca="1" si="18"/>
        <v>-55.94</v>
      </c>
      <c r="K51" s="14">
        <f t="shared" ca="1" si="18"/>
        <v>-55.52</v>
      </c>
      <c r="L51" s="14">
        <f t="shared" ca="1" si="18"/>
        <v>-54.34</v>
      </c>
      <c r="M51" s="14">
        <f t="shared" ca="1" si="18"/>
        <v>-53.44</v>
      </c>
      <c r="N51" s="14">
        <f t="shared" ca="1" si="18"/>
        <v>-52.756999999999998</v>
      </c>
      <c r="O51" s="14">
        <f t="shared" ca="1" si="18"/>
        <v>-51.211999999999996</v>
      </c>
      <c r="P51" s="14">
        <f t="shared" ca="1" si="18"/>
        <v>-51.125</v>
      </c>
      <c r="Q51" s="14">
        <f t="shared" ca="1" si="18"/>
        <v>-51.204000000000001</v>
      </c>
      <c r="R51" s="14">
        <f t="shared" ca="1" si="18"/>
        <v>-51.43</v>
      </c>
      <c r="S51" s="14">
        <f t="shared" ca="1" si="18"/>
        <v>-51.793000000000006</v>
      </c>
      <c r="T51" s="14">
        <f t="shared" ca="1" si="18"/>
        <v>-52.254000000000005</v>
      </c>
      <c r="U51" s="14">
        <f t="shared" ca="1" si="18"/>
        <v>-52.744999999999997</v>
      </c>
      <c r="V51" s="14">
        <f t="shared" ca="1" si="18"/>
        <v>-53.247999999999998</v>
      </c>
      <c r="W51" s="14">
        <f t="shared" ca="1" si="18"/>
        <v>-53.773000000000003</v>
      </c>
      <c r="X51" s="14">
        <f t="shared" ca="1" si="18"/>
        <v>-55.805</v>
      </c>
      <c r="Y51" s="14">
        <f t="shared" ca="1" si="18"/>
        <v>-57.748000000000005</v>
      </c>
      <c r="Z51" s="14">
        <f t="shared" ca="1" si="18"/>
        <v>-59.611000000000004</v>
      </c>
      <c r="AA51" s="14">
        <f t="shared" ca="1" si="18"/>
        <v>-61.406999999999996</v>
      </c>
      <c r="AB51" s="14">
        <f t="shared" ca="1" si="18"/>
        <v>-61.863</v>
      </c>
      <c r="AC51" s="14">
        <f t="shared" ca="1" si="18"/>
        <v>-62.293999999999997</v>
      </c>
      <c r="AD51" s="14">
        <f t="shared" ca="1" si="18"/>
        <v>-62.739999999999995</v>
      </c>
      <c r="AE51" s="14">
        <f t="shared" ca="1" si="18"/>
        <v>-63.182000000000002</v>
      </c>
      <c r="AF51" s="14">
        <f t="shared" ca="1" si="18"/>
        <v>-64.894000000000005</v>
      </c>
      <c r="AG51" s="14">
        <f t="shared" ca="1" si="18"/>
        <v>0</v>
      </c>
      <c r="AH51" s="14">
        <f t="shared" ca="1" si="18"/>
        <v>0</v>
      </c>
      <c r="AI51" s="14">
        <f t="shared" ca="1" si="18"/>
        <v>0</v>
      </c>
      <c r="AJ51" s="14">
        <f t="shared" ca="1" si="18"/>
        <v>0</v>
      </c>
      <c r="AK51" s="14">
        <f t="shared" ca="1" si="18"/>
        <v>0</v>
      </c>
      <c r="AL51" s="14">
        <f t="shared" ca="1" si="18"/>
        <v>0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customHeight="1" outlineLevel="1" thickBot="1" x14ac:dyDescent="0.4">
      <c r="A52" s="5">
        <f t="shared" si="15"/>
        <v>0</v>
      </c>
      <c r="B52" s="5">
        <f t="shared" si="15"/>
        <v>1</v>
      </c>
      <c r="C52" s="5">
        <f t="shared" si="15"/>
        <v>1</v>
      </c>
      <c r="D52" s="5">
        <f t="shared" si="15"/>
        <v>0</v>
      </c>
      <c r="E52" s="6" t="str">
        <f t="shared" si="15"/>
        <v>(l)GeSe</v>
      </c>
      <c r="F52" s="14">
        <f t="shared" ca="1" si="16"/>
        <v>-41.32</v>
      </c>
      <c r="G52" s="14">
        <f t="shared" ca="1" si="18"/>
        <v>-39.53</v>
      </c>
      <c r="H52" s="14">
        <f t="shared" ca="1" si="18"/>
        <v>-37.9</v>
      </c>
      <c r="I52" s="14">
        <f t="shared" ca="1" si="18"/>
        <v>-36.409999999999997</v>
      </c>
      <c r="J52" s="14">
        <f t="shared" ca="1" si="18"/>
        <v>-35.08</v>
      </c>
      <c r="K52" s="14">
        <f t="shared" ca="1" si="18"/>
        <v>-34.08</v>
      </c>
      <c r="L52" s="14">
        <f t="shared" ca="1" si="18"/>
        <v>-33</v>
      </c>
      <c r="M52" s="14">
        <f t="shared" ca="1" si="18"/>
        <v>-32.049999999999997</v>
      </c>
      <c r="N52" s="14">
        <f t="shared" ca="1" si="18"/>
        <v>-31.216999999999999</v>
      </c>
      <c r="O52" s="14">
        <f t="shared" ca="1" si="18"/>
        <v>-28.811999999999998</v>
      </c>
      <c r="P52" s="14">
        <f t="shared" ca="1" si="18"/>
        <v>-28.525000000000002</v>
      </c>
      <c r="Q52" s="14">
        <f t="shared" ca="1" si="18"/>
        <v>-28.413999999999998</v>
      </c>
      <c r="R52" s="14">
        <f t="shared" ca="1" si="18"/>
        <v>-28.45</v>
      </c>
      <c r="S52" s="14">
        <f t="shared" ca="1" si="18"/>
        <v>-28.603000000000002</v>
      </c>
      <c r="T52" s="14">
        <f t="shared" ca="1" si="18"/>
        <v>-28.834000000000003</v>
      </c>
      <c r="U52" s="14">
        <f t="shared" ca="1" si="18"/>
        <v>-29.094999999999999</v>
      </c>
      <c r="V52" s="14">
        <f t="shared" ca="1" si="18"/>
        <v>-29.367999999999999</v>
      </c>
      <c r="W52" s="14">
        <f t="shared" ca="1" si="18"/>
        <v>-29.653000000000002</v>
      </c>
      <c r="X52" s="14">
        <f t="shared" ca="1" si="18"/>
        <v>-30.755000000000003</v>
      </c>
      <c r="Y52" s="14">
        <f t="shared" ca="1" si="18"/>
        <v>-31.808</v>
      </c>
      <c r="Z52" s="14">
        <f t="shared" ca="1" si="18"/>
        <v>-32.831000000000003</v>
      </c>
      <c r="AA52" s="14">
        <f t="shared" ca="1" si="18"/>
        <v>-33.847000000000001</v>
      </c>
      <c r="AB52" s="14">
        <f t="shared" ca="1" si="18"/>
        <v>-34.103000000000002</v>
      </c>
      <c r="AC52" s="14">
        <f t="shared" ca="1" si="18"/>
        <v>-34.344000000000001</v>
      </c>
      <c r="AD52" s="14">
        <f t="shared" ca="1" si="18"/>
        <v>-34.589999999999996</v>
      </c>
      <c r="AE52" s="14">
        <f t="shared" ca="1" si="18"/>
        <v>-34.832000000000001</v>
      </c>
      <c r="AF52" s="14">
        <f t="shared" ca="1" si="18"/>
        <v>-35.763999999999996</v>
      </c>
      <c r="AG52" s="14">
        <f t="shared" ca="1" si="18"/>
        <v>0</v>
      </c>
      <c r="AH52" s="14">
        <f t="shared" ca="1" si="18"/>
        <v>0</v>
      </c>
      <c r="AI52" s="14">
        <f t="shared" ca="1" si="18"/>
        <v>0</v>
      </c>
      <c r="AJ52" s="14">
        <f t="shared" ca="1" si="18"/>
        <v>0</v>
      </c>
      <c r="AK52" s="14">
        <f t="shared" ca="1" si="18"/>
        <v>0</v>
      </c>
      <c r="AL52" s="14">
        <f t="shared" ca="1" si="18"/>
        <v>0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0</v>
      </c>
      <c r="C53" s="5">
        <f t="shared" si="15"/>
        <v>1</v>
      </c>
      <c r="D53" s="5">
        <f t="shared" si="15"/>
        <v>0</v>
      </c>
      <c r="E53" s="6" t="str">
        <f t="shared" si="15"/>
        <v>(l)Ge</v>
      </c>
      <c r="F53" s="14">
        <f t="shared" ca="1" si="16"/>
        <v>-18.13</v>
      </c>
      <c r="G53" s="14">
        <f t="shared" ca="1" si="18"/>
        <v>-17.350000000000001</v>
      </c>
      <c r="H53" s="14">
        <f t="shared" ca="1" si="18"/>
        <v>-16.45</v>
      </c>
      <c r="I53" s="14">
        <f t="shared" ca="1" si="18"/>
        <v>-15.39</v>
      </c>
      <c r="J53" s="14">
        <f t="shared" ca="1" si="18"/>
        <v>-14.22</v>
      </c>
      <c r="K53" s="14">
        <f t="shared" ca="1" si="18"/>
        <v>-12.64</v>
      </c>
      <c r="L53" s="14">
        <f t="shared" ca="1" si="18"/>
        <v>-11.66</v>
      </c>
      <c r="M53" s="14">
        <f t="shared" ca="1" si="18"/>
        <v>-10.66</v>
      </c>
      <c r="N53" s="14">
        <f t="shared" ca="1" si="18"/>
        <v>-9.6769999999999996</v>
      </c>
      <c r="O53" s="14">
        <f t="shared" ca="1" si="18"/>
        <v>-6.4119999999999999</v>
      </c>
      <c r="P53" s="14">
        <f t="shared" ca="1" si="18"/>
        <v>-5.9249999999999998</v>
      </c>
      <c r="Q53" s="14">
        <f t="shared" ca="1" si="18"/>
        <v>-5.6239999999999997</v>
      </c>
      <c r="R53" s="14">
        <f t="shared" ca="1" si="18"/>
        <v>-5.47</v>
      </c>
      <c r="S53" s="14">
        <f t="shared" ca="1" si="18"/>
        <v>-5.4130000000000003</v>
      </c>
      <c r="T53" s="14">
        <f t="shared" ca="1" si="18"/>
        <v>-5.4139999999999997</v>
      </c>
      <c r="U53" s="14">
        <f t="shared" ca="1" si="18"/>
        <v>-5.4450000000000003</v>
      </c>
      <c r="V53" s="14">
        <f t="shared" ca="1" si="18"/>
        <v>-5.4880000000000004</v>
      </c>
      <c r="W53" s="14">
        <f t="shared" ca="1" si="18"/>
        <v>-5.5330000000000004</v>
      </c>
      <c r="X53" s="14">
        <f t="shared" ca="1" si="18"/>
        <v>-5.7050000000000001</v>
      </c>
      <c r="Y53" s="14">
        <f t="shared" ca="1" si="18"/>
        <v>-5.8680000000000003</v>
      </c>
      <c r="Z53" s="14">
        <f t="shared" ca="1" si="18"/>
        <v>-6.0510000000000002</v>
      </c>
      <c r="AA53" s="14">
        <f t="shared" ca="1" si="18"/>
        <v>-6.2869999999999999</v>
      </c>
      <c r="AB53" s="14">
        <f t="shared" ca="1" si="18"/>
        <v>-6.343</v>
      </c>
      <c r="AC53" s="14">
        <f t="shared" ca="1" si="18"/>
        <v>-6.3940000000000001</v>
      </c>
      <c r="AD53" s="14">
        <f t="shared" ca="1" si="18"/>
        <v>-6.44</v>
      </c>
      <c r="AE53" s="14">
        <f t="shared" ca="1" si="18"/>
        <v>-6.4820000000000002</v>
      </c>
      <c r="AF53" s="14">
        <f t="shared" ca="1" si="18"/>
        <v>-6.6340000000000003</v>
      </c>
      <c r="AG53" s="14">
        <f t="shared" ca="1" si="18"/>
        <v>0</v>
      </c>
      <c r="AH53" s="14">
        <f t="shared" ca="1" si="18"/>
        <v>0</v>
      </c>
      <c r="AI53" s="14">
        <f t="shared" ca="1" si="18"/>
        <v>0</v>
      </c>
      <c r="AJ53" s="14">
        <f t="shared" ca="1" si="18"/>
        <v>0</v>
      </c>
      <c r="AK53" s="14">
        <f t="shared" ca="1" si="18"/>
        <v>0</v>
      </c>
      <c r="AL53" s="14">
        <f t="shared" ca="1" si="18"/>
        <v>0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3</v>
      </c>
      <c r="C54" s="5">
        <f t="shared" si="15"/>
        <v>0</v>
      </c>
      <c r="D54" s="5">
        <f t="shared" si="15"/>
        <v>2</v>
      </c>
      <c r="E54" s="6" t="str">
        <f t="shared" si="15"/>
        <v>(l)Ga2Se3</v>
      </c>
      <c r="F54" s="14">
        <f t="shared" ca="1" si="16"/>
        <v>-202.93</v>
      </c>
      <c r="G54" s="14">
        <f t="shared" ca="1" si="18"/>
        <v>-192.64</v>
      </c>
      <c r="H54" s="14">
        <f t="shared" ca="1" si="18"/>
        <v>-183.51</v>
      </c>
      <c r="I54" s="14">
        <f t="shared" ca="1" si="18"/>
        <v>-175.36</v>
      </c>
      <c r="J54" s="14">
        <f t="shared" ca="1" si="18"/>
        <v>-168.06</v>
      </c>
      <c r="K54" s="14">
        <f t="shared" ca="1" si="18"/>
        <v>-161.36000000000001</v>
      </c>
      <c r="L54" s="14">
        <f t="shared" ca="1" si="18"/>
        <v>-155.38</v>
      </c>
      <c r="M54" s="14">
        <f t="shared" ca="1" si="18"/>
        <v>-149.94999999999999</v>
      </c>
      <c r="N54" s="14">
        <f t="shared" ca="1" si="18"/>
        <v>-144.98000000000002</v>
      </c>
      <c r="O54" s="14">
        <f t="shared" ca="1" si="18"/>
        <v>-128.95999999999998</v>
      </c>
      <c r="P54" s="14">
        <f t="shared" ca="1" si="18"/>
        <v>-125.82000000000002</v>
      </c>
      <c r="Q54" s="14">
        <f t="shared" ca="1" si="18"/>
        <v>-122.97</v>
      </c>
      <c r="R54" s="14">
        <f t="shared" ca="1" si="18"/>
        <v>-120.3</v>
      </c>
      <c r="S54" s="14">
        <f t="shared" ca="1" si="18"/>
        <v>-117.89000000000001</v>
      </c>
      <c r="T54" s="14">
        <f t="shared" ref="G54:BR58" ca="1" si="19">$A54*H.Ar + $B54*H.Se + $C54*H.Ge + $D54*H.Ga</f>
        <v>-115.7</v>
      </c>
      <c r="U54" s="14">
        <f t="shared" ca="1" si="19"/>
        <v>-113.72999999999999</v>
      </c>
      <c r="V54" s="14">
        <f t="shared" ca="1" si="19"/>
        <v>-111.98</v>
      </c>
      <c r="W54" s="14">
        <f t="shared" ca="1" si="19"/>
        <v>-110.46000000000001</v>
      </c>
      <c r="X54" s="14">
        <f t="shared" ca="1" si="19"/>
        <v>-105.63000000000001</v>
      </c>
      <c r="Y54" s="14">
        <f t="shared" ca="1" si="19"/>
        <v>-102.08000000000001</v>
      </c>
      <c r="Z54" s="14">
        <f t="shared" ca="1" si="19"/>
        <v>-99.77000000000001</v>
      </c>
      <c r="AA54" s="14">
        <f t="shared" ca="1" si="19"/>
        <v>-99.639999999999986</v>
      </c>
      <c r="AB54" s="14">
        <f t="shared" ca="1" si="19"/>
        <v>-100.024</v>
      </c>
      <c r="AC54" s="14">
        <f t="shared" ca="1" si="19"/>
        <v>-100.48599999999999</v>
      </c>
      <c r="AD54" s="14">
        <f t="shared" ca="1" si="19"/>
        <v>-101.04999999999998</v>
      </c>
      <c r="AE54" s="14">
        <f t="shared" ca="1" si="19"/>
        <v>-101.66000000000001</v>
      </c>
      <c r="AF54" s="14">
        <f t="shared" ca="1" si="19"/>
        <v>-104.214</v>
      </c>
      <c r="AG54" s="14">
        <f t="shared" ca="1" si="19"/>
        <v>0</v>
      </c>
      <c r="AH54" s="14">
        <f t="shared" ca="1" si="19"/>
        <v>0</v>
      </c>
      <c r="AI54" s="14">
        <f t="shared" ca="1" si="19"/>
        <v>0</v>
      </c>
      <c r="AJ54" s="14">
        <f t="shared" ca="1" si="19"/>
        <v>0</v>
      </c>
      <c r="AK54" s="14">
        <f t="shared" ca="1" si="19"/>
        <v>0</v>
      </c>
      <c r="AL54" s="14">
        <f t="shared" ca="1" si="19"/>
        <v>0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1</v>
      </c>
      <c r="C55" s="5">
        <f t="shared" si="15"/>
        <v>0</v>
      </c>
      <c r="D55" s="5">
        <f t="shared" si="15"/>
        <v>1</v>
      </c>
      <c r="E55" s="6" t="str">
        <f t="shared" si="15"/>
        <v>(l)GaSe</v>
      </c>
      <c r="F55" s="14">
        <f t="shared" ca="1" si="16"/>
        <v>-89.87</v>
      </c>
      <c r="G55" s="14">
        <f t="shared" ca="1" si="19"/>
        <v>-85.22999999999999</v>
      </c>
      <c r="H55" s="14">
        <f t="shared" ca="1" si="19"/>
        <v>-81.03</v>
      </c>
      <c r="I55" s="14">
        <f t="shared" ca="1" si="19"/>
        <v>-77.17</v>
      </c>
      <c r="J55" s="14">
        <f t="shared" ca="1" si="19"/>
        <v>-73.599999999999994</v>
      </c>
      <c r="K55" s="14">
        <f t="shared" ca="1" si="19"/>
        <v>-69.960000000000008</v>
      </c>
      <c r="L55" s="14">
        <f t="shared" ca="1" si="19"/>
        <v>-67.02</v>
      </c>
      <c r="M55" s="14">
        <f t="shared" ca="1" si="19"/>
        <v>-64.28</v>
      </c>
      <c r="N55" s="14">
        <f t="shared" ca="1" si="19"/>
        <v>-61.72</v>
      </c>
      <c r="O55" s="14">
        <f t="shared" ca="1" si="19"/>
        <v>-53.28</v>
      </c>
      <c r="P55" s="14">
        <f t="shared" ca="1" si="19"/>
        <v>-51.61</v>
      </c>
      <c r="Q55" s="14">
        <f t="shared" ca="1" si="19"/>
        <v>-50.09</v>
      </c>
      <c r="R55" s="14">
        <f t="shared" ca="1" si="19"/>
        <v>-48.66</v>
      </c>
      <c r="S55" s="14">
        <f t="shared" ca="1" si="19"/>
        <v>-47.35</v>
      </c>
      <c r="T55" s="14">
        <f t="shared" ca="1" si="19"/>
        <v>-46.14</v>
      </c>
      <c r="U55" s="14">
        <f t="shared" ca="1" si="19"/>
        <v>-45.04</v>
      </c>
      <c r="V55" s="14">
        <f t="shared" ca="1" si="19"/>
        <v>-44.05</v>
      </c>
      <c r="W55" s="14">
        <f t="shared" ca="1" si="19"/>
        <v>-43.17</v>
      </c>
      <c r="X55" s="14">
        <f t="shared" ca="1" si="19"/>
        <v>-40.29</v>
      </c>
      <c r="Y55" s="14">
        <f t="shared" ca="1" si="19"/>
        <v>-38.07</v>
      </c>
      <c r="Z55" s="14">
        <f t="shared" ca="1" si="19"/>
        <v>-36.495000000000005</v>
      </c>
      <c r="AA55" s="14">
        <f t="shared" ca="1" si="19"/>
        <v>-36.04</v>
      </c>
      <c r="AB55" s="14">
        <f t="shared" ca="1" si="19"/>
        <v>-36.132000000000005</v>
      </c>
      <c r="AC55" s="14">
        <f t="shared" ca="1" si="19"/>
        <v>-36.268000000000001</v>
      </c>
      <c r="AD55" s="14">
        <f t="shared" ca="1" si="19"/>
        <v>-36.450000000000003</v>
      </c>
      <c r="AE55" s="14">
        <f t="shared" ca="1" si="19"/>
        <v>-36.655000000000001</v>
      </c>
      <c r="AF55" s="14">
        <f t="shared" ca="1" si="19"/>
        <v>-37.542000000000002</v>
      </c>
      <c r="AG55" s="14">
        <f t="shared" ca="1" si="19"/>
        <v>0</v>
      </c>
      <c r="AH55" s="14">
        <f t="shared" ca="1" si="19"/>
        <v>0</v>
      </c>
      <c r="AI55" s="14">
        <f t="shared" ca="1" si="19"/>
        <v>0</v>
      </c>
      <c r="AJ55" s="14">
        <f t="shared" ca="1" si="19"/>
        <v>0</v>
      </c>
      <c r="AK55" s="14">
        <f t="shared" ca="1" si="19"/>
        <v>0</v>
      </c>
      <c r="AL55" s="14">
        <f t="shared" ca="1" si="19"/>
        <v>0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1</v>
      </c>
      <c r="C56" s="5">
        <f t="shared" si="20"/>
        <v>0</v>
      </c>
      <c r="D56" s="5">
        <f t="shared" si="20"/>
        <v>2</v>
      </c>
      <c r="E56" s="6" t="str">
        <f t="shared" si="20"/>
        <v>(l)Ga2Se</v>
      </c>
      <c r="F56" s="14">
        <f t="shared" ref="F56:U65" ca="1" si="21">$A56*H.Ar + $B56*H.Se + $C56*H.Ge + $D56*H.Ga</f>
        <v>-156.55000000000001</v>
      </c>
      <c r="G56" s="14">
        <f t="shared" ca="1" si="21"/>
        <v>-148.28</v>
      </c>
      <c r="H56" s="14">
        <f t="shared" ca="1" si="21"/>
        <v>-140.60999999999999</v>
      </c>
      <c r="I56" s="14">
        <f t="shared" ca="1" si="21"/>
        <v>-133.32</v>
      </c>
      <c r="J56" s="14">
        <f t="shared" ca="1" si="21"/>
        <v>-126.34</v>
      </c>
      <c r="K56" s="14">
        <f t="shared" ca="1" si="21"/>
        <v>-118.48</v>
      </c>
      <c r="L56" s="14">
        <f t="shared" ca="1" si="21"/>
        <v>-112.7</v>
      </c>
      <c r="M56" s="14">
        <f t="shared" ca="1" si="21"/>
        <v>-107.17</v>
      </c>
      <c r="N56" s="14">
        <f t="shared" ca="1" si="21"/>
        <v>-101.9</v>
      </c>
      <c r="O56" s="14">
        <f t="shared" ca="1" si="21"/>
        <v>-84.16</v>
      </c>
      <c r="P56" s="14">
        <f t="shared" ca="1" si="21"/>
        <v>-80.62</v>
      </c>
      <c r="Q56" s="14">
        <f t="shared" ca="1" si="21"/>
        <v>-77.39</v>
      </c>
      <c r="R56" s="14">
        <f t="shared" ca="1" si="21"/>
        <v>-74.34</v>
      </c>
      <c r="S56" s="14">
        <f t="shared" ca="1" si="21"/>
        <v>-71.510000000000005</v>
      </c>
      <c r="T56" s="14">
        <f t="shared" ca="1" si="21"/>
        <v>-68.86</v>
      </c>
      <c r="U56" s="14">
        <f t="shared" ca="1" si="21"/>
        <v>-66.430000000000007</v>
      </c>
      <c r="V56" s="14">
        <f t="shared" ca="1" si="19"/>
        <v>-64.22</v>
      </c>
      <c r="W56" s="14">
        <f t="shared" ca="1" si="19"/>
        <v>-62.22</v>
      </c>
      <c r="X56" s="14">
        <f t="shared" ca="1" si="19"/>
        <v>-55.53</v>
      </c>
      <c r="Y56" s="14">
        <f t="shared" ca="1" si="19"/>
        <v>-50.2</v>
      </c>
      <c r="Z56" s="14">
        <f t="shared" ca="1" si="19"/>
        <v>-46.21</v>
      </c>
      <c r="AA56" s="14">
        <f t="shared" ca="1" si="19"/>
        <v>-44.519999999999996</v>
      </c>
      <c r="AB56" s="14">
        <f t="shared" ca="1" si="19"/>
        <v>-44.504000000000005</v>
      </c>
      <c r="AC56" s="14">
        <f t="shared" ca="1" si="19"/>
        <v>-44.585999999999999</v>
      </c>
      <c r="AD56" s="14">
        <f t="shared" ca="1" si="19"/>
        <v>-44.75</v>
      </c>
      <c r="AE56" s="14">
        <f t="shared" ca="1" si="19"/>
        <v>-44.96</v>
      </c>
      <c r="AF56" s="14">
        <f t="shared" ca="1" si="19"/>
        <v>-45.954000000000001</v>
      </c>
      <c r="AG56" s="14">
        <f t="shared" ca="1" si="19"/>
        <v>0</v>
      </c>
      <c r="AH56" s="14">
        <f t="shared" ca="1" si="19"/>
        <v>0</v>
      </c>
      <c r="AI56" s="14">
        <f t="shared" ca="1" si="19"/>
        <v>0</v>
      </c>
      <c r="AJ56" s="14">
        <f t="shared" ca="1" si="19"/>
        <v>0</v>
      </c>
      <c r="AK56" s="14">
        <f t="shared" ca="1" si="19"/>
        <v>0</v>
      </c>
      <c r="AL56" s="14">
        <f t="shared" ca="1" si="19"/>
        <v>0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0</v>
      </c>
      <c r="C57" s="5">
        <f t="shared" si="20"/>
        <v>0</v>
      </c>
      <c r="D57" s="5">
        <f t="shared" si="20"/>
        <v>1</v>
      </c>
      <c r="E57" s="6" t="str">
        <f t="shared" si="20"/>
        <v>(l)Ga</v>
      </c>
      <c r="F57" s="14">
        <f t="shared" ca="1" si="21"/>
        <v>-66.680000000000007</v>
      </c>
      <c r="G57" s="14">
        <f t="shared" ca="1" si="19"/>
        <v>-63.05</v>
      </c>
      <c r="H57" s="14">
        <f t="shared" ca="1" si="19"/>
        <v>-59.58</v>
      </c>
      <c r="I57" s="14">
        <f t="shared" ca="1" si="19"/>
        <v>-56.15</v>
      </c>
      <c r="J57" s="14">
        <f t="shared" ca="1" si="19"/>
        <v>-52.74</v>
      </c>
      <c r="K57" s="14">
        <f t="shared" ca="1" si="19"/>
        <v>-48.52</v>
      </c>
      <c r="L57" s="14">
        <f t="shared" ca="1" si="19"/>
        <v>-45.68</v>
      </c>
      <c r="M57" s="14">
        <f t="shared" ca="1" si="19"/>
        <v>-42.89</v>
      </c>
      <c r="N57" s="14">
        <f t="shared" ca="1" si="19"/>
        <v>-40.18</v>
      </c>
      <c r="O57" s="14">
        <f t="shared" ca="1" si="19"/>
        <v>-30.88</v>
      </c>
      <c r="P57" s="14">
        <f t="shared" ca="1" si="19"/>
        <v>-29.01</v>
      </c>
      <c r="Q57" s="14">
        <f t="shared" ca="1" si="19"/>
        <v>-27.3</v>
      </c>
      <c r="R57" s="14">
        <f t="shared" ca="1" si="19"/>
        <v>-25.68</v>
      </c>
      <c r="S57" s="14">
        <f t="shared" ca="1" si="19"/>
        <v>-24.16</v>
      </c>
      <c r="T57" s="14">
        <f t="shared" ca="1" si="19"/>
        <v>-22.72</v>
      </c>
      <c r="U57" s="14">
        <f t="shared" ca="1" si="19"/>
        <v>-21.39</v>
      </c>
      <c r="V57" s="14">
        <f t="shared" ca="1" si="19"/>
        <v>-20.170000000000002</v>
      </c>
      <c r="W57" s="14">
        <f t="shared" ca="1" si="19"/>
        <v>-19.05</v>
      </c>
      <c r="X57" s="14">
        <f t="shared" ca="1" si="19"/>
        <v>-15.24</v>
      </c>
      <c r="Y57" s="14">
        <f t="shared" ca="1" si="19"/>
        <v>-12.13</v>
      </c>
      <c r="Z57" s="14">
        <f t="shared" ca="1" si="19"/>
        <v>-9.7149999999999999</v>
      </c>
      <c r="AA57" s="14">
        <f t="shared" ca="1" si="19"/>
        <v>-8.48</v>
      </c>
      <c r="AB57" s="14">
        <f t="shared" ca="1" si="19"/>
        <v>-8.3719999999999999</v>
      </c>
      <c r="AC57" s="14">
        <f t="shared" ca="1" si="19"/>
        <v>-8.3179999999999996</v>
      </c>
      <c r="AD57" s="14">
        <f t="shared" ca="1" si="19"/>
        <v>-8.3000000000000007</v>
      </c>
      <c r="AE57" s="14">
        <f t="shared" ca="1" si="19"/>
        <v>-8.3049999999999997</v>
      </c>
      <c r="AF57" s="14">
        <f t="shared" ca="1" si="19"/>
        <v>-8.4120000000000008</v>
      </c>
      <c r="AG57" s="14">
        <f t="shared" ca="1" si="19"/>
        <v>0</v>
      </c>
      <c r="AH57" s="14">
        <f t="shared" ca="1" si="19"/>
        <v>0</v>
      </c>
      <c r="AI57" s="14">
        <f t="shared" ca="1" si="19"/>
        <v>0</v>
      </c>
      <c r="AJ57" s="14">
        <f t="shared" ca="1" si="19"/>
        <v>0</v>
      </c>
      <c r="AK57" s="14">
        <f t="shared" ca="1" si="19"/>
        <v>0</v>
      </c>
      <c r="AL57" s="14">
        <f t="shared" ca="1" si="19"/>
        <v>0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1</v>
      </c>
      <c r="C58" s="5">
        <f t="shared" si="20"/>
        <v>0</v>
      </c>
      <c r="D58" s="5">
        <f t="shared" si="20"/>
        <v>0</v>
      </c>
      <c r="E58" s="6" t="str">
        <f t="shared" si="20"/>
        <v>(l)Se[A]</v>
      </c>
      <c r="F58" s="14">
        <f t="shared" ca="1" si="21"/>
        <v>-23.19</v>
      </c>
      <c r="G58" s="14">
        <f t="shared" ca="1" si="19"/>
        <v>-22.18</v>
      </c>
      <c r="H58" s="14">
        <f t="shared" ca="1" si="19"/>
        <v>-21.45</v>
      </c>
      <c r="I58" s="14">
        <f t="shared" ca="1" si="19"/>
        <v>-21.02</v>
      </c>
      <c r="J58" s="14">
        <f t="shared" ca="1" si="19"/>
        <v>-20.86</v>
      </c>
      <c r="K58" s="14">
        <f t="shared" ca="1" si="19"/>
        <v>-21.44</v>
      </c>
      <c r="L58" s="14">
        <f t="shared" ca="1" si="19"/>
        <v>-21.34</v>
      </c>
      <c r="M58" s="14">
        <f t="shared" ca="1" si="19"/>
        <v>-21.39</v>
      </c>
      <c r="N58" s="14">
        <f t="shared" ca="1" si="19"/>
        <v>-21.54</v>
      </c>
      <c r="O58" s="14">
        <f t="shared" ca="1" si="19"/>
        <v>-22.4</v>
      </c>
      <c r="P58" s="14">
        <f t="shared" ca="1" si="19"/>
        <v>-22.6</v>
      </c>
      <c r="Q58" s="14">
        <f t="shared" ca="1" si="19"/>
        <v>-22.79</v>
      </c>
      <c r="R58" s="14">
        <f t="shared" ca="1" si="19"/>
        <v>-22.98</v>
      </c>
      <c r="S58" s="14">
        <f t="shared" ca="1" si="19"/>
        <v>-23.19</v>
      </c>
      <c r="T58" s="14">
        <f t="shared" ca="1" si="19"/>
        <v>-23.42</v>
      </c>
      <c r="U58" s="14">
        <f t="shared" ca="1" si="19"/>
        <v>-23.65</v>
      </c>
      <c r="V58" s="14">
        <f t="shared" ca="1" si="19"/>
        <v>-23.88</v>
      </c>
      <c r="W58" s="14">
        <f t="shared" ca="1" si="19"/>
        <v>-24.12</v>
      </c>
      <c r="X58" s="14">
        <f t="shared" ca="1" si="19"/>
        <v>-25.05</v>
      </c>
      <c r="Y58" s="14">
        <f t="shared" ca="1" si="19"/>
        <v>-25.94</v>
      </c>
      <c r="Z58" s="14">
        <f t="shared" ca="1" si="19"/>
        <v>-26.78</v>
      </c>
      <c r="AA58" s="14">
        <f t="shared" ca="1" si="19"/>
        <v>-27.56</v>
      </c>
      <c r="AB58" s="14">
        <f t="shared" ca="1" si="19"/>
        <v>-27.76</v>
      </c>
      <c r="AC58" s="14">
        <f t="shared" ca="1" si="19"/>
        <v>-27.95</v>
      </c>
      <c r="AD58" s="14">
        <f t="shared" ca="1" si="19"/>
        <v>-28.15</v>
      </c>
      <c r="AE58" s="14">
        <f t="shared" ca="1" si="19"/>
        <v>-28.35</v>
      </c>
      <c r="AF58" s="14">
        <f t="shared" ca="1" si="19"/>
        <v>-29.13</v>
      </c>
      <c r="AG58" s="14">
        <f t="shared" ca="1" si="19"/>
        <v>0</v>
      </c>
      <c r="AH58" s="14">
        <f t="shared" ref="G58:BR62" ca="1" si="22">$A58*H.Ar + $B58*H.Se + $C58*H.Ge + $D58*H.Ga</f>
        <v>0</v>
      </c>
      <c r="AI58" s="14">
        <f t="shared" ca="1" si="22"/>
        <v>0</v>
      </c>
      <c r="AJ58" s="14">
        <f t="shared" ca="1" si="22"/>
        <v>0</v>
      </c>
      <c r="AK58" s="14">
        <f t="shared" ca="1" si="22"/>
        <v>0</v>
      </c>
      <c r="AL58" s="14">
        <f t="shared" ca="1" si="22"/>
        <v>0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1</v>
      </c>
      <c r="C59" s="5">
        <f t="shared" si="20"/>
        <v>0</v>
      </c>
      <c r="D59" s="5">
        <f t="shared" si="20"/>
        <v>0</v>
      </c>
      <c r="E59" s="6" t="str">
        <f t="shared" si="20"/>
        <v>(l)Se[M]</v>
      </c>
      <c r="F59" s="14">
        <f t="shared" ca="1" si="21"/>
        <v>-23.19</v>
      </c>
      <c r="G59" s="14">
        <f t="shared" ca="1" si="22"/>
        <v>-22.18</v>
      </c>
      <c r="H59" s="14">
        <f t="shared" ca="1" si="22"/>
        <v>-21.45</v>
      </c>
      <c r="I59" s="14">
        <f t="shared" ca="1" si="22"/>
        <v>-21.02</v>
      </c>
      <c r="J59" s="14">
        <f t="shared" ca="1" si="22"/>
        <v>-20.86</v>
      </c>
      <c r="K59" s="14">
        <f t="shared" ca="1" si="22"/>
        <v>-21.44</v>
      </c>
      <c r="L59" s="14">
        <f t="shared" ca="1" si="22"/>
        <v>-21.34</v>
      </c>
      <c r="M59" s="14">
        <f t="shared" ca="1" si="22"/>
        <v>-21.39</v>
      </c>
      <c r="N59" s="14">
        <f t="shared" ca="1" si="22"/>
        <v>-21.54</v>
      </c>
      <c r="O59" s="14">
        <f t="shared" ca="1" si="22"/>
        <v>-22.4</v>
      </c>
      <c r="P59" s="14">
        <f t="shared" ca="1" si="22"/>
        <v>-22.6</v>
      </c>
      <c r="Q59" s="14">
        <f t="shared" ca="1" si="22"/>
        <v>-22.79</v>
      </c>
      <c r="R59" s="14">
        <f t="shared" ca="1" si="22"/>
        <v>-22.98</v>
      </c>
      <c r="S59" s="14">
        <f t="shared" ca="1" si="22"/>
        <v>-23.19</v>
      </c>
      <c r="T59" s="14">
        <f t="shared" ca="1" si="22"/>
        <v>-23.42</v>
      </c>
      <c r="U59" s="14">
        <f t="shared" ca="1" si="22"/>
        <v>-23.65</v>
      </c>
      <c r="V59" s="14">
        <f t="shared" ca="1" si="22"/>
        <v>-23.88</v>
      </c>
      <c r="W59" s="14">
        <f t="shared" ca="1" si="22"/>
        <v>-24.12</v>
      </c>
      <c r="X59" s="14">
        <f t="shared" ca="1" si="22"/>
        <v>-25.05</v>
      </c>
      <c r="Y59" s="14">
        <f t="shared" ca="1" si="22"/>
        <v>-25.94</v>
      </c>
      <c r="Z59" s="14">
        <f t="shared" ca="1" si="22"/>
        <v>-26.78</v>
      </c>
      <c r="AA59" s="14">
        <f t="shared" ca="1" si="22"/>
        <v>-27.56</v>
      </c>
      <c r="AB59" s="14">
        <f t="shared" ca="1" si="22"/>
        <v>-27.76</v>
      </c>
      <c r="AC59" s="14">
        <f t="shared" ca="1" si="22"/>
        <v>-27.95</v>
      </c>
      <c r="AD59" s="14">
        <f t="shared" ca="1" si="22"/>
        <v>-28.15</v>
      </c>
      <c r="AE59" s="14">
        <f t="shared" ca="1" si="22"/>
        <v>-28.35</v>
      </c>
      <c r="AF59" s="14">
        <f t="shared" ca="1" si="22"/>
        <v>-29.13</v>
      </c>
      <c r="AG59" s="14">
        <f t="shared" ca="1" si="22"/>
        <v>0</v>
      </c>
      <c r="AH59" s="14">
        <f t="shared" ca="1" si="22"/>
        <v>0</v>
      </c>
      <c r="AI59" s="14">
        <f t="shared" ca="1" si="22"/>
        <v>0</v>
      </c>
      <c r="AJ59" s="14">
        <f t="shared" ca="1" si="22"/>
        <v>0</v>
      </c>
      <c r="AK59" s="14">
        <f t="shared" ca="1" si="22"/>
        <v>0</v>
      </c>
      <c r="AL59" s="14">
        <f t="shared" ca="1" si="22"/>
        <v>0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1</v>
      </c>
      <c r="C60" s="5">
        <f t="shared" si="20"/>
        <v>0</v>
      </c>
      <c r="D60" s="5">
        <f t="shared" si="20"/>
        <v>0</v>
      </c>
      <c r="E60" s="6" t="str">
        <f t="shared" si="20"/>
        <v>(l)Se[R]</v>
      </c>
      <c r="F60" s="14">
        <f t="shared" ca="1" si="21"/>
        <v>-23.19</v>
      </c>
      <c r="G60" s="14">
        <f t="shared" ca="1" si="22"/>
        <v>-22.18</v>
      </c>
      <c r="H60" s="14">
        <f t="shared" ca="1" si="22"/>
        <v>-21.45</v>
      </c>
      <c r="I60" s="14">
        <f t="shared" ca="1" si="22"/>
        <v>-21.02</v>
      </c>
      <c r="J60" s="14">
        <f t="shared" ca="1" si="22"/>
        <v>-20.86</v>
      </c>
      <c r="K60" s="14">
        <f t="shared" ca="1" si="22"/>
        <v>-21.44</v>
      </c>
      <c r="L60" s="14">
        <f t="shared" ca="1" si="22"/>
        <v>-21.34</v>
      </c>
      <c r="M60" s="14">
        <f t="shared" ca="1" si="22"/>
        <v>-21.39</v>
      </c>
      <c r="N60" s="14">
        <f t="shared" ca="1" si="22"/>
        <v>-21.54</v>
      </c>
      <c r="O60" s="14">
        <f t="shared" ca="1" si="22"/>
        <v>-22.4</v>
      </c>
      <c r="P60" s="14">
        <f t="shared" ca="1" si="22"/>
        <v>-22.6</v>
      </c>
      <c r="Q60" s="14">
        <f t="shared" ca="1" si="22"/>
        <v>-22.79</v>
      </c>
      <c r="R60" s="14">
        <f t="shared" ca="1" si="22"/>
        <v>-22.98</v>
      </c>
      <c r="S60" s="14">
        <f t="shared" ca="1" si="22"/>
        <v>-23.19</v>
      </c>
      <c r="T60" s="14">
        <f t="shared" ca="1" si="22"/>
        <v>-23.42</v>
      </c>
      <c r="U60" s="14">
        <f t="shared" ca="1" si="22"/>
        <v>-23.65</v>
      </c>
      <c r="V60" s="14">
        <f t="shared" ca="1" si="22"/>
        <v>-23.88</v>
      </c>
      <c r="W60" s="14">
        <f t="shared" ca="1" si="22"/>
        <v>-24.12</v>
      </c>
      <c r="X60" s="14">
        <f t="shared" ca="1" si="22"/>
        <v>-25.05</v>
      </c>
      <c r="Y60" s="14">
        <f t="shared" ca="1" si="22"/>
        <v>-25.94</v>
      </c>
      <c r="Z60" s="14">
        <f t="shared" ca="1" si="22"/>
        <v>-26.78</v>
      </c>
      <c r="AA60" s="14">
        <f t="shared" ca="1" si="22"/>
        <v>-27.56</v>
      </c>
      <c r="AB60" s="14">
        <f t="shared" ca="1" si="22"/>
        <v>-27.76</v>
      </c>
      <c r="AC60" s="14">
        <f t="shared" ca="1" si="22"/>
        <v>-27.95</v>
      </c>
      <c r="AD60" s="14">
        <f t="shared" ca="1" si="22"/>
        <v>-28.15</v>
      </c>
      <c r="AE60" s="14">
        <f t="shared" ca="1" si="22"/>
        <v>-28.35</v>
      </c>
      <c r="AF60" s="14">
        <f t="shared" ca="1" si="22"/>
        <v>-29.13</v>
      </c>
      <c r="AG60" s="14">
        <f t="shared" ca="1" si="22"/>
        <v>0</v>
      </c>
      <c r="AH60" s="14">
        <f t="shared" ca="1" si="22"/>
        <v>0</v>
      </c>
      <c r="AI60" s="14">
        <f t="shared" ca="1" si="22"/>
        <v>0</v>
      </c>
      <c r="AJ60" s="14">
        <f t="shared" ca="1" si="22"/>
        <v>0</v>
      </c>
      <c r="AK60" s="14">
        <f t="shared" ca="1" si="22"/>
        <v>0</v>
      </c>
      <c r="AL60" s="14">
        <f t="shared" ca="1" si="22"/>
        <v>0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1</v>
      </c>
      <c r="C61" s="5">
        <f t="shared" si="20"/>
        <v>0</v>
      </c>
      <c r="D61" s="5">
        <f t="shared" si="20"/>
        <v>0</v>
      </c>
      <c r="E61" s="6" t="str">
        <f t="shared" si="20"/>
        <v>(l)Se</v>
      </c>
      <c r="F61" s="14">
        <f t="shared" ca="1" si="21"/>
        <v>-23.19</v>
      </c>
      <c r="G61" s="14">
        <f t="shared" ca="1" si="22"/>
        <v>-22.18</v>
      </c>
      <c r="H61" s="14">
        <f t="shared" ca="1" si="22"/>
        <v>-21.45</v>
      </c>
      <c r="I61" s="14">
        <f t="shared" ca="1" si="22"/>
        <v>-21.02</v>
      </c>
      <c r="J61" s="14">
        <f t="shared" ca="1" si="22"/>
        <v>-20.86</v>
      </c>
      <c r="K61" s="14">
        <f t="shared" ca="1" si="22"/>
        <v>-21.44</v>
      </c>
      <c r="L61" s="14">
        <f t="shared" ca="1" si="22"/>
        <v>-21.34</v>
      </c>
      <c r="M61" s="14">
        <f t="shared" ca="1" si="22"/>
        <v>-21.39</v>
      </c>
      <c r="N61" s="14">
        <f t="shared" ca="1" si="22"/>
        <v>-21.54</v>
      </c>
      <c r="O61" s="14">
        <f t="shared" ca="1" si="22"/>
        <v>-22.4</v>
      </c>
      <c r="P61" s="14">
        <f t="shared" ca="1" si="22"/>
        <v>-22.6</v>
      </c>
      <c r="Q61" s="14">
        <f t="shared" ca="1" si="22"/>
        <v>-22.79</v>
      </c>
      <c r="R61" s="14">
        <f t="shared" ca="1" si="22"/>
        <v>-22.98</v>
      </c>
      <c r="S61" s="14">
        <f t="shared" ca="1" si="22"/>
        <v>-23.19</v>
      </c>
      <c r="T61" s="14">
        <f t="shared" ca="1" si="22"/>
        <v>-23.42</v>
      </c>
      <c r="U61" s="14">
        <f t="shared" ca="1" si="22"/>
        <v>-23.65</v>
      </c>
      <c r="V61" s="14">
        <f t="shared" ca="1" si="22"/>
        <v>-23.88</v>
      </c>
      <c r="W61" s="14">
        <f t="shared" ca="1" si="22"/>
        <v>-24.12</v>
      </c>
      <c r="X61" s="14">
        <f t="shared" ca="1" si="22"/>
        <v>-25.05</v>
      </c>
      <c r="Y61" s="14">
        <f t="shared" ca="1" si="22"/>
        <v>-25.94</v>
      </c>
      <c r="Z61" s="14">
        <f t="shared" ca="1" si="22"/>
        <v>-26.78</v>
      </c>
      <c r="AA61" s="14">
        <f t="shared" ca="1" si="22"/>
        <v>-27.56</v>
      </c>
      <c r="AB61" s="14">
        <f t="shared" ca="1" si="22"/>
        <v>-27.76</v>
      </c>
      <c r="AC61" s="14">
        <f t="shared" ca="1" si="22"/>
        <v>-27.95</v>
      </c>
      <c r="AD61" s="14">
        <f t="shared" ca="1" si="22"/>
        <v>-28.15</v>
      </c>
      <c r="AE61" s="14">
        <f t="shared" ca="1" si="22"/>
        <v>-28.35</v>
      </c>
      <c r="AF61" s="14">
        <f t="shared" ca="1" si="22"/>
        <v>-29.13</v>
      </c>
      <c r="AG61" s="14">
        <f t="shared" ca="1" si="22"/>
        <v>0</v>
      </c>
      <c r="AH61" s="14">
        <f t="shared" ca="1" si="22"/>
        <v>0</v>
      </c>
      <c r="AI61" s="14">
        <f t="shared" ca="1" si="22"/>
        <v>0</v>
      </c>
      <c r="AJ61" s="14">
        <f t="shared" ca="1" si="22"/>
        <v>0</v>
      </c>
      <c r="AK61" s="14">
        <f t="shared" ca="1" si="22"/>
        <v>0</v>
      </c>
      <c r="AL61" s="14">
        <f t="shared" ca="1" si="22"/>
        <v>0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0</v>
      </c>
      <c r="C62" s="5">
        <f t="shared" si="20"/>
        <v>0</v>
      </c>
      <c r="D62" s="5">
        <f t="shared" si="20"/>
        <v>1</v>
      </c>
      <c r="E62" s="6" t="str">
        <f t="shared" si="20"/>
        <v>(2)Ga[l]</v>
      </c>
      <c r="F62" s="14">
        <f t="shared" ca="1" si="21"/>
        <v>-66.680000000000007</v>
      </c>
      <c r="G62" s="14">
        <f t="shared" ca="1" si="22"/>
        <v>-63.05</v>
      </c>
      <c r="H62" s="14">
        <f t="shared" ca="1" si="22"/>
        <v>-59.58</v>
      </c>
      <c r="I62" s="14">
        <f t="shared" ca="1" si="22"/>
        <v>-56.15</v>
      </c>
      <c r="J62" s="14">
        <f t="shared" ca="1" si="22"/>
        <v>-52.74</v>
      </c>
      <c r="K62" s="14">
        <f t="shared" ca="1" si="22"/>
        <v>-48.52</v>
      </c>
      <c r="L62" s="14">
        <f t="shared" ca="1" si="22"/>
        <v>-45.68</v>
      </c>
      <c r="M62" s="14">
        <f t="shared" ca="1" si="22"/>
        <v>-42.89</v>
      </c>
      <c r="N62" s="14">
        <f t="shared" ca="1" si="22"/>
        <v>-40.18</v>
      </c>
      <c r="O62" s="14">
        <f t="shared" ca="1" si="22"/>
        <v>-30.88</v>
      </c>
      <c r="P62" s="14">
        <f t="shared" ca="1" si="22"/>
        <v>-29.01</v>
      </c>
      <c r="Q62" s="14">
        <f t="shared" ca="1" si="22"/>
        <v>-27.3</v>
      </c>
      <c r="R62" s="14">
        <f t="shared" ca="1" si="22"/>
        <v>-25.68</v>
      </c>
      <c r="S62" s="14">
        <f t="shared" ca="1" si="22"/>
        <v>-24.16</v>
      </c>
      <c r="T62" s="14">
        <f t="shared" ca="1" si="22"/>
        <v>-22.72</v>
      </c>
      <c r="U62" s="14">
        <f t="shared" ca="1" si="22"/>
        <v>-21.39</v>
      </c>
      <c r="V62" s="14">
        <f t="shared" ca="1" si="22"/>
        <v>-20.170000000000002</v>
      </c>
      <c r="W62" s="14">
        <f t="shared" ca="1" si="22"/>
        <v>-19.05</v>
      </c>
      <c r="X62" s="14">
        <f t="shared" ca="1" si="22"/>
        <v>-15.24</v>
      </c>
      <c r="Y62" s="14">
        <f t="shared" ca="1" si="22"/>
        <v>-12.13</v>
      </c>
      <c r="Z62" s="14">
        <f t="shared" ca="1" si="22"/>
        <v>-9.7149999999999999</v>
      </c>
      <c r="AA62" s="14">
        <f t="shared" ca="1" si="22"/>
        <v>-8.48</v>
      </c>
      <c r="AB62" s="14">
        <f t="shared" ca="1" si="22"/>
        <v>-8.3719999999999999</v>
      </c>
      <c r="AC62" s="14">
        <f t="shared" ca="1" si="22"/>
        <v>-8.3179999999999996</v>
      </c>
      <c r="AD62" s="14">
        <f t="shared" ca="1" si="22"/>
        <v>-8.3000000000000007</v>
      </c>
      <c r="AE62" s="14">
        <f t="shared" ca="1" si="22"/>
        <v>-8.3049999999999997</v>
      </c>
      <c r="AF62" s="14">
        <f t="shared" ca="1" si="22"/>
        <v>-8.4120000000000008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1</v>
      </c>
      <c r="D63" s="5">
        <f t="shared" si="20"/>
        <v>0</v>
      </c>
      <c r="E63" s="6" t="str">
        <f t="shared" si="20"/>
        <v>(2)Ge[l]</v>
      </c>
      <c r="F63" s="14">
        <f t="shared" ca="1" si="21"/>
        <v>-18.13</v>
      </c>
      <c r="G63" s="14">
        <f t="shared" ca="1" si="23"/>
        <v>-17.350000000000001</v>
      </c>
      <c r="H63" s="14">
        <f t="shared" ca="1" si="23"/>
        <v>-16.45</v>
      </c>
      <c r="I63" s="14">
        <f t="shared" ca="1" si="23"/>
        <v>-15.39</v>
      </c>
      <c r="J63" s="14">
        <f t="shared" ca="1" si="23"/>
        <v>-14.22</v>
      </c>
      <c r="K63" s="14">
        <f t="shared" ca="1" si="23"/>
        <v>-12.64</v>
      </c>
      <c r="L63" s="14">
        <f t="shared" ca="1" si="23"/>
        <v>-11.66</v>
      </c>
      <c r="M63" s="14">
        <f t="shared" ca="1" si="23"/>
        <v>-10.66</v>
      </c>
      <c r="N63" s="14">
        <f t="shared" ca="1" si="23"/>
        <v>-9.6769999999999996</v>
      </c>
      <c r="O63" s="14">
        <f t="shared" ca="1" si="23"/>
        <v>-6.4119999999999999</v>
      </c>
      <c r="P63" s="14">
        <f t="shared" ca="1" si="23"/>
        <v>-5.9249999999999998</v>
      </c>
      <c r="Q63" s="14">
        <f t="shared" ca="1" si="23"/>
        <v>-5.6239999999999997</v>
      </c>
      <c r="R63" s="14">
        <f t="shared" ca="1" si="23"/>
        <v>-5.47</v>
      </c>
      <c r="S63" s="14">
        <f t="shared" ca="1" si="23"/>
        <v>-5.4130000000000003</v>
      </c>
      <c r="T63" s="14">
        <f t="shared" ca="1" si="23"/>
        <v>-5.4139999999999997</v>
      </c>
      <c r="U63" s="14">
        <f t="shared" ca="1" si="23"/>
        <v>-5.4450000000000003</v>
      </c>
      <c r="V63" s="14">
        <f t="shared" ca="1" si="23"/>
        <v>-5.4880000000000004</v>
      </c>
      <c r="W63" s="14">
        <f t="shared" ca="1" si="23"/>
        <v>-5.5330000000000004</v>
      </c>
      <c r="X63" s="14">
        <f t="shared" ca="1" si="23"/>
        <v>-5.7050000000000001</v>
      </c>
      <c r="Y63" s="14">
        <f t="shared" ca="1" si="23"/>
        <v>-5.8680000000000003</v>
      </c>
      <c r="Z63" s="14">
        <f t="shared" ca="1" si="23"/>
        <v>-6.0510000000000002</v>
      </c>
      <c r="AA63" s="14">
        <f t="shared" ca="1" si="23"/>
        <v>-6.2869999999999999</v>
      </c>
      <c r="AB63" s="14">
        <f t="shared" ca="1" si="23"/>
        <v>-6.343</v>
      </c>
      <c r="AC63" s="14">
        <f t="shared" ca="1" si="23"/>
        <v>-6.3940000000000001</v>
      </c>
      <c r="AD63" s="14">
        <f t="shared" ca="1" si="23"/>
        <v>-6.44</v>
      </c>
      <c r="AE63" s="14">
        <f t="shared" ca="1" si="23"/>
        <v>-6.4820000000000002</v>
      </c>
      <c r="AF63" s="14">
        <f t="shared" ca="1" si="23"/>
        <v>-6.6340000000000003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customHeight="1" outlineLevel="1" thickBot="1" x14ac:dyDescent="0.4">
      <c r="A64" s="5">
        <f t="shared" si="20"/>
        <v>1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 t="str">
        <f t="shared" si="20"/>
        <v>H (Ar)</v>
      </c>
      <c r="F64" s="14">
        <f t="shared" ca="1" si="21"/>
        <v>-18.87</v>
      </c>
      <c r="G64" s="14">
        <f t="shared" ca="1" si="23"/>
        <v>-18.87</v>
      </c>
      <c r="H64" s="14">
        <f t="shared" ca="1" si="23"/>
        <v>-18.899999999999999</v>
      </c>
      <c r="I64" s="14">
        <f t="shared" ca="1" si="23"/>
        <v>-18.95</v>
      </c>
      <c r="J64" s="14">
        <f t="shared" ca="1" si="23"/>
        <v>-19.010000000000002</v>
      </c>
      <c r="K64" s="14">
        <f t="shared" ca="1" si="23"/>
        <v>-18.98</v>
      </c>
      <c r="L64" s="14">
        <f t="shared" ca="1" si="23"/>
        <v>-19.04</v>
      </c>
      <c r="M64" s="14">
        <f t="shared" ca="1" si="23"/>
        <v>-19.09</v>
      </c>
      <c r="N64" s="14">
        <f t="shared" ca="1" si="23"/>
        <v>-19.14</v>
      </c>
      <c r="O64" s="14">
        <f t="shared" ca="1" si="23"/>
        <v>-19.18</v>
      </c>
      <c r="P64" s="14">
        <f t="shared" ca="1" si="23"/>
        <v>-19.13</v>
      </c>
      <c r="Q64" s="14">
        <f t="shared" ca="1" si="23"/>
        <v>-19.079999999999998</v>
      </c>
      <c r="R64" s="14">
        <f t="shared" ca="1" si="23"/>
        <v>-19.04</v>
      </c>
      <c r="S64" s="14">
        <f t="shared" ca="1" si="23"/>
        <v>-19.03</v>
      </c>
      <c r="T64" s="14">
        <f t="shared" ca="1" si="23"/>
        <v>-19.04</v>
      </c>
      <c r="U64" s="14">
        <f t="shared" ca="1" si="23"/>
        <v>-19.059999999999999</v>
      </c>
      <c r="V64" s="14">
        <f t="shared" ca="1" si="23"/>
        <v>-19.079999999999998</v>
      </c>
      <c r="W64" s="14">
        <f t="shared" ca="1" si="23"/>
        <v>-19.11</v>
      </c>
      <c r="X64" s="14">
        <f t="shared" ca="1" si="23"/>
        <v>-19.25</v>
      </c>
      <c r="Y64" s="14">
        <f t="shared" ca="1" si="23"/>
        <v>-19.38</v>
      </c>
      <c r="Z64" s="14">
        <f t="shared" ca="1" si="23"/>
        <v>-19.510000000000002</v>
      </c>
      <c r="AA64" s="14">
        <f t="shared" ca="1" si="23"/>
        <v>-19.64</v>
      </c>
      <c r="AB64" s="14">
        <f t="shared" ca="1" si="23"/>
        <v>-19.670000000000002</v>
      </c>
      <c r="AC64" s="14">
        <f t="shared" ca="1" si="23"/>
        <v>-19.7</v>
      </c>
      <c r="AD64" s="14">
        <f t="shared" ca="1" si="23"/>
        <v>-19.73</v>
      </c>
      <c r="AE64" s="14">
        <f t="shared" ca="1" si="23"/>
        <v>-19.760000000000002</v>
      </c>
      <c r="AF64" s="14">
        <f t="shared" ca="1" si="23"/>
        <v>-19.88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1</v>
      </c>
      <c r="E65" s="6" t="str">
        <f t="shared" si="20"/>
        <v>H (Ga)</v>
      </c>
      <c r="F65" s="14">
        <f t="shared" ca="1" si="21"/>
        <v>-66.680000000000007</v>
      </c>
      <c r="G65" s="14">
        <f t="shared" ca="1" si="23"/>
        <v>-63.05</v>
      </c>
      <c r="H65" s="14">
        <f t="shared" ca="1" si="23"/>
        <v>-59.58</v>
      </c>
      <c r="I65" s="14">
        <f t="shared" ca="1" si="23"/>
        <v>-56.15</v>
      </c>
      <c r="J65" s="14">
        <f t="shared" ca="1" si="23"/>
        <v>-52.74</v>
      </c>
      <c r="K65" s="14">
        <f t="shared" ca="1" si="23"/>
        <v>-48.52</v>
      </c>
      <c r="L65" s="14">
        <f t="shared" ca="1" si="23"/>
        <v>-45.68</v>
      </c>
      <c r="M65" s="14">
        <f t="shared" ca="1" si="23"/>
        <v>-42.89</v>
      </c>
      <c r="N65" s="14">
        <f t="shared" ca="1" si="23"/>
        <v>-40.18</v>
      </c>
      <c r="O65" s="14">
        <f t="shared" ca="1" si="23"/>
        <v>-30.88</v>
      </c>
      <c r="P65" s="14">
        <f t="shared" ca="1" si="23"/>
        <v>-29.01</v>
      </c>
      <c r="Q65" s="14">
        <f t="shared" ca="1" si="23"/>
        <v>-27.3</v>
      </c>
      <c r="R65" s="14">
        <f t="shared" ca="1" si="23"/>
        <v>-25.68</v>
      </c>
      <c r="S65" s="14">
        <f t="shared" ca="1" si="23"/>
        <v>-24.16</v>
      </c>
      <c r="T65" s="14">
        <f t="shared" ca="1" si="23"/>
        <v>-22.72</v>
      </c>
      <c r="U65" s="14">
        <f t="shared" ca="1" si="23"/>
        <v>-21.39</v>
      </c>
      <c r="V65" s="14">
        <f t="shared" ca="1" si="23"/>
        <v>-20.170000000000002</v>
      </c>
      <c r="W65" s="14">
        <f t="shared" ca="1" si="23"/>
        <v>-19.05</v>
      </c>
      <c r="X65" s="14">
        <f t="shared" ca="1" si="23"/>
        <v>-15.24</v>
      </c>
      <c r="Y65" s="14">
        <f t="shared" ca="1" si="23"/>
        <v>-12.13</v>
      </c>
      <c r="Z65" s="14">
        <f t="shared" ca="1" si="23"/>
        <v>-9.7149999999999999</v>
      </c>
      <c r="AA65" s="14">
        <f t="shared" ca="1" si="23"/>
        <v>-8.48</v>
      </c>
      <c r="AB65" s="14">
        <f t="shared" ca="1" si="23"/>
        <v>-8.3719999999999999</v>
      </c>
      <c r="AC65" s="14">
        <f t="shared" ca="1" si="23"/>
        <v>-8.3179999999999996</v>
      </c>
      <c r="AD65" s="14">
        <f t="shared" ca="1" si="23"/>
        <v>-8.3000000000000007</v>
      </c>
      <c r="AE65" s="14">
        <f t="shared" ca="1" si="23"/>
        <v>-8.3049999999999997</v>
      </c>
      <c r="AF65" s="14">
        <f t="shared" ca="1" si="23"/>
        <v>-8.4120000000000008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1</v>
      </c>
      <c r="D66" s="5">
        <f t="shared" si="24"/>
        <v>0</v>
      </c>
      <c r="E66" s="6" t="str">
        <f t="shared" si="24"/>
        <v>H (Ge)</v>
      </c>
      <c r="F66" s="14">
        <f t="shared" ref="F66:U74" ca="1" si="25">$A66*H.Ar + $B66*H.Se + $C66*H.Ge + $D66*H.Ga</f>
        <v>-18.13</v>
      </c>
      <c r="G66" s="14">
        <f t="shared" ca="1" si="25"/>
        <v>-17.350000000000001</v>
      </c>
      <c r="H66" s="14">
        <f t="shared" ca="1" si="25"/>
        <v>-16.45</v>
      </c>
      <c r="I66" s="14">
        <f t="shared" ca="1" si="25"/>
        <v>-15.39</v>
      </c>
      <c r="J66" s="14">
        <f t="shared" ca="1" si="25"/>
        <v>-14.22</v>
      </c>
      <c r="K66" s="14">
        <f t="shared" ca="1" si="25"/>
        <v>-12.64</v>
      </c>
      <c r="L66" s="14">
        <f t="shared" ca="1" si="25"/>
        <v>-11.66</v>
      </c>
      <c r="M66" s="14">
        <f t="shared" ca="1" si="25"/>
        <v>-10.66</v>
      </c>
      <c r="N66" s="14">
        <f t="shared" ca="1" si="25"/>
        <v>-9.6769999999999996</v>
      </c>
      <c r="O66" s="14">
        <f t="shared" ca="1" si="25"/>
        <v>-6.4119999999999999</v>
      </c>
      <c r="P66" s="14">
        <f t="shared" ca="1" si="25"/>
        <v>-5.9249999999999998</v>
      </c>
      <c r="Q66" s="14">
        <f t="shared" ca="1" si="25"/>
        <v>-5.6239999999999997</v>
      </c>
      <c r="R66" s="14">
        <f t="shared" ca="1" si="25"/>
        <v>-5.47</v>
      </c>
      <c r="S66" s="14">
        <f t="shared" ca="1" si="25"/>
        <v>-5.4130000000000003</v>
      </c>
      <c r="T66" s="14">
        <f t="shared" ca="1" si="25"/>
        <v>-5.4139999999999997</v>
      </c>
      <c r="U66" s="14">
        <f t="shared" ca="1" si="25"/>
        <v>-5.4450000000000003</v>
      </c>
      <c r="V66" s="14">
        <f t="shared" ca="1" si="23"/>
        <v>-5.4880000000000004</v>
      </c>
      <c r="W66" s="14">
        <f t="shared" ca="1" si="23"/>
        <v>-5.5330000000000004</v>
      </c>
      <c r="X66" s="14">
        <f t="shared" ca="1" si="23"/>
        <v>-5.7050000000000001</v>
      </c>
      <c r="Y66" s="14">
        <f t="shared" ca="1" si="23"/>
        <v>-5.8680000000000003</v>
      </c>
      <c r="Z66" s="14">
        <f t="shared" ca="1" si="23"/>
        <v>-6.0510000000000002</v>
      </c>
      <c r="AA66" s="14">
        <f t="shared" ca="1" si="23"/>
        <v>-6.2869999999999999</v>
      </c>
      <c r="AB66" s="14">
        <f t="shared" ca="1" si="23"/>
        <v>-6.343</v>
      </c>
      <c r="AC66" s="14">
        <f t="shared" ca="1" si="23"/>
        <v>-6.3940000000000001</v>
      </c>
      <c r="AD66" s="14">
        <f t="shared" ca="1" si="23"/>
        <v>-6.44</v>
      </c>
      <c r="AE66" s="14">
        <f t="shared" ca="1" si="23"/>
        <v>-6.4820000000000002</v>
      </c>
      <c r="AF66" s="14">
        <f t="shared" ca="1" si="23"/>
        <v>-6.6340000000000003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1</v>
      </c>
      <c r="C67" s="5">
        <f t="shared" si="24"/>
        <v>0</v>
      </c>
      <c r="D67" s="5">
        <f t="shared" si="24"/>
        <v>0</v>
      </c>
      <c r="E67" s="6" t="str">
        <f t="shared" si="24"/>
        <v>H (Se)</v>
      </c>
      <c r="F67" s="14">
        <f t="shared" ca="1" si="25"/>
        <v>-23.19</v>
      </c>
      <c r="G67" s="14">
        <f t="shared" ca="1" si="26"/>
        <v>-22.18</v>
      </c>
      <c r="H67" s="14">
        <f t="shared" ca="1" si="26"/>
        <v>-21.45</v>
      </c>
      <c r="I67" s="14">
        <f t="shared" ca="1" si="26"/>
        <v>-21.02</v>
      </c>
      <c r="J67" s="14">
        <f t="shared" ca="1" si="26"/>
        <v>-20.86</v>
      </c>
      <c r="K67" s="14">
        <f t="shared" ca="1" si="26"/>
        <v>-21.44</v>
      </c>
      <c r="L67" s="14">
        <f t="shared" ca="1" si="26"/>
        <v>-21.34</v>
      </c>
      <c r="M67" s="14">
        <f t="shared" ca="1" si="26"/>
        <v>-21.39</v>
      </c>
      <c r="N67" s="14">
        <f t="shared" ca="1" si="26"/>
        <v>-21.54</v>
      </c>
      <c r="O67" s="14">
        <f t="shared" ca="1" si="26"/>
        <v>-22.4</v>
      </c>
      <c r="P67" s="14">
        <f t="shared" ca="1" si="26"/>
        <v>-22.6</v>
      </c>
      <c r="Q67" s="14">
        <f t="shared" ca="1" si="26"/>
        <v>-22.79</v>
      </c>
      <c r="R67" s="14">
        <f t="shared" ca="1" si="26"/>
        <v>-22.98</v>
      </c>
      <c r="S67" s="14">
        <f t="shared" ca="1" si="26"/>
        <v>-23.19</v>
      </c>
      <c r="T67" s="14">
        <f t="shared" ca="1" si="26"/>
        <v>-23.42</v>
      </c>
      <c r="U67" s="14">
        <f t="shared" ca="1" si="26"/>
        <v>-23.65</v>
      </c>
      <c r="V67" s="14">
        <f t="shared" ca="1" si="26"/>
        <v>-23.88</v>
      </c>
      <c r="W67" s="14">
        <f t="shared" ca="1" si="26"/>
        <v>-24.12</v>
      </c>
      <c r="X67" s="14">
        <f t="shared" ca="1" si="26"/>
        <v>-25.05</v>
      </c>
      <c r="Y67" s="14">
        <f t="shared" ca="1" si="26"/>
        <v>-25.94</v>
      </c>
      <c r="Z67" s="14">
        <f t="shared" ca="1" si="26"/>
        <v>-26.78</v>
      </c>
      <c r="AA67" s="14">
        <f t="shared" ca="1" si="26"/>
        <v>-27.56</v>
      </c>
      <c r="AB67" s="14">
        <f t="shared" ca="1" si="26"/>
        <v>-27.76</v>
      </c>
      <c r="AC67" s="14">
        <f t="shared" ca="1" si="26"/>
        <v>-27.95</v>
      </c>
      <c r="AD67" s="14">
        <f t="shared" ca="1" si="26"/>
        <v>-28.15</v>
      </c>
      <c r="AE67" s="14">
        <f t="shared" ca="1" si="26"/>
        <v>-28.35</v>
      </c>
      <c r="AF67" s="14">
        <f t="shared" ca="1" si="26"/>
        <v>-29.13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 t="e">
        <f>E41</f>
        <v>#DIV/0!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Temperature,K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355.7</v>
      </c>
      <c r="L79" s="3">
        <f t="shared" si="31"/>
        <v>372.3</v>
      </c>
      <c r="M79" s="3">
        <f t="shared" si="31"/>
        <v>388.8</v>
      </c>
      <c r="N79" s="3">
        <f t="shared" si="31"/>
        <v>405.3</v>
      </c>
      <c r="O79" s="3">
        <f t="shared" si="31"/>
        <v>471.4</v>
      </c>
      <c r="P79" s="3">
        <f t="shared" si="31"/>
        <v>487.9</v>
      </c>
      <c r="Q79" s="3">
        <f t="shared" si="31"/>
        <v>504.4</v>
      </c>
      <c r="R79" s="3">
        <f t="shared" si="31"/>
        <v>520.9</v>
      </c>
      <c r="S79" s="3">
        <f t="shared" si="31"/>
        <v>537.5</v>
      </c>
      <c r="T79" s="3">
        <f t="shared" si="31"/>
        <v>554</v>
      </c>
      <c r="U79" s="3">
        <f t="shared" si="31"/>
        <v>570.5</v>
      </c>
      <c r="V79" s="3">
        <f t="shared" si="31"/>
        <v>587</v>
      </c>
      <c r="W79" s="3">
        <f t="shared" si="31"/>
        <v>603.5</v>
      </c>
      <c r="X79" s="3">
        <f t="shared" si="31"/>
        <v>669.6</v>
      </c>
      <c r="Y79" s="3">
        <f t="shared" si="31"/>
        <v>735.7</v>
      </c>
      <c r="Z79" s="3">
        <f t="shared" si="31"/>
        <v>801.8</v>
      </c>
      <c r="AA79" s="3">
        <f t="shared" si="31"/>
        <v>867.8</v>
      </c>
      <c r="AB79" s="3">
        <f t="shared" si="31"/>
        <v>884.4</v>
      </c>
      <c r="AC79" s="3">
        <f t="shared" si="31"/>
        <v>900.9</v>
      </c>
      <c r="AD79" s="3">
        <f t="shared" si="31"/>
        <v>917.4</v>
      </c>
      <c r="AE79" s="3">
        <f t="shared" si="31"/>
        <v>933.9</v>
      </c>
      <c r="AF79" s="3">
        <f t="shared" si="31"/>
        <v>1000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2</v>
      </c>
      <c r="C80" s="5">
        <f t="shared" si="32"/>
        <v>1</v>
      </c>
      <c r="D80" s="5">
        <f t="shared" si="32"/>
        <v>0</v>
      </c>
      <c r="E80" s="6" t="str">
        <f t="shared" si="29"/>
        <v>*GeSe2</v>
      </c>
      <c r="F80" s="14" t="e">
        <f t="shared" ref="F80" si="33">F4*$C$78</f>
        <v>#DIV/0!</v>
      </c>
      <c r="G80" s="14" t="e">
        <f t="shared" ref="G80:BR80" si="34">G4*$C$78</f>
        <v>#DIV/0!</v>
      </c>
      <c r="H80" s="14" t="e">
        <f t="shared" si="34"/>
        <v>#DIV/0!</v>
      </c>
      <c r="I80" s="14" t="e">
        <f t="shared" si="34"/>
        <v>#DIV/0!</v>
      </c>
      <c r="J80" s="14" t="e">
        <f t="shared" si="34"/>
        <v>#DIV/0!</v>
      </c>
      <c r="K80" s="14" t="e">
        <f t="shared" si="34"/>
        <v>#DIV/0!</v>
      </c>
      <c r="L80" s="14" t="e">
        <f t="shared" si="34"/>
        <v>#DIV/0!</v>
      </c>
      <c r="M80" s="14" t="e">
        <f t="shared" si="34"/>
        <v>#DIV/0!</v>
      </c>
      <c r="N80" s="14" t="e">
        <f t="shared" si="34"/>
        <v>#DIV/0!</v>
      </c>
      <c r="O80" s="14" t="e">
        <f t="shared" si="34"/>
        <v>#DIV/0!</v>
      </c>
      <c r="P80" s="14" t="e">
        <f t="shared" si="34"/>
        <v>#DIV/0!</v>
      </c>
      <c r="Q80" s="14" t="e">
        <f t="shared" si="34"/>
        <v>#DIV/0!</v>
      </c>
      <c r="R80" s="14" t="e">
        <f t="shared" si="34"/>
        <v>#DIV/0!</v>
      </c>
      <c r="S80" s="14" t="e">
        <f t="shared" si="34"/>
        <v>#DIV/0!</v>
      </c>
      <c r="T80" s="14" t="e">
        <f t="shared" si="34"/>
        <v>#DIV/0!</v>
      </c>
      <c r="U80" s="14" t="e">
        <f t="shared" si="34"/>
        <v>#DIV/0!</v>
      </c>
      <c r="V80" s="14" t="e">
        <f t="shared" si="34"/>
        <v>#DIV/0!</v>
      </c>
      <c r="W80" s="14" t="e">
        <f t="shared" si="34"/>
        <v>#DIV/0!</v>
      </c>
      <c r="X80" s="14" t="e">
        <f t="shared" si="34"/>
        <v>#DIV/0!</v>
      </c>
      <c r="Y80" s="14" t="e">
        <f t="shared" si="34"/>
        <v>#DIV/0!</v>
      </c>
      <c r="Z80" s="14" t="e">
        <f t="shared" si="34"/>
        <v>#DIV/0!</v>
      </c>
      <c r="AA80" s="14" t="e">
        <f t="shared" si="34"/>
        <v>#DIV/0!</v>
      </c>
      <c r="AB80" s="14" t="e">
        <f t="shared" si="34"/>
        <v>#DIV/0!</v>
      </c>
      <c r="AC80" s="14" t="e">
        <f t="shared" si="34"/>
        <v>#DIV/0!</v>
      </c>
      <c r="AD80" s="14" t="e">
        <f t="shared" si="34"/>
        <v>#DIV/0!</v>
      </c>
      <c r="AE80" s="14" t="e">
        <f t="shared" si="34"/>
        <v>#DIV/0!</v>
      </c>
      <c r="AF80" s="14" t="e">
        <f t="shared" si="34"/>
        <v>#DIV/0!</v>
      </c>
      <c r="AG80" s="14" t="e">
        <f t="shared" si="34"/>
        <v>#DIV/0!</v>
      </c>
      <c r="AH80" s="14" t="e">
        <f t="shared" si="34"/>
        <v>#DIV/0!</v>
      </c>
      <c r="AI80" s="14" t="e">
        <f t="shared" si="34"/>
        <v>#DIV/0!</v>
      </c>
      <c r="AJ80" s="14" t="e">
        <f t="shared" si="34"/>
        <v>#DIV/0!</v>
      </c>
      <c r="AK80" s="14" t="e">
        <f t="shared" si="34"/>
        <v>#DIV/0!</v>
      </c>
      <c r="AL80" s="14" t="e">
        <f t="shared" si="34"/>
        <v>#DIV/0!</v>
      </c>
      <c r="AM80" s="14" t="e">
        <f t="shared" si="34"/>
        <v>#DIV/0!</v>
      </c>
      <c r="AN80" s="14" t="e">
        <f t="shared" si="34"/>
        <v>#DIV/0!</v>
      </c>
      <c r="AO80" s="14" t="e">
        <f t="shared" si="34"/>
        <v>#DIV/0!</v>
      </c>
      <c r="AP80" s="14" t="e">
        <f t="shared" si="34"/>
        <v>#DIV/0!</v>
      </c>
      <c r="AQ80" s="14" t="e">
        <f t="shared" si="34"/>
        <v>#DIV/0!</v>
      </c>
      <c r="AR80" s="14" t="e">
        <f t="shared" si="34"/>
        <v>#DIV/0!</v>
      </c>
      <c r="AS80" s="14" t="e">
        <f t="shared" si="34"/>
        <v>#DIV/0!</v>
      </c>
      <c r="AT80" s="14" t="e">
        <f t="shared" si="34"/>
        <v>#DIV/0!</v>
      </c>
      <c r="AU80" s="14" t="e">
        <f t="shared" si="34"/>
        <v>#DIV/0!</v>
      </c>
      <c r="AV80" s="14" t="e">
        <f t="shared" si="34"/>
        <v>#DIV/0!</v>
      </c>
      <c r="AW80" s="14" t="e">
        <f t="shared" si="34"/>
        <v>#DIV/0!</v>
      </c>
      <c r="AX80" s="14" t="e">
        <f t="shared" si="34"/>
        <v>#DIV/0!</v>
      </c>
      <c r="AY80" s="14" t="e">
        <f t="shared" si="34"/>
        <v>#DIV/0!</v>
      </c>
      <c r="AZ80" s="14" t="e">
        <f t="shared" si="34"/>
        <v>#DIV/0!</v>
      </c>
      <c r="BA80" s="14" t="e">
        <f t="shared" si="34"/>
        <v>#DIV/0!</v>
      </c>
      <c r="BB80" s="14" t="e">
        <f t="shared" si="34"/>
        <v>#DIV/0!</v>
      </c>
      <c r="BC80" s="14" t="e">
        <f t="shared" si="34"/>
        <v>#DIV/0!</v>
      </c>
      <c r="BD80" s="14" t="e">
        <f t="shared" si="34"/>
        <v>#DIV/0!</v>
      </c>
      <c r="BE80" s="14" t="e">
        <f t="shared" si="34"/>
        <v>#DIV/0!</v>
      </c>
      <c r="BF80" s="14" t="e">
        <f t="shared" si="34"/>
        <v>#DIV/0!</v>
      </c>
      <c r="BG80" s="14" t="e">
        <f t="shared" si="34"/>
        <v>#DIV/0!</v>
      </c>
      <c r="BH80" s="14" t="e">
        <f t="shared" si="34"/>
        <v>#DIV/0!</v>
      </c>
      <c r="BI80" s="14" t="e">
        <f t="shared" si="34"/>
        <v>#DIV/0!</v>
      </c>
      <c r="BJ80" s="14" t="e">
        <f t="shared" si="34"/>
        <v>#DIV/0!</v>
      </c>
      <c r="BK80" s="14" t="e">
        <f t="shared" si="34"/>
        <v>#DIV/0!</v>
      </c>
      <c r="BL80" s="14" t="e">
        <f t="shared" si="34"/>
        <v>#DIV/0!</v>
      </c>
      <c r="BM80" s="14" t="e">
        <f t="shared" si="34"/>
        <v>#DIV/0!</v>
      </c>
      <c r="BN80" s="14" t="e">
        <f t="shared" si="34"/>
        <v>#DIV/0!</v>
      </c>
      <c r="BO80" s="14" t="e">
        <f t="shared" si="34"/>
        <v>#DIV/0!</v>
      </c>
      <c r="BP80" s="14" t="e">
        <f t="shared" si="34"/>
        <v>#DIV/0!</v>
      </c>
      <c r="BQ80" s="14" t="e">
        <f t="shared" si="34"/>
        <v>#DIV/0!</v>
      </c>
      <c r="BR80" s="14" t="e">
        <f t="shared" si="34"/>
        <v>#DIV/0!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1</v>
      </c>
      <c r="C81" s="5">
        <f t="shared" si="35"/>
        <v>0</v>
      </c>
      <c r="D81" s="5">
        <f t="shared" si="35"/>
        <v>0</v>
      </c>
      <c r="E81" s="6" t="str">
        <f t="shared" si="29"/>
        <v>*Se[M]</v>
      </c>
      <c r="F81" s="14" t="e">
        <f t="shared" ref="F81" si="36">F5*$C$78</f>
        <v>#DIV/0!</v>
      </c>
      <c r="G81" s="14" t="e">
        <f t="shared" ref="G81:BR81" si="37">G5*$C$78</f>
        <v>#DIV/0!</v>
      </c>
      <c r="H81" s="14" t="e">
        <f t="shared" si="37"/>
        <v>#DIV/0!</v>
      </c>
      <c r="I81" s="14" t="e">
        <f t="shared" si="37"/>
        <v>#DIV/0!</v>
      </c>
      <c r="J81" s="14" t="e">
        <f t="shared" si="37"/>
        <v>#DIV/0!</v>
      </c>
      <c r="K81" s="14" t="e">
        <f t="shared" si="37"/>
        <v>#DIV/0!</v>
      </c>
      <c r="L81" s="14" t="e">
        <f t="shared" si="37"/>
        <v>#DIV/0!</v>
      </c>
      <c r="M81" s="14" t="e">
        <f t="shared" si="37"/>
        <v>#DIV/0!</v>
      </c>
      <c r="N81" s="14" t="e">
        <f t="shared" si="37"/>
        <v>#DIV/0!</v>
      </c>
      <c r="O81" s="14" t="e">
        <f t="shared" si="37"/>
        <v>#DIV/0!</v>
      </c>
      <c r="P81" s="14" t="e">
        <f t="shared" si="37"/>
        <v>#DIV/0!</v>
      </c>
      <c r="Q81" s="14" t="e">
        <f t="shared" si="37"/>
        <v>#DIV/0!</v>
      </c>
      <c r="R81" s="14" t="e">
        <f t="shared" si="37"/>
        <v>#DIV/0!</v>
      </c>
      <c r="S81" s="14" t="e">
        <f t="shared" si="37"/>
        <v>#DIV/0!</v>
      </c>
      <c r="T81" s="14" t="e">
        <f t="shared" si="37"/>
        <v>#DIV/0!</v>
      </c>
      <c r="U81" s="14" t="e">
        <f t="shared" si="37"/>
        <v>#DIV/0!</v>
      </c>
      <c r="V81" s="14" t="e">
        <f t="shared" si="37"/>
        <v>#DIV/0!</v>
      </c>
      <c r="W81" s="14" t="e">
        <f t="shared" si="37"/>
        <v>#DIV/0!</v>
      </c>
      <c r="X81" s="14" t="e">
        <f t="shared" si="37"/>
        <v>#DIV/0!</v>
      </c>
      <c r="Y81" s="14" t="e">
        <f t="shared" si="37"/>
        <v>#DIV/0!</v>
      </c>
      <c r="Z81" s="14" t="e">
        <f t="shared" si="37"/>
        <v>#DIV/0!</v>
      </c>
      <c r="AA81" s="14" t="e">
        <f t="shared" si="37"/>
        <v>#DIV/0!</v>
      </c>
      <c r="AB81" s="14" t="e">
        <f t="shared" si="37"/>
        <v>#DIV/0!</v>
      </c>
      <c r="AC81" s="14" t="e">
        <f t="shared" si="37"/>
        <v>#DIV/0!</v>
      </c>
      <c r="AD81" s="14" t="e">
        <f t="shared" si="37"/>
        <v>#DIV/0!</v>
      </c>
      <c r="AE81" s="14" t="e">
        <f t="shared" si="37"/>
        <v>#DIV/0!</v>
      </c>
      <c r="AF81" s="14" t="e">
        <f t="shared" si="37"/>
        <v>#DIV/0!</v>
      </c>
      <c r="AG81" s="14" t="e">
        <f t="shared" si="37"/>
        <v>#DIV/0!</v>
      </c>
      <c r="AH81" s="14" t="e">
        <f t="shared" si="37"/>
        <v>#DIV/0!</v>
      </c>
      <c r="AI81" s="14" t="e">
        <f t="shared" si="37"/>
        <v>#DIV/0!</v>
      </c>
      <c r="AJ81" s="14" t="e">
        <f t="shared" si="37"/>
        <v>#DIV/0!</v>
      </c>
      <c r="AK81" s="14" t="e">
        <f t="shared" si="37"/>
        <v>#DIV/0!</v>
      </c>
      <c r="AL81" s="14" t="e">
        <f t="shared" si="37"/>
        <v>#DIV/0!</v>
      </c>
      <c r="AM81" s="14" t="e">
        <f t="shared" si="37"/>
        <v>#DIV/0!</v>
      </c>
      <c r="AN81" s="14" t="e">
        <f t="shared" si="37"/>
        <v>#DIV/0!</v>
      </c>
      <c r="AO81" s="14" t="e">
        <f t="shared" si="37"/>
        <v>#DIV/0!</v>
      </c>
      <c r="AP81" s="14" t="e">
        <f t="shared" si="37"/>
        <v>#DIV/0!</v>
      </c>
      <c r="AQ81" s="14" t="e">
        <f t="shared" si="37"/>
        <v>#DIV/0!</v>
      </c>
      <c r="AR81" s="14" t="e">
        <f t="shared" si="37"/>
        <v>#DIV/0!</v>
      </c>
      <c r="AS81" s="14" t="e">
        <f t="shared" si="37"/>
        <v>#DIV/0!</v>
      </c>
      <c r="AT81" s="14" t="e">
        <f t="shared" si="37"/>
        <v>#DIV/0!</v>
      </c>
      <c r="AU81" s="14" t="e">
        <f t="shared" si="37"/>
        <v>#DIV/0!</v>
      </c>
      <c r="AV81" s="14" t="e">
        <f t="shared" si="37"/>
        <v>#DIV/0!</v>
      </c>
      <c r="AW81" s="14" t="e">
        <f t="shared" si="37"/>
        <v>#DIV/0!</v>
      </c>
      <c r="AX81" s="14" t="e">
        <f t="shared" si="37"/>
        <v>#DIV/0!</v>
      </c>
      <c r="AY81" s="14" t="e">
        <f t="shared" si="37"/>
        <v>#DIV/0!</v>
      </c>
      <c r="AZ81" s="14" t="e">
        <f t="shared" si="37"/>
        <v>#DIV/0!</v>
      </c>
      <c r="BA81" s="14" t="e">
        <f t="shared" si="37"/>
        <v>#DIV/0!</v>
      </c>
      <c r="BB81" s="14" t="e">
        <f t="shared" si="37"/>
        <v>#DIV/0!</v>
      </c>
      <c r="BC81" s="14" t="e">
        <f t="shared" si="37"/>
        <v>#DIV/0!</v>
      </c>
      <c r="BD81" s="14" t="e">
        <f t="shared" si="37"/>
        <v>#DIV/0!</v>
      </c>
      <c r="BE81" s="14" t="e">
        <f t="shared" si="37"/>
        <v>#DIV/0!</v>
      </c>
      <c r="BF81" s="14" t="e">
        <f t="shared" si="37"/>
        <v>#DIV/0!</v>
      </c>
      <c r="BG81" s="14" t="e">
        <f t="shared" si="37"/>
        <v>#DIV/0!</v>
      </c>
      <c r="BH81" s="14" t="e">
        <f t="shared" si="37"/>
        <v>#DIV/0!</v>
      </c>
      <c r="BI81" s="14" t="e">
        <f t="shared" si="37"/>
        <v>#DIV/0!</v>
      </c>
      <c r="BJ81" s="14" t="e">
        <f t="shared" si="37"/>
        <v>#DIV/0!</v>
      </c>
      <c r="BK81" s="14" t="e">
        <f t="shared" si="37"/>
        <v>#DIV/0!</v>
      </c>
      <c r="BL81" s="14" t="e">
        <f t="shared" si="37"/>
        <v>#DIV/0!</v>
      </c>
      <c r="BM81" s="14" t="e">
        <f t="shared" si="37"/>
        <v>#DIV/0!</v>
      </c>
      <c r="BN81" s="14" t="e">
        <f t="shared" si="37"/>
        <v>#DIV/0!</v>
      </c>
      <c r="BO81" s="14" t="e">
        <f t="shared" si="37"/>
        <v>#DIV/0!</v>
      </c>
      <c r="BP81" s="14" t="e">
        <f t="shared" si="37"/>
        <v>#DIV/0!</v>
      </c>
      <c r="BQ81" s="14" t="e">
        <f t="shared" si="37"/>
        <v>#DIV/0!</v>
      </c>
      <c r="BR81" s="14" t="e">
        <f t="shared" si="37"/>
        <v>#DIV/0!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1</v>
      </c>
      <c r="C82" s="5">
        <f t="shared" si="35"/>
        <v>1</v>
      </c>
      <c r="D82" s="5">
        <f t="shared" si="35"/>
        <v>0</v>
      </c>
      <c r="E82" s="6" t="str">
        <f t="shared" si="29"/>
        <v>GeSe</v>
      </c>
      <c r="F82" s="14" t="e">
        <f t="shared" ref="F82" si="38">F6*$C$78</f>
        <v>#DIV/0!</v>
      </c>
      <c r="G82" s="14" t="e">
        <f t="shared" ref="G82:BR82" si="39">G6*$C$78</f>
        <v>#DIV/0!</v>
      </c>
      <c r="H82" s="14" t="e">
        <f t="shared" si="39"/>
        <v>#DIV/0!</v>
      </c>
      <c r="I82" s="14" t="e">
        <f t="shared" si="39"/>
        <v>#DIV/0!</v>
      </c>
      <c r="J82" s="14" t="e">
        <f t="shared" si="39"/>
        <v>#DIV/0!</v>
      </c>
      <c r="K82" s="14" t="e">
        <f t="shared" si="39"/>
        <v>#DIV/0!</v>
      </c>
      <c r="L82" s="14" t="e">
        <f t="shared" si="39"/>
        <v>#DIV/0!</v>
      </c>
      <c r="M82" s="14" t="e">
        <f t="shared" si="39"/>
        <v>#DIV/0!</v>
      </c>
      <c r="N82" s="14" t="e">
        <f t="shared" si="39"/>
        <v>#DIV/0!</v>
      </c>
      <c r="O82" s="14" t="e">
        <f t="shared" si="39"/>
        <v>#DIV/0!</v>
      </c>
      <c r="P82" s="14" t="e">
        <f t="shared" si="39"/>
        <v>#DIV/0!</v>
      </c>
      <c r="Q82" s="14" t="e">
        <f t="shared" si="39"/>
        <v>#DIV/0!</v>
      </c>
      <c r="R82" s="14" t="e">
        <f t="shared" si="39"/>
        <v>#DIV/0!</v>
      </c>
      <c r="S82" s="14" t="e">
        <f t="shared" si="39"/>
        <v>#DIV/0!</v>
      </c>
      <c r="T82" s="14" t="e">
        <f t="shared" si="39"/>
        <v>#DIV/0!</v>
      </c>
      <c r="U82" s="14" t="e">
        <f t="shared" si="39"/>
        <v>#DIV/0!</v>
      </c>
      <c r="V82" s="14" t="e">
        <f t="shared" si="39"/>
        <v>#DIV/0!</v>
      </c>
      <c r="W82" s="14" t="e">
        <f t="shared" si="39"/>
        <v>#DIV/0!</v>
      </c>
      <c r="X82" s="14" t="e">
        <f t="shared" si="39"/>
        <v>#DIV/0!</v>
      </c>
      <c r="Y82" s="14" t="e">
        <f t="shared" si="39"/>
        <v>#DIV/0!</v>
      </c>
      <c r="Z82" s="14" t="e">
        <f t="shared" si="39"/>
        <v>#DIV/0!</v>
      </c>
      <c r="AA82" s="14" t="e">
        <f t="shared" si="39"/>
        <v>#DIV/0!</v>
      </c>
      <c r="AB82" s="14" t="e">
        <f t="shared" si="39"/>
        <v>#DIV/0!</v>
      </c>
      <c r="AC82" s="14" t="e">
        <f t="shared" si="39"/>
        <v>#DIV/0!</v>
      </c>
      <c r="AD82" s="14" t="e">
        <f t="shared" si="39"/>
        <v>#DIV/0!</v>
      </c>
      <c r="AE82" s="14" t="e">
        <f t="shared" si="39"/>
        <v>#DIV/0!</v>
      </c>
      <c r="AF82" s="14" t="e">
        <f t="shared" si="39"/>
        <v>#DIV/0!</v>
      </c>
      <c r="AG82" s="14" t="e">
        <f t="shared" si="39"/>
        <v>#DIV/0!</v>
      </c>
      <c r="AH82" s="14" t="e">
        <f t="shared" si="39"/>
        <v>#DIV/0!</v>
      </c>
      <c r="AI82" s="14" t="e">
        <f t="shared" si="39"/>
        <v>#DIV/0!</v>
      </c>
      <c r="AJ82" s="14" t="e">
        <f t="shared" si="39"/>
        <v>#DIV/0!</v>
      </c>
      <c r="AK82" s="14" t="e">
        <f t="shared" si="39"/>
        <v>#DIV/0!</v>
      </c>
      <c r="AL82" s="14" t="e">
        <f t="shared" si="39"/>
        <v>#DIV/0!</v>
      </c>
      <c r="AM82" s="14" t="e">
        <f t="shared" si="39"/>
        <v>#DIV/0!</v>
      </c>
      <c r="AN82" s="14" t="e">
        <f t="shared" si="39"/>
        <v>#DIV/0!</v>
      </c>
      <c r="AO82" s="14" t="e">
        <f t="shared" si="39"/>
        <v>#DIV/0!</v>
      </c>
      <c r="AP82" s="14" t="e">
        <f t="shared" si="39"/>
        <v>#DIV/0!</v>
      </c>
      <c r="AQ82" s="14" t="e">
        <f t="shared" si="39"/>
        <v>#DIV/0!</v>
      </c>
      <c r="AR82" s="14" t="e">
        <f t="shared" si="39"/>
        <v>#DIV/0!</v>
      </c>
      <c r="AS82" s="14" t="e">
        <f t="shared" si="39"/>
        <v>#DIV/0!</v>
      </c>
      <c r="AT82" s="14" t="e">
        <f t="shared" si="39"/>
        <v>#DIV/0!</v>
      </c>
      <c r="AU82" s="14" t="e">
        <f t="shared" si="39"/>
        <v>#DIV/0!</v>
      </c>
      <c r="AV82" s="14" t="e">
        <f t="shared" si="39"/>
        <v>#DIV/0!</v>
      </c>
      <c r="AW82" s="14" t="e">
        <f t="shared" si="39"/>
        <v>#DIV/0!</v>
      </c>
      <c r="AX82" s="14" t="e">
        <f t="shared" si="39"/>
        <v>#DIV/0!</v>
      </c>
      <c r="AY82" s="14" t="e">
        <f t="shared" si="39"/>
        <v>#DIV/0!</v>
      </c>
      <c r="AZ82" s="14" t="e">
        <f t="shared" si="39"/>
        <v>#DIV/0!</v>
      </c>
      <c r="BA82" s="14" t="e">
        <f t="shared" si="39"/>
        <v>#DIV/0!</v>
      </c>
      <c r="BB82" s="14" t="e">
        <f t="shared" si="39"/>
        <v>#DIV/0!</v>
      </c>
      <c r="BC82" s="14" t="e">
        <f t="shared" si="39"/>
        <v>#DIV/0!</v>
      </c>
      <c r="BD82" s="14" t="e">
        <f t="shared" si="39"/>
        <v>#DIV/0!</v>
      </c>
      <c r="BE82" s="14" t="e">
        <f t="shared" si="39"/>
        <v>#DIV/0!</v>
      </c>
      <c r="BF82" s="14" t="e">
        <f t="shared" si="39"/>
        <v>#DIV/0!</v>
      </c>
      <c r="BG82" s="14" t="e">
        <f t="shared" si="39"/>
        <v>#DIV/0!</v>
      </c>
      <c r="BH82" s="14" t="e">
        <f t="shared" si="39"/>
        <v>#DIV/0!</v>
      </c>
      <c r="BI82" s="14" t="e">
        <f t="shared" si="39"/>
        <v>#DIV/0!</v>
      </c>
      <c r="BJ82" s="14" t="e">
        <f t="shared" si="39"/>
        <v>#DIV/0!</v>
      </c>
      <c r="BK82" s="14" t="e">
        <f t="shared" si="39"/>
        <v>#DIV/0!</v>
      </c>
      <c r="BL82" s="14" t="e">
        <f t="shared" si="39"/>
        <v>#DIV/0!</v>
      </c>
      <c r="BM82" s="14" t="e">
        <f t="shared" si="39"/>
        <v>#DIV/0!</v>
      </c>
      <c r="BN82" s="14" t="e">
        <f t="shared" si="39"/>
        <v>#DIV/0!</v>
      </c>
      <c r="BO82" s="14" t="e">
        <f t="shared" si="39"/>
        <v>#DIV/0!</v>
      </c>
      <c r="BP82" s="14" t="e">
        <f t="shared" si="39"/>
        <v>#DIV/0!</v>
      </c>
      <c r="BQ82" s="14" t="e">
        <f t="shared" si="39"/>
        <v>#DIV/0!</v>
      </c>
      <c r="BR82" s="14" t="e">
        <f t="shared" si="39"/>
        <v>#DIV/0!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1</v>
      </c>
      <c r="C83" s="5">
        <f t="shared" si="35"/>
        <v>0</v>
      </c>
      <c r="D83" s="5">
        <f t="shared" si="35"/>
        <v>2</v>
      </c>
      <c r="E83" s="6" t="str">
        <f t="shared" si="29"/>
        <v>Ga2Se</v>
      </c>
      <c r="F83" s="14" t="e">
        <f t="shared" ref="F83" si="40">F7*$C$78</f>
        <v>#DIV/0!</v>
      </c>
      <c r="G83" s="14" t="e">
        <f t="shared" ref="G83:BR83" si="41">G7*$C$78</f>
        <v>#DIV/0!</v>
      </c>
      <c r="H83" s="14" t="e">
        <f t="shared" si="41"/>
        <v>#DIV/0!</v>
      </c>
      <c r="I83" s="14" t="e">
        <f t="shared" si="41"/>
        <v>#DIV/0!</v>
      </c>
      <c r="J83" s="14" t="e">
        <f t="shared" si="41"/>
        <v>#DIV/0!</v>
      </c>
      <c r="K83" s="14" t="e">
        <f t="shared" si="41"/>
        <v>#DIV/0!</v>
      </c>
      <c r="L83" s="14" t="e">
        <f t="shared" si="41"/>
        <v>#DIV/0!</v>
      </c>
      <c r="M83" s="14" t="e">
        <f t="shared" si="41"/>
        <v>#DIV/0!</v>
      </c>
      <c r="N83" s="14" t="e">
        <f t="shared" si="41"/>
        <v>#DIV/0!</v>
      </c>
      <c r="O83" s="14" t="e">
        <f t="shared" si="41"/>
        <v>#DIV/0!</v>
      </c>
      <c r="P83" s="14" t="e">
        <f t="shared" si="41"/>
        <v>#DIV/0!</v>
      </c>
      <c r="Q83" s="14" t="e">
        <f t="shared" si="41"/>
        <v>#DIV/0!</v>
      </c>
      <c r="R83" s="14" t="e">
        <f t="shared" si="41"/>
        <v>#DIV/0!</v>
      </c>
      <c r="S83" s="14" t="e">
        <f t="shared" si="41"/>
        <v>#DIV/0!</v>
      </c>
      <c r="T83" s="14" t="e">
        <f t="shared" si="41"/>
        <v>#DIV/0!</v>
      </c>
      <c r="U83" s="14" t="e">
        <f t="shared" si="41"/>
        <v>#DIV/0!</v>
      </c>
      <c r="V83" s="14" t="e">
        <f t="shared" si="41"/>
        <v>#DIV/0!</v>
      </c>
      <c r="W83" s="14" t="e">
        <f t="shared" si="41"/>
        <v>#DIV/0!</v>
      </c>
      <c r="X83" s="14" t="e">
        <f t="shared" si="41"/>
        <v>#DIV/0!</v>
      </c>
      <c r="Y83" s="14" t="e">
        <f t="shared" si="41"/>
        <v>#DIV/0!</v>
      </c>
      <c r="Z83" s="14" t="e">
        <f t="shared" si="41"/>
        <v>#DIV/0!</v>
      </c>
      <c r="AA83" s="14" t="e">
        <f t="shared" si="41"/>
        <v>#DIV/0!</v>
      </c>
      <c r="AB83" s="14" t="e">
        <f t="shared" si="41"/>
        <v>#DIV/0!</v>
      </c>
      <c r="AC83" s="14" t="e">
        <f t="shared" si="41"/>
        <v>#DIV/0!</v>
      </c>
      <c r="AD83" s="14" t="e">
        <f t="shared" si="41"/>
        <v>#DIV/0!</v>
      </c>
      <c r="AE83" s="14" t="e">
        <f t="shared" si="41"/>
        <v>#DIV/0!</v>
      </c>
      <c r="AF83" s="14" t="e">
        <f t="shared" si="41"/>
        <v>#DIV/0!</v>
      </c>
      <c r="AG83" s="14" t="e">
        <f t="shared" si="41"/>
        <v>#DIV/0!</v>
      </c>
      <c r="AH83" s="14" t="e">
        <f t="shared" si="41"/>
        <v>#DIV/0!</v>
      </c>
      <c r="AI83" s="14" t="e">
        <f t="shared" si="41"/>
        <v>#DIV/0!</v>
      </c>
      <c r="AJ83" s="14" t="e">
        <f t="shared" si="41"/>
        <v>#DIV/0!</v>
      </c>
      <c r="AK83" s="14" t="e">
        <f t="shared" si="41"/>
        <v>#DIV/0!</v>
      </c>
      <c r="AL83" s="14" t="e">
        <f t="shared" si="41"/>
        <v>#DIV/0!</v>
      </c>
      <c r="AM83" s="14" t="e">
        <f t="shared" si="41"/>
        <v>#DIV/0!</v>
      </c>
      <c r="AN83" s="14" t="e">
        <f t="shared" si="41"/>
        <v>#DIV/0!</v>
      </c>
      <c r="AO83" s="14" t="e">
        <f t="shared" si="41"/>
        <v>#DIV/0!</v>
      </c>
      <c r="AP83" s="14" t="e">
        <f t="shared" si="41"/>
        <v>#DIV/0!</v>
      </c>
      <c r="AQ83" s="14" t="e">
        <f t="shared" si="41"/>
        <v>#DIV/0!</v>
      </c>
      <c r="AR83" s="14" t="e">
        <f t="shared" si="41"/>
        <v>#DIV/0!</v>
      </c>
      <c r="AS83" s="14" t="e">
        <f t="shared" si="41"/>
        <v>#DIV/0!</v>
      </c>
      <c r="AT83" s="14" t="e">
        <f t="shared" si="41"/>
        <v>#DIV/0!</v>
      </c>
      <c r="AU83" s="14" t="e">
        <f t="shared" si="41"/>
        <v>#DIV/0!</v>
      </c>
      <c r="AV83" s="14" t="e">
        <f t="shared" si="41"/>
        <v>#DIV/0!</v>
      </c>
      <c r="AW83" s="14" t="e">
        <f t="shared" si="41"/>
        <v>#DIV/0!</v>
      </c>
      <c r="AX83" s="14" t="e">
        <f t="shared" si="41"/>
        <v>#DIV/0!</v>
      </c>
      <c r="AY83" s="14" t="e">
        <f t="shared" si="41"/>
        <v>#DIV/0!</v>
      </c>
      <c r="AZ83" s="14" t="e">
        <f t="shared" si="41"/>
        <v>#DIV/0!</v>
      </c>
      <c r="BA83" s="14" t="e">
        <f t="shared" si="41"/>
        <v>#DIV/0!</v>
      </c>
      <c r="BB83" s="14" t="e">
        <f t="shared" si="41"/>
        <v>#DIV/0!</v>
      </c>
      <c r="BC83" s="14" t="e">
        <f t="shared" si="41"/>
        <v>#DIV/0!</v>
      </c>
      <c r="BD83" s="14" t="e">
        <f t="shared" si="41"/>
        <v>#DIV/0!</v>
      </c>
      <c r="BE83" s="14" t="e">
        <f t="shared" si="41"/>
        <v>#DIV/0!</v>
      </c>
      <c r="BF83" s="14" t="e">
        <f t="shared" si="41"/>
        <v>#DIV/0!</v>
      </c>
      <c r="BG83" s="14" t="e">
        <f t="shared" si="41"/>
        <v>#DIV/0!</v>
      </c>
      <c r="BH83" s="14" t="e">
        <f t="shared" si="41"/>
        <v>#DIV/0!</v>
      </c>
      <c r="BI83" s="14" t="e">
        <f t="shared" si="41"/>
        <v>#DIV/0!</v>
      </c>
      <c r="BJ83" s="14" t="e">
        <f t="shared" si="41"/>
        <v>#DIV/0!</v>
      </c>
      <c r="BK83" s="14" t="e">
        <f t="shared" si="41"/>
        <v>#DIV/0!</v>
      </c>
      <c r="BL83" s="14" t="e">
        <f t="shared" si="41"/>
        <v>#DIV/0!</v>
      </c>
      <c r="BM83" s="14" t="e">
        <f t="shared" si="41"/>
        <v>#DIV/0!</v>
      </c>
      <c r="BN83" s="14" t="e">
        <f t="shared" si="41"/>
        <v>#DIV/0!</v>
      </c>
      <c r="BO83" s="14" t="e">
        <f t="shared" si="41"/>
        <v>#DIV/0!</v>
      </c>
      <c r="BP83" s="14" t="e">
        <f t="shared" si="41"/>
        <v>#DIV/0!</v>
      </c>
      <c r="BQ83" s="14" t="e">
        <f t="shared" si="41"/>
        <v>#DIV/0!</v>
      </c>
      <c r="BR83" s="14" t="e">
        <f t="shared" si="41"/>
        <v>#DIV/0!</v>
      </c>
      <c r="BS83" s="98"/>
    </row>
    <row r="84" spans="1:71" ht="21" hidden="1" customHeight="1" outlineLevel="1" thickBot="1" x14ac:dyDescent="0.4">
      <c r="A84" s="5">
        <f t="shared" si="35"/>
        <v>1</v>
      </c>
      <c r="B84" s="5">
        <f t="shared" si="35"/>
        <v>0</v>
      </c>
      <c r="C84" s="5">
        <f t="shared" si="35"/>
        <v>0</v>
      </c>
      <c r="D84" s="5">
        <f t="shared" si="35"/>
        <v>0</v>
      </c>
      <c r="E84" s="6" t="str">
        <f t="shared" si="29"/>
        <v>Ar</v>
      </c>
      <c r="F84" s="14" t="e">
        <f t="shared" ref="F84" si="42">F8*$C$78</f>
        <v>#DIV/0!</v>
      </c>
      <c r="G84" s="14" t="e">
        <f t="shared" ref="G84:BR84" si="43">G8*$C$78</f>
        <v>#DIV/0!</v>
      </c>
      <c r="H84" s="14" t="e">
        <f t="shared" si="43"/>
        <v>#DIV/0!</v>
      </c>
      <c r="I84" s="14" t="e">
        <f t="shared" si="43"/>
        <v>#DIV/0!</v>
      </c>
      <c r="J84" s="14" t="e">
        <f t="shared" si="43"/>
        <v>#DIV/0!</v>
      </c>
      <c r="K84" s="14" t="e">
        <f t="shared" si="43"/>
        <v>#DIV/0!</v>
      </c>
      <c r="L84" s="14" t="e">
        <f t="shared" si="43"/>
        <v>#DIV/0!</v>
      </c>
      <c r="M84" s="14" t="e">
        <f t="shared" si="43"/>
        <v>#DIV/0!</v>
      </c>
      <c r="N84" s="14" t="e">
        <f t="shared" si="43"/>
        <v>#DIV/0!</v>
      </c>
      <c r="O84" s="14" t="e">
        <f t="shared" si="43"/>
        <v>#DIV/0!</v>
      </c>
      <c r="P84" s="14" t="e">
        <f t="shared" si="43"/>
        <v>#DIV/0!</v>
      </c>
      <c r="Q84" s="14" t="e">
        <f t="shared" si="43"/>
        <v>#DIV/0!</v>
      </c>
      <c r="R84" s="14" t="e">
        <f t="shared" si="43"/>
        <v>#DIV/0!</v>
      </c>
      <c r="S84" s="14" t="e">
        <f t="shared" si="43"/>
        <v>#DIV/0!</v>
      </c>
      <c r="T84" s="14" t="e">
        <f t="shared" si="43"/>
        <v>#DIV/0!</v>
      </c>
      <c r="U84" s="14" t="e">
        <f t="shared" si="43"/>
        <v>#DIV/0!</v>
      </c>
      <c r="V84" s="14" t="e">
        <f t="shared" si="43"/>
        <v>#DIV/0!</v>
      </c>
      <c r="W84" s="14" t="e">
        <f t="shared" si="43"/>
        <v>#DIV/0!</v>
      </c>
      <c r="X84" s="14" t="e">
        <f t="shared" si="43"/>
        <v>#DIV/0!</v>
      </c>
      <c r="Y84" s="14" t="e">
        <f t="shared" si="43"/>
        <v>#DIV/0!</v>
      </c>
      <c r="Z84" s="14" t="e">
        <f t="shared" si="43"/>
        <v>#DIV/0!</v>
      </c>
      <c r="AA84" s="14" t="e">
        <f t="shared" si="43"/>
        <v>#DIV/0!</v>
      </c>
      <c r="AB84" s="14" t="e">
        <f t="shared" si="43"/>
        <v>#DIV/0!</v>
      </c>
      <c r="AC84" s="14" t="e">
        <f t="shared" si="43"/>
        <v>#DIV/0!</v>
      </c>
      <c r="AD84" s="14" t="e">
        <f t="shared" si="43"/>
        <v>#DIV/0!</v>
      </c>
      <c r="AE84" s="14" t="e">
        <f t="shared" si="43"/>
        <v>#DIV/0!</v>
      </c>
      <c r="AF84" s="14" t="e">
        <f t="shared" si="43"/>
        <v>#DIV/0!</v>
      </c>
      <c r="AG84" s="14" t="e">
        <f t="shared" si="43"/>
        <v>#DIV/0!</v>
      </c>
      <c r="AH84" s="14" t="e">
        <f t="shared" si="43"/>
        <v>#DIV/0!</v>
      </c>
      <c r="AI84" s="14" t="e">
        <f t="shared" si="43"/>
        <v>#DIV/0!</v>
      </c>
      <c r="AJ84" s="14" t="e">
        <f t="shared" si="43"/>
        <v>#DIV/0!</v>
      </c>
      <c r="AK84" s="14" t="e">
        <f t="shared" si="43"/>
        <v>#DIV/0!</v>
      </c>
      <c r="AL84" s="14" t="e">
        <f t="shared" si="43"/>
        <v>#DIV/0!</v>
      </c>
      <c r="AM84" s="14" t="e">
        <f t="shared" si="43"/>
        <v>#DIV/0!</v>
      </c>
      <c r="AN84" s="14" t="e">
        <f t="shared" si="43"/>
        <v>#DIV/0!</v>
      </c>
      <c r="AO84" s="14" t="e">
        <f t="shared" si="43"/>
        <v>#DIV/0!</v>
      </c>
      <c r="AP84" s="14" t="e">
        <f t="shared" si="43"/>
        <v>#DIV/0!</v>
      </c>
      <c r="AQ84" s="14" t="e">
        <f t="shared" si="43"/>
        <v>#DIV/0!</v>
      </c>
      <c r="AR84" s="14" t="e">
        <f t="shared" si="43"/>
        <v>#DIV/0!</v>
      </c>
      <c r="AS84" s="14" t="e">
        <f t="shared" si="43"/>
        <v>#DIV/0!</v>
      </c>
      <c r="AT84" s="14" t="e">
        <f t="shared" si="43"/>
        <v>#DIV/0!</v>
      </c>
      <c r="AU84" s="14" t="e">
        <f t="shared" si="43"/>
        <v>#DIV/0!</v>
      </c>
      <c r="AV84" s="14" t="e">
        <f t="shared" si="43"/>
        <v>#DIV/0!</v>
      </c>
      <c r="AW84" s="14" t="e">
        <f t="shared" si="43"/>
        <v>#DIV/0!</v>
      </c>
      <c r="AX84" s="14" t="e">
        <f t="shared" si="43"/>
        <v>#DIV/0!</v>
      </c>
      <c r="AY84" s="14" t="e">
        <f t="shared" si="43"/>
        <v>#DIV/0!</v>
      </c>
      <c r="AZ84" s="14" t="e">
        <f t="shared" si="43"/>
        <v>#DIV/0!</v>
      </c>
      <c r="BA84" s="14" t="e">
        <f t="shared" si="43"/>
        <v>#DIV/0!</v>
      </c>
      <c r="BB84" s="14" t="e">
        <f t="shared" si="43"/>
        <v>#DIV/0!</v>
      </c>
      <c r="BC84" s="14" t="e">
        <f t="shared" si="43"/>
        <v>#DIV/0!</v>
      </c>
      <c r="BD84" s="14" t="e">
        <f t="shared" si="43"/>
        <v>#DIV/0!</v>
      </c>
      <c r="BE84" s="14" t="e">
        <f t="shared" si="43"/>
        <v>#DIV/0!</v>
      </c>
      <c r="BF84" s="14" t="e">
        <f t="shared" si="43"/>
        <v>#DIV/0!</v>
      </c>
      <c r="BG84" s="14" t="e">
        <f t="shared" si="43"/>
        <v>#DIV/0!</v>
      </c>
      <c r="BH84" s="14" t="e">
        <f t="shared" si="43"/>
        <v>#DIV/0!</v>
      </c>
      <c r="BI84" s="14" t="e">
        <f t="shared" si="43"/>
        <v>#DIV/0!</v>
      </c>
      <c r="BJ84" s="14" t="e">
        <f t="shared" si="43"/>
        <v>#DIV/0!</v>
      </c>
      <c r="BK84" s="14" t="e">
        <f t="shared" si="43"/>
        <v>#DIV/0!</v>
      </c>
      <c r="BL84" s="14" t="e">
        <f t="shared" si="43"/>
        <v>#DIV/0!</v>
      </c>
      <c r="BM84" s="14" t="e">
        <f t="shared" si="43"/>
        <v>#DIV/0!</v>
      </c>
      <c r="BN84" s="14" t="e">
        <f t="shared" si="43"/>
        <v>#DIV/0!</v>
      </c>
      <c r="BO84" s="14" t="e">
        <f t="shared" si="43"/>
        <v>#DIV/0!</v>
      </c>
      <c r="BP84" s="14" t="e">
        <f t="shared" si="43"/>
        <v>#DIV/0!</v>
      </c>
      <c r="BQ84" s="14" t="e">
        <f t="shared" si="43"/>
        <v>#DIV/0!</v>
      </c>
      <c r="BR84" s="14" t="e">
        <f t="shared" si="43"/>
        <v>#DIV/0!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2</v>
      </c>
      <c r="C85" s="5">
        <f t="shared" si="35"/>
        <v>1</v>
      </c>
      <c r="D85" s="5">
        <f t="shared" si="35"/>
        <v>0</v>
      </c>
      <c r="E85" s="6" t="str">
        <f t="shared" si="29"/>
        <v>(l)GeSe2</v>
      </c>
      <c r="F85" s="14" t="e">
        <f t="shared" ref="F85" si="44">F9*$C$78</f>
        <v>#DIV/0!</v>
      </c>
      <c r="G85" s="14" t="e">
        <f t="shared" ref="G85:BR85" si="45">G9*$C$78</f>
        <v>#DIV/0!</v>
      </c>
      <c r="H85" s="14" t="e">
        <f t="shared" si="45"/>
        <v>#DIV/0!</v>
      </c>
      <c r="I85" s="14" t="e">
        <f t="shared" si="45"/>
        <v>#DIV/0!</v>
      </c>
      <c r="J85" s="14" t="e">
        <f t="shared" si="45"/>
        <v>#DIV/0!</v>
      </c>
      <c r="K85" s="14" t="e">
        <f t="shared" si="45"/>
        <v>#DIV/0!</v>
      </c>
      <c r="L85" s="14" t="e">
        <f t="shared" si="45"/>
        <v>#DIV/0!</v>
      </c>
      <c r="M85" s="14" t="e">
        <f t="shared" si="45"/>
        <v>#DIV/0!</v>
      </c>
      <c r="N85" s="14" t="e">
        <f t="shared" si="45"/>
        <v>#DIV/0!</v>
      </c>
      <c r="O85" s="14" t="e">
        <f t="shared" si="45"/>
        <v>#DIV/0!</v>
      </c>
      <c r="P85" s="14" t="e">
        <f t="shared" si="45"/>
        <v>#DIV/0!</v>
      </c>
      <c r="Q85" s="14" t="e">
        <f t="shared" si="45"/>
        <v>#DIV/0!</v>
      </c>
      <c r="R85" s="14" t="e">
        <f t="shared" si="45"/>
        <v>#DIV/0!</v>
      </c>
      <c r="S85" s="14" t="e">
        <f t="shared" si="45"/>
        <v>#DIV/0!</v>
      </c>
      <c r="T85" s="14" t="e">
        <f t="shared" si="45"/>
        <v>#DIV/0!</v>
      </c>
      <c r="U85" s="14" t="e">
        <f t="shared" si="45"/>
        <v>#DIV/0!</v>
      </c>
      <c r="V85" s="14" t="e">
        <f t="shared" si="45"/>
        <v>#DIV/0!</v>
      </c>
      <c r="W85" s="14" t="e">
        <f t="shared" si="45"/>
        <v>#DIV/0!</v>
      </c>
      <c r="X85" s="14" t="e">
        <f t="shared" si="45"/>
        <v>#DIV/0!</v>
      </c>
      <c r="Y85" s="14" t="e">
        <f t="shared" si="45"/>
        <v>#DIV/0!</v>
      </c>
      <c r="Z85" s="14" t="e">
        <f t="shared" si="45"/>
        <v>#DIV/0!</v>
      </c>
      <c r="AA85" s="14" t="e">
        <f t="shared" si="45"/>
        <v>#DIV/0!</v>
      </c>
      <c r="AB85" s="14" t="e">
        <f t="shared" si="45"/>
        <v>#DIV/0!</v>
      </c>
      <c r="AC85" s="14" t="e">
        <f t="shared" si="45"/>
        <v>#DIV/0!</v>
      </c>
      <c r="AD85" s="14" t="e">
        <f t="shared" si="45"/>
        <v>#DIV/0!</v>
      </c>
      <c r="AE85" s="14" t="e">
        <f t="shared" si="45"/>
        <v>#DIV/0!</v>
      </c>
      <c r="AF85" s="14" t="e">
        <f t="shared" si="45"/>
        <v>#DIV/0!</v>
      </c>
      <c r="AG85" s="14" t="e">
        <f t="shared" si="45"/>
        <v>#DIV/0!</v>
      </c>
      <c r="AH85" s="14" t="e">
        <f t="shared" si="45"/>
        <v>#DIV/0!</v>
      </c>
      <c r="AI85" s="14" t="e">
        <f t="shared" si="45"/>
        <v>#DIV/0!</v>
      </c>
      <c r="AJ85" s="14" t="e">
        <f t="shared" si="45"/>
        <v>#DIV/0!</v>
      </c>
      <c r="AK85" s="14" t="e">
        <f t="shared" si="45"/>
        <v>#DIV/0!</v>
      </c>
      <c r="AL85" s="14" t="e">
        <f t="shared" si="45"/>
        <v>#DIV/0!</v>
      </c>
      <c r="AM85" s="14" t="e">
        <f t="shared" si="45"/>
        <v>#DIV/0!</v>
      </c>
      <c r="AN85" s="14" t="e">
        <f t="shared" si="45"/>
        <v>#DIV/0!</v>
      </c>
      <c r="AO85" s="14" t="e">
        <f t="shared" si="45"/>
        <v>#DIV/0!</v>
      </c>
      <c r="AP85" s="14" t="e">
        <f t="shared" si="45"/>
        <v>#DIV/0!</v>
      </c>
      <c r="AQ85" s="14" t="e">
        <f t="shared" si="45"/>
        <v>#DIV/0!</v>
      </c>
      <c r="AR85" s="14" t="e">
        <f t="shared" si="45"/>
        <v>#DIV/0!</v>
      </c>
      <c r="AS85" s="14" t="e">
        <f t="shared" si="45"/>
        <v>#DIV/0!</v>
      </c>
      <c r="AT85" s="14" t="e">
        <f t="shared" si="45"/>
        <v>#DIV/0!</v>
      </c>
      <c r="AU85" s="14" t="e">
        <f t="shared" si="45"/>
        <v>#DIV/0!</v>
      </c>
      <c r="AV85" s="14" t="e">
        <f t="shared" si="45"/>
        <v>#DIV/0!</v>
      </c>
      <c r="AW85" s="14" t="e">
        <f t="shared" si="45"/>
        <v>#DIV/0!</v>
      </c>
      <c r="AX85" s="14" t="e">
        <f t="shared" si="45"/>
        <v>#DIV/0!</v>
      </c>
      <c r="AY85" s="14" t="e">
        <f t="shared" si="45"/>
        <v>#DIV/0!</v>
      </c>
      <c r="AZ85" s="14" t="e">
        <f t="shared" si="45"/>
        <v>#DIV/0!</v>
      </c>
      <c r="BA85" s="14" t="e">
        <f t="shared" si="45"/>
        <v>#DIV/0!</v>
      </c>
      <c r="BB85" s="14" t="e">
        <f t="shared" si="45"/>
        <v>#DIV/0!</v>
      </c>
      <c r="BC85" s="14" t="e">
        <f t="shared" si="45"/>
        <v>#DIV/0!</v>
      </c>
      <c r="BD85" s="14" t="e">
        <f t="shared" si="45"/>
        <v>#DIV/0!</v>
      </c>
      <c r="BE85" s="14" t="e">
        <f t="shared" si="45"/>
        <v>#DIV/0!</v>
      </c>
      <c r="BF85" s="14" t="e">
        <f t="shared" si="45"/>
        <v>#DIV/0!</v>
      </c>
      <c r="BG85" s="14" t="e">
        <f t="shared" si="45"/>
        <v>#DIV/0!</v>
      </c>
      <c r="BH85" s="14" t="e">
        <f t="shared" si="45"/>
        <v>#DIV/0!</v>
      </c>
      <c r="BI85" s="14" t="e">
        <f t="shared" si="45"/>
        <v>#DIV/0!</v>
      </c>
      <c r="BJ85" s="14" t="e">
        <f t="shared" si="45"/>
        <v>#DIV/0!</v>
      </c>
      <c r="BK85" s="14" t="e">
        <f t="shared" si="45"/>
        <v>#DIV/0!</v>
      </c>
      <c r="BL85" s="14" t="e">
        <f t="shared" si="45"/>
        <v>#DIV/0!</v>
      </c>
      <c r="BM85" s="14" t="e">
        <f t="shared" si="45"/>
        <v>#DIV/0!</v>
      </c>
      <c r="BN85" s="14" t="e">
        <f t="shared" si="45"/>
        <v>#DIV/0!</v>
      </c>
      <c r="BO85" s="14" t="e">
        <f t="shared" si="45"/>
        <v>#DIV/0!</v>
      </c>
      <c r="BP85" s="14" t="e">
        <f t="shared" si="45"/>
        <v>#DIV/0!</v>
      </c>
      <c r="BQ85" s="14" t="e">
        <f t="shared" si="45"/>
        <v>#DIV/0!</v>
      </c>
      <c r="BR85" s="14" t="e">
        <f t="shared" si="45"/>
        <v>#DIV/0!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1</v>
      </c>
      <c r="C86" s="5">
        <f t="shared" si="35"/>
        <v>1</v>
      </c>
      <c r="D86" s="5">
        <f t="shared" si="35"/>
        <v>0</v>
      </c>
      <c r="E86" s="6" t="str">
        <f t="shared" si="29"/>
        <v>(l)GeSe</v>
      </c>
      <c r="F86" s="14" t="e">
        <f t="shared" ref="F86" si="46">F10*$C$78</f>
        <v>#DIV/0!</v>
      </c>
      <c r="G86" s="14" t="e">
        <f t="shared" ref="G86:BR86" si="47">G10*$C$78</f>
        <v>#DIV/0!</v>
      </c>
      <c r="H86" s="14" t="e">
        <f t="shared" si="47"/>
        <v>#DIV/0!</v>
      </c>
      <c r="I86" s="14" t="e">
        <f t="shared" si="47"/>
        <v>#DIV/0!</v>
      </c>
      <c r="J86" s="14" t="e">
        <f t="shared" si="47"/>
        <v>#DIV/0!</v>
      </c>
      <c r="K86" s="14" t="e">
        <f t="shared" si="47"/>
        <v>#DIV/0!</v>
      </c>
      <c r="L86" s="14" t="e">
        <f t="shared" si="47"/>
        <v>#DIV/0!</v>
      </c>
      <c r="M86" s="14" t="e">
        <f t="shared" si="47"/>
        <v>#DIV/0!</v>
      </c>
      <c r="N86" s="14" t="e">
        <f t="shared" si="47"/>
        <v>#DIV/0!</v>
      </c>
      <c r="O86" s="14" t="e">
        <f t="shared" si="47"/>
        <v>#DIV/0!</v>
      </c>
      <c r="P86" s="14" t="e">
        <f t="shared" si="47"/>
        <v>#DIV/0!</v>
      </c>
      <c r="Q86" s="14" t="e">
        <f t="shared" si="47"/>
        <v>#DIV/0!</v>
      </c>
      <c r="R86" s="14" t="e">
        <f t="shared" si="47"/>
        <v>#DIV/0!</v>
      </c>
      <c r="S86" s="14" t="e">
        <f t="shared" si="47"/>
        <v>#DIV/0!</v>
      </c>
      <c r="T86" s="14" t="e">
        <f t="shared" si="47"/>
        <v>#DIV/0!</v>
      </c>
      <c r="U86" s="14" t="e">
        <f t="shared" si="47"/>
        <v>#DIV/0!</v>
      </c>
      <c r="V86" s="14" t="e">
        <f t="shared" si="47"/>
        <v>#DIV/0!</v>
      </c>
      <c r="W86" s="14" t="e">
        <f t="shared" si="47"/>
        <v>#DIV/0!</v>
      </c>
      <c r="X86" s="14" t="e">
        <f t="shared" si="47"/>
        <v>#DIV/0!</v>
      </c>
      <c r="Y86" s="14" t="e">
        <f t="shared" si="47"/>
        <v>#DIV/0!</v>
      </c>
      <c r="Z86" s="14" t="e">
        <f t="shared" si="47"/>
        <v>#DIV/0!</v>
      </c>
      <c r="AA86" s="14" t="e">
        <f t="shared" si="47"/>
        <v>#DIV/0!</v>
      </c>
      <c r="AB86" s="14" t="e">
        <f t="shared" si="47"/>
        <v>#DIV/0!</v>
      </c>
      <c r="AC86" s="14" t="e">
        <f t="shared" si="47"/>
        <v>#DIV/0!</v>
      </c>
      <c r="AD86" s="14" t="e">
        <f t="shared" si="47"/>
        <v>#DIV/0!</v>
      </c>
      <c r="AE86" s="14" t="e">
        <f t="shared" si="47"/>
        <v>#DIV/0!</v>
      </c>
      <c r="AF86" s="14" t="e">
        <f t="shared" si="47"/>
        <v>#DIV/0!</v>
      </c>
      <c r="AG86" s="14" t="e">
        <f t="shared" si="47"/>
        <v>#DIV/0!</v>
      </c>
      <c r="AH86" s="14" t="e">
        <f t="shared" si="47"/>
        <v>#DIV/0!</v>
      </c>
      <c r="AI86" s="14" t="e">
        <f t="shared" si="47"/>
        <v>#DIV/0!</v>
      </c>
      <c r="AJ86" s="14" t="e">
        <f t="shared" si="47"/>
        <v>#DIV/0!</v>
      </c>
      <c r="AK86" s="14" t="e">
        <f t="shared" si="47"/>
        <v>#DIV/0!</v>
      </c>
      <c r="AL86" s="14" t="e">
        <f t="shared" si="47"/>
        <v>#DIV/0!</v>
      </c>
      <c r="AM86" s="14" t="e">
        <f t="shared" si="47"/>
        <v>#DIV/0!</v>
      </c>
      <c r="AN86" s="14" t="e">
        <f t="shared" si="47"/>
        <v>#DIV/0!</v>
      </c>
      <c r="AO86" s="14" t="e">
        <f t="shared" si="47"/>
        <v>#DIV/0!</v>
      </c>
      <c r="AP86" s="14" t="e">
        <f t="shared" si="47"/>
        <v>#DIV/0!</v>
      </c>
      <c r="AQ86" s="14" t="e">
        <f t="shared" si="47"/>
        <v>#DIV/0!</v>
      </c>
      <c r="AR86" s="14" t="e">
        <f t="shared" si="47"/>
        <v>#DIV/0!</v>
      </c>
      <c r="AS86" s="14" t="e">
        <f t="shared" si="47"/>
        <v>#DIV/0!</v>
      </c>
      <c r="AT86" s="14" t="e">
        <f t="shared" si="47"/>
        <v>#DIV/0!</v>
      </c>
      <c r="AU86" s="14" t="e">
        <f t="shared" si="47"/>
        <v>#DIV/0!</v>
      </c>
      <c r="AV86" s="14" t="e">
        <f t="shared" si="47"/>
        <v>#DIV/0!</v>
      </c>
      <c r="AW86" s="14" t="e">
        <f t="shared" si="47"/>
        <v>#DIV/0!</v>
      </c>
      <c r="AX86" s="14" t="e">
        <f t="shared" si="47"/>
        <v>#DIV/0!</v>
      </c>
      <c r="AY86" s="14" t="e">
        <f t="shared" si="47"/>
        <v>#DIV/0!</v>
      </c>
      <c r="AZ86" s="14" t="e">
        <f t="shared" si="47"/>
        <v>#DIV/0!</v>
      </c>
      <c r="BA86" s="14" t="e">
        <f t="shared" si="47"/>
        <v>#DIV/0!</v>
      </c>
      <c r="BB86" s="14" t="e">
        <f t="shared" si="47"/>
        <v>#DIV/0!</v>
      </c>
      <c r="BC86" s="14" t="e">
        <f t="shared" si="47"/>
        <v>#DIV/0!</v>
      </c>
      <c r="BD86" s="14" t="e">
        <f t="shared" si="47"/>
        <v>#DIV/0!</v>
      </c>
      <c r="BE86" s="14" t="e">
        <f t="shared" si="47"/>
        <v>#DIV/0!</v>
      </c>
      <c r="BF86" s="14" t="e">
        <f t="shared" si="47"/>
        <v>#DIV/0!</v>
      </c>
      <c r="BG86" s="14" t="e">
        <f t="shared" si="47"/>
        <v>#DIV/0!</v>
      </c>
      <c r="BH86" s="14" t="e">
        <f t="shared" si="47"/>
        <v>#DIV/0!</v>
      </c>
      <c r="BI86" s="14" t="e">
        <f t="shared" si="47"/>
        <v>#DIV/0!</v>
      </c>
      <c r="BJ86" s="14" t="e">
        <f t="shared" si="47"/>
        <v>#DIV/0!</v>
      </c>
      <c r="BK86" s="14" t="e">
        <f t="shared" si="47"/>
        <v>#DIV/0!</v>
      </c>
      <c r="BL86" s="14" t="e">
        <f t="shared" si="47"/>
        <v>#DIV/0!</v>
      </c>
      <c r="BM86" s="14" t="e">
        <f t="shared" si="47"/>
        <v>#DIV/0!</v>
      </c>
      <c r="BN86" s="14" t="e">
        <f t="shared" si="47"/>
        <v>#DIV/0!</v>
      </c>
      <c r="BO86" s="14" t="e">
        <f t="shared" si="47"/>
        <v>#DIV/0!</v>
      </c>
      <c r="BP86" s="14" t="e">
        <f t="shared" si="47"/>
        <v>#DIV/0!</v>
      </c>
      <c r="BQ86" s="14" t="e">
        <f t="shared" si="47"/>
        <v>#DIV/0!</v>
      </c>
      <c r="BR86" s="14" t="e">
        <f t="shared" si="47"/>
        <v>#DIV/0!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0</v>
      </c>
      <c r="C87" s="5">
        <f t="shared" si="35"/>
        <v>1</v>
      </c>
      <c r="D87" s="5">
        <f t="shared" si="35"/>
        <v>0</v>
      </c>
      <c r="E87" s="6" t="str">
        <f t="shared" si="29"/>
        <v>(l)Ge</v>
      </c>
      <c r="F87" s="14" t="e">
        <f t="shared" ref="F87" si="48">F11*$C$78</f>
        <v>#DIV/0!</v>
      </c>
      <c r="G87" s="14" t="e">
        <f t="shared" ref="G87:BR87" si="49">G11*$C$78</f>
        <v>#DIV/0!</v>
      </c>
      <c r="H87" s="14" t="e">
        <f t="shared" si="49"/>
        <v>#DIV/0!</v>
      </c>
      <c r="I87" s="14" t="e">
        <f t="shared" si="49"/>
        <v>#DIV/0!</v>
      </c>
      <c r="J87" s="14" t="e">
        <f t="shared" si="49"/>
        <v>#DIV/0!</v>
      </c>
      <c r="K87" s="14" t="e">
        <f t="shared" si="49"/>
        <v>#DIV/0!</v>
      </c>
      <c r="L87" s="14" t="e">
        <f t="shared" si="49"/>
        <v>#DIV/0!</v>
      </c>
      <c r="M87" s="14" t="e">
        <f t="shared" si="49"/>
        <v>#DIV/0!</v>
      </c>
      <c r="N87" s="14" t="e">
        <f t="shared" si="49"/>
        <v>#DIV/0!</v>
      </c>
      <c r="O87" s="14" t="e">
        <f t="shared" si="49"/>
        <v>#DIV/0!</v>
      </c>
      <c r="P87" s="14" t="e">
        <f t="shared" si="49"/>
        <v>#DIV/0!</v>
      </c>
      <c r="Q87" s="14" t="e">
        <f t="shared" si="49"/>
        <v>#DIV/0!</v>
      </c>
      <c r="R87" s="14" t="e">
        <f t="shared" si="49"/>
        <v>#DIV/0!</v>
      </c>
      <c r="S87" s="14" t="e">
        <f t="shared" si="49"/>
        <v>#DIV/0!</v>
      </c>
      <c r="T87" s="14" t="e">
        <f t="shared" si="49"/>
        <v>#DIV/0!</v>
      </c>
      <c r="U87" s="14" t="e">
        <f t="shared" si="49"/>
        <v>#DIV/0!</v>
      </c>
      <c r="V87" s="14" t="e">
        <f t="shared" si="49"/>
        <v>#DIV/0!</v>
      </c>
      <c r="W87" s="14" t="e">
        <f t="shared" si="49"/>
        <v>#DIV/0!</v>
      </c>
      <c r="X87" s="14" t="e">
        <f t="shared" si="49"/>
        <v>#DIV/0!</v>
      </c>
      <c r="Y87" s="14" t="e">
        <f t="shared" si="49"/>
        <v>#DIV/0!</v>
      </c>
      <c r="Z87" s="14" t="e">
        <f t="shared" si="49"/>
        <v>#DIV/0!</v>
      </c>
      <c r="AA87" s="14" t="e">
        <f t="shared" si="49"/>
        <v>#DIV/0!</v>
      </c>
      <c r="AB87" s="14" t="e">
        <f t="shared" si="49"/>
        <v>#DIV/0!</v>
      </c>
      <c r="AC87" s="14" t="e">
        <f t="shared" si="49"/>
        <v>#DIV/0!</v>
      </c>
      <c r="AD87" s="14" t="e">
        <f t="shared" si="49"/>
        <v>#DIV/0!</v>
      </c>
      <c r="AE87" s="14" t="e">
        <f t="shared" si="49"/>
        <v>#DIV/0!</v>
      </c>
      <c r="AF87" s="14" t="e">
        <f t="shared" si="49"/>
        <v>#DIV/0!</v>
      </c>
      <c r="AG87" s="14" t="e">
        <f t="shared" si="49"/>
        <v>#DIV/0!</v>
      </c>
      <c r="AH87" s="14" t="e">
        <f t="shared" si="49"/>
        <v>#DIV/0!</v>
      </c>
      <c r="AI87" s="14" t="e">
        <f t="shared" si="49"/>
        <v>#DIV/0!</v>
      </c>
      <c r="AJ87" s="14" t="e">
        <f t="shared" si="49"/>
        <v>#DIV/0!</v>
      </c>
      <c r="AK87" s="14" t="e">
        <f t="shared" si="49"/>
        <v>#DIV/0!</v>
      </c>
      <c r="AL87" s="14" t="e">
        <f t="shared" si="49"/>
        <v>#DIV/0!</v>
      </c>
      <c r="AM87" s="14" t="e">
        <f t="shared" si="49"/>
        <v>#DIV/0!</v>
      </c>
      <c r="AN87" s="14" t="e">
        <f t="shared" si="49"/>
        <v>#DIV/0!</v>
      </c>
      <c r="AO87" s="14" t="e">
        <f t="shared" si="49"/>
        <v>#DIV/0!</v>
      </c>
      <c r="AP87" s="14" t="e">
        <f t="shared" si="49"/>
        <v>#DIV/0!</v>
      </c>
      <c r="AQ87" s="14" t="e">
        <f t="shared" si="49"/>
        <v>#DIV/0!</v>
      </c>
      <c r="AR87" s="14" t="e">
        <f t="shared" si="49"/>
        <v>#DIV/0!</v>
      </c>
      <c r="AS87" s="14" t="e">
        <f t="shared" si="49"/>
        <v>#DIV/0!</v>
      </c>
      <c r="AT87" s="14" t="e">
        <f t="shared" si="49"/>
        <v>#DIV/0!</v>
      </c>
      <c r="AU87" s="14" t="e">
        <f t="shared" si="49"/>
        <v>#DIV/0!</v>
      </c>
      <c r="AV87" s="14" t="e">
        <f t="shared" si="49"/>
        <v>#DIV/0!</v>
      </c>
      <c r="AW87" s="14" t="e">
        <f t="shared" si="49"/>
        <v>#DIV/0!</v>
      </c>
      <c r="AX87" s="14" t="e">
        <f t="shared" si="49"/>
        <v>#DIV/0!</v>
      </c>
      <c r="AY87" s="14" t="e">
        <f t="shared" si="49"/>
        <v>#DIV/0!</v>
      </c>
      <c r="AZ87" s="14" t="e">
        <f t="shared" si="49"/>
        <v>#DIV/0!</v>
      </c>
      <c r="BA87" s="14" t="e">
        <f t="shared" si="49"/>
        <v>#DIV/0!</v>
      </c>
      <c r="BB87" s="14" t="e">
        <f t="shared" si="49"/>
        <v>#DIV/0!</v>
      </c>
      <c r="BC87" s="14" t="e">
        <f t="shared" si="49"/>
        <v>#DIV/0!</v>
      </c>
      <c r="BD87" s="14" t="e">
        <f t="shared" si="49"/>
        <v>#DIV/0!</v>
      </c>
      <c r="BE87" s="14" t="e">
        <f t="shared" si="49"/>
        <v>#DIV/0!</v>
      </c>
      <c r="BF87" s="14" t="e">
        <f t="shared" si="49"/>
        <v>#DIV/0!</v>
      </c>
      <c r="BG87" s="14" t="e">
        <f t="shared" si="49"/>
        <v>#DIV/0!</v>
      </c>
      <c r="BH87" s="14" t="e">
        <f t="shared" si="49"/>
        <v>#DIV/0!</v>
      </c>
      <c r="BI87" s="14" t="e">
        <f t="shared" si="49"/>
        <v>#DIV/0!</v>
      </c>
      <c r="BJ87" s="14" t="e">
        <f t="shared" si="49"/>
        <v>#DIV/0!</v>
      </c>
      <c r="BK87" s="14" t="e">
        <f t="shared" si="49"/>
        <v>#DIV/0!</v>
      </c>
      <c r="BL87" s="14" t="e">
        <f t="shared" si="49"/>
        <v>#DIV/0!</v>
      </c>
      <c r="BM87" s="14" t="e">
        <f t="shared" si="49"/>
        <v>#DIV/0!</v>
      </c>
      <c r="BN87" s="14" t="e">
        <f t="shared" si="49"/>
        <v>#DIV/0!</v>
      </c>
      <c r="BO87" s="14" t="e">
        <f t="shared" si="49"/>
        <v>#DIV/0!</v>
      </c>
      <c r="BP87" s="14" t="e">
        <f t="shared" si="49"/>
        <v>#DIV/0!</v>
      </c>
      <c r="BQ87" s="14" t="e">
        <f t="shared" si="49"/>
        <v>#DIV/0!</v>
      </c>
      <c r="BR87" s="14" t="e">
        <f t="shared" si="49"/>
        <v>#DIV/0!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3</v>
      </c>
      <c r="C88" s="5">
        <f t="shared" si="35"/>
        <v>0</v>
      </c>
      <c r="D88" s="5">
        <f t="shared" si="35"/>
        <v>2</v>
      </c>
      <c r="E88" s="6" t="str">
        <f t="shared" si="29"/>
        <v>(l)Ga2Se3</v>
      </c>
      <c r="F88" s="14" t="e">
        <f t="shared" ref="F88" si="50">F12*$C$78</f>
        <v>#DIV/0!</v>
      </c>
      <c r="G88" s="14" t="e">
        <f t="shared" ref="G88:BR88" si="51">G12*$C$78</f>
        <v>#DIV/0!</v>
      </c>
      <c r="H88" s="14" t="e">
        <f t="shared" si="51"/>
        <v>#DIV/0!</v>
      </c>
      <c r="I88" s="14" t="e">
        <f t="shared" si="51"/>
        <v>#DIV/0!</v>
      </c>
      <c r="J88" s="14" t="e">
        <f t="shared" si="51"/>
        <v>#DIV/0!</v>
      </c>
      <c r="K88" s="14" t="e">
        <f t="shared" si="51"/>
        <v>#DIV/0!</v>
      </c>
      <c r="L88" s="14" t="e">
        <f t="shared" si="51"/>
        <v>#DIV/0!</v>
      </c>
      <c r="M88" s="14" t="e">
        <f t="shared" si="51"/>
        <v>#DIV/0!</v>
      </c>
      <c r="N88" s="14" t="e">
        <f t="shared" si="51"/>
        <v>#DIV/0!</v>
      </c>
      <c r="O88" s="14" t="e">
        <f t="shared" si="51"/>
        <v>#DIV/0!</v>
      </c>
      <c r="P88" s="14" t="e">
        <f t="shared" si="51"/>
        <v>#DIV/0!</v>
      </c>
      <c r="Q88" s="14" t="e">
        <f t="shared" si="51"/>
        <v>#DIV/0!</v>
      </c>
      <c r="R88" s="14" t="e">
        <f t="shared" si="51"/>
        <v>#DIV/0!</v>
      </c>
      <c r="S88" s="14" t="e">
        <f t="shared" si="51"/>
        <v>#DIV/0!</v>
      </c>
      <c r="T88" s="14" t="e">
        <f t="shared" si="51"/>
        <v>#DIV/0!</v>
      </c>
      <c r="U88" s="14" t="e">
        <f t="shared" si="51"/>
        <v>#DIV/0!</v>
      </c>
      <c r="V88" s="14" t="e">
        <f t="shared" si="51"/>
        <v>#DIV/0!</v>
      </c>
      <c r="W88" s="14" t="e">
        <f t="shared" si="51"/>
        <v>#DIV/0!</v>
      </c>
      <c r="X88" s="14" t="e">
        <f t="shared" si="51"/>
        <v>#DIV/0!</v>
      </c>
      <c r="Y88" s="14" t="e">
        <f t="shared" si="51"/>
        <v>#DIV/0!</v>
      </c>
      <c r="Z88" s="14" t="e">
        <f t="shared" si="51"/>
        <v>#DIV/0!</v>
      </c>
      <c r="AA88" s="14" t="e">
        <f t="shared" si="51"/>
        <v>#DIV/0!</v>
      </c>
      <c r="AB88" s="14" t="e">
        <f t="shared" si="51"/>
        <v>#DIV/0!</v>
      </c>
      <c r="AC88" s="14" t="e">
        <f t="shared" si="51"/>
        <v>#DIV/0!</v>
      </c>
      <c r="AD88" s="14" t="e">
        <f t="shared" si="51"/>
        <v>#DIV/0!</v>
      </c>
      <c r="AE88" s="14" t="e">
        <f t="shared" si="51"/>
        <v>#DIV/0!</v>
      </c>
      <c r="AF88" s="14" t="e">
        <f t="shared" si="51"/>
        <v>#DIV/0!</v>
      </c>
      <c r="AG88" s="14" t="e">
        <f t="shared" si="51"/>
        <v>#DIV/0!</v>
      </c>
      <c r="AH88" s="14" t="e">
        <f t="shared" si="51"/>
        <v>#DIV/0!</v>
      </c>
      <c r="AI88" s="14" t="e">
        <f t="shared" si="51"/>
        <v>#DIV/0!</v>
      </c>
      <c r="AJ88" s="14" t="e">
        <f t="shared" si="51"/>
        <v>#DIV/0!</v>
      </c>
      <c r="AK88" s="14" t="e">
        <f t="shared" si="51"/>
        <v>#DIV/0!</v>
      </c>
      <c r="AL88" s="14" t="e">
        <f t="shared" si="51"/>
        <v>#DIV/0!</v>
      </c>
      <c r="AM88" s="14" t="e">
        <f t="shared" si="51"/>
        <v>#DIV/0!</v>
      </c>
      <c r="AN88" s="14" t="e">
        <f t="shared" si="51"/>
        <v>#DIV/0!</v>
      </c>
      <c r="AO88" s="14" t="e">
        <f t="shared" si="51"/>
        <v>#DIV/0!</v>
      </c>
      <c r="AP88" s="14" t="e">
        <f t="shared" si="51"/>
        <v>#DIV/0!</v>
      </c>
      <c r="AQ88" s="14" t="e">
        <f t="shared" si="51"/>
        <v>#DIV/0!</v>
      </c>
      <c r="AR88" s="14" t="e">
        <f t="shared" si="51"/>
        <v>#DIV/0!</v>
      </c>
      <c r="AS88" s="14" t="e">
        <f t="shared" si="51"/>
        <v>#DIV/0!</v>
      </c>
      <c r="AT88" s="14" t="e">
        <f t="shared" si="51"/>
        <v>#DIV/0!</v>
      </c>
      <c r="AU88" s="14" t="e">
        <f t="shared" si="51"/>
        <v>#DIV/0!</v>
      </c>
      <c r="AV88" s="14" t="e">
        <f t="shared" si="51"/>
        <v>#DIV/0!</v>
      </c>
      <c r="AW88" s="14" t="e">
        <f t="shared" si="51"/>
        <v>#DIV/0!</v>
      </c>
      <c r="AX88" s="14" t="e">
        <f t="shared" si="51"/>
        <v>#DIV/0!</v>
      </c>
      <c r="AY88" s="14" t="e">
        <f t="shared" si="51"/>
        <v>#DIV/0!</v>
      </c>
      <c r="AZ88" s="14" t="e">
        <f t="shared" si="51"/>
        <v>#DIV/0!</v>
      </c>
      <c r="BA88" s="14" t="e">
        <f t="shared" si="51"/>
        <v>#DIV/0!</v>
      </c>
      <c r="BB88" s="14" t="e">
        <f t="shared" si="51"/>
        <v>#DIV/0!</v>
      </c>
      <c r="BC88" s="14" t="e">
        <f t="shared" si="51"/>
        <v>#DIV/0!</v>
      </c>
      <c r="BD88" s="14" t="e">
        <f t="shared" si="51"/>
        <v>#DIV/0!</v>
      </c>
      <c r="BE88" s="14" t="e">
        <f t="shared" si="51"/>
        <v>#DIV/0!</v>
      </c>
      <c r="BF88" s="14" t="e">
        <f t="shared" si="51"/>
        <v>#DIV/0!</v>
      </c>
      <c r="BG88" s="14" t="e">
        <f t="shared" si="51"/>
        <v>#DIV/0!</v>
      </c>
      <c r="BH88" s="14" t="e">
        <f t="shared" si="51"/>
        <v>#DIV/0!</v>
      </c>
      <c r="BI88" s="14" t="e">
        <f t="shared" si="51"/>
        <v>#DIV/0!</v>
      </c>
      <c r="BJ88" s="14" t="e">
        <f t="shared" si="51"/>
        <v>#DIV/0!</v>
      </c>
      <c r="BK88" s="14" t="e">
        <f t="shared" si="51"/>
        <v>#DIV/0!</v>
      </c>
      <c r="BL88" s="14" t="e">
        <f t="shared" si="51"/>
        <v>#DIV/0!</v>
      </c>
      <c r="BM88" s="14" t="e">
        <f t="shared" si="51"/>
        <v>#DIV/0!</v>
      </c>
      <c r="BN88" s="14" t="e">
        <f t="shared" si="51"/>
        <v>#DIV/0!</v>
      </c>
      <c r="BO88" s="14" t="e">
        <f t="shared" si="51"/>
        <v>#DIV/0!</v>
      </c>
      <c r="BP88" s="14" t="e">
        <f t="shared" si="51"/>
        <v>#DIV/0!</v>
      </c>
      <c r="BQ88" s="14" t="e">
        <f t="shared" si="51"/>
        <v>#DIV/0!</v>
      </c>
      <c r="BR88" s="14" t="e">
        <f t="shared" si="51"/>
        <v>#DIV/0!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1</v>
      </c>
      <c r="C89" s="5">
        <f t="shared" si="35"/>
        <v>0</v>
      </c>
      <c r="D89" s="5">
        <f t="shared" si="35"/>
        <v>1</v>
      </c>
      <c r="E89" s="6" t="str">
        <f t="shared" si="29"/>
        <v>(l)GaSe</v>
      </c>
      <c r="F89" s="14" t="e">
        <f t="shared" ref="F89" si="52">F13*$C$78</f>
        <v>#DIV/0!</v>
      </c>
      <c r="G89" s="14" t="e">
        <f t="shared" ref="G89:BR89" si="53">G13*$C$78</f>
        <v>#DIV/0!</v>
      </c>
      <c r="H89" s="14" t="e">
        <f t="shared" si="53"/>
        <v>#DIV/0!</v>
      </c>
      <c r="I89" s="14" t="e">
        <f t="shared" si="53"/>
        <v>#DIV/0!</v>
      </c>
      <c r="J89" s="14" t="e">
        <f t="shared" si="53"/>
        <v>#DIV/0!</v>
      </c>
      <c r="K89" s="14" t="e">
        <f t="shared" si="53"/>
        <v>#DIV/0!</v>
      </c>
      <c r="L89" s="14" t="e">
        <f t="shared" si="53"/>
        <v>#DIV/0!</v>
      </c>
      <c r="M89" s="14" t="e">
        <f t="shared" si="53"/>
        <v>#DIV/0!</v>
      </c>
      <c r="N89" s="14" t="e">
        <f t="shared" si="53"/>
        <v>#DIV/0!</v>
      </c>
      <c r="O89" s="14" t="e">
        <f t="shared" si="53"/>
        <v>#DIV/0!</v>
      </c>
      <c r="P89" s="14" t="e">
        <f t="shared" si="53"/>
        <v>#DIV/0!</v>
      </c>
      <c r="Q89" s="14" t="e">
        <f t="shared" si="53"/>
        <v>#DIV/0!</v>
      </c>
      <c r="R89" s="14" t="e">
        <f t="shared" si="53"/>
        <v>#DIV/0!</v>
      </c>
      <c r="S89" s="14" t="e">
        <f t="shared" si="53"/>
        <v>#DIV/0!</v>
      </c>
      <c r="T89" s="14" t="e">
        <f t="shared" si="53"/>
        <v>#DIV/0!</v>
      </c>
      <c r="U89" s="14" t="e">
        <f t="shared" si="53"/>
        <v>#DIV/0!</v>
      </c>
      <c r="V89" s="14" t="e">
        <f t="shared" si="53"/>
        <v>#DIV/0!</v>
      </c>
      <c r="W89" s="14" t="e">
        <f t="shared" si="53"/>
        <v>#DIV/0!</v>
      </c>
      <c r="X89" s="14" t="e">
        <f t="shared" si="53"/>
        <v>#DIV/0!</v>
      </c>
      <c r="Y89" s="14" t="e">
        <f t="shared" si="53"/>
        <v>#DIV/0!</v>
      </c>
      <c r="Z89" s="14" t="e">
        <f t="shared" si="53"/>
        <v>#DIV/0!</v>
      </c>
      <c r="AA89" s="14" t="e">
        <f t="shared" si="53"/>
        <v>#DIV/0!</v>
      </c>
      <c r="AB89" s="14" t="e">
        <f t="shared" si="53"/>
        <v>#DIV/0!</v>
      </c>
      <c r="AC89" s="14" t="e">
        <f t="shared" si="53"/>
        <v>#DIV/0!</v>
      </c>
      <c r="AD89" s="14" t="e">
        <f t="shared" si="53"/>
        <v>#DIV/0!</v>
      </c>
      <c r="AE89" s="14" t="e">
        <f t="shared" si="53"/>
        <v>#DIV/0!</v>
      </c>
      <c r="AF89" s="14" t="e">
        <f t="shared" si="53"/>
        <v>#DIV/0!</v>
      </c>
      <c r="AG89" s="14" t="e">
        <f t="shared" si="53"/>
        <v>#DIV/0!</v>
      </c>
      <c r="AH89" s="14" t="e">
        <f t="shared" si="53"/>
        <v>#DIV/0!</v>
      </c>
      <c r="AI89" s="14" t="e">
        <f t="shared" si="53"/>
        <v>#DIV/0!</v>
      </c>
      <c r="AJ89" s="14" t="e">
        <f t="shared" si="53"/>
        <v>#DIV/0!</v>
      </c>
      <c r="AK89" s="14" t="e">
        <f t="shared" si="53"/>
        <v>#DIV/0!</v>
      </c>
      <c r="AL89" s="14" t="e">
        <f t="shared" si="53"/>
        <v>#DIV/0!</v>
      </c>
      <c r="AM89" s="14" t="e">
        <f t="shared" si="53"/>
        <v>#DIV/0!</v>
      </c>
      <c r="AN89" s="14" t="e">
        <f t="shared" si="53"/>
        <v>#DIV/0!</v>
      </c>
      <c r="AO89" s="14" t="e">
        <f t="shared" si="53"/>
        <v>#DIV/0!</v>
      </c>
      <c r="AP89" s="14" t="e">
        <f t="shared" si="53"/>
        <v>#DIV/0!</v>
      </c>
      <c r="AQ89" s="14" t="e">
        <f t="shared" si="53"/>
        <v>#DIV/0!</v>
      </c>
      <c r="AR89" s="14" t="e">
        <f t="shared" si="53"/>
        <v>#DIV/0!</v>
      </c>
      <c r="AS89" s="14" t="e">
        <f t="shared" si="53"/>
        <v>#DIV/0!</v>
      </c>
      <c r="AT89" s="14" t="e">
        <f t="shared" si="53"/>
        <v>#DIV/0!</v>
      </c>
      <c r="AU89" s="14" t="e">
        <f t="shared" si="53"/>
        <v>#DIV/0!</v>
      </c>
      <c r="AV89" s="14" t="e">
        <f t="shared" si="53"/>
        <v>#DIV/0!</v>
      </c>
      <c r="AW89" s="14" t="e">
        <f t="shared" si="53"/>
        <v>#DIV/0!</v>
      </c>
      <c r="AX89" s="14" t="e">
        <f t="shared" si="53"/>
        <v>#DIV/0!</v>
      </c>
      <c r="AY89" s="14" t="e">
        <f t="shared" si="53"/>
        <v>#DIV/0!</v>
      </c>
      <c r="AZ89" s="14" t="e">
        <f t="shared" si="53"/>
        <v>#DIV/0!</v>
      </c>
      <c r="BA89" s="14" t="e">
        <f t="shared" si="53"/>
        <v>#DIV/0!</v>
      </c>
      <c r="BB89" s="14" t="e">
        <f t="shared" si="53"/>
        <v>#DIV/0!</v>
      </c>
      <c r="BC89" s="14" t="e">
        <f t="shared" si="53"/>
        <v>#DIV/0!</v>
      </c>
      <c r="BD89" s="14" t="e">
        <f t="shared" si="53"/>
        <v>#DIV/0!</v>
      </c>
      <c r="BE89" s="14" t="e">
        <f t="shared" si="53"/>
        <v>#DIV/0!</v>
      </c>
      <c r="BF89" s="14" t="e">
        <f t="shared" si="53"/>
        <v>#DIV/0!</v>
      </c>
      <c r="BG89" s="14" t="e">
        <f t="shared" si="53"/>
        <v>#DIV/0!</v>
      </c>
      <c r="BH89" s="14" t="e">
        <f t="shared" si="53"/>
        <v>#DIV/0!</v>
      </c>
      <c r="BI89" s="14" t="e">
        <f t="shared" si="53"/>
        <v>#DIV/0!</v>
      </c>
      <c r="BJ89" s="14" t="e">
        <f t="shared" si="53"/>
        <v>#DIV/0!</v>
      </c>
      <c r="BK89" s="14" t="e">
        <f t="shared" si="53"/>
        <v>#DIV/0!</v>
      </c>
      <c r="BL89" s="14" t="e">
        <f t="shared" si="53"/>
        <v>#DIV/0!</v>
      </c>
      <c r="BM89" s="14" t="e">
        <f t="shared" si="53"/>
        <v>#DIV/0!</v>
      </c>
      <c r="BN89" s="14" t="e">
        <f t="shared" si="53"/>
        <v>#DIV/0!</v>
      </c>
      <c r="BO89" s="14" t="e">
        <f t="shared" si="53"/>
        <v>#DIV/0!</v>
      </c>
      <c r="BP89" s="14" t="e">
        <f t="shared" si="53"/>
        <v>#DIV/0!</v>
      </c>
      <c r="BQ89" s="14" t="e">
        <f t="shared" si="53"/>
        <v>#DIV/0!</v>
      </c>
      <c r="BR89" s="14" t="e">
        <f t="shared" si="53"/>
        <v>#DIV/0!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1</v>
      </c>
      <c r="C90" s="5">
        <f t="shared" si="35"/>
        <v>0</v>
      </c>
      <c r="D90" s="5">
        <f t="shared" si="35"/>
        <v>2</v>
      </c>
      <c r="E90" s="6" t="str">
        <f t="shared" si="29"/>
        <v>(l)Ga2Se</v>
      </c>
      <c r="F90" s="14" t="e">
        <f t="shared" ref="F90" si="54">F14*$C$78</f>
        <v>#DIV/0!</v>
      </c>
      <c r="G90" s="14" t="e">
        <f t="shared" ref="G90:BR90" si="55">G14*$C$78</f>
        <v>#DIV/0!</v>
      </c>
      <c r="H90" s="14" t="e">
        <f t="shared" si="55"/>
        <v>#DIV/0!</v>
      </c>
      <c r="I90" s="14" t="e">
        <f t="shared" si="55"/>
        <v>#DIV/0!</v>
      </c>
      <c r="J90" s="14" t="e">
        <f t="shared" si="55"/>
        <v>#DIV/0!</v>
      </c>
      <c r="K90" s="14" t="e">
        <f t="shared" si="55"/>
        <v>#DIV/0!</v>
      </c>
      <c r="L90" s="14" t="e">
        <f t="shared" si="55"/>
        <v>#DIV/0!</v>
      </c>
      <c r="M90" s="14" t="e">
        <f t="shared" si="55"/>
        <v>#DIV/0!</v>
      </c>
      <c r="N90" s="14" t="e">
        <f t="shared" si="55"/>
        <v>#DIV/0!</v>
      </c>
      <c r="O90" s="14" t="e">
        <f t="shared" si="55"/>
        <v>#DIV/0!</v>
      </c>
      <c r="P90" s="14" t="e">
        <f t="shared" si="55"/>
        <v>#DIV/0!</v>
      </c>
      <c r="Q90" s="14" t="e">
        <f t="shared" si="55"/>
        <v>#DIV/0!</v>
      </c>
      <c r="R90" s="14" t="e">
        <f t="shared" si="55"/>
        <v>#DIV/0!</v>
      </c>
      <c r="S90" s="14" t="e">
        <f t="shared" si="55"/>
        <v>#DIV/0!</v>
      </c>
      <c r="T90" s="14" t="e">
        <f t="shared" si="55"/>
        <v>#DIV/0!</v>
      </c>
      <c r="U90" s="14" t="e">
        <f t="shared" si="55"/>
        <v>#DIV/0!</v>
      </c>
      <c r="V90" s="14" t="e">
        <f t="shared" si="55"/>
        <v>#DIV/0!</v>
      </c>
      <c r="W90" s="14" t="e">
        <f t="shared" si="55"/>
        <v>#DIV/0!</v>
      </c>
      <c r="X90" s="14" t="e">
        <f t="shared" si="55"/>
        <v>#DIV/0!</v>
      </c>
      <c r="Y90" s="14" t="e">
        <f t="shared" si="55"/>
        <v>#DIV/0!</v>
      </c>
      <c r="Z90" s="14" t="e">
        <f t="shared" si="55"/>
        <v>#DIV/0!</v>
      </c>
      <c r="AA90" s="14" t="e">
        <f t="shared" si="55"/>
        <v>#DIV/0!</v>
      </c>
      <c r="AB90" s="14" t="e">
        <f t="shared" si="55"/>
        <v>#DIV/0!</v>
      </c>
      <c r="AC90" s="14" t="e">
        <f t="shared" si="55"/>
        <v>#DIV/0!</v>
      </c>
      <c r="AD90" s="14" t="e">
        <f t="shared" si="55"/>
        <v>#DIV/0!</v>
      </c>
      <c r="AE90" s="14" t="e">
        <f t="shared" si="55"/>
        <v>#DIV/0!</v>
      </c>
      <c r="AF90" s="14" t="e">
        <f t="shared" si="55"/>
        <v>#DIV/0!</v>
      </c>
      <c r="AG90" s="14" t="e">
        <f t="shared" si="55"/>
        <v>#DIV/0!</v>
      </c>
      <c r="AH90" s="14" t="e">
        <f t="shared" si="55"/>
        <v>#DIV/0!</v>
      </c>
      <c r="AI90" s="14" t="e">
        <f t="shared" si="55"/>
        <v>#DIV/0!</v>
      </c>
      <c r="AJ90" s="14" t="e">
        <f t="shared" si="55"/>
        <v>#DIV/0!</v>
      </c>
      <c r="AK90" s="14" t="e">
        <f t="shared" si="55"/>
        <v>#DIV/0!</v>
      </c>
      <c r="AL90" s="14" t="e">
        <f t="shared" si="55"/>
        <v>#DIV/0!</v>
      </c>
      <c r="AM90" s="14" t="e">
        <f t="shared" si="55"/>
        <v>#DIV/0!</v>
      </c>
      <c r="AN90" s="14" t="e">
        <f t="shared" si="55"/>
        <v>#DIV/0!</v>
      </c>
      <c r="AO90" s="14" t="e">
        <f t="shared" si="55"/>
        <v>#DIV/0!</v>
      </c>
      <c r="AP90" s="14" t="e">
        <f t="shared" si="55"/>
        <v>#DIV/0!</v>
      </c>
      <c r="AQ90" s="14" t="e">
        <f t="shared" si="55"/>
        <v>#DIV/0!</v>
      </c>
      <c r="AR90" s="14" t="e">
        <f t="shared" si="55"/>
        <v>#DIV/0!</v>
      </c>
      <c r="AS90" s="14" t="e">
        <f t="shared" si="55"/>
        <v>#DIV/0!</v>
      </c>
      <c r="AT90" s="14" t="e">
        <f t="shared" si="55"/>
        <v>#DIV/0!</v>
      </c>
      <c r="AU90" s="14" t="e">
        <f t="shared" si="55"/>
        <v>#DIV/0!</v>
      </c>
      <c r="AV90" s="14" t="e">
        <f t="shared" si="55"/>
        <v>#DIV/0!</v>
      </c>
      <c r="AW90" s="14" t="e">
        <f t="shared" si="55"/>
        <v>#DIV/0!</v>
      </c>
      <c r="AX90" s="14" t="e">
        <f t="shared" si="55"/>
        <v>#DIV/0!</v>
      </c>
      <c r="AY90" s="14" t="e">
        <f t="shared" si="55"/>
        <v>#DIV/0!</v>
      </c>
      <c r="AZ90" s="14" t="e">
        <f t="shared" si="55"/>
        <v>#DIV/0!</v>
      </c>
      <c r="BA90" s="14" t="e">
        <f t="shared" si="55"/>
        <v>#DIV/0!</v>
      </c>
      <c r="BB90" s="14" t="e">
        <f t="shared" si="55"/>
        <v>#DIV/0!</v>
      </c>
      <c r="BC90" s="14" t="e">
        <f t="shared" si="55"/>
        <v>#DIV/0!</v>
      </c>
      <c r="BD90" s="14" t="e">
        <f t="shared" si="55"/>
        <v>#DIV/0!</v>
      </c>
      <c r="BE90" s="14" t="e">
        <f t="shared" si="55"/>
        <v>#DIV/0!</v>
      </c>
      <c r="BF90" s="14" t="e">
        <f t="shared" si="55"/>
        <v>#DIV/0!</v>
      </c>
      <c r="BG90" s="14" t="e">
        <f t="shared" si="55"/>
        <v>#DIV/0!</v>
      </c>
      <c r="BH90" s="14" t="e">
        <f t="shared" si="55"/>
        <v>#DIV/0!</v>
      </c>
      <c r="BI90" s="14" t="e">
        <f t="shared" si="55"/>
        <v>#DIV/0!</v>
      </c>
      <c r="BJ90" s="14" t="e">
        <f t="shared" si="55"/>
        <v>#DIV/0!</v>
      </c>
      <c r="BK90" s="14" t="e">
        <f t="shared" si="55"/>
        <v>#DIV/0!</v>
      </c>
      <c r="BL90" s="14" t="e">
        <f t="shared" si="55"/>
        <v>#DIV/0!</v>
      </c>
      <c r="BM90" s="14" t="e">
        <f t="shared" si="55"/>
        <v>#DIV/0!</v>
      </c>
      <c r="BN90" s="14" t="e">
        <f t="shared" si="55"/>
        <v>#DIV/0!</v>
      </c>
      <c r="BO90" s="14" t="e">
        <f t="shared" si="55"/>
        <v>#DIV/0!</v>
      </c>
      <c r="BP90" s="14" t="e">
        <f t="shared" si="55"/>
        <v>#DIV/0!</v>
      </c>
      <c r="BQ90" s="14" t="e">
        <f t="shared" si="55"/>
        <v>#DIV/0!</v>
      </c>
      <c r="BR90" s="14" t="e">
        <f t="shared" si="55"/>
        <v>#DIV/0!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0</v>
      </c>
      <c r="C91" s="5">
        <f t="shared" si="35"/>
        <v>0</v>
      </c>
      <c r="D91" s="5">
        <f t="shared" si="35"/>
        <v>1</v>
      </c>
      <c r="E91" s="6" t="str">
        <f t="shared" si="29"/>
        <v>(l)Ga</v>
      </c>
      <c r="F91" s="14" t="e">
        <f t="shared" ref="F91" si="56">F15*$C$78</f>
        <v>#DIV/0!</v>
      </c>
      <c r="G91" s="14" t="e">
        <f t="shared" ref="G91:BR91" si="57">G15*$C$78</f>
        <v>#DIV/0!</v>
      </c>
      <c r="H91" s="14" t="e">
        <f t="shared" si="57"/>
        <v>#DIV/0!</v>
      </c>
      <c r="I91" s="14" t="e">
        <f t="shared" si="57"/>
        <v>#DIV/0!</v>
      </c>
      <c r="J91" s="14" t="e">
        <f t="shared" si="57"/>
        <v>#DIV/0!</v>
      </c>
      <c r="K91" s="14" t="e">
        <f t="shared" si="57"/>
        <v>#DIV/0!</v>
      </c>
      <c r="L91" s="14" t="e">
        <f t="shared" si="57"/>
        <v>#DIV/0!</v>
      </c>
      <c r="M91" s="14" t="e">
        <f t="shared" si="57"/>
        <v>#DIV/0!</v>
      </c>
      <c r="N91" s="14" t="e">
        <f t="shared" si="57"/>
        <v>#DIV/0!</v>
      </c>
      <c r="O91" s="14" t="e">
        <f t="shared" si="57"/>
        <v>#DIV/0!</v>
      </c>
      <c r="P91" s="14" t="e">
        <f t="shared" si="57"/>
        <v>#DIV/0!</v>
      </c>
      <c r="Q91" s="14" t="e">
        <f t="shared" si="57"/>
        <v>#DIV/0!</v>
      </c>
      <c r="R91" s="14" t="e">
        <f t="shared" si="57"/>
        <v>#DIV/0!</v>
      </c>
      <c r="S91" s="14" t="e">
        <f t="shared" si="57"/>
        <v>#DIV/0!</v>
      </c>
      <c r="T91" s="14" t="e">
        <f t="shared" si="57"/>
        <v>#DIV/0!</v>
      </c>
      <c r="U91" s="14" t="e">
        <f t="shared" si="57"/>
        <v>#DIV/0!</v>
      </c>
      <c r="V91" s="14" t="e">
        <f t="shared" si="57"/>
        <v>#DIV/0!</v>
      </c>
      <c r="W91" s="14" t="e">
        <f t="shared" si="57"/>
        <v>#DIV/0!</v>
      </c>
      <c r="X91" s="14" t="e">
        <f t="shared" si="57"/>
        <v>#DIV/0!</v>
      </c>
      <c r="Y91" s="14" t="e">
        <f t="shared" si="57"/>
        <v>#DIV/0!</v>
      </c>
      <c r="Z91" s="14" t="e">
        <f t="shared" si="57"/>
        <v>#DIV/0!</v>
      </c>
      <c r="AA91" s="14" t="e">
        <f t="shared" si="57"/>
        <v>#DIV/0!</v>
      </c>
      <c r="AB91" s="14" t="e">
        <f t="shared" si="57"/>
        <v>#DIV/0!</v>
      </c>
      <c r="AC91" s="14" t="e">
        <f t="shared" si="57"/>
        <v>#DIV/0!</v>
      </c>
      <c r="AD91" s="14" t="e">
        <f t="shared" si="57"/>
        <v>#DIV/0!</v>
      </c>
      <c r="AE91" s="14" t="e">
        <f t="shared" si="57"/>
        <v>#DIV/0!</v>
      </c>
      <c r="AF91" s="14" t="e">
        <f t="shared" si="57"/>
        <v>#DIV/0!</v>
      </c>
      <c r="AG91" s="14" t="e">
        <f t="shared" si="57"/>
        <v>#DIV/0!</v>
      </c>
      <c r="AH91" s="14" t="e">
        <f t="shared" si="57"/>
        <v>#DIV/0!</v>
      </c>
      <c r="AI91" s="14" t="e">
        <f t="shared" si="57"/>
        <v>#DIV/0!</v>
      </c>
      <c r="AJ91" s="14" t="e">
        <f t="shared" si="57"/>
        <v>#DIV/0!</v>
      </c>
      <c r="AK91" s="14" t="e">
        <f t="shared" si="57"/>
        <v>#DIV/0!</v>
      </c>
      <c r="AL91" s="14" t="e">
        <f t="shared" si="57"/>
        <v>#DIV/0!</v>
      </c>
      <c r="AM91" s="14" t="e">
        <f t="shared" si="57"/>
        <v>#DIV/0!</v>
      </c>
      <c r="AN91" s="14" t="e">
        <f t="shared" si="57"/>
        <v>#DIV/0!</v>
      </c>
      <c r="AO91" s="14" t="e">
        <f t="shared" si="57"/>
        <v>#DIV/0!</v>
      </c>
      <c r="AP91" s="14" t="e">
        <f t="shared" si="57"/>
        <v>#DIV/0!</v>
      </c>
      <c r="AQ91" s="14" t="e">
        <f t="shared" si="57"/>
        <v>#DIV/0!</v>
      </c>
      <c r="AR91" s="14" t="e">
        <f t="shared" si="57"/>
        <v>#DIV/0!</v>
      </c>
      <c r="AS91" s="14" t="e">
        <f t="shared" si="57"/>
        <v>#DIV/0!</v>
      </c>
      <c r="AT91" s="14" t="e">
        <f t="shared" si="57"/>
        <v>#DIV/0!</v>
      </c>
      <c r="AU91" s="14" t="e">
        <f t="shared" si="57"/>
        <v>#DIV/0!</v>
      </c>
      <c r="AV91" s="14" t="e">
        <f t="shared" si="57"/>
        <v>#DIV/0!</v>
      </c>
      <c r="AW91" s="14" t="e">
        <f t="shared" si="57"/>
        <v>#DIV/0!</v>
      </c>
      <c r="AX91" s="14" t="e">
        <f t="shared" si="57"/>
        <v>#DIV/0!</v>
      </c>
      <c r="AY91" s="14" t="e">
        <f t="shared" si="57"/>
        <v>#DIV/0!</v>
      </c>
      <c r="AZ91" s="14" t="e">
        <f t="shared" si="57"/>
        <v>#DIV/0!</v>
      </c>
      <c r="BA91" s="14" t="e">
        <f t="shared" si="57"/>
        <v>#DIV/0!</v>
      </c>
      <c r="BB91" s="14" t="e">
        <f t="shared" si="57"/>
        <v>#DIV/0!</v>
      </c>
      <c r="BC91" s="14" t="e">
        <f t="shared" si="57"/>
        <v>#DIV/0!</v>
      </c>
      <c r="BD91" s="14" t="e">
        <f t="shared" si="57"/>
        <v>#DIV/0!</v>
      </c>
      <c r="BE91" s="14" t="e">
        <f t="shared" si="57"/>
        <v>#DIV/0!</v>
      </c>
      <c r="BF91" s="14" t="e">
        <f t="shared" si="57"/>
        <v>#DIV/0!</v>
      </c>
      <c r="BG91" s="14" t="e">
        <f t="shared" si="57"/>
        <v>#DIV/0!</v>
      </c>
      <c r="BH91" s="14" t="e">
        <f t="shared" si="57"/>
        <v>#DIV/0!</v>
      </c>
      <c r="BI91" s="14" t="e">
        <f t="shared" si="57"/>
        <v>#DIV/0!</v>
      </c>
      <c r="BJ91" s="14" t="e">
        <f t="shared" si="57"/>
        <v>#DIV/0!</v>
      </c>
      <c r="BK91" s="14" t="e">
        <f t="shared" si="57"/>
        <v>#DIV/0!</v>
      </c>
      <c r="BL91" s="14" t="e">
        <f t="shared" si="57"/>
        <v>#DIV/0!</v>
      </c>
      <c r="BM91" s="14" t="e">
        <f t="shared" si="57"/>
        <v>#DIV/0!</v>
      </c>
      <c r="BN91" s="14" t="e">
        <f t="shared" si="57"/>
        <v>#DIV/0!</v>
      </c>
      <c r="BO91" s="14" t="e">
        <f t="shared" si="57"/>
        <v>#DIV/0!</v>
      </c>
      <c r="BP91" s="14" t="e">
        <f t="shared" si="57"/>
        <v>#DIV/0!</v>
      </c>
      <c r="BQ91" s="14" t="e">
        <f t="shared" si="57"/>
        <v>#DIV/0!</v>
      </c>
      <c r="BR91" s="14" t="e">
        <f t="shared" si="57"/>
        <v>#DIV/0!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1</v>
      </c>
      <c r="C92" s="5">
        <f t="shared" si="35"/>
        <v>0</v>
      </c>
      <c r="D92" s="5">
        <f t="shared" si="35"/>
        <v>0</v>
      </c>
      <c r="E92" s="6" t="str">
        <f t="shared" si="29"/>
        <v>(l)Se[A]</v>
      </c>
      <c r="F92" s="14" t="e">
        <f t="shared" ref="F92" si="58">F16*$C$78</f>
        <v>#DIV/0!</v>
      </c>
      <c r="G92" s="14" t="e">
        <f t="shared" ref="G92:BR92" si="59">G16*$C$78</f>
        <v>#DIV/0!</v>
      </c>
      <c r="H92" s="14" t="e">
        <f t="shared" si="59"/>
        <v>#DIV/0!</v>
      </c>
      <c r="I92" s="14" t="e">
        <f t="shared" si="59"/>
        <v>#DIV/0!</v>
      </c>
      <c r="J92" s="14" t="e">
        <f t="shared" si="59"/>
        <v>#DIV/0!</v>
      </c>
      <c r="K92" s="14" t="e">
        <f t="shared" si="59"/>
        <v>#DIV/0!</v>
      </c>
      <c r="L92" s="14" t="e">
        <f t="shared" si="59"/>
        <v>#DIV/0!</v>
      </c>
      <c r="M92" s="14" t="e">
        <f t="shared" si="59"/>
        <v>#DIV/0!</v>
      </c>
      <c r="N92" s="14" t="e">
        <f t="shared" si="59"/>
        <v>#DIV/0!</v>
      </c>
      <c r="O92" s="14" t="e">
        <f t="shared" si="59"/>
        <v>#DIV/0!</v>
      </c>
      <c r="P92" s="14" t="e">
        <f t="shared" si="59"/>
        <v>#DIV/0!</v>
      </c>
      <c r="Q92" s="14" t="e">
        <f t="shared" si="59"/>
        <v>#DIV/0!</v>
      </c>
      <c r="R92" s="14" t="e">
        <f t="shared" si="59"/>
        <v>#DIV/0!</v>
      </c>
      <c r="S92" s="14" t="e">
        <f t="shared" si="59"/>
        <v>#DIV/0!</v>
      </c>
      <c r="T92" s="14" t="e">
        <f t="shared" si="59"/>
        <v>#DIV/0!</v>
      </c>
      <c r="U92" s="14" t="e">
        <f t="shared" si="59"/>
        <v>#DIV/0!</v>
      </c>
      <c r="V92" s="14" t="e">
        <f t="shared" si="59"/>
        <v>#DIV/0!</v>
      </c>
      <c r="W92" s="14" t="e">
        <f t="shared" si="59"/>
        <v>#DIV/0!</v>
      </c>
      <c r="X92" s="14" t="e">
        <f t="shared" si="59"/>
        <v>#DIV/0!</v>
      </c>
      <c r="Y92" s="14" t="e">
        <f t="shared" si="59"/>
        <v>#DIV/0!</v>
      </c>
      <c r="Z92" s="14" t="e">
        <f t="shared" si="59"/>
        <v>#DIV/0!</v>
      </c>
      <c r="AA92" s="14" t="e">
        <f t="shared" si="59"/>
        <v>#DIV/0!</v>
      </c>
      <c r="AB92" s="14" t="e">
        <f t="shared" si="59"/>
        <v>#DIV/0!</v>
      </c>
      <c r="AC92" s="14" t="e">
        <f t="shared" si="59"/>
        <v>#DIV/0!</v>
      </c>
      <c r="AD92" s="14" t="e">
        <f t="shared" si="59"/>
        <v>#DIV/0!</v>
      </c>
      <c r="AE92" s="14" t="e">
        <f t="shared" si="59"/>
        <v>#DIV/0!</v>
      </c>
      <c r="AF92" s="14" t="e">
        <f t="shared" si="59"/>
        <v>#DIV/0!</v>
      </c>
      <c r="AG92" s="14" t="e">
        <f t="shared" si="59"/>
        <v>#DIV/0!</v>
      </c>
      <c r="AH92" s="14" t="e">
        <f t="shared" si="59"/>
        <v>#DIV/0!</v>
      </c>
      <c r="AI92" s="14" t="e">
        <f t="shared" si="59"/>
        <v>#DIV/0!</v>
      </c>
      <c r="AJ92" s="14" t="e">
        <f t="shared" si="59"/>
        <v>#DIV/0!</v>
      </c>
      <c r="AK92" s="14" t="e">
        <f t="shared" si="59"/>
        <v>#DIV/0!</v>
      </c>
      <c r="AL92" s="14" t="e">
        <f t="shared" si="59"/>
        <v>#DIV/0!</v>
      </c>
      <c r="AM92" s="14" t="e">
        <f t="shared" si="59"/>
        <v>#DIV/0!</v>
      </c>
      <c r="AN92" s="14" t="e">
        <f t="shared" si="59"/>
        <v>#DIV/0!</v>
      </c>
      <c r="AO92" s="14" t="e">
        <f t="shared" si="59"/>
        <v>#DIV/0!</v>
      </c>
      <c r="AP92" s="14" t="e">
        <f t="shared" si="59"/>
        <v>#DIV/0!</v>
      </c>
      <c r="AQ92" s="14" t="e">
        <f t="shared" si="59"/>
        <v>#DIV/0!</v>
      </c>
      <c r="AR92" s="14" t="e">
        <f t="shared" si="59"/>
        <v>#DIV/0!</v>
      </c>
      <c r="AS92" s="14" t="e">
        <f t="shared" si="59"/>
        <v>#DIV/0!</v>
      </c>
      <c r="AT92" s="14" t="e">
        <f t="shared" si="59"/>
        <v>#DIV/0!</v>
      </c>
      <c r="AU92" s="14" t="e">
        <f t="shared" si="59"/>
        <v>#DIV/0!</v>
      </c>
      <c r="AV92" s="14" t="e">
        <f t="shared" si="59"/>
        <v>#DIV/0!</v>
      </c>
      <c r="AW92" s="14" t="e">
        <f t="shared" si="59"/>
        <v>#DIV/0!</v>
      </c>
      <c r="AX92" s="14" t="e">
        <f t="shared" si="59"/>
        <v>#DIV/0!</v>
      </c>
      <c r="AY92" s="14" t="e">
        <f t="shared" si="59"/>
        <v>#DIV/0!</v>
      </c>
      <c r="AZ92" s="14" t="e">
        <f t="shared" si="59"/>
        <v>#DIV/0!</v>
      </c>
      <c r="BA92" s="14" t="e">
        <f t="shared" si="59"/>
        <v>#DIV/0!</v>
      </c>
      <c r="BB92" s="14" t="e">
        <f t="shared" si="59"/>
        <v>#DIV/0!</v>
      </c>
      <c r="BC92" s="14" t="e">
        <f t="shared" si="59"/>
        <v>#DIV/0!</v>
      </c>
      <c r="BD92" s="14" t="e">
        <f t="shared" si="59"/>
        <v>#DIV/0!</v>
      </c>
      <c r="BE92" s="14" t="e">
        <f t="shared" si="59"/>
        <v>#DIV/0!</v>
      </c>
      <c r="BF92" s="14" t="e">
        <f t="shared" si="59"/>
        <v>#DIV/0!</v>
      </c>
      <c r="BG92" s="14" t="e">
        <f t="shared" si="59"/>
        <v>#DIV/0!</v>
      </c>
      <c r="BH92" s="14" t="e">
        <f t="shared" si="59"/>
        <v>#DIV/0!</v>
      </c>
      <c r="BI92" s="14" t="e">
        <f t="shared" si="59"/>
        <v>#DIV/0!</v>
      </c>
      <c r="BJ92" s="14" t="e">
        <f t="shared" si="59"/>
        <v>#DIV/0!</v>
      </c>
      <c r="BK92" s="14" t="e">
        <f t="shared" si="59"/>
        <v>#DIV/0!</v>
      </c>
      <c r="BL92" s="14" t="e">
        <f t="shared" si="59"/>
        <v>#DIV/0!</v>
      </c>
      <c r="BM92" s="14" t="e">
        <f t="shared" si="59"/>
        <v>#DIV/0!</v>
      </c>
      <c r="BN92" s="14" t="e">
        <f t="shared" si="59"/>
        <v>#DIV/0!</v>
      </c>
      <c r="BO92" s="14" t="e">
        <f t="shared" si="59"/>
        <v>#DIV/0!</v>
      </c>
      <c r="BP92" s="14" t="e">
        <f t="shared" si="59"/>
        <v>#DIV/0!</v>
      </c>
      <c r="BQ92" s="14" t="e">
        <f t="shared" si="59"/>
        <v>#DIV/0!</v>
      </c>
      <c r="BR92" s="14" t="e">
        <f t="shared" si="59"/>
        <v>#DIV/0!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1</v>
      </c>
      <c r="C93" s="5">
        <f t="shared" si="35"/>
        <v>0</v>
      </c>
      <c r="D93" s="5">
        <f t="shared" si="35"/>
        <v>0</v>
      </c>
      <c r="E93" s="6" t="str">
        <f t="shared" si="29"/>
        <v>(l)Se[M]</v>
      </c>
      <c r="F93" s="14" t="e">
        <f t="shared" ref="F93" si="60">F17*$C$78</f>
        <v>#DIV/0!</v>
      </c>
      <c r="G93" s="14" t="e">
        <f t="shared" ref="G93:BR93" si="61">G17*$C$78</f>
        <v>#DIV/0!</v>
      </c>
      <c r="H93" s="14" t="e">
        <f t="shared" si="61"/>
        <v>#DIV/0!</v>
      </c>
      <c r="I93" s="14" t="e">
        <f t="shared" si="61"/>
        <v>#DIV/0!</v>
      </c>
      <c r="J93" s="14" t="e">
        <f t="shared" si="61"/>
        <v>#DIV/0!</v>
      </c>
      <c r="K93" s="14" t="e">
        <f t="shared" si="61"/>
        <v>#DIV/0!</v>
      </c>
      <c r="L93" s="14" t="e">
        <f t="shared" si="61"/>
        <v>#DIV/0!</v>
      </c>
      <c r="M93" s="14" t="e">
        <f t="shared" si="61"/>
        <v>#DIV/0!</v>
      </c>
      <c r="N93" s="14" t="e">
        <f t="shared" si="61"/>
        <v>#DIV/0!</v>
      </c>
      <c r="O93" s="14" t="e">
        <f t="shared" si="61"/>
        <v>#DIV/0!</v>
      </c>
      <c r="P93" s="14" t="e">
        <f t="shared" si="61"/>
        <v>#DIV/0!</v>
      </c>
      <c r="Q93" s="14" t="e">
        <f t="shared" si="61"/>
        <v>#DIV/0!</v>
      </c>
      <c r="R93" s="14" t="e">
        <f t="shared" si="61"/>
        <v>#DIV/0!</v>
      </c>
      <c r="S93" s="14" t="e">
        <f t="shared" si="61"/>
        <v>#DIV/0!</v>
      </c>
      <c r="T93" s="14" t="e">
        <f t="shared" si="61"/>
        <v>#DIV/0!</v>
      </c>
      <c r="U93" s="14" t="e">
        <f t="shared" si="61"/>
        <v>#DIV/0!</v>
      </c>
      <c r="V93" s="14" t="e">
        <f t="shared" si="61"/>
        <v>#DIV/0!</v>
      </c>
      <c r="W93" s="14" t="e">
        <f t="shared" si="61"/>
        <v>#DIV/0!</v>
      </c>
      <c r="X93" s="14" t="e">
        <f t="shared" si="61"/>
        <v>#DIV/0!</v>
      </c>
      <c r="Y93" s="14" t="e">
        <f t="shared" si="61"/>
        <v>#DIV/0!</v>
      </c>
      <c r="Z93" s="14" t="e">
        <f t="shared" si="61"/>
        <v>#DIV/0!</v>
      </c>
      <c r="AA93" s="14" t="e">
        <f t="shared" si="61"/>
        <v>#DIV/0!</v>
      </c>
      <c r="AB93" s="14" t="e">
        <f t="shared" si="61"/>
        <v>#DIV/0!</v>
      </c>
      <c r="AC93" s="14" t="e">
        <f t="shared" si="61"/>
        <v>#DIV/0!</v>
      </c>
      <c r="AD93" s="14" t="e">
        <f t="shared" si="61"/>
        <v>#DIV/0!</v>
      </c>
      <c r="AE93" s="14" t="e">
        <f t="shared" si="61"/>
        <v>#DIV/0!</v>
      </c>
      <c r="AF93" s="14" t="e">
        <f t="shared" si="61"/>
        <v>#DIV/0!</v>
      </c>
      <c r="AG93" s="14" t="e">
        <f t="shared" si="61"/>
        <v>#DIV/0!</v>
      </c>
      <c r="AH93" s="14" t="e">
        <f t="shared" si="61"/>
        <v>#DIV/0!</v>
      </c>
      <c r="AI93" s="14" t="e">
        <f t="shared" si="61"/>
        <v>#DIV/0!</v>
      </c>
      <c r="AJ93" s="14" t="e">
        <f t="shared" si="61"/>
        <v>#DIV/0!</v>
      </c>
      <c r="AK93" s="14" t="e">
        <f t="shared" si="61"/>
        <v>#DIV/0!</v>
      </c>
      <c r="AL93" s="14" t="e">
        <f t="shared" si="61"/>
        <v>#DIV/0!</v>
      </c>
      <c r="AM93" s="14" t="e">
        <f t="shared" si="61"/>
        <v>#DIV/0!</v>
      </c>
      <c r="AN93" s="14" t="e">
        <f t="shared" si="61"/>
        <v>#DIV/0!</v>
      </c>
      <c r="AO93" s="14" t="e">
        <f t="shared" si="61"/>
        <v>#DIV/0!</v>
      </c>
      <c r="AP93" s="14" t="e">
        <f t="shared" si="61"/>
        <v>#DIV/0!</v>
      </c>
      <c r="AQ93" s="14" t="e">
        <f t="shared" si="61"/>
        <v>#DIV/0!</v>
      </c>
      <c r="AR93" s="14" t="e">
        <f t="shared" si="61"/>
        <v>#DIV/0!</v>
      </c>
      <c r="AS93" s="14" t="e">
        <f t="shared" si="61"/>
        <v>#DIV/0!</v>
      </c>
      <c r="AT93" s="14" t="e">
        <f t="shared" si="61"/>
        <v>#DIV/0!</v>
      </c>
      <c r="AU93" s="14" t="e">
        <f t="shared" si="61"/>
        <v>#DIV/0!</v>
      </c>
      <c r="AV93" s="14" t="e">
        <f t="shared" si="61"/>
        <v>#DIV/0!</v>
      </c>
      <c r="AW93" s="14" t="e">
        <f t="shared" si="61"/>
        <v>#DIV/0!</v>
      </c>
      <c r="AX93" s="14" t="e">
        <f t="shared" si="61"/>
        <v>#DIV/0!</v>
      </c>
      <c r="AY93" s="14" t="e">
        <f t="shared" si="61"/>
        <v>#DIV/0!</v>
      </c>
      <c r="AZ93" s="14" t="e">
        <f t="shared" si="61"/>
        <v>#DIV/0!</v>
      </c>
      <c r="BA93" s="14" t="e">
        <f t="shared" si="61"/>
        <v>#DIV/0!</v>
      </c>
      <c r="BB93" s="14" t="e">
        <f t="shared" si="61"/>
        <v>#DIV/0!</v>
      </c>
      <c r="BC93" s="14" t="e">
        <f t="shared" si="61"/>
        <v>#DIV/0!</v>
      </c>
      <c r="BD93" s="14" t="e">
        <f t="shared" si="61"/>
        <v>#DIV/0!</v>
      </c>
      <c r="BE93" s="14" t="e">
        <f t="shared" si="61"/>
        <v>#DIV/0!</v>
      </c>
      <c r="BF93" s="14" t="e">
        <f t="shared" si="61"/>
        <v>#DIV/0!</v>
      </c>
      <c r="BG93" s="14" t="e">
        <f t="shared" si="61"/>
        <v>#DIV/0!</v>
      </c>
      <c r="BH93" s="14" t="e">
        <f t="shared" si="61"/>
        <v>#DIV/0!</v>
      </c>
      <c r="BI93" s="14" t="e">
        <f t="shared" si="61"/>
        <v>#DIV/0!</v>
      </c>
      <c r="BJ93" s="14" t="e">
        <f t="shared" si="61"/>
        <v>#DIV/0!</v>
      </c>
      <c r="BK93" s="14" t="e">
        <f t="shared" si="61"/>
        <v>#DIV/0!</v>
      </c>
      <c r="BL93" s="14" t="e">
        <f t="shared" si="61"/>
        <v>#DIV/0!</v>
      </c>
      <c r="BM93" s="14" t="e">
        <f t="shared" si="61"/>
        <v>#DIV/0!</v>
      </c>
      <c r="BN93" s="14" t="e">
        <f t="shared" si="61"/>
        <v>#DIV/0!</v>
      </c>
      <c r="BO93" s="14" t="e">
        <f t="shared" si="61"/>
        <v>#DIV/0!</v>
      </c>
      <c r="BP93" s="14" t="e">
        <f t="shared" si="61"/>
        <v>#DIV/0!</v>
      </c>
      <c r="BQ93" s="14" t="e">
        <f t="shared" si="61"/>
        <v>#DIV/0!</v>
      </c>
      <c r="BR93" s="14" t="e">
        <f t="shared" si="61"/>
        <v>#DIV/0!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1</v>
      </c>
      <c r="C94" s="5">
        <f t="shared" si="35"/>
        <v>0</v>
      </c>
      <c r="D94" s="5">
        <f t="shared" si="35"/>
        <v>0</v>
      </c>
      <c r="E94" s="6" t="str">
        <f t="shared" si="29"/>
        <v>(l)Se[R]</v>
      </c>
      <c r="F94" s="14" t="e">
        <f t="shared" ref="F94" si="62">F18*$C$78</f>
        <v>#DIV/0!</v>
      </c>
      <c r="G94" s="14" t="e">
        <f t="shared" ref="G94:BR94" si="63">G18*$C$78</f>
        <v>#DIV/0!</v>
      </c>
      <c r="H94" s="14" t="e">
        <f t="shared" si="63"/>
        <v>#DIV/0!</v>
      </c>
      <c r="I94" s="14" t="e">
        <f t="shared" si="63"/>
        <v>#DIV/0!</v>
      </c>
      <c r="J94" s="14" t="e">
        <f t="shared" si="63"/>
        <v>#DIV/0!</v>
      </c>
      <c r="K94" s="14" t="e">
        <f t="shared" si="63"/>
        <v>#DIV/0!</v>
      </c>
      <c r="L94" s="14" t="e">
        <f t="shared" si="63"/>
        <v>#DIV/0!</v>
      </c>
      <c r="M94" s="14" t="e">
        <f t="shared" si="63"/>
        <v>#DIV/0!</v>
      </c>
      <c r="N94" s="14" t="e">
        <f t="shared" si="63"/>
        <v>#DIV/0!</v>
      </c>
      <c r="O94" s="14" t="e">
        <f t="shared" si="63"/>
        <v>#DIV/0!</v>
      </c>
      <c r="P94" s="14" t="e">
        <f t="shared" si="63"/>
        <v>#DIV/0!</v>
      </c>
      <c r="Q94" s="14" t="e">
        <f t="shared" si="63"/>
        <v>#DIV/0!</v>
      </c>
      <c r="R94" s="14" t="e">
        <f t="shared" si="63"/>
        <v>#DIV/0!</v>
      </c>
      <c r="S94" s="14" t="e">
        <f t="shared" si="63"/>
        <v>#DIV/0!</v>
      </c>
      <c r="T94" s="14" t="e">
        <f t="shared" si="63"/>
        <v>#DIV/0!</v>
      </c>
      <c r="U94" s="14" t="e">
        <f t="shared" si="63"/>
        <v>#DIV/0!</v>
      </c>
      <c r="V94" s="14" t="e">
        <f t="shared" si="63"/>
        <v>#DIV/0!</v>
      </c>
      <c r="W94" s="14" t="e">
        <f t="shared" si="63"/>
        <v>#DIV/0!</v>
      </c>
      <c r="X94" s="14" t="e">
        <f t="shared" si="63"/>
        <v>#DIV/0!</v>
      </c>
      <c r="Y94" s="14" t="e">
        <f t="shared" si="63"/>
        <v>#DIV/0!</v>
      </c>
      <c r="Z94" s="14" t="e">
        <f t="shared" si="63"/>
        <v>#DIV/0!</v>
      </c>
      <c r="AA94" s="14" t="e">
        <f t="shared" si="63"/>
        <v>#DIV/0!</v>
      </c>
      <c r="AB94" s="14" t="e">
        <f t="shared" si="63"/>
        <v>#DIV/0!</v>
      </c>
      <c r="AC94" s="14" t="e">
        <f t="shared" si="63"/>
        <v>#DIV/0!</v>
      </c>
      <c r="AD94" s="14" t="e">
        <f t="shared" si="63"/>
        <v>#DIV/0!</v>
      </c>
      <c r="AE94" s="14" t="e">
        <f t="shared" si="63"/>
        <v>#DIV/0!</v>
      </c>
      <c r="AF94" s="14" t="e">
        <f t="shared" si="63"/>
        <v>#DIV/0!</v>
      </c>
      <c r="AG94" s="14" t="e">
        <f t="shared" si="63"/>
        <v>#DIV/0!</v>
      </c>
      <c r="AH94" s="14" t="e">
        <f t="shared" si="63"/>
        <v>#DIV/0!</v>
      </c>
      <c r="AI94" s="14" t="e">
        <f t="shared" si="63"/>
        <v>#DIV/0!</v>
      </c>
      <c r="AJ94" s="14" t="e">
        <f t="shared" si="63"/>
        <v>#DIV/0!</v>
      </c>
      <c r="AK94" s="14" t="e">
        <f t="shared" si="63"/>
        <v>#DIV/0!</v>
      </c>
      <c r="AL94" s="14" t="e">
        <f t="shared" si="63"/>
        <v>#DIV/0!</v>
      </c>
      <c r="AM94" s="14" t="e">
        <f t="shared" si="63"/>
        <v>#DIV/0!</v>
      </c>
      <c r="AN94" s="14" t="e">
        <f t="shared" si="63"/>
        <v>#DIV/0!</v>
      </c>
      <c r="AO94" s="14" t="e">
        <f t="shared" si="63"/>
        <v>#DIV/0!</v>
      </c>
      <c r="AP94" s="14" t="e">
        <f t="shared" si="63"/>
        <v>#DIV/0!</v>
      </c>
      <c r="AQ94" s="14" t="e">
        <f t="shared" si="63"/>
        <v>#DIV/0!</v>
      </c>
      <c r="AR94" s="14" t="e">
        <f t="shared" si="63"/>
        <v>#DIV/0!</v>
      </c>
      <c r="AS94" s="14" t="e">
        <f t="shared" si="63"/>
        <v>#DIV/0!</v>
      </c>
      <c r="AT94" s="14" t="e">
        <f t="shared" si="63"/>
        <v>#DIV/0!</v>
      </c>
      <c r="AU94" s="14" t="e">
        <f t="shared" si="63"/>
        <v>#DIV/0!</v>
      </c>
      <c r="AV94" s="14" t="e">
        <f t="shared" si="63"/>
        <v>#DIV/0!</v>
      </c>
      <c r="AW94" s="14" t="e">
        <f t="shared" si="63"/>
        <v>#DIV/0!</v>
      </c>
      <c r="AX94" s="14" t="e">
        <f t="shared" si="63"/>
        <v>#DIV/0!</v>
      </c>
      <c r="AY94" s="14" t="e">
        <f t="shared" si="63"/>
        <v>#DIV/0!</v>
      </c>
      <c r="AZ94" s="14" t="e">
        <f t="shared" si="63"/>
        <v>#DIV/0!</v>
      </c>
      <c r="BA94" s="14" t="e">
        <f t="shared" si="63"/>
        <v>#DIV/0!</v>
      </c>
      <c r="BB94" s="14" t="e">
        <f t="shared" si="63"/>
        <v>#DIV/0!</v>
      </c>
      <c r="BC94" s="14" t="e">
        <f t="shared" si="63"/>
        <v>#DIV/0!</v>
      </c>
      <c r="BD94" s="14" t="e">
        <f t="shared" si="63"/>
        <v>#DIV/0!</v>
      </c>
      <c r="BE94" s="14" t="e">
        <f t="shared" si="63"/>
        <v>#DIV/0!</v>
      </c>
      <c r="BF94" s="14" t="e">
        <f t="shared" si="63"/>
        <v>#DIV/0!</v>
      </c>
      <c r="BG94" s="14" t="e">
        <f t="shared" si="63"/>
        <v>#DIV/0!</v>
      </c>
      <c r="BH94" s="14" t="e">
        <f t="shared" si="63"/>
        <v>#DIV/0!</v>
      </c>
      <c r="BI94" s="14" t="e">
        <f t="shared" si="63"/>
        <v>#DIV/0!</v>
      </c>
      <c r="BJ94" s="14" t="e">
        <f t="shared" si="63"/>
        <v>#DIV/0!</v>
      </c>
      <c r="BK94" s="14" t="e">
        <f t="shared" si="63"/>
        <v>#DIV/0!</v>
      </c>
      <c r="BL94" s="14" t="e">
        <f t="shared" si="63"/>
        <v>#DIV/0!</v>
      </c>
      <c r="BM94" s="14" t="e">
        <f t="shared" si="63"/>
        <v>#DIV/0!</v>
      </c>
      <c r="BN94" s="14" t="e">
        <f t="shared" si="63"/>
        <v>#DIV/0!</v>
      </c>
      <c r="BO94" s="14" t="e">
        <f t="shared" si="63"/>
        <v>#DIV/0!</v>
      </c>
      <c r="BP94" s="14" t="e">
        <f t="shared" si="63"/>
        <v>#DIV/0!</v>
      </c>
      <c r="BQ94" s="14" t="e">
        <f t="shared" si="63"/>
        <v>#DIV/0!</v>
      </c>
      <c r="BR94" s="14" t="e">
        <f t="shared" si="63"/>
        <v>#DIV/0!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1</v>
      </c>
      <c r="C95" s="5">
        <f t="shared" si="35"/>
        <v>0</v>
      </c>
      <c r="D95" s="5">
        <f t="shared" si="35"/>
        <v>0</v>
      </c>
      <c r="E95" s="6" t="str">
        <f t="shared" si="29"/>
        <v>(l)Se</v>
      </c>
      <c r="F95" s="14" t="e">
        <f t="shared" ref="F95" si="64">F19*$C$78</f>
        <v>#DIV/0!</v>
      </c>
      <c r="G95" s="14" t="e">
        <f t="shared" ref="G95:BR95" si="65">G19*$C$78</f>
        <v>#DIV/0!</v>
      </c>
      <c r="H95" s="14" t="e">
        <f t="shared" si="65"/>
        <v>#DIV/0!</v>
      </c>
      <c r="I95" s="14" t="e">
        <f t="shared" si="65"/>
        <v>#DIV/0!</v>
      </c>
      <c r="J95" s="14" t="e">
        <f t="shared" si="65"/>
        <v>#DIV/0!</v>
      </c>
      <c r="K95" s="14" t="e">
        <f t="shared" si="65"/>
        <v>#DIV/0!</v>
      </c>
      <c r="L95" s="14" t="e">
        <f t="shared" si="65"/>
        <v>#DIV/0!</v>
      </c>
      <c r="M95" s="14" t="e">
        <f t="shared" si="65"/>
        <v>#DIV/0!</v>
      </c>
      <c r="N95" s="14" t="e">
        <f t="shared" si="65"/>
        <v>#DIV/0!</v>
      </c>
      <c r="O95" s="14" t="e">
        <f t="shared" si="65"/>
        <v>#DIV/0!</v>
      </c>
      <c r="P95" s="14" t="e">
        <f t="shared" si="65"/>
        <v>#DIV/0!</v>
      </c>
      <c r="Q95" s="14" t="e">
        <f t="shared" si="65"/>
        <v>#DIV/0!</v>
      </c>
      <c r="R95" s="14" t="e">
        <f t="shared" si="65"/>
        <v>#DIV/0!</v>
      </c>
      <c r="S95" s="14" t="e">
        <f t="shared" si="65"/>
        <v>#DIV/0!</v>
      </c>
      <c r="T95" s="14" t="e">
        <f t="shared" si="65"/>
        <v>#DIV/0!</v>
      </c>
      <c r="U95" s="14" t="e">
        <f t="shared" si="65"/>
        <v>#DIV/0!</v>
      </c>
      <c r="V95" s="14" t="e">
        <f t="shared" si="65"/>
        <v>#DIV/0!</v>
      </c>
      <c r="W95" s="14" t="e">
        <f t="shared" si="65"/>
        <v>#DIV/0!</v>
      </c>
      <c r="X95" s="14" t="e">
        <f t="shared" si="65"/>
        <v>#DIV/0!</v>
      </c>
      <c r="Y95" s="14" t="e">
        <f t="shared" si="65"/>
        <v>#DIV/0!</v>
      </c>
      <c r="Z95" s="14" t="e">
        <f t="shared" si="65"/>
        <v>#DIV/0!</v>
      </c>
      <c r="AA95" s="14" t="e">
        <f t="shared" si="65"/>
        <v>#DIV/0!</v>
      </c>
      <c r="AB95" s="14" t="e">
        <f t="shared" si="65"/>
        <v>#DIV/0!</v>
      </c>
      <c r="AC95" s="14" t="e">
        <f t="shared" si="65"/>
        <v>#DIV/0!</v>
      </c>
      <c r="AD95" s="14" t="e">
        <f t="shared" si="65"/>
        <v>#DIV/0!</v>
      </c>
      <c r="AE95" s="14" t="e">
        <f t="shared" si="65"/>
        <v>#DIV/0!</v>
      </c>
      <c r="AF95" s="14" t="e">
        <f t="shared" si="65"/>
        <v>#DIV/0!</v>
      </c>
      <c r="AG95" s="14" t="e">
        <f t="shared" si="65"/>
        <v>#DIV/0!</v>
      </c>
      <c r="AH95" s="14" t="e">
        <f t="shared" si="65"/>
        <v>#DIV/0!</v>
      </c>
      <c r="AI95" s="14" t="e">
        <f t="shared" si="65"/>
        <v>#DIV/0!</v>
      </c>
      <c r="AJ95" s="14" t="e">
        <f t="shared" si="65"/>
        <v>#DIV/0!</v>
      </c>
      <c r="AK95" s="14" t="e">
        <f t="shared" si="65"/>
        <v>#DIV/0!</v>
      </c>
      <c r="AL95" s="14" t="e">
        <f t="shared" si="65"/>
        <v>#DIV/0!</v>
      </c>
      <c r="AM95" s="14" t="e">
        <f t="shared" si="65"/>
        <v>#DIV/0!</v>
      </c>
      <c r="AN95" s="14" t="e">
        <f t="shared" si="65"/>
        <v>#DIV/0!</v>
      </c>
      <c r="AO95" s="14" t="e">
        <f t="shared" si="65"/>
        <v>#DIV/0!</v>
      </c>
      <c r="AP95" s="14" t="e">
        <f t="shared" si="65"/>
        <v>#DIV/0!</v>
      </c>
      <c r="AQ95" s="14" t="e">
        <f t="shared" si="65"/>
        <v>#DIV/0!</v>
      </c>
      <c r="AR95" s="14" t="e">
        <f t="shared" si="65"/>
        <v>#DIV/0!</v>
      </c>
      <c r="AS95" s="14" t="e">
        <f t="shared" si="65"/>
        <v>#DIV/0!</v>
      </c>
      <c r="AT95" s="14" t="e">
        <f t="shared" si="65"/>
        <v>#DIV/0!</v>
      </c>
      <c r="AU95" s="14" t="e">
        <f t="shared" si="65"/>
        <v>#DIV/0!</v>
      </c>
      <c r="AV95" s="14" t="e">
        <f t="shared" si="65"/>
        <v>#DIV/0!</v>
      </c>
      <c r="AW95" s="14" t="e">
        <f t="shared" si="65"/>
        <v>#DIV/0!</v>
      </c>
      <c r="AX95" s="14" t="e">
        <f t="shared" si="65"/>
        <v>#DIV/0!</v>
      </c>
      <c r="AY95" s="14" t="e">
        <f t="shared" si="65"/>
        <v>#DIV/0!</v>
      </c>
      <c r="AZ95" s="14" t="e">
        <f t="shared" si="65"/>
        <v>#DIV/0!</v>
      </c>
      <c r="BA95" s="14" t="e">
        <f t="shared" si="65"/>
        <v>#DIV/0!</v>
      </c>
      <c r="BB95" s="14" t="e">
        <f t="shared" si="65"/>
        <v>#DIV/0!</v>
      </c>
      <c r="BC95" s="14" t="e">
        <f t="shared" si="65"/>
        <v>#DIV/0!</v>
      </c>
      <c r="BD95" s="14" t="e">
        <f t="shared" si="65"/>
        <v>#DIV/0!</v>
      </c>
      <c r="BE95" s="14" t="e">
        <f t="shared" si="65"/>
        <v>#DIV/0!</v>
      </c>
      <c r="BF95" s="14" t="e">
        <f t="shared" si="65"/>
        <v>#DIV/0!</v>
      </c>
      <c r="BG95" s="14" t="e">
        <f t="shared" si="65"/>
        <v>#DIV/0!</v>
      </c>
      <c r="BH95" s="14" t="e">
        <f t="shared" si="65"/>
        <v>#DIV/0!</v>
      </c>
      <c r="BI95" s="14" t="e">
        <f t="shared" si="65"/>
        <v>#DIV/0!</v>
      </c>
      <c r="BJ95" s="14" t="e">
        <f t="shared" si="65"/>
        <v>#DIV/0!</v>
      </c>
      <c r="BK95" s="14" t="e">
        <f t="shared" si="65"/>
        <v>#DIV/0!</v>
      </c>
      <c r="BL95" s="14" t="e">
        <f t="shared" si="65"/>
        <v>#DIV/0!</v>
      </c>
      <c r="BM95" s="14" t="e">
        <f t="shared" si="65"/>
        <v>#DIV/0!</v>
      </c>
      <c r="BN95" s="14" t="e">
        <f t="shared" si="65"/>
        <v>#DIV/0!</v>
      </c>
      <c r="BO95" s="14" t="e">
        <f t="shared" si="65"/>
        <v>#DIV/0!</v>
      </c>
      <c r="BP95" s="14" t="e">
        <f t="shared" si="65"/>
        <v>#DIV/0!</v>
      </c>
      <c r="BQ95" s="14" t="e">
        <f t="shared" si="65"/>
        <v>#DIV/0!</v>
      </c>
      <c r="BR95" s="14" t="e">
        <f t="shared" si="65"/>
        <v>#DIV/0!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0</v>
      </c>
      <c r="C96" s="5">
        <f t="shared" si="35"/>
        <v>0</v>
      </c>
      <c r="D96" s="5">
        <f t="shared" si="35"/>
        <v>1</v>
      </c>
      <c r="E96" s="6" t="str">
        <f t="shared" si="29"/>
        <v>(2)Ga[l]</v>
      </c>
      <c r="F96" s="14" t="e">
        <f t="shared" ref="F96" si="66">F20*$C$78</f>
        <v>#DIV/0!</v>
      </c>
      <c r="G96" s="14" t="e">
        <f t="shared" ref="G96:BR96" si="67">G20*$C$78</f>
        <v>#DIV/0!</v>
      </c>
      <c r="H96" s="14" t="e">
        <f t="shared" si="67"/>
        <v>#DIV/0!</v>
      </c>
      <c r="I96" s="14" t="e">
        <f t="shared" si="67"/>
        <v>#DIV/0!</v>
      </c>
      <c r="J96" s="14" t="e">
        <f t="shared" si="67"/>
        <v>#DIV/0!</v>
      </c>
      <c r="K96" s="14" t="e">
        <f t="shared" si="67"/>
        <v>#DIV/0!</v>
      </c>
      <c r="L96" s="14" t="e">
        <f t="shared" si="67"/>
        <v>#DIV/0!</v>
      </c>
      <c r="M96" s="14" t="e">
        <f t="shared" si="67"/>
        <v>#DIV/0!</v>
      </c>
      <c r="N96" s="14" t="e">
        <f t="shared" si="67"/>
        <v>#DIV/0!</v>
      </c>
      <c r="O96" s="14" t="e">
        <f t="shared" si="67"/>
        <v>#DIV/0!</v>
      </c>
      <c r="P96" s="14" t="e">
        <f t="shared" si="67"/>
        <v>#DIV/0!</v>
      </c>
      <c r="Q96" s="14" t="e">
        <f t="shared" si="67"/>
        <v>#DIV/0!</v>
      </c>
      <c r="R96" s="14" t="e">
        <f t="shared" si="67"/>
        <v>#DIV/0!</v>
      </c>
      <c r="S96" s="14" t="e">
        <f t="shared" si="67"/>
        <v>#DIV/0!</v>
      </c>
      <c r="T96" s="14" t="e">
        <f t="shared" si="67"/>
        <v>#DIV/0!</v>
      </c>
      <c r="U96" s="14" t="e">
        <f t="shared" si="67"/>
        <v>#DIV/0!</v>
      </c>
      <c r="V96" s="14" t="e">
        <f t="shared" si="67"/>
        <v>#DIV/0!</v>
      </c>
      <c r="W96" s="14" t="e">
        <f t="shared" si="67"/>
        <v>#DIV/0!</v>
      </c>
      <c r="X96" s="14" t="e">
        <f t="shared" si="67"/>
        <v>#DIV/0!</v>
      </c>
      <c r="Y96" s="14" t="e">
        <f t="shared" si="67"/>
        <v>#DIV/0!</v>
      </c>
      <c r="Z96" s="14" t="e">
        <f t="shared" si="67"/>
        <v>#DIV/0!</v>
      </c>
      <c r="AA96" s="14" t="e">
        <f t="shared" si="67"/>
        <v>#DIV/0!</v>
      </c>
      <c r="AB96" s="14" t="e">
        <f t="shared" si="67"/>
        <v>#DIV/0!</v>
      </c>
      <c r="AC96" s="14" t="e">
        <f t="shared" si="67"/>
        <v>#DIV/0!</v>
      </c>
      <c r="AD96" s="14" t="e">
        <f t="shared" si="67"/>
        <v>#DIV/0!</v>
      </c>
      <c r="AE96" s="14" t="e">
        <f t="shared" si="67"/>
        <v>#DIV/0!</v>
      </c>
      <c r="AF96" s="14" t="e">
        <f t="shared" si="67"/>
        <v>#DIV/0!</v>
      </c>
      <c r="AG96" s="14" t="e">
        <f t="shared" si="67"/>
        <v>#DIV/0!</v>
      </c>
      <c r="AH96" s="14" t="e">
        <f t="shared" si="67"/>
        <v>#DIV/0!</v>
      </c>
      <c r="AI96" s="14" t="e">
        <f t="shared" si="67"/>
        <v>#DIV/0!</v>
      </c>
      <c r="AJ96" s="14" t="e">
        <f t="shared" si="67"/>
        <v>#DIV/0!</v>
      </c>
      <c r="AK96" s="14" t="e">
        <f t="shared" si="67"/>
        <v>#DIV/0!</v>
      </c>
      <c r="AL96" s="14" t="e">
        <f t="shared" si="67"/>
        <v>#DIV/0!</v>
      </c>
      <c r="AM96" s="14" t="e">
        <f t="shared" si="67"/>
        <v>#DIV/0!</v>
      </c>
      <c r="AN96" s="14" t="e">
        <f t="shared" si="67"/>
        <v>#DIV/0!</v>
      </c>
      <c r="AO96" s="14" t="e">
        <f t="shared" si="67"/>
        <v>#DIV/0!</v>
      </c>
      <c r="AP96" s="14" t="e">
        <f t="shared" si="67"/>
        <v>#DIV/0!</v>
      </c>
      <c r="AQ96" s="14" t="e">
        <f t="shared" si="67"/>
        <v>#DIV/0!</v>
      </c>
      <c r="AR96" s="14" t="e">
        <f t="shared" si="67"/>
        <v>#DIV/0!</v>
      </c>
      <c r="AS96" s="14" t="e">
        <f t="shared" si="67"/>
        <v>#DIV/0!</v>
      </c>
      <c r="AT96" s="14" t="e">
        <f t="shared" si="67"/>
        <v>#DIV/0!</v>
      </c>
      <c r="AU96" s="14" t="e">
        <f t="shared" si="67"/>
        <v>#DIV/0!</v>
      </c>
      <c r="AV96" s="14" t="e">
        <f t="shared" si="67"/>
        <v>#DIV/0!</v>
      </c>
      <c r="AW96" s="14" t="e">
        <f t="shared" si="67"/>
        <v>#DIV/0!</v>
      </c>
      <c r="AX96" s="14" t="e">
        <f t="shared" si="67"/>
        <v>#DIV/0!</v>
      </c>
      <c r="AY96" s="14" t="e">
        <f t="shared" si="67"/>
        <v>#DIV/0!</v>
      </c>
      <c r="AZ96" s="14" t="e">
        <f t="shared" si="67"/>
        <v>#DIV/0!</v>
      </c>
      <c r="BA96" s="14" t="e">
        <f t="shared" si="67"/>
        <v>#DIV/0!</v>
      </c>
      <c r="BB96" s="14" t="e">
        <f t="shared" si="67"/>
        <v>#DIV/0!</v>
      </c>
      <c r="BC96" s="14" t="e">
        <f t="shared" si="67"/>
        <v>#DIV/0!</v>
      </c>
      <c r="BD96" s="14" t="e">
        <f t="shared" si="67"/>
        <v>#DIV/0!</v>
      </c>
      <c r="BE96" s="14" t="e">
        <f t="shared" si="67"/>
        <v>#DIV/0!</v>
      </c>
      <c r="BF96" s="14" t="e">
        <f t="shared" si="67"/>
        <v>#DIV/0!</v>
      </c>
      <c r="BG96" s="14" t="e">
        <f t="shared" si="67"/>
        <v>#DIV/0!</v>
      </c>
      <c r="BH96" s="14" t="e">
        <f t="shared" si="67"/>
        <v>#DIV/0!</v>
      </c>
      <c r="BI96" s="14" t="e">
        <f t="shared" si="67"/>
        <v>#DIV/0!</v>
      </c>
      <c r="BJ96" s="14" t="e">
        <f t="shared" si="67"/>
        <v>#DIV/0!</v>
      </c>
      <c r="BK96" s="14" t="e">
        <f t="shared" si="67"/>
        <v>#DIV/0!</v>
      </c>
      <c r="BL96" s="14" t="e">
        <f t="shared" si="67"/>
        <v>#DIV/0!</v>
      </c>
      <c r="BM96" s="14" t="e">
        <f t="shared" si="67"/>
        <v>#DIV/0!</v>
      </c>
      <c r="BN96" s="14" t="e">
        <f t="shared" si="67"/>
        <v>#DIV/0!</v>
      </c>
      <c r="BO96" s="14" t="e">
        <f t="shared" si="67"/>
        <v>#DIV/0!</v>
      </c>
      <c r="BP96" s="14" t="e">
        <f t="shared" si="67"/>
        <v>#DIV/0!</v>
      </c>
      <c r="BQ96" s="14" t="e">
        <f t="shared" si="67"/>
        <v>#DIV/0!</v>
      </c>
      <c r="BR96" s="14" t="e">
        <f t="shared" si="67"/>
        <v>#DIV/0!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1</v>
      </c>
      <c r="D97" s="5">
        <f t="shared" si="68"/>
        <v>0</v>
      </c>
      <c r="E97" s="6" t="str">
        <f t="shared" si="29"/>
        <v>(2)Ge[l]</v>
      </c>
      <c r="F97" s="14" t="e">
        <f t="shared" ref="F97" si="69">F21*$C$78</f>
        <v>#DIV/0!</v>
      </c>
      <c r="G97" s="14" t="e">
        <f t="shared" ref="G97:BR97" si="70">G21*$C$78</f>
        <v>#DIV/0!</v>
      </c>
      <c r="H97" s="14" t="e">
        <f t="shared" si="70"/>
        <v>#DIV/0!</v>
      </c>
      <c r="I97" s="14" t="e">
        <f t="shared" si="70"/>
        <v>#DIV/0!</v>
      </c>
      <c r="J97" s="14" t="e">
        <f t="shared" si="70"/>
        <v>#DIV/0!</v>
      </c>
      <c r="K97" s="14" t="e">
        <f t="shared" si="70"/>
        <v>#DIV/0!</v>
      </c>
      <c r="L97" s="14" t="e">
        <f t="shared" si="70"/>
        <v>#DIV/0!</v>
      </c>
      <c r="M97" s="14" t="e">
        <f t="shared" si="70"/>
        <v>#DIV/0!</v>
      </c>
      <c r="N97" s="14" t="e">
        <f t="shared" si="70"/>
        <v>#DIV/0!</v>
      </c>
      <c r="O97" s="14" t="e">
        <f t="shared" si="70"/>
        <v>#DIV/0!</v>
      </c>
      <c r="P97" s="14" t="e">
        <f t="shared" si="70"/>
        <v>#DIV/0!</v>
      </c>
      <c r="Q97" s="14" t="e">
        <f t="shared" si="70"/>
        <v>#DIV/0!</v>
      </c>
      <c r="R97" s="14" t="e">
        <f t="shared" si="70"/>
        <v>#DIV/0!</v>
      </c>
      <c r="S97" s="14" t="e">
        <f t="shared" si="70"/>
        <v>#DIV/0!</v>
      </c>
      <c r="T97" s="14" t="e">
        <f t="shared" si="70"/>
        <v>#DIV/0!</v>
      </c>
      <c r="U97" s="14" t="e">
        <f t="shared" si="70"/>
        <v>#DIV/0!</v>
      </c>
      <c r="V97" s="14" t="e">
        <f t="shared" si="70"/>
        <v>#DIV/0!</v>
      </c>
      <c r="W97" s="14" t="e">
        <f t="shared" si="70"/>
        <v>#DIV/0!</v>
      </c>
      <c r="X97" s="14" t="e">
        <f t="shared" si="70"/>
        <v>#DIV/0!</v>
      </c>
      <c r="Y97" s="14" t="e">
        <f t="shared" si="70"/>
        <v>#DIV/0!</v>
      </c>
      <c r="Z97" s="14" t="e">
        <f t="shared" si="70"/>
        <v>#DIV/0!</v>
      </c>
      <c r="AA97" s="14" t="e">
        <f t="shared" si="70"/>
        <v>#DIV/0!</v>
      </c>
      <c r="AB97" s="14" t="e">
        <f t="shared" si="70"/>
        <v>#DIV/0!</v>
      </c>
      <c r="AC97" s="14" t="e">
        <f t="shared" si="70"/>
        <v>#DIV/0!</v>
      </c>
      <c r="AD97" s="14" t="e">
        <f t="shared" si="70"/>
        <v>#DIV/0!</v>
      </c>
      <c r="AE97" s="14" t="e">
        <f t="shared" si="70"/>
        <v>#DIV/0!</v>
      </c>
      <c r="AF97" s="14" t="e">
        <f t="shared" si="70"/>
        <v>#DIV/0!</v>
      </c>
      <c r="AG97" s="14" t="e">
        <f t="shared" si="70"/>
        <v>#DIV/0!</v>
      </c>
      <c r="AH97" s="14" t="e">
        <f t="shared" si="70"/>
        <v>#DIV/0!</v>
      </c>
      <c r="AI97" s="14" t="e">
        <f t="shared" si="70"/>
        <v>#DIV/0!</v>
      </c>
      <c r="AJ97" s="14" t="e">
        <f t="shared" si="70"/>
        <v>#DIV/0!</v>
      </c>
      <c r="AK97" s="14" t="e">
        <f t="shared" si="70"/>
        <v>#DIV/0!</v>
      </c>
      <c r="AL97" s="14" t="e">
        <f t="shared" si="70"/>
        <v>#DIV/0!</v>
      </c>
      <c r="AM97" s="14" t="e">
        <f t="shared" si="70"/>
        <v>#DIV/0!</v>
      </c>
      <c r="AN97" s="14" t="e">
        <f t="shared" si="70"/>
        <v>#DIV/0!</v>
      </c>
      <c r="AO97" s="14" t="e">
        <f t="shared" si="70"/>
        <v>#DIV/0!</v>
      </c>
      <c r="AP97" s="14" t="e">
        <f t="shared" si="70"/>
        <v>#DIV/0!</v>
      </c>
      <c r="AQ97" s="14" t="e">
        <f t="shared" si="70"/>
        <v>#DIV/0!</v>
      </c>
      <c r="AR97" s="14" t="e">
        <f t="shared" si="70"/>
        <v>#DIV/0!</v>
      </c>
      <c r="AS97" s="14" t="e">
        <f t="shared" si="70"/>
        <v>#DIV/0!</v>
      </c>
      <c r="AT97" s="14" t="e">
        <f t="shared" si="70"/>
        <v>#DIV/0!</v>
      </c>
      <c r="AU97" s="14" t="e">
        <f t="shared" si="70"/>
        <v>#DIV/0!</v>
      </c>
      <c r="AV97" s="14" t="e">
        <f t="shared" si="70"/>
        <v>#DIV/0!</v>
      </c>
      <c r="AW97" s="14" t="e">
        <f t="shared" si="70"/>
        <v>#DIV/0!</v>
      </c>
      <c r="AX97" s="14" t="e">
        <f t="shared" si="70"/>
        <v>#DIV/0!</v>
      </c>
      <c r="AY97" s="14" t="e">
        <f t="shared" si="70"/>
        <v>#DIV/0!</v>
      </c>
      <c r="AZ97" s="14" t="e">
        <f t="shared" si="70"/>
        <v>#DIV/0!</v>
      </c>
      <c r="BA97" s="14" t="e">
        <f t="shared" si="70"/>
        <v>#DIV/0!</v>
      </c>
      <c r="BB97" s="14" t="e">
        <f t="shared" si="70"/>
        <v>#DIV/0!</v>
      </c>
      <c r="BC97" s="14" t="e">
        <f t="shared" si="70"/>
        <v>#DIV/0!</v>
      </c>
      <c r="BD97" s="14" t="e">
        <f t="shared" si="70"/>
        <v>#DIV/0!</v>
      </c>
      <c r="BE97" s="14" t="e">
        <f t="shared" si="70"/>
        <v>#DIV/0!</v>
      </c>
      <c r="BF97" s="14" t="e">
        <f t="shared" si="70"/>
        <v>#DIV/0!</v>
      </c>
      <c r="BG97" s="14" t="e">
        <f t="shared" si="70"/>
        <v>#DIV/0!</v>
      </c>
      <c r="BH97" s="14" t="e">
        <f t="shared" si="70"/>
        <v>#DIV/0!</v>
      </c>
      <c r="BI97" s="14" t="e">
        <f t="shared" si="70"/>
        <v>#DIV/0!</v>
      </c>
      <c r="BJ97" s="14" t="e">
        <f t="shared" si="70"/>
        <v>#DIV/0!</v>
      </c>
      <c r="BK97" s="14" t="e">
        <f t="shared" si="70"/>
        <v>#DIV/0!</v>
      </c>
      <c r="BL97" s="14" t="e">
        <f t="shared" si="70"/>
        <v>#DIV/0!</v>
      </c>
      <c r="BM97" s="14" t="e">
        <f t="shared" si="70"/>
        <v>#DIV/0!</v>
      </c>
      <c r="BN97" s="14" t="e">
        <f t="shared" si="70"/>
        <v>#DIV/0!</v>
      </c>
      <c r="BO97" s="14" t="e">
        <f t="shared" si="70"/>
        <v>#DIV/0!</v>
      </c>
      <c r="BP97" s="14" t="e">
        <f t="shared" si="70"/>
        <v>#DIV/0!</v>
      </c>
      <c r="BQ97" s="14" t="e">
        <f t="shared" si="70"/>
        <v>#DIV/0!</v>
      </c>
      <c r="BR97" s="14" t="e">
        <f t="shared" si="70"/>
        <v>#DIV/0!</v>
      </c>
      <c r="BS97" s="98"/>
    </row>
    <row r="98" spans="1:87" ht="21" hidden="1" customHeight="1" outlineLevel="1" thickBot="1" x14ac:dyDescent="0.4">
      <c r="A98" s="5">
        <f t="shared" si="68"/>
        <v>1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 t="str">
        <f t="shared" si="29"/>
        <v>H (Ar)</v>
      </c>
      <c r="F98" s="14" t="e">
        <f t="shared" ref="F98" si="71">F22*$C$78</f>
        <v>#DIV/0!</v>
      </c>
      <c r="G98" s="14" t="e">
        <f t="shared" ref="G98:BR98" si="72">G22*$C$78</f>
        <v>#DIV/0!</v>
      </c>
      <c r="H98" s="14" t="e">
        <f t="shared" si="72"/>
        <v>#DIV/0!</v>
      </c>
      <c r="I98" s="14" t="e">
        <f t="shared" si="72"/>
        <v>#DIV/0!</v>
      </c>
      <c r="J98" s="14" t="e">
        <f t="shared" si="72"/>
        <v>#DIV/0!</v>
      </c>
      <c r="K98" s="14" t="e">
        <f t="shared" si="72"/>
        <v>#DIV/0!</v>
      </c>
      <c r="L98" s="14" t="e">
        <f t="shared" si="72"/>
        <v>#DIV/0!</v>
      </c>
      <c r="M98" s="14" t="e">
        <f t="shared" si="72"/>
        <v>#DIV/0!</v>
      </c>
      <c r="N98" s="14" t="e">
        <f t="shared" si="72"/>
        <v>#DIV/0!</v>
      </c>
      <c r="O98" s="14" t="e">
        <f t="shared" si="72"/>
        <v>#DIV/0!</v>
      </c>
      <c r="P98" s="14" t="e">
        <f t="shared" si="72"/>
        <v>#DIV/0!</v>
      </c>
      <c r="Q98" s="14" t="e">
        <f t="shared" si="72"/>
        <v>#DIV/0!</v>
      </c>
      <c r="R98" s="14" t="e">
        <f t="shared" si="72"/>
        <v>#DIV/0!</v>
      </c>
      <c r="S98" s="14" t="e">
        <f t="shared" si="72"/>
        <v>#DIV/0!</v>
      </c>
      <c r="T98" s="14" t="e">
        <f t="shared" si="72"/>
        <v>#DIV/0!</v>
      </c>
      <c r="U98" s="14" t="e">
        <f t="shared" si="72"/>
        <v>#DIV/0!</v>
      </c>
      <c r="V98" s="14" t="e">
        <f t="shared" si="72"/>
        <v>#DIV/0!</v>
      </c>
      <c r="W98" s="14" t="e">
        <f t="shared" si="72"/>
        <v>#DIV/0!</v>
      </c>
      <c r="X98" s="14" t="e">
        <f t="shared" si="72"/>
        <v>#DIV/0!</v>
      </c>
      <c r="Y98" s="14" t="e">
        <f t="shared" si="72"/>
        <v>#DIV/0!</v>
      </c>
      <c r="Z98" s="14" t="e">
        <f t="shared" si="72"/>
        <v>#DIV/0!</v>
      </c>
      <c r="AA98" s="14" t="e">
        <f t="shared" si="72"/>
        <v>#DIV/0!</v>
      </c>
      <c r="AB98" s="14" t="e">
        <f t="shared" si="72"/>
        <v>#DIV/0!</v>
      </c>
      <c r="AC98" s="14" t="e">
        <f t="shared" si="72"/>
        <v>#DIV/0!</v>
      </c>
      <c r="AD98" s="14" t="e">
        <f t="shared" si="72"/>
        <v>#DIV/0!</v>
      </c>
      <c r="AE98" s="14" t="e">
        <f t="shared" si="72"/>
        <v>#DIV/0!</v>
      </c>
      <c r="AF98" s="14" t="e">
        <f t="shared" si="72"/>
        <v>#DIV/0!</v>
      </c>
      <c r="AG98" s="14" t="e">
        <f t="shared" si="72"/>
        <v>#DIV/0!</v>
      </c>
      <c r="AH98" s="14" t="e">
        <f t="shared" si="72"/>
        <v>#DIV/0!</v>
      </c>
      <c r="AI98" s="14" t="e">
        <f t="shared" si="72"/>
        <v>#DIV/0!</v>
      </c>
      <c r="AJ98" s="14" t="e">
        <f t="shared" si="72"/>
        <v>#DIV/0!</v>
      </c>
      <c r="AK98" s="14" t="e">
        <f t="shared" si="72"/>
        <v>#DIV/0!</v>
      </c>
      <c r="AL98" s="14" t="e">
        <f t="shared" si="72"/>
        <v>#DIV/0!</v>
      </c>
      <c r="AM98" s="14" t="e">
        <f t="shared" si="72"/>
        <v>#DIV/0!</v>
      </c>
      <c r="AN98" s="14" t="e">
        <f t="shared" si="72"/>
        <v>#DIV/0!</v>
      </c>
      <c r="AO98" s="14" t="e">
        <f t="shared" si="72"/>
        <v>#DIV/0!</v>
      </c>
      <c r="AP98" s="14" t="e">
        <f t="shared" si="72"/>
        <v>#DIV/0!</v>
      </c>
      <c r="AQ98" s="14" t="e">
        <f t="shared" si="72"/>
        <v>#DIV/0!</v>
      </c>
      <c r="AR98" s="14" t="e">
        <f t="shared" si="72"/>
        <v>#DIV/0!</v>
      </c>
      <c r="AS98" s="14" t="e">
        <f t="shared" si="72"/>
        <v>#DIV/0!</v>
      </c>
      <c r="AT98" s="14" t="e">
        <f t="shared" si="72"/>
        <v>#DIV/0!</v>
      </c>
      <c r="AU98" s="14" t="e">
        <f t="shared" si="72"/>
        <v>#DIV/0!</v>
      </c>
      <c r="AV98" s="14" t="e">
        <f t="shared" si="72"/>
        <v>#DIV/0!</v>
      </c>
      <c r="AW98" s="14" t="e">
        <f t="shared" si="72"/>
        <v>#DIV/0!</v>
      </c>
      <c r="AX98" s="14" t="e">
        <f t="shared" si="72"/>
        <v>#DIV/0!</v>
      </c>
      <c r="AY98" s="14" t="e">
        <f t="shared" si="72"/>
        <v>#DIV/0!</v>
      </c>
      <c r="AZ98" s="14" t="e">
        <f t="shared" si="72"/>
        <v>#DIV/0!</v>
      </c>
      <c r="BA98" s="14" t="e">
        <f t="shared" si="72"/>
        <v>#DIV/0!</v>
      </c>
      <c r="BB98" s="14" t="e">
        <f t="shared" si="72"/>
        <v>#DIV/0!</v>
      </c>
      <c r="BC98" s="14" t="e">
        <f t="shared" si="72"/>
        <v>#DIV/0!</v>
      </c>
      <c r="BD98" s="14" t="e">
        <f t="shared" si="72"/>
        <v>#DIV/0!</v>
      </c>
      <c r="BE98" s="14" t="e">
        <f t="shared" si="72"/>
        <v>#DIV/0!</v>
      </c>
      <c r="BF98" s="14" t="e">
        <f t="shared" si="72"/>
        <v>#DIV/0!</v>
      </c>
      <c r="BG98" s="14" t="e">
        <f t="shared" si="72"/>
        <v>#DIV/0!</v>
      </c>
      <c r="BH98" s="14" t="e">
        <f t="shared" si="72"/>
        <v>#DIV/0!</v>
      </c>
      <c r="BI98" s="14" t="e">
        <f t="shared" si="72"/>
        <v>#DIV/0!</v>
      </c>
      <c r="BJ98" s="14" t="e">
        <f t="shared" si="72"/>
        <v>#DIV/0!</v>
      </c>
      <c r="BK98" s="14" t="e">
        <f t="shared" si="72"/>
        <v>#DIV/0!</v>
      </c>
      <c r="BL98" s="14" t="e">
        <f t="shared" si="72"/>
        <v>#DIV/0!</v>
      </c>
      <c r="BM98" s="14" t="e">
        <f t="shared" si="72"/>
        <v>#DIV/0!</v>
      </c>
      <c r="BN98" s="14" t="e">
        <f t="shared" si="72"/>
        <v>#DIV/0!</v>
      </c>
      <c r="BO98" s="14" t="e">
        <f t="shared" si="72"/>
        <v>#DIV/0!</v>
      </c>
      <c r="BP98" s="14" t="e">
        <f t="shared" si="72"/>
        <v>#DIV/0!</v>
      </c>
      <c r="BQ98" s="14" t="e">
        <f t="shared" si="72"/>
        <v>#DIV/0!</v>
      </c>
      <c r="BR98" s="14" t="e">
        <f t="shared" si="72"/>
        <v>#DIV/0!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1</v>
      </c>
      <c r="E99" s="6" t="str">
        <f t="shared" si="29"/>
        <v>H (Ga)</v>
      </c>
      <c r="F99" s="14" t="e">
        <f t="shared" ref="F99" si="73">F23*$C$78</f>
        <v>#DIV/0!</v>
      </c>
      <c r="G99" s="14" t="e">
        <f t="shared" ref="G99:BR99" si="74">G23*$C$78</f>
        <v>#DIV/0!</v>
      </c>
      <c r="H99" s="14" t="e">
        <f t="shared" si="74"/>
        <v>#DIV/0!</v>
      </c>
      <c r="I99" s="14" t="e">
        <f t="shared" si="74"/>
        <v>#DIV/0!</v>
      </c>
      <c r="J99" s="14" t="e">
        <f t="shared" si="74"/>
        <v>#DIV/0!</v>
      </c>
      <c r="K99" s="14" t="e">
        <f t="shared" si="74"/>
        <v>#DIV/0!</v>
      </c>
      <c r="L99" s="14" t="e">
        <f t="shared" si="74"/>
        <v>#DIV/0!</v>
      </c>
      <c r="M99" s="14" t="e">
        <f t="shared" si="74"/>
        <v>#DIV/0!</v>
      </c>
      <c r="N99" s="14" t="e">
        <f t="shared" si="74"/>
        <v>#DIV/0!</v>
      </c>
      <c r="O99" s="14" t="e">
        <f t="shared" si="74"/>
        <v>#DIV/0!</v>
      </c>
      <c r="P99" s="14" t="e">
        <f t="shared" si="74"/>
        <v>#DIV/0!</v>
      </c>
      <c r="Q99" s="14" t="e">
        <f t="shared" si="74"/>
        <v>#DIV/0!</v>
      </c>
      <c r="R99" s="14" t="e">
        <f t="shared" si="74"/>
        <v>#DIV/0!</v>
      </c>
      <c r="S99" s="14" t="e">
        <f t="shared" si="74"/>
        <v>#DIV/0!</v>
      </c>
      <c r="T99" s="14" t="e">
        <f t="shared" si="74"/>
        <v>#DIV/0!</v>
      </c>
      <c r="U99" s="14" t="e">
        <f t="shared" si="74"/>
        <v>#DIV/0!</v>
      </c>
      <c r="V99" s="14" t="e">
        <f t="shared" si="74"/>
        <v>#DIV/0!</v>
      </c>
      <c r="W99" s="14" t="e">
        <f t="shared" si="74"/>
        <v>#DIV/0!</v>
      </c>
      <c r="X99" s="14" t="e">
        <f t="shared" si="74"/>
        <v>#DIV/0!</v>
      </c>
      <c r="Y99" s="14" t="e">
        <f t="shared" si="74"/>
        <v>#DIV/0!</v>
      </c>
      <c r="Z99" s="14" t="e">
        <f t="shared" si="74"/>
        <v>#DIV/0!</v>
      </c>
      <c r="AA99" s="14" t="e">
        <f t="shared" si="74"/>
        <v>#DIV/0!</v>
      </c>
      <c r="AB99" s="14" t="e">
        <f t="shared" si="74"/>
        <v>#DIV/0!</v>
      </c>
      <c r="AC99" s="14" t="e">
        <f t="shared" si="74"/>
        <v>#DIV/0!</v>
      </c>
      <c r="AD99" s="14" t="e">
        <f t="shared" si="74"/>
        <v>#DIV/0!</v>
      </c>
      <c r="AE99" s="14" t="e">
        <f t="shared" si="74"/>
        <v>#DIV/0!</v>
      </c>
      <c r="AF99" s="14" t="e">
        <f t="shared" si="74"/>
        <v>#DIV/0!</v>
      </c>
      <c r="AG99" s="14" t="e">
        <f t="shared" si="74"/>
        <v>#DIV/0!</v>
      </c>
      <c r="AH99" s="14" t="e">
        <f t="shared" si="74"/>
        <v>#DIV/0!</v>
      </c>
      <c r="AI99" s="14" t="e">
        <f t="shared" si="74"/>
        <v>#DIV/0!</v>
      </c>
      <c r="AJ99" s="14" t="e">
        <f t="shared" si="74"/>
        <v>#DIV/0!</v>
      </c>
      <c r="AK99" s="14" t="e">
        <f t="shared" si="74"/>
        <v>#DIV/0!</v>
      </c>
      <c r="AL99" s="14" t="e">
        <f t="shared" si="74"/>
        <v>#DIV/0!</v>
      </c>
      <c r="AM99" s="14" t="e">
        <f t="shared" si="74"/>
        <v>#DIV/0!</v>
      </c>
      <c r="AN99" s="14" t="e">
        <f t="shared" si="74"/>
        <v>#DIV/0!</v>
      </c>
      <c r="AO99" s="14" t="e">
        <f t="shared" si="74"/>
        <v>#DIV/0!</v>
      </c>
      <c r="AP99" s="14" t="e">
        <f t="shared" si="74"/>
        <v>#DIV/0!</v>
      </c>
      <c r="AQ99" s="14" t="e">
        <f t="shared" si="74"/>
        <v>#DIV/0!</v>
      </c>
      <c r="AR99" s="14" t="e">
        <f t="shared" si="74"/>
        <v>#DIV/0!</v>
      </c>
      <c r="AS99" s="14" t="e">
        <f t="shared" si="74"/>
        <v>#DIV/0!</v>
      </c>
      <c r="AT99" s="14" t="e">
        <f t="shared" si="74"/>
        <v>#DIV/0!</v>
      </c>
      <c r="AU99" s="14" t="e">
        <f t="shared" si="74"/>
        <v>#DIV/0!</v>
      </c>
      <c r="AV99" s="14" t="e">
        <f t="shared" si="74"/>
        <v>#DIV/0!</v>
      </c>
      <c r="AW99" s="14" t="e">
        <f t="shared" si="74"/>
        <v>#DIV/0!</v>
      </c>
      <c r="AX99" s="14" t="e">
        <f t="shared" si="74"/>
        <v>#DIV/0!</v>
      </c>
      <c r="AY99" s="14" t="e">
        <f t="shared" si="74"/>
        <v>#DIV/0!</v>
      </c>
      <c r="AZ99" s="14" t="e">
        <f t="shared" si="74"/>
        <v>#DIV/0!</v>
      </c>
      <c r="BA99" s="14" t="e">
        <f t="shared" si="74"/>
        <v>#DIV/0!</v>
      </c>
      <c r="BB99" s="14" t="e">
        <f t="shared" si="74"/>
        <v>#DIV/0!</v>
      </c>
      <c r="BC99" s="14" t="e">
        <f t="shared" si="74"/>
        <v>#DIV/0!</v>
      </c>
      <c r="BD99" s="14" t="e">
        <f t="shared" si="74"/>
        <v>#DIV/0!</v>
      </c>
      <c r="BE99" s="14" t="e">
        <f t="shared" si="74"/>
        <v>#DIV/0!</v>
      </c>
      <c r="BF99" s="14" t="e">
        <f t="shared" si="74"/>
        <v>#DIV/0!</v>
      </c>
      <c r="BG99" s="14" t="e">
        <f t="shared" si="74"/>
        <v>#DIV/0!</v>
      </c>
      <c r="BH99" s="14" t="e">
        <f t="shared" si="74"/>
        <v>#DIV/0!</v>
      </c>
      <c r="BI99" s="14" t="e">
        <f t="shared" si="74"/>
        <v>#DIV/0!</v>
      </c>
      <c r="BJ99" s="14" t="e">
        <f t="shared" si="74"/>
        <v>#DIV/0!</v>
      </c>
      <c r="BK99" s="14" t="e">
        <f t="shared" si="74"/>
        <v>#DIV/0!</v>
      </c>
      <c r="BL99" s="14" t="e">
        <f t="shared" si="74"/>
        <v>#DIV/0!</v>
      </c>
      <c r="BM99" s="14" t="e">
        <f t="shared" si="74"/>
        <v>#DIV/0!</v>
      </c>
      <c r="BN99" s="14" t="e">
        <f t="shared" si="74"/>
        <v>#DIV/0!</v>
      </c>
      <c r="BO99" s="14" t="e">
        <f t="shared" si="74"/>
        <v>#DIV/0!</v>
      </c>
      <c r="BP99" s="14" t="e">
        <f t="shared" si="74"/>
        <v>#DIV/0!</v>
      </c>
      <c r="BQ99" s="14" t="e">
        <f t="shared" si="74"/>
        <v>#DIV/0!</v>
      </c>
      <c r="BR99" s="14" t="e">
        <f t="shared" si="74"/>
        <v>#DIV/0!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1</v>
      </c>
      <c r="D100" s="5">
        <f t="shared" si="68"/>
        <v>0</v>
      </c>
      <c r="E100" s="6" t="str">
        <f t="shared" si="29"/>
        <v>H (Ge)</v>
      </c>
      <c r="F100" s="14" t="e">
        <f t="shared" ref="F100" si="75">F24*$C$78</f>
        <v>#DIV/0!</v>
      </c>
      <c r="G100" s="14" t="e">
        <f t="shared" ref="G100:BR100" si="76">G24*$C$78</f>
        <v>#DIV/0!</v>
      </c>
      <c r="H100" s="14" t="e">
        <f t="shared" si="76"/>
        <v>#DIV/0!</v>
      </c>
      <c r="I100" s="14" t="e">
        <f t="shared" si="76"/>
        <v>#DIV/0!</v>
      </c>
      <c r="J100" s="14" t="e">
        <f t="shared" si="76"/>
        <v>#DIV/0!</v>
      </c>
      <c r="K100" s="14" t="e">
        <f t="shared" si="76"/>
        <v>#DIV/0!</v>
      </c>
      <c r="L100" s="14" t="e">
        <f t="shared" si="76"/>
        <v>#DIV/0!</v>
      </c>
      <c r="M100" s="14" t="e">
        <f t="shared" si="76"/>
        <v>#DIV/0!</v>
      </c>
      <c r="N100" s="14" t="e">
        <f t="shared" si="76"/>
        <v>#DIV/0!</v>
      </c>
      <c r="O100" s="14" t="e">
        <f t="shared" si="76"/>
        <v>#DIV/0!</v>
      </c>
      <c r="P100" s="14" t="e">
        <f t="shared" si="76"/>
        <v>#DIV/0!</v>
      </c>
      <c r="Q100" s="14" t="e">
        <f t="shared" si="76"/>
        <v>#DIV/0!</v>
      </c>
      <c r="R100" s="14" t="e">
        <f t="shared" si="76"/>
        <v>#DIV/0!</v>
      </c>
      <c r="S100" s="14" t="e">
        <f t="shared" si="76"/>
        <v>#DIV/0!</v>
      </c>
      <c r="T100" s="14" t="e">
        <f t="shared" si="76"/>
        <v>#DIV/0!</v>
      </c>
      <c r="U100" s="14" t="e">
        <f t="shared" si="76"/>
        <v>#DIV/0!</v>
      </c>
      <c r="V100" s="14" t="e">
        <f t="shared" si="76"/>
        <v>#DIV/0!</v>
      </c>
      <c r="W100" s="14" t="e">
        <f t="shared" si="76"/>
        <v>#DIV/0!</v>
      </c>
      <c r="X100" s="14" t="e">
        <f t="shared" si="76"/>
        <v>#DIV/0!</v>
      </c>
      <c r="Y100" s="14" t="e">
        <f t="shared" si="76"/>
        <v>#DIV/0!</v>
      </c>
      <c r="Z100" s="14" t="e">
        <f t="shared" si="76"/>
        <v>#DIV/0!</v>
      </c>
      <c r="AA100" s="14" t="e">
        <f t="shared" si="76"/>
        <v>#DIV/0!</v>
      </c>
      <c r="AB100" s="14" t="e">
        <f t="shared" si="76"/>
        <v>#DIV/0!</v>
      </c>
      <c r="AC100" s="14" t="e">
        <f t="shared" si="76"/>
        <v>#DIV/0!</v>
      </c>
      <c r="AD100" s="14" t="e">
        <f t="shared" si="76"/>
        <v>#DIV/0!</v>
      </c>
      <c r="AE100" s="14" t="e">
        <f t="shared" si="76"/>
        <v>#DIV/0!</v>
      </c>
      <c r="AF100" s="14" t="e">
        <f t="shared" si="76"/>
        <v>#DIV/0!</v>
      </c>
      <c r="AG100" s="14" t="e">
        <f t="shared" si="76"/>
        <v>#DIV/0!</v>
      </c>
      <c r="AH100" s="14" t="e">
        <f t="shared" si="76"/>
        <v>#DIV/0!</v>
      </c>
      <c r="AI100" s="14" t="e">
        <f t="shared" si="76"/>
        <v>#DIV/0!</v>
      </c>
      <c r="AJ100" s="14" t="e">
        <f t="shared" si="76"/>
        <v>#DIV/0!</v>
      </c>
      <c r="AK100" s="14" t="e">
        <f t="shared" si="76"/>
        <v>#DIV/0!</v>
      </c>
      <c r="AL100" s="14" t="e">
        <f t="shared" si="76"/>
        <v>#DIV/0!</v>
      </c>
      <c r="AM100" s="14" t="e">
        <f t="shared" si="76"/>
        <v>#DIV/0!</v>
      </c>
      <c r="AN100" s="14" t="e">
        <f t="shared" si="76"/>
        <v>#DIV/0!</v>
      </c>
      <c r="AO100" s="14" t="e">
        <f t="shared" si="76"/>
        <v>#DIV/0!</v>
      </c>
      <c r="AP100" s="14" t="e">
        <f t="shared" si="76"/>
        <v>#DIV/0!</v>
      </c>
      <c r="AQ100" s="14" t="e">
        <f t="shared" si="76"/>
        <v>#DIV/0!</v>
      </c>
      <c r="AR100" s="14" t="e">
        <f t="shared" si="76"/>
        <v>#DIV/0!</v>
      </c>
      <c r="AS100" s="14" t="e">
        <f t="shared" si="76"/>
        <v>#DIV/0!</v>
      </c>
      <c r="AT100" s="14" t="e">
        <f t="shared" si="76"/>
        <v>#DIV/0!</v>
      </c>
      <c r="AU100" s="14" t="e">
        <f t="shared" si="76"/>
        <v>#DIV/0!</v>
      </c>
      <c r="AV100" s="14" t="e">
        <f t="shared" si="76"/>
        <v>#DIV/0!</v>
      </c>
      <c r="AW100" s="14" t="e">
        <f t="shared" si="76"/>
        <v>#DIV/0!</v>
      </c>
      <c r="AX100" s="14" t="e">
        <f t="shared" si="76"/>
        <v>#DIV/0!</v>
      </c>
      <c r="AY100" s="14" t="e">
        <f t="shared" si="76"/>
        <v>#DIV/0!</v>
      </c>
      <c r="AZ100" s="14" t="e">
        <f t="shared" si="76"/>
        <v>#DIV/0!</v>
      </c>
      <c r="BA100" s="14" t="e">
        <f t="shared" si="76"/>
        <v>#DIV/0!</v>
      </c>
      <c r="BB100" s="14" t="e">
        <f t="shared" si="76"/>
        <v>#DIV/0!</v>
      </c>
      <c r="BC100" s="14" t="e">
        <f t="shared" si="76"/>
        <v>#DIV/0!</v>
      </c>
      <c r="BD100" s="14" t="e">
        <f t="shared" si="76"/>
        <v>#DIV/0!</v>
      </c>
      <c r="BE100" s="14" t="e">
        <f t="shared" si="76"/>
        <v>#DIV/0!</v>
      </c>
      <c r="BF100" s="14" t="e">
        <f t="shared" si="76"/>
        <v>#DIV/0!</v>
      </c>
      <c r="BG100" s="14" t="e">
        <f t="shared" si="76"/>
        <v>#DIV/0!</v>
      </c>
      <c r="BH100" s="14" t="e">
        <f t="shared" si="76"/>
        <v>#DIV/0!</v>
      </c>
      <c r="BI100" s="14" t="e">
        <f t="shared" si="76"/>
        <v>#DIV/0!</v>
      </c>
      <c r="BJ100" s="14" t="e">
        <f t="shared" si="76"/>
        <v>#DIV/0!</v>
      </c>
      <c r="BK100" s="14" t="e">
        <f t="shared" si="76"/>
        <v>#DIV/0!</v>
      </c>
      <c r="BL100" s="14" t="e">
        <f t="shared" si="76"/>
        <v>#DIV/0!</v>
      </c>
      <c r="BM100" s="14" t="e">
        <f t="shared" si="76"/>
        <v>#DIV/0!</v>
      </c>
      <c r="BN100" s="14" t="e">
        <f t="shared" si="76"/>
        <v>#DIV/0!</v>
      </c>
      <c r="BO100" s="14" t="e">
        <f t="shared" si="76"/>
        <v>#DIV/0!</v>
      </c>
      <c r="BP100" s="14" t="e">
        <f t="shared" si="76"/>
        <v>#DIV/0!</v>
      </c>
      <c r="BQ100" s="14" t="e">
        <f t="shared" si="76"/>
        <v>#DIV/0!</v>
      </c>
      <c r="BR100" s="14" t="e">
        <f t="shared" si="76"/>
        <v>#DIV/0!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1</v>
      </c>
      <c r="C101" s="5">
        <f t="shared" si="68"/>
        <v>0</v>
      </c>
      <c r="D101" s="5">
        <f t="shared" si="68"/>
        <v>0</v>
      </c>
      <c r="E101" s="6" t="str">
        <f t="shared" si="29"/>
        <v>H (Se)</v>
      </c>
      <c r="F101" s="14" t="e">
        <f t="shared" ref="F101" si="77">F25*$C$78</f>
        <v>#DIV/0!</v>
      </c>
      <c r="G101" s="14" t="e">
        <f t="shared" ref="G101:BR101" si="78">G25*$C$78</f>
        <v>#DIV/0!</v>
      </c>
      <c r="H101" s="14" t="e">
        <f t="shared" si="78"/>
        <v>#DIV/0!</v>
      </c>
      <c r="I101" s="14" t="e">
        <f t="shared" si="78"/>
        <v>#DIV/0!</v>
      </c>
      <c r="J101" s="14" t="e">
        <f t="shared" si="78"/>
        <v>#DIV/0!</v>
      </c>
      <c r="K101" s="14" t="e">
        <f t="shared" si="78"/>
        <v>#DIV/0!</v>
      </c>
      <c r="L101" s="14" t="e">
        <f t="shared" si="78"/>
        <v>#DIV/0!</v>
      </c>
      <c r="M101" s="14" t="e">
        <f t="shared" si="78"/>
        <v>#DIV/0!</v>
      </c>
      <c r="N101" s="14" t="e">
        <f t="shared" si="78"/>
        <v>#DIV/0!</v>
      </c>
      <c r="O101" s="14" t="e">
        <f t="shared" si="78"/>
        <v>#DIV/0!</v>
      </c>
      <c r="P101" s="14" t="e">
        <f t="shared" si="78"/>
        <v>#DIV/0!</v>
      </c>
      <c r="Q101" s="14" t="e">
        <f t="shared" si="78"/>
        <v>#DIV/0!</v>
      </c>
      <c r="R101" s="14" t="e">
        <f t="shared" si="78"/>
        <v>#DIV/0!</v>
      </c>
      <c r="S101" s="14" t="e">
        <f t="shared" si="78"/>
        <v>#DIV/0!</v>
      </c>
      <c r="T101" s="14" t="e">
        <f t="shared" si="78"/>
        <v>#DIV/0!</v>
      </c>
      <c r="U101" s="14" t="e">
        <f t="shared" si="78"/>
        <v>#DIV/0!</v>
      </c>
      <c r="V101" s="14" t="e">
        <f t="shared" si="78"/>
        <v>#DIV/0!</v>
      </c>
      <c r="W101" s="14" t="e">
        <f t="shared" si="78"/>
        <v>#DIV/0!</v>
      </c>
      <c r="X101" s="14" t="e">
        <f t="shared" si="78"/>
        <v>#DIV/0!</v>
      </c>
      <c r="Y101" s="14" t="e">
        <f t="shared" si="78"/>
        <v>#DIV/0!</v>
      </c>
      <c r="Z101" s="14" t="e">
        <f t="shared" si="78"/>
        <v>#DIV/0!</v>
      </c>
      <c r="AA101" s="14" t="e">
        <f t="shared" si="78"/>
        <v>#DIV/0!</v>
      </c>
      <c r="AB101" s="14" t="e">
        <f t="shared" si="78"/>
        <v>#DIV/0!</v>
      </c>
      <c r="AC101" s="14" t="e">
        <f t="shared" si="78"/>
        <v>#DIV/0!</v>
      </c>
      <c r="AD101" s="14" t="e">
        <f t="shared" si="78"/>
        <v>#DIV/0!</v>
      </c>
      <c r="AE101" s="14" t="e">
        <f t="shared" si="78"/>
        <v>#DIV/0!</v>
      </c>
      <c r="AF101" s="14" t="e">
        <f t="shared" si="78"/>
        <v>#DIV/0!</v>
      </c>
      <c r="AG101" s="14" t="e">
        <f t="shared" si="78"/>
        <v>#DIV/0!</v>
      </c>
      <c r="AH101" s="14" t="e">
        <f t="shared" si="78"/>
        <v>#DIV/0!</v>
      </c>
      <c r="AI101" s="14" t="e">
        <f t="shared" si="78"/>
        <v>#DIV/0!</v>
      </c>
      <c r="AJ101" s="14" t="e">
        <f t="shared" si="78"/>
        <v>#DIV/0!</v>
      </c>
      <c r="AK101" s="14" t="e">
        <f t="shared" si="78"/>
        <v>#DIV/0!</v>
      </c>
      <c r="AL101" s="14" t="e">
        <f t="shared" si="78"/>
        <v>#DIV/0!</v>
      </c>
      <c r="AM101" s="14" t="e">
        <f t="shared" si="78"/>
        <v>#DIV/0!</v>
      </c>
      <c r="AN101" s="14" t="e">
        <f t="shared" si="78"/>
        <v>#DIV/0!</v>
      </c>
      <c r="AO101" s="14" t="e">
        <f t="shared" si="78"/>
        <v>#DIV/0!</v>
      </c>
      <c r="AP101" s="14" t="e">
        <f t="shared" si="78"/>
        <v>#DIV/0!</v>
      </c>
      <c r="AQ101" s="14" t="e">
        <f t="shared" si="78"/>
        <v>#DIV/0!</v>
      </c>
      <c r="AR101" s="14" t="e">
        <f t="shared" si="78"/>
        <v>#DIV/0!</v>
      </c>
      <c r="AS101" s="14" t="e">
        <f t="shared" si="78"/>
        <v>#DIV/0!</v>
      </c>
      <c r="AT101" s="14" t="e">
        <f t="shared" si="78"/>
        <v>#DIV/0!</v>
      </c>
      <c r="AU101" s="14" t="e">
        <f t="shared" si="78"/>
        <v>#DIV/0!</v>
      </c>
      <c r="AV101" s="14" t="e">
        <f t="shared" si="78"/>
        <v>#DIV/0!</v>
      </c>
      <c r="AW101" s="14" t="e">
        <f t="shared" si="78"/>
        <v>#DIV/0!</v>
      </c>
      <c r="AX101" s="14" t="e">
        <f t="shared" si="78"/>
        <v>#DIV/0!</v>
      </c>
      <c r="AY101" s="14" t="e">
        <f t="shared" si="78"/>
        <v>#DIV/0!</v>
      </c>
      <c r="AZ101" s="14" t="e">
        <f t="shared" si="78"/>
        <v>#DIV/0!</v>
      </c>
      <c r="BA101" s="14" t="e">
        <f t="shared" si="78"/>
        <v>#DIV/0!</v>
      </c>
      <c r="BB101" s="14" t="e">
        <f t="shared" si="78"/>
        <v>#DIV/0!</v>
      </c>
      <c r="BC101" s="14" t="e">
        <f t="shared" si="78"/>
        <v>#DIV/0!</v>
      </c>
      <c r="BD101" s="14" t="e">
        <f t="shared" si="78"/>
        <v>#DIV/0!</v>
      </c>
      <c r="BE101" s="14" t="e">
        <f t="shared" si="78"/>
        <v>#DIV/0!</v>
      </c>
      <c r="BF101" s="14" t="e">
        <f t="shared" si="78"/>
        <v>#DIV/0!</v>
      </c>
      <c r="BG101" s="14" t="e">
        <f t="shared" si="78"/>
        <v>#DIV/0!</v>
      </c>
      <c r="BH101" s="14" t="e">
        <f t="shared" si="78"/>
        <v>#DIV/0!</v>
      </c>
      <c r="BI101" s="14" t="e">
        <f t="shared" si="78"/>
        <v>#DIV/0!</v>
      </c>
      <c r="BJ101" s="14" t="e">
        <f t="shared" si="78"/>
        <v>#DIV/0!</v>
      </c>
      <c r="BK101" s="14" t="e">
        <f t="shared" si="78"/>
        <v>#DIV/0!</v>
      </c>
      <c r="BL101" s="14" t="e">
        <f t="shared" si="78"/>
        <v>#DIV/0!</v>
      </c>
      <c r="BM101" s="14" t="e">
        <f t="shared" si="78"/>
        <v>#DIV/0!</v>
      </c>
      <c r="BN101" s="14" t="e">
        <f t="shared" si="78"/>
        <v>#DIV/0!</v>
      </c>
      <c r="BO101" s="14" t="e">
        <f t="shared" si="78"/>
        <v>#DIV/0!</v>
      </c>
      <c r="BP101" s="14" t="e">
        <f t="shared" si="78"/>
        <v>#DIV/0!</v>
      </c>
      <c r="BQ101" s="14" t="e">
        <f t="shared" si="78"/>
        <v>#DIV/0!</v>
      </c>
      <c r="BR101" s="14" t="e">
        <f t="shared" si="78"/>
        <v>#DIV/0!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 t="e">
        <f t="shared" ref="F102" si="79">F26*$C$78</f>
        <v>#DIV/0!</v>
      </c>
      <c r="G102" s="14" t="e">
        <f t="shared" ref="G102:BR102" si="80">G26*$C$78</f>
        <v>#DIV/0!</v>
      </c>
      <c r="H102" s="14" t="e">
        <f t="shared" si="80"/>
        <v>#DIV/0!</v>
      </c>
      <c r="I102" s="14" t="e">
        <f t="shared" si="80"/>
        <v>#DIV/0!</v>
      </c>
      <c r="J102" s="14" t="e">
        <f t="shared" si="80"/>
        <v>#DIV/0!</v>
      </c>
      <c r="K102" s="14" t="e">
        <f t="shared" si="80"/>
        <v>#DIV/0!</v>
      </c>
      <c r="L102" s="14" t="e">
        <f t="shared" si="80"/>
        <v>#DIV/0!</v>
      </c>
      <c r="M102" s="14" t="e">
        <f t="shared" si="80"/>
        <v>#DIV/0!</v>
      </c>
      <c r="N102" s="14" t="e">
        <f t="shared" si="80"/>
        <v>#DIV/0!</v>
      </c>
      <c r="O102" s="14" t="e">
        <f t="shared" si="80"/>
        <v>#DIV/0!</v>
      </c>
      <c r="P102" s="14" t="e">
        <f t="shared" si="80"/>
        <v>#DIV/0!</v>
      </c>
      <c r="Q102" s="14" t="e">
        <f t="shared" si="80"/>
        <v>#DIV/0!</v>
      </c>
      <c r="R102" s="14" t="e">
        <f t="shared" si="80"/>
        <v>#DIV/0!</v>
      </c>
      <c r="S102" s="14" t="e">
        <f t="shared" si="80"/>
        <v>#DIV/0!</v>
      </c>
      <c r="T102" s="14" t="e">
        <f t="shared" si="80"/>
        <v>#DIV/0!</v>
      </c>
      <c r="U102" s="14" t="e">
        <f t="shared" si="80"/>
        <v>#DIV/0!</v>
      </c>
      <c r="V102" s="14" t="e">
        <f t="shared" si="80"/>
        <v>#DIV/0!</v>
      </c>
      <c r="W102" s="14" t="e">
        <f t="shared" si="80"/>
        <v>#DIV/0!</v>
      </c>
      <c r="X102" s="14" t="e">
        <f t="shared" si="80"/>
        <v>#DIV/0!</v>
      </c>
      <c r="Y102" s="14" t="e">
        <f t="shared" si="80"/>
        <v>#DIV/0!</v>
      </c>
      <c r="Z102" s="14" t="e">
        <f t="shared" si="80"/>
        <v>#DIV/0!</v>
      </c>
      <c r="AA102" s="14" t="e">
        <f t="shared" si="80"/>
        <v>#DIV/0!</v>
      </c>
      <c r="AB102" s="14" t="e">
        <f t="shared" si="80"/>
        <v>#DIV/0!</v>
      </c>
      <c r="AC102" s="14" t="e">
        <f t="shared" si="80"/>
        <v>#DIV/0!</v>
      </c>
      <c r="AD102" s="14" t="e">
        <f t="shared" si="80"/>
        <v>#DIV/0!</v>
      </c>
      <c r="AE102" s="14" t="e">
        <f t="shared" si="80"/>
        <v>#DIV/0!</v>
      </c>
      <c r="AF102" s="14" t="e">
        <f t="shared" si="80"/>
        <v>#DIV/0!</v>
      </c>
      <c r="AG102" s="14" t="e">
        <f t="shared" si="80"/>
        <v>#DIV/0!</v>
      </c>
      <c r="AH102" s="14" t="e">
        <f t="shared" si="80"/>
        <v>#DIV/0!</v>
      </c>
      <c r="AI102" s="14" t="e">
        <f t="shared" si="80"/>
        <v>#DIV/0!</v>
      </c>
      <c r="AJ102" s="14" t="e">
        <f t="shared" si="80"/>
        <v>#DIV/0!</v>
      </c>
      <c r="AK102" s="14" t="e">
        <f t="shared" si="80"/>
        <v>#DIV/0!</v>
      </c>
      <c r="AL102" s="14" t="e">
        <f t="shared" si="80"/>
        <v>#DIV/0!</v>
      </c>
      <c r="AM102" s="14" t="e">
        <f t="shared" si="80"/>
        <v>#DIV/0!</v>
      </c>
      <c r="AN102" s="14" t="e">
        <f t="shared" si="80"/>
        <v>#DIV/0!</v>
      </c>
      <c r="AO102" s="14" t="e">
        <f t="shared" si="80"/>
        <v>#DIV/0!</v>
      </c>
      <c r="AP102" s="14" t="e">
        <f t="shared" si="80"/>
        <v>#DIV/0!</v>
      </c>
      <c r="AQ102" s="14" t="e">
        <f t="shared" si="80"/>
        <v>#DIV/0!</v>
      </c>
      <c r="AR102" s="14" t="e">
        <f t="shared" si="80"/>
        <v>#DIV/0!</v>
      </c>
      <c r="AS102" s="14" t="e">
        <f t="shared" si="80"/>
        <v>#DIV/0!</v>
      </c>
      <c r="AT102" s="14" t="e">
        <f t="shared" si="80"/>
        <v>#DIV/0!</v>
      </c>
      <c r="AU102" s="14" t="e">
        <f t="shared" si="80"/>
        <v>#DIV/0!</v>
      </c>
      <c r="AV102" s="14" t="e">
        <f t="shared" si="80"/>
        <v>#DIV/0!</v>
      </c>
      <c r="AW102" s="14" t="e">
        <f t="shared" si="80"/>
        <v>#DIV/0!</v>
      </c>
      <c r="AX102" s="14" t="e">
        <f t="shared" si="80"/>
        <v>#DIV/0!</v>
      </c>
      <c r="AY102" s="14" t="e">
        <f t="shared" si="80"/>
        <v>#DIV/0!</v>
      </c>
      <c r="AZ102" s="14" t="e">
        <f t="shared" si="80"/>
        <v>#DIV/0!</v>
      </c>
      <c r="BA102" s="14" t="e">
        <f t="shared" si="80"/>
        <v>#DIV/0!</v>
      </c>
      <c r="BB102" s="14" t="e">
        <f t="shared" si="80"/>
        <v>#DIV/0!</v>
      </c>
      <c r="BC102" s="14" t="e">
        <f t="shared" si="80"/>
        <v>#DIV/0!</v>
      </c>
      <c r="BD102" s="14" t="e">
        <f t="shared" si="80"/>
        <v>#DIV/0!</v>
      </c>
      <c r="BE102" s="14" t="e">
        <f t="shared" si="80"/>
        <v>#DIV/0!</v>
      </c>
      <c r="BF102" s="14" t="e">
        <f t="shared" si="80"/>
        <v>#DIV/0!</v>
      </c>
      <c r="BG102" s="14" t="e">
        <f t="shared" si="80"/>
        <v>#DIV/0!</v>
      </c>
      <c r="BH102" s="14" t="e">
        <f t="shared" si="80"/>
        <v>#DIV/0!</v>
      </c>
      <c r="BI102" s="14" t="e">
        <f t="shared" si="80"/>
        <v>#DIV/0!</v>
      </c>
      <c r="BJ102" s="14" t="e">
        <f t="shared" si="80"/>
        <v>#DIV/0!</v>
      </c>
      <c r="BK102" s="14" t="e">
        <f t="shared" si="80"/>
        <v>#DIV/0!</v>
      </c>
      <c r="BL102" s="14" t="e">
        <f t="shared" si="80"/>
        <v>#DIV/0!</v>
      </c>
      <c r="BM102" s="14" t="e">
        <f t="shared" si="80"/>
        <v>#DIV/0!</v>
      </c>
      <c r="BN102" s="14" t="e">
        <f t="shared" si="80"/>
        <v>#DIV/0!</v>
      </c>
      <c r="BO102" s="14" t="e">
        <f t="shared" si="80"/>
        <v>#DIV/0!</v>
      </c>
      <c r="BP102" s="14" t="e">
        <f t="shared" si="80"/>
        <v>#DIV/0!</v>
      </c>
      <c r="BQ102" s="14" t="e">
        <f t="shared" si="80"/>
        <v>#DIV/0!</v>
      </c>
      <c r="BR102" s="14" t="e">
        <f t="shared" si="80"/>
        <v>#DIV/0!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 t="e">
        <f t="shared" ref="F103" si="81">F27*$C$78</f>
        <v>#DIV/0!</v>
      </c>
      <c r="G103" s="14" t="e">
        <f t="shared" ref="G103:BR103" si="82">G27*$C$78</f>
        <v>#DIV/0!</v>
      </c>
      <c r="H103" s="14" t="e">
        <f t="shared" si="82"/>
        <v>#DIV/0!</v>
      </c>
      <c r="I103" s="14" t="e">
        <f t="shared" si="82"/>
        <v>#DIV/0!</v>
      </c>
      <c r="J103" s="14" t="e">
        <f t="shared" si="82"/>
        <v>#DIV/0!</v>
      </c>
      <c r="K103" s="14" t="e">
        <f t="shared" si="82"/>
        <v>#DIV/0!</v>
      </c>
      <c r="L103" s="14" t="e">
        <f t="shared" si="82"/>
        <v>#DIV/0!</v>
      </c>
      <c r="M103" s="14" t="e">
        <f t="shared" si="82"/>
        <v>#DIV/0!</v>
      </c>
      <c r="N103" s="14" t="e">
        <f t="shared" si="82"/>
        <v>#DIV/0!</v>
      </c>
      <c r="O103" s="14" t="e">
        <f t="shared" si="82"/>
        <v>#DIV/0!</v>
      </c>
      <c r="P103" s="14" t="e">
        <f t="shared" si="82"/>
        <v>#DIV/0!</v>
      </c>
      <c r="Q103" s="14" t="e">
        <f t="shared" si="82"/>
        <v>#DIV/0!</v>
      </c>
      <c r="R103" s="14" t="e">
        <f t="shared" si="82"/>
        <v>#DIV/0!</v>
      </c>
      <c r="S103" s="14" t="e">
        <f t="shared" si="82"/>
        <v>#DIV/0!</v>
      </c>
      <c r="T103" s="14" t="e">
        <f t="shared" si="82"/>
        <v>#DIV/0!</v>
      </c>
      <c r="U103" s="14" t="e">
        <f t="shared" si="82"/>
        <v>#DIV/0!</v>
      </c>
      <c r="V103" s="14" t="e">
        <f t="shared" si="82"/>
        <v>#DIV/0!</v>
      </c>
      <c r="W103" s="14" t="e">
        <f t="shared" si="82"/>
        <v>#DIV/0!</v>
      </c>
      <c r="X103" s="14" t="e">
        <f t="shared" si="82"/>
        <v>#DIV/0!</v>
      </c>
      <c r="Y103" s="14" t="e">
        <f t="shared" si="82"/>
        <v>#DIV/0!</v>
      </c>
      <c r="Z103" s="14" t="e">
        <f t="shared" si="82"/>
        <v>#DIV/0!</v>
      </c>
      <c r="AA103" s="14" t="e">
        <f t="shared" si="82"/>
        <v>#DIV/0!</v>
      </c>
      <c r="AB103" s="14" t="e">
        <f t="shared" si="82"/>
        <v>#DIV/0!</v>
      </c>
      <c r="AC103" s="14" t="e">
        <f t="shared" si="82"/>
        <v>#DIV/0!</v>
      </c>
      <c r="AD103" s="14" t="e">
        <f t="shared" si="82"/>
        <v>#DIV/0!</v>
      </c>
      <c r="AE103" s="14" t="e">
        <f t="shared" si="82"/>
        <v>#DIV/0!</v>
      </c>
      <c r="AF103" s="14" t="e">
        <f t="shared" si="82"/>
        <v>#DIV/0!</v>
      </c>
      <c r="AG103" s="14" t="e">
        <f t="shared" si="82"/>
        <v>#DIV/0!</v>
      </c>
      <c r="AH103" s="14" t="e">
        <f t="shared" si="82"/>
        <v>#DIV/0!</v>
      </c>
      <c r="AI103" s="14" t="e">
        <f t="shared" si="82"/>
        <v>#DIV/0!</v>
      </c>
      <c r="AJ103" s="14" t="e">
        <f t="shared" si="82"/>
        <v>#DIV/0!</v>
      </c>
      <c r="AK103" s="14" t="e">
        <f t="shared" si="82"/>
        <v>#DIV/0!</v>
      </c>
      <c r="AL103" s="14" t="e">
        <f t="shared" si="82"/>
        <v>#DIV/0!</v>
      </c>
      <c r="AM103" s="14" t="e">
        <f t="shared" si="82"/>
        <v>#DIV/0!</v>
      </c>
      <c r="AN103" s="14" t="e">
        <f t="shared" si="82"/>
        <v>#DIV/0!</v>
      </c>
      <c r="AO103" s="14" t="e">
        <f t="shared" si="82"/>
        <v>#DIV/0!</v>
      </c>
      <c r="AP103" s="14" t="e">
        <f t="shared" si="82"/>
        <v>#DIV/0!</v>
      </c>
      <c r="AQ103" s="14" t="e">
        <f t="shared" si="82"/>
        <v>#DIV/0!</v>
      </c>
      <c r="AR103" s="14" t="e">
        <f t="shared" si="82"/>
        <v>#DIV/0!</v>
      </c>
      <c r="AS103" s="14" t="e">
        <f t="shared" si="82"/>
        <v>#DIV/0!</v>
      </c>
      <c r="AT103" s="14" t="e">
        <f t="shared" si="82"/>
        <v>#DIV/0!</v>
      </c>
      <c r="AU103" s="14" t="e">
        <f t="shared" si="82"/>
        <v>#DIV/0!</v>
      </c>
      <c r="AV103" s="14" t="e">
        <f t="shared" si="82"/>
        <v>#DIV/0!</v>
      </c>
      <c r="AW103" s="14" t="e">
        <f t="shared" si="82"/>
        <v>#DIV/0!</v>
      </c>
      <c r="AX103" s="14" t="e">
        <f t="shared" si="82"/>
        <v>#DIV/0!</v>
      </c>
      <c r="AY103" s="14" t="e">
        <f t="shared" si="82"/>
        <v>#DIV/0!</v>
      </c>
      <c r="AZ103" s="14" t="e">
        <f t="shared" si="82"/>
        <v>#DIV/0!</v>
      </c>
      <c r="BA103" s="14" t="e">
        <f t="shared" si="82"/>
        <v>#DIV/0!</v>
      </c>
      <c r="BB103" s="14" t="e">
        <f t="shared" si="82"/>
        <v>#DIV/0!</v>
      </c>
      <c r="BC103" s="14" t="e">
        <f t="shared" si="82"/>
        <v>#DIV/0!</v>
      </c>
      <c r="BD103" s="14" t="e">
        <f t="shared" si="82"/>
        <v>#DIV/0!</v>
      </c>
      <c r="BE103" s="14" t="e">
        <f t="shared" si="82"/>
        <v>#DIV/0!</v>
      </c>
      <c r="BF103" s="14" t="e">
        <f t="shared" si="82"/>
        <v>#DIV/0!</v>
      </c>
      <c r="BG103" s="14" t="e">
        <f t="shared" si="82"/>
        <v>#DIV/0!</v>
      </c>
      <c r="BH103" s="14" t="e">
        <f t="shared" si="82"/>
        <v>#DIV/0!</v>
      </c>
      <c r="BI103" s="14" t="e">
        <f t="shared" si="82"/>
        <v>#DIV/0!</v>
      </c>
      <c r="BJ103" s="14" t="e">
        <f t="shared" si="82"/>
        <v>#DIV/0!</v>
      </c>
      <c r="BK103" s="14" t="e">
        <f t="shared" si="82"/>
        <v>#DIV/0!</v>
      </c>
      <c r="BL103" s="14" t="e">
        <f t="shared" si="82"/>
        <v>#DIV/0!</v>
      </c>
      <c r="BM103" s="14" t="e">
        <f t="shared" si="82"/>
        <v>#DIV/0!</v>
      </c>
      <c r="BN103" s="14" t="e">
        <f t="shared" si="82"/>
        <v>#DIV/0!</v>
      </c>
      <c r="BO103" s="14" t="e">
        <f t="shared" si="82"/>
        <v>#DIV/0!</v>
      </c>
      <c r="BP103" s="14" t="e">
        <f t="shared" si="82"/>
        <v>#DIV/0!</v>
      </c>
      <c r="BQ103" s="14" t="e">
        <f t="shared" si="82"/>
        <v>#DIV/0!</v>
      </c>
      <c r="BR103" s="14" t="e">
        <f t="shared" si="82"/>
        <v>#DIV/0!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 t="e">
        <f t="shared" ref="F104" si="83">F28*$C$78</f>
        <v>#DIV/0!</v>
      </c>
      <c r="G104" s="14" t="e">
        <f t="shared" ref="G104:BR104" si="84">G28*$C$78</f>
        <v>#DIV/0!</v>
      </c>
      <c r="H104" s="14" t="e">
        <f t="shared" si="84"/>
        <v>#DIV/0!</v>
      </c>
      <c r="I104" s="14" t="e">
        <f t="shared" si="84"/>
        <v>#DIV/0!</v>
      </c>
      <c r="J104" s="14" t="e">
        <f t="shared" si="84"/>
        <v>#DIV/0!</v>
      </c>
      <c r="K104" s="14" t="e">
        <f t="shared" si="84"/>
        <v>#DIV/0!</v>
      </c>
      <c r="L104" s="14" t="e">
        <f t="shared" si="84"/>
        <v>#DIV/0!</v>
      </c>
      <c r="M104" s="14" t="e">
        <f t="shared" si="84"/>
        <v>#DIV/0!</v>
      </c>
      <c r="N104" s="14" t="e">
        <f t="shared" si="84"/>
        <v>#DIV/0!</v>
      </c>
      <c r="O104" s="14" t="e">
        <f t="shared" si="84"/>
        <v>#DIV/0!</v>
      </c>
      <c r="P104" s="14" t="e">
        <f t="shared" si="84"/>
        <v>#DIV/0!</v>
      </c>
      <c r="Q104" s="14" t="e">
        <f t="shared" si="84"/>
        <v>#DIV/0!</v>
      </c>
      <c r="R104" s="14" t="e">
        <f t="shared" si="84"/>
        <v>#DIV/0!</v>
      </c>
      <c r="S104" s="14" t="e">
        <f t="shared" si="84"/>
        <v>#DIV/0!</v>
      </c>
      <c r="T104" s="14" t="e">
        <f t="shared" si="84"/>
        <v>#DIV/0!</v>
      </c>
      <c r="U104" s="14" t="e">
        <f t="shared" si="84"/>
        <v>#DIV/0!</v>
      </c>
      <c r="V104" s="14" t="e">
        <f t="shared" si="84"/>
        <v>#DIV/0!</v>
      </c>
      <c r="W104" s="14" t="e">
        <f t="shared" si="84"/>
        <v>#DIV/0!</v>
      </c>
      <c r="X104" s="14" t="e">
        <f t="shared" si="84"/>
        <v>#DIV/0!</v>
      </c>
      <c r="Y104" s="14" t="e">
        <f t="shared" si="84"/>
        <v>#DIV/0!</v>
      </c>
      <c r="Z104" s="14" t="e">
        <f t="shared" si="84"/>
        <v>#DIV/0!</v>
      </c>
      <c r="AA104" s="14" t="e">
        <f t="shared" si="84"/>
        <v>#DIV/0!</v>
      </c>
      <c r="AB104" s="14" t="e">
        <f t="shared" si="84"/>
        <v>#DIV/0!</v>
      </c>
      <c r="AC104" s="14" t="e">
        <f t="shared" si="84"/>
        <v>#DIV/0!</v>
      </c>
      <c r="AD104" s="14" t="e">
        <f t="shared" si="84"/>
        <v>#DIV/0!</v>
      </c>
      <c r="AE104" s="14" t="e">
        <f t="shared" si="84"/>
        <v>#DIV/0!</v>
      </c>
      <c r="AF104" s="14" t="e">
        <f t="shared" si="84"/>
        <v>#DIV/0!</v>
      </c>
      <c r="AG104" s="14" t="e">
        <f t="shared" si="84"/>
        <v>#DIV/0!</v>
      </c>
      <c r="AH104" s="14" t="e">
        <f t="shared" si="84"/>
        <v>#DIV/0!</v>
      </c>
      <c r="AI104" s="14" t="e">
        <f t="shared" si="84"/>
        <v>#DIV/0!</v>
      </c>
      <c r="AJ104" s="14" t="e">
        <f t="shared" si="84"/>
        <v>#DIV/0!</v>
      </c>
      <c r="AK104" s="14" t="e">
        <f t="shared" si="84"/>
        <v>#DIV/0!</v>
      </c>
      <c r="AL104" s="14" t="e">
        <f t="shared" si="84"/>
        <v>#DIV/0!</v>
      </c>
      <c r="AM104" s="14" t="e">
        <f t="shared" si="84"/>
        <v>#DIV/0!</v>
      </c>
      <c r="AN104" s="14" t="e">
        <f t="shared" si="84"/>
        <v>#DIV/0!</v>
      </c>
      <c r="AO104" s="14" t="e">
        <f t="shared" si="84"/>
        <v>#DIV/0!</v>
      </c>
      <c r="AP104" s="14" t="e">
        <f t="shared" si="84"/>
        <v>#DIV/0!</v>
      </c>
      <c r="AQ104" s="14" t="e">
        <f t="shared" si="84"/>
        <v>#DIV/0!</v>
      </c>
      <c r="AR104" s="14" t="e">
        <f t="shared" si="84"/>
        <v>#DIV/0!</v>
      </c>
      <c r="AS104" s="14" t="e">
        <f t="shared" si="84"/>
        <v>#DIV/0!</v>
      </c>
      <c r="AT104" s="14" t="e">
        <f t="shared" si="84"/>
        <v>#DIV/0!</v>
      </c>
      <c r="AU104" s="14" t="e">
        <f t="shared" si="84"/>
        <v>#DIV/0!</v>
      </c>
      <c r="AV104" s="14" t="e">
        <f t="shared" si="84"/>
        <v>#DIV/0!</v>
      </c>
      <c r="AW104" s="14" t="e">
        <f t="shared" si="84"/>
        <v>#DIV/0!</v>
      </c>
      <c r="AX104" s="14" t="e">
        <f t="shared" si="84"/>
        <v>#DIV/0!</v>
      </c>
      <c r="AY104" s="14" t="e">
        <f t="shared" si="84"/>
        <v>#DIV/0!</v>
      </c>
      <c r="AZ104" s="14" t="e">
        <f t="shared" si="84"/>
        <v>#DIV/0!</v>
      </c>
      <c r="BA104" s="14" t="e">
        <f t="shared" si="84"/>
        <v>#DIV/0!</v>
      </c>
      <c r="BB104" s="14" t="e">
        <f t="shared" si="84"/>
        <v>#DIV/0!</v>
      </c>
      <c r="BC104" s="14" t="e">
        <f t="shared" si="84"/>
        <v>#DIV/0!</v>
      </c>
      <c r="BD104" s="14" t="e">
        <f t="shared" si="84"/>
        <v>#DIV/0!</v>
      </c>
      <c r="BE104" s="14" t="e">
        <f t="shared" si="84"/>
        <v>#DIV/0!</v>
      </c>
      <c r="BF104" s="14" t="e">
        <f t="shared" si="84"/>
        <v>#DIV/0!</v>
      </c>
      <c r="BG104" s="14" t="e">
        <f t="shared" si="84"/>
        <v>#DIV/0!</v>
      </c>
      <c r="BH104" s="14" t="e">
        <f t="shared" si="84"/>
        <v>#DIV/0!</v>
      </c>
      <c r="BI104" s="14" t="e">
        <f t="shared" si="84"/>
        <v>#DIV/0!</v>
      </c>
      <c r="BJ104" s="14" t="e">
        <f t="shared" si="84"/>
        <v>#DIV/0!</v>
      </c>
      <c r="BK104" s="14" t="e">
        <f t="shared" si="84"/>
        <v>#DIV/0!</v>
      </c>
      <c r="BL104" s="14" t="e">
        <f t="shared" si="84"/>
        <v>#DIV/0!</v>
      </c>
      <c r="BM104" s="14" t="e">
        <f t="shared" si="84"/>
        <v>#DIV/0!</v>
      </c>
      <c r="BN104" s="14" t="e">
        <f t="shared" si="84"/>
        <v>#DIV/0!</v>
      </c>
      <c r="BO104" s="14" t="e">
        <f t="shared" si="84"/>
        <v>#DIV/0!</v>
      </c>
      <c r="BP104" s="14" t="e">
        <f t="shared" si="84"/>
        <v>#DIV/0!</v>
      </c>
      <c r="BQ104" s="14" t="e">
        <f t="shared" si="84"/>
        <v>#DIV/0!</v>
      </c>
      <c r="BR104" s="14" t="e">
        <f t="shared" si="84"/>
        <v>#DIV/0!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 t="e">
        <f t="shared" ref="F105" si="85">F29*$C$78</f>
        <v>#DIV/0!</v>
      </c>
      <c r="G105" s="14" t="e">
        <f t="shared" ref="G105:BR105" si="86">G29*$C$78</f>
        <v>#DIV/0!</v>
      </c>
      <c r="H105" s="14" t="e">
        <f t="shared" si="86"/>
        <v>#DIV/0!</v>
      </c>
      <c r="I105" s="14" t="e">
        <f t="shared" si="86"/>
        <v>#DIV/0!</v>
      </c>
      <c r="J105" s="14" t="e">
        <f t="shared" si="86"/>
        <v>#DIV/0!</v>
      </c>
      <c r="K105" s="14" t="e">
        <f t="shared" si="86"/>
        <v>#DIV/0!</v>
      </c>
      <c r="L105" s="14" t="e">
        <f t="shared" si="86"/>
        <v>#DIV/0!</v>
      </c>
      <c r="M105" s="14" t="e">
        <f t="shared" si="86"/>
        <v>#DIV/0!</v>
      </c>
      <c r="N105" s="14" t="e">
        <f t="shared" si="86"/>
        <v>#DIV/0!</v>
      </c>
      <c r="O105" s="14" t="e">
        <f t="shared" si="86"/>
        <v>#DIV/0!</v>
      </c>
      <c r="P105" s="14" t="e">
        <f t="shared" si="86"/>
        <v>#DIV/0!</v>
      </c>
      <c r="Q105" s="14" t="e">
        <f t="shared" si="86"/>
        <v>#DIV/0!</v>
      </c>
      <c r="R105" s="14" t="e">
        <f t="shared" si="86"/>
        <v>#DIV/0!</v>
      </c>
      <c r="S105" s="14" t="e">
        <f t="shared" si="86"/>
        <v>#DIV/0!</v>
      </c>
      <c r="T105" s="14" t="e">
        <f t="shared" si="86"/>
        <v>#DIV/0!</v>
      </c>
      <c r="U105" s="14" t="e">
        <f t="shared" si="86"/>
        <v>#DIV/0!</v>
      </c>
      <c r="V105" s="14" t="e">
        <f t="shared" si="86"/>
        <v>#DIV/0!</v>
      </c>
      <c r="W105" s="14" t="e">
        <f t="shared" si="86"/>
        <v>#DIV/0!</v>
      </c>
      <c r="X105" s="14" t="e">
        <f t="shared" si="86"/>
        <v>#DIV/0!</v>
      </c>
      <c r="Y105" s="14" t="e">
        <f t="shared" si="86"/>
        <v>#DIV/0!</v>
      </c>
      <c r="Z105" s="14" t="e">
        <f t="shared" si="86"/>
        <v>#DIV/0!</v>
      </c>
      <c r="AA105" s="14" t="e">
        <f t="shared" si="86"/>
        <v>#DIV/0!</v>
      </c>
      <c r="AB105" s="14" t="e">
        <f t="shared" si="86"/>
        <v>#DIV/0!</v>
      </c>
      <c r="AC105" s="14" t="e">
        <f t="shared" si="86"/>
        <v>#DIV/0!</v>
      </c>
      <c r="AD105" s="14" t="e">
        <f t="shared" si="86"/>
        <v>#DIV/0!</v>
      </c>
      <c r="AE105" s="14" t="e">
        <f t="shared" si="86"/>
        <v>#DIV/0!</v>
      </c>
      <c r="AF105" s="14" t="e">
        <f t="shared" si="86"/>
        <v>#DIV/0!</v>
      </c>
      <c r="AG105" s="14" t="e">
        <f t="shared" si="86"/>
        <v>#DIV/0!</v>
      </c>
      <c r="AH105" s="14" t="e">
        <f t="shared" si="86"/>
        <v>#DIV/0!</v>
      </c>
      <c r="AI105" s="14" t="e">
        <f t="shared" si="86"/>
        <v>#DIV/0!</v>
      </c>
      <c r="AJ105" s="14" t="e">
        <f t="shared" si="86"/>
        <v>#DIV/0!</v>
      </c>
      <c r="AK105" s="14" t="e">
        <f t="shared" si="86"/>
        <v>#DIV/0!</v>
      </c>
      <c r="AL105" s="14" t="e">
        <f t="shared" si="86"/>
        <v>#DIV/0!</v>
      </c>
      <c r="AM105" s="14" t="e">
        <f t="shared" si="86"/>
        <v>#DIV/0!</v>
      </c>
      <c r="AN105" s="14" t="e">
        <f t="shared" si="86"/>
        <v>#DIV/0!</v>
      </c>
      <c r="AO105" s="14" t="e">
        <f t="shared" si="86"/>
        <v>#DIV/0!</v>
      </c>
      <c r="AP105" s="14" t="e">
        <f t="shared" si="86"/>
        <v>#DIV/0!</v>
      </c>
      <c r="AQ105" s="14" t="e">
        <f t="shared" si="86"/>
        <v>#DIV/0!</v>
      </c>
      <c r="AR105" s="14" t="e">
        <f t="shared" si="86"/>
        <v>#DIV/0!</v>
      </c>
      <c r="AS105" s="14" t="e">
        <f t="shared" si="86"/>
        <v>#DIV/0!</v>
      </c>
      <c r="AT105" s="14" t="e">
        <f t="shared" si="86"/>
        <v>#DIV/0!</v>
      </c>
      <c r="AU105" s="14" t="e">
        <f t="shared" si="86"/>
        <v>#DIV/0!</v>
      </c>
      <c r="AV105" s="14" t="e">
        <f t="shared" si="86"/>
        <v>#DIV/0!</v>
      </c>
      <c r="AW105" s="14" t="e">
        <f t="shared" si="86"/>
        <v>#DIV/0!</v>
      </c>
      <c r="AX105" s="14" t="e">
        <f t="shared" si="86"/>
        <v>#DIV/0!</v>
      </c>
      <c r="AY105" s="14" t="e">
        <f t="shared" si="86"/>
        <v>#DIV/0!</v>
      </c>
      <c r="AZ105" s="14" t="e">
        <f t="shared" si="86"/>
        <v>#DIV/0!</v>
      </c>
      <c r="BA105" s="14" t="e">
        <f t="shared" si="86"/>
        <v>#DIV/0!</v>
      </c>
      <c r="BB105" s="14" t="e">
        <f t="shared" si="86"/>
        <v>#DIV/0!</v>
      </c>
      <c r="BC105" s="14" t="e">
        <f t="shared" si="86"/>
        <v>#DIV/0!</v>
      </c>
      <c r="BD105" s="14" t="e">
        <f t="shared" si="86"/>
        <v>#DIV/0!</v>
      </c>
      <c r="BE105" s="14" t="e">
        <f t="shared" si="86"/>
        <v>#DIV/0!</v>
      </c>
      <c r="BF105" s="14" t="e">
        <f t="shared" si="86"/>
        <v>#DIV/0!</v>
      </c>
      <c r="BG105" s="14" t="e">
        <f t="shared" si="86"/>
        <v>#DIV/0!</v>
      </c>
      <c r="BH105" s="14" t="e">
        <f t="shared" si="86"/>
        <v>#DIV/0!</v>
      </c>
      <c r="BI105" s="14" t="e">
        <f t="shared" si="86"/>
        <v>#DIV/0!</v>
      </c>
      <c r="BJ105" s="14" t="e">
        <f t="shared" si="86"/>
        <v>#DIV/0!</v>
      </c>
      <c r="BK105" s="14" t="e">
        <f t="shared" si="86"/>
        <v>#DIV/0!</v>
      </c>
      <c r="BL105" s="14" t="e">
        <f t="shared" si="86"/>
        <v>#DIV/0!</v>
      </c>
      <c r="BM105" s="14" t="e">
        <f t="shared" si="86"/>
        <v>#DIV/0!</v>
      </c>
      <c r="BN105" s="14" t="e">
        <f t="shared" si="86"/>
        <v>#DIV/0!</v>
      </c>
      <c r="BO105" s="14" t="e">
        <f t="shared" si="86"/>
        <v>#DIV/0!</v>
      </c>
      <c r="BP105" s="14" t="e">
        <f t="shared" si="86"/>
        <v>#DIV/0!</v>
      </c>
      <c r="BQ105" s="14" t="e">
        <f t="shared" si="86"/>
        <v>#DIV/0!</v>
      </c>
      <c r="BR105" s="14" t="e">
        <f t="shared" si="86"/>
        <v>#DIV/0!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 t="e">
        <f t="shared" ref="F106" si="87">F30*$C$78</f>
        <v>#DIV/0!</v>
      </c>
      <c r="G106" s="14" t="e">
        <f t="shared" ref="G106:BR106" si="88">G30*$C$78</f>
        <v>#DIV/0!</v>
      </c>
      <c r="H106" s="14" t="e">
        <f t="shared" si="88"/>
        <v>#DIV/0!</v>
      </c>
      <c r="I106" s="14" t="e">
        <f t="shared" si="88"/>
        <v>#DIV/0!</v>
      </c>
      <c r="J106" s="14" t="e">
        <f t="shared" si="88"/>
        <v>#DIV/0!</v>
      </c>
      <c r="K106" s="14" t="e">
        <f t="shared" si="88"/>
        <v>#DIV/0!</v>
      </c>
      <c r="L106" s="14" t="e">
        <f t="shared" si="88"/>
        <v>#DIV/0!</v>
      </c>
      <c r="M106" s="14" t="e">
        <f t="shared" si="88"/>
        <v>#DIV/0!</v>
      </c>
      <c r="N106" s="14" t="e">
        <f t="shared" si="88"/>
        <v>#DIV/0!</v>
      </c>
      <c r="O106" s="14" t="e">
        <f t="shared" si="88"/>
        <v>#DIV/0!</v>
      </c>
      <c r="P106" s="14" t="e">
        <f t="shared" si="88"/>
        <v>#DIV/0!</v>
      </c>
      <c r="Q106" s="14" t="e">
        <f t="shared" si="88"/>
        <v>#DIV/0!</v>
      </c>
      <c r="R106" s="14" t="e">
        <f t="shared" si="88"/>
        <v>#DIV/0!</v>
      </c>
      <c r="S106" s="14" t="e">
        <f t="shared" si="88"/>
        <v>#DIV/0!</v>
      </c>
      <c r="T106" s="14" t="e">
        <f t="shared" si="88"/>
        <v>#DIV/0!</v>
      </c>
      <c r="U106" s="14" t="e">
        <f t="shared" si="88"/>
        <v>#DIV/0!</v>
      </c>
      <c r="V106" s="14" t="e">
        <f t="shared" si="88"/>
        <v>#DIV/0!</v>
      </c>
      <c r="W106" s="14" t="e">
        <f t="shared" si="88"/>
        <v>#DIV/0!</v>
      </c>
      <c r="X106" s="14" t="e">
        <f t="shared" si="88"/>
        <v>#DIV/0!</v>
      </c>
      <c r="Y106" s="14" t="e">
        <f t="shared" si="88"/>
        <v>#DIV/0!</v>
      </c>
      <c r="Z106" s="14" t="e">
        <f t="shared" si="88"/>
        <v>#DIV/0!</v>
      </c>
      <c r="AA106" s="14" t="e">
        <f t="shared" si="88"/>
        <v>#DIV/0!</v>
      </c>
      <c r="AB106" s="14" t="e">
        <f t="shared" si="88"/>
        <v>#DIV/0!</v>
      </c>
      <c r="AC106" s="14" t="e">
        <f t="shared" si="88"/>
        <v>#DIV/0!</v>
      </c>
      <c r="AD106" s="14" t="e">
        <f t="shared" si="88"/>
        <v>#DIV/0!</v>
      </c>
      <c r="AE106" s="14" t="e">
        <f t="shared" si="88"/>
        <v>#DIV/0!</v>
      </c>
      <c r="AF106" s="14" t="e">
        <f t="shared" si="88"/>
        <v>#DIV/0!</v>
      </c>
      <c r="AG106" s="14" t="e">
        <f t="shared" si="88"/>
        <v>#DIV/0!</v>
      </c>
      <c r="AH106" s="14" t="e">
        <f t="shared" si="88"/>
        <v>#DIV/0!</v>
      </c>
      <c r="AI106" s="14" t="e">
        <f t="shared" si="88"/>
        <v>#DIV/0!</v>
      </c>
      <c r="AJ106" s="14" t="e">
        <f t="shared" si="88"/>
        <v>#DIV/0!</v>
      </c>
      <c r="AK106" s="14" t="e">
        <f t="shared" si="88"/>
        <v>#DIV/0!</v>
      </c>
      <c r="AL106" s="14" t="e">
        <f t="shared" si="88"/>
        <v>#DIV/0!</v>
      </c>
      <c r="AM106" s="14" t="e">
        <f t="shared" si="88"/>
        <v>#DIV/0!</v>
      </c>
      <c r="AN106" s="14" t="e">
        <f t="shared" si="88"/>
        <v>#DIV/0!</v>
      </c>
      <c r="AO106" s="14" t="e">
        <f t="shared" si="88"/>
        <v>#DIV/0!</v>
      </c>
      <c r="AP106" s="14" t="e">
        <f t="shared" si="88"/>
        <v>#DIV/0!</v>
      </c>
      <c r="AQ106" s="14" t="e">
        <f t="shared" si="88"/>
        <v>#DIV/0!</v>
      </c>
      <c r="AR106" s="14" t="e">
        <f t="shared" si="88"/>
        <v>#DIV/0!</v>
      </c>
      <c r="AS106" s="14" t="e">
        <f t="shared" si="88"/>
        <v>#DIV/0!</v>
      </c>
      <c r="AT106" s="14" t="e">
        <f t="shared" si="88"/>
        <v>#DIV/0!</v>
      </c>
      <c r="AU106" s="14" t="e">
        <f t="shared" si="88"/>
        <v>#DIV/0!</v>
      </c>
      <c r="AV106" s="14" t="e">
        <f t="shared" si="88"/>
        <v>#DIV/0!</v>
      </c>
      <c r="AW106" s="14" t="e">
        <f t="shared" si="88"/>
        <v>#DIV/0!</v>
      </c>
      <c r="AX106" s="14" t="e">
        <f t="shared" si="88"/>
        <v>#DIV/0!</v>
      </c>
      <c r="AY106" s="14" t="e">
        <f t="shared" si="88"/>
        <v>#DIV/0!</v>
      </c>
      <c r="AZ106" s="14" t="e">
        <f t="shared" si="88"/>
        <v>#DIV/0!</v>
      </c>
      <c r="BA106" s="14" t="e">
        <f t="shared" si="88"/>
        <v>#DIV/0!</v>
      </c>
      <c r="BB106" s="14" t="e">
        <f t="shared" si="88"/>
        <v>#DIV/0!</v>
      </c>
      <c r="BC106" s="14" t="e">
        <f t="shared" si="88"/>
        <v>#DIV/0!</v>
      </c>
      <c r="BD106" s="14" t="e">
        <f t="shared" si="88"/>
        <v>#DIV/0!</v>
      </c>
      <c r="BE106" s="14" t="e">
        <f t="shared" si="88"/>
        <v>#DIV/0!</v>
      </c>
      <c r="BF106" s="14" t="e">
        <f t="shared" si="88"/>
        <v>#DIV/0!</v>
      </c>
      <c r="BG106" s="14" t="e">
        <f t="shared" si="88"/>
        <v>#DIV/0!</v>
      </c>
      <c r="BH106" s="14" t="e">
        <f t="shared" si="88"/>
        <v>#DIV/0!</v>
      </c>
      <c r="BI106" s="14" t="e">
        <f t="shared" si="88"/>
        <v>#DIV/0!</v>
      </c>
      <c r="BJ106" s="14" t="e">
        <f t="shared" si="88"/>
        <v>#DIV/0!</v>
      </c>
      <c r="BK106" s="14" t="e">
        <f t="shared" si="88"/>
        <v>#DIV/0!</v>
      </c>
      <c r="BL106" s="14" t="e">
        <f t="shared" si="88"/>
        <v>#DIV/0!</v>
      </c>
      <c r="BM106" s="14" t="e">
        <f t="shared" si="88"/>
        <v>#DIV/0!</v>
      </c>
      <c r="BN106" s="14" t="e">
        <f t="shared" si="88"/>
        <v>#DIV/0!</v>
      </c>
      <c r="BO106" s="14" t="e">
        <f t="shared" si="88"/>
        <v>#DIV/0!</v>
      </c>
      <c r="BP106" s="14" t="e">
        <f t="shared" si="88"/>
        <v>#DIV/0!</v>
      </c>
      <c r="BQ106" s="14" t="e">
        <f t="shared" si="88"/>
        <v>#DIV/0!</v>
      </c>
      <c r="BR106" s="14" t="e">
        <f t="shared" si="88"/>
        <v>#DIV/0!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 t="e">
        <f t="shared" ref="F107" si="89">F31*$C$78</f>
        <v>#DIV/0!</v>
      </c>
      <c r="G107" s="14" t="e">
        <f t="shared" ref="G107:BR107" si="90">G31*$C$78</f>
        <v>#DIV/0!</v>
      </c>
      <c r="H107" s="14" t="e">
        <f t="shared" si="90"/>
        <v>#DIV/0!</v>
      </c>
      <c r="I107" s="14" t="e">
        <f t="shared" si="90"/>
        <v>#DIV/0!</v>
      </c>
      <c r="J107" s="14" t="e">
        <f t="shared" si="90"/>
        <v>#DIV/0!</v>
      </c>
      <c r="K107" s="14" t="e">
        <f t="shared" si="90"/>
        <v>#DIV/0!</v>
      </c>
      <c r="L107" s="14" t="e">
        <f t="shared" si="90"/>
        <v>#DIV/0!</v>
      </c>
      <c r="M107" s="14" t="e">
        <f t="shared" si="90"/>
        <v>#DIV/0!</v>
      </c>
      <c r="N107" s="14" t="e">
        <f t="shared" si="90"/>
        <v>#DIV/0!</v>
      </c>
      <c r="O107" s="14" t="e">
        <f t="shared" si="90"/>
        <v>#DIV/0!</v>
      </c>
      <c r="P107" s="14" t="e">
        <f t="shared" si="90"/>
        <v>#DIV/0!</v>
      </c>
      <c r="Q107" s="14" t="e">
        <f t="shared" si="90"/>
        <v>#DIV/0!</v>
      </c>
      <c r="R107" s="14" t="e">
        <f t="shared" si="90"/>
        <v>#DIV/0!</v>
      </c>
      <c r="S107" s="14" t="e">
        <f t="shared" si="90"/>
        <v>#DIV/0!</v>
      </c>
      <c r="T107" s="14" t="e">
        <f t="shared" si="90"/>
        <v>#DIV/0!</v>
      </c>
      <c r="U107" s="14" t="e">
        <f t="shared" si="90"/>
        <v>#DIV/0!</v>
      </c>
      <c r="V107" s="14" t="e">
        <f t="shared" si="90"/>
        <v>#DIV/0!</v>
      </c>
      <c r="W107" s="14" t="e">
        <f t="shared" si="90"/>
        <v>#DIV/0!</v>
      </c>
      <c r="X107" s="14" t="e">
        <f t="shared" si="90"/>
        <v>#DIV/0!</v>
      </c>
      <c r="Y107" s="14" t="e">
        <f t="shared" si="90"/>
        <v>#DIV/0!</v>
      </c>
      <c r="Z107" s="14" t="e">
        <f t="shared" si="90"/>
        <v>#DIV/0!</v>
      </c>
      <c r="AA107" s="14" t="e">
        <f t="shared" si="90"/>
        <v>#DIV/0!</v>
      </c>
      <c r="AB107" s="14" t="e">
        <f t="shared" si="90"/>
        <v>#DIV/0!</v>
      </c>
      <c r="AC107" s="14" t="e">
        <f t="shared" si="90"/>
        <v>#DIV/0!</v>
      </c>
      <c r="AD107" s="14" t="e">
        <f t="shared" si="90"/>
        <v>#DIV/0!</v>
      </c>
      <c r="AE107" s="14" t="e">
        <f t="shared" si="90"/>
        <v>#DIV/0!</v>
      </c>
      <c r="AF107" s="14" t="e">
        <f t="shared" si="90"/>
        <v>#DIV/0!</v>
      </c>
      <c r="AG107" s="14" t="e">
        <f t="shared" si="90"/>
        <v>#DIV/0!</v>
      </c>
      <c r="AH107" s="14" t="e">
        <f t="shared" si="90"/>
        <v>#DIV/0!</v>
      </c>
      <c r="AI107" s="14" t="e">
        <f t="shared" si="90"/>
        <v>#DIV/0!</v>
      </c>
      <c r="AJ107" s="14" t="e">
        <f t="shared" si="90"/>
        <v>#DIV/0!</v>
      </c>
      <c r="AK107" s="14" t="e">
        <f t="shared" si="90"/>
        <v>#DIV/0!</v>
      </c>
      <c r="AL107" s="14" t="e">
        <f t="shared" si="90"/>
        <v>#DIV/0!</v>
      </c>
      <c r="AM107" s="14" t="e">
        <f t="shared" si="90"/>
        <v>#DIV/0!</v>
      </c>
      <c r="AN107" s="14" t="e">
        <f t="shared" si="90"/>
        <v>#DIV/0!</v>
      </c>
      <c r="AO107" s="14" t="e">
        <f t="shared" si="90"/>
        <v>#DIV/0!</v>
      </c>
      <c r="AP107" s="14" t="e">
        <f t="shared" si="90"/>
        <v>#DIV/0!</v>
      </c>
      <c r="AQ107" s="14" t="e">
        <f t="shared" si="90"/>
        <v>#DIV/0!</v>
      </c>
      <c r="AR107" s="14" t="e">
        <f t="shared" si="90"/>
        <v>#DIV/0!</v>
      </c>
      <c r="AS107" s="14" t="e">
        <f t="shared" si="90"/>
        <v>#DIV/0!</v>
      </c>
      <c r="AT107" s="14" t="e">
        <f t="shared" si="90"/>
        <v>#DIV/0!</v>
      </c>
      <c r="AU107" s="14" t="e">
        <f t="shared" si="90"/>
        <v>#DIV/0!</v>
      </c>
      <c r="AV107" s="14" t="e">
        <f t="shared" si="90"/>
        <v>#DIV/0!</v>
      </c>
      <c r="AW107" s="14" t="e">
        <f t="shared" si="90"/>
        <v>#DIV/0!</v>
      </c>
      <c r="AX107" s="14" t="e">
        <f t="shared" si="90"/>
        <v>#DIV/0!</v>
      </c>
      <c r="AY107" s="14" t="e">
        <f t="shared" si="90"/>
        <v>#DIV/0!</v>
      </c>
      <c r="AZ107" s="14" t="e">
        <f t="shared" si="90"/>
        <v>#DIV/0!</v>
      </c>
      <c r="BA107" s="14" t="e">
        <f t="shared" si="90"/>
        <v>#DIV/0!</v>
      </c>
      <c r="BB107" s="14" t="e">
        <f t="shared" si="90"/>
        <v>#DIV/0!</v>
      </c>
      <c r="BC107" s="14" t="e">
        <f t="shared" si="90"/>
        <v>#DIV/0!</v>
      </c>
      <c r="BD107" s="14" t="e">
        <f t="shared" si="90"/>
        <v>#DIV/0!</v>
      </c>
      <c r="BE107" s="14" t="e">
        <f t="shared" si="90"/>
        <v>#DIV/0!</v>
      </c>
      <c r="BF107" s="14" t="e">
        <f t="shared" si="90"/>
        <v>#DIV/0!</v>
      </c>
      <c r="BG107" s="14" t="e">
        <f t="shared" si="90"/>
        <v>#DIV/0!</v>
      </c>
      <c r="BH107" s="14" t="e">
        <f t="shared" si="90"/>
        <v>#DIV/0!</v>
      </c>
      <c r="BI107" s="14" t="e">
        <f t="shared" si="90"/>
        <v>#DIV/0!</v>
      </c>
      <c r="BJ107" s="14" t="e">
        <f t="shared" si="90"/>
        <v>#DIV/0!</v>
      </c>
      <c r="BK107" s="14" t="e">
        <f t="shared" si="90"/>
        <v>#DIV/0!</v>
      </c>
      <c r="BL107" s="14" t="e">
        <f t="shared" si="90"/>
        <v>#DIV/0!</v>
      </c>
      <c r="BM107" s="14" t="e">
        <f t="shared" si="90"/>
        <v>#DIV/0!</v>
      </c>
      <c r="BN107" s="14" t="e">
        <f t="shared" si="90"/>
        <v>#DIV/0!</v>
      </c>
      <c r="BO107" s="14" t="e">
        <f t="shared" si="90"/>
        <v>#DIV/0!</v>
      </c>
      <c r="BP107" s="14" t="e">
        <f t="shared" si="90"/>
        <v>#DIV/0!</v>
      </c>
      <c r="BQ107" s="14" t="e">
        <f t="shared" si="90"/>
        <v>#DIV/0!</v>
      </c>
      <c r="BR107" s="14" t="e">
        <f t="shared" si="90"/>
        <v>#DIV/0!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 t="e">
        <f t="shared" ref="F108" si="91">F32*$C$78</f>
        <v>#DIV/0!</v>
      </c>
      <c r="G108" s="14" t="e">
        <f t="shared" ref="G108:BR108" si="92">G32*$C$78</f>
        <v>#DIV/0!</v>
      </c>
      <c r="H108" s="14" t="e">
        <f t="shared" si="92"/>
        <v>#DIV/0!</v>
      </c>
      <c r="I108" s="14" t="e">
        <f t="shared" si="92"/>
        <v>#DIV/0!</v>
      </c>
      <c r="J108" s="14" t="e">
        <f t="shared" si="92"/>
        <v>#DIV/0!</v>
      </c>
      <c r="K108" s="14" t="e">
        <f t="shared" si="92"/>
        <v>#DIV/0!</v>
      </c>
      <c r="L108" s="14" t="e">
        <f t="shared" si="92"/>
        <v>#DIV/0!</v>
      </c>
      <c r="M108" s="14" t="e">
        <f t="shared" si="92"/>
        <v>#DIV/0!</v>
      </c>
      <c r="N108" s="14" t="e">
        <f t="shared" si="92"/>
        <v>#DIV/0!</v>
      </c>
      <c r="O108" s="14" t="e">
        <f t="shared" si="92"/>
        <v>#DIV/0!</v>
      </c>
      <c r="P108" s="14" t="e">
        <f t="shared" si="92"/>
        <v>#DIV/0!</v>
      </c>
      <c r="Q108" s="14" t="e">
        <f t="shared" si="92"/>
        <v>#DIV/0!</v>
      </c>
      <c r="R108" s="14" t="e">
        <f t="shared" si="92"/>
        <v>#DIV/0!</v>
      </c>
      <c r="S108" s="14" t="e">
        <f t="shared" si="92"/>
        <v>#DIV/0!</v>
      </c>
      <c r="T108" s="14" t="e">
        <f t="shared" si="92"/>
        <v>#DIV/0!</v>
      </c>
      <c r="U108" s="14" t="e">
        <f t="shared" si="92"/>
        <v>#DIV/0!</v>
      </c>
      <c r="V108" s="14" t="e">
        <f t="shared" si="92"/>
        <v>#DIV/0!</v>
      </c>
      <c r="W108" s="14" t="e">
        <f t="shared" si="92"/>
        <v>#DIV/0!</v>
      </c>
      <c r="X108" s="14" t="e">
        <f t="shared" si="92"/>
        <v>#DIV/0!</v>
      </c>
      <c r="Y108" s="14" t="e">
        <f t="shared" si="92"/>
        <v>#DIV/0!</v>
      </c>
      <c r="Z108" s="14" t="e">
        <f t="shared" si="92"/>
        <v>#DIV/0!</v>
      </c>
      <c r="AA108" s="14" t="e">
        <f t="shared" si="92"/>
        <v>#DIV/0!</v>
      </c>
      <c r="AB108" s="14" t="e">
        <f t="shared" si="92"/>
        <v>#DIV/0!</v>
      </c>
      <c r="AC108" s="14" t="e">
        <f t="shared" si="92"/>
        <v>#DIV/0!</v>
      </c>
      <c r="AD108" s="14" t="e">
        <f t="shared" si="92"/>
        <v>#DIV/0!</v>
      </c>
      <c r="AE108" s="14" t="e">
        <f t="shared" si="92"/>
        <v>#DIV/0!</v>
      </c>
      <c r="AF108" s="14" t="e">
        <f t="shared" si="92"/>
        <v>#DIV/0!</v>
      </c>
      <c r="AG108" s="14" t="e">
        <f t="shared" si="92"/>
        <v>#DIV/0!</v>
      </c>
      <c r="AH108" s="14" t="e">
        <f t="shared" si="92"/>
        <v>#DIV/0!</v>
      </c>
      <c r="AI108" s="14" t="e">
        <f t="shared" si="92"/>
        <v>#DIV/0!</v>
      </c>
      <c r="AJ108" s="14" t="e">
        <f t="shared" si="92"/>
        <v>#DIV/0!</v>
      </c>
      <c r="AK108" s="14" t="e">
        <f t="shared" si="92"/>
        <v>#DIV/0!</v>
      </c>
      <c r="AL108" s="14" t="e">
        <f t="shared" si="92"/>
        <v>#DIV/0!</v>
      </c>
      <c r="AM108" s="14" t="e">
        <f t="shared" si="92"/>
        <v>#DIV/0!</v>
      </c>
      <c r="AN108" s="14" t="e">
        <f t="shared" si="92"/>
        <v>#DIV/0!</v>
      </c>
      <c r="AO108" s="14" t="e">
        <f t="shared" si="92"/>
        <v>#DIV/0!</v>
      </c>
      <c r="AP108" s="14" t="e">
        <f t="shared" si="92"/>
        <v>#DIV/0!</v>
      </c>
      <c r="AQ108" s="14" t="e">
        <f t="shared" si="92"/>
        <v>#DIV/0!</v>
      </c>
      <c r="AR108" s="14" t="e">
        <f t="shared" si="92"/>
        <v>#DIV/0!</v>
      </c>
      <c r="AS108" s="14" t="e">
        <f t="shared" si="92"/>
        <v>#DIV/0!</v>
      </c>
      <c r="AT108" s="14" t="e">
        <f t="shared" si="92"/>
        <v>#DIV/0!</v>
      </c>
      <c r="AU108" s="14" t="e">
        <f t="shared" si="92"/>
        <v>#DIV/0!</v>
      </c>
      <c r="AV108" s="14" t="e">
        <f t="shared" si="92"/>
        <v>#DIV/0!</v>
      </c>
      <c r="AW108" s="14" t="e">
        <f t="shared" si="92"/>
        <v>#DIV/0!</v>
      </c>
      <c r="AX108" s="14" t="e">
        <f t="shared" si="92"/>
        <v>#DIV/0!</v>
      </c>
      <c r="AY108" s="14" t="e">
        <f t="shared" si="92"/>
        <v>#DIV/0!</v>
      </c>
      <c r="AZ108" s="14" t="e">
        <f t="shared" si="92"/>
        <v>#DIV/0!</v>
      </c>
      <c r="BA108" s="14" t="e">
        <f t="shared" si="92"/>
        <v>#DIV/0!</v>
      </c>
      <c r="BB108" s="14" t="e">
        <f t="shared" si="92"/>
        <v>#DIV/0!</v>
      </c>
      <c r="BC108" s="14" t="e">
        <f t="shared" si="92"/>
        <v>#DIV/0!</v>
      </c>
      <c r="BD108" s="14" t="e">
        <f t="shared" si="92"/>
        <v>#DIV/0!</v>
      </c>
      <c r="BE108" s="14" t="e">
        <f t="shared" si="92"/>
        <v>#DIV/0!</v>
      </c>
      <c r="BF108" s="14" t="e">
        <f t="shared" si="92"/>
        <v>#DIV/0!</v>
      </c>
      <c r="BG108" s="14" t="e">
        <f t="shared" si="92"/>
        <v>#DIV/0!</v>
      </c>
      <c r="BH108" s="14" t="e">
        <f t="shared" si="92"/>
        <v>#DIV/0!</v>
      </c>
      <c r="BI108" s="14" t="e">
        <f t="shared" si="92"/>
        <v>#DIV/0!</v>
      </c>
      <c r="BJ108" s="14" t="e">
        <f t="shared" si="92"/>
        <v>#DIV/0!</v>
      </c>
      <c r="BK108" s="14" t="e">
        <f t="shared" si="92"/>
        <v>#DIV/0!</v>
      </c>
      <c r="BL108" s="14" t="e">
        <f t="shared" si="92"/>
        <v>#DIV/0!</v>
      </c>
      <c r="BM108" s="14" t="e">
        <f t="shared" si="92"/>
        <v>#DIV/0!</v>
      </c>
      <c r="BN108" s="14" t="e">
        <f t="shared" si="92"/>
        <v>#DIV/0!</v>
      </c>
      <c r="BO108" s="14" t="e">
        <f t="shared" si="92"/>
        <v>#DIV/0!</v>
      </c>
      <c r="BP108" s="14" t="e">
        <f t="shared" si="92"/>
        <v>#DIV/0!</v>
      </c>
      <c r="BQ108" s="14" t="e">
        <f t="shared" si="92"/>
        <v>#DIV/0!</v>
      </c>
      <c r="BR108" s="14" t="e">
        <f t="shared" si="92"/>
        <v>#DIV/0!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67"/>
      <c r="B113" s="167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355.7</v>
      </c>
      <c r="L113" s="4">
        <f t="shared" si="93"/>
        <v>372.3</v>
      </c>
      <c r="M113" s="4">
        <f t="shared" si="93"/>
        <v>388.8</v>
      </c>
      <c r="N113" s="4">
        <f t="shared" si="93"/>
        <v>405.3</v>
      </c>
      <c r="O113" s="4">
        <f t="shared" si="93"/>
        <v>471.4</v>
      </c>
      <c r="P113" s="4">
        <f t="shared" si="93"/>
        <v>487.9</v>
      </c>
      <c r="Q113" s="4">
        <f t="shared" si="93"/>
        <v>504.4</v>
      </c>
      <c r="R113" s="4">
        <f t="shared" si="93"/>
        <v>520.9</v>
      </c>
      <c r="S113" s="4">
        <f t="shared" si="93"/>
        <v>537.5</v>
      </c>
      <c r="T113" s="4">
        <f t="shared" si="93"/>
        <v>554</v>
      </c>
      <c r="U113" s="4">
        <f t="shared" si="93"/>
        <v>570.5</v>
      </c>
      <c r="V113" s="4">
        <f t="shared" si="93"/>
        <v>587</v>
      </c>
      <c r="W113" s="4">
        <f t="shared" si="93"/>
        <v>603.5</v>
      </c>
      <c r="X113" s="4">
        <f t="shared" si="93"/>
        <v>669.6</v>
      </c>
      <c r="Y113" s="4">
        <f t="shared" si="93"/>
        <v>735.7</v>
      </c>
      <c r="Z113" s="4">
        <f t="shared" si="93"/>
        <v>801.8</v>
      </c>
      <c r="AA113" s="4">
        <f t="shared" si="93"/>
        <v>867.8</v>
      </c>
      <c r="AB113" s="4">
        <f t="shared" si="93"/>
        <v>884.4</v>
      </c>
      <c r="AC113" s="4">
        <f t="shared" si="93"/>
        <v>900.9</v>
      </c>
      <c r="AD113" s="4">
        <f t="shared" si="93"/>
        <v>917.4</v>
      </c>
      <c r="AE113" s="4">
        <f t="shared" si="93"/>
        <v>933.9</v>
      </c>
      <c r="AF113" s="4">
        <f t="shared" si="93"/>
        <v>1000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 t="e">
        <f t="shared" ref="F114:BQ114" si="95">F$113*$B$2*SUMPRODUCT(F$85:F$94,F$51:F$60)/1000</f>
        <v>#DIV/0!</v>
      </c>
      <c r="G114" s="46" t="e">
        <f t="shared" si="95"/>
        <v>#DIV/0!</v>
      </c>
      <c r="H114" s="46" t="e">
        <f t="shared" si="95"/>
        <v>#DIV/0!</v>
      </c>
      <c r="I114" s="46" t="e">
        <f t="shared" si="95"/>
        <v>#DIV/0!</v>
      </c>
      <c r="J114" s="46" t="e">
        <f t="shared" si="95"/>
        <v>#DIV/0!</v>
      </c>
      <c r="K114" s="46" t="e">
        <f t="shared" si="95"/>
        <v>#DIV/0!</v>
      </c>
      <c r="L114" s="46" t="e">
        <f t="shared" si="95"/>
        <v>#DIV/0!</v>
      </c>
      <c r="M114" s="46" t="e">
        <f t="shared" si="95"/>
        <v>#DIV/0!</v>
      </c>
      <c r="N114" s="46" t="e">
        <f t="shared" si="95"/>
        <v>#DIV/0!</v>
      </c>
      <c r="O114" s="46" t="e">
        <f t="shared" si="95"/>
        <v>#DIV/0!</v>
      </c>
      <c r="P114" s="46" t="e">
        <f t="shared" si="95"/>
        <v>#DIV/0!</v>
      </c>
      <c r="Q114" s="46" t="e">
        <f t="shared" si="95"/>
        <v>#DIV/0!</v>
      </c>
      <c r="R114" s="46" t="e">
        <f t="shared" si="95"/>
        <v>#DIV/0!</v>
      </c>
      <c r="S114" s="46" t="e">
        <f t="shared" si="95"/>
        <v>#DIV/0!</v>
      </c>
      <c r="T114" s="46" t="e">
        <f t="shared" si="95"/>
        <v>#DIV/0!</v>
      </c>
      <c r="U114" s="46" t="e">
        <f t="shared" si="95"/>
        <v>#DIV/0!</v>
      </c>
      <c r="V114" s="46" t="e">
        <f t="shared" si="95"/>
        <v>#DIV/0!</v>
      </c>
      <c r="W114" s="46" t="e">
        <f t="shared" si="95"/>
        <v>#DIV/0!</v>
      </c>
      <c r="X114" s="46" t="e">
        <f t="shared" si="95"/>
        <v>#DIV/0!</v>
      </c>
      <c r="Y114" s="46" t="e">
        <f t="shared" si="95"/>
        <v>#DIV/0!</v>
      </c>
      <c r="Z114" s="46" t="e">
        <f t="shared" si="95"/>
        <v>#DIV/0!</v>
      </c>
      <c r="AA114" s="46" t="e">
        <f t="shared" si="95"/>
        <v>#DIV/0!</v>
      </c>
      <c r="AB114" s="46" t="e">
        <f t="shared" si="95"/>
        <v>#DIV/0!</v>
      </c>
      <c r="AC114" s="46" t="e">
        <f t="shared" si="95"/>
        <v>#DIV/0!</v>
      </c>
      <c r="AD114" s="46" t="e">
        <f t="shared" si="95"/>
        <v>#DIV/0!</v>
      </c>
      <c r="AE114" s="46" t="e">
        <f t="shared" si="95"/>
        <v>#DIV/0!</v>
      </c>
      <c r="AF114" s="46" t="e">
        <f t="shared" si="95"/>
        <v>#DIV/0!</v>
      </c>
      <c r="AG114" s="46" t="e">
        <f t="shared" si="95"/>
        <v>#DIV/0!</v>
      </c>
      <c r="AH114" s="46" t="e">
        <f t="shared" si="95"/>
        <v>#DIV/0!</v>
      </c>
      <c r="AI114" s="46" t="e">
        <f t="shared" si="95"/>
        <v>#DIV/0!</v>
      </c>
      <c r="AJ114" s="46" t="e">
        <f t="shared" si="95"/>
        <v>#DIV/0!</v>
      </c>
      <c r="AK114" s="46" t="e">
        <f t="shared" si="95"/>
        <v>#DIV/0!</v>
      </c>
      <c r="AL114" s="46" t="e">
        <f t="shared" si="95"/>
        <v>#DIV/0!</v>
      </c>
      <c r="AM114" s="46" t="e">
        <f t="shared" si="95"/>
        <v>#DIV/0!</v>
      </c>
      <c r="AN114" s="46" t="e">
        <f t="shared" si="95"/>
        <v>#DIV/0!</v>
      </c>
      <c r="AO114" s="46" t="e">
        <f t="shared" si="95"/>
        <v>#DIV/0!</v>
      </c>
      <c r="AP114" s="46" t="e">
        <f t="shared" si="95"/>
        <v>#DIV/0!</v>
      </c>
      <c r="AQ114" s="46" t="e">
        <f t="shared" si="95"/>
        <v>#DIV/0!</v>
      </c>
      <c r="AR114" s="46" t="e">
        <f t="shared" si="95"/>
        <v>#DIV/0!</v>
      </c>
      <c r="AS114" s="46" t="e">
        <f t="shared" si="95"/>
        <v>#DIV/0!</v>
      </c>
      <c r="AT114" s="46" t="e">
        <f t="shared" si="95"/>
        <v>#DIV/0!</v>
      </c>
      <c r="AU114" s="46" t="e">
        <f t="shared" si="95"/>
        <v>#DIV/0!</v>
      </c>
      <c r="AV114" s="46" t="e">
        <f t="shared" si="95"/>
        <v>#DIV/0!</v>
      </c>
      <c r="AW114" s="46" t="e">
        <f t="shared" si="95"/>
        <v>#DIV/0!</v>
      </c>
      <c r="AX114" s="46" t="e">
        <f t="shared" si="95"/>
        <v>#DIV/0!</v>
      </c>
      <c r="AY114" s="46" t="e">
        <f t="shared" si="95"/>
        <v>#DIV/0!</v>
      </c>
      <c r="AZ114" s="46" t="e">
        <f t="shared" si="95"/>
        <v>#DIV/0!</v>
      </c>
      <c r="BA114" s="46" t="e">
        <f t="shared" si="95"/>
        <v>#DIV/0!</v>
      </c>
      <c r="BB114" s="46" t="e">
        <f t="shared" si="95"/>
        <v>#DIV/0!</v>
      </c>
      <c r="BC114" s="46" t="e">
        <f t="shared" si="95"/>
        <v>#DIV/0!</v>
      </c>
      <c r="BD114" s="46" t="e">
        <f t="shared" si="95"/>
        <v>#DIV/0!</v>
      </c>
      <c r="BE114" s="46" t="e">
        <f t="shared" si="95"/>
        <v>#DIV/0!</v>
      </c>
      <c r="BF114" s="46" t="e">
        <f t="shared" si="95"/>
        <v>#DIV/0!</v>
      </c>
      <c r="BG114" s="46" t="e">
        <f t="shared" si="95"/>
        <v>#DIV/0!</v>
      </c>
      <c r="BH114" s="46" t="e">
        <f t="shared" si="95"/>
        <v>#DIV/0!</v>
      </c>
      <c r="BI114" s="46" t="e">
        <f t="shared" si="95"/>
        <v>#DIV/0!</v>
      </c>
      <c r="BJ114" s="46" t="e">
        <f t="shared" si="95"/>
        <v>#DIV/0!</v>
      </c>
      <c r="BK114" s="46" t="e">
        <f t="shared" si="95"/>
        <v>#DIV/0!</v>
      </c>
      <c r="BL114" s="46" t="e">
        <f t="shared" si="95"/>
        <v>#DIV/0!</v>
      </c>
      <c r="BM114" s="46" t="e">
        <f t="shared" si="95"/>
        <v>#DIV/0!</v>
      </c>
      <c r="BN114" s="46" t="e">
        <f t="shared" si="95"/>
        <v>#DIV/0!</v>
      </c>
      <c r="BO114" s="46" t="e">
        <f t="shared" si="95"/>
        <v>#DIV/0!</v>
      </c>
      <c r="BP114" s="46" t="e">
        <f t="shared" si="95"/>
        <v>#DIV/0!</v>
      </c>
      <c r="BQ114" s="46" t="e">
        <f t="shared" si="95"/>
        <v>#DIV/0!</v>
      </c>
      <c r="BR114" s="46" t="e">
        <f t="shared" ref="BR114" si="96">BR$113*$B$2*SUMPRODUCT(BR$85:BR$94,BR$51:BR$60)/1000</f>
        <v>#DIV/0!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27</v>
      </c>
      <c r="E115" s="17" t="s">
        <v>35</v>
      </c>
      <c r="F115" s="14" t="e">
        <f t="shared" ref="F115:BQ115" si="97">F$113*$B$2*SUMPRODUCT(F$100:F$101,F$65:F$66)/1000</f>
        <v>#DIV/0!</v>
      </c>
      <c r="G115" s="14" t="e">
        <f t="shared" si="97"/>
        <v>#DIV/0!</v>
      </c>
      <c r="H115" s="14" t="e">
        <f t="shared" si="97"/>
        <v>#DIV/0!</v>
      </c>
      <c r="I115" s="14" t="e">
        <f t="shared" si="97"/>
        <v>#DIV/0!</v>
      </c>
      <c r="J115" s="14" t="e">
        <f t="shared" si="97"/>
        <v>#DIV/0!</v>
      </c>
      <c r="K115" s="14" t="e">
        <f t="shared" si="97"/>
        <v>#DIV/0!</v>
      </c>
      <c r="L115" s="14" t="e">
        <f t="shared" si="97"/>
        <v>#DIV/0!</v>
      </c>
      <c r="M115" s="14" t="e">
        <f t="shared" si="97"/>
        <v>#DIV/0!</v>
      </c>
      <c r="N115" s="14" t="e">
        <f t="shared" si="97"/>
        <v>#DIV/0!</v>
      </c>
      <c r="O115" s="14" t="e">
        <f t="shared" si="97"/>
        <v>#DIV/0!</v>
      </c>
      <c r="P115" s="14" t="e">
        <f t="shared" si="97"/>
        <v>#DIV/0!</v>
      </c>
      <c r="Q115" s="14" t="e">
        <f t="shared" si="97"/>
        <v>#DIV/0!</v>
      </c>
      <c r="R115" s="14" t="e">
        <f t="shared" si="97"/>
        <v>#DIV/0!</v>
      </c>
      <c r="S115" s="14" t="e">
        <f t="shared" si="97"/>
        <v>#DIV/0!</v>
      </c>
      <c r="T115" s="14" t="e">
        <f t="shared" si="97"/>
        <v>#DIV/0!</v>
      </c>
      <c r="U115" s="14" t="e">
        <f t="shared" si="97"/>
        <v>#DIV/0!</v>
      </c>
      <c r="V115" s="14" t="e">
        <f t="shared" si="97"/>
        <v>#DIV/0!</v>
      </c>
      <c r="W115" s="14" t="e">
        <f t="shared" si="97"/>
        <v>#DIV/0!</v>
      </c>
      <c r="X115" s="14" t="e">
        <f t="shared" si="97"/>
        <v>#DIV/0!</v>
      </c>
      <c r="Y115" s="14" t="e">
        <f t="shared" si="97"/>
        <v>#DIV/0!</v>
      </c>
      <c r="Z115" s="14" t="e">
        <f t="shared" si="97"/>
        <v>#DIV/0!</v>
      </c>
      <c r="AA115" s="14" t="e">
        <f t="shared" si="97"/>
        <v>#DIV/0!</v>
      </c>
      <c r="AB115" s="14" t="e">
        <f t="shared" si="97"/>
        <v>#DIV/0!</v>
      </c>
      <c r="AC115" s="14" t="e">
        <f t="shared" si="97"/>
        <v>#DIV/0!</v>
      </c>
      <c r="AD115" s="14" t="e">
        <f t="shared" si="97"/>
        <v>#DIV/0!</v>
      </c>
      <c r="AE115" s="14" t="e">
        <f t="shared" si="97"/>
        <v>#DIV/0!</v>
      </c>
      <c r="AF115" s="14" t="e">
        <f t="shared" si="97"/>
        <v>#DIV/0!</v>
      </c>
      <c r="AG115" s="14" t="e">
        <f t="shared" si="97"/>
        <v>#DIV/0!</v>
      </c>
      <c r="AH115" s="14" t="e">
        <f t="shared" si="97"/>
        <v>#DIV/0!</v>
      </c>
      <c r="AI115" s="14" t="e">
        <f t="shared" si="97"/>
        <v>#DIV/0!</v>
      </c>
      <c r="AJ115" s="14" t="e">
        <f t="shared" si="97"/>
        <v>#DIV/0!</v>
      </c>
      <c r="AK115" s="14" t="e">
        <f t="shared" si="97"/>
        <v>#DIV/0!</v>
      </c>
      <c r="AL115" s="14" t="e">
        <f t="shared" si="97"/>
        <v>#DIV/0!</v>
      </c>
      <c r="AM115" s="14" t="e">
        <f t="shared" si="97"/>
        <v>#DIV/0!</v>
      </c>
      <c r="AN115" s="14" t="e">
        <f t="shared" si="97"/>
        <v>#DIV/0!</v>
      </c>
      <c r="AO115" s="14" t="e">
        <f t="shared" si="97"/>
        <v>#DIV/0!</v>
      </c>
      <c r="AP115" s="14" t="e">
        <f t="shared" si="97"/>
        <v>#DIV/0!</v>
      </c>
      <c r="AQ115" s="14" t="e">
        <f t="shared" si="97"/>
        <v>#DIV/0!</v>
      </c>
      <c r="AR115" s="14" t="e">
        <f t="shared" si="97"/>
        <v>#DIV/0!</v>
      </c>
      <c r="AS115" s="14" t="e">
        <f t="shared" si="97"/>
        <v>#DIV/0!</v>
      </c>
      <c r="AT115" s="14" t="e">
        <f t="shared" si="97"/>
        <v>#DIV/0!</v>
      </c>
      <c r="AU115" s="14" t="e">
        <f t="shared" si="97"/>
        <v>#DIV/0!</v>
      </c>
      <c r="AV115" s="14" t="e">
        <f t="shared" si="97"/>
        <v>#DIV/0!</v>
      </c>
      <c r="AW115" s="14" t="e">
        <f t="shared" si="97"/>
        <v>#DIV/0!</v>
      </c>
      <c r="AX115" s="14" t="e">
        <f t="shared" si="97"/>
        <v>#DIV/0!</v>
      </c>
      <c r="AY115" s="14" t="e">
        <f t="shared" si="97"/>
        <v>#DIV/0!</v>
      </c>
      <c r="AZ115" s="14" t="e">
        <f t="shared" si="97"/>
        <v>#DIV/0!</v>
      </c>
      <c r="BA115" s="14" t="e">
        <f t="shared" si="97"/>
        <v>#DIV/0!</v>
      </c>
      <c r="BB115" s="14" t="e">
        <f t="shared" si="97"/>
        <v>#DIV/0!</v>
      </c>
      <c r="BC115" s="14" t="e">
        <f t="shared" si="97"/>
        <v>#DIV/0!</v>
      </c>
      <c r="BD115" s="14" t="e">
        <f t="shared" si="97"/>
        <v>#DIV/0!</v>
      </c>
      <c r="BE115" s="14" t="e">
        <f t="shared" si="97"/>
        <v>#DIV/0!</v>
      </c>
      <c r="BF115" s="14" t="e">
        <f t="shared" si="97"/>
        <v>#DIV/0!</v>
      </c>
      <c r="BG115" s="14" t="e">
        <f t="shared" si="97"/>
        <v>#DIV/0!</v>
      </c>
      <c r="BH115" s="14" t="e">
        <f t="shared" si="97"/>
        <v>#DIV/0!</v>
      </c>
      <c r="BI115" s="14" t="e">
        <f t="shared" si="97"/>
        <v>#DIV/0!</v>
      </c>
      <c r="BJ115" s="14" t="e">
        <f t="shared" si="97"/>
        <v>#DIV/0!</v>
      </c>
      <c r="BK115" s="14" t="e">
        <f t="shared" si="97"/>
        <v>#DIV/0!</v>
      </c>
      <c r="BL115" s="14" t="e">
        <f t="shared" si="97"/>
        <v>#DIV/0!</v>
      </c>
      <c r="BM115" s="14" t="e">
        <f t="shared" si="97"/>
        <v>#DIV/0!</v>
      </c>
      <c r="BN115" s="14" t="e">
        <f t="shared" si="97"/>
        <v>#DIV/0!</v>
      </c>
      <c r="BO115" s="14" t="e">
        <f t="shared" si="97"/>
        <v>#DIV/0!</v>
      </c>
      <c r="BP115" s="14" t="e">
        <f t="shared" si="97"/>
        <v>#DIV/0!</v>
      </c>
      <c r="BQ115" s="14" t="e">
        <f t="shared" si="97"/>
        <v>#DIV/0!</v>
      </c>
      <c r="BR115" s="14" t="e">
        <f t="shared" ref="BR115" si="98">BR$113*$B$2*SUMPRODUCT(BR$100:BR$101,BR$65:BR$66)/1000</f>
        <v>#DIV/0!</v>
      </c>
      <c r="BS115" s="98"/>
    </row>
    <row r="116" spans="1:71" ht="21" hidden="1" customHeight="1" outlineLevel="1" thickBot="1" x14ac:dyDescent="0.4">
      <c r="E116" s="17" t="s">
        <v>13</v>
      </c>
      <c r="F116" s="14" t="e">
        <f t="shared" ref="F116:BQ116" si="99">F$113*$B$2*SUMPRODUCT(F$82:F$83,F$48:F$49)/1000</f>
        <v>#DIV/0!</v>
      </c>
      <c r="G116" s="14" t="e">
        <f t="shared" si="99"/>
        <v>#DIV/0!</v>
      </c>
      <c r="H116" s="14" t="e">
        <f t="shared" si="99"/>
        <v>#DIV/0!</v>
      </c>
      <c r="I116" s="14" t="e">
        <f t="shared" si="99"/>
        <v>#DIV/0!</v>
      </c>
      <c r="J116" s="14" t="e">
        <f t="shared" si="99"/>
        <v>#DIV/0!</v>
      </c>
      <c r="K116" s="14" t="e">
        <f t="shared" si="99"/>
        <v>#DIV/0!</v>
      </c>
      <c r="L116" s="14" t="e">
        <f t="shared" si="99"/>
        <v>#DIV/0!</v>
      </c>
      <c r="M116" s="14" t="e">
        <f t="shared" si="99"/>
        <v>#DIV/0!</v>
      </c>
      <c r="N116" s="14" t="e">
        <f t="shared" si="99"/>
        <v>#DIV/0!</v>
      </c>
      <c r="O116" s="14" t="e">
        <f t="shared" si="99"/>
        <v>#DIV/0!</v>
      </c>
      <c r="P116" s="14" t="e">
        <f t="shared" si="99"/>
        <v>#DIV/0!</v>
      </c>
      <c r="Q116" s="14" t="e">
        <f t="shared" si="99"/>
        <v>#DIV/0!</v>
      </c>
      <c r="R116" s="14" t="e">
        <f t="shared" si="99"/>
        <v>#DIV/0!</v>
      </c>
      <c r="S116" s="14" t="e">
        <f t="shared" si="99"/>
        <v>#DIV/0!</v>
      </c>
      <c r="T116" s="14" t="e">
        <f t="shared" si="99"/>
        <v>#DIV/0!</v>
      </c>
      <c r="U116" s="14" t="e">
        <f t="shared" si="99"/>
        <v>#DIV/0!</v>
      </c>
      <c r="V116" s="14" t="e">
        <f t="shared" si="99"/>
        <v>#DIV/0!</v>
      </c>
      <c r="W116" s="14" t="e">
        <f t="shared" si="99"/>
        <v>#DIV/0!</v>
      </c>
      <c r="X116" s="14" t="e">
        <f t="shared" si="99"/>
        <v>#DIV/0!</v>
      </c>
      <c r="Y116" s="14" t="e">
        <f t="shared" si="99"/>
        <v>#DIV/0!</v>
      </c>
      <c r="Z116" s="14" t="e">
        <f t="shared" si="99"/>
        <v>#DIV/0!</v>
      </c>
      <c r="AA116" s="14" t="e">
        <f t="shared" si="99"/>
        <v>#DIV/0!</v>
      </c>
      <c r="AB116" s="14" t="e">
        <f t="shared" si="99"/>
        <v>#DIV/0!</v>
      </c>
      <c r="AC116" s="14" t="e">
        <f t="shared" si="99"/>
        <v>#DIV/0!</v>
      </c>
      <c r="AD116" s="14" t="e">
        <f t="shared" si="99"/>
        <v>#DIV/0!</v>
      </c>
      <c r="AE116" s="14" t="e">
        <f t="shared" si="99"/>
        <v>#DIV/0!</v>
      </c>
      <c r="AF116" s="14" t="e">
        <f t="shared" si="99"/>
        <v>#DIV/0!</v>
      </c>
      <c r="AG116" s="14" t="e">
        <f t="shared" si="99"/>
        <v>#DIV/0!</v>
      </c>
      <c r="AH116" s="14" t="e">
        <f t="shared" si="99"/>
        <v>#DIV/0!</v>
      </c>
      <c r="AI116" s="14" t="e">
        <f t="shared" si="99"/>
        <v>#DIV/0!</v>
      </c>
      <c r="AJ116" s="14" t="e">
        <f t="shared" si="99"/>
        <v>#DIV/0!</v>
      </c>
      <c r="AK116" s="14" t="e">
        <f t="shared" si="99"/>
        <v>#DIV/0!</v>
      </c>
      <c r="AL116" s="14" t="e">
        <f t="shared" si="99"/>
        <v>#DIV/0!</v>
      </c>
      <c r="AM116" s="14" t="e">
        <f t="shared" si="99"/>
        <v>#DIV/0!</v>
      </c>
      <c r="AN116" s="14" t="e">
        <f t="shared" si="99"/>
        <v>#DIV/0!</v>
      </c>
      <c r="AO116" s="14" t="e">
        <f t="shared" si="99"/>
        <v>#DIV/0!</v>
      </c>
      <c r="AP116" s="14" t="e">
        <f t="shared" si="99"/>
        <v>#DIV/0!</v>
      </c>
      <c r="AQ116" s="14" t="e">
        <f t="shared" si="99"/>
        <v>#DIV/0!</v>
      </c>
      <c r="AR116" s="14" t="e">
        <f t="shared" si="99"/>
        <v>#DIV/0!</v>
      </c>
      <c r="AS116" s="14" t="e">
        <f t="shared" si="99"/>
        <v>#DIV/0!</v>
      </c>
      <c r="AT116" s="14" t="e">
        <f t="shared" si="99"/>
        <v>#DIV/0!</v>
      </c>
      <c r="AU116" s="14" t="e">
        <f t="shared" si="99"/>
        <v>#DIV/0!</v>
      </c>
      <c r="AV116" s="14" t="e">
        <f t="shared" si="99"/>
        <v>#DIV/0!</v>
      </c>
      <c r="AW116" s="14" t="e">
        <f t="shared" si="99"/>
        <v>#DIV/0!</v>
      </c>
      <c r="AX116" s="14" t="e">
        <f t="shared" si="99"/>
        <v>#DIV/0!</v>
      </c>
      <c r="AY116" s="14" t="e">
        <f t="shared" si="99"/>
        <v>#DIV/0!</v>
      </c>
      <c r="AZ116" s="14" t="e">
        <f t="shared" si="99"/>
        <v>#DIV/0!</v>
      </c>
      <c r="BA116" s="14" t="e">
        <f t="shared" si="99"/>
        <v>#DIV/0!</v>
      </c>
      <c r="BB116" s="14" t="e">
        <f t="shared" si="99"/>
        <v>#DIV/0!</v>
      </c>
      <c r="BC116" s="14" t="e">
        <f t="shared" si="99"/>
        <v>#DIV/0!</v>
      </c>
      <c r="BD116" s="14" t="e">
        <f t="shared" si="99"/>
        <v>#DIV/0!</v>
      </c>
      <c r="BE116" s="14" t="e">
        <f t="shared" si="99"/>
        <v>#DIV/0!</v>
      </c>
      <c r="BF116" s="14" t="e">
        <f t="shared" si="99"/>
        <v>#DIV/0!</v>
      </c>
      <c r="BG116" s="14" t="e">
        <f t="shared" si="99"/>
        <v>#DIV/0!</v>
      </c>
      <c r="BH116" s="14" t="e">
        <f t="shared" si="99"/>
        <v>#DIV/0!</v>
      </c>
      <c r="BI116" s="14" t="e">
        <f t="shared" si="99"/>
        <v>#DIV/0!</v>
      </c>
      <c r="BJ116" s="14" t="e">
        <f t="shared" si="99"/>
        <v>#DIV/0!</v>
      </c>
      <c r="BK116" s="14" t="e">
        <f t="shared" si="99"/>
        <v>#DIV/0!</v>
      </c>
      <c r="BL116" s="14" t="e">
        <f t="shared" si="99"/>
        <v>#DIV/0!</v>
      </c>
      <c r="BM116" s="14" t="e">
        <f t="shared" si="99"/>
        <v>#DIV/0!</v>
      </c>
      <c r="BN116" s="14" t="e">
        <f t="shared" si="99"/>
        <v>#DIV/0!</v>
      </c>
      <c r="BO116" s="14" t="e">
        <f t="shared" si="99"/>
        <v>#DIV/0!</v>
      </c>
      <c r="BP116" s="14" t="e">
        <f t="shared" si="99"/>
        <v>#DIV/0!</v>
      </c>
      <c r="BQ116" s="14" t="e">
        <f t="shared" si="99"/>
        <v>#DIV/0!</v>
      </c>
      <c r="BR116" s="14" t="e">
        <f t="shared" ref="BR116" si="100">BR$113*$B$2*SUMPRODUCT(BR$82:BR$83,BR$48:BR$49)/1000</f>
        <v>#DIV/0!</v>
      </c>
      <c r="BS116" s="98"/>
    </row>
    <row r="117" spans="1:71" ht="21" hidden="1" customHeight="1" outlineLevel="1" thickBot="1" x14ac:dyDescent="0.4">
      <c r="E117" s="17" t="s">
        <v>34</v>
      </c>
      <c r="F117" s="14" t="e">
        <f>F116+F114</f>
        <v>#DIV/0!</v>
      </c>
      <c r="G117" s="14" t="e">
        <f t="shared" ref="G117:AL117" si="101">G116+G114</f>
        <v>#DIV/0!</v>
      </c>
      <c r="H117" s="14" t="e">
        <f t="shared" si="101"/>
        <v>#DIV/0!</v>
      </c>
      <c r="I117" s="14" t="e">
        <f t="shared" si="101"/>
        <v>#DIV/0!</v>
      </c>
      <c r="J117" s="14" t="e">
        <f t="shared" si="101"/>
        <v>#DIV/0!</v>
      </c>
      <c r="K117" s="14" t="e">
        <f t="shared" si="101"/>
        <v>#DIV/0!</v>
      </c>
      <c r="L117" s="14" t="e">
        <f t="shared" si="101"/>
        <v>#DIV/0!</v>
      </c>
      <c r="M117" s="14" t="e">
        <f t="shared" si="101"/>
        <v>#DIV/0!</v>
      </c>
      <c r="N117" s="14" t="e">
        <f t="shared" si="101"/>
        <v>#DIV/0!</v>
      </c>
      <c r="O117" s="14" t="e">
        <f t="shared" si="101"/>
        <v>#DIV/0!</v>
      </c>
      <c r="P117" s="14" t="e">
        <f t="shared" si="101"/>
        <v>#DIV/0!</v>
      </c>
      <c r="Q117" s="14" t="e">
        <f t="shared" si="101"/>
        <v>#DIV/0!</v>
      </c>
      <c r="R117" s="14" t="e">
        <f t="shared" si="101"/>
        <v>#DIV/0!</v>
      </c>
      <c r="S117" s="14" t="e">
        <f t="shared" si="101"/>
        <v>#DIV/0!</v>
      </c>
      <c r="T117" s="14" t="e">
        <f t="shared" si="101"/>
        <v>#DIV/0!</v>
      </c>
      <c r="U117" s="14" t="e">
        <f t="shared" si="101"/>
        <v>#DIV/0!</v>
      </c>
      <c r="V117" s="14" t="e">
        <f t="shared" si="101"/>
        <v>#DIV/0!</v>
      </c>
      <c r="W117" s="14" t="e">
        <f t="shared" si="101"/>
        <v>#DIV/0!</v>
      </c>
      <c r="X117" s="14" t="e">
        <f t="shared" si="101"/>
        <v>#DIV/0!</v>
      </c>
      <c r="Y117" s="14" t="e">
        <f t="shared" si="101"/>
        <v>#DIV/0!</v>
      </c>
      <c r="Z117" s="14" t="e">
        <f t="shared" si="101"/>
        <v>#DIV/0!</v>
      </c>
      <c r="AA117" s="14" t="e">
        <f t="shared" si="101"/>
        <v>#DIV/0!</v>
      </c>
      <c r="AB117" s="14" t="e">
        <f t="shared" si="101"/>
        <v>#DIV/0!</v>
      </c>
      <c r="AC117" s="14" t="e">
        <f t="shared" si="101"/>
        <v>#DIV/0!</v>
      </c>
      <c r="AD117" s="14" t="e">
        <f t="shared" si="101"/>
        <v>#DIV/0!</v>
      </c>
      <c r="AE117" s="14" t="e">
        <f t="shared" si="101"/>
        <v>#DIV/0!</v>
      </c>
      <c r="AF117" s="14" t="e">
        <f t="shared" si="101"/>
        <v>#DIV/0!</v>
      </c>
      <c r="AG117" s="14" t="e">
        <f t="shared" si="101"/>
        <v>#DIV/0!</v>
      </c>
      <c r="AH117" s="14" t="e">
        <f t="shared" si="101"/>
        <v>#DIV/0!</v>
      </c>
      <c r="AI117" s="14" t="e">
        <f t="shared" si="101"/>
        <v>#DIV/0!</v>
      </c>
      <c r="AJ117" s="14" t="e">
        <f t="shared" si="101"/>
        <v>#DIV/0!</v>
      </c>
      <c r="AK117" s="14" t="e">
        <f t="shared" si="101"/>
        <v>#DIV/0!</v>
      </c>
      <c r="AL117" s="14" t="e">
        <f t="shared" si="101"/>
        <v>#DIV/0!</v>
      </c>
      <c r="AM117" s="14" t="e">
        <f t="shared" ref="AM117:BR117" si="102">AM116+AM114</f>
        <v>#DIV/0!</v>
      </c>
      <c r="AN117" s="14" t="e">
        <f t="shared" si="102"/>
        <v>#DIV/0!</v>
      </c>
      <c r="AO117" s="14" t="e">
        <f t="shared" si="102"/>
        <v>#DIV/0!</v>
      </c>
      <c r="AP117" s="14" t="e">
        <f t="shared" si="102"/>
        <v>#DIV/0!</v>
      </c>
      <c r="AQ117" s="14" t="e">
        <f t="shared" si="102"/>
        <v>#DIV/0!</v>
      </c>
      <c r="AR117" s="14" t="e">
        <f t="shared" si="102"/>
        <v>#DIV/0!</v>
      </c>
      <c r="AS117" s="14" t="e">
        <f t="shared" si="102"/>
        <v>#DIV/0!</v>
      </c>
      <c r="AT117" s="14" t="e">
        <f t="shared" si="102"/>
        <v>#DIV/0!</v>
      </c>
      <c r="AU117" s="14" t="e">
        <f t="shared" si="102"/>
        <v>#DIV/0!</v>
      </c>
      <c r="AV117" s="14" t="e">
        <f t="shared" si="102"/>
        <v>#DIV/0!</v>
      </c>
      <c r="AW117" s="14" t="e">
        <f t="shared" si="102"/>
        <v>#DIV/0!</v>
      </c>
      <c r="AX117" s="14" t="e">
        <f t="shared" si="102"/>
        <v>#DIV/0!</v>
      </c>
      <c r="AY117" s="14" t="e">
        <f t="shared" si="102"/>
        <v>#DIV/0!</v>
      </c>
      <c r="AZ117" s="14" t="e">
        <f t="shared" si="102"/>
        <v>#DIV/0!</v>
      </c>
      <c r="BA117" s="14" t="e">
        <f t="shared" si="102"/>
        <v>#DIV/0!</v>
      </c>
      <c r="BB117" s="14" t="e">
        <f t="shared" si="102"/>
        <v>#DIV/0!</v>
      </c>
      <c r="BC117" s="14" t="e">
        <f t="shared" si="102"/>
        <v>#DIV/0!</v>
      </c>
      <c r="BD117" s="14" t="e">
        <f t="shared" si="102"/>
        <v>#DIV/0!</v>
      </c>
      <c r="BE117" s="14" t="e">
        <f t="shared" si="102"/>
        <v>#DIV/0!</v>
      </c>
      <c r="BF117" s="14" t="e">
        <f t="shared" si="102"/>
        <v>#DIV/0!</v>
      </c>
      <c r="BG117" s="14" t="e">
        <f t="shared" si="102"/>
        <v>#DIV/0!</v>
      </c>
      <c r="BH117" s="14" t="e">
        <f t="shared" si="102"/>
        <v>#DIV/0!</v>
      </c>
      <c r="BI117" s="14" t="e">
        <f t="shared" si="102"/>
        <v>#DIV/0!</v>
      </c>
      <c r="BJ117" s="14" t="e">
        <f t="shared" si="102"/>
        <v>#DIV/0!</v>
      </c>
      <c r="BK117" s="14" t="e">
        <f t="shared" si="102"/>
        <v>#DIV/0!</v>
      </c>
      <c r="BL117" s="14" t="e">
        <f t="shared" si="102"/>
        <v>#DIV/0!</v>
      </c>
      <c r="BM117" s="14" t="e">
        <f t="shared" si="102"/>
        <v>#DIV/0!</v>
      </c>
      <c r="BN117" s="14" t="e">
        <f t="shared" si="102"/>
        <v>#DIV/0!</v>
      </c>
      <c r="BO117" s="14" t="e">
        <f t="shared" si="102"/>
        <v>#DIV/0!</v>
      </c>
      <c r="BP117" s="14" t="e">
        <f t="shared" si="102"/>
        <v>#DIV/0!</v>
      </c>
      <c r="BQ117" s="14" t="e">
        <f t="shared" si="102"/>
        <v>#DIV/0!</v>
      </c>
      <c r="BR117" s="14" t="e">
        <f t="shared" si="102"/>
        <v>#DIV/0!</v>
      </c>
      <c r="BS117" s="98"/>
    </row>
    <row r="118" spans="1:71" ht="21" hidden="1" customHeight="1" outlineLevel="1" thickBot="1" x14ac:dyDescent="0.4">
      <c r="E118" s="17" t="s">
        <v>36</v>
      </c>
      <c r="F118" s="14" t="e">
        <f>F116+F115</f>
        <v>#DIV/0!</v>
      </c>
      <c r="G118" s="14" t="e">
        <f t="shared" ref="G118:AL118" si="103">G116+G115</f>
        <v>#DIV/0!</v>
      </c>
      <c r="H118" s="14" t="e">
        <f t="shared" si="103"/>
        <v>#DIV/0!</v>
      </c>
      <c r="I118" s="14" t="e">
        <f t="shared" si="103"/>
        <v>#DIV/0!</v>
      </c>
      <c r="J118" s="14" t="e">
        <f t="shared" si="103"/>
        <v>#DIV/0!</v>
      </c>
      <c r="K118" s="14" t="e">
        <f t="shared" si="103"/>
        <v>#DIV/0!</v>
      </c>
      <c r="L118" s="14" t="e">
        <f t="shared" si="103"/>
        <v>#DIV/0!</v>
      </c>
      <c r="M118" s="14" t="e">
        <f t="shared" si="103"/>
        <v>#DIV/0!</v>
      </c>
      <c r="N118" s="14" t="e">
        <f t="shared" si="103"/>
        <v>#DIV/0!</v>
      </c>
      <c r="O118" s="14" t="e">
        <f t="shared" si="103"/>
        <v>#DIV/0!</v>
      </c>
      <c r="P118" s="14" t="e">
        <f t="shared" si="103"/>
        <v>#DIV/0!</v>
      </c>
      <c r="Q118" s="14" t="e">
        <f t="shared" si="103"/>
        <v>#DIV/0!</v>
      </c>
      <c r="R118" s="14" t="e">
        <f t="shared" si="103"/>
        <v>#DIV/0!</v>
      </c>
      <c r="S118" s="14" t="e">
        <f t="shared" si="103"/>
        <v>#DIV/0!</v>
      </c>
      <c r="T118" s="14" t="e">
        <f t="shared" si="103"/>
        <v>#DIV/0!</v>
      </c>
      <c r="U118" s="14" t="e">
        <f t="shared" si="103"/>
        <v>#DIV/0!</v>
      </c>
      <c r="V118" s="14" t="e">
        <f t="shared" si="103"/>
        <v>#DIV/0!</v>
      </c>
      <c r="W118" s="14" t="e">
        <f t="shared" si="103"/>
        <v>#DIV/0!</v>
      </c>
      <c r="X118" s="14" t="e">
        <f t="shared" si="103"/>
        <v>#DIV/0!</v>
      </c>
      <c r="Y118" s="14" t="e">
        <f t="shared" si="103"/>
        <v>#DIV/0!</v>
      </c>
      <c r="Z118" s="14" t="e">
        <f t="shared" si="103"/>
        <v>#DIV/0!</v>
      </c>
      <c r="AA118" s="14" t="e">
        <f t="shared" si="103"/>
        <v>#DIV/0!</v>
      </c>
      <c r="AB118" s="14" t="e">
        <f t="shared" si="103"/>
        <v>#DIV/0!</v>
      </c>
      <c r="AC118" s="14" t="e">
        <f t="shared" si="103"/>
        <v>#DIV/0!</v>
      </c>
      <c r="AD118" s="14" t="e">
        <f t="shared" si="103"/>
        <v>#DIV/0!</v>
      </c>
      <c r="AE118" s="14" t="e">
        <f t="shared" si="103"/>
        <v>#DIV/0!</v>
      </c>
      <c r="AF118" s="14" t="e">
        <f t="shared" si="103"/>
        <v>#DIV/0!</v>
      </c>
      <c r="AG118" s="14" t="e">
        <f t="shared" si="103"/>
        <v>#DIV/0!</v>
      </c>
      <c r="AH118" s="14" t="e">
        <f t="shared" si="103"/>
        <v>#DIV/0!</v>
      </c>
      <c r="AI118" s="14" t="e">
        <f t="shared" si="103"/>
        <v>#DIV/0!</v>
      </c>
      <c r="AJ118" s="14" t="e">
        <f t="shared" si="103"/>
        <v>#DIV/0!</v>
      </c>
      <c r="AK118" s="14" t="e">
        <f t="shared" si="103"/>
        <v>#DIV/0!</v>
      </c>
      <c r="AL118" s="14" t="e">
        <f t="shared" si="103"/>
        <v>#DIV/0!</v>
      </c>
      <c r="AM118" s="14" t="e">
        <f t="shared" ref="AM118:BR118" si="104">AM116+AM115</f>
        <v>#DIV/0!</v>
      </c>
      <c r="AN118" s="14" t="e">
        <f t="shared" si="104"/>
        <v>#DIV/0!</v>
      </c>
      <c r="AO118" s="14" t="e">
        <f t="shared" si="104"/>
        <v>#DIV/0!</v>
      </c>
      <c r="AP118" s="14" t="e">
        <f t="shared" si="104"/>
        <v>#DIV/0!</v>
      </c>
      <c r="AQ118" s="14" t="e">
        <f t="shared" si="104"/>
        <v>#DIV/0!</v>
      </c>
      <c r="AR118" s="14" t="e">
        <f t="shared" si="104"/>
        <v>#DIV/0!</v>
      </c>
      <c r="AS118" s="14" t="e">
        <f t="shared" si="104"/>
        <v>#DIV/0!</v>
      </c>
      <c r="AT118" s="14" t="e">
        <f t="shared" si="104"/>
        <v>#DIV/0!</v>
      </c>
      <c r="AU118" s="14" t="e">
        <f t="shared" si="104"/>
        <v>#DIV/0!</v>
      </c>
      <c r="AV118" s="14" t="e">
        <f t="shared" si="104"/>
        <v>#DIV/0!</v>
      </c>
      <c r="AW118" s="14" t="e">
        <f t="shared" si="104"/>
        <v>#DIV/0!</v>
      </c>
      <c r="AX118" s="14" t="e">
        <f t="shared" si="104"/>
        <v>#DIV/0!</v>
      </c>
      <c r="AY118" s="14" t="e">
        <f t="shared" si="104"/>
        <v>#DIV/0!</v>
      </c>
      <c r="AZ118" s="14" t="e">
        <f t="shared" si="104"/>
        <v>#DIV/0!</v>
      </c>
      <c r="BA118" s="14" t="e">
        <f t="shared" si="104"/>
        <v>#DIV/0!</v>
      </c>
      <c r="BB118" s="14" t="e">
        <f t="shared" si="104"/>
        <v>#DIV/0!</v>
      </c>
      <c r="BC118" s="14" t="e">
        <f t="shared" si="104"/>
        <v>#DIV/0!</v>
      </c>
      <c r="BD118" s="14" t="e">
        <f t="shared" si="104"/>
        <v>#DIV/0!</v>
      </c>
      <c r="BE118" s="14" t="e">
        <f t="shared" si="104"/>
        <v>#DIV/0!</v>
      </c>
      <c r="BF118" s="14" t="e">
        <f t="shared" si="104"/>
        <v>#DIV/0!</v>
      </c>
      <c r="BG118" s="14" t="e">
        <f t="shared" si="104"/>
        <v>#DIV/0!</v>
      </c>
      <c r="BH118" s="14" t="e">
        <f t="shared" si="104"/>
        <v>#DIV/0!</v>
      </c>
      <c r="BI118" s="14" t="e">
        <f t="shared" si="104"/>
        <v>#DIV/0!</v>
      </c>
      <c r="BJ118" s="14" t="e">
        <f t="shared" si="104"/>
        <v>#DIV/0!</v>
      </c>
      <c r="BK118" s="14" t="e">
        <f t="shared" si="104"/>
        <v>#DIV/0!</v>
      </c>
      <c r="BL118" s="14" t="e">
        <f t="shared" si="104"/>
        <v>#DIV/0!</v>
      </c>
      <c r="BM118" s="14" t="e">
        <f t="shared" si="104"/>
        <v>#DIV/0!</v>
      </c>
      <c r="BN118" s="14" t="e">
        <f t="shared" si="104"/>
        <v>#DIV/0!</v>
      </c>
      <c r="BO118" s="14" t="e">
        <f t="shared" si="104"/>
        <v>#DIV/0!</v>
      </c>
      <c r="BP118" s="14" t="e">
        <f t="shared" si="104"/>
        <v>#DIV/0!</v>
      </c>
      <c r="BQ118" s="14" t="e">
        <f t="shared" si="104"/>
        <v>#DIV/0!</v>
      </c>
      <c r="BR118" s="14" t="e">
        <f t="shared" si="104"/>
        <v>#DIV/0!</v>
      </c>
      <c r="BS118" s="98"/>
    </row>
    <row r="119" spans="1:71" ht="21" hidden="1" customHeight="1" outlineLevel="1" x14ac:dyDescent="0.35">
      <c r="E119" s="80" t="s">
        <v>38</v>
      </c>
      <c r="F119" s="81" t="e">
        <f>SUM(F114:F116)</f>
        <v>#DIV/0!</v>
      </c>
      <c r="G119" s="81" t="e">
        <f t="shared" ref="G119:AL119" si="105">SUM(G114:G116)</f>
        <v>#DIV/0!</v>
      </c>
      <c r="H119" s="81" t="e">
        <f t="shared" si="105"/>
        <v>#DIV/0!</v>
      </c>
      <c r="I119" s="81" t="e">
        <f t="shared" si="105"/>
        <v>#DIV/0!</v>
      </c>
      <c r="J119" s="81" t="e">
        <f t="shared" si="105"/>
        <v>#DIV/0!</v>
      </c>
      <c r="K119" s="81" t="e">
        <f t="shared" si="105"/>
        <v>#DIV/0!</v>
      </c>
      <c r="L119" s="81" t="e">
        <f t="shared" si="105"/>
        <v>#DIV/0!</v>
      </c>
      <c r="M119" s="81" t="e">
        <f t="shared" si="105"/>
        <v>#DIV/0!</v>
      </c>
      <c r="N119" s="81" t="e">
        <f t="shared" si="105"/>
        <v>#DIV/0!</v>
      </c>
      <c r="O119" s="81" t="e">
        <f t="shared" si="105"/>
        <v>#DIV/0!</v>
      </c>
      <c r="P119" s="81" t="e">
        <f t="shared" si="105"/>
        <v>#DIV/0!</v>
      </c>
      <c r="Q119" s="81" t="e">
        <f t="shared" si="105"/>
        <v>#DIV/0!</v>
      </c>
      <c r="R119" s="81" t="e">
        <f t="shared" si="105"/>
        <v>#DIV/0!</v>
      </c>
      <c r="S119" s="81" t="e">
        <f t="shared" si="105"/>
        <v>#DIV/0!</v>
      </c>
      <c r="T119" s="81" t="e">
        <f t="shared" si="105"/>
        <v>#DIV/0!</v>
      </c>
      <c r="U119" s="81" t="e">
        <f t="shared" si="105"/>
        <v>#DIV/0!</v>
      </c>
      <c r="V119" s="81" t="e">
        <f t="shared" si="105"/>
        <v>#DIV/0!</v>
      </c>
      <c r="W119" s="81" t="e">
        <f t="shared" si="105"/>
        <v>#DIV/0!</v>
      </c>
      <c r="X119" s="81" t="e">
        <f t="shared" si="105"/>
        <v>#DIV/0!</v>
      </c>
      <c r="Y119" s="81" t="e">
        <f t="shared" si="105"/>
        <v>#DIV/0!</v>
      </c>
      <c r="Z119" s="81" t="e">
        <f t="shared" si="105"/>
        <v>#DIV/0!</v>
      </c>
      <c r="AA119" s="81" t="e">
        <f t="shared" si="105"/>
        <v>#DIV/0!</v>
      </c>
      <c r="AB119" s="81" t="e">
        <f t="shared" si="105"/>
        <v>#DIV/0!</v>
      </c>
      <c r="AC119" s="81" t="e">
        <f t="shared" si="105"/>
        <v>#DIV/0!</v>
      </c>
      <c r="AD119" s="81" t="e">
        <f t="shared" si="105"/>
        <v>#DIV/0!</v>
      </c>
      <c r="AE119" s="81" t="e">
        <f t="shared" si="105"/>
        <v>#DIV/0!</v>
      </c>
      <c r="AF119" s="81" t="e">
        <f t="shared" si="105"/>
        <v>#DIV/0!</v>
      </c>
      <c r="AG119" s="81" t="e">
        <f t="shared" si="105"/>
        <v>#DIV/0!</v>
      </c>
      <c r="AH119" s="81" t="e">
        <f t="shared" si="105"/>
        <v>#DIV/0!</v>
      </c>
      <c r="AI119" s="81" t="e">
        <f t="shared" si="105"/>
        <v>#DIV/0!</v>
      </c>
      <c r="AJ119" s="81" t="e">
        <f t="shared" si="105"/>
        <v>#DIV/0!</v>
      </c>
      <c r="AK119" s="81" t="e">
        <f t="shared" si="105"/>
        <v>#DIV/0!</v>
      </c>
      <c r="AL119" s="81" t="e">
        <f t="shared" si="105"/>
        <v>#DIV/0!</v>
      </c>
      <c r="AM119" s="81" t="e">
        <f t="shared" ref="AM119:BR119" si="106">SUM(AM114:AM116)</f>
        <v>#DIV/0!</v>
      </c>
      <c r="AN119" s="81" t="e">
        <f t="shared" si="106"/>
        <v>#DIV/0!</v>
      </c>
      <c r="AO119" s="81" t="e">
        <f t="shared" si="106"/>
        <v>#DIV/0!</v>
      </c>
      <c r="AP119" s="81" t="e">
        <f t="shared" si="106"/>
        <v>#DIV/0!</v>
      </c>
      <c r="AQ119" s="81" t="e">
        <f t="shared" si="106"/>
        <v>#DIV/0!</v>
      </c>
      <c r="AR119" s="81" t="e">
        <f t="shared" si="106"/>
        <v>#DIV/0!</v>
      </c>
      <c r="AS119" s="81" t="e">
        <f t="shared" si="106"/>
        <v>#DIV/0!</v>
      </c>
      <c r="AT119" s="81" t="e">
        <f t="shared" si="106"/>
        <v>#DIV/0!</v>
      </c>
      <c r="AU119" s="81" t="e">
        <f t="shared" si="106"/>
        <v>#DIV/0!</v>
      </c>
      <c r="AV119" s="81" t="e">
        <f t="shared" si="106"/>
        <v>#DIV/0!</v>
      </c>
      <c r="AW119" s="81" t="e">
        <f t="shared" si="106"/>
        <v>#DIV/0!</v>
      </c>
      <c r="AX119" s="81" t="e">
        <f t="shared" si="106"/>
        <v>#DIV/0!</v>
      </c>
      <c r="AY119" s="81" t="e">
        <f t="shared" si="106"/>
        <v>#DIV/0!</v>
      </c>
      <c r="AZ119" s="81" t="e">
        <f t="shared" si="106"/>
        <v>#DIV/0!</v>
      </c>
      <c r="BA119" s="81" t="e">
        <f t="shared" si="106"/>
        <v>#DIV/0!</v>
      </c>
      <c r="BB119" s="81" t="e">
        <f t="shared" si="106"/>
        <v>#DIV/0!</v>
      </c>
      <c r="BC119" s="81" t="e">
        <f t="shared" si="106"/>
        <v>#DIV/0!</v>
      </c>
      <c r="BD119" s="81" t="e">
        <f t="shared" si="106"/>
        <v>#DIV/0!</v>
      </c>
      <c r="BE119" s="81" t="e">
        <f t="shared" si="106"/>
        <v>#DIV/0!</v>
      </c>
      <c r="BF119" s="81" t="e">
        <f t="shared" si="106"/>
        <v>#DIV/0!</v>
      </c>
      <c r="BG119" s="81" t="e">
        <f t="shared" si="106"/>
        <v>#DIV/0!</v>
      </c>
      <c r="BH119" s="81" t="e">
        <f t="shared" si="106"/>
        <v>#DIV/0!</v>
      </c>
      <c r="BI119" s="81" t="e">
        <f t="shared" si="106"/>
        <v>#DIV/0!</v>
      </c>
      <c r="BJ119" s="81" t="e">
        <f t="shared" si="106"/>
        <v>#DIV/0!</v>
      </c>
      <c r="BK119" s="81" t="e">
        <f t="shared" si="106"/>
        <v>#DIV/0!</v>
      </c>
      <c r="BL119" s="81" t="e">
        <f t="shared" si="106"/>
        <v>#DIV/0!</v>
      </c>
      <c r="BM119" s="81" t="e">
        <f t="shared" si="106"/>
        <v>#DIV/0!</v>
      </c>
      <c r="BN119" s="81" t="e">
        <f t="shared" si="106"/>
        <v>#DIV/0!</v>
      </c>
      <c r="BO119" s="81" t="e">
        <f t="shared" si="106"/>
        <v>#DIV/0!</v>
      </c>
      <c r="BP119" s="81" t="e">
        <f t="shared" si="106"/>
        <v>#DIV/0!</v>
      </c>
      <c r="BQ119" s="81" t="e">
        <f t="shared" si="106"/>
        <v>#DIV/0!</v>
      </c>
      <c r="BR119" s="81" t="e">
        <f t="shared" si="106"/>
        <v>#DIV/0!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669.6</v>
      </c>
      <c r="Y122" s="4">
        <f ca="1"/>
        <v>735.7</v>
      </c>
      <c r="Z122" s="4">
        <f ca="1"/>
        <v>801.8</v>
      </c>
      <c r="AA122" s="4">
        <f ca="1"/>
        <v>867.8</v>
      </c>
      <c r="AB122" s="4">
        <f ca="1"/>
        <v>884.4</v>
      </c>
      <c r="AC122" s="4">
        <f ca="1"/>
        <v>900.9</v>
      </c>
      <c r="AD122" s="4">
        <f ca="1"/>
        <v>917.4</v>
      </c>
      <c r="AE122" s="4">
        <f ca="1"/>
        <v>933.9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 t="e">
        <f ca="1"/>
        <v>#DIV/0!</v>
      </c>
      <c r="G123" s="47" t="e">
        <f ca="1"/>
        <v>#DIV/0!</v>
      </c>
      <c r="H123" s="47" t="e">
        <f ca="1"/>
        <v>#DIV/0!</v>
      </c>
      <c r="I123" s="47" t="e">
        <f ca="1"/>
        <v>#DIV/0!</v>
      </c>
      <c r="J123" s="47" t="e">
        <f ca="1"/>
        <v>#DIV/0!</v>
      </c>
      <c r="K123" s="47" t="e">
        <f ca="1"/>
        <v>#DIV/0!</v>
      </c>
      <c r="L123" s="47" t="e">
        <f ca="1"/>
        <v>#DIV/0!</v>
      </c>
      <c r="M123" s="47" t="e">
        <f ca="1"/>
        <v>#DIV/0!</v>
      </c>
      <c r="N123" s="47" t="e">
        <f ca="1"/>
        <v>#DIV/0!</v>
      </c>
      <c r="O123" s="47" t="e">
        <f ca="1"/>
        <v>#DIV/0!</v>
      </c>
      <c r="P123" s="47" t="e">
        <f ca="1"/>
        <v>#DIV/0!</v>
      </c>
      <c r="Q123" s="47" t="e">
        <f ca="1"/>
        <v>#DIV/0!</v>
      </c>
      <c r="R123" s="47" t="e">
        <f ca="1"/>
        <v>#DIV/0!</v>
      </c>
      <c r="S123" s="47" t="e">
        <f ca="1"/>
        <v>#DIV/0!</v>
      </c>
      <c r="T123" s="47" t="e">
        <f ca="1"/>
        <v>#DIV/0!</v>
      </c>
      <c r="U123" s="47" t="e">
        <f ca="1"/>
        <v>#DIV/0!</v>
      </c>
      <c r="V123" s="47" t="e">
        <f ca="1"/>
        <v>#DIV/0!</v>
      </c>
      <c r="W123" s="47" t="e">
        <f ca="1"/>
        <v>#DIV/0!</v>
      </c>
      <c r="X123" s="47" t="e">
        <f ca="1"/>
        <v>#DIV/0!</v>
      </c>
      <c r="Y123" s="47" t="e">
        <f ca="1"/>
        <v>#DIV/0!</v>
      </c>
      <c r="Z123" s="47" t="e">
        <f ca="1"/>
        <v>#DIV/0!</v>
      </c>
      <c r="AA123" s="47" t="e">
        <f ca="1"/>
        <v>#DIV/0!</v>
      </c>
      <c r="AB123" s="47" t="e">
        <f ca="1"/>
        <v>#DIV/0!</v>
      </c>
      <c r="AC123" s="47" t="e">
        <f ca="1"/>
        <v>#DIV/0!</v>
      </c>
      <c r="AD123" s="47" t="e">
        <f ca="1"/>
        <v>#DIV/0!</v>
      </c>
      <c r="AE123" s="47" t="e">
        <f ca="1"/>
        <v>#DIV/0!</v>
      </c>
      <c r="AF123" s="47" t="e">
        <f ca="1"/>
        <v>#DIV/0!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 t="e">
        <f ca="1"/>
        <v>#DIV/0!</v>
      </c>
      <c r="G124" s="47" t="e">
        <f ca="1"/>
        <v>#DIV/0!</v>
      </c>
      <c r="H124" s="47" t="e">
        <f ca="1"/>
        <v>#DIV/0!</v>
      </c>
      <c r="I124" s="47" t="e">
        <f ca="1"/>
        <v>#DIV/0!</v>
      </c>
      <c r="J124" s="47" t="e">
        <f ca="1"/>
        <v>#DIV/0!</v>
      </c>
      <c r="K124" s="47" t="e">
        <f ca="1"/>
        <v>#DIV/0!</v>
      </c>
      <c r="L124" s="47" t="e">
        <f ca="1"/>
        <v>#DIV/0!</v>
      </c>
      <c r="M124" s="47" t="e">
        <f ca="1"/>
        <v>#DIV/0!</v>
      </c>
      <c r="N124" s="47" t="e">
        <f ca="1"/>
        <v>#DIV/0!</v>
      </c>
      <c r="O124" s="47" t="e">
        <f ca="1"/>
        <v>#DIV/0!</v>
      </c>
      <c r="P124" s="47" t="e">
        <f ca="1"/>
        <v>#DIV/0!</v>
      </c>
      <c r="Q124" s="47" t="e">
        <f ca="1"/>
        <v>#DIV/0!</v>
      </c>
      <c r="R124" s="47" t="e">
        <f ca="1"/>
        <v>#DIV/0!</v>
      </c>
      <c r="S124" s="47" t="e">
        <f ca="1"/>
        <v>#DIV/0!</v>
      </c>
      <c r="T124" s="47" t="e">
        <f ca="1"/>
        <v>#DIV/0!</v>
      </c>
      <c r="U124" s="47" t="e">
        <f ca="1"/>
        <v>#DIV/0!</v>
      </c>
      <c r="V124" s="47" t="e">
        <f ca="1"/>
        <v>#DIV/0!</v>
      </c>
      <c r="W124" s="47" t="e">
        <f ca="1"/>
        <v>#DIV/0!</v>
      </c>
      <c r="X124" s="47" t="e">
        <f ca="1"/>
        <v>#DIV/0!</v>
      </c>
      <c r="Y124" s="47" t="e">
        <f ca="1"/>
        <v>#DIV/0!</v>
      </c>
      <c r="Z124" s="47" t="e">
        <f ca="1"/>
        <v>#DIV/0!</v>
      </c>
      <c r="AA124" s="47" t="e">
        <f ca="1"/>
        <v>#DIV/0!</v>
      </c>
      <c r="AB124" s="47" t="e">
        <f ca="1"/>
        <v>#DIV/0!</v>
      </c>
      <c r="AC124" s="47" t="e">
        <f ca="1"/>
        <v>#DIV/0!</v>
      </c>
      <c r="AD124" s="47" t="e">
        <f ca="1"/>
        <v>#DIV/0!</v>
      </c>
      <c r="AE124" s="47" t="e">
        <f ca="1"/>
        <v>#DIV/0!</v>
      </c>
      <c r="AF124" s="47" t="e">
        <f ca="1"/>
        <v>#DIV/0!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 t="e">
        <f ca="1"/>
        <v>#DIV/0!</v>
      </c>
      <c r="G125" s="47" t="e">
        <f ca="1"/>
        <v>#DIV/0!</v>
      </c>
      <c r="H125" s="47" t="e">
        <f ca="1"/>
        <v>#DIV/0!</v>
      </c>
      <c r="I125" s="47" t="e">
        <f ca="1"/>
        <v>#DIV/0!</v>
      </c>
      <c r="J125" s="47" t="e">
        <f ca="1"/>
        <v>#DIV/0!</v>
      </c>
      <c r="K125" s="47" t="e">
        <f ca="1"/>
        <v>#DIV/0!</v>
      </c>
      <c r="L125" s="47" t="e">
        <f ca="1"/>
        <v>#DIV/0!</v>
      </c>
      <c r="M125" s="47" t="e">
        <f ca="1"/>
        <v>#DIV/0!</v>
      </c>
      <c r="N125" s="47" t="e">
        <f ca="1"/>
        <v>#DIV/0!</v>
      </c>
      <c r="O125" s="47" t="e">
        <f ca="1"/>
        <v>#DIV/0!</v>
      </c>
      <c r="P125" s="47" t="e">
        <f ca="1"/>
        <v>#DIV/0!</v>
      </c>
      <c r="Q125" s="47" t="e">
        <f ca="1"/>
        <v>#DIV/0!</v>
      </c>
      <c r="R125" s="47" t="e">
        <f ca="1"/>
        <v>#DIV/0!</v>
      </c>
      <c r="S125" s="47" t="e">
        <f ca="1"/>
        <v>#DIV/0!</v>
      </c>
      <c r="T125" s="47" t="e">
        <f ca="1"/>
        <v>#DIV/0!</v>
      </c>
      <c r="U125" s="47" t="e">
        <f ca="1"/>
        <v>#DIV/0!</v>
      </c>
      <c r="V125" s="47" t="e">
        <f ca="1"/>
        <v>#DIV/0!</v>
      </c>
      <c r="W125" s="47" t="e">
        <f ca="1"/>
        <v>#DIV/0!</v>
      </c>
      <c r="X125" s="47" t="e">
        <f ca="1"/>
        <v>#DIV/0!</v>
      </c>
      <c r="Y125" s="47" t="e">
        <f ca="1"/>
        <v>#DIV/0!</v>
      </c>
      <c r="Z125" s="47" t="e">
        <f ca="1"/>
        <v>#DIV/0!</v>
      </c>
      <c r="AA125" s="47" t="e">
        <f ca="1"/>
        <v>#DIV/0!</v>
      </c>
      <c r="AB125" s="47" t="e">
        <f ca="1"/>
        <v>#DIV/0!</v>
      </c>
      <c r="AC125" s="47" t="e">
        <f ca="1"/>
        <v>#DIV/0!</v>
      </c>
      <c r="AD125" s="47" t="e">
        <f ca="1"/>
        <v>#DIV/0!</v>
      </c>
      <c r="AE125" s="47" t="e">
        <f ca="1"/>
        <v>#DIV/0!</v>
      </c>
      <c r="AF125" s="47" t="e">
        <f ca="1"/>
        <v>#DIV/0!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 t="e">
        <f ca="1"/>
        <v>#DIV/0!</v>
      </c>
      <c r="G126" s="47" t="e">
        <f ca="1"/>
        <v>#DIV/0!</v>
      </c>
      <c r="H126" s="47" t="e">
        <f ca="1"/>
        <v>#DIV/0!</v>
      </c>
      <c r="I126" s="47" t="e">
        <f ca="1"/>
        <v>#DIV/0!</v>
      </c>
      <c r="J126" s="47" t="e">
        <f ca="1"/>
        <v>#DIV/0!</v>
      </c>
      <c r="K126" s="47" t="e">
        <f ca="1"/>
        <v>#DIV/0!</v>
      </c>
      <c r="L126" s="47" t="e">
        <f ca="1"/>
        <v>#DIV/0!</v>
      </c>
      <c r="M126" s="47" t="e">
        <f ca="1"/>
        <v>#DIV/0!</v>
      </c>
      <c r="N126" s="47" t="e">
        <f ca="1"/>
        <v>#DIV/0!</v>
      </c>
      <c r="O126" s="47" t="e">
        <f ca="1"/>
        <v>#DIV/0!</v>
      </c>
      <c r="P126" s="47" t="e">
        <f ca="1"/>
        <v>#DIV/0!</v>
      </c>
      <c r="Q126" s="47" t="e">
        <f ca="1"/>
        <v>#DIV/0!</v>
      </c>
      <c r="R126" s="47" t="e">
        <f ca="1"/>
        <v>#DIV/0!</v>
      </c>
      <c r="S126" s="47" t="e">
        <f ca="1"/>
        <v>#DIV/0!</v>
      </c>
      <c r="T126" s="47" t="e">
        <f ca="1"/>
        <v>#DIV/0!</v>
      </c>
      <c r="U126" s="47" t="e">
        <f ca="1"/>
        <v>#DIV/0!</v>
      </c>
      <c r="V126" s="47" t="e">
        <f ca="1"/>
        <v>#DIV/0!</v>
      </c>
      <c r="W126" s="47" t="e">
        <f ca="1"/>
        <v>#DIV/0!</v>
      </c>
      <c r="X126" s="47" t="e">
        <f ca="1"/>
        <v>#DIV/0!</v>
      </c>
      <c r="Y126" s="47" t="e">
        <f ca="1"/>
        <v>#DIV/0!</v>
      </c>
      <c r="Z126" s="47" t="e">
        <f ca="1"/>
        <v>#DIV/0!</v>
      </c>
      <c r="AA126" s="47" t="e">
        <f ca="1"/>
        <v>#DIV/0!</v>
      </c>
      <c r="AB126" s="47" t="e">
        <f ca="1"/>
        <v>#DIV/0!</v>
      </c>
      <c r="AC126" s="47" t="e">
        <f ca="1"/>
        <v>#DIV/0!</v>
      </c>
      <c r="AD126" s="47" t="e">
        <f ca="1"/>
        <v>#DIV/0!</v>
      </c>
      <c r="AE126" s="47" t="e">
        <f ca="1"/>
        <v>#DIV/0!</v>
      </c>
      <c r="AF126" s="47" t="e">
        <f ca="1"/>
        <v>#DIV/0!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 t="e">
        <f ca="1"/>
        <v>#DIV/0!</v>
      </c>
      <c r="G127" s="47" t="e">
        <f ca="1"/>
        <v>#DIV/0!</v>
      </c>
      <c r="H127" s="47" t="e">
        <f ca="1"/>
        <v>#DIV/0!</v>
      </c>
      <c r="I127" s="47" t="e">
        <f ca="1"/>
        <v>#DIV/0!</v>
      </c>
      <c r="J127" s="47" t="e">
        <f ca="1"/>
        <v>#DIV/0!</v>
      </c>
      <c r="K127" s="47" t="e">
        <f ca="1"/>
        <v>#DIV/0!</v>
      </c>
      <c r="L127" s="47" t="e">
        <f ca="1"/>
        <v>#DIV/0!</v>
      </c>
      <c r="M127" s="47" t="e">
        <f ca="1"/>
        <v>#DIV/0!</v>
      </c>
      <c r="N127" s="47" t="e">
        <f ca="1"/>
        <v>#DIV/0!</v>
      </c>
      <c r="O127" s="47" t="e">
        <f ca="1"/>
        <v>#DIV/0!</v>
      </c>
      <c r="P127" s="47" t="e">
        <f ca="1"/>
        <v>#DIV/0!</v>
      </c>
      <c r="Q127" s="47" t="e">
        <f ca="1"/>
        <v>#DIV/0!</v>
      </c>
      <c r="R127" s="47" t="e">
        <f ca="1"/>
        <v>#DIV/0!</v>
      </c>
      <c r="S127" s="47" t="e">
        <f ca="1"/>
        <v>#DIV/0!</v>
      </c>
      <c r="T127" s="47" t="e">
        <f ca="1"/>
        <v>#DIV/0!</v>
      </c>
      <c r="U127" s="47" t="e">
        <f ca="1"/>
        <v>#DIV/0!</v>
      </c>
      <c r="V127" s="47" t="e">
        <f ca="1"/>
        <v>#DIV/0!</v>
      </c>
      <c r="W127" s="47" t="e">
        <f ca="1"/>
        <v>#DIV/0!</v>
      </c>
      <c r="X127" s="47" t="e">
        <f ca="1"/>
        <v>#DIV/0!</v>
      </c>
      <c r="Y127" s="47" t="e">
        <f ca="1"/>
        <v>#DIV/0!</v>
      </c>
      <c r="Z127" s="47" t="e">
        <f ca="1"/>
        <v>#DIV/0!</v>
      </c>
      <c r="AA127" s="47" t="e">
        <f ca="1"/>
        <v>#DIV/0!</v>
      </c>
      <c r="AB127" s="47" t="e">
        <f ca="1"/>
        <v>#DIV/0!</v>
      </c>
      <c r="AC127" s="47" t="e">
        <f ca="1"/>
        <v>#DIV/0!</v>
      </c>
      <c r="AD127" s="47" t="e">
        <f ca="1"/>
        <v>#DIV/0!</v>
      </c>
      <c r="AE127" s="47" t="e">
        <f ca="1"/>
        <v>#DIV/0!</v>
      </c>
      <c r="AF127" s="47" t="e">
        <f ca="1"/>
        <v>#DIV/0!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 t="e">
        <f ca="1"/>
        <v>#DIV/0!</v>
      </c>
      <c r="G128" s="47" t="e">
        <f ca="1"/>
        <v>#DIV/0!</v>
      </c>
      <c r="H128" s="47" t="e">
        <f ca="1"/>
        <v>#DIV/0!</v>
      </c>
      <c r="I128" s="47" t="e">
        <f ca="1"/>
        <v>#DIV/0!</v>
      </c>
      <c r="J128" s="47" t="e">
        <f ca="1"/>
        <v>#DIV/0!</v>
      </c>
      <c r="K128" s="47" t="e">
        <f ca="1"/>
        <v>#DIV/0!</v>
      </c>
      <c r="L128" s="47" t="e">
        <f ca="1"/>
        <v>#DIV/0!</v>
      </c>
      <c r="M128" s="47" t="e">
        <f ca="1"/>
        <v>#DIV/0!</v>
      </c>
      <c r="N128" s="47" t="e">
        <f ca="1"/>
        <v>#DIV/0!</v>
      </c>
      <c r="O128" s="47" t="e">
        <f ca="1"/>
        <v>#DIV/0!</v>
      </c>
      <c r="P128" s="47" t="e">
        <f ca="1"/>
        <v>#DIV/0!</v>
      </c>
      <c r="Q128" s="47" t="e">
        <f ca="1"/>
        <v>#DIV/0!</v>
      </c>
      <c r="R128" s="47" t="e">
        <f ca="1"/>
        <v>#DIV/0!</v>
      </c>
      <c r="S128" s="47" t="e">
        <f ca="1"/>
        <v>#DIV/0!</v>
      </c>
      <c r="T128" s="47" t="e">
        <f ca="1"/>
        <v>#DIV/0!</v>
      </c>
      <c r="U128" s="47" t="e">
        <f ca="1"/>
        <v>#DIV/0!</v>
      </c>
      <c r="V128" s="47" t="e">
        <f ca="1"/>
        <v>#DIV/0!</v>
      </c>
      <c r="W128" s="47" t="e">
        <f ca="1"/>
        <v>#DIV/0!</v>
      </c>
      <c r="X128" s="47" t="e">
        <f ca="1"/>
        <v>#DIV/0!</v>
      </c>
      <c r="Y128" s="47" t="e">
        <f ca="1"/>
        <v>#DIV/0!</v>
      </c>
      <c r="Z128" s="47" t="e">
        <f ca="1"/>
        <v>#DIV/0!</v>
      </c>
      <c r="AA128" s="47" t="e">
        <f ca="1"/>
        <v>#DIV/0!</v>
      </c>
      <c r="AB128" s="47" t="e">
        <f ca="1"/>
        <v>#DIV/0!</v>
      </c>
      <c r="AC128" s="47" t="e">
        <f ca="1"/>
        <v>#DIV/0!</v>
      </c>
      <c r="AD128" s="47" t="e">
        <f ca="1"/>
        <v>#DIV/0!</v>
      </c>
      <c r="AE128" s="47" t="e">
        <f ca="1"/>
        <v>#DIV/0!</v>
      </c>
      <c r="AF128" s="47" t="e">
        <f ca="1"/>
        <v>#DIV/0!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0F9A3-6C20-4FC5-B0B5-8992CE852F75}">
  <sheetPr codeName="Лист8"/>
  <dimension ref="A1:AB27"/>
  <sheetViews>
    <sheetView topLeftCell="J13" workbookViewId="0">
      <selection activeCell="N34" sqref="N34"/>
    </sheetView>
  </sheetViews>
  <sheetFormatPr defaultRowHeight="21" x14ac:dyDescent="0.35"/>
  <sheetData>
    <row r="1" spans="1:28" x14ac:dyDescent="0.35">
      <c r="A1" s="144" t="s">
        <v>72</v>
      </c>
      <c r="B1" s="145">
        <v>273.10000000000002</v>
      </c>
      <c r="C1" s="146">
        <v>289.7</v>
      </c>
      <c r="D1" s="147">
        <v>306.2</v>
      </c>
      <c r="E1" s="145">
        <v>322.7</v>
      </c>
      <c r="F1" s="146">
        <v>339.2</v>
      </c>
      <c r="G1" s="147">
        <v>355.7</v>
      </c>
      <c r="H1" s="145">
        <v>372.3</v>
      </c>
      <c r="I1" s="146">
        <v>388.8</v>
      </c>
      <c r="J1" s="147">
        <v>405.3</v>
      </c>
      <c r="K1" s="145">
        <v>471.4</v>
      </c>
      <c r="L1" s="146">
        <v>487.9</v>
      </c>
      <c r="M1" s="147">
        <v>504.4</v>
      </c>
      <c r="N1" s="145">
        <v>520.9</v>
      </c>
      <c r="O1" s="146">
        <v>537.5</v>
      </c>
      <c r="P1" s="147">
        <v>554</v>
      </c>
      <c r="Q1" s="145">
        <v>570.5</v>
      </c>
      <c r="R1" s="147">
        <v>587</v>
      </c>
      <c r="S1" s="147">
        <v>603.5</v>
      </c>
      <c r="T1" s="145">
        <v>669.6</v>
      </c>
      <c r="U1" s="146">
        <v>735.7</v>
      </c>
      <c r="V1" s="147">
        <v>801.8</v>
      </c>
      <c r="W1" s="145">
        <v>867.8</v>
      </c>
      <c r="X1" s="146">
        <v>884.4</v>
      </c>
      <c r="Y1" s="147">
        <v>900.9</v>
      </c>
      <c r="Z1" s="145">
        <v>917.4</v>
      </c>
      <c r="AA1" s="146">
        <v>933.9</v>
      </c>
      <c r="AB1" s="147">
        <v>1000</v>
      </c>
    </row>
    <row r="2" spans="1:28" x14ac:dyDescent="0.35">
      <c r="A2" s="149" t="s">
        <v>75</v>
      </c>
      <c r="B2" s="156">
        <v>4.1823000000000003E-9</v>
      </c>
      <c r="C2" s="156">
        <v>3.5658999999999999E-9</v>
      </c>
      <c r="D2" s="156">
        <v>1.105E-9</v>
      </c>
      <c r="E2" s="156">
        <v>9.1435000000000005E-11</v>
      </c>
      <c r="F2" s="156">
        <v>3.1193E-14</v>
      </c>
      <c r="G2" s="156">
        <v>5.4287000000000001E-11</v>
      </c>
      <c r="H2" s="156">
        <v>4.4297000000000002E-14</v>
      </c>
      <c r="I2" s="156">
        <v>5.4128000000000001E-20</v>
      </c>
      <c r="J2" s="156">
        <v>4.0770000000000003E-26</v>
      </c>
      <c r="K2" s="156">
        <v>0</v>
      </c>
      <c r="L2" s="156">
        <v>0</v>
      </c>
      <c r="M2" s="156">
        <v>0</v>
      </c>
      <c r="N2" s="156">
        <v>0</v>
      </c>
      <c r="O2" s="156">
        <v>0</v>
      </c>
      <c r="P2" s="157">
        <v>0</v>
      </c>
      <c r="Q2" s="156">
        <v>0</v>
      </c>
      <c r="R2" s="157">
        <v>0</v>
      </c>
      <c r="S2" s="156">
        <v>0</v>
      </c>
      <c r="T2" s="156">
        <v>0</v>
      </c>
      <c r="U2" s="156">
        <v>0</v>
      </c>
      <c r="V2" s="156">
        <v>0</v>
      </c>
      <c r="W2" s="156">
        <v>0</v>
      </c>
      <c r="X2" s="156">
        <v>0</v>
      </c>
      <c r="Y2" s="156">
        <v>0</v>
      </c>
      <c r="Z2" s="156">
        <v>0</v>
      </c>
      <c r="AA2" s="156">
        <v>0</v>
      </c>
      <c r="AB2" s="156">
        <v>0</v>
      </c>
    </row>
    <row r="3" spans="1:28" x14ac:dyDescent="0.35">
      <c r="A3" s="144" t="s">
        <v>49</v>
      </c>
      <c r="B3" s="158">
        <v>0</v>
      </c>
      <c r="C3" s="158">
        <v>9.4120000000000004E-31</v>
      </c>
      <c r="D3" s="158">
        <v>3.2174000000000001E-19</v>
      </c>
      <c r="E3" s="158">
        <v>3.6182000000000001E-12</v>
      </c>
      <c r="F3" s="158">
        <v>7.9805000000000005E-10</v>
      </c>
      <c r="G3" s="158">
        <v>6.2844999999999997E-12</v>
      </c>
      <c r="H3" s="158">
        <v>7.0559000000000004E-10</v>
      </c>
      <c r="I3" s="158">
        <v>1.179E-9</v>
      </c>
      <c r="J3" s="158">
        <v>2.4076999999999999E-9</v>
      </c>
      <c r="K3" s="158">
        <v>3.8363999999999997E-9</v>
      </c>
      <c r="L3" s="158">
        <v>4.3593999999999996E-9</v>
      </c>
      <c r="M3" s="158">
        <v>7.6769999999999999E-9</v>
      </c>
      <c r="N3" s="158">
        <v>6.4545E-9</v>
      </c>
      <c r="O3" s="158">
        <v>8.5846000000000003E-9</v>
      </c>
      <c r="P3" s="159">
        <v>8.3344000000000005E-9</v>
      </c>
      <c r="Q3" s="158">
        <v>1.2420999999999999E-8</v>
      </c>
      <c r="R3" s="159">
        <v>1.6213999999999999E-8</v>
      </c>
      <c r="S3" s="158">
        <v>1.0381E-8</v>
      </c>
      <c r="T3" s="158">
        <v>1.5279000000000001E-8</v>
      </c>
      <c r="U3" s="158">
        <v>1.6630999999999999E-8</v>
      </c>
      <c r="V3" s="158">
        <v>1.8374E-8</v>
      </c>
      <c r="W3" s="158">
        <v>2.1967000000000001E-8</v>
      </c>
      <c r="X3" s="158">
        <v>1.8927000000000001E-8</v>
      </c>
      <c r="Y3" s="158">
        <v>1.9089999999999999E-9</v>
      </c>
      <c r="Z3" s="160">
        <v>1.0988E-10</v>
      </c>
      <c r="AA3" s="160">
        <v>1.0156E-11</v>
      </c>
      <c r="AB3" s="160">
        <v>1.9516E-16</v>
      </c>
    </row>
    <row r="4" spans="1:28" x14ac:dyDescent="0.35">
      <c r="A4" s="144" t="s">
        <v>78</v>
      </c>
      <c r="B4" s="158">
        <v>5.6890999999999997E-2</v>
      </c>
      <c r="C4" s="158">
        <v>6.0013999999999998E-2</v>
      </c>
      <c r="D4" s="158">
        <v>6.7182000000000006E-2</v>
      </c>
      <c r="E4" s="158">
        <v>7.8593999999999997E-2</v>
      </c>
      <c r="F4" s="158">
        <v>9.1024999999999995E-2</v>
      </c>
      <c r="G4" s="158">
        <v>7.9388E-2</v>
      </c>
      <c r="H4" s="158">
        <v>9.0358999999999995E-2</v>
      </c>
      <c r="I4" s="158">
        <v>9.8905000000000007E-2</v>
      </c>
      <c r="J4" s="158">
        <v>0.10381</v>
      </c>
      <c r="K4" s="158">
        <v>8.1042000000000003E-2</v>
      </c>
      <c r="L4" s="158">
        <v>5.9419E-2</v>
      </c>
      <c r="M4" s="158">
        <v>3.7888999999999999E-2</v>
      </c>
      <c r="N4" s="158">
        <v>2.1876E-2</v>
      </c>
      <c r="O4" s="158">
        <v>1.1953999999999999E-2</v>
      </c>
      <c r="P4" s="159">
        <v>6.3936000000000002E-3</v>
      </c>
      <c r="Q4" s="158">
        <v>3.4253E-3</v>
      </c>
      <c r="R4" s="159">
        <v>1.8648E-3</v>
      </c>
      <c r="S4" s="158">
        <v>1.0388999999999999E-3</v>
      </c>
      <c r="T4" s="158">
        <v>1.2572000000000001E-4</v>
      </c>
      <c r="U4" s="158">
        <v>2.0253000000000001E-5</v>
      </c>
      <c r="V4" s="158">
        <v>4.0493000000000003E-6</v>
      </c>
      <c r="W4" s="158">
        <v>9.3162000000000003E-7</v>
      </c>
      <c r="X4" s="158">
        <v>6.5809000000000004E-7</v>
      </c>
      <c r="Y4" s="158">
        <v>4.6945000000000001E-7</v>
      </c>
      <c r="Z4" s="158">
        <v>3.3807000000000001E-7</v>
      </c>
      <c r="AA4" s="158">
        <v>2.4555999999999998E-7</v>
      </c>
      <c r="AB4" s="158">
        <v>7.3405000000000001E-8</v>
      </c>
    </row>
    <row r="5" spans="1:28" x14ac:dyDescent="0.35">
      <c r="A5" s="144" t="s">
        <v>66</v>
      </c>
      <c r="B5" s="158">
        <v>0</v>
      </c>
      <c r="C5" s="158">
        <v>0</v>
      </c>
      <c r="D5" s="158">
        <v>0</v>
      </c>
      <c r="E5" s="158">
        <v>0</v>
      </c>
      <c r="F5" s="158">
        <v>0</v>
      </c>
      <c r="G5" s="158">
        <v>0</v>
      </c>
      <c r="H5" s="158">
        <v>0</v>
      </c>
      <c r="I5" s="158">
        <v>0</v>
      </c>
      <c r="J5" s="158">
        <v>0</v>
      </c>
      <c r="K5" s="158">
        <v>9.5786000000000003E-32</v>
      </c>
      <c r="L5" s="158">
        <v>7.6323999999999999E-30</v>
      </c>
      <c r="M5" s="158">
        <v>4.2617000000000002E-28</v>
      </c>
      <c r="N5" s="158">
        <v>1.8622999999999999E-26</v>
      </c>
      <c r="O5" s="158">
        <v>6.6245000000000001E-25</v>
      </c>
      <c r="P5" s="159">
        <v>1.8928999999999999E-23</v>
      </c>
      <c r="Q5" s="158">
        <v>4.2502999999999997E-22</v>
      </c>
      <c r="R5" s="159">
        <v>7.4691000000000006E-21</v>
      </c>
      <c r="S5" s="158">
        <v>1.0479E-19</v>
      </c>
      <c r="T5" s="158">
        <v>8.1084999999999995E-16</v>
      </c>
      <c r="U5" s="158">
        <v>1.1342999999999999E-12</v>
      </c>
      <c r="V5" s="158">
        <v>3.2051000000000001E-10</v>
      </c>
      <c r="W5" s="158">
        <v>7.4021000000000003E-9</v>
      </c>
      <c r="X5" s="158">
        <v>1.0564E-8</v>
      </c>
      <c r="Y5" s="158">
        <v>1.3380999999999999E-8</v>
      </c>
      <c r="Z5" s="158">
        <v>1.5594999999999998E-8</v>
      </c>
      <c r="AA5" s="158">
        <v>1.7211000000000001E-8</v>
      </c>
      <c r="AB5" s="158">
        <v>1.9883E-8</v>
      </c>
    </row>
    <row r="6" spans="1:28" x14ac:dyDescent="0.35">
      <c r="A6" s="144" t="s">
        <v>1</v>
      </c>
      <c r="B6" s="158">
        <v>0.2</v>
      </c>
      <c r="C6" s="158">
        <v>0.2</v>
      </c>
      <c r="D6" s="158">
        <v>0.2</v>
      </c>
      <c r="E6" s="158">
        <v>0.2</v>
      </c>
      <c r="F6" s="158">
        <v>0.2</v>
      </c>
      <c r="G6" s="158">
        <v>0.2</v>
      </c>
      <c r="H6" s="158">
        <v>0.2</v>
      </c>
      <c r="I6" s="158">
        <v>0.2</v>
      </c>
      <c r="J6" s="158">
        <v>0.2</v>
      </c>
      <c r="K6" s="158">
        <v>0.2</v>
      </c>
      <c r="L6" s="158">
        <v>0.2</v>
      </c>
      <c r="M6" s="158">
        <v>0.2</v>
      </c>
      <c r="N6" s="158">
        <v>0.2</v>
      </c>
      <c r="O6" s="158">
        <v>0.2</v>
      </c>
      <c r="P6" s="159">
        <v>0.2</v>
      </c>
      <c r="Q6" s="158">
        <v>0.2</v>
      </c>
      <c r="R6" s="159">
        <v>0.2</v>
      </c>
      <c r="S6" s="158">
        <v>0.2</v>
      </c>
      <c r="T6" s="158">
        <v>0.2</v>
      </c>
      <c r="U6" s="158">
        <v>0.2</v>
      </c>
      <c r="V6" s="158">
        <v>0.2</v>
      </c>
      <c r="W6" s="158">
        <v>0.2</v>
      </c>
      <c r="X6" s="158">
        <v>0.2</v>
      </c>
      <c r="Y6" s="158">
        <v>0.2</v>
      </c>
      <c r="Z6" s="158">
        <v>0.2</v>
      </c>
      <c r="AA6" s="158">
        <v>0.2</v>
      </c>
      <c r="AB6" s="158">
        <v>0.2</v>
      </c>
    </row>
    <row r="7" spans="1:28" x14ac:dyDescent="0.35">
      <c r="A7" s="144" t="s">
        <v>84</v>
      </c>
      <c r="B7" s="158">
        <v>9.7596000000000002E-2</v>
      </c>
      <c r="C7" s="158">
        <v>9.1974E-2</v>
      </c>
      <c r="D7" s="158">
        <v>7.9069E-2</v>
      </c>
      <c r="E7" s="158">
        <v>5.8520000000000003E-2</v>
      </c>
      <c r="F7" s="158">
        <v>3.6125999999999998E-2</v>
      </c>
      <c r="G7" s="158">
        <v>5.7002999999999998E-2</v>
      </c>
      <c r="H7" s="160">
        <v>3.7092E-2</v>
      </c>
      <c r="I7" s="160">
        <v>2.1264999999999999E-2</v>
      </c>
      <c r="J7" s="160">
        <v>1.1269E-2</v>
      </c>
      <c r="K7" s="158">
        <v>9.7707999999999997E-6</v>
      </c>
      <c r="L7" s="158">
        <v>4.8648000000000004E-6</v>
      </c>
      <c r="M7" s="158">
        <v>2.2141000000000001E-6</v>
      </c>
      <c r="N7" s="158">
        <v>8.8602999999999995E-7</v>
      </c>
      <c r="O7" s="158">
        <v>3.178E-7</v>
      </c>
      <c r="P7" s="159">
        <v>1.0694E-7</v>
      </c>
      <c r="Q7" s="158">
        <v>3.5210999999999997E-8</v>
      </c>
      <c r="R7" s="159">
        <v>1.1662E-8</v>
      </c>
      <c r="S7" s="158">
        <v>3.9443999999999997E-9</v>
      </c>
      <c r="T7" s="158">
        <v>6.8974000000000004E-11</v>
      </c>
      <c r="U7" s="158">
        <v>1.8893E-12</v>
      </c>
      <c r="V7" s="158">
        <v>7.7871999999999994E-14</v>
      </c>
      <c r="W7" s="160">
        <v>4.5578E-15</v>
      </c>
      <c r="X7" s="160">
        <v>2.3075999999999999E-15</v>
      </c>
      <c r="Y7" s="160">
        <v>1.1769000000000001E-15</v>
      </c>
      <c r="Z7" s="158">
        <v>6.0503999999999997E-16</v>
      </c>
      <c r="AA7" s="158">
        <v>3.1379999999999999E-16</v>
      </c>
      <c r="AB7" s="158">
        <v>2.5028E-17</v>
      </c>
    </row>
    <row r="8" spans="1:28" x14ac:dyDescent="0.35">
      <c r="A8" s="144" t="s">
        <v>79</v>
      </c>
      <c r="B8" s="158">
        <v>4.5512999999999998E-2</v>
      </c>
      <c r="C8" s="158">
        <v>4.8011999999999999E-2</v>
      </c>
      <c r="D8" s="158">
        <v>5.3748999999999998E-2</v>
      </c>
      <c r="E8" s="158">
        <v>6.2883999999999995E-2</v>
      </c>
      <c r="F8" s="158">
        <v>7.2843000000000005E-2</v>
      </c>
      <c r="G8" s="158">
        <v>6.3576999999999995E-2</v>
      </c>
      <c r="H8" s="158">
        <v>7.2458999999999996E-2</v>
      </c>
      <c r="I8" s="158">
        <v>7.9570000000000002E-2</v>
      </c>
      <c r="J8" s="158">
        <v>8.4186999999999998E-2</v>
      </c>
      <c r="K8" s="158">
        <v>9.0769000000000002E-2</v>
      </c>
      <c r="L8" s="158">
        <v>8.4641999999999995E-2</v>
      </c>
      <c r="M8" s="158">
        <v>6.9443000000000005E-2</v>
      </c>
      <c r="N8" s="158">
        <v>4.9264000000000002E-2</v>
      </c>
      <c r="O8" s="158">
        <v>3.1146E-2</v>
      </c>
      <c r="P8" s="159">
        <v>1.8366E-2</v>
      </c>
      <c r="Q8" s="158">
        <v>1.0496999999999999E-2</v>
      </c>
      <c r="R8" s="159">
        <v>5.9607000000000002E-3</v>
      </c>
      <c r="S8" s="158">
        <v>3.4093000000000001E-3</v>
      </c>
      <c r="T8" s="158">
        <v>4.2591999999999999E-4</v>
      </c>
      <c r="U8" s="158">
        <v>6.8961000000000006E-5</v>
      </c>
      <c r="V8" s="158">
        <v>1.4127E-5</v>
      </c>
      <c r="W8" s="158">
        <v>3.5306000000000001E-6</v>
      </c>
      <c r="X8" s="158">
        <v>2.5401999999999998E-6</v>
      </c>
      <c r="Y8" s="158">
        <v>1.8363000000000001E-6</v>
      </c>
      <c r="Z8" s="158">
        <v>1.3339000000000001E-6</v>
      </c>
      <c r="AA8" s="158">
        <v>9.7419999999999992E-7</v>
      </c>
      <c r="AB8" s="158">
        <v>2.9329E-7</v>
      </c>
    </row>
    <row r="9" spans="1:28" x14ac:dyDescent="0.35">
      <c r="A9" s="144" t="s">
        <v>57</v>
      </c>
      <c r="B9" s="158">
        <v>1.1710999999999999E-7</v>
      </c>
      <c r="C9" s="158">
        <v>2.5674000000000001E-7</v>
      </c>
      <c r="D9" s="158">
        <v>6.4908000000000004E-7</v>
      </c>
      <c r="E9" s="158">
        <v>1.9657999999999999E-6</v>
      </c>
      <c r="F9" s="158">
        <v>6.6646999999999999E-6</v>
      </c>
      <c r="G9" s="158">
        <v>3.1909999999999998E-5</v>
      </c>
      <c r="H9" s="158">
        <v>9.0048000000000002E-5</v>
      </c>
      <c r="I9" s="158">
        <v>2.5982000000000002E-4</v>
      </c>
      <c r="J9" s="158">
        <v>7.3362999999999998E-4</v>
      </c>
      <c r="K9" s="158">
        <v>2.8178999999999999E-2</v>
      </c>
      <c r="L9" s="158">
        <v>5.5932999999999997E-2</v>
      </c>
      <c r="M9" s="158">
        <v>9.2665999999999998E-2</v>
      </c>
      <c r="N9" s="158">
        <v>0.12886</v>
      </c>
      <c r="O9" s="158">
        <v>0.15690000000000001</v>
      </c>
      <c r="P9" s="159">
        <v>0.17524000000000001</v>
      </c>
      <c r="Q9" s="158">
        <v>0.18608</v>
      </c>
      <c r="R9" s="159">
        <v>0.19217000000000001</v>
      </c>
      <c r="S9" s="158">
        <v>0.19555</v>
      </c>
      <c r="T9" s="158">
        <v>0.19944999999999999</v>
      </c>
      <c r="U9" s="158">
        <v>0.19991</v>
      </c>
      <c r="V9" s="158">
        <v>0.19997999999999999</v>
      </c>
      <c r="W9" s="158">
        <v>0.2</v>
      </c>
      <c r="X9" s="158">
        <v>0.2</v>
      </c>
      <c r="Y9" s="158">
        <v>0.2</v>
      </c>
      <c r="Z9" s="158">
        <v>0.2</v>
      </c>
      <c r="AA9" s="158">
        <v>0.2</v>
      </c>
      <c r="AB9" s="158">
        <v>0.2</v>
      </c>
    </row>
    <row r="10" spans="1:28" x14ac:dyDescent="0.35">
      <c r="A10" s="150" t="s">
        <v>85</v>
      </c>
      <c r="B10" s="160">
        <v>5.9998999999999997E-2</v>
      </c>
      <c r="C10" s="160">
        <v>5.9998000000000003E-2</v>
      </c>
      <c r="D10" s="160">
        <v>5.9996000000000001E-2</v>
      </c>
      <c r="E10" s="160">
        <v>5.9991000000000003E-2</v>
      </c>
      <c r="F10" s="160">
        <v>5.9981E-2</v>
      </c>
      <c r="G10" s="160">
        <v>5.9948000000000001E-2</v>
      </c>
      <c r="H10" s="160">
        <v>5.9901000000000003E-2</v>
      </c>
      <c r="I10" s="160">
        <v>5.9809000000000001E-2</v>
      </c>
      <c r="J10" s="160">
        <v>5.9637000000000003E-2</v>
      </c>
      <c r="K10" s="160">
        <v>5.6177999999999999E-2</v>
      </c>
      <c r="L10" s="160">
        <v>5.3484999999999998E-2</v>
      </c>
      <c r="M10" s="160">
        <v>4.9385999999999999E-2</v>
      </c>
      <c r="N10" s="160">
        <v>4.3660999999999998E-2</v>
      </c>
      <c r="O10" s="160">
        <v>3.6357E-2</v>
      </c>
      <c r="P10" s="161">
        <v>2.7993000000000001E-2</v>
      </c>
      <c r="Q10" s="160">
        <v>1.9633999999999999E-2</v>
      </c>
      <c r="R10" s="161">
        <v>1.2524E-2</v>
      </c>
      <c r="S10" s="160">
        <v>7.3902999999999998E-3</v>
      </c>
      <c r="T10" s="160">
        <v>6.9225000000000005E-4</v>
      </c>
      <c r="U10" s="160">
        <v>7.2624000000000001E-5</v>
      </c>
      <c r="V10" s="160">
        <v>6.6896999999999997E-6</v>
      </c>
      <c r="W10" s="160">
        <v>1.6880999999999999E-7</v>
      </c>
      <c r="X10" s="160">
        <v>4.9899999999999997E-8</v>
      </c>
      <c r="Y10" s="160">
        <v>1.3614E-8</v>
      </c>
      <c r="Z10" s="160">
        <v>3.5506000000000001E-9</v>
      </c>
      <c r="AA10" s="160">
        <v>9.1128999999999996E-10</v>
      </c>
      <c r="AB10" s="160">
        <v>4.5008000000000004E-12</v>
      </c>
    </row>
    <row r="11" spans="1:28" x14ac:dyDescent="0.35">
      <c r="A11" s="144" t="s">
        <v>70</v>
      </c>
      <c r="B11" s="158">
        <v>2.3481999999999998E-6</v>
      </c>
      <c r="C11" s="158">
        <v>4.4712999999999999E-6</v>
      </c>
      <c r="D11" s="158">
        <v>8.6964000000000003E-6</v>
      </c>
      <c r="E11" s="158">
        <v>1.7813E-5</v>
      </c>
      <c r="F11" s="158">
        <v>3.8047999999999999E-5</v>
      </c>
      <c r="G11" s="158">
        <v>1.0480999999999999E-4</v>
      </c>
      <c r="H11" s="158">
        <v>1.9879000000000001E-4</v>
      </c>
      <c r="I11" s="158">
        <v>3.8164999999999998E-4</v>
      </c>
      <c r="J11" s="158">
        <v>7.2637000000000005E-4</v>
      </c>
      <c r="K11" s="158">
        <v>7.6448000000000002E-3</v>
      </c>
      <c r="L11" s="158">
        <v>1.303E-2</v>
      </c>
      <c r="M11" s="158">
        <v>2.1228E-2</v>
      </c>
      <c r="N11" s="158">
        <v>3.2677999999999999E-2</v>
      </c>
      <c r="O11" s="158">
        <v>4.7285000000000001E-2</v>
      </c>
      <c r="P11" s="159">
        <v>6.4014000000000001E-2</v>
      </c>
      <c r="Q11" s="158">
        <v>8.0731999999999998E-2</v>
      </c>
      <c r="R11" s="159">
        <v>9.4950000000000007E-2</v>
      </c>
      <c r="S11" s="158">
        <v>0.10521</v>
      </c>
      <c r="T11" s="158">
        <v>0.11840000000000001</v>
      </c>
      <c r="U11" s="158">
        <v>0.11679</v>
      </c>
      <c r="V11" s="158">
        <v>9.4005000000000005E-2</v>
      </c>
      <c r="W11" s="158">
        <v>3.6080000000000001E-2</v>
      </c>
      <c r="X11" s="158">
        <v>2.4143999999999999E-2</v>
      </c>
      <c r="Y11" s="158">
        <v>1.5429E-2</v>
      </c>
      <c r="Z11" s="158">
        <v>9.5852000000000003E-3</v>
      </c>
      <c r="AA11" s="158">
        <v>5.8760000000000001E-3</v>
      </c>
      <c r="AB11" s="158">
        <v>8.4699000000000005E-4</v>
      </c>
    </row>
    <row r="12" spans="1:28" x14ac:dyDescent="0.35">
      <c r="A12" s="144" t="s">
        <v>73</v>
      </c>
      <c r="B12" s="158">
        <v>1.8594E-28</v>
      </c>
      <c r="C12" s="158">
        <v>7.4295999999999994E-27</v>
      </c>
      <c r="D12" s="158">
        <v>2.6945000000000002E-25</v>
      </c>
      <c r="E12" s="158">
        <v>1.0285E-23</v>
      </c>
      <c r="F12" s="158">
        <v>4.1562999999999998E-22</v>
      </c>
      <c r="G12" s="158">
        <v>5.0184999999999998E-20</v>
      </c>
      <c r="H12" s="158">
        <v>1.0738E-18</v>
      </c>
      <c r="I12" s="158">
        <v>2.2907999999999999E-17</v>
      </c>
      <c r="J12" s="158">
        <v>4.5302000000000001E-16</v>
      </c>
      <c r="K12" s="158">
        <v>1.4255E-11</v>
      </c>
      <c r="L12" s="158">
        <v>1.1835000000000001E-10</v>
      </c>
      <c r="M12" s="158">
        <v>8.1436999999999995E-10</v>
      </c>
      <c r="N12" s="158">
        <v>4.8252999999999999E-9</v>
      </c>
      <c r="O12" s="158">
        <v>2.4926999999999999E-8</v>
      </c>
      <c r="P12" s="159">
        <v>1.1086E-7</v>
      </c>
      <c r="Q12" s="158">
        <v>4.1741999999999999E-7</v>
      </c>
      <c r="R12" s="159">
        <v>1.3272E-6</v>
      </c>
      <c r="S12" s="158">
        <v>3.6302E-6</v>
      </c>
      <c r="T12" s="158">
        <v>8.1812999999999997E-5</v>
      </c>
      <c r="U12" s="158">
        <v>8.7615999999999996E-4</v>
      </c>
      <c r="V12" s="158">
        <v>4.1006000000000003E-3</v>
      </c>
      <c r="W12" s="158">
        <v>2.9838999999999998E-3</v>
      </c>
      <c r="X12" s="158">
        <v>1.9321E-3</v>
      </c>
      <c r="Y12" s="158">
        <v>1.1352000000000001E-3</v>
      </c>
      <c r="Z12" s="158">
        <v>6.2693999999999998E-4</v>
      </c>
      <c r="AA12" s="158">
        <v>3.3488000000000002E-4</v>
      </c>
      <c r="AB12" s="158">
        <v>2.6115999999999999E-5</v>
      </c>
    </row>
    <row r="13" spans="1:28" x14ac:dyDescent="0.35">
      <c r="A13" s="144" t="s">
        <v>58</v>
      </c>
      <c r="B13" s="158">
        <v>3.1019999999999999E-28</v>
      </c>
      <c r="C13" s="158">
        <v>1.1738E-26</v>
      </c>
      <c r="D13" s="158">
        <v>3.8705000000000001E-25</v>
      </c>
      <c r="E13" s="158">
        <v>1.2552E-23</v>
      </c>
      <c r="F13" s="158">
        <v>4.0285000000000001E-22</v>
      </c>
      <c r="G13" s="158">
        <v>2.6877E-20</v>
      </c>
      <c r="H13" s="158">
        <v>4.8895000000000001E-19</v>
      </c>
      <c r="I13" s="158">
        <v>8.5231000000000005E-18</v>
      </c>
      <c r="J13" s="158">
        <v>1.3532E-16</v>
      </c>
      <c r="K13" s="158">
        <v>2.1923999999999998E-12</v>
      </c>
      <c r="L13" s="158">
        <v>1.7411E-11</v>
      </c>
      <c r="M13" s="158">
        <v>1.1916999999999999E-10</v>
      </c>
      <c r="N13" s="158">
        <v>7.1440000000000004E-10</v>
      </c>
      <c r="O13" s="158">
        <v>3.7937000000000002E-9</v>
      </c>
      <c r="P13" s="159">
        <v>1.7843E-8</v>
      </c>
      <c r="Q13" s="158">
        <v>7.4066999999999997E-8</v>
      </c>
      <c r="R13" s="159">
        <v>2.7186E-7</v>
      </c>
      <c r="S13" s="158">
        <v>8.9314999999999997E-7</v>
      </c>
      <c r="T13" s="158">
        <v>4.9323999999999997E-5</v>
      </c>
      <c r="U13" s="158">
        <v>1.3162E-3</v>
      </c>
      <c r="V13" s="158">
        <v>1.7780000000000001E-2</v>
      </c>
      <c r="W13" s="158">
        <v>7.7951999999999994E-2</v>
      </c>
      <c r="X13" s="158">
        <v>9.1992000000000004E-2</v>
      </c>
      <c r="Y13" s="158">
        <v>0.1023</v>
      </c>
      <c r="Z13" s="158">
        <v>0.10915999999999999</v>
      </c>
      <c r="AA13" s="158">
        <v>0.11345</v>
      </c>
      <c r="AB13" s="158">
        <v>0.1191</v>
      </c>
    </row>
    <row r="14" spans="1:28" x14ac:dyDescent="0.35">
      <c r="A14" s="150" t="s">
        <v>80</v>
      </c>
      <c r="B14" s="160">
        <v>6.5483999999999998E-10</v>
      </c>
      <c r="C14" s="160">
        <v>2.0457000000000001E-9</v>
      </c>
      <c r="D14" s="160">
        <v>4.8861999999999999E-9</v>
      </c>
      <c r="E14" s="160">
        <v>8.7203999999999998E-9</v>
      </c>
      <c r="F14" s="160">
        <v>1.1932000000000001E-8</v>
      </c>
      <c r="G14" s="160">
        <v>7.0699999999999998E-9</v>
      </c>
      <c r="H14" s="160">
        <v>9.0227999999999999E-9</v>
      </c>
      <c r="I14" s="160">
        <v>9.7994999999999995E-9</v>
      </c>
      <c r="J14" s="160">
        <v>9.5685000000000006E-9</v>
      </c>
      <c r="K14" s="160">
        <v>7.4586999999999995E-9</v>
      </c>
      <c r="L14" s="160">
        <v>7.7952000000000005E-9</v>
      </c>
      <c r="M14" s="160">
        <v>8.2755000000000002E-9</v>
      </c>
      <c r="N14" s="160">
        <v>8.4629999999999994E-9</v>
      </c>
      <c r="O14" s="160">
        <v>8.2064999999999997E-9</v>
      </c>
      <c r="P14" s="161">
        <v>7.6165000000000007E-9</v>
      </c>
      <c r="Q14" s="160">
        <v>6.8584000000000002E-9</v>
      </c>
      <c r="R14" s="161">
        <v>6.0492999999999998E-9</v>
      </c>
      <c r="S14" s="160">
        <v>5.2586999999999996E-9</v>
      </c>
      <c r="T14" s="160">
        <v>2.8199000000000002E-9</v>
      </c>
      <c r="U14" s="160">
        <v>1.4974E-9</v>
      </c>
      <c r="V14" s="160">
        <v>8.4256000000000004E-10</v>
      </c>
      <c r="W14" s="160">
        <v>5.2595000000000003E-10</v>
      </c>
      <c r="X14" s="160">
        <v>4.6519000000000002E-10</v>
      </c>
      <c r="Y14" s="160">
        <v>4.0837999999999999E-10</v>
      </c>
      <c r="Z14" s="160">
        <v>3.5621999999999999E-10</v>
      </c>
      <c r="AA14" s="160">
        <v>3.0936E-10</v>
      </c>
      <c r="AB14" s="160">
        <v>1.7323000000000001E-10</v>
      </c>
    </row>
    <row r="15" spans="1:28" x14ac:dyDescent="0.35">
      <c r="A15" s="150" t="s">
        <v>81</v>
      </c>
      <c r="B15" s="160">
        <v>2.4052000000000001E-3</v>
      </c>
      <c r="C15" s="160">
        <v>8.0286000000000003E-3</v>
      </c>
      <c r="D15" s="160">
        <v>2.0936E-2</v>
      </c>
      <c r="E15" s="160">
        <v>4.1491E-2</v>
      </c>
      <c r="F15" s="160">
        <v>6.3899999999999998E-2</v>
      </c>
      <c r="G15" s="160">
        <v>4.3081000000000001E-2</v>
      </c>
      <c r="H15" s="160">
        <v>6.3097E-2</v>
      </c>
      <c r="I15" s="160">
        <v>7.9185000000000005E-2</v>
      </c>
      <c r="J15" s="160">
        <v>8.9828000000000005E-2</v>
      </c>
      <c r="K15" s="160">
        <v>0.13199</v>
      </c>
      <c r="L15" s="160">
        <v>0.16244</v>
      </c>
      <c r="M15" s="160">
        <v>0.20327999999999999</v>
      </c>
      <c r="N15" s="160">
        <v>0.2452</v>
      </c>
      <c r="O15" s="160">
        <v>0.28054000000000001</v>
      </c>
      <c r="P15" s="161">
        <v>0.30725000000000002</v>
      </c>
      <c r="Q15" s="160">
        <v>0.32645000000000002</v>
      </c>
      <c r="R15" s="161">
        <v>0.33965000000000001</v>
      </c>
      <c r="S15" s="160">
        <v>0.34816999999999998</v>
      </c>
      <c r="T15" s="160">
        <v>0.35888999999999999</v>
      </c>
      <c r="U15" s="160">
        <v>0.36203000000000002</v>
      </c>
      <c r="V15" s="160">
        <v>0.38185999999999998</v>
      </c>
      <c r="W15" s="160">
        <v>0.44092999999999999</v>
      </c>
      <c r="X15" s="160">
        <v>0.45391999999999999</v>
      </c>
      <c r="Y15" s="160">
        <v>0.46343000000000001</v>
      </c>
      <c r="Z15" s="160">
        <v>0.46978999999999999</v>
      </c>
      <c r="AA15" s="160">
        <v>0.47378999999999999</v>
      </c>
      <c r="AB15" s="160">
        <v>0.47913</v>
      </c>
    </row>
    <row r="16" spans="1:28" x14ac:dyDescent="0.35">
      <c r="A16" s="144" t="s">
        <v>82</v>
      </c>
      <c r="B16" s="158">
        <v>7.2503999999999999E-12</v>
      </c>
      <c r="C16" s="158">
        <v>2.9913000000000003E-11</v>
      </c>
      <c r="D16" s="158">
        <v>9.2025999999999996E-11</v>
      </c>
      <c r="E16" s="158">
        <v>2.0705E-10</v>
      </c>
      <c r="F16" s="158">
        <v>3.5058999999999998E-10</v>
      </c>
      <c r="G16" s="158">
        <v>2.5297000000000001E-10</v>
      </c>
      <c r="H16" s="158">
        <v>3.8759999999999999E-10</v>
      </c>
      <c r="I16" s="158">
        <v>4.9914999999999998E-10</v>
      </c>
      <c r="J16" s="158">
        <v>5.7152999999999999E-10</v>
      </c>
      <c r="K16" s="158">
        <v>7.7034000000000005E-10</v>
      </c>
      <c r="L16" s="158">
        <v>9.0657E-10</v>
      </c>
      <c r="M16" s="158">
        <v>1.0773E-9</v>
      </c>
      <c r="N16" s="158">
        <v>1.2264E-9</v>
      </c>
      <c r="O16" s="158">
        <v>1.3172E-9</v>
      </c>
      <c r="P16" s="159">
        <v>1.3479000000000001E-9</v>
      </c>
      <c r="Q16" s="158">
        <v>1.3325000000000001E-9</v>
      </c>
      <c r="R16" s="159">
        <v>1.2852000000000001E-9</v>
      </c>
      <c r="S16" s="158">
        <v>1.2172999999999999E-9</v>
      </c>
      <c r="T16" s="158">
        <v>8.9125999999999998E-10</v>
      </c>
      <c r="U16" s="158">
        <v>6.1985999999999997E-10</v>
      </c>
      <c r="V16" s="158">
        <v>4.4219E-10</v>
      </c>
      <c r="W16" s="158">
        <v>3.4098E-10</v>
      </c>
      <c r="X16" s="158">
        <v>3.1685E-10</v>
      </c>
      <c r="Y16" s="158">
        <v>2.9186000000000001E-10</v>
      </c>
      <c r="Z16" s="158">
        <v>2.6680999999999998E-10</v>
      </c>
      <c r="AA16" s="158">
        <v>2.4257000000000002E-10</v>
      </c>
      <c r="AB16" s="158">
        <v>1.6140999999999999E-10</v>
      </c>
    </row>
    <row r="17" spans="1:28" x14ac:dyDescent="0.35">
      <c r="A17" s="150" t="s">
        <v>83</v>
      </c>
      <c r="B17" s="160">
        <v>2.8497000000000002E-9</v>
      </c>
      <c r="C17" s="160">
        <v>7.8554E-9</v>
      </c>
      <c r="D17" s="160">
        <v>1.6768000000000002E-8</v>
      </c>
      <c r="E17" s="160">
        <v>2.7035E-8</v>
      </c>
      <c r="F17" s="160">
        <v>3.3732000000000001E-8</v>
      </c>
      <c r="G17" s="160">
        <v>1.8375999999999999E-8</v>
      </c>
      <c r="H17" s="160">
        <v>2.1716000000000001E-8</v>
      </c>
      <c r="I17" s="160">
        <v>2.1976999999999999E-8</v>
      </c>
      <c r="J17" s="160">
        <v>2.0108E-8</v>
      </c>
      <c r="K17" s="160">
        <v>1.2638E-8</v>
      </c>
      <c r="L17" s="160">
        <v>1.2631000000000001E-8</v>
      </c>
      <c r="M17" s="160">
        <v>1.3356000000000001E-8</v>
      </c>
      <c r="N17" s="160">
        <v>1.3774E-8</v>
      </c>
      <c r="O17" s="160">
        <v>1.3477000000000001E-8</v>
      </c>
      <c r="P17" s="161">
        <v>1.2623999999999999E-8</v>
      </c>
      <c r="Q17" s="160">
        <v>1.1476E-8</v>
      </c>
      <c r="R17" s="161">
        <v>1.0220999999999999E-8</v>
      </c>
      <c r="S17" s="160">
        <v>8.9737000000000001E-9</v>
      </c>
      <c r="T17" s="160">
        <v>5.0090000000000004E-9</v>
      </c>
      <c r="U17" s="160">
        <v>2.7683E-9</v>
      </c>
      <c r="V17" s="160">
        <v>1.6196000000000001E-9</v>
      </c>
      <c r="W17" s="160">
        <v>1.0500000000000001E-9</v>
      </c>
      <c r="X17" s="160">
        <v>9.3737999999999992E-10</v>
      </c>
      <c r="Y17" s="160">
        <v>8.3052000000000004E-10</v>
      </c>
      <c r="Z17" s="160">
        <v>7.3111999999999995E-10</v>
      </c>
      <c r="AA17" s="160">
        <v>6.4075999999999997E-10</v>
      </c>
      <c r="AB17" s="160">
        <v>3.7194999999999999E-10</v>
      </c>
    </row>
    <row r="18" spans="1:28" x14ac:dyDescent="0.35">
      <c r="A18" s="144" t="s">
        <v>56</v>
      </c>
      <c r="B18" s="158">
        <v>0</v>
      </c>
      <c r="C18" s="158">
        <v>0</v>
      </c>
      <c r="D18" s="158">
        <v>0</v>
      </c>
      <c r="E18" s="158">
        <v>0</v>
      </c>
      <c r="F18" s="158">
        <v>0</v>
      </c>
      <c r="G18" s="158">
        <v>0</v>
      </c>
      <c r="H18" s="158">
        <v>0</v>
      </c>
      <c r="I18" s="158">
        <v>0</v>
      </c>
      <c r="J18" s="158">
        <v>0</v>
      </c>
      <c r="K18" s="158">
        <v>0</v>
      </c>
      <c r="L18" s="158">
        <v>0</v>
      </c>
      <c r="M18" s="158">
        <v>0</v>
      </c>
      <c r="N18" s="158">
        <v>0</v>
      </c>
      <c r="O18" s="158">
        <v>0</v>
      </c>
      <c r="P18" s="159">
        <v>0</v>
      </c>
      <c r="Q18" s="158">
        <v>0</v>
      </c>
      <c r="R18" s="159">
        <v>0</v>
      </c>
      <c r="S18" s="158">
        <v>0</v>
      </c>
      <c r="T18" s="158">
        <v>0</v>
      </c>
      <c r="U18" s="158">
        <v>0</v>
      </c>
      <c r="V18" s="158">
        <v>5.3633E-24</v>
      </c>
      <c r="W18" s="158">
        <v>4.1780999999999998E-10</v>
      </c>
      <c r="X18" s="158">
        <v>1.8819999999999999E-8</v>
      </c>
      <c r="Y18" s="158">
        <v>5.1797999999999998E-8</v>
      </c>
      <c r="Z18" s="158">
        <v>7.7835999999999996E-8</v>
      </c>
      <c r="AA18" s="158">
        <v>1.3689E-7</v>
      </c>
      <c r="AB18" s="158">
        <v>5.8815000000000004E-7</v>
      </c>
    </row>
    <row r="19" spans="1:28" x14ac:dyDescent="0.35">
      <c r="A19" s="144" t="s">
        <v>59</v>
      </c>
      <c r="B19" s="158">
        <v>0</v>
      </c>
      <c r="C19" s="158">
        <v>0</v>
      </c>
      <c r="D19" s="158">
        <v>0</v>
      </c>
      <c r="E19" s="158">
        <v>0</v>
      </c>
      <c r="F19" s="158">
        <v>0</v>
      </c>
      <c r="G19" s="158">
        <v>0</v>
      </c>
      <c r="H19" s="158">
        <v>0</v>
      </c>
      <c r="I19" s="158">
        <v>0</v>
      </c>
      <c r="J19" s="158">
        <v>0</v>
      </c>
      <c r="K19" s="158">
        <v>0</v>
      </c>
      <c r="L19" s="158">
        <v>0</v>
      </c>
      <c r="M19" s="158">
        <v>0</v>
      </c>
      <c r="N19" s="158">
        <v>0</v>
      </c>
      <c r="O19" s="158">
        <v>0</v>
      </c>
      <c r="P19" s="159">
        <v>0</v>
      </c>
      <c r="Q19" s="158">
        <v>0</v>
      </c>
      <c r="R19" s="159">
        <v>0</v>
      </c>
      <c r="S19" s="158">
        <v>0</v>
      </c>
      <c r="T19" s="158">
        <v>0</v>
      </c>
      <c r="U19" s="158">
        <v>0</v>
      </c>
      <c r="V19" s="158">
        <v>2.2334999999999998E-24</v>
      </c>
      <c r="W19" s="158">
        <v>5.6443000000000001E-11</v>
      </c>
      <c r="X19" s="158">
        <v>2.3336999999999999E-9</v>
      </c>
      <c r="Y19" s="158">
        <v>6.2382999999999999E-9</v>
      </c>
      <c r="Z19" s="158">
        <v>9.4627000000000004E-9</v>
      </c>
      <c r="AA19" s="158">
        <v>1.7202999999999999E-8</v>
      </c>
      <c r="AB19" s="158">
        <v>9.1625000000000002E-8</v>
      </c>
    </row>
    <row r="20" spans="1:28" x14ac:dyDescent="0.35">
      <c r="A20" s="148" t="s">
        <v>71</v>
      </c>
      <c r="B20" s="162">
        <v>-18.87</v>
      </c>
      <c r="C20" s="162">
        <v>-18.87</v>
      </c>
      <c r="D20" s="162">
        <v>-18.899999999999999</v>
      </c>
      <c r="E20" s="162">
        <v>-18.95</v>
      </c>
      <c r="F20" s="162">
        <v>-19.010000000000002</v>
      </c>
      <c r="G20" s="162">
        <v>-18.98</v>
      </c>
      <c r="H20" s="162">
        <v>-19.04</v>
      </c>
      <c r="I20" s="162">
        <v>-19.09</v>
      </c>
      <c r="J20" s="162">
        <v>-19.14</v>
      </c>
      <c r="K20" s="162">
        <v>-19.18</v>
      </c>
      <c r="L20" s="162">
        <v>-19.13</v>
      </c>
      <c r="M20" s="162">
        <v>-19.079999999999998</v>
      </c>
      <c r="N20" s="162">
        <v>-19.04</v>
      </c>
      <c r="O20" s="162">
        <v>-19.03</v>
      </c>
      <c r="P20" s="163">
        <v>-19.04</v>
      </c>
      <c r="Q20" s="162">
        <v>-19.059999999999999</v>
      </c>
      <c r="R20" s="163">
        <v>-19.079999999999998</v>
      </c>
      <c r="S20" s="162">
        <v>-19.11</v>
      </c>
      <c r="T20" s="162">
        <v>-19.25</v>
      </c>
      <c r="U20" s="162">
        <v>-19.38</v>
      </c>
      <c r="V20" s="162">
        <v>-19.510000000000002</v>
      </c>
      <c r="W20" s="162">
        <v>-19.64</v>
      </c>
      <c r="X20" s="162">
        <v>-19.670000000000002</v>
      </c>
      <c r="Y20" s="162">
        <v>-19.7</v>
      </c>
      <c r="Z20" s="162">
        <v>-19.73</v>
      </c>
      <c r="AA20" s="162">
        <v>-19.760000000000002</v>
      </c>
      <c r="AB20" s="162">
        <v>-19.88</v>
      </c>
    </row>
    <row r="21" spans="1:28" x14ac:dyDescent="0.35">
      <c r="A21" s="108" t="s">
        <v>87</v>
      </c>
      <c r="B21" s="115">
        <v>-66.680000000000007</v>
      </c>
      <c r="C21" s="115">
        <v>-63.05</v>
      </c>
      <c r="D21" s="115">
        <v>-59.58</v>
      </c>
      <c r="E21" s="115">
        <v>-56.15</v>
      </c>
      <c r="F21" s="115">
        <v>-52.74</v>
      </c>
      <c r="G21" s="115">
        <v>-48.52</v>
      </c>
      <c r="H21" s="115">
        <v>-45.68</v>
      </c>
      <c r="I21" s="115">
        <v>-42.89</v>
      </c>
      <c r="J21" s="115">
        <v>-40.18</v>
      </c>
      <c r="K21" s="115">
        <v>-30.88</v>
      </c>
      <c r="L21" s="115">
        <v>-29.01</v>
      </c>
      <c r="M21" s="115">
        <v>-27.3</v>
      </c>
      <c r="N21" s="115">
        <v>-25.68</v>
      </c>
      <c r="O21" s="115">
        <v>-24.16</v>
      </c>
      <c r="P21" s="153">
        <v>-22.72</v>
      </c>
      <c r="Q21" s="115">
        <v>-21.39</v>
      </c>
      <c r="R21" s="153">
        <v>-20.170000000000002</v>
      </c>
      <c r="S21" s="115">
        <v>-19.05</v>
      </c>
      <c r="T21" s="115">
        <v>-15.24</v>
      </c>
      <c r="U21" s="115">
        <v>-12.13</v>
      </c>
      <c r="V21" s="115">
        <v>-9.7149999999999999</v>
      </c>
      <c r="W21" s="115">
        <v>-8.48</v>
      </c>
      <c r="X21" s="115">
        <v>-8.3719999999999999</v>
      </c>
      <c r="Y21" s="115">
        <v>-8.3179999999999996</v>
      </c>
      <c r="Z21" s="115">
        <v>-8.3000000000000007</v>
      </c>
      <c r="AA21" s="115">
        <v>-8.3049999999999997</v>
      </c>
      <c r="AB21" s="115">
        <v>-8.4120000000000008</v>
      </c>
    </row>
    <row r="22" spans="1:28" x14ac:dyDescent="0.35">
      <c r="A22" s="108" t="s">
        <v>53</v>
      </c>
      <c r="B22" s="115">
        <v>-18.13</v>
      </c>
      <c r="C22" s="115">
        <v>-17.350000000000001</v>
      </c>
      <c r="D22" s="115">
        <v>-16.45</v>
      </c>
      <c r="E22" s="115">
        <v>-15.39</v>
      </c>
      <c r="F22" s="115">
        <v>-14.22</v>
      </c>
      <c r="G22" s="115">
        <v>-12.64</v>
      </c>
      <c r="H22" s="115">
        <v>-11.66</v>
      </c>
      <c r="I22" s="115">
        <v>-10.66</v>
      </c>
      <c r="J22" s="115">
        <v>-9.6769999999999996</v>
      </c>
      <c r="K22" s="115">
        <v>-6.4119999999999999</v>
      </c>
      <c r="L22" s="115">
        <v>-5.9249999999999998</v>
      </c>
      <c r="M22" s="115">
        <v>-5.6239999999999997</v>
      </c>
      <c r="N22" s="115">
        <v>-5.47</v>
      </c>
      <c r="O22" s="115">
        <v>-5.4130000000000003</v>
      </c>
      <c r="P22" s="153">
        <v>-5.4139999999999997</v>
      </c>
      <c r="Q22" s="115">
        <v>-5.4450000000000003</v>
      </c>
      <c r="R22" s="153">
        <v>-5.4880000000000004</v>
      </c>
      <c r="S22" s="115">
        <v>-5.5330000000000004</v>
      </c>
      <c r="T22" s="115">
        <v>-5.7050000000000001</v>
      </c>
      <c r="U22" s="115">
        <v>-5.8680000000000003</v>
      </c>
      <c r="V22" s="115">
        <v>-6.0510000000000002</v>
      </c>
      <c r="W22" s="115">
        <v>-6.2869999999999999</v>
      </c>
      <c r="X22" s="115">
        <v>-6.343</v>
      </c>
      <c r="Y22" s="115">
        <v>-6.3940000000000001</v>
      </c>
      <c r="Z22" s="115">
        <v>-6.44</v>
      </c>
      <c r="AA22" s="115">
        <v>-6.4820000000000002</v>
      </c>
      <c r="AB22" s="115">
        <v>-6.6340000000000003</v>
      </c>
    </row>
    <row r="23" spans="1:28" x14ac:dyDescent="0.35">
      <c r="A23" s="108" t="s">
        <v>68</v>
      </c>
      <c r="B23" s="115">
        <v>-23.19</v>
      </c>
      <c r="C23" s="115">
        <v>-22.18</v>
      </c>
      <c r="D23" s="115">
        <v>-21.45</v>
      </c>
      <c r="E23" s="115">
        <v>-21.02</v>
      </c>
      <c r="F23" s="115">
        <v>-20.86</v>
      </c>
      <c r="G23" s="115">
        <v>-21.44</v>
      </c>
      <c r="H23" s="115">
        <v>-21.34</v>
      </c>
      <c r="I23" s="115">
        <v>-21.39</v>
      </c>
      <c r="J23" s="115">
        <v>-21.54</v>
      </c>
      <c r="K23" s="115">
        <v>-22.4</v>
      </c>
      <c r="L23" s="115">
        <v>-22.6</v>
      </c>
      <c r="M23" s="115">
        <v>-22.79</v>
      </c>
      <c r="N23" s="115">
        <v>-22.98</v>
      </c>
      <c r="O23" s="115">
        <v>-23.19</v>
      </c>
      <c r="P23" s="153">
        <v>-23.42</v>
      </c>
      <c r="Q23" s="115">
        <v>-23.65</v>
      </c>
      <c r="R23" s="153">
        <v>-23.88</v>
      </c>
      <c r="S23" s="115">
        <v>-24.12</v>
      </c>
      <c r="T23" s="115">
        <v>-25.05</v>
      </c>
      <c r="U23" s="115">
        <v>-25.94</v>
      </c>
      <c r="V23" s="115">
        <v>-26.78</v>
      </c>
      <c r="W23" s="115">
        <v>-27.56</v>
      </c>
      <c r="X23" s="115">
        <v>-27.76</v>
      </c>
      <c r="Y23" s="115">
        <v>-27.95</v>
      </c>
      <c r="Z23" s="115">
        <v>-28.15</v>
      </c>
      <c r="AA23" s="115">
        <v>-28.35</v>
      </c>
      <c r="AB23" s="115">
        <v>-29.13</v>
      </c>
    </row>
    <row r="24" spans="1:28" x14ac:dyDescent="0.35">
      <c r="A24" s="108" t="s">
        <v>54</v>
      </c>
      <c r="B24" s="115">
        <v>0.25689000000000001</v>
      </c>
      <c r="C24" s="115">
        <v>0.26001000000000002</v>
      </c>
      <c r="D24" s="115">
        <v>0.26717999999999997</v>
      </c>
      <c r="E24" s="115">
        <v>0.27859</v>
      </c>
      <c r="F24" s="115">
        <v>0.29102</v>
      </c>
      <c r="G24" s="115">
        <v>0.27939000000000003</v>
      </c>
      <c r="H24" s="115">
        <v>0.29036000000000001</v>
      </c>
      <c r="I24" s="115">
        <v>0.29891000000000001</v>
      </c>
      <c r="J24" s="115">
        <v>0.30381000000000002</v>
      </c>
      <c r="K24" s="115">
        <v>0.28104000000000001</v>
      </c>
      <c r="L24" s="115">
        <v>0.25941999999999998</v>
      </c>
      <c r="M24" s="115">
        <v>0.23788999999999999</v>
      </c>
      <c r="N24" s="115">
        <v>0.22187999999999999</v>
      </c>
      <c r="O24" s="115">
        <v>0.21195</v>
      </c>
      <c r="P24" s="153">
        <v>0.20638999999999999</v>
      </c>
      <c r="Q24" s="115">
        <v>0.20343</v>
      </c>
      <c r="R24" s="153">
        <v>0.20186000000000001</v>
      </c>
      <c r="S24" s="115">
        <v>0.20104</v>
      </c>
      <c r="T24" s="115">
        <v>0.20013</v>
      </c>
      <c r="U24" s="115">
        <v>0.20002</v>
      </c>
      <c r="V24" s="115">
        <v>0.2</v>
      </c>
      <c r="W24" s="115">
        <v>0.2</v>
      </c>
      <c r="X24" s="115">
        <v>0.2</v>
      </c>
      <c r="Y24" s="115">
        <v>0.2</v>
      </c>
      <c r="Z24" s="115">
        <v>0.2</v>
      </c>
      <c r="AA24" s="115">
        <v>0.2</v>
      </c>
      <c r="AB24" s="115">
        <v>0.2</v>
      </c>
    </row>
    <row r="25" spans="1:28" x14ac:dyDescent="0.35">
      <c r="A25" s="108" t="s">
        <v>55</v>
      </c>
      <c r="B25" s="115">
        <v>0.20552000000000001</v>
      </c>
      <c r="C25" s="115">
        <v>0.20802000000000001</v>
      </c>
      <c r="D25" s="115">
        <v>0.21376000000000001</v>
      </c>
      <c r="E25" s="115">
        <v>0.22291</v>
      </c>
      <c r="F25" s="115">
        <v>0.23289000000000001</v>
      </c>
      <c r="G25" s="115">
        <v>0.22375</v>
      </c>
      <c r="H25" s="115">
        <v>0.23283999999999999</v>
      </c>
      <c r="I25" s="115">
        <v>0.24046999999999999</v>
      </c>
      <c r="J25" s="115">
        <v>0.24637999999999999</v>
      </c>
      <c r="K25" s="115">
        <v>0.31476999999999999</v>
      </c>
      <c r="L25" s="115">
        <v>0.36953999999999998</v>
      </c>
      <c r="M25" s="115">
        <v>0.436</v>
      </c>
      <c r="N25" s="115">
        <v>0.49965999999999999</v>
      </c>
      <c r="O25" s="115">
        <v>0.55223</v>
      </c>
      <c r="P25" s="153">
        <v>0.59286000000000005</v>
      </c>
      <c r="Q25" s="115">
        <v>0.62339</v>
      </c>
      <c r="R25" s="153">
        <v>0.64525999999999994</v>
      </c>
      <c r="S25" s="115">
        <v>0.65973000000000004</v>
      </c>
      <c r="T25" s="115">
        <v>0.67798999999999998</v>
      </c>
      <c r="U25" s="115">
        <v>0.68106</v>
      </c>
      <c r="V25" s="115">
        <v>0.69774000000000003</v>
      </c>
      <c r="W25" s="115">
        <v>0.75795000000000001</v>
      </c>
      <c r="X25" s="115">
        <v>0.77198999999999995</v>
      </c>
      <c r="Y25" s="115">
        <v>0.7823</v>
      </c>
      <c r="Z25" s="115">
        <v>0.78915999999999997</v>
      </c>
      <c r="AA25" s="115">
        <v>0.79344999999999999</v>
      </c>
      <c r="AB25" s="115">
        <v>0.79910000000000003</v>
      </c>
    </row>
    <row r="26" spans="1:28" x14ac:dyDescent="0.35">
      <c r="A26" s="108" t="s">
        <v>60</v>
      </c>
      <c r="B26" s="115">
        <v>0</v>
      </c>
      <c r="C26" s="115">
        <v>0</v>
      </c>
      <c r="D26" s="115">
        <v>0</v>
      </c>
      <c r="E26" s="115">
        <v>2.7605999999999999E-43</v>
      </c>
      <c r="F26" s="115">
        <v>2.7987E-40</v>
      </c>
      <c r="G26" s="115">
        <v>3.5801000000000002E-39</v>
      </c>
      <c r="H26" s="115">
        <v>1.4126999999999999E-36</v>
      </c>
      <c r="I26" s="115">
        <v>7.9401999999999995E-39</v>
      </c>
      <c r="J26" s="115">
        <v>8.9494000000000002E-39</v>
      </c>
      <c r="K26" s="115">
        <v>6.0964999999999999E-38</v>
      </c>
      <c r="L26" s="115">
        <v>7.4854999999999993E-40</v>
      </c>
      <c r="M26" s="115">
        <v>9.1785000000000001E-43</v>
      </c>
      <c r="N26" s="115">
        <v>0</v>
      </c>
      <c r="O26" s="115">
        <v>0</v>
      </c>
      <c r="P26" s="153">
        <v>0</v>
      </c>
      <c r="Q26" s="115">
        <v>0</v>
      </c>
      <c r="R26" s="153">
        <v>0</v>
      </c>
      <c r="S26" s="115">
        <v>0</v>
      </c>
      <c r="T26" s="115">
        <v>0</v>
      </c>
      <c r="U26" s="115">
        <v>3.1152999999999998E-38</v>
      </c>
      <c r="V26" s="115">
        <v>5.0712000000000002E-23</v>
      </c>
      <c r="W26" s="115">
        <v>9.1430000000000004E-10</v>
      </c>
      <c r="X26" s="115">
        <v>3.4999000000000001E-8</v>
      </c>
      <c r="Y26" s="115">
        <v>8.6480000000000004E-8</v>
      </c>
      <c r="Z26" s="115">
        <v>1.2109999999999999E-7</v>
      </c>
      <c r="AA26" s="115">
        <v>2.0319999999999999E-7</v>
      </c>
      <c r="AB26" s="115">
        <v>7.9599000000000002E-7</v>
      </c>
    </row>
    <row r="27" spans="1:28" x14ac:dyDescent="0.35">
      <c r="A27" s="110" t="s">
        <v>88</v>
      </c>
      <c r="B27" s="117">
        <v>8.1445000000000006E-9</v>
      </c>
      <c r="C27" s="117">
        <v>9.4256999999999998E-9</v>
      </c>
      <c r="D27" s="117">
        <v>5.9636000000000004E-9</v>
      </c>
      <c r="E27" s="117">
        <v>3.4857000000000001E-9</v>
      </c>
      <c r="F27" s="117">
        <v>7.1414999999999998E-9</v>
      </c>
      <c r="G27" s="117">
        <v>2.8560000000000001E-9</v>
      </c>
      <c r="H27" s="117">
        <v>6.6299999999999996E-9</v>
      </c>
      <c r="I27" s="117">
        <v>4.8226000000000003E-9</v>
      </c>
      <c r="J27" s="117">
        <v>6.7716000000000001E-9</v>
      </c>
      <c r="K27" s="117">
        <v>6.2931999999999997E-9</v>
      </c>
      <c r="L27" s="117">
        <v>5.8997000000000002E-9</v>
      </c>
      <c r="M27" s="117">
        <v>8.0984999999999997E-9</v>
      </c>
      <c r="N27" s="117">
        <v>5.4301000000000001E-9</v>
      </c>
      <c r="O27" s="117">
        <v>6.1622999999999997E-9</v>
      </c>
      <c r="P27" s="155">
        <v>5.4476999999999997E-9</v>
      </c>
      <c r="Q27" s="117">
        <v>7.7260000000000008E-9</v>
      </c>
      <c r="R27" s="155">
        <v>9.8377000000000005E-9</v>
      </c>
      <c r="S27" s="117">
        <v>6.2205999999999998E-9</v>
      </c>
      <c r="T27" s="117">
        <v>9.0225000000000002E-9</v>
      </c>
      <c r="U27" s="117">
        <v>9.6225999999999994E-9</v>
      </c>
      <c r="V27" s="117">
        <v>9.2069000000000005E-9</v>
      </c>
      <c r="W27" s="117">
        <v>8.0142999999999995E-9</v>
      </c>
      <c r="X27" s="117">
        <v>6.5167E-9</v>
      </c>
      <c r="Y27" s="117">
        <v>8.0444999999999997E-9</v>
      </c>
      <c r="Z27" s="117">
        <v>7.2144000000000002E-9</v>
      </c>
      <c r="AA27" s="117">
        <v>8.3235000000000001E-9</v>
      </c>
      <c r="AB27" s="117">
        <v>9.5360000000000002E-9</v>
      </c>
    </row>
  </sheetData>
  <conditionalFormatting sqref="B21:AB2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:AB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7891B-F59A-4F27-A8AE-AD2B8BF73578}">
  <sheetPr codeName="Лист11"/>
  <dimension ref="A1:AB20"/>
  <sheetViews>
    <sheetView workbookViewId="0">
      <selection activeCell="AB20" sqref="A1:AB20"/>
    </sheetView>
  </sheetViews>
  <sheetFormatPr defaultRowHeight="21" x14ac:dyDescent="0.35"/>
  <sheetData>
    <row r="1" spans="1:28" x14ac:dyDescent="0.35">
      <c r="A1" s="108" t="s">
        <v>72</v>
      </c>
      <c r="B1" s="151">
        <v>273.10000000000002</v>
      </c>
      <c r="C1" s="113">
        <v>289.7</v>
      </c>
      <c r="D1" s="109">
        <v>306.2</v>
      </c>
      <c r="E1" s="151">
        <v>322.7</v>
      </c>
      <c r="F1" s="113">
        <v>339.2</v>
      </c>
      <c r="G1" s="109">
        <v>355.7</v>
      </c>
      <c r="H1" s="151">
        <v>372.3</v>
      </c>
      <c r="I1" s="113">
        <v>388.8</v>
      </c>
      <c r="J1" s="109">
        <v>405.3</v>
      </c>
      <c r="K1" s="151">
        <v>471.4</v>
      </c>
      <c r="L1" s="113">
        <v>487.9</v>
      </c>
      <c r="M1" s="109">
        <v>504.4</v>
      </c>
      <c r="N1" s="151">
        <v>520.9</v>
      </c>
      <c r="O1" s="113">
        <v>537.5</v>
      </c>
      <c r="P1" s="109">
        <v>554</v>
      </c>
      <c r="Q1" s="151">
        <v>570.5</v>
      </c>
      <c r="R1" s="109">
        <v>587</v>
      </c>
      <c r="S1" s="109">
        <v>603.5</v>
      </c>
      <c r="T1" s="151">
        <v>669.6</v>
      </c>
      <c r="U1" s="113">
        <v>735.7</v>
      </c>
      <c r="V1" s="109">
        <v>801.8</v>
      </c>
      <c r="W1" s="151">
        <v>867.8</v>
      </c>
      <c r="X1" s="113">
        <v>884.4</v>
      </c>
      <c r="Y1" s="109">
        <v>900.9</v>
      </c>
      <c r="Z1" s="151">
        <v>917.4</v>
      </c>
      <c r="AA1" s="113">
        <v>933.9</v>
      </c>
      <c r="AB1" s="109">
        <v>1000</v>
      </c>
    </row>
    <row r="2" spans="1:28" x14ac:dyDescent="0.35">
      <c r="A2" s="111" t="s">
        <v>57</v>
      </c>
      <c r="B2" s="114">
        <v>1.1710999999999999E-7</v>
      </c>
      <c r="C2" s="114">
        <v>2.5674000000000001E-7</v>
      </c>
      <c r="D2" s="114">
        <v>6.4908000000000004E-7</v>
      </c>
      <c r="E2" s="114">
        <v>1.9657999999999999E-6</v>
      </c>
      <c r="F2" s="114">
        <v>6.6646999999999999E-6</v>
      </c>
      <c r="G2" s="114">
        <v>3.1909999999999998E-5</v>
      </c>
      <c r="H2" s="114">
        <v>9.0048000000000002E-5</v>
      </c>
      <c r="I2" s="114">
        <v>2.5982000000000002E-4</v>
      </c>
      <c r="J2" s="114">
        <v>7.3362999999999998E-4</v>
      </c>
      <c r="K2" s="114">
        <v>2.8178999999999999E-2</v>
      </c>
      <c r="L2" s="114">
        <v>5.5932999999999997E-2</v>
      </c>
      <c r="M2" s="114">
        <v>9.2665999999999998E-2</v>
      </c>
      <c r="N2" s="114">
        <v>0.12886</v>
      </c>
      <c r="O2" s="114">
        <v>0.15690000000000001</v>
      </c>
      <c r="P2" s="152">
        <v>0.17524000000000001</v>
      </c>
      <c r="Q2" s="114">
        <v>0.18608</v>
      </c>
      <c r="R2" s="152">
        <v>0.19217000000000001</v>
      </c>
      <c r="S2" s="114">
        <v>0.19555</v>
      </c>
      <c r="T2" s="114">
        <v>0.19944999999999999</v>
      </c>
      <c r="U2" s="114">
        <v>0.19991</v>
      </c>
      <c r="V2" s="114">
        <v>0.19997999999999999</v>
      </c>
      <c r="W2" s="114">
        <v>0.2</v>
      </c>
      <c r="X2" s="114">
        <v>0.2</v>
      </c>
      <c r="Y2" s="114">
        <v>0.2</v>
      </c>
      <c r="Z2" s="114">
        <v>0.2</v>
      </c>
      <c r="AA2" s="114">
        <v>0.2</v>
      </c>
      <c r="AB2" s="114">
        <v>0.2</v>
      </c>
    </row>
    <row r="3" spans="1:28" x14ac:dyDescent="0.35">
      <c r="A3" s="108" t="s">
        <v>85</v>
      </c>
      <c r="B3" s="115">
        <v>5.9998999999999997E-2</v>
      </c>
      <c r="C3" s="115">
        <v>5.9998000000000003E-2</v>
      </c>
      <c r="D3" s="115">
        <v>5.9996000000000001E-2</v>
      </c>
      <c r="E3" s="115">
        <v>5.9991000000000003E-2</v>
      </c>
      <c r="F3" s="115">
        <v>5.9981E-2</v>
      </c>
      <c r="G3" s="115">
        <v>5.9948000000000001E-2</v>
      </c>
      <c r="H3" s="115">
        <v>5.9901000000000003E-2</v>
      </c>
      <c r="I3" s="115">
        <v>5.9809000000000001E-2</v>
      </c>
      <c r="J3" s="115">
        <v>5.9637000000000003E-2</v>
      </c>
      <c r="K3" s="115">
        <v>5.6177999999999999E-2</v>
      </c>
      <c r="L3" s="115">
        <v>5.3484999999999998E-2</v>
      </c>
      <c r="M3" s="115">
        <v>4.9385999999999999E-2</v>
      </c>
      <c r="N3" s="115">
        <v>4.3660999999999998E-2</v>
      </c>
      <c r="O3" s="115">
        <v>3.6357E-2</v>
      </c>
      <c r="P3" s="153">
        <v>2.7993000000000001E-2</v>
      </c>
      <c r="Q3" s="115">
        <v>1.9633999999999999E-2</v>
      </c>
      <c r="R3" s="153">
        <v>1.2524E-2</v>
      </c>
      <c r="S3" s="115">
        <v>7.3902999999999998E-3</v>
      </c>
      <c r="T3" s="115">
        <v>6.9225000000000005E-4</v>
      </c>
      <c r="U3" s="115">
        <v>7.2624000000000001E-5</v>
      </c>
      <c r="V3" s="115">
        <v>6.6896999999999997E-6</v>
      </c>
      <c r="W3" s="115">
        <v>1.6880999999999999E-7</v>
      </c>
      <c r="X3" s="115">
        <v>4.9899999999999997E-8</v>
      </c>
      <c r="Y3" s="115">
        <v>1.3614E-8</v>
      </c>
      <c r="Z3" s="115">
        <v>3.5506000000000001E-9</v>
      </c>
      <c r="AA3" s="115">
        <v>9.1128999999999996E-10</v>
      </c>
      <c r="AB3" s="115">
        <v>4.5008000000000004E-12</v>
      </c>
    </row>
    <row r="4" spans="1:28" x14ac:dyDescent="0.35">
      <c r="A4" s="112" t="s">
        <v>86</v>
      </c>
      <c r="B4" s="116">
        <v>2.3481999999999998E-6</v>
      </c>
      <c r="C4" s="116">
        <v>4.4712999999999999E-6</v>
      </c>
      <c r="D4" s="116">
        <v>8.6964000000000003E-6</v>
      </c>
      <c r="E4" s="116">
        <v>1.7813E-5</v>
      </c>
      <c r="F4" s="116">
        <v>3.8047999999999999E-5</v>
      </c>
      <c r="G4" s="116">
        <v>1.0480999999999999E-4</v>
      </c>
      <c r="H4" s="116">
        <v>1.9879000000000001E-4</v>
      </c>
      <c r="I4" s="116">
        <v>3.8164999999999998E-4</v>
      </c>
      <c r="J4" s="116">
        <v>7.2637000000000005E-4</v>
      </c>
      <c r="K4" s="116">
        <v>7.6448000000000002E-3</v>
      </c>
      <c r="L4" s="116">
        <v>1.303E-2</v>
      </c>
      <c r="M4" s="116">
        <v>2.1228E-2</v>
      </c>
      <c r="N4" s="116">
        <v>3.2677999999999999E-2</v>
      </c>
      <c r="O4" s="116">
        <v>4.7285000000000001E-2</v>
      </c>
      <c r="P4" s="154">
        <v>6.4014000000000001E-2</v>
      </c>
      <c r="Q4" s="116">
        <v>8.0731999999999998E-2</v>
      </c>
      <c r="R4" s="154">
        <v>9.4950000000000007E-2</v>
      </c>
      <c r="S4" s="116">
        <v>0.10521</v>
      </c>
      <c r="T4" s="116">
        <v>0.11840000000000001</v>
      </c>
      <c r="U4" s="116">
        <v>0.11679</v>
      </c>
      <c r="V4" s="116">
        <v>9.4005000000000005E-2</v>
      </c>
      <c r="W4" s="116">
        <v>3.6080000000000001E-2</v>
      </c>
      <c r="X4" s="116">
        <v>2.4143999999999999E-2</v>
      </c>
      <c r="Y4" s="116">
        <v>1.5429E-2</v>
      </c>
      <c r="Z4" s="116">
        <v>9.5852000000000003E-3</v>
      </c>
      <c r="AA4" s="116">
        <v>5.8760000000000001E-3</v>
      </c>
      <c r="AB4" s="116">
        <v>8.4699000000000005E-4</v>
      </c>
    </row>
    <row r="5" spans="1:28" x14ac:dyDescent="0.35">
      <c r="A5" s="108" t="s">
        <v>73</v>
      </c>
      <c r="B5" s="115">
        <v>1.8594E-28</v>
      </c>
      <c r="C5" s="115">
        <v>7.4295999999999994E-27</v>
      </c>
      <c r="D5" s="115">
        <v>2.6945000000000002E-25</v>
      </c>
      <c r="E5" s="115">
        <v>1.0285E-23</v>
      </c>
      <c r="F5" s="115">
        <v>4.1562999999999998E-22</v>
      </c>
      <c r="G5" s="115">
        <v>5.0184999999999998E-20</v>
      </c>
      <c r="H5" s="115">
        <v>1.0738E-18</v>
      </c>
      <c r="I5" s="115">
        <v>2.2907999999999999E-17</v>
      </c>
      <c r="J5" s="115">
        <v>4.5302000000000001E-16</v>
      </c>
      <c r="K5" s="115">
        <v>1.4255E-11</v>
      </c>
      <c r="L5" s="115">
        <v>1.1835000000000001E-10</v>
      </c>
      <c r="M5" s="115">
        <v>8.1436999999999995E-10</v>
      </c>
      <c r="N5" s="115">
        <v>4.8252999999999999E-9</v>
      </c>
      <c r="O5" s="115">
        <v>2.4926999999999999E-8</v>
      </c>
      <c r="P5" s="153">
        <v>1.1086E-7</v>
      </c>
      <c r="Q5" s="115">
        <v>4.1741999999999999E-7</v>
      </c>
      <c r="R5" s="153">
        <v>1.3272E-6</v>
      </c>
      <c r="S5" s="115">
        <v>3.6302E-6</v>
      </c>
      <c r="T5" s="115">
        <v>8.1812999999999997E-5</v>
      </c>
      <c r="U5" s="115">
        <v>8.7615999999999996E-4</v>
      </c>
      <c r="V5" s="115">
        <v>4.1006000000000003E-3</v>
      </c>
      <c r="W5" s="115">
        <v>2.9838999999999998E-3</v>
      </c>
      <c r="X5" s="115">
        <v>1.9321E-3</v>
      </c>
      <c r="Y5" s="115">
        <v>1.1352000000000001E-3</v>
      </c>
      <c r="Z5" s="115">
        <v>6.2693999999999998E-4</v>
      </c>
      <c r="AA5" s="115">
        <v>3.3488000000000002E-4</v>
      </c>
      <c r="AB5" s="115">
        <v>2.6115999999999999E-5</v>
      </c>
    </row>
    <row r="6" spans="1:28" x14ac:dyDescent="0.35">
      <c r="A6" s="108" t="s">
        <v>58</v>
      </c>
      <c r="B6" s="115">
        <v>3.1019999999999999E-28</v>
      </c>
      <c r="C6" s="115">
        <v>1.1738E-26</v>
      </c>
      <c r="D6" s="115">
        <v>3.8705000000000001E-25</v>
      </c>
      <c r="E6" s="115">
        <v>1.2552E-23</v>
      </c>
      <c r="F6" s="115">
        <v>4.0285000000000001E-22</v>
      </c>
      <c r="G6" s="115">
        <v>2.6877E-20</v>
      </c>
      <c r="H6" s="115">
        <v>4.8895000000000001E-19</v>
      </c>
      <c r="I6" s="115">
        <v>8.5231000000000005E-18</v>
      </c>
      <c r="J6" s="115">
        <v>1.3532E-16</v>
      </c>
      <c r="K6" s="115">
        <v>2.1923999999999998E-12</v>
      </c>
      <c r="L6" s="115">
        <v>1.7411E-11</v>
      </c>
      <c r="M6" s="115">
        <v>1.1916999999999999E-10</v>
      </c>
      <c r="N6" s="115">
        <v>7.1440000000000004E-10</v>
      </c>
      <c r="O6" s="115">
        <v>3.7937000000000002E-9</v>
      </c>
      <c r="P6" s="153">
        <v>1.7843E-8</v>
      </c>
      <c r="Q6" s="115">
        <v>7.4066999999999997E-8</v>
      </c>
      <c r="R6" s="153">
        <v>2.7186E-7</v>
      </c>
      <c r="S6" s="115">
        <v>8.9314999999999997E-7</v>
      </c>
      <c r="T6" s="115">
        <v>4.9323999999999997E-5</v>
      </c>
      <c r="U6" s="115">
        <v>1.3162E-3</v>
      </c>
      <c r="V6" s="115">
        <v>1.7780000000000001E-2</v>
      </c>
      <c r="W6" s="115">
        <v>7.7951999999999994E-2</v>
      </c>
      <c r="X6" s="115">
        <v>9.1992000000000004E-2</v>
      </c>
      <c r="Y6" s="115">
        <v>0.1023</v>
      </c>
      <c r="Z6" s="115">
        <v>0.10915999999999999</v>
      </c>
      <c r="AA6" s="115">
        <v>0.11345</v>
      </c>
      <c r="AB6" s="115">
        <v>0.1191</v>
      </c>
    </row>
    <row r="7" spans="1:28" x14ac:dyDescent="0.35">
      <c r="A7" s="112" t="s">
        <v>80</v>
      </c>
      <c r="B7" s="116">
        <v>6.5483999999999998E-10</v>
      </c>
      <c r="C7" s="116">
        <v>2.0457000000000001E-9</v>
      </c>
      <c r="D7" s="116">
        <v>4.8861999999999999E-9</v>
      </c>
      <c r="E7" s="116">
        <v>8.7203999999999998E-9</v>
      </c>
      <c r="F7" s="116">
        <v>1.1932000000000001E-8</v>
      </c>
      <c r="G7" s="116">
        <v>7.0699999999999998E-9</v>
      </c>
      <c r="H7" s="116">
        <v>9.0227999999999999E-9</v>
      </c>
      <c r="I7" s="116">
        <v>9.7994999999999995E-9</v>
      </c>
      <c r="J7" s="116">
        <v>9.5685000000000006E-9</v>
      </c>
      <c r="K7" s="116">
        <v>7.4586999999999995E-9</v>
      </c>
      <c r="L7" s="116">
        <v>7.7952000000000005E-9</v>
      </c>
      <c r="M7" s="116">
        <v>8.2755000000000002E-9</v>
      </c>
      <c r="N7" s="116">
        <v>8.4629999999999994E-9</v>
      </c>
      <c r="O7" s="116">
        <v>8.2064999999999997E-9</v>
      </c>
      <c r="P7" s="154">
        <v>7.6165000000000007E-9</v>
      </c>
      <c r="Q7" s="116">
        <v>6.8584000000000002E-9</v>
      </c>
      <c r="R7" s="154">
        <v>6.0492999999999998E-9</v>
      </c>
      <c r="S7" s="116">
        <v>5.2586999999999996E-9</v>
      </c>
      <c r="T7" s="116">
        <v>2.8199000000000002E-9</v>
      </c>
      <c r="U7" s="116">
        <v>1.4974E-9</v>
      </c>
      <c r="V7" s="116">
        <v>8.4256000000000004E-10</v>
      </c>
      <c r="W7" s="116">
        <v>5.2595000000000003E-10</v>
      </c>
      <c r="X7" s="116">
        <v>4.6519000000000002E-10</v>
      </c>
      <c r="Y7" s="116">
        <v>4.0837999999999999E-10</v>
      </c>
      <c r="Z7" s="116">
        <v>3.5621999999999999E-10</v>
      </c>
      <c r="AA7" s="116">
        <v>3.0936E-10</v>
      </c>
      <c r="AB7" s="116">
        <v>1.7323000000000001E-10</v>
      </c>
    </row>
    <row r="8" spans="1:28" x14ac:dyDescent="0.35">
      <c r="A8" s="112" t="s">
        <v>81</v>
      </c>
      <c r="B8" s="116">
        <v>2.4052000000000001E-3</v>
      </c>
      <c r="C8" s="116">
        <v>8.0286000000000003E-3</v>
      </c>
      <c r="D8" s="116">
        <v>2.0936E-2</v>
      </c>
      <c r="E8" s="116">
        <v>4.1491E-2</v>
      </c>
      <c r="F8" s="116">
        <v>6.3899999999999998E-2</v>
      </c>
      <c r="G8" s="116">
        <v>4.3081000000000001E-2</v>
      </c>
      <c r="H8" s="116">
        <v>6.3097E-2</v>
      </c>
      <c r="I8" s="116">
        <v>7.9185000000000005E-2</v>
      </c>
      <c r="J8" s="116">
        <v>8.9828000000000005E-2</v>
      </c>
      <c r="K8" s="116">
        <v>0.13199</v>
      </c>
      <c r="L8" s="116">
        <v>0.16244</v>
      </c>
      <c r="M8" s="116">
        <v>0.20327999999999999</v>
      </c>
      <c r="N8" s="116">
        <v>0.2452</v>
      </c>
      <c r="O8" s="116">
        <v>0.28054000000000001</v>
      </c>
      <c r="P8" s="154">
        <v>0.30725000000000002</v>
      </c>
      <c r="Q8" s="116">
        <v>0.32645000000000002</v>
      </c>
      <c r="R8" s="154">
        <v>0.33965000000000001</v>
      </c>
      <c r="S8" s="116">
        <v>0.34816999999999998</v>
      </c>
      <c r="T8" s="116">
        <v>0.35888999999999999</v>
      </c>
      <c r="U8" s="116">
        <v>0.36203000000000002</v>
      </c>
      <c r="V8" s="116">
        <v>0.38185999999999998</v>
      </c>
      <c r="W8" s="116">
        <v>0.44092999999999999</v>
      </c>
      <c r="X8" s="116">
        <v>0.45391999999999999</v>
      </c>
      <c r="Y8" s="116">
        <v>0.46343000000000001</v>
      </c>
      <c r="Z8" s="116">
        <v>0.46978999999999999</v>
      </c>
      <c r="AA8" s="116">
        <v>0.47378999999999999</v>
      </c>
      <c r="AB8" s="116">
        <v>0.47913</v>
      </c>
    </row>
    <row r="9" spans="1:28" x14ac:dyDescent="0.35">
      <c r="A9" s="112" t="s">
        <v>82</v>
      </c>
      <c r="B9" s="116">
        <v>7.2503999999999999E-12</v>
      </c>
      <c r="C9" s="116">
        <v>2.9913000000000003E-11</v>
      </c>
      <c r="D9" s="116">
        <v>9.2025999999999996E-11</v>
      </c>
      <c r="E9" s="116">
        <v>2.0705E-10</v>
      </c>
      <c r="F9" s="116">
        <v>3.5058999999999998E-10</v>
      </c>
      <c r="G9" s="116">
        <v>2.5297000000000001E-10</v>
      </c>
      <c r="H9" s="116">
        <v>3.8759999999999999E-10</v>
      </c>
      <c r="I9" s="116">
        <v>4.9914999999999998E-10</v>
      </c>
      <c r="J9" s="116">
        <v>5.7152999999999999E-10</v>
      </c>
      <c r="K9" s="116">
        <v>7.7034000000000005E-10</v>
      </c>
      <c r="L9" s="116">
        <v>9.0657E-10</v>
      </c>
      <c r="M9" s="116">
        <v>1.0773E-9</v>
      </c>
      <c r="N9" s="116">
        <v>1.2264E-9</v>
      </c>
      <c r="O9" s="116">
        <v>1.3172E-9</v>
      </c>
      <c r="P9" s="154">
        <v>1.3479000000000001E-9</v>
      </c>
      <c r="Q9" s="116">
        <v>1.3325000000000001E-9</v>
      </c>
      <c r="R9" s="154">
        <v>1.2852000000000001E-9</v>
      </c>
      <c r="S9" s="116">
        <v>1.2172999999999999E-9</v>
      </c>
      <c r="T9" s="116">
        <v>8.9125999999999998E-10</v>
      </c>
      <c r="U9" s="116">
        <v>6.1985999999999997E-10</v>
      </c>
      <c r="V9" s="116">
        <v>4.4219E-10</v>
      </c>
      <c r="W9" s="116">
        <v>3.4098E-10</v>
      </c>
      <c r="X9" s="116">
        <v>3.1685E-10</v>
      </c>
      <c r="Y9" s="116">
        <v>2.9186000000000001E-10</v>
      </c>
      <c r="Z9" s="116">
        <v>2.6680999999999998E-10</v>
      </c>
      <c r="AA9" s="116">
        <v>2.4257000000000002E-10</v>
      </c>
      <c r="AB9" s="116">
        <v>1.6140999999999999E-10</v>
      </c>
    </row>
    <row r="10" spans="1:28" x14ac:dyDescent="0.35">
      <c r="A10" s="112" t="s">
        <v>83</v>
      </c>
      <c r="B10" s="116">
        <v>2.8497000000000002E-9</v>
      </c>
      <c r="C10" s="116">
        <v>7.8554E-9</v>
      </c>
      <c r="D10" s="116">
        <v>1.6768000000000002E-8</v>
      </c>
      <c r="E10" s="116">
        <v>2.7035E-8</v>
      </c>
      <c r="F10" s="116">
        <v>3.3732000000000001E-8</v>
      </c>
      <c r="G10" s="116">
        <v>1.8375999999999999E-8</v>
      </c>
      <c r="H10" s="116">
        <v>2.1716000000000001E-8</v>
      </c>
      <c r="I10" s="116">
        <v>2.1976999999999999E-8</v>
      </c>
      <c r="J10" s="116">
        <v>2.0108E-8</v>
      </c>
      <c r="K10" s="116">
        <v>1.2638E-8</v>
      </c>
      <c r="L10" s="116">
        <v>1.2631000000000001E-8</v>
      </c>
      <c r="M10" s="116">
        <v>1.3356000000000001E-8</v>
      </c>
      <c r="N10" s="116">
        <v>1.3774E-8</v>
      </c>
      <c r="O10" s="116">
        <v>1.3477000000000001E-8</v>
      </c>
      <c r="P10" s="154">
        <v>1.2623999999999999E-8</v>
      </c>
      <c r="Q10" s="116">
        <v>1.1476E-8</v>
      </c>
      <c r="R10" s="154">
        <v>1.0220999999999999E-8</v>
      </c>
      <c r="S10" s="116">
        <v>8.9737000000000001E-9</v>
      </c>
      <c r="T10" s="116">
        <v>5.0090000000000004E-9</v>
      </c>
      <c r="U10" s="116">
        <v>2.7683E-9</v>
      </c>
      <c r="V10" s="116">
        <v>1.6196000000000001E-9</v>
      </c>
      <c r="W10" s="116">
        <v>1.0500000000000001E-9</v>
      </c>
      <c r="X10" s="116">
        <v>9.3737999999999992E-10</v>
      </c>
      <c r="Y10" s="116">
        <v>8.3052000000000004E-10</v>
      </c>
      <c r="Z10" s="116">
        <v>7.3111999999999995E-10</v>
      </c>
      <c r="AA10" s="116">
        <v>6.4075999999999997E-10</v>
      </c>
      <c r="AB10" s="116">
        <v>3.7194999999999999E-10</v>
      </c>
    </row>
    <row r="11" spans="1:28" x14ac:dyDescent="0.35">
      <c r="A11" s="108" t="s">
        <v>56</v>
      </c>
      <c r="B11" s="115">
        <v>0</v>
      </c>
      <c r="C11" s="115">
        <v>0</v>
      </c>
      <c r="D11" s="115">
        <v>0</v>
      </c>
      <c r="E11" s="115">
        <v>0</v>
      </c>
      <c r="F11" s="115">
        <v>0</v>
      </c>
      <c r="G11" s="115">
        <v>0</v>
      </c>
      <c r="H11" s="115">
        <v>0</v>
      </c>
      <c r="I11" s="115">
        <v>0</v>
      </c>
      <c r="J11" s="115">
        <v>0</v>
      </c>
      <c r="K11" s="115">
        <v>0</v>
      </c>
      <c r="L11" s="115">
        <v>0</v>
      </c>
      <c r="M11" s="115">
        <v>0</v>
      </c>
      <c r="N11" s="115">
        <v>0</v>
      </c>
      <c r="O11" s="115">
        <v>0</v>
      </c>
      <c r="P11" s="153">
        <v>0</v>
      </c>
      <c r="Q11" s="115">
        <v>0</v>
      </c>
      <c r="R11" s="153">
        <v>0</v>
      </c>
      <c r="S11" s="115">
        <v>0</v>
      </c>
      <c r="T11" s="115">
        <v>0</v>
      </c>
      <c r="U11" s="115">
        <v>0</v>
      </c>
      <c r="V11" s="115">
        <v>5.3633E-24</v>
      </c>
      <c r="W11" s="115">
        <v>4.1780999999999998E-10</v>
      </c>
      <c r="X11" s="115">
        <v>1.8819999999999999E-8</v>
      </c>
      <c r="Y11" s="115">
        <v>5.1797999999999998E-8</v>
      </c>
      <c r="Z11" s="115">
        <v>7.7835999999999996E-8</v>
      </c>
      <c r="AA11" s="115">
        <v>1.3689E-7</v>
      </c>
      <c r="AB11" s="115">
        <v>5.8815000000000004E-7</v>
      </c>
    </row>
    <row r="12" spans="1:28" x14ac:dyDescent="0.35">
      <c r="A12" s="108" t="s">
        <v>59</v>
      </c>
      <c r="B12" s="115">
        <v>0</v>
      </c>
      <c r="C12" s="115">
        <v>0</v>
      </c>
      <c r="D12" s="115">
        <v>0</v>
      </c>
      <c r="E12" s="115">
        <v>0</v>
      </c>
      <c r="F12" s="115">
        <v>0</v>
      </c>
      <c r="G12" s="115">
        <v>0</v>
      </c>
      <c r="H12" s="115">
        <v>0</v>
      </c>
      <c r="I12" s="115">
        <v>0</v>
      </c>
      <c r="J12" s="115">
        <v>0</v>
      </c>
      <c r="K12" s="115">
        <v>0</v>
      </c>
      <c r="L12" s="115">
        <v>0</v>
      </c>
      <c r="M12" s="115">
        <v>0</v>
      </c>
      <c r="N12" s="115">
        <v>0</v>
      </c>
      <c r="O12" s="115">
        <v>0</v>
      </c>
      <c r="P12" s="153">
        <v>0</v>
      </c>
      <c r="Q12" s="115">
        <v>0</v>
      </c>
      <c r="R12" s="153">
        <v>0</v>
      </c>
      <c r="S12" s="115">
        <v>0</v>
      </c>
      <c r="T12" s="115">
        <v>0</v>
      </c>
      <c r="U12" s="115">
        <v>0</v>
      </c>
      <c r="V12" s="115">
        <v>2.2334999999999998E-24</v>
      </c>
      <c r="W12" s="115">
        <v>5.6443000000000001E-11</v>
      </c>
      <c r="X12" s="115">
        <v>2.3336999999999999E-9</v>
      </c>
      <c r="Y12" s="115">
        <v>6.2382999999999999E-9</v>
      </c>
      <c r="Z12" s="115">
        <v>9.4627000000000004E-9</v>
      </c>
      <c r="AA12" s="115">
        <v>1.7202999999999999E-8</v>
      </c>
      <c r="AB12" s="115">
        <v>9.1625000000000002E-8</v>
      </c>
    </row>
    <row r="13" spans="1:28" x14ac:dyDescent="0.35">
      <c r="A13" s="108" t="s">
        <v>52</v>
      </c>
      <c r="B13" s="115">
        <v>-18.87</v>
      </c>
      <c r="C13" s="115">
        <v>-18.87</v>
      </c>
      <c r="D13" s="115">
        <v>-18.899999999999999</v>
      </c>
      <c r="E13" s="115">
        <v>-18.95</v>
      </c>
      <c r="F13" s="115">
        <v>-19.010000000000002</v>
      </c>
      <c r="G13" s="115">
        <v>-18.98</v>
      </c>
      <c r="H13" s="115">
        <v>-19.04</v>
      </c>
      <c r="I13" s="115">
        <v>-19.09</v>
      </c>
      <c r="J13" s="115">
        <v>-19.14</v>
      </c>
      <c r="K13" s="115">
        <v>-19.18</v>
      </c>
      <c r="L13" s="115">
        <v>-19.13</v>
      </c>
      <c r="M13" s="115">
        <v>-19.079999999999998</v>
      </c>
      <c r="N13" s="115">
        <v>-19.04</v>
      </c>
      <c r="O13" s="115">
        <v>-19.03</v>
      </c>
      <c r="P13" s="153">
        <v>-19.04</v>
      </c>
      <c r="Q13" s="115">
        <v>-19.059999999999999</v>
      </c>
      <c r="R13" s="153">
        <v>-19.079999999999998</v>
      </c>
      <c r="S13" s="115">
        <v>-19.11</v>
      </c>
      <c r="T13" s="115">
        <v>-19.25</v>
      </c>
      <c r="U13" s="115">
        <v>-19.38</v>
      </c>
      <c r="V13" s="115">
        <v>-19.510000000000002</v>
      </c>
      <c r="W13" s="115">
        <v>-19.64</v>
      </c>
      <c r="X13" s="115">
        <v>-19.670000000000002</v>
      </c>
      <c r="Y13" s="115">
        <v>-19.7</v>
      </c>
      <c r="Z13" s="115">
        <v>-19.73</v>
      </c>
      <c r="AA13" s="115">
        <v>-19.760000000000002</v>
      </c>
      <c r="AB13" s="115">
        <v>-19.88</v>
      </c>
    </row>
    <row r="14" spans="1:28" x14ac:dyDescent="0.35">
      <c r="A14" s="108" t="s">
        <v>87</v>
      </c>
      <c r="B14" s="115">
        <v>-66.680000000000007</v>
      </c>
      <c r="C14" s="115">
        <v>-63.05</v>
      </c>
      <c r="D14" s="115">
        <v>-59.58</v>
      </c>
      <c r="E14" s="115">
        <v>-56.15</v>
      </c>
      <c r="F14" s="115">
        <v>-52.74</v>
      </c>
      <c r="G14" s="115">
        <v>-48.52</v>
      </c>
      <c r="H14" s="115">
        <v>-45.68</v>
      </c>
      <c r="I14" s="115">
        <v>-42.89</v>
      </c>
      <c r="J14" s="115">
        <v>-40.18</v>
      </c>
      <c r="K14" s="115">
        <v>-30.88</v>
      </c>
      <c r="L14" s="115">
        <v>-29.01</v>
      </c>
      <c r="M14" s="115">
        <v>-27.3</v>
      </c>
      <c r="N14" s="115">
        <v>-25.68</v>
      </c>
      <c r="O14" s="115">
        <v>-24.16</v>
      </c>
      <c r="P14" s="153">
        <v>-22.72</v>
      </c>
      <c r="Q14" s="115">
        <v>-21.39</v>
      </c>
      <c r="R14" s="153">
        <v>-20.170000000000002</v>
      </c>
      <c r="S14" s="115">
        <v>-19.05</v>
      </c>
      <c r="T14" s="115">
        <v>-15.24</v>
      </c>
      <c r="U14" s="115">
        <v>-12.13</v>
      </c>
      <c r="V14" s="115">
        <v>-9.7149999999999999</v>
      </c>
      <c r="W14" s="115">
        <v>-8.48</v>
      </c>
      <c r="X14" s="115">
        <v>-8.3719999999999999</v>
      </c>
      <c r="Y14" s="115">
        <v>-8.3179999999999996</v>
      </c>
      <c r="Z14" s="115">
        <v>-8.3000000000000007</v>
      </c>
      <c r="AA14" s="115">
        <v>-8.3049999999999997</v>
      </c>
      <c r="AB14" s="115">
        <v>-8.4120000000000008</v>
      </c>
    </row>
    <row r="15" spans="1:28" x14ac:dyDescent="0.35">
      <c r="A15" s="108" t="s">
        <v>53</v>
      </c>
      <c r="B15" s="115">
        <v>-18.13</v>
      </c>
      <c r="C15" s="115">
        <v>-17.350000000000001</v>
      </c>
      <c r="D15" s="115">
        <v>-16.45</v>
      </c>
      <c r="E15" s="115">
        <v>-15.39</v>
      </c>
      <c r="F15" s="115">
        <v>-14.22</v>
      </c>
      <c r="G15" s="115">
        <v>-12.64</v>
      </c>
      <c r="H15" s="115">
        <v>-11.66</v>
      </c>
      <c r="I15" s="115">
        <v>-10.66</v>
      </c>
      <c r="J15" s="115">
        <v>-9.6769999999999996</v>
      </c>
      <c r="K15" s="115">
        <v>-6.4119999999999999</v>
      </c>
      <c r="L15" s="115">
        <v>-5.9249999999999998</v>
      </c>
      <c r="M15" s="115">
        <v>-5.6239999999999997</v>
      </c>
      <c r="N15" s="115">
        <v>-5.47</v>
      </c>
      <c r="O15" s="115">
        <v>-5.4130000000000003</v>
      </c>
      <c r="P15" s="153">
        <v>-5.4139999999999997</v>
      </c>
      <c r="Q15" s="115">
        <v>-5.4450000000000003</v>
      </c>
      <c r="R15" s="153">
        <v>-5.4880000000000004</v>
      </c>
      <c r="S15" s="115">
        <v>-5.5330000000000004</v>
      </c>
      <c r="T15" s="115">
        <v>-5.7050000000000001</v>
      </c>
      <c r="U15" s="115">
        <v>-5.8680000000000003</v>
      </c>
      <c r="V15" s="115">
        <v>-6.0510000000000002</v>
      </c>
      <c r="W15" s="115">
        <v>-6.2869999999999999</v>
      </c>
      <c r="X15" s="115">
        <v>-6.343</v>
      </c>
      <c r="Y15" s="115">
        <v>-6.3940000000000001</v>
      </c>
      <c r="Z15" s="115">
        <v>-6.44</v>
      </c>
      <c r="AA15" s="115">
        <v>-6.4820000000000002</v>
      </c>
      <c r="AB15" s="115">
        <v>-6.6340000000000003</v>
      </c>
    </row>
    <row r="16" spans="1:28" x14ac:dyDescent="0.35">
      <c r="A16" s="108" t="s">
        <v>68</v>
      </c>
      <c r="B16" s="115">
        <v>-23.19</v>
      </c>
      <c r="C16" s="115">
        <v>-22.18</v>
      </c>
      <c r="D16" s="115">
        <v>-21.45</v>
      </c>
      <c r="E16" s="115">
        <v>-21.02</v>
      </c>
      <c r="F16" s="115">
        <v>-20.86</v>
      </c>
      <c r="G16" s="115">
        <v>-21.44</v>
      </c>
      <c r="H16" s="115">
        <v>-21.34</v>
      </c>
      <c r="I16" s="115">
        <v>-21.39</v>
      </c>
      <c r="J16" s="115">
        <v>-21.54</v>
      </c>
      <c r="K16" s="115">
        <v>-22.4</v>
      </c>
      <c r="L16" s="115">
        <v>-22.6</v>
      </c>
      <c r="M16" s="115">
        <v>-22.79</v>
      </c>
      <c r="N16" s="115">
        <v>-22.98</v>
      </c>
      <c r="O16" s="115">
        <v>-23.19</v>
      </c>
      <c r="P16" s="153">
        <v>-23.42</v>
      </c>
      <c r="Q16" s="115">
        <v>-23.65</v>
      </c>
      <c r="R16" s="153">
        <v>-23.88</v>
      </c>
      <c r="S16" s="115">
        <v>-24.12</v>
      </c>
      <c r="T16" s="115">
        <v>-25.05</v>
      </c>
      <c r="U16" s="115">
        <v>-25.94</v>
      </c>
      <c r="V16" s="115">
        <v>-26.78</v>
      </c>
      <c r="W16" s="115">
        <v>-27.56</v>
      </c>
      <c r="X16" s="115">
        <v>-27.76</v>
      </c>
      <c r="Y16" s="115">
        <v>-27.95</v>
      </c>
      <c r="Z16" s="115">
        <v>-28.15</v>
      </c>
      <c r="AA16" s="115">
        <v>-28.35</v>
      </c>
      <c r="AB16" s="115">
        <v>-29.13</v>
      </c>
    </row>
    <row r="17" spans="1:28" x14ac:dyDescent="0.35">
      <c r="A17" s="108" t="s">
        <v>54</v>
      </c>
      <c r="B17" s="115">
        <v>0.25689000000000001</v>
      </c>
      <c r="C17" s="115">
        <v>0.26001000000000002</v>
      </c>
      <c r="D17" s="115">
        <v>0.26717999999999997</v>
      </c>
      <c r="E17" s="115">
        <v>0.27859</v>
      </c>
      <c r="F17" s="115">
        <v>0.29102</v>
      </c>
      <c r="G17" s="115">
        <v>0.27939000000000003</v>
      </c>
      <c r="H17" s="115">
        <v>0.29036000000000001</v>
      </c>
      <c r="I17" s="115">
        <v>0.29891000000000001</v>
      </c>
      <c r="J17" s="115">
        <v>0.30381000000000002</v>
      </c>
      <c r="K17" s="115">
        <v>0.28104000000000001</v>
      </c>
      <c r="L17" s="115">
        <v>0.25941999999999998</v>
      </c>
      <c r="M17" s="115">
        <v>0.23788999999999999</v>
      </c>
      <c r="N17" s="115">
        <v>0.22187999999999999</v>
      </c>
      <c r="O17" s="115">
        <v>0.21195</v>
      </c>
      <c r="P17" s="153">
        <v>0.20638999999999999</v>
      </c>
      <c r="Q17" s="115">
        <v>0.20343</v>
      </c>
      <c r="R17" s="153">
        <v>0.20186000000000001</v>
      </c>
      <c r="S17" s="115">
        <v>0.20104</v>
      </c>
      <c r="T17" s="115">
        <v>0.20013</v>
      </c>
      <c r="U17" s="115">
        <v>0.20002</v>
      </c>
      <c r="V17" s="115">
        <v>0.2</v>
      </c>
      <c r="W17" s="115">
        <v>0.2</v>
      </c>
      <c r="X17" s="115">
        <v>0.2</v>
      </c>
      <c r="Y17" s="115">
        <v>0.2</v>
      </c>
      <c r="Z17" s="115">
        <v>0.2</v>
      </c>
      <c r="AA17" s="115">
        <v>0.2</v>
      </c>
      <c r="AB17" s="115">
        <v>0.2</v>
      </c>
    </row>
    <row r="18" spans="1:28" x14ac:dyDescent="0.35">
      <c r="A18" s="108" t="s">
        <v>55</v>
      </c>
      <c r="B18" s="115">
        <v>0.20552000000000001</v>
      </c>
      <c r="C18" s="115">
        <v>0.20802000000000001</v>
      </c>
      <c r="D18" s="115">
        <v>0.21376000000000001</v>
      </c>
      <c r="E18" s="115">
        <v>0.22291</v>
      </c>
      <c r="F18" s="115">
        <v>0.23289000000000001</v>
      </c>
      <c r="G18" s="115">
        <v>0.22375</v>
      </c>
      <c r="H18" s="115">
        <v>0.23283999999999999</v>
      </c>
      <c r="I18" s="115">
        <v>0.24046999999999999</v>
      </c>
      <c r="J18" s="115">
        <v>0.24637999999999999</v>
      </c>
      <c r="K18" s="115">
        <v>0.31476999999999999</v>
      </c>
      <c r="L18" s="115">
        <v>0.36953999999999998</v>
      </c>
      <c r="M18" s="115">
        <v>0.436</v>
      </c>
      <c r="N18" s="115">
        <v>0.49965999999999999</v>
      </c>
      <c r="O18" s="115">
        <v>0.55223</v>
      </c>
      <c r="P18" s="153">
        <v>0.59286000000000005</v>
      </c>
      <c r="Q18" s="115">
        <v>0.62339</v>
      </c>
      <c r="R18" s="153">
        <v>0.64525999999999994</v>
      </c>
      <c r="S18" s="115">
        <v>0.65973000000000004</v>
      </c>
      <c r="T18" s="115">
        <v>0.67798999999999998</v>
      </c>
      <c r="U18" s="115">
        <v>0.68106</v>
      </c>
      <c r="V18" s="115">
        <v>0.69774000000000003</v>
      </c>
      <c r="W18" s="115">
        <v>0.75795000000000001</v>
      </c>
      <c r="X18" s="115">
        <v>0.77198999999999995</v>
      </c>
      <c r="Y18" s="115">
        <v>0.7823</v>
      </c>
      <c r="Z18" s="115">
        <v>0.78915999999999997</v>
      </c>
      <c r="AA18" s="115">
        <v>0.79344999999999999</v>
      </c>
      <c r="AB18" s="115">
        <v>0.79910000000000003</v>
      </c>
    </row>
    <row r="19" spans="1:28" x14ac:dyDescent="0.35">
      <c r="A19" s="108" t="s">
        <v>60</v>
      </c>
      <c r="B19" s="115">
        <v>0</v>
      </c>
      <c r="C19" s="115">
        <v>0</v>
      </c>
      <c r="D19" s="115">
        <v>0</v>
      </c>
      <c r="E19" s="115">
        <v>2.7605999999999999E-43</v>
      </c>
      <c r="F19" s="115">
        <v>2.7987E-40</v>
      </c>
      <c r="G19" s="115">
        <v>3.5801000000000002E-39</v>
      </c>
      <c r="H19" s="115">
        <v>1.4126999999999999E-36</v>
      </c>
      <c r="I19" s="115">
        <v>7.9401999999999995E-39</v>
      </c>
      <c r="J19" s="115">
        <v>8.9494000000000002E-39</v>
      </c>
      <c r="K19" s="115">
        <v>6.0964999999999999E-38</v>
      </c>
      <c r="L19" s="115">
        <v>7.4854999999999993E-40</v>
      </c>
      <c r="M19" s="115">
        <v>9.1785000000000001E-43</v>
      </c>
      <c r="N19" s="115">
        <v>0</v>
      </c>
      <c r="O19" s="115">
        <v>0</v>
      </c>
      <c r="P19" s="153">
        <v>0</v>
      </c>
      <c r="Q19" s="115">
        <v>0</v>
      </c>
      <c r="R19" s="153">
        <v>0</v>
      </c>
      <c r="S19" s="115">
        <v>0</v>
      </c>
      <c r="T19" s="115">
        <v>0</v>
      </c>
      <c r="U19" s="115">
        <v>3.1152999999999998E-38</v>
      </c>
      <c r="V19" s="115">
        <v>5.0712000000000002E-23</v>
      </c>
      <c r="W19" s="115">
        <v>9.1430000000000004E-10</v>
      </c>
      <c r="X19" s="115">
        <v>3.4999000000000001E-8</v>
      </c>
      <c r="Y19" s="115">
        <v>8.6480000000000004E-8</v>
      </c>
      <c r="Z19" s="115">
        <v>1.2109999999999999E-7</v>
      </c>
      <c r="AA19" s="115">
        <v>2.0319999999999999E-7</v>
      </c>
      <c r="AB19" s="115">
        <v>7.9599000000000002E-7</v>
      </c>
    </row>
    <row r="20" spans="1:28" x14ac:dyDescent="0.35">
      <c r="A20" s="110" t="s">
        <v>88</v>
      </c>
      <c r="B20" s="117">
        <v>8.1445000000000006E-9</v>
      </c>
      <c r="C20" s="117">
        <v>9.4256999999999998E-9</v>
      </c>
      <c r="D20" s="117">
        <v>5.9636000000000004E-9</v>
      </c>
      <c r="E20" s="117">
        <v>3.4857000000000001E-9</v>
      </c>
      <c r="F20" s="117">
        <v>7.1414999999999998E-9</v>
      </c>
      <c r="G20" s="117">
        <v>2.8560000000000001E-9</v>
      </c>
      <c r="H20" s="117">
        <v>6.6299999999999996E-9</v>
      </c>
      <c r="I20" s="117">
        <v>4.8226000000000003E-9</v>
      </c>
      <c r="J20" s="117">
        <v>6.7716000000000001E-9</v>
      </c>
      <c r="K20" s="117">
        <v>6.2931999999999997E-9</v>
      </c>
      <c r="L20" s="117">
        <v>5.8997000000000002E-9</v>
      </c>
      <c r="M20" s="117">
        <v>8.0984999999999997E-9</v>
      </c>
      <c r="N20" s="117">
        <v>5.4301000000000001E-9</v>
      </c>
      <c r="O20" s="117">
        <v>6.1622999999999997E-9</v>
      </c>
      <c r="P20" s="155">
        <v>5.4476999999999997E-9</v>
      </c>
      <c r="Q20" s="117">
        <v>7.7260000000000008E-9</v>
      </c>
      <c r="R20" s="155">
        <v>9.8377000000000005E-9</v>
      </c>
      <c r="S20" s="117">
        <v>6.2205999999999998E-9</v>
      </c>
      <c r="T20" s="117">
        <v>9.0225000000000002E-9</v>
      </c>
      <c r="U20" s="117">
        <v>9.6225999999999994E-9</v>
      </c>
      <c r="V20" s="117">
        <v>9.2069000000000005E-9</v>
      </c>
      <c r="W20" s="117">
        <v>8.0142999999999995E-9</v>
      </c>
      <c r="X20" s="117">
        <v>6.5167E-9</v>
      </c>
      <c r="Y20" s="117">
        <v>8.0444999999999997E-9</v>
      </c>
      <c r="Z20" s="117">
        <v>7.2144000000000002E-9</v>
      </c>
      <c r="AA20" s="117">
        <v>8.3235000000000001E-9</v>
      </c>
      <c r="AB20" s="117">
        <v>9.5360000000000002E-9</v>
      </c>
    </row>
  </sheetData>
  <conditionalFormatting sqref="B1:AB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topLeftCell="A19" zoomScaleNormal="100" zoomScaleSheetLayoutView="25" workbookViewId="0">
      <selection activeCell="BS19" sqref="BS19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68" t="s">
        <v>0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  <c r="AN1" s="168"/>
      <c r="AO1" s="168"/>
      <c r="AP1" s="168"/>
      <c r="AQ1" s="168"/>
      <c r="AR1" s="168"/>
      <c r="AS1" s="168"/>
      <c r="AT1" s="168"/>
      <c r="AU1" s="168"/>
      <c r="AV1" s="168"/>
      <c r="AW1" s="168"/>
      <c r="AX1" s="168"/>
      <c r="AY1" s="168"/>
      <c r="AZ1" s="168"/>
      <c r="BA1" s="168"/>
      <c r="BB1" s="168"/>
      <c r="BC1" s="168"/>
      <c r="BD1" s="168"/>
      <c r="BE1" s="168"/>
      <c r="BF1" s="168"/>
      <c r="BG1" s="168"/>
      <c r="BH1" s="168"/>
      <c r="BI1" s="168"/>
      <c r="BJ1" s="168"/>
      <c r="BK1" s="168"/>
      <c r="BL1" s="168"/>
      <c r="BM1" s="168"/>
      <c r="BN1" s="168"/>
      <c r="BO1" s="168"/>
      <c r="BP1" s="168"/>
      <c r="BQ1" s="168"/>
      <c r="BR1" s="168"/>
      <c r="BS1" s="168"/>
      <c r="BT1" s="168"/>
      <c r="BU1" s="168"/>
      <c r="BV1" s="168"/>
      <c r="BW1" s="168"/>
      <c r="BX1" s="168"/>
      <c r="BY1" s="168"/>
      <c r="BZ1" s="168"/>
      <c r="CA1" s="168"/>
      <c r="CB1" s="168"/>
      <c r="CC1" s="168"/>
      <c r="CD1" s="168"/>
      <c r="CE1" s="168"/>
      <c r="CF1" s="168"/>
      <c r="CG1" s="168"/>
      <c r="CH1" s="168"/>
      <c r="CI1" s="168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72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554</v>
      </c>
      <c r="L3" s="3">
        <v>570.5</v>
      </c>
      <c r="M3" s="3">
        <v>587</v>
      </c>
      <c r="N3" s="3">
        <v>603.5</v>
      </c>
      <c r="O3" s="3">
        <v>669.6</v>
      </c>
      <c r="P3" s="3">
        <v>735.7</v>
      </c>
      <c r="Q3" s="3">
        <v>801.8</v>
      </c>
      <c r="R3" s="3">
        <v>867.8</v>
      </c>
      <c r="S3" s="3">
        <v>933.9</v>
      </c>
      <c r="T3" s="3">
        <v>950.4</v>
      </c>
      <c r="U3" s="3">
        <v>967</v>
      </c>
      <c r="V3" s="3">
        <v>983.5</v>
      </c>
      <c r="W3" s="3">
        <v>1000</v>
      </c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3</v>
      </c>
      <c r="C4" s="41">
        <f t="shared" si="0"/>
        <v>0</v>
      </c>
      <c r="D4" s="41">
        <f t="shared" si="0"/>
        <v>0</v>
      </c>
      <c r="E4" s="45" t="s">
        <v>102</v>
      </c>
      <c r="F4" s="85">
        <v>1.2831999999999999E-25</v>
      </c>
      <c r="G4" s="85">
        <v>1.9425E-19</v>
      </c>
      <c r="H4" s="85">
        <v>2.2298999999999998E-15</v>
      </c>
      <c r="I4" s="85">
        <v>1.5929E-12</v>
      </c>
      <c r="J4" s="85">
        <v>2.0498E-10</v>
      </c>
      <c r="K4" s="85">
        <v>5.7095999999999996E-10</v>
      </c>
      <c r="L4" s="85">
        <v>1.4969999999999999E-9</v>
      </c>
      <c r="M4" s="85">
        <v>3.7180000000000002E-9</v>
      </c>
      <c r="N4" s="85">
        <v>8.7965000000000004E-9</v>
      </c>
      <c r="O4" s="85">
        <v>1.8316999999999999E-7</v>
      </c>
      <c r="P4" s="85">
        <v>2.1741999999999999E-6</v>
      </c>
      <c r="Q4" s="85">
        <v>1.6022E-5</v>
      </c>
      <c r="R4" s="85">
        <v>7.9373000000000001E-5</v>
      </c>
      <c r="S4" s="85">
        <v>2.7228000000000002E-4</v>
      </c>
      <c r="T4" s="85">
        <v>3.4900000000000003E-4</v>
      </c>
      <c r="U4" s="85">
        <v>4.3608999999999998E-4</v>
      </c>
      <c r="V4" s="85">
        <v>5.3089999999999995E-4</v>
      </c>
      <c r="W4" s="85">
        <v>6.2951999999999995E-4</v>
      </c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4</v>
      </c>
      <c r="C5" s="41">
        <f t="shared" si="0"/>
        <v>0</v>
      </c>
      <c r="D5" s="41">
        <f t="shared" si="0"/>
        <v>0</v>
      </c>
      <c r="E5" s="45" t="s">
        <v>103</v>
      </c>
      <c r="F5" s="85">
        <v>1.0488E-23</v>
      </c>
      <c r="G5" s="85">
        <v>3.9577999999999998E-18</v>
      </c>
      <c r="H5" s="85">
        <v>1.6717000000000001E-14</v>
      </c>
      <c r="I5" s="85">
        <v>5.5917000000000001E-12</v>
      </c>
      <c r="J5" s="85">
        <v>3.9631999999999998E-10</v>
      </c>
      <c r="K5" s="85">
        <v>9.7003000000000001E-10</v>
      </c>
      <c r="L5" s="85">
        <v>2.2504E-9</v>
      </c>
      <c r="M5" s="85">
        <v>4.9784999999999997E-9</v>
      </c>
      <c r="N5" s="85">
        <v>1.0557999999999999E-8</v>
      </c>
      <c r="O5" s="85">
        <v>1.4999999999999999E-7</v>
      </c>
      <c r="P5" s="85">
        <v>1.2964E-6</v>
      </c>
      <c r="Q5" s="85">
        <v>7.2142000000000003E-6</v>
      </c>
      <c r="R5" s="85">
        <v>2.7393E-5</v>
      </c>
      <c r="S5" s="85">
        <v>7.1099999999999994E-5</v>
      </c>
      <c r="T5" s="85">
        <v>8.4475999999999996E-5</v>
      </c>
      <c r="U5" s="85">
        <v>9.7503999999999993E-5</v>
      </c>
      <c r="V5" s="85">
        <v>1.0922E-4</v>
      </c>
      <c r="W5" s="85">
        <v>1.1868E-4</v>
      </c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5</v>
      </c>
      <c r="C6" s="41">
        <f t="shared" si="0"/>
        <v>0</v>
      </c>
      <c r="D6" s="41">
        <f t="shared" si="0"/>
        <v>0</v>
      </c>
      <c r="E6" s="45" t="s">
        <v>104</v>
      </c>
      <c r="F6" s="85">
        <v>2.3519999999999999E-20</v>
      </c>
      <c r="G6" s="85">
        <v>2.9041E-15</v>
      </c>
      <c r="H6" s="85">
        <v>5.4777999999999999E-12</v>
      </c>
      <c r="I6" s="85">
        <v>9.9176999999999998E-10</v>
      </c>
      <c r="J6" s="85">
        <v>4.3318999999999999E-8</v>
      </c>
      <c r="K6" s="85">
        <v>9.5450999999999999E-8</v>
      </c>
      <c r="L6" s="85">
        <v>2.0048999999999999E-7</v>
      </c>
      <c r="M6" s="85">
        <v>4.0376000000000001E-7</v>
      </c>
      <c r="N6" s="85">
        <v>7.8352000000000002E-7</v>
      </c>
      <c r="O6" s="85">
        <v>8.1723999999999999E-6</v>
      </c>
      <c r="P6" s="85">
        <v>5.4653E-5</v>
      </c>
      <c r="Q6" s="85">
        <v>2.4179E-4</v>
      </c>
      <c r="R6" s="85">
        <v>7.3530999999999998E-4</v>
      </c>
      <c r="S6" s="85">
        <v>1.5001000000000001E-3</v>
      </c>
      <c r="T6" s="85">
        <v>1.6666000000000001E-3</v>
      </c>
      <c r="U6" s="85">
        <v>1.792E-3</v>
      </c>
      <c r="V6" s="85">
        <v>1.8621E-3</v>
      </c>
      <c r="W6" s="85">
        <v>1.869E-3</v>
      </c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0</v>
      </c>
      <c r="D7" s="41">
        <f t="shared" si="0"/>
        <v>0</v>
      </c>
      <c r="E7" s="45" t="s">
        <v>105</v>
      </c>
      <c r="F7" s="85">
        <v>7.0142999999999997E-18</v>
      </c>
      <c r="G7" s="85">
        <v>1.2472999999999999E-13</v>
      </c>
      <c r="H7" s="85">
        <v>6.0163000000000002E-11</v>
      </c>
      <c r="I7" s="85">
        <v>3.9376999999999998E-9</v>
      </c>
      <c r="J7" s="85">
        <v>7.8069999999999997E-8</v>
      </c>
      <c r="K7" s="85">
        <v>1.451E-7</v>
      </c>
      <c r="L7" s="85">
        <v>2.5949E-7</v>
      </c>
      <c r="M7" s="85">
        <v>4.4887999999999998E-7</v>
      </c>
      <c r="N7" s="85">
        <v>7.5448999999999998E-7</v>
      </c>
      <c r="O7" s="85">
        <v>4.7639000000000002E-6</v>
      </c>
      <c r="P7" s="85">
        <v>2.1036999999999999E-5</v>
      </c>
      <c r="Q7" s="85">
        <v>6.4795999999999994E-5</v>
      </c>
      <c r="R7" s="85">
        <v>1.4101000000000001E-4</v>
      </c>
      <c r="S7" s="85">
        <v>2.0523000000000001E-4</v>
      </c>
      <c r="T7" s="85">
        <v>2.0854000000000001E-4</v>
      </c>
      <c r="U7" s="85">
        <v>2.0446E-4</v>
      </c>
      <c r="V7" s="85">
        <v>1.9307999999999999E-4</v>
      </c>
      <c r="W7" s="85">
        <v>1.7545000000000001E-4</v>
      </c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0</v>
      </c>
      <c r="D8" s="41">
        <f t="shared" si="0"/>
        <v>0</v>
      </c>
      <c r="E8" s="45" t="s">
        <v>95</v>
      </c>
      <c r="F8" s="85">
        <v>4.6750000000000002E-19</v>
      </c>
      <c r="G8" s="85">
        <v>1.4544E-14</v>
      </c>
      <c r="H8" s="85">
        <v>9.6277999999999998E-12</v>
      </c>
      <c r="I8" s="85">
        <v>7.6236000000000004E-10</v>
      </c>
      <c r="J8" s="85">
        <v>1.7047E-8</v>
      </c>
      <c r="K8" s="85">
        <v>3.2428999999999999E-8</v>
      </c>
      <c r="L8" s="85">
        <v>5.9252E-8</v>
      </c>
      <c r="M8" s="85">
        <v>1.0457E-7</v>
      </c>
      <c r="N8" s="85">
        <v>1.7912000000000001E-7</v>
      </c>
      <c r="O8" s="85">
        <v>1.2105000000000001E-6</v>
      </c>
      <c r="P8" s="85">
        <v>5.6323999999999996E-6</v>
      </c>
      <c r="Q8" s="85">
        <v>1.7842E-5</v>
      </c>
      <c r="R8" s="85">
        <v>3.8671999999999998E-5</v>
      </c>
      <c r="S8" s="85">
        <v>5.3331999999999997E-5</v>
      </c>
      <c r="T8" s="85">
        <v>5.2883999999999997E-5</v>
      </c>
      <c r="U8" s="85">
        <v>5.0330000000000001E-5</v>
      </c>
      <c r="V8" s="85">
        <v>4.5880000000000001E-5</v>
      </c>
      <c r="W8" s="85">
        <v>4.002E-5</v>
      </c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8</v>
      </c>
      <c r="C9" s="41">
        <f t="shared" si="0"/>
        <v>0</v>
      </c>
      <c r="D9" s="41">
        <f t="shared" si="0"/>
        <v>0</v>
      </c>
      <c r="E9" s="45" t="s">
        <v>106</v>
      </c>
      <c r="F9" s="85">
        <v>6.5274000000000001E-21</v>
      </c>
      <c r="G9" s="85">
        <v>3.1763E-16</v>
      </c>
      <c r="H9" s="85">
        <v>2.6788999999999998E-13</v>
      </c>
      <c r="I9" s="85">
        <v>2.4334E-11</v>
      </c>
      <c r="J9" s="85">
        <v>5.8974999999999995E-10</v>
      </c>
      <c r="K9" s="85">
        <v>1.1386E-9</v>
      </c>
      <c r="L9" s="85">
        <v>2.1087E-9</v>
      </c>
      <c r="M9" s="85">
        <v>3.7684000000000003E-9</v>
      </c>
      <c r="N9" s="85">
        <v>6.5316000000000001E-9</v>
      </c>
      <c r="O9" s="85">
        <v>4.6090999999999999E-8</v>
      </c>
      <c r="P9" s="85">
        <v>2.2144E-7</v>
      </c>
      <c r="Q9" s="85">
        <v>7.0938000000000002E-7</v>
      </c>
      <c r="R9" s="85">
        <v>1.5096999999999999E-6</v>
      </c>
      <c r="S9" s="85">
        <v>1.9487999999999999E-6</v>
      </c>
      <c r="T9" s="85">
        <v>1.8805E-6</v>
      </c>
      <c r="U9" s="85">
        <v>1.7325999999999999E-6</v>
      </c>
      <c r="V9" s="85">
        <v>1.5206999999999999E-6</v>
      </c>
      <c r="W9" s="85">
        <v>1.2700999999999999E-6</v>
      </c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2</v>
      </c>
      <c r="C10" s="41">
        <f t="shared" si="0"/>
        <v>0</v>
      </c>
      <c r="D10" s="41">
        <f t="shared" si="0"/>
        <v>0</v>
      </c>
      <c r="E10" s="45" t="s">
        <v>107</v>
      </c>
      <c r="F10" s="85">
        <v>2.2998000000000001E-20</v>
      </c>
      <c r="G10" s="85">
        <v>2.7161000000000001E-15</v>
      </c>
      <c r="H10" s="85">
        <v>6.1727000000000001E-12</v>
      </c>
      <c r="I10" s="85">
        <v>1.4644E-9</v>
      </c>
      <c r="J10" s="85">
        <v>8.5529999999999999E-8</v>
      </c>
      <c r="K10" s="85">
        <v>2.0232E-7</v>
      </c>
      <c r="L10" s="85">
        <v>4.5535000000000001E-7</v>
      </c>
      <c r="M10" s="85">
        <v>9.8015000000000005E-7</v>
      </c>
      <c r="N10" s="85">
        <v>2.0269999999999998E-6</v>
      </c>
      <c r="O10" s="85">
        <v>2.6438E-5</v>
      </c>
      <c r="P10" s="85">
        <v>2.1613000000000001E-4</v>
      </c>
      <c r="Q10" s="85">
        <v>1.1918E-3</v>
      </c>
      <c r="R10" s="85">
        <v>4.7704999999999996E-3</v>
      </c>
      <c r="S10" s="85">
        <v>1.439E-2</v>
      </c>
      <c r="T10" s="85">
        <v>1.814E-2</v>
      </c>
      <c r="U10" s="85">
        <v>2.2447999999999999E-2</v>
      </c>
      <c r="V10" s="85">
        <v>2.7255000000000001E-2</v>
      </c>
      <c r="W10" s="85">
        <v>3.2462999999999999E-2</v>
      </c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0</v>
      </c>
      <c r="E11" s="45" t="s">
        <v>2</v>
      </c>
      <c r="F11" s="85">
        <v>0</v>
      </c>
      <c r="G11" s="85">
        <v>4.4399E-31</v>
      </c>
      <c r="H11" s="85">
        <v>3.0258999999999999E-25</v>
      </c>
      <c r="I11" s="85">
        <v>4.5625999999999999E-21</v>
      </c>
      <c r="J11" s="85">
        <v>6.3055999999999998E-18</v>
      </c>
      <c r="K11" s="85">
        <v>2.9350999999999997E-17</v>
      </c>
      <c r="L11" s="85">
        <v>1.2512E-16</v>
      </c>
      <c r="M11" s="85">
        <v>4.9255999999999996E-16</v>
      </c>
      <c r="N11" s="85">
        <v>1.8034000000000001E-15</v>
      </c>
      <c r="O11" s="85">
        <v>1.7494000000000001E-13</v>
      </c>
      <c r="P11" s="85">
        <v>7.5006000000000006E-12</v>
      </c>
      <c r="Q11" s="85">
        <v>1.6884000000000001E-10</v>
      </c>
      <c r="R11" s="85">
        <v>2.3039999999999999E-9</v>
      </c>
      <c r="S11" s="85">
        <v>2.1068E-8</v>
      </c>
      <c r="T11" s="85">
        <v>3.4657999999999998E-8</v>
      </c>
      <c r="U11" s="85">
        <v>5.5816000000000002E-8</v>
      </c>
      <c r="V11" s="85">
        <v>8.8024999999999996E-8</v>
      </c>
      <c r="W11" s="85">
        <v>1.3596999999999999E-7</v>
      </c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1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 t="s">
        <v>1</v>
      </c>
      <c r="F12" s="85">
        <v>0.2</v>
      </c>
      <c r="G12" s="85">
        <v>0.2</v>
      </c>
      <c r="H12" s="85">
        <v>0.2</v>
      </c>
      <c r="I12" s="85">
        <v>0.2</v>
      </c>
      <c r="J12" s="85">
        <v>0.2</v>
      </c>
      <c r="K12" s="85">
        <v>0.2</v>
      </c>
      <c r="L12" s="85">
        <v>0.2</v>
      </c>
      <c r="M12" s="85">
        <v>0.2</v>
      </c>
      <c r="N12" s="85">
        <v>0.2</v>
      </c>
      <c r="O12" s="85">
        <v>0.2</v>
      </c>
      <c r="P12" s="85">
        <v>0.2</v>
      </c>
      <c r="Q12" s="85">
        <v>0.2</v>
      </c>
      <c r="R12" s="85">
        <v>0.2</v>
      </c>
      <c r="S12" s="85">
        <v>0.2</v>
      </c>
      <c r="T12" s="85">
        <v>0.2</v>
      </c>
      <c r="U12" s="85">
        <v>0.2</v>
      </c>
      <c r="V12" s="85">
        <v>0.2</v>
      </c>
      <c r="W12" s="85">
        <v>0.2</v>
      </c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2</v>
      </c>
      <c r="E13" s="45" t="s">
        <v>90</v>
      </c>
      <c r="F13" s="85">
        <v>6.1817999999999995E-11</v>
      </c>
      <c r="G13" s="85">
        <v>6.3934999999999996E-8</v>
      </c>
      <c r="H13" s="85">
        <v>5.8937E-6</v>
      </c>
      <c r="I13" s="85">
        <v>1.3797000000000001E-4</v>
      </c>
      <c r="J13" s="85">
        <v>1.3603000000000001E-3</v>
      </c>
      <c r="K13" s="85">
        <v>2.1714999999999998E-3</v>
      </c>
      <c r="L13" s="85">
        <v>3.3368E-3</v>
      </c>
      <c r="M13" s="85">
        <v>4.9376000000000003E-3</v>
      </c>
      <c r="N13" s="85">
        <v>7.0346999999999996E-3</v>
      </c>
      <c r="O13" s="85">
        <v>1.9782000000000001E-2</v>
      </c>
      <c r="P13" s="85">
        <v>3.3222000000000002E-2</v>
      </c>
      <c r="Q13" s="85">
        <v>4.2268E-2</v>
      </c>
      <c r="R13" s="85">
        <v>4.7828000000000002E-2</v>
      </c>
      <c r="S13" s="85">
        <v>5.1423999999999997E-2</v>
      </c>
      <c r="T13" s="85">
        <v>5.2121000000000001E-2</v>
      </c>
      <c r="U13" s="85">
        <v>5.2750999999999999E-2</v>
      </c>
      <c r="V13" s="85">
        <v>5.3317000000000003E-2</v>
      </c>
      <c r="W13" s="85">
        <v>5.3823000000000003E-2</v>
      </c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96</v>
      </c>
      <c r="F14" s="85">
        <v>0.12</v>
      </c>
      <c r="G14" s="85">
        <v>0.12</v>
      </c>
      <c r="H14" s="85">
        <v>0.11999</v>
      </c>
      <c r="I14" s="85">
        <v>0.11971999999999999</v>
      </c>
      <c r="J14" s="85">
        <v>0.11728</v>
      </c>
      <c r="K14" s="85">
        <v>0.11566</v>
      </c>
      <c r="L14" s="85">
        <v>0.11333</v>
      </c>
      <c r="M14" s="85">
        <v>0.11012</v>
      </c>
      <c r="N14" s="85">
        <v>0.10593</v>
      </c>
      <c r="O14" s="85">
        <v>8.0435999999999994E-2</v>
      </c>
      <c r="P14" s="85">
        <v>5.3557E-2</v>
      </c>
      <c r="Q14" s="85">
        <v>3.5464000000000002E-2</v>
      </c>
      <c r="R14" s="85">
        <v>2.4344000000000001E-2</v>
      </c>
      <c r="S14" s="85">
        <v>1.7152000000000001E-2</v>
      </c>
      <c r="T14" s="85">
        <v>1.5758000000000001E-2</v>
      </c>
      <c r="U14" s="85">
        <v>1.4499E-2</v>
      </c>
      <c r="V14" s="85">
        <v>1.3365999999999999E-2</v>
      </c>
      <c r="W14" s="85">
        <v>1.2354E-2</v>
      </c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97</v>
      </c>
      <c r="F15" s="85">
        <v>2.1116000000000001E-17</v>
      </c>
      <c r="G15" s="85">
        <v>4.4100000000000003E-14</v>
      </c>
      <c r="H15" s="85">
        <v>7.7169000000000008E-12</v>
      </c>
      <c r="I15" s="85">
        <v>3.1881999999999999E-10</v>
      </c>
      <c r="J15" s="85">
        <v>5.2700999999999998E-9</v>
      </c>
      <c r="K15" s="85">
        <v>9.5619999999999999E-9</v>
      </c>
      <c r="L15" s="85">
        <v>1.6749E-8</v>
      </c>
      <c r="M15" s="85">
        <v>2.8401000000000001E-8</v>
      </c>
      <c r="N15" s="85">
        <v>4.6738999999999999E-8</v>
      </c>
      <c r="O15" s="85">
        <v>2.6523E-7</v>
      </c>
      <c r="P15" s="85">
        <v>1.0922999999999999E-6</v>
      </c>
      <c r="Q15" s="85">
        <v>3.5822000000000002E-6</v>
      </c>
      <c r="R15" s="85">
        <v>9.9946999999999994E-6</v>
      </c>
      <c r="S15" s="85">
        <v>2.5179000000000001E-5</v>
      </c>
      <c r="T15" s="85">
        <v>3.1439000000000002E-5</v>
      </c>
      <c r="U15" s="85">
        <v>3.9180000000000001E-5</v>
      </c>
      <c r="V15" s="85">
        <v>4.8766E-5</v>
      </c>
      <c r="W15" s="85">
        <v>6.0649000000000002E-5</v>
      </c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61</v>
      </c>
      <c r="F16" s="85">
        <v>0.28000000000000003</v>
      </c>
      <c r="G16" s="85">
        <v>0.28000000000000003</v>
      </c>
      <c r="H16" s="85">
        <v>0.27999000000000002</v>
      </c>
      <c r="I16" s="85">
        <v>0.27986</v>
      </c>
      <c r="J16" s="85">
        <v>0.27864</v>
      </c>
      <c r="K16" s="85">
        <v>0.27783000000000002</v>
      </c>
      <c r="L16" s="85">
        <v>0.27666000000000002</v>
      </c>
      <c r="M16" s="85">
        <v>0.27505000000000002</v>
      </c>
      <c r="N16" s="85">
        <v>0.27295000000000003</v>
      </c>
      <c r="O16" s="85">
        <v>0.26008999999999999</v>
      </c>
      <c r="P16" s="85">
        <v>0.24589</v>
      </c>
      <c r="Q16" s="85">
        <v>0.23355000000000001</v>
      </c>
      <c r="R16" s="85">
        <v>0.21748999999999999</v>
      </c>
      <c r="S16" s="85">
        <v>0.18959999999999999</v>
      </c>
      <c r="T16" s="85">
        <v>0.18028</v>
      </c>
      <c r="U16" s="85">
        <v>0.17014000000000001</v>
      </c>
      <c r="V16" s="85">
        <v>0.15939</v>
      </c>
      <c r="W16" s="85">
        <v>0.14826</v>
      </c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1</v>
      </c>
      <c r="D17" s="41">
        <f t="shared" si="0"/>
        <v>0</v>
      </c>
      <c r="E17" s="45" t="s">
        <v>108</v>
      </c>
      <c r="F17" s="85">
        <v>0.2</v>
      </c>
      <c r="G17" s="85">
        <v>0.2</v>
      </c>
      <c r="H17" s="85">
        <v>0.2</v>
      </c>
      <c r="I17" s="85">
        <v>0.2</v>
      </c>
      <c r="J17" s="85">
        <v>0.2</v>
      </c>
      <c r="K17" s="85">
        <v>0.2</v>
      </c>
      <c r="L17" s="85">
        <v>0.2</v>
      </c>
      <c r="M17" s="85">
        <v>0.2</v>
      </c>
      <c r="N17" s="85">
        <v>0.2</v>
      </c>
      <c r="O17" s="85">
        <v>0.2</v>
      </c>
      <c r="P17" s="85">
        <v>0.2</v>
      </c>
      <c r="Q17" s="85">
        <v>0.2</v>
      </c>
      <c r="R17" s="85">
        <v>0.19999</v>
      </c>
      <c r="S17" s="85">
        <v>0.19997000000000001</v>
      </c>
      <c r="T17" s="85">
        <v>0.19997000000000001</v>
      </c>
      <c r="U17" s="85">
        <v>0.19996</v>
      </c>
      <c r="V17" s="85">
        <v>0.19994999999999999</v>
      </c>
      <c r="W17" s="85">
        <v>0.19994000000000001</v>
      </c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1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 t="s">
        <v>26</v>
      </c>
      <c r="F18" s="85">
        <v>-18.62</v>
      </c>
      <c r="G18" s="85">
        <v>-18.63</v>
      </c>
      <c r="H18" s="85">
        <v>-18.72</v>
      </c>
      <c r="I18" s="85">
        <v>-18.84</v>
      </c>
      <c r="J18" s="85">
        <v>-18.98</v>
      </c>
      <c r="K18" s="85">
        <v>-19.02</v>
      </c>
      <c r="L18" s="85">
        <v>-19.059999999999999</v>
      </c>
      <c r="M18" s="85">
        <v>-19.100000000000001</v>
      </c>
      <c r="N18" s="85">
        <v>-19.14</v>
      </c>
      <c r="O18" s="85">
        <v>-19.34</v>
      </c>
      <c r="P18" s="85">
        <v>-19.54</v>
      </c>
      <c r="Q18" s="85">
        <v>-19.71</v>
      </c>
      <c r="R18" s="85">
        <v>-19.88</v>
      </c>
      <c r="S18" s="85">
        <v>-20.059999999999999</v>
      </c>
      <c r="T18" s="85">
        <v>-20.100000000000001</v>
      </c>
      <c r="U18" s="85">
        <v>-20.149999999999999</v>
      </c>
      <c r="V18" s="85">
        <v>-20.2</v>
      </c>
      <c r="W18" s="85">
        <v>-20.25</v>
      </c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45" t="s">
        <v>5</v>
      </c>
      <c r="F19" s="85">
        <v>-6.28</v>
      </c>
      <c r="G19" s="85">
        <v>-6.7720000000000002</v>
      </c>
      <c r="H19" s="85">
        <v>-7.2119999999999997</v>
      </c>
      <c r="I19" s="85">
        <v>-7.6059999999999999</v>
      </c>
      <c r="J19" s="85">
        <v>-7.9720000000000004</v>
      </c>
      <c r="K19" s="85">
        <v>-8.0649999999999995</v>
      </c>
      <c r="L19" s="85">
        <v>-8.16</v>
      </c>
      <c r="M19" s="85">
        <v>-8.2590000000000003</v>
      </c>
      <c r="N19" s="85">
        <v>-8.3640000000000008</v>
      </c>
      <c r="O19" s="85">
        <v>-8.8610000000000007</v>
      </c>
      <c r="P19" s="85">
        <v>-9.4550000000000001</v>
      </c>
      <c r="Q19" s="85">
        <v>-10.050000000000001</v>
      </c>
      <c r="R19" s="85">
        <v>-10.6</v>
      </c>
      <c r="S19" s="85">
        <v>-11.08</v>
      </c>
      <c r="T19" s="85">
        <v>-11.19</v>
      </c>
      <c r="U19" s="85">
        <v>-11.29</v>
      </c>
      <c r="V19" s="85">
        <v>-11.39</v>
      </c>
      <c r="W19" s="85">
        <v>-11.48</v>
      </c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1</v>
      </c>
      <c r="D20" s="41">
        <f t="shared" si="1"/>
        <v>0</v>
      </c>
      <c r="E20" s="45" t="s">
        <v>6</v>
      </c>
      <c r="F20" s="85">
        <v>-29.32</v>
      </c>
      <c r="G20" s="85">
        <v>-24.74</v>
      </c>
      <c r="H20" s="85">
        <v>-21.74</v>
      </c>
      <c r="I20" s="85">
        <v>-19.649999999999999</v>
      </c>
      <c r="J20" s="85">
        <v>-18.13</v>
      </c>
      <c r="K20" s="85">
        <v>-17.82</v>
      </c>
      <c r="L20" s="85">
        <v>-17.52</v>
      </c>
      <c r="M20" s="85">
        <v>-17.239999999999998</v>
      </c>
      <c r="N20" s="85">
        <v>-16.97</v>
      </c>
      <c r="O20" s="85">
        <v>-16.05</v>
      </c>
      <c r="P20" s="85">
        <v>-15.31</v>
      </c>
      <c r="Q20" s="85">
        <v>-14.71</v>
      </c>
      <c r="R20" s="85">
        <v>-14.2</v>
      </c>
      <c r="S20" s="85">
        <v>-13.7</v>
      </c>
      <c r="T20" s="85">
        <v>-13.57</v>
      </c>
      <c r="U20" s="85">
        <v>-13.44</v>
      </c>
      <c r="V20" s="85">
        <v>-13.3</v>
      </c>
      <c r="W20" s="85">
        <v>-13.16</v>
      </c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7</v>
      </c>
      <c r="F21" s="85">
        <v>-4.9509999999999996</v>
      </c>
      <c r="G21" s="85">
        <v>-5.3029999999999999</v>
      </c>
      <c r="H21" s="85">
        <v>-5.6920000000000002</v>
      </c>
      <c r="I21" s="85">
        <v>-6.0750000000000002</v>
      </c>
      <c r="J21" s="85">
        <v>-6.4379999999999997</v>
      </c>
      <c r="K21" s="85">
        <v>-6.5250000000000004</v>
      </c>
      <c r="L21" s="85">
        <v>-6.61</v>
      </c>
      <c r="M21" s="85">
        <v>-6.6920000000000002</v>
      </c>
      <c r="N21" s="85">
        <v>-6.7720000000000002</v>
      </c>
      <c r="O21" s="85">
        <v>-7.0709999999999997</v>
      </c>
      <c r="P21" s="85">
        <v>-7.3460000000000001</v>
      </c>
      <c r="Q21" s="85">
        <v>-7.6130000000000004</v>
      </c>
      <c r="R21" s="85">
        <v>-7.8860000000000001</v>
      </c>
      <c r="S21" s="85">
        <v>-8.1869999999999994</v>
      </c>
      <c r="T21" s="85">
        <v>-8.27</v>
      </c>
      <c r="U21" s="85">
        <v>-8.3569999999999993</v>
      </c>
      <c r="V21" s="85">
        <v>-8.4489999999999998</v>
      </c>
      <c r="W21" s="85">
        <v>-8.5459999999999994</v>
      </c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0</v>
      </c>
      <c r="X33" s="106">
        <f t="shared" si="3"/>
        <v>0</v>
      </c>
      <c r="Y33" s="106">
        <f t="shared" si="3"/>
        <v>0</v>
      </c>
      <c r="Z33" s="106">
        <f t="shared" si="3"/>
        <v>0</v>
      </c>
      <c r="AA33" s="106">
        <f t="shared" si="3"/>
        <v>0</v>
      </c>
      <c r="AB33" s="106">
        <f t="shared" si="3"/>
        <v>0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32" t="s">
        <v>26</v>
      </c>
      <c r="D34" s="44">
        <f t="shared" ref="D34:D37" si="4">MATCH(C34,$E$4:$E$33)</f>
        <v>15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-18.98</v>
      </c>
      <c r="K34" s="14">
        <f t="shared" ca="1" si="5"/>
        <v>-19.02</v>
      </c>
      <c r="L34" s="14">
        <f t="shared" ca="1" si="5"/>
        <v>-19.059999999999999</v>
      </c>
      <c r="M34" s="14">
        <f t="shared" ca="1" si="5"/>
        <v>-19.100000000000001</v>
      </c>
      <c r="N34" s="14">
        <f t="shared" ca="1" si="5"/>
        <v>-19.14</v>
      </c>
      <c r="O34" s="14">
        <f t="shared" ca="1" si="5"/>
        <v>-19.34</v>
      </c>
      <c r="P34" s="14">
        <f t="shared" ca="1" si="5"/>
        <v>-19.54</v>
      </c>
      <c r="Q34" s="14">
        <f t="shared" ca="1" si="5"/>
        <v>-19.71</v>
      </c>
      <c r="R34" s="14">
        <f t="shared" ca="1" si="5"/>
        <v>-19.88</v>
      </c>
      <c r="S34" s="14">
        <f t="shared" ca="1" si="5"/>
        <v>-20.059999999999999</v>
      </c>
      <c r="T34" s="14">
        <f t="shared" ca="1" si="5"/>
        <v>-20.100000000000001</v>
      </c>
      <c r="U34" s="14">
        <f t="shared" ca="1" si="5"/>
        <v>-20.149999999999999</v>
      </c>
      <c r="V34" s="14">
        <f t="shared" ca="1" si="5"/>
        <v>-20.2</v>
      </c>
      <c r="W34" s="14">
        <f t="shared" ca="1" si="5"/>
        <v>-20.25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32" t="s">
        <v>5</v>
      </c>
      <c r="D35" s="44">
        <f t="shared" si="4"/>
        <v>16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-6.28</v>
      </c>
      <c r="G35" s="14">
        <f t="shared" ca="1" si="8"/>
        <v>-6.7720000000000002</v>
      </c>
      <c r="H35" s="14">
        <f t="shared" ca="1" si="8"/>
        <v>-7.2119999999999997</v>
      </c>
      <c r="I35" s="14">
        <f t="shared" ca="1" si="8"/>
        <v>-7.6059999999999999</v>
      </c>
      <c r="J35" s="14">
        <f t="shared" ca="1" si="8"/>
        <v>-7.9720000000000004</v>
      </c>
      <c r="K35" s="14">
        <f t="shared" ca="1" si="8"/>
        <v>-8.0649999999999995</v>
      </c>
      <c r="L35" s="14">
        <f t="shared" ca="1" si="8"/>
        <v>-8.16</v>
      </c>
      <c r="M35" s="14">
        <f t="shared" ca="1" si="8"/>
        <v>-8.2590000000000003</v>
      </c>
      <c r="N35" s="14">
        <f t="shared" ca="1" si="8"/>
        <v>-8.3640000000000008</v>
      </c>
      <c r="O35" s="14">
        <f t="shared" ca="1" si="8"/>
        <v>-8.8610000000000007</v>
      </c>
      <c r="P35" s="14">
        <f t="shared" ca="1" si="8"/>
        <v>-9.4550000000000001</v>
      </c>
      <c r="Q35" s="14">
        <f t="shared" ca="1" si="8"/>
        <v>-10.050000000000001</v>
      </c>
      <c r="R35" s="14">
        <f t="shared" ca="1" si="8"/>
        <v>-10.6</v>
      </c>
      <c r="S35" s="14">
        <f t="shared" ca="1" si="8"/>
        <v>-11.08</v>
      </c>
      <c r="T35" s="14">
        <f t="shared" ca="1" si="8"/>
        <v>-11.19</v>
      </c>
      <c r="U35" s="14">
        <f t="shared" ca="1" si="8"/>
        <v>-11.29</v>
      </c>
      <c r="V35" s="14">
        <f t="shared" ca="1" si="5"/>
        <v>-11.39</v>
      </c>
      <c r="W35" s="14">
        <f t="shared" ca="1" si="5"/>
        <v>-11.48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32" t="s">
        <v>6</v>
      </c>
      <c r="D36" s="44">
        <f t="shared" si="4"/>
        <v>17</v>
      </c>
      <c r="E36" s="11" t="str">
        <f t="shared" ca="1" si="7"/>
        <v>H (Ge)</v>
      </c>
      <c r="F36" s="14">
        <f t="shared" ca="1" si="8"/>
        <v>-29.32</v>
      </c>
      <c r="G36" s="14">
        <f t="shared" ca="1" si="5"/>
        <v>-24.74</v>
      </c>
      <c r="H36" s="14">
        <f t="shared" ca="1" si="5"/>
        <v>-21.74</v>
      </c>
      <c r="I36" s="14">
        <f t="shared" ca="1" si="5"/>
        <v>-19.649999999999999</v>
      </c>
      <c r="J36" s="14">
        <f t="shared" ca="1" si="5"/>
        <v>-18.13</v>
      </c>
      <c r="K36" s="14">
        <f t="shared" ca="1" si="5"/>
        <v>-17.82</v>
      </c>
      <c r="L36" s="14">
        <f t="shared" ca="1" si="5"/>
        <v>-17.52</v>
      </c>
      <c r="M36" s="14">
        <f t="shared" ca="1" si="5"/>
        <v>-17.239999999999998</v>
      </c>
      <c r="N36" s="14">
        <f t="shared" ca="1" si="5"/>
        <v>-16.97</v>
      </c>
      <c r="O36" s="14">
        <f t="shared" ca="1" si="5"/>
        <v>-16.05</v>
      </c>
      <c r="P36" s="14">
        <f t="shared" ca="1" si="5"/>
        <v>-15.31</v>
      </c>
      <c r="Q36" s="14">
        <f t="shared" ca="1" si="5"/>
        <v>-14.71</v>
      </c>
      <c r="R36" s="14">
        <f t="shared" ca="1" si="5"/>
        <v>-14.2</v>
      </c>
      <c r="S36" s="14">
        <f t="shared" ca="1" si="5"/>
        <v>-13.7</v>
      </c>
      <c r="T36" s="14">
        <f t="shared" ca="1" si="5"/>
        <v>-13.57</v>
      </c>
      <c r="U36" s="14">
        <f t="shared" ca="1" si="5"/>
        <v>-13.44</v>
      </c>
      <c r="V36" s="14">
        <f t="shared" ca="1" si="5"/>
        <v>-13.3</v>
      </c>
      <c r="W36" s="14">
        <f t="shared" ca="1" si="5"/>
        <v>-13.16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32" t="s">
        <v>7</v>
      </c>
      <c r="D37" s="44">
        <f t="shared" si="4"/>
        <v>18</v>
      </c>
      <c r="E37" s="11" t="str">
        <f t="shared" ca="1" si="7"/>
        <v>H (Se)</v>
      </c>
      <c r="F37" s="14">
        <f t="shared" ca="1" si="8"/>
        <v>-4.9509999999999996</v>
      </c>
      <c r="G37" s="14">
        <f t="shared" ca="1" si="5"/>
        <v>-5.3029999999999999</v>
      </c>
      <c r="H37" s="14">
        <f t="shared" ca="1" si="5"/>
        <v>-5.6920000000000002</v>
      </c>
      <c r="I37" s="14">
        <f t="shared" ca="1" si="5"/>
        <v>-6.0750000000000002</v>
      </c>
      <c r="J37" s="14">
        <f t="shared" ca="1" si="5"/>
        <v>-6.4379999999999997</v>
      </c>
      <c r="K37" s="14">
        <f t="shared" ca="1" si="5"/>
        <v>-6.5250000000000004</v>
      </c>
      <c r="L37" s="14">
        <f t="shared" ca="1" si="5"/>
        <v>-6.61</v>
      </c>
      <c r="M37" s="14">
        <f t="shared" ca="1" si="5"/>
        <v>-6.6920000000000002</v>
      </c>
      <c r="N37" s="14">
        <f t="shared" ca="1" si="5"/>
        <v>-6.7720000000000002</v>
      </c>
      <c r="O37" s="14">
        <f t="shared" ca="1" si="5"/>
        <v>-7.0709999999999997</v>
      </c>
      <c r="P37" s="14">
        <f t="shared" ca="1" si="5"/>
        <v>-7.3460000000000001</v>
      </c>
      <c r="Q37" s="14">
        <f t="shared" ca="1" si="5"/>
        <v>-7.6130000000000004</v>
      </c>
      <c r="R37" s="14">
        <f t="shared" ca="1" si="5"/>
        <v>-7.8860000000000001</v>
      </c>
      <c r="S37" s="14">
        <f t="shared" ca="1" si="5"/>
        <v>-8.1869999999999994</v>
      </c>
      <c r="T37" s="14">
        <f t="shared" ca="1" si="5"/>
        <v>-8.27</v>
      </c>
      <c r="U37" s="14">
        <f t="shared" ca="1" si="5"/>
        <v>-8.3569999999999993</v>
      </c>
      <c r="V37" s="14">
        <f t="shared" ca="1" si="5"/>
        <v>-8.4489999999999998</v>
      </c>
      <c r="W37" s="14">
        <f t="shared" ca="1" si="5"/>
        <v>-8.5459999999999994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554</v>
      </c>
      <c r="L40" s="8">
        <f t="shared" si="9"/>
        <v>570.5</v>
      </c>
      <c r="M40" s="8">
        <f t="shared" si="9"/>
        <v>587</v>
      </c>
      <c r="N40" s="8">
        <f t="shared" si="9"/>
        <v>603.5</v>
      </c>
      <c r="O40" s="8">
        <f t="shared" si="9"/>
        <v>669.6</v>
      </c>
      <c r="P40" s="8">
        <f t="shared" si="9"/>
        <v>735.7</v>
      </c>
      <c r="Q40" s="8">
        <f t="shared" si="9"/>
        <v>801.8</v>
      </c>
      <c r="R40" s="8">
        <f t="shared" si="9"/>
        <v>867.8</v>
      </c>
      <c r="S40" s="8">
        <f t="shared" si="9"/>
        <v>933.9</v>
      </c>
      <c r="T40" s="8">
        <f t="shared" si="9"/>
        <v>950.4</v>
      </c>
      <c r="U40" s="8">
        <f t="shared" si="9"/>
        <v>967</v>
      </c>
      <c r="V40" s="8">
        <f t="shared" si="9"/>
        <v>983.5</v>
      </c>
      <c r="W40" s="8">
        <f t="shared" si="9"/>
        <v>1000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BQ41" ca="1" si="10">($B$41*H.Ge+$C$41*H.Ga+$D$41*H.Se)*F$40*$B$2/1000</f>
        <v>#DIV/0!</v>
      </c>
      <c r="G41" s="10" t="e">
        <f t="shared" ca="1" si="10"/>
        <v>#DIV/0!</v>
      </c>
      <c r="H41" s="10" t="e">
        <f t="shared" ca="1" si="10"/>
        <v>#DIV/0!</v>
      </c>
      <c r="I41" s="10" t="e">
        <f t="shared" ca="1" si="10"/>
        <v>#DIV/0!</v>
      </c>
      <c r="J41" s="10" t="e">
        <f t="shared" ca="1" si="10"/>
        <v>#DIV/0!</v>
      </c>
      <c r="K41" s="10" t="e">
        <f t="shared" ca="1" si="10"/>
        <v>#DIV/0!</v>
      </c>
      <c r="L41" s="10" t="e">
        <f t="shared" ca="1" si="10"/>
        <v>#DIV/0!</v>
      </c>
      <c r="M41" s="10" t="e">
        <f t="shared" ca="1" si="10"/>
        <v>#DIV/0!</v>
      </c>
      <c r="N41" s="10" t="e">
        <f t="shared" ca="1" si="10"/>
        <v>#DIV/0!</v>
      </c>
      <c r="O41" s="10" t="e">
        <f t="shared" ca="1" si="10"/>
        <v>#DIV/0!</v>
      </c>
      <c r="P41" s="10" t="e">
        <f t="shared" ca="1" si="10"/>
        <v>#DIV/0!</v>
      </c>
      <c r="Q41" s="10" t="e">
        <f t="shared" ca="1" si="10"/>
        <v>#DIV/0!</v>
      </c>
      <c r="R41" s="10" t="e">
        <f t="shared" ca="1" si="10"/>
        <v>#DIV/0!</v>
      </c>
      <c r="S41" s="10" t="e">
        <f t="shared" ca="1" si="10"/>
        <v>#DIV/0!</v>
      </c>
      <c r="T41" s="10" t="e">
        <f t="shared" ca="1" si="10"/>
        <v>#DIV/0!</v>
      </c>
      <c r="U41" s="10" t="e">
        <f t="shared" ca="1" si="10"/>
        <v>#DIV/0!</v>
      </c>
      <c r="V41" s="10" t="e">
        <f t="shared" ca="1" si="10"/>
        <v>#DIV/0!</v>
      </c>
      <c r="W41" s="10" t="e">
        <f t="shared" ca="1" si="10"/>
        <v>#DIV/0!</v>
      </c>
      <c r="X41" s="10" t="e">
        <f t="shared" ca="1" si="10"/>
        <v>#DIV/0!</v>
      </c>
      <c r="Y41" s="10" t="e">
        <f t="shared" ca="1" si="10"/>
        <v>#DIV/0!</v>
      </c>
      <c r="Z41" s="10" t="e">
        <f t="shared" ca="1" si="10"/>
        <v>#DIV/0!</v>
      </c>
      <c r="AA41" s="10" t="e">
        <f t="shared" ca="1" si="10"/>
        <v>#DIV/0!</v>
      </c>
      <c r="AB41" s="10" t="e">
        <f t="shared" ca="1" si="10"/>
        <v>#DIV/0!</v>
      </c>
      <c r="AC41" s="10" t="e">
        <f t="shared" ca="1" si="10"/>
        <v>#DIV/0!</v>
      </c>
      <c r="AD41" s="10" t="e">
        <f t="shared" ca="1" si="10"/>
        <v>#DIV/0!</v>
      </c>
      <c r="AE41" s="10" t="e">
        <f t="shared" ca="1" si="10"/>
        <v>#DIV/0!</v>
      </c>
      <c r="AF41" s="10" t="e">
        <f t="shared" ca="1" si="10"/>
        <v>#DIV/0!</v>
      </c>
      <c r="AG41" s="10" t="e">
        <f t="shared" ca="1" si="10"/>
        <v>#DIV/0!</v>
      </c>
      <c r="AH41" s="10" t="e">
        <f t="shared" ca="1" si="10"/>
        <v>#DIV/0!</v>
      </c>
      <c r="AI41" s="10" t="e">
        <f t="shared" ca="1" si="10"/>
        <v>#DIV/0!</v>
      </c>
      <c r="AJ41" s="10" t="e">
        <f t="shared" ca="1" si="10"/>
        <v>#DIV/0!</v>
      </c>
      <c r="AK41" s="10" t="e">
        <f t="shared" ca="1" si="10"/>
        <v>#DIV/0!</v>
      </c>
      <c r="AL41" s="10" t="e">
        <f t="shared" ca="1" si="10"/>
        <v>#DIV/0!</v>
      </c>
      <c r="AM41" s="10" t="e">
        <f t="shared" ca="1" si="10"/>
        <v>#DIV/0!</v>
      </c>
      <c r="AN41" s="10" t="e">
        <f t="shared" ca="1" si="10"/>
        <v>#DIV/0!</v>
      </c>
      <c r="AO41" s="10" t="e">
        <f t="shared" ca="1" si="10"/>
        <v>#DIV/0!</v>
      </c>
      <c r="AP41" s="10" t="e">
        <f t="shared" ca="1" si="10"/>
        <v>#DIV/0!</v>
      </c>
      <c r="AQ41" s="10" t="e">
        <f t="shared" ca="1" si="10"/>
        <v>#DIV/0!</v>
      </c>
      <c r="AR41" s="10" t="e">
        <f t="shared" ca="1" si="10"/>
        <v>#DIV/0!</v>
      </c>
      <c r="AS41" s="10" t="e">
        <f t="shared" ca="1" si="10"/>
        <v>#DIV/0!</v>
      </c>
      <c r="AT41" s="10" t="e">
        <f t="shared" ca="1" si="10"/>
        <v>#DIV/0!</v>
      </c>
      <c r="AU41" s="10" t="e">
        <f t="shared" ca="1" si="10"/>
        <v>#DIV/0!</v>
      </c>
      <c r="AV41" s="10" t="e">
        <f t="shared" ca="1" si="10"/>
        <v>#DIV/0!</v>
      </c>
      <c r="AW41" s="10" t="e">
        <f t="shared" ca="1" si="10"/>
        <v>#DIV/0!</v>
      </c>
      <c r="AX41" s="10" t="e">
        <f t="shared" ca="1" si="10"/>
        <v>#DIV/0!</v>
      </c>
      <c r="AY41" s="10" t="e">
        <f t="shared" ca="1" si="10"/>
        <v>#DIV/0!</v>
      </c>
      <c r="AZ41" s="10" t="e">
        <f t="shared" ca="1" si="10"/>
        <v>#DIV/0!</v>
      </c>
      <c r="BA41" s="10" t="e">
        <f t="shared" ca="1" si="10"/>
        <v>#DIV/0!</v>
      </c>
      <c r="BB41" s="10" t="e">
        <f t="shared" ca="1" si="10"/>
        <v>#DIV/0!</v>
      </c>
      <c r="BC41" s="10" t="e">
        <f t="shared" ca="1" si="10"/>
        <v>#DIV/0!</v>
      </c>
      <c r="BD41" s="10" t="e">
        <f t="shared" ca="1" si="10"/>
        <v>#DIV/0!</v>
      </c>
      <c r="BE41" s="10" t="e">
        <f t="shared" ca="1" si="10"/>
        <v>#DIV/0!</v>
      </c>
      <c r="BF41" s="10" t="e">
        <f t="shared" ca="1" si="10"/>
        <v>#DIV/0!</v>
      </c>
      <c r="BG41" s="10" t="e">
        <f t="shared" ca="1" si="10"/>
        <v>#DIV/0!</v>
      </c>
      <c r="BH41" s="10" t="e">
        <f t="shared" ca="1" si="10"/>
        <v>#DIV/0!</v>
      </c>
      <c r="BI41" s="10" t="e">
        <f t="shared" ca="1" si="10"/>
        <v>#DIV/0!</v>
      </c>
      <c r="BJ41" s="10" t="e">
        <f t="shared" ca="1" si="10"/>
        <v>#DIV/0!</v>
      </c>
      <c r="BK41" s="10" t="e">
        <f t="shared" ca="1" si="10"/>
        <v>#DIV/0!</v>
      </c>
      <c r="BL41" s="10" t="e">
        <f t="shared" ca="1" si="10"/>
        <v>#DIV/0!</v>
      </c>
      <c r="BM41" s="10" t="e">
        <f t="shared" ca="1" si="10"/>
        <v>#DIV/0!</v>
      </c>
      <c r="BN41" s="10" t="e">
        <f t="shared" ca="1" si="10"/>
        <v>#DIV/0!</v>
      </c>
      <c r="BO41" s="10" t="e">
        <f t="shared" ca="1" si="10"/>
        <v>#DIV/0!</v>
      </c>
      <c r="BP41" s="10" t="e">
        <f t="shared" ca="1" si="10"/>
        <v>#DIV/0!</v>
      </c>
      <c r="BQ41" s="10" t="e">
        <f t="shared" ca="1" si="10"/>
        <v>#DIV/0!</v>
      </c>
      <c r="BR41" s="10" t="e">
        <f t="shared" ref="BR41" ca="1" si="11">($B$41*H.Ge+$C$41*H.Ga+$D$41*H.Se)*BR$40*$B$2/1000</f>
        <v>#DIV/0!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554</v>
      </c>
      <c r="L45" s="3">
        <f t="shared" si="13"/>
        <v>570.5</v>
      </c>
      <c r="M45" s="3">
        <f t="shared" si="13"/>
        <v>587</v>
      </c>
      <c r="N45" s="3">
        <f t="shared" si="13"/>
        <v>603.5</v>
      </c>
      <c r="O45" s="3">
        <f t="shared" si="13"/>
        <v>669.6</v>
      </c>
      <c r="P45" s="3">
        <f t="shared" si="13"/>
        <v>735.7</v>
      </c>
      <c r="Q45" s="3">
        <f t="shared" si="13"/>
        <v>801.8</v>
      </c>
      <c r="R45" s="3">
        <f t="shared" si="13"/>
        <v>867.8</v>
      </c>
      <c r="S45" s="3">
        <f t="shared" si="13"/>
        <v>933.9</v>
      </c>
      <c r="T45" s="3">
        <f t="shared" si="13"/>
        <v>950.4</v>
      </c>
      <c r="U45" s="3">
        <f t="shared" si="13"/>
        <v>967</v>
      </c>
      <c r="V45" s="3">
        <f t="shared" si="13"/>
        <v>983.5</v>
      </c>
      <c r="W45" s="3">
        <f t="shared" si="13"/>
        <v>1000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3</v>
      </c>
      <c r="C46" s="5">
        <f t="shared" si="14"/>
        <v>0</v>
      </c>
      <c r="D46" s="5">
        <f t="shared" si="14"/>
        <v>0</v>
      </c>
      <c r="E46" s="6" t="str">
        <f t="shared" si="14"/>
        <v>Se3</v>
      </c>
      <c r="F46" s="14">
        <f t="shared" ref="F46:U55" ca="1" si="15">$A46*H.Ar + $B46*H.Se + $C46*H.Ge + $D46*H.Ga</f>
        <v>-14.852999999999998</v>
      </c>
      <c r="G46" s="14">
        <f t="shared" ca="1" si="15"/>
        <v>-15.908999999999999</v>
      </c>
      <c r="H46" s="14">
        <f t="shared" ca="1" si="15"/>
        <v>-17.076000000000001</v>
      </c>
      <c r="I46" s="14">
        <f t="shared" ca="1" si="15"/>
        <v>-18.225000000000001</v>
      </c>
      <c r="J46" s="14">
        <f t="shared" ca="1" si="15"/>
        <v>-19.314</v>
      </c>
      <c r="K46" s="14">
        <f t="shared" ca="1" si="15"/>
        <v>-19.575000000000003</v>
      </c>
      <c r="L46" s="14">
        <f t="shared" ca="1" si="15"/>
        <v>-19.830000000000002</v>
      </c>
      <c r="M46" s="14">
        <f t="shared" ca="1" si="15"/>
        <v>-20.076000000000001</v>
      </c>
      <c r="N46" s="14">
        <f t="shared" ca="1" si="15"/>
        <v>-20.316000000000003</v>
      </c>
      <c r="O46" s="14">
        <f t="shared" ca="1" si="15"/>
        <v>-21.213000000000001</v>
      </c>
      <c r="P46" s="14">
        <f t="shared" ca="1" si="15"/>
        <v>-22.038</v>
      </c>
      <c r="Q46" s="14">
        <f t="shared" ca="1" si="15"/>
        <v>-22.839000000000002</v>
      </c>
      <c r="R46" s="14">
        <f t="shared" ca="1" si="15"/>
        <v>-23.658000000000001</v>
      </c>
      <c r="S46" s="14">
        <f t="shared" ca="1" si="15"/>
        <v>-24.561</v>
      </c>
      <c r="T46" s="14">
        <f t="shared" ca="1" si="15"/>
        <v>-24.81</v>
      </c>
      <c r="U46" s="14">
        <f t="shared" ca="1" si="15"/>
        <v>-25.070999999999998</v>
      </c>
      <c r="V46" s="14">
        <f t="shared" ref="G46:BR50" ca="1" si="16">$A46*H.Ar + $B46*H.Se + $C46*H.Ge + $D46*H.Ga</f>
        <v>-25.347000000000001</v>
      </c>
      <c r="W46" s="14">
        <f t="shared" ca="1" si="16"/>
        <v>-25.637999999999998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 x14ac:dyDescent="0.4">
      <c r="A47" s="5">
        <f t="shared" si="14"/>
        <v>0</v>
      </c>
      <c r="B47" s="5">
        <f t="shared" si="14"/>
        <v>4</v>
      </c>
      <c r="C47" s="5">
        <f t="shared" si="14"/>
        <v>0</v>
      </c>
      <c r="D47" s="5">
        <f t="shared" si="14"/>
        <v>0</v>
      </c>
      <c r="E47" s="6" t="str">
        <f t="shared" si="14"/>
        <v>Se4</v>
      </c>
      <c r="F47" s="14">
        <f t="shared" ca="1" si="15"/>
        <v>-19.803999999999998</v>
      </c>
      <c r="G47" s="14">
        <f t="shared" ca="1" si="16"/>
        <v>-21.212</v>
      </c>
      <c r="H47" s="14">
        <f t="shared" ca="1" si="16"/>
        <v>-22.768000000000001</v>
      </c>
      <c r="I47" s="14">
        <f t="shared" ca="1" si="16"/>
        <v>-24.3</v>
      </c>
      <c r="J47" s="14">
        <f t="shared" ca="1" si="16"/>
        <v>-25.751999999999999</v>
      </c>
      <c r="K47" s="14">
        <f t="shared" ca="1" si="16"/>
        <v>-26.1</v>
      </c>
      <c r="L47" s="14">
        <f t="shared" ca="1" si="16"/>
        <v>-26.44</v>
      </c>
      <c r="M47" s="14">
        <f t="shared" ca="1" si="16"/>
        <v>-26.768000000000001</v>
      </c>
      <c r="N47" s="14">
        <f t="shared" ca="1" si="16"/>
        <v>-27.088000000000001</v>
      </c>
      <c r="O47" s="14">
        <f t="shared" ca="1" si="16"/>
        <v>-28.283999999999999</v>
      </c>
      <c r="P47" s="14">
        <f t="shared" ca="1" si="16"/>
        <v>-29.384</v>
      </c>
      <c r="Q47" s="14">
        <f t="shared" ca="1" si="16"/>
        <v>-30.452000000000002</v>
      </c>
      <c r="R47" s="14">
        <f t="shared" ca="1" si="16"/>
        <v>-31.544</v>
      </c>
      <c r="S47" s="14">
        <f t="shared" ca="1" si="16"/>
        <v>-32.747999999999998</v>
      </c>
      <c r="T47" s="14">
        <f t="shared" ca="1" si="16"/>
        <v>-33.08</v>
      </c>
      <c r="U47" s="14">
        <f t="shared" ca="1" si="16"/>
        <v>-33.427999999999997</v>
      </c>
      <c r="V47" s="14">
        <f t="shared" ca="1" si="16"/>
        <v>-33.795999999999999</v>
      </c>
      <c r="W47" s="14">
        <f t="shared" ca="1" si="16"/>
        <v>-34.183999999999997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 x14ac:dyDescent="0.4">
      <c r="A48" s="5">
        <f t="shared" si="14"/>
        <v>0</v>
      </c>
      <c r="B48" s="5">
        <f t="shared" si="14"/>
        <v>5</v>
      </c>
      <c r="C48" s="5">
        <f t="shared" si="14"/>
        <v>0</v>
      </c>
      <c r="D48" s="5">
        <f t="shared" si="14"/>
        <v>0</v>
      </c>
      <c r="E48" s="6" t="str">
        <f t="shared" si="14"/>
        <v>Se5</v>
      </c>
      <c r="F48" s="14">
        <f t="shared" ca="1" si="15"/>
        <v>-24.754999999999999</v>
      </c>
      <c r="G48" s="14">
        <f t="shared" ca="1" si="16"/>
        <v>-26.515000000000001</v>
      </c>
      <c r="H48" s="14">
        <f t="shared" ca="1" si="16"/>
        <v>-28.46</v>
      </c>
      <c r="I48" s="14">
        <f t="shared" ca="1" si="16"/>
        <v>-30.375</v>
      </c>
      <c r="J48" s="14">
        <f t="shared" ca="1" si="16"/>
        <v>-32.19</v>
      </c>
      <c r="K48" s="14">
        <f t="shared" ca="1" si="16"/>
        <v>-32.625</v>
      </c>
      <c r="L48" s="14">
        <f t="shared" ca="1" si="16"/>
        <v>-33.050000000000004</v>
      </c>
      <c r="M48" s="14">
        <f t="shared" ca="1" si="16"/>
        <v>-33.46</v>
      </c>
      <c r="N48" s="14">
        <f t="shared" ca="1" si="16"/>
        <v>-33.86</v>
      </c>
      <c r="O48" s="14">
        <f t="shared" ca="1" si="16"/>
        <v>-35.354999999999997</v>
      </c>
      <c r="P48" s="14">
        <f t="shared" ca="1" si="16"/>
        <v>-36.730000000000004</v>
      </c>
      <c r="Q48" s="14">
        <f t="shared" ca="1" si="16"/>
        <v>-38.065000000000005</v>
      </c>
      <c r="R48" s="14">
        <f t="shared" ca="1" si="16"/>
        <v>-39.43</v>
      </c>
      <c r="S48" s="14">
        <f t="shared" ca="1" si="16"/>
        <v>-40.934999999999995</v>
      </c>
      <c r="T48" s="14">
        <f t="shared" ca="1" si="16"/>
        <v>-41.349999999999994</v>
      </c>
      <c r="U48" s="14">
        <f t="shared" ca="1" si="16"/>
        <v>-41.784999999999997</v>
      </c>
      <c r="V48" s="14">
        <f t="shared" ca="1" si="16"/>
        <v>-42.244999999999997</v>
      </c>
      <c r="W48" s="14">
        <f t="shared" ca="1" si="16"/>
        <v>-42.73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 x14ac:dyDescent="0.4">
      <c r="A49" s="5">
        <f t="shared" si="14"/>
        <v>0</v>
      </c>
      <c r="B49" s="5">
        <f t="shared" si="14"/>
        <v>1</v>
      </c>
      <c r="C49" s="5">
        <f t="shared" si="14"/>
        <v>0</v>
      </c>
      <c r="D49" s="5">
        <f t="shared" si="14"/>
        <v>0</v>
      </c>
      <c r="E49" s="6" t="str">
        <f t="shared" si="14"/>
        <v>See</v>
      </c>
      <c r="F49" s="14">
        <f t="shared" ca="1" si="15"/>
        <v>-4.9509999999999996</v>
      </c>
      <c r="G49" s="14">
        <f t="shared" ca="1" si="16"/>
        <v>-5.3029999999999999</v>
      </c>
      <c r="H49" s="14">
        <f t="shared" ca="1" si="16"/>
        <v>-5.6920000000000002</v>
      </c>
      <c r="I49" s="14">
        <f t="shared" ca="1" si="16"/>
        <v>-6.0750000000000002</v>
      </c>
      <c r="J49" s="14">
        <f t="shared" ca="1" si="16"/>
        <v>-6.4379999999999997</v>
      </c>
      <c r="K49" s="14">
        <f t="shared" ca="1" si="16"/>
        <v>-6.5250000000000004</v>
      </c>
      <c r="L49" s="14">
        <f t="shared" ca="1" si="16"/>
        <v>-6.61</v>
      </c>
      <c r="M49" s="14">
        <f t="shared" ca="1" si="16"/>
        <v>-6.6920000000000002</v>
      </c>
      <c r="N49" s="14">
        <f t="shared" ca="1" si="16"/>
        <v>-6.7720000000000002</v>
      </c>
      <c r="O49" s="14">
        <f t="shared" ca="1" si="16"/>
        <v>-7.0709999999999997</v>
      </c>
      <c r="P49" s="14">
        <f t="shared" ca="1" si="16"/>
        <v>-7.3460000000000001</v>
      </c>
      <c r="Q49" s="14">
        <f t="shared" ca="1" si="16"/>
        <v>-7.6130000000000004</v>
      </c>
      <c r="R49" s="14">
        <f t="shared" ca="1" si="16"/>
        <v>-7.8860000000000001</v>
      </c>
      <c r="S49" s="14">
        <f t="shared" ca="1" si="16"/>
        <v>-8.1869999999999994</v>
      </c>
      <c r="T49" s="14">
        <f t="shared" ca="1" si="16"/>
        <v>-8.27</v>
      </c>
      <c r="U49" s="14">
        <f t="shared" ca="1" si="16"/>
        <v>-8.3569999999999993</v>
      </c>
      <c r="V49" s="14">
        <f t="shared" ca="1" si="16"/>
        <v>-8.4489999999999998</v>
      </c>
      <c r="W49" s="14">
        <f t="shared" ca="1" si="16"/>
        <v>-8.5459999999999994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 x14ac:dyDescent="0.4">
      <c r="A50" s="5">
        <f t="shared" si="14"/>
        <v>0</v>
      </c>
      <c r="B50" s="5">
        <f t="shared" si="14"/>
        <v>1</v>
      </c>
      <c r="C50" s="5">
        <f t="shared" si="14"/>
        <v>0</v>
      </c>
      <c r="D50" s="5">
        <f t="shared" si="14"/>
        <v>0</v>
      </c>
      <c r="E50" s="6" t="str">
        <f t="shared" si="14"/>
        <v>Se?</v>
      </c>
      <c r="F50" s="14">
        <f t="shared" ca="1" si="15"/>
        <v>-4.9509999999999996</v>
      </c>
      <c r="G50" s="14">
        <f t="shared" ca="1" si="16"/>
        <v>-5.3029999999999999</v>
      </c>
      <c r="H50" s="14">
        <f t="shared" ca="1" si="16"/>
        <v>-5.6920000000000002</v>
      </c>
      <c r="I50" s="14">
        <f t="shared" ca="1" si="16"/>
        <v>-6.0750000000000002</v>
      </c>
      <c r="J50" s="14">
        <f t="shared" ca="1" si="16"/>
        <v>-6.4379999999999997</v>
      </c>
      <c r="K50" s="14">
        <f t="shared" ca="1" si="16"/>
        <v>-6.5250000000000004</v>
      </c>
      <c r="L50" s="14">
        <f t="shared" ca="1" si="16"/>
        <v>-6.61</v>
      </c>
      <c r="M50" s="14">
        <f t="shared" ca="1" si="16"/>
        <v>-6.6920000000000002</v>
      </c>
      <c r="N50" s="14">
        <f t="shared" ca="1" si="16"/>
        <v>-6.7720000000000002</v>
      </c>
      <c r="O50" s="14">
        <f t="shared" ca="1" si="16"/>
        <v>-7.0709999999999997</v>
      </c>
      <c r="P50" s="14">
        <f t="shared" ca="1" si="16"/>
        <v>-7.3460000000000001</v>
      </c>
      <c r="Q50" s="14">
        <f t="shared" ca="1" si="16"/>
        <v>-7.6130000000000004</v>
      </c>
      <c r="R50" s="14">
        <f t="shared" ca="1" si="16"/>
        <v>-7.8860000000000001</v>
      </c>
      <c r="S50" s="14">
        <f t="shared" ca="1" si="16"/>
        <v>-8.1869999999999994</v>
      </c>
      <c r="T50" s="14">
        <f t="shared" ca="1" si="16"/>
        <v>-8.27</v>
      </c>
      <c r="U50" s="14">
        <f t="shared" ref="G50:BR54" ca="1" si="17">$A50*H.Ar + $B50*H.Se + $C50*H.Ge + $D50*H.Ga</f>
        <v>-8.3569999999999993</v>
      </c>
      <c r="V50" s="14">
        <f t="shared" ca="1" si="17"/>
        <v>-8.4489999999999998</v>
      </c>
      <c r="W50" s="14">
        <f t="shared" ca="1" si="17"/>
        <v>-8.5459999999999994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 x14ac:dyDescent="0.4">
      <c r="A51" s="5">
        <f t="shared" si="14"/>
        <v>0</v>
      </c>
      <c r="B51" s="5">
        <f t="shared" si="14"/>
        <v>8</v>
      </c>
      <c r="C51" s="5">
        <f t="shared" si="14"/>
        <v>0</v>
      </c>
      <c r="D51" s="5">
        <f t="shared" si="14"/>
        <v>0</v>
      </c>
      <c r="E51" s="6" t="str">
        <f t="shared" si="14"/>
        <v>Se8</v>
      </c>
      <c r="F51" s="14">
        <f t="shared" ca="1" si="15"/>
        <v>-39.607999999999997</v>
      </c>
      <c r="G51" s="14">
        <f t="shared" ca="1" si="17"/>
        <v>-42.423999999999999</v>
      </c>
      <c r="H51" s="14">
        <f t="shared" ca="1" si="17"/>
        <v>-45.536000000000001</v>
      </c>
      <c r="I51" s="14">
        <f t="shared" ca="1" si="17"/>
        <v>-48.6</v>
      </c>
      <c r="J51" s="14">
        <f t="shared" ca="1" si="17"/>
        <v>-51.503999999999998</v>
      </c>
      <c r="K51" s="14">
        <f t="shared" ca="1" si="17"/>
        <v>-52.2</v>
      </c>
      <c r="L51" s="14">
        <f t="shared" ca="1" si="17"/>
        <v>-52.88</v>
      </c>
      <c r="M51" s="14">
        <f t="shared" ca="1" si="17"/>
        <v>-53.536000000000001</v>
      </c>
      <c r="N51" s="14">
        <f t="shared" ca="1" si="17"/>
        <v>-54.176000000000002</v>
      </c>
      <c r="O51" s="14">
        <f t="shared" ca="1" si="17"/>
        <v>-56.567999999999998</v>
      </c>
      <c r="P51" s="14">
        <f t="shared" ca="1" si="17"/>
        <v>-58.768000000000001</v>
      </c>
      <c r="Q51" s="14">
        <f t="shared" ca="1" si="17"/>
        <v>-60.904000000000003</v>
      </c>
      <c r="R51" s="14">
        <f t="shared" ca="1" si="17"/>
        <v>-63.088000000000001</v>
      </c>
      <c r="S51" s="14">
        <f t="shared" ca="1" si="17"/>
        <v>-65.495999999999995</v>
      </c>
      <c r="T51" s="14">
        <f t="shared" ca="1" si="17"/>
        <v>-66.16</v>
      </c>
      <c r="U51" s="14">
        <f t="shared" ca="1" si="17"/>
        <v>-66.855999999999995</v>
      </c>
      <c r="V51" s="14">
        <f t="shared" ca="1" si="17"/>
        <v>-67.591999999999999</v>
      </c>
      <c r="W51" s="14">
        <f t="shared" ca="1" si="17"/>
        <v>-68.367999999999995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 x14ac:dyDescent="0.4">
      <c r="A52" s="5">
        <f t="shared" si="14"/>
        <v>0</v>
      </c>
      <c r="B52" s="5">
        <f t="shared" si="14"/>
        <v>2</v>
      </c>
      <c r="C52" s="5">
        <f t="shared" si="14"/>
        <v>0</v>
      </c>
      <c r="D52" s="5">
        <f t="shared" si="14"/>
        <v>0</v>
      </c>
      <c r="E52" s="6" t="str">
        <f t="shared" si="14"/>
        <v>Se2</v>
      </c>
      <c r="F52" s="14">
        <f t="shared" ca="1" si="15"/>
        <v>-9.9019999999999992</v>
      </c>
      <c r="G52" s="14">
        <f t="shared" ca="1" si="17"/>
        <v>-10.606</v>
      </c>
      <c r="H52" s="14">
        <f t="shared" ca="1" si="17"/>
        <v>-11.384</v>
      </c>
      <c r="I52" s="14">
        <f t="shared" ca="1" si="17"/>
        <v>-12.15</v>
      </c>
      <c r="J52" s="14">
        <f t="shared" ca="1" si="17"/>
        <v>-12.875999999999999</v>
      </c>
      <c r="K52" s="14">
        <f t="shared" ca="1" si="17"/>
        <v>-13.05</v>
      </c>
      <c r="L52" s="14">
        <f t="shared" ca="1" si="17"/>
        <v>-13.22</v>
      </c>
      <c r="M52" s="14">
        <f t="shared" ca="1" si="17"/>
        <v>-13.384</v>
      </c>
      <c r="N52" s="14">
        <f t="shared" ca="1" si="17"/>
        <v>-13.544</v>
      </c>
      <c r="O52" s="14">
        <f t="shared" ca="1" si="17"/>
        <v>-14.141999999999999</v>
      </c>
      <c r="P52" s="14">
        <f t="shared" ca="1" si="17"/>
        <v>-14.692</v>
      </c>
      <c r="Q52" s="14">
        <f t="shared" ca="1" si="17"/>
        <v>-15.226000000000001</v>
      </c>
      <c r="R52" s="14">
        <f t="shared" ca="1" si="17"/>
        <v>-15.772</v>
      </c>
      <c r="S52" s="14">
        <f t="shared" ca="1" si="17"/>
        <v>-16.373999999999999</v>
      </c>
      <c r="T52" s="14">
        <f t="shared" ca="1" si="17"/>
        <v>-16.54</v>
      </c>
      <c r="U52" s="14">
        <f t="shared" ca="1" si="17"/>
        <v>-16.713999999999999</v>
      </c>
      <c r="V52" s="14">
        <f t="shared" ca="1" si="17"/>
        <v>-16.898</v>
      </c>
      <c r="W52" s="14">
        <f t="shared" ca="1" si="17"/>
        <v>-17.091999999999999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 x14ac:dyDescent="0.4">
      <c r="A53" s="5">
        <f t="shared" si="14"/>
        <v>0</v>
      </c>
      <c r="B53" s="5">
        <f t="shared" si="14"/>
        <v>1</v>
      </c>
      <c r="C53" s="5">
        <f t="shared" si="14"/>
        <v>0</v>
      </c>
      <c r="D53" s="5">
        <f t="shared" si="14"/>
        <v>0</v>
      </c>
      <c r="E53" s="6" t="str">
        <f t="shared" si="14"/>
        <v>Se</v>
      </c>
      <c r="F53" s="14">
        <f t="shared" ca="1" si="15"/>
        <v>-4.9509999999999996</v>
      </c>
      <c r="G53" s="14">
        <f t="shared" ca="1" si="17"/>
        <v>-5.3029999999999999</v>
      </c>
      <c r="H53" s="14">
        <f t="shared" ca="1" si="17"/>
        <v>-5.6920000000000002</v>
      </c>
      <c r="I53" s="14">
        <f t="shared" ca="1" si="17"/>
        <v>-6.0750000000000002</v>
      </c>
      <c r="J53" s="14">
        <f t="shared" ca="1" si="17"/>
        <v>-6.4379999999999997</v>
      </c>
      <c r="K53" s="14">
        <f t="shared" ca="1" si="17"/>
        <v>-6.5250000000000004</v>
      </c>
      <c r="L53" s="14">
        <f t="shared" ca="1" si="17"/>
        <v>-6.61</v>
      </c>
      <c r="M53" s="14">
        <f t="shared" ca="1" si="17"/>
        <v>-6.6920000000000002</v>
      </c>
      <c r="N53" s="14">
        <f t="shared" ca="1" si="17"/>
        <v>-6.7720000000000002</v>
      </c>
      <c r="O53" s="14">
        <f t="shared" ca="1" si="17"/>
        <v>-7.0709999999999997</v>
      </c>
      <c r="P53" s="14">
        <f t="shared" ca="1" si="17"/>
        <v>-7.3460000000000001</v>
      </c>
      <c r="Q53" s="14">
        <f t="shared" ca="1" si="17"/>
        <v>-7.6130000000000004</v>
      </c>
      <c r="R53" s="14">
        <f t="shared" ca="1" si="17"/>
        <v>-7.8860000000000001</v>
      </c>
      <c r="S53" s="14">
        <f t="shared" ca="1" si="17"/>
        <v>-8.1869999999999994</v>
      </c>
      <c r="T53" s="14">
        <f t="shared" ca="1" si="17"/>
        <v>-8.27</v>
      </c>
      <c r="U53" s="14">
        <f t="shared" ca="1" si="17"/>
        <v>-8.3569999999999993</v>
      </c>
      <c r="V53" s="14">
        <f t="shared" ca="1" si="17"/>
        <v>-8.4489999999999998</v>
      </c>
      <c r="W53" s="14">
        <f t="shared" ca="1" si="17"/>
        <v>-8.5459999999999994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 x14ac:dyDescent="0.4">
      <c r="A54" s="5">
        <f t="shared" si="14"/>
        <v>1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 t="str">
        <f t="shared" si="14"/>
        <v>Ar</v>
      </c>
      <c r="F54" s="14">
        <f t="shared" ca="1" si="15"/>
        <v>-18.62</v>
      </c>
      <c r="G54" s="14">
        <f t="shared" ca="1" si="17"/>
        <v>-18.63</v>
      </c>
      <c r="H54" s="14">
        <f t="shared" ca="1" si="17"/>
        <v>-18.72</v>
      </c>
      <c r="I54" s="14">
        <f t="shared" ca="1" si="17"/>
        <v>-18.84</v>
      </c>
      <c r="J54" s="14">
        <f t="shared" ca="1" si="17"/>
        <v>-18.98</v>
      </c>
      <c r="K54" s="14">
        <f t="shared" ca="1" si="17"/>
        <v>-19.02</v>
      </c>
      <c r="L54" s="14">
        <f t="shared" ca="1" si="17"/>
        <v>-19.059999999999999</v>
      </c>
      <c r="M54" s="14">
        <f t="shared" ca="1" si="17"/>
        <v>-19.100000000000001</v>
      </c>
      <c r="N54" s="14">
        <f t="shared" ca="1" si="17"/>
        <v>-19.14</v>
      </c>
      <c r="O54" s="14">
        <f t="shared" ca="1" si="17"/>
        <v>-19.34</v>
      </c>
      <c r="P54" s="14">
        <f t="shared" ca="1" si="17"/>
        <v>-19.54</v>
      </c>
      <c r="Q54" s="14">
        <f t="shared" ca="1" si="17"/>
        <v>-19.71</v>
      </c>
      <c r="R54" s="14">
        <f t="shared" ca="1" si="17"/>
        <v>-19.88</v>
      </c>
      <c r="S54" s="14">
        <f t="shared" ca="1" si="17"/>
        <v>-20.059999999999999</v>
      </c>
      <c r="T54" s="14">
        <f t="shared" ref="G54:BR58" ca="1" si="18">$A54*H.Ar + $B54*H.Se + $C54*H.Ge + $D54*H.Ga</f>
        <v>-20.100000000000001</v>
      </c>
      <c r="U54" s="14">
        <f t="shared" ca="1" si="18"/>
        <v>-20.149999999999999</v>
      </c>
      <c r="V54" s="14">
        <f t="shared" ca="1" si="18"/>
        <v>-20.2</v>
      </c>
      <c r="W54" s="14">
        <f t="shared" ca="1" si="18"/>
        <v>-20.25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 x14ac:dyDescent="0.4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2</v>
      </c>
      <c r="E55" s="6" t="str">
        <f t="shared" si="14"/>
        <v>Ga2Se</v>
      </c>
      <c r="F55" s="14">
        <f t="shared" ca="1" si="15"/>
        <v>-17.510999999999999</v>
      </c>
      <c r="G55" s="14">
        <f t="shared" ca="1" si="18"/>
        <v>-18.847000000000001</v>
      </c>
      <c r="H55" s="14">
        <f t="shared" ca="1" si="18"/>
        <v>-20.116</v>
      </c>
      <c r="I55" s="14">
        <f t="shared" ca="1" si="18"/>
        <v>-21.286999999999999</v>
      </c>
      <c r="J55" s="14">
        <f t="shared" ca="1" si="18"/>
        <v>-22.382000000000001</v>
      </c>
      <c r="K55" s="14">
        <f t="shared" ca="1" si="18"/>
        <v>-22.655000000000001</v>
      </c>
      <c r="L55" s="14">
        <f t="shared" ca="1" si="18"/>
        <v>-22.93</v>
      </c>
      <c r="M55" s="14">
        <f t="shared" ca="1" si="18"/>
        <v>-23.21</v>
      </c>
      <c r="N55" s="14">
        <f t="shared" ca="1" si="18"/>
        <v>-23.5</v>
      </c>
      <c r="O55" s="14">
        <f t="shared" ca="1" si="18"/>
        <v>-24.792999999999999</v>
      </c>
      <c r="P55" s="14">
        <f t="shared" ca="1" si="18"/>
        <v>-26.256</v>
      </c>
      <c r="Q55" s="14">
        <f t="shared" ca="1" si="18"/>
        <v>-27.713000000000001</v>
      </c>
      <c r="R55" s="14">
        <f t="shared" ca="1" si="18"/>
        <v>-29.085999999999999</v>
      </c>
      <c r="S55" s="14">
        <f t="shared" ca="1" si="18"/>
        <v>-30.347000000000001</v>
      </c>
      <c r="T55" s="14">
        <f t="shared" ca="1" si="18"/>
        <v>-30.65</v>
      </c>
      <c r="U55" s="14">
        <f t="shared" ca="1" si="18"/>
        <v>-30.936999999999998</v>
      </c>
      <c r="V55" s="14">
        <f t="shared" ca="1" si="18"/>
        <v>-31.228999999999999</v>
      </c>
      <c r="W55" s="14">
        <f t="shared" ca="1" si="18"/>
        <v>-31.506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(l)Ga[l]</v>
      </c>
      <c r="F56" s="14">
        <f t="shared" ref="F56:U65" ca="1" si="20">$A56*H.Ar + $B56*H.Se + $C56*H.Ge + $D56*H.Ga</f>
        <v>-6.28</v>
      </c>
      <c r="G56" s="14">
        <f t="shared" ca="1" si="20"/>
        <v>-6.7720000000000002</v>
      </c>
      <c r="H56" s="14">
        <f t="shared" ca="1" si="20"/>
        <v>-7.2119999999999997</v>
      </c>
      <c r="I56" s="14">
        <f t="shared" ca="1" si="20"/>
        <v>-7.6059999999999999</v>
      </c>
      <c r="J56" s="14">
        <f t="shared" ca="1" si="20"/>
        <v>-7.9720000000000004</v>
      </c>
      <c r="K56" s="14">
        <f t="shared" ca="1" si="20"/>
        <v>-8.0649999999999995</v>
      </c>
      <c r="L56" s="14">
        <f t="shared" ca="1" si="20"/>
        <v>-8.16</v>
      </c>
      <c r="M56" s="14">
        <f t="shared" ca="1" si="20"/>
        <v>-8.2590000000000003</v>
      </c>
      <c r="N56" s="14">
        <f t="shared" ca="1" si="20"/>
        <v>-8.3640000000000008</v>
      </c>
      <c r="O56" s="14">
        <f t="shared" ca="1" si="20"/>
        <v>-8.8610000000000007</v>
      </c>
      <c r="P56" s="14">
        <f t="shared" ca="1" si="20"/>
        <v>-9.4550000000000001</v>
      </c>
      <c r="Q56" s="14">
        <f t="shared" ca="1" si="20"/>
        <v>-10.050000000000001</v>
      </c>
      <c r="R56" s="14">
        <f t="shared" ca="1" si="20"/>
        <v>-10.6</v>
      </c>
      <c r="S56" s="14">
        <f t="shared" ca="1" si="20"/>
        <v>-11.08</v>
      </c>
      <c r="T56" s="14">
        <f t="shared" ca="1" si="20"/>
        <v>-11.19</v>
      </c>
      <c r="U56" s="14">
        <f t="shared" ca="1" si="20"/>
        <v>-11.29</v>
      </c>
      <c r="V56" s="14">
        <f t="shared" ca="1" si="18"/>
        <v>-11.39</v>
      </c>
      <c r="W56" s="14">
        <f t="shared" ca="1" si="18"/>
        <v>-11.48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1</v>
      </c>
      <c r="D57" s="5">
        <f t="shared" si="19"/>
        <v>0</v>
      </c>
      <c r="E57" s="6" t="str">
        <f t="shared" si="19"/>
        <v>(l)Ge[l]</v>
      </c>
      <c r="F57" s="14">
        <f t="shared" ca="1" si="20"/>
        <v>-29.32</v>
      </c>
      <c r="G57" s="14">
        <f t="shared" ca="1" si="18"/>
        <v>-24.74</v>
      </c>
      <c r="H57" s="14">
        <f t="shared" ca="1" si="18"/>
        <v>-21.74</v>
      </c>
      <c r="I57" s="14">
        <f t="shared" ca="1" si="18"/>
        <v>-19.649999999999999</v>
      </c>
      <c r="J57" s="14">
        <f t="shared" ca="1" si="18"/>
        <v>-18.13</v>
      </c>
      <c r="K57" s="14">
        <f t="shared" ca="1" si="18"/>
        <v>-17.82</v>
      </c>
      <c r="L57" s="14">
        <f t="shared" ca="1" si="18"/>
        <v>-17.52</v>
      </c>
      <c r="M57" s="14">
        <f t="shared" ca="1" si="18"/>
        <v>-17.239999999999998</v>
      </c>
      <c r="N57" s="14">
        <f t="shared" ca="1" si="18"/>
        <v>-16.97</v>
      </c>
      <c r="O57" s="14">
        <f t="shared" ca="1" si="18"/>
        <v>-16.05</v>
      </c>
      <c r="P57" s="14">
        <f t="shared" ca="1" si="18"/>
        <v>-15.31</v>
      </c>
      <c r="Q57" s="14">
        <f t="shared" ca="1" si="18"/>
        <v>-14.71</v>
      </c>
      <c r="R57" s="14">
        <f t="shared" ca="1" si="18"/>
        <v>-14.2</v>
      </c>
      <c r="S57" s="14">
        <f t="shared" ca="1" si="18"/>
        <v>-13.7</v>
      </c>
      <c r="T57" s="14">
        <f t="shared" ca="1" si="18"/>
        <v>-13.57</v>
      </c>
      <c r="U57" s="14">
        <f t="shared" ca="1" si="18"/>
        <v>-13.44</v>
      </c>
      <c r="V57" s="14">
        <f t="shared" ca="1" si="18"/>
        <v>-13.3</v>
      </c>
      <c r="W57" s="14">
        <f t="shared" ca="1" si="18"/>
        <v>-13.16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 x14ac:dyDescent="0.4">
      <c r="A58" s="5">
        <f t="shared" si="19"/>
        <v>0</v>
      </c>
      <c r="B58" s="5">
        <f t="shared" si="19"/>
        <v>1</v>
      </c>
      <c r="C58" s="5">
        <f t="shared" si="19"/>
        <v>0</v>
      </c>
      <c r="D58" s="5">
        <f t="shared" si="19"/>
        <v>0</v>
      </c>
      <c r="E58" s="6" t="str">
        <f t="shared" si="19"/>
        <v>(l)Se[l]</v>
      </c>
      <c r="F58" s="14">
        <f t="shared" ca="1" si="20"/>
        <v>-4.9509999999999996</v>
      </c>
      <c r="G58" s="14">
        <f t="shared" ca="1" si="18"/>
        <v>-5.3029999999999999</v>
      </c>
      <c r="H58" s="14">
        <f t="shared" ca="1" si="18"/>
        <v>-5.6920000000000002</v>
      </c>
      <c r="I58" s="14">
        <f t="shared" ca="1" si="18"/>
        <v>-6.0750000000000002</v>
      </c>
      <c r="J58" s="14">
        <f t="shared" ca="1" si="18"/>
        <v>-6.4379999999999997</v>
      </c>
      <c r="K58" s="14">
        <f t="shared" ca="1" si="18"/>
        <v>-6.5250000000000004</v>
      </c>
      <c r="L58" s="14">
        <f t="shared" ca="1" si="18"/>
        <v>-6.61</v>
      </c>
      <c r="M58" s="14">
        <f t="shared" ca="1" si="18"/>
        <v>-6.6920000000000002</v>
      </c>
      <c r="N58" s="14">
        <f t="shared" ca="1" si="18"/>
        <v>-6.7720000000000002</v>
      </c>
      <c r="O58" s="14">
        <f t="shared" ca="1" si="18"/>
        <v>-7.0709999999999997</v>
      </c>
      <c r="P58" s="14">
        <f t="shared" ca="1" si="18"/>
        <v>-7.3460000000000001</v>
      </c>
      <c r="Q58" s="14">
        <f t="shared" ca="1" si="18"/>
        <v>-7.6130000000000004</v>
      </c>
      <c r="R58" s="14">
        <f t="shared" ca="1" si="18"/>
        <v>-7.8860000000000001</v>
      </c>
      <c r="S58" s="14">
        <f t="shared" ca="1" si="18"/>
        <v>-8.1869999999999994</v>
      </c>
      <c r="T58" s="14">
        <f t="shared" ca="1" si="18"/>
        <v>-8.27</v>
      </c>
      <c r="U58" s="14">
        <f t="shared" ca="1" si="18"/>
        <v>-8.3569999999999993</v>
      </c>
      <c r="V58" s="14">
        <f t="shared" ca="1" si="18"/>
        <v>-8.4489999999999998</v>
      </c>
      <c r="W58" s="14">
        <f t="shared" ca="1" si="18"/>
        <v>-8.5459999999999994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 x14ac:dyDescent="0.4">
      <c r="A59" s="5">
        <f t="shared" si="19"/>
        <v>0</v>
      </c>
      <c r="B59" s="5">
        <f t="shared" si="19"/>
        <v>1</v>
      </c>
      <c r="C59" s="5">
        <f t="shared" si="19"/>
        <v>1</v>
      </c>
      <c r="D59" s="5">
        <f t="shared" si="19"/>
        <v>0</v>
      </c>
      <c r="E59" s="6" t="str">
        <f t="shared" si="19"/>
        <v>(1)GeSe[l]</v>
      </c>
      <c r="F59" s="14">
        <f t="shared" ca="1" si="20"/>
        <v>-34.271000000000001</v>
      </c>
      <c r="G59" s="14">
        <f t="shared" ca="1" si="21"/>
        <v>-30.042999999999999</v>
      </c>
      <c r="H59" s="14">
        <f t="shared" ca="1" si="21"/>
        <v>-27.431999999999999</v>
      </c>
      <c r="I59" s="14">
        <f t="shared" ca="1" si="21"/>
        <v>-25.724999999999998</v>
      </c>
      <c r="J59" s="14">
        <f t="shared" ca="1" si="21"/>
        <v>-24.567999999999998</v>
      </c>
      <c r="K59" s="14">
        <f t="shared" ca="1" si="21"/>
        <v>-24.344999999999999</v>
      </c>
      <c r="L59" s="14">
        <f t="shared" ca="1" si="21"/>
        <v>-24.13</v>
      </c>
      <c r="M59" s="14">
        <f t="shared" ca="1" si="21"/>
        <v>-23.931999999999999</v>
      </c>
      <c r="N59" s="14">
        <f t="shared" ca="1" si="21"/>
        <v>-23.741999999999997</v>
      </c>
      <c r="O59" s="14">
        <f t="shared" ca="1" si="21"/>
        <v>-23.121000000000002</v>
      </c>
      <c r="P59" s="14">
        <f t="shared" ca="1" si="21"/>
        <v>-22.655999999999999</v>
      </c>
      <c r="Q59" s="14">
        <f t="shared" ca="1" si="21"/>
        <v>-22.323</v>
      </c>
      <c r="R59" s="14">
        <f t="shared" ca="1" si="21"/>
        <v>-22.085999999999999</v>
      </c>
      <c r="S59" s="14">
        <f t="shared" ca="1" si="21"/>
        <v>-21.887</v>
      </c>
      <c r="T59" s="14">
        <f t="shared" ca="1" si="21"/>
        <v>-21.84</v>
      </c>
      <c r="U59" s="14">
        <f t="shared" ca="1" si="21"/>
        <v>-21.796999999999997</v>
      </c>
      <c r="V59" s="14">
        <f t="shared" ca="1" si="21"/>
        <v>-21.749000000000002</v>
      </c>
      <c r="W59" s="14">
        <f t="shared" ca="1" si="21"/>
        <v>-21.706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 x14ac:dyDescent="0.4">
      <c r="A60" s="5">
        <f t="shared" si="19"/>
        <v>1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 t="str">
        <f t="shared" si="19"/>
        <v>H (Ar)</v>
      </c>
      <c r="F60" s="14">
        <f t="shared" ca="1" si="20"/>
        <v>-18.62</v>
      </c>
      <c r="G60" s="14">
        <f t="shared" ca="1" si="21"/>
        <v>-18.63</v>
      </c>
      <c r="H60" s="14">
        <f t="shared" ca="1" si="21"/>
        <v>-18.72</v>
      </c>
      <c r="I60" s="14">
        <f t="shared" ca="1" si="21"/>
        <v>-18.84</v>
      </c>
      <c r="J60" s="14">
        <f t="shared" ca="1" si="21"/>
        <v>-18.98</v>
      </c>
      <c r="K60" s="14">
        <f t="shared" ca="1" si="21"/>
        <v>-19.02</v>
      </c>
      <c r="L60" s="14">
        <f t="shared" ca="1" si="21"/>
        <v>-19.059999999999999</v>
      </c>
      <c r="M60" s="14">
        <f t="shared" ca="1" si="21"/>
        <v>-19.100000000000001</v>
      </c>
      <c r="N60" s="14">
        <f t="shared" ca="1" si="21"/>
        <v>-19.14</v>
      </c>
      <c r="O60" s="14">
        <f t="shared" ca="1" si="21"/>
        <v>-19.34</v>
      </c>
      <c r="P60" s="14">
        <f t="shared" ca="1" si="21"/>
        <v>-19.54</v>
      </c>
      <c r="Q60" s="14">
        <f t="shared" ca="1" si="21"/>
        <v>-19.71</v>
      </c>
      <c r="R60" s="14">
        <f t="shared" ca="1" si="21"/>
        <v>-19.88</v>
      </c>
      <c r="S60" s="14">
        <f t="shared" ca="1" si="21"/>
        <v>-20.059999999999999</v>
      </c>
      <c r="T60" s="14">
        <f t="shared" ca="1" si="21"/>
        <v>-20.100000000000001</v>
      </c>
      <c r="U60" s="14">
        <f t="shared" ca="1" si="21"/>
        <v>-20.149999999999999</v>
      </c>
      <c r="V60" s="14">
        <f t="shared" ca="1" si="21"/>
        <v>-20.2</v>
      </c>
      <c r="W60" s="14">
        <f t="shared" ca="1" si="21"/>
        <v>-20.25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1</v>
      </c>
      <c r="E61" s="6" t="str">
        <f t="shared" si="19"/>
        <v>H (Ga)</v>
      </c>
      <c r="F61" s="14">
        <f t="shared" ca="1" si="20"/>
        <v>-6.28</v>
      </c>
      <c r="G61" s="14">
        <f t="shared" ca="1" si="21"/>
        <v>-6.7720000000000002</v>
      </c>
      <c r="H61" s="14">
        <f t="shared" ca="1" si="21"/>
        <v>-7.2119999999999997</v>
      </c>
      <c r="I61" s="14">
        <f t="shared" ca="1" si="21"/>
        <v>-7.6059999999999999</v>
      </c>
      <c r="J61" s="14">
        <f t="shared" ca="1" si="21"/>
        <v>-7.9720000000000004</v>
      </c>
      <c r="K61" s="14">
        <f t="shared" ca="1" si="21"/>
        <v>-8.0649999999999995</v>
      </c>
      <c r="L61" s="14">
        <f t="shared" ca="1" si="21"/>
        <v>-8.16</v>
      </c>
      <c r="M61" s="14">
        <f t="shared" ca="1" si="21"/>
        <v>-8.2590000000000003</v>
      </c>
      <c r="N61" s="14">
        <f t="shared" ca="1" si="21"/>
        <v>-8.3640000000000008</v>
      </c>
      <c r="O61" s="14">
        <f t="shared" ca="1" si="21"/>
        <v>-8.8610000000000007</v>
      </c>
      <c r="P61" s="14">
        <f t="shared" ca="1" si="21"/>
        <v>-9.4550000000000001</v>
      </c>
      <c r="Q61" s="14">
        <f t="shared" ca="1" si="21"/>
        <v>-10.050000000000001</v>
      </c>
      <c r="R61" s="14">
        <f t="shared" ca="1" si="21"/>
        <v>-10.6</v>
      </c>
      <c r="S61" s="14">
        <f t="shared" ca="1" si="21"/>
        <v>-11.08</v>
      </c>
      <c r="T61" s="14">
        <f t="shared" ca="1" si="21"/>
        <v>-11.19</v>
      </c>
      <c r="U61" s="14">
        <f t="shared" ca="1" si="21"/>
        <v>-11.29</v>
      </c>
      <c r="V61" s="14">
        <f t="shared" ca="1" si="21"/>
        <v>-11.39</v>
      </c>
      <c r="W61" s="14">
        <f t="shared" ca="1" si="21"/>
        <v>-11.48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1</v>
      </c>
      <c r="D62" s="5">
        <f t="shared" si="19"/>
        <v>0</v>
      </c>
      <c r="E62" s="6" t="str">
        <f t="shared" si="19"/>
        <v>H (Ge)</v>
      </c>
      <c r="F62" s="14">
        <f t="shared" ca="1" si="20"/>
        <v>-29.32</v>
      </c>
      <c r="G62" s="14">
        <f t="shared" ca="1" si="21"/>
        <v>-24.74</v>
      </c>
      <c r="H62" s="14">
        <f t="shared" ca="1" si="21"/>
        <v>-21.74</v>
      </c>
      <c r="I62" s="14">
        <f t="shared" ca="1" si="21"/>
        <v>-19.649999999999999</v>
      </c>
      <c r="J62" s="14">
        <f t="shared" ca="1" si="21"/>
        <v>-18.13</v>
      </c>
      <c r="K62" s="14">
        <f t="shared" ca="1" si="21"/>
        <v>-17.82</v>
      </c>
      <c r="L62" s="14">
        <f t="shared" ca="1" si="21"/>
        <v>-17.52</v>
      </c>
      <c r="M62" s="14">
        <f t="shared" ca="1" si="21"/>
        <v>-17.239999999999998</v>
      </c>
      <c r="N62" s="14">
        <f t="shared" ca="1" si="21"/>
        <v>-16.97</v>
      </c>
      <c r="O62" s="14">
        <f t="shared" ca="1" si="21"/>
        <v>-16.05</v>
      </c>
      <c r="P62" s="14">
        <f t="shared" ca="1" si="21"/>
        <v>-15.31</v>
      </c>
      <c r="Q62" s="14">
        <f t="shared" ca="1" si="21"/>
        <v>-14.71</v>
      </c>
      <c r="R62" s="14">
        <f t="shared" ca="1" si="21"/>
        <v>-14.2</v>
      </c>
      <c r="S62" s="14">
        <f t="shared" ca="1" si="21"/>
        <v>-13.7</v>
      </c>
      <c r="T62" s="14">
        <f t="shared" ca="1" si="21"/>
        <v>-13.57</v>
      </c>
      <c r="U62" s="14">
        <f t="shared" ca="1" si="21"/>
        <v>-13.44</v>
      </c>
      <c r="V62" s="14">
        <f t="shared" ca="1" si="21"/>
        <v>-13.3</v>
      </c>
      <c r="W62" s="14">
        <f t="shared" ca="1" si="21"/>
        <v>-13.16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 x14ac:dyDescent="0.4">
      <c r="A63" s="5">
        <f t="shared" si="19"/>
        <v>0</v>
      </c>
      <c r="B63" s="5">
        <f t="shared" si="19"/>
        <v>1</v>
      </c>
      <c r="C63" s="5">
        <f t="shared" si="19"/>
        <v>0</v>
      </c>
      <c r="D63" s="5">
        <f t="shared" si="19"/>
        <v>0</v>
      </c>
      <c r="E63" s="6" t="str">
        <f t="shared" si="19"/>
        <v>H (Se)</v>
      </c>
      <c r="F63" s="14">
        <f t="shared" ca="1" si="20"/>
        <v>-4.9509999999999996</v>
      </c>
      <c r="G63" s="14">
        <f t="shared" ca="1" si="22"/>
        <v>-5.3029999999999999</v>
      </c>
      <c r="H63" s="14">
        <f t="shared" ca="1" si="22"/>
        <v>-5.6920000000000002</v>
      </c>
      <c r="I63" s="14">
        <f t="shared" ca="1" si="22"/>
        <v>-6.0750000000000002</v>
      </c>
      <c r="J63" s="14">
        <f t="shared" ca="1" si="22"/>
        <v>-6.4379999999999997</v>
      </c>
      <c r="K63" s="14">
        <f t="shared" ca="1" si="22"/>
        <v>-6.5250000000000004</v>
      </c>
      <c r="L63" s="14">
        <f t="shared" ca="1" si="22"/>
        <v>-6.61</v>
      </c>
      <c r="M63" s="14">
        <f t="shared" ca="1" si="22"/>
        <v>-6.6920000000000002</v>
      </c>
      <c r="N63" s="14">
        <f t="shared" ca="1" si="22"/>
        <v>-6.7720000000000002</v>
      </c>
      <c r="O63" s="14">
        <f t="shared" ca="1" si="22"/>
        <v>-7.0709999999999997</v>
      </c>
      <c r="P63" s="14">
        <f t="shared" ca="1" si="22"/>
        <v>-7.3460000000000001</v>
      </c>
      <c r="Q63" s="14">
        <f t="shared" ca="1" si="22"/>
        <v>-7.6130000000000004</v>
      </c>
      <c r="R63" s="14">
        <f t="shared" ca="1" si="22"/>
        <v>-7.8860000000000001</v>
      </c>
      <c r="S63" s="14">
        <f t="shared" ca="1" si="22"/>
        <v>-8.1869999999999994</v>
      </c>
      <c r="T63" s="14">
        <f t="shared" ca="1" si="22"/>
        <v>-8.27</v>
      </c>
      <c r="U63" s="14">
        <f t="shared" ca="1" si="22"/>
        <v>-8.3569999999999993</v>
      </c>
      <c r="V63" s="14">
        <f t="shared" ca="1" si="22"/>
        <v>-8.4489999999999998</v>
      </c>
      <c r="W63" s="14">
        <f t="shared" ca="1" si="22"/>
        <v>-8.5459999999999994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 t="e">
        <f>E41</f>
        <v>#DIV/0!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554</v>
      </c>
      <c r="L79" s="3">
        <f t="shared" si="30"/>
        <v>570.5</v>
      </c>
      <c r="M79" s="3">
        <f t="shared" si="30"/>
        <v>587</v>
      </c>
      <c r="N79" s="3">
        <f t="shared" si="30"/>
        <v>603.5</v>
      </c>
      <c r="O79" s="3">
        <f t="shared" si="30"/>
        <v>669.6</v>
      </c>
      <c r="P79" s="3">
        <f t="shared" si="30"/>
        <v>735.7</v>
      </c>
      <c r="Q79" s="3">
        <f t="shared" si="30"/>
        <v>801.8</v>
      </c>
      <c r="R79" s="3">
        <f t="shared" si="30"/>
        <v>867.8</v>
      </c>
      <c r="S79" s="3">
        <f t="shared" si="30"/>
        <v>933.9</v>
      </c>
      <c r="T79" s="3">
        <f t="shared" si="30"/>
        <v>950.4</v>
      </c>
      <c r="U79" s="3">
        <f t="shared" si="30"/>
        <v>967</v>
      </c>
      <c r="V79" s="3">
        <f t="shared" si="30"/>
        <v>983.5</v>
      </c>
      <c r="W79" s="3">
        <f t="shared" si="30"/>
        <v>1000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3</v>
      </c>
      <c r="C80" s="5">
        <f t="shared" si="31"/>
        <v>0</v>
      </c>
      <c r="D80" s="5">
        <f t="shared" si="31"/>
        <v>0</v>
      </c>
      <c r="E80" s="6" t="str">
        <f t="shared" si="28"/>
        <v>Se3</v>
      </c>
      <c r="F80" s="14" t="e">
        <f t="shared" ref="F80" si="32">F4*$C$78</f>
        <v>#DIV/0!</v>
      </c>
      <c r="G80" s="14" t="e">
        <f t="shared" ref="G80:BR80" si="33">G4*$C$78</f>
        <v>#DIV/0!</v>
      </c>
      <c r="H80" s="14" t="e">
        <f t="shared" si="33"/>
        <v>#DIV/0!</v>
      </c>
      <c r="I80" s="14" t="e">
        <f t="shared" si="33"/>
        <v>#DIV/0!</v>
      </c>
      <c r="J80" s="14" t="e">
        <f t="shared" si="33"/>
        <v>#DIV/0!</v>
      </c>
      <c r="K80" s="14" t="e">
        <f t="shared" si="33"/>
        <v>#DIV/0!</v>
      </c>
      <c r="L80" s="14" t="e">
        <f t="shared" si="33"/>
        <v>#DIV/0!</v>
      </c>
      <c r="M80" s="14" t="e">
        <f t="shared" si="33"/>
        <v>#DIV/0!</v>
      </c>
      <c r="N80" s="14" t="e">
        <f t="shared" si="33"/>
        <v>#DIV/0!</v>
      </c>
      <c r="O80" s="14" t="e">
        <f t="shared" si="33"/>
        <v>#DIV/0!</v>
      </c>
      <c r="P80" s="14" t="e">
        <f t="shared" si="33"/>
        <v>#DIV/0!</v>
      </c>
      <c r="Q80" s="14" t="e">
        <f t="shared" si="33"/>
        <v>#DIV/0!</v>
      </c>
      <c r="R80" s="14" t="e">
        <f t="shared" si="33"/>
        <v>#DIV/0!</v>
      </c>
      <c r="S80" s="14" t="e">
        <f t="shared" si="33"/>
        <v>#DIV/0!</v>
      </c>
      <c r="T80" s="14" t="e">
        <f t="shared" si="33"/>
        <v>#DIV/0!</v>
      </c>
      <c r="U80" s="14" t="e">
        <f t="shared" si="33"/>
        <v>#DIV/0!</v>
      </c>
      <c r="V80" s="14" t="e">
        <f t="shared" si="33"/>
        <v>#DIV/0!</v>
      </c>
      <c r="W80" s="14" t="e">
        <f t="shared" si="33"/>
        <v>#DIV/0!</v>
      </c>
      <c r="X80" s="14" t="e">
        <f t="shared" si="33"/>
        <v>#DIV/0!</v>
      </c>
      <c r="Y80" s="14" t="e">
        <f t="shared" si="33"/>
        <v>#DIV/0!</v>
      </c>
      <c r="Z80" s="14" t="e">
        <f t="shared" si="33"/>
        <v>#DIV/0!</v>
      </c>
      <c r="AA80" s="14" t="e">
        <f t="shared" si="33"/>
        <v>#DIV/0!</v>
      </c>
      <c r="AB80" s="14" t="e">
        <f t="shared" si="33"/>
        <v>#DIV/0!</v>
      </c>
      <c r="AC80" s="14" t="e">
        <f t="shared" si="33"/>
        <v>#DIV/0!</v>
      </c>
      <c r="AD80" s="14" t="e">
        <f t="shared" si="33"/>
        <v>#DIV/0!</v>
      </c>
      <c r="AE80" s="14" t="e">
        <f t="shared" si="33"/>
        <v>#DIV/0!</v>
      </c>
      <c r="AF80" s="14" t="e">
        <f t="shared" si="33"/>
        <v>#DIV/0!</v>
      </c>
      <c r="AG80" s="14" t="e">
        <f t="shared" si="33"/>
        <v>#DIV/0!</v>
      </c>
      <c r="AH80" s="14" t="e">
        <f t="shared" si="33"/>
        <v>#DIV/0!</v>
      </c>
      <c r="AI80" s="14" t="e">
        <f t="shared" si="33"/>
        <v>#DIV/0!</v>
      </c>
      <c r="AJ80" s="14" t="e">
        <f t="shared" si="33"/>
        <v>#DIV/0!</v>
      </c>
      <c r="AK80" s="14" t="e">
        <f t="shared" si="33"/>
        <v>#DIV/0!</v>
      </c>
      <c r="AL80" s="14" t="e">
        <f t="shared" si="33"/>
        <v>#DIV/0!</v>
      </c>
      <c r="AM80" s="14" t="e">
        <f t="shared" si="33"/>
        <v>#DIV/0!</v>
      </c>
      <c r="AN80" s="14" t="e">
        <f t="shared" si="33"/>
        <v>#DIV/0!</v>
      </c>
      <c r="AO80" s="14" t="e">
        <f t="shared" si="33"/>
        <v>#DIV/0!</v>
      </c>
      <c r="AP80" s="14" t="e">
        <f t="shared" si="33"/>
        <v>#DIV/0!</v>
      </c>
      <c r="AQ80" s="14" t="e">
        <f t="shared" si="33"/>
        <v>#DIV/0!</v>
      </c>
      <c r="AR80" s="14" t="e">
        <f t="shared" si="33"/>
        <v>#DIV/0!</v>
      </c>
      <c r="AS80" s="14" t="e">
        <f t="shared" si="33"/>
        <v>#DIV/0!</v>
      </c>
      <c r="AT80" s="14" t="e">
        <f t="shared" si="33"/>
        <v>#DIV/0!</v>
      </c>
      <c r="AU80" s="14" t="e">
        <f t="shared" si="33"/>
        <v>#DIV/0!</v>
      </c>
      <c r="AV80" s="14" t="e">
        <f t="shared" si="33"/>
        <v>#DIV/0!</v>
      </c>
      <c r="AW80" s="14" t="e">
        <f t="shared" si="33"/>
        <v>#DIV/0!</v>
      </c>
      <c r="AX80" s="14" t="e">
        <f t="shared" si="33"/>
        <v>#DIV/0!</v>
      </c>
      <c r="AY80" s="14" t="e">
        <f t="shared" si="33"/>
        <v>#DIV/0!</v>
      </c>
      <c r="AZ80" s="14" t="e">
        <f t="shared" si="33"/>
        <v>#DIV/0!</v>
      </c>
      <c r="BA80" s="14" t="e">
        <f t="shared" si="33"/>
        <v>#DIV/0!</v>
      </c>
      <c r="BB80" s="14" t="e">
        <f t="shared" si="33"/>
        <v>#DIV/0!</v>
      </c>
      <c r="BC80" s="14" t="e">
        <f t="shared" si="33"/>
        <v>#DIV/0!</v>
      </c>
      <c r="BD80" s="14" t="e">
        <f t="shared" si="33"/>
        <v>#DIV/0!</v>
      </c>
      <c r="BE80" s="14" t="e">
        <f t="shared" si="33"/>
        <v>#DIV/0!</v>
      </c>
      <c r="BF80" s="14" t="e">
        <f t="shared" si="33"/>
        <v>#DIV/0!</v>
      </c>
      <c r="BG80" s="14" t="e">
        <f t="shared" si="33"/>
        <v>#DIV/0!</v>
      </c>
      <c r="BH80" s="14" t="e">
        <f t="shared" si="33"/>
        <v>#DIV/0!</v>
      </c>
      <c r="BI80" s="14" t="e">
        <f t="shared" si="33"/>
        <v>#DIV/0!</v>
      </c>
      <c r="BJ80" s="14" t="e">
        <f t="shared" si="33"/>
        <v>#DIV/0!</v>
      </c>
      <c r="BK80" s="14" t="e">
        <f t="shared" si="33"/>
        <v>#DIV/0!</v>
      </c>
      <c r="BL80" s="14" t="e">
        <f t="shared" si="33"/>
        <v>#DIV/0!</v>
      </c>
      <c r="BM80" s="14" t="e">
        <f t="shared" si="33"/>
        <v>#DIV/0!</v>
      </c>
      <c r="BN80" s="14" t="e">
        <f t="shared" si="33"/>
        <v>#DIV/0!</v>
      </c>
      <c r="BO80" s="14" t="e">
        <f t="shared" si="33"/>
        <v>#DIV/0!</v>
      </c>
      <c r="BP80" s="14" t="e">
        <f t="shared" si="33"/>
        <v>#DIV/0!</v>
      </c>
      <c r="BQ80" s="14" t="e">
        <f t="shared" si="33"/>
        <v>#DIV/0!</v>
      </c>
      <c r="BR80" s="14" t="e">
        <f t="shared" si="33"/>
        <v>#DIV/0!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4</v>
      </c>
      <c r="C81" s="5">
        <f t="shared" si="34"/>
        <v>0</v>
      </c>
      <c r="D81" s="5">
        <f t="shared" si="34"/>
        <v>0</v>
      </c>
      <c r="E81" s="6" t="str">
        <f t="shared" si="28"/>
        <v>Se4</v>
      </c>
      <c r="F81" s="14" t="e">
        <f t="shared" ref="F81" si="35">F5*$C$78</f>
        <v>#DIV/0!</v>
      </c>
      <c r="G81" s="14" t="e">
        <f t="shared" ref="G81:BR81" si="36">G5*$C$78</f>
        <v>#DIV/0!</v>
      </c>
      <c r="H81" s="14" t="e">
        <f t="shared" si="36"/>
        <v>#DIV/0!</v>
      </c>
      <c r="I81" s="14" t="e">
        <f t="shared" si="36"/>
        <v>#DIV/0!</v>
      </c>
      <c r="J81" s="14" t="e">
        <f t="shared" si="36"/>
        <v>#DIV/0!</v>
      </c>
      <c r="K81" s="14" t="e">
        <f t="shared" si="36"/>
        <v>#DIV/0!</v>
      </c>
      <c r="L81" s="14" t="e">
        <f t="shared" si="36"/>
        <v>#DIV/0!</v>
      </c>
      <c r="M81" s="14" t="e">
        <f t="shared" si="36"/>
        <v>#DIV/0!</v>
      </c>
      <c r="N81" s="14" t="e">
        <f t="shared" si="36"/>
        <v>#DIV/0!</v>
      </c>
      <c r="O81" s="14" t="e">
        <f t="shared" si="36"/>
        <v>#DIV/0!</v>
      </c>
      <c r="P81" s="14" t="e">
        <f t="shared" si="36"/>
        <v>#DIV/0!</v>
      </c>
      <c r="Q81" s="14" t="e">
        <f t="shared" si="36"/>
        <v>#DIV/0!</v>
      </c>
      <c r="R81" s="14" t="e">
        <f t="shared" si="36"/>
        <v>#DIV/0!</v>
      </c>
      <c r="S81" s="14" t="e">
        <f t="shared" si="36"/>
        <v>#DIV/0!</v>
      </c>
      <c r="T81" s="14" t="e">
        <f t="shared" si="36"/>
        <v>#DIV/0!</v>
      </c>
      <c r="U81" s="14" t="e">
        <f t="shared" si="36"/>
        <v>#DIV/0!</v>
      </c>
      <c r="V81" s="14" t="e">
        <f t="shared" si="36"/>
        <v>#DIV/0!</v>
      </c>
      <c r="W81" s="14" t="e">
        <f t="shared" si="36"/>
        <v>#DIV/0!</v>
      </c>
      <c r="X81" s="14" t="e">
        <f t="shared" si="36"/>
        <v>#DIV/0!</v>
      </c>
      <c r="Y81" s="14" t="e">
        <f t="shared" si="36"/>
        <v>#DIV/0!</v>
      </c>
      <c r="Z81" s="14" t="e">
        <f t="shared" si="36"/>
        <v>#DIV/0!</v>
      </c>
      <c r="AA81" s="14" t="e">
        <f t="shared" si="36"/>
        <v>#DIV/0!</v>
      </c>
      <c r="AB81" s="14" t="e">
        <f t="shared" si="36"/>
        <v>#DIV/0!</v>
      </c>
      <c r="AC81" s="14" t="e">
        <f t="shared" si="36"/>
        <v>#DIV/0!</v>
      </c>
      <c r="AD81" s="14" t="e">
        <f t="shared" si="36"/>
        <v>#DIV/0!</v>
      </c>
      <c r="AE81" s="14" t="e">
        <f t="shared" si="36"/>
        <v>#DIV/0!</v>
      </c>
      <c r="AF81" s="14" t="e">
        <f t="shared" si="36"/>
        <v>#DIV/0!</v>
      </c>
      <c r="AG81" s="14" t="e">
        <f t="shared" si="36"/>
        <v>#DIV/0!</v>
      </c>
      <c r="AH81" s="14" t="e">
        <f t="shared" si="36"/>
        <v>#DIV/0!</v>
      </c>
      <c r="AI81" s="14" t="e">
        <f t="shared" si="36"/>
        <v>#DIV/0!</v>
      </c>
      <c r="AJ81" s="14" t="e">
        <f t="shared" si="36"/>
        <v>#DIV/0!</v>
      </c>
      <c r="AK81" s="14" t="e">
        <f t="shared" si="36"/>
        <v>#DIV/0!</v>
      </c>
      <c r="AL81" s="14" t="e">
        <f t="shared" si="36"/>
        <v>#DIV/0!</v>
      </c>
      <c r="AM81" s="14" t="e">
        <f t="shared" si="36"/>
        <v>#DIV/0!</v>
      </c>
      <c r="AN81" s="14" t="e">
        <f t="shared" si="36"/>
        <v>#DIV/0!</v>
      </c>
      <c r="AO81" s="14" t="e">
        <f t="shared" si="36"/>
        <v>#DIV/0!</v>
      </c>
      <c r="AP81" s="14" t="e">
        <f t="shared" si="36"/>
        <v>#DIV/0!</v>
      </c>
      <c r="AQ81" s="14" t="e">
        <f t="shared" si="36"/>
        <v>#DIV/0!</v>
      </c>
      <c r="AR81" s="14" t="e">
        <f t="shared" si="36"/>
        <v>#DIV/0!</v>
      </c>
      <c r="AS81" s="14" t="e">
        <f t="shared" si="36"/>
        <v>#DIV/0!</v>
      </c>
      <c r="AT81" s="14" t="e">
        <f t="shared" si="36"/>
        <v>#DIV/0!</v>
      </c>
      <c r="AU81" s="14" t="e">
        <f t="shared" si="36"/>
        <v>#DIV/0!</v>
      </c>
      <c r="AV81" s="14" t="e">
        <f t="shared" si="36"/>
        <v>#DIV/0!</v>
      </c>
      <c r="AW81" s="14" t="e">
        <f t="shared" si="36"/>
        <v>#DIV/0!</v>
      </c>
      <c r="AX81" s="14" t="e">
        <f t="shared" si="36"/>
        <v>#DIV/0!</v>
      </c>
      <c r="AY81" s="14" t="e">
        <f t="shared" si="36"/>
        <v>#DIV/0!</v>
      </c>
      <c r="AZ81" s="14" t="e">
        <f t="shared" si="36"/>
        <v>#DIV/0!</v>
      </c>
      <c r="BA81" s="14" t="e">
        <f t="shared" si="36"/>
        <v>#DIV/0!</v>
      </c>
      <c r="BB81" s="14" t="e">
        <f t="shared" si="36"/>
        <v>#DIV/0!</v>
      </c>
      <c r="BC81" s="14" t="e">
        <f t="shared" si="36"/>
        <v>#DIV/0!</v>
      </c>
      <c r="BD81" s="14" t="e">
        <f t="shared" si="36"/>
        <v>#DIV/0!</v>
      </c>
      <c r="BE81" s="14" t="e">
        <f t="shared" si="36"/>
        <v>#DIV/0!</v>
      </c>
      <c r="BF81" s="14" t="e">
        <f t="shared" si="36"/>
        <v>#DIV/0!</v>
      </c>
      <c r="BG81" s="14" t="e">
        <f t="shared" si="36"/>
        <v>#DIV/0!</v>
      </c>
      <c r="BH81" s="14" t="e">
        <f t="shared" si="36"/>
        <v>#DIV/0!</v>
      </c>
      <c r="BI81" s="14" t="e">
        <f t="shared" si="36"/>
        <v>#DIV/0!</v>
      </c>
      <c r="BJ81" s="14" t="e">
        <f t="shared" si="36"/>
        <v>#DIV/0!</v>
      </c>
      <c r="BK81" s="14" t="e">
        <f t="shared" si="36"/>
        <v>#DIV/0!</v>
      </c>
      <c r="BL81" s="14" t="e">
        <f t="shared" si="36"/>
        <v>#DIV/0!</v>
      </c>
      <c r="BM81" s="14" t="e">
        <f t="shared" si="36"/>
        <v>#DIV/0!</v>
      </c>
      <c r="BN81" s="14" t="e">
        <f t="shared" si="36"/>
        <v>#DIV/0!</v>
      </c>
      <c r="BO81" s="14" t="e">
        <f t="shared" si="36"/>
        <v>#DIV/0!</v>
      </c>
      <c r="BP81" s="14" t="e">
        <f t="shared" si="36"/>
        <v>#DIV/0!</v>
      </c>
      <c r="BQ81" s="14" t="e">
        <f t="shared" si="36"/>
        <v>#DIV/0!</v>
      </c>
      <c r="BR81" s="14" t="e">
        <f t="shared" si="36"/>
        <v>#DIV/0!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5</v>
      </c>
      <c r="C82" s="5">
        <f t="shared" si="34"/>
        <v>0</v>
      </c>
      <c r="D82" s="5">
        <f t="shared" si="34"/>
        <v>0</v>
      </c>
      <c r="E82" s="6" t="str">
        <f t="shared" si="28"/>
        <v>Se5</v>
      </c>
      <c r="F82" s="14" t="e">
        <f t="shared" ref="F82" si="37">F6*$C$78</f>
        <v>#DIV/0!</v>
      </c>
      <c r="G82" s="14" t="e">
        <f t="shared" ref="G82:BR82" si="38">G6*$C$78</f>
        <v>#DIV/0!</v>
      </c>
      <c r="H82" s="14" t="e">
        <f t="shared" si="38"/>
        <v>#DIV/0!</v>
      </c>
      <c r="I82" s="14" t="e">
        <f t="shared" si="38"/>
        <v>#DIV/0!</v>
      </c>
      <c r="J82" s="14" t="e">
        <f t="shared" si="38"/>
        <v>#DIV/0!</v>
      </c>
      <c r="K82" s="14" t="e">
        <f t="shared" si="38"/>
        <v>#DIV/0!</v>
      </c>
      <c r="L82" s="14" t="e">
        <f t="shared" si="38"/>
        <v>#DIV/0!</v>
      </c>
      <c r="M82" s="14" t="e">
        <f t="shared" si="38"/>
        <v>#DIV/0!</v>
      </c>
      <c r="N82" s="14" t="e">
        <f t="shared" si="38"/>
        <v>#DIV/0!</v>
      </c>
      <c r="O82" s="14" t="e">
        <f t="shared" si="38"/>
        <v>#DIV/0!</v>
      </c>
      <c r="P82" s="14" t="e">
        <f t="shared" si="38"/>
        <v>#DIV/0!</v>
      </c>
      <c r="Q82" s="14" t="e">
        <f t="shared" si="38"/>
        <v>#DIV/0!</v>
      </c>
      <c r="R82" s="14" t="e">
        <f t="shared" si="38"/>
        <v>#DIV/0!</v>
      </c>
      <c r="S82" s="14" t="e">
        <f t="shared" si="38"/>
        <v>#DIV/0!</v>
      </c>
      <c r="T82" s="14" t="e">
        <f t="shared" si="38"/>
        <v>#DIV/0!</v>
      </c>
      <c r="U82" s="14" t="e">
        <f t="shared" si="38"/>
        <v>#DIV/0!</v>
      </c>
      <c r="V82" s="14" t="e">
        <f t="shared" si="38"/>
        <v>#DIV/0!</v>
      </c>
      <c r="W82" s="14" t="e">
        <f t="shared" si="38"/>
        <v>#DIV/0!</v>
      </c>
      <c r="X82" s="14" t="e">
        <f t="shared" si="38"/>
        <v>#DIV/0!</v>
      </c>
      <c r="Y82" s="14" t="e">
        <f t="shared" si="38"/>
        <v>#DIV/0!</v>
      </c>
      <c r="Z82" s="14" t="e">
        <f t="shared" si="38"/>
        <v>#DIV/0!</v>
      </c>
      <c r="AA82" s="14" t="e">
        <f t="shared" si="38"/>
        <v>#DIV/0!</v>
      </c>
      <c r="AB82" s="14" t="e">
        <f t="shared" si="38"/>
        <v>#DIV/0!</v>
      </c>
      <c r="AC82" s="14" t="e">
        <f t="shared" si="38"/>
        <v>#DIV/0!</v>
      </c>
      <c r="AD82" s="14" t="e">
        <f t="shared" si="38"/>
        <v>#DIV/0!</v>
      </c>
      <c r="AE82" s="14" t="e">
        <f t="shared" si="38"/>
        <v>#DIV/0!</v>
      </c>
      <c r="AF82" s="14" t="e">
        <f t="shared" si="38"/>
        <v>#DIV/0!</v>
      </c>
      <c r="AG82" s="14" t="e">
        <f t="shared" si="38"/>
        <v>#DIV/0!</v>
      </c>
      <c r="AH82" s="14" t="e">
        <f t="shared" si="38"/>
        <v>#DIV/0!</v>
      </c>
      <c r="AI82" s="14" t="e">
        <f t="shared" si="38"/>
        <v>#DIV/0!</v>
      </c>
      <c r="AJ82" s="14" t="e">
        <f t="shared" si="38"/>
        <v>#DIV/0!</v>
      </c>
      <c r="AK82" s="14" t="e">
        <f t="shared" si="38"/>
        <v>#DIV/0!</v>
      </c>
      <c r="AL82" s="14" t="e">
        <f t="shared" si="38"/>
        <v>#DIV/0!</v>
      </c>
      <c r="AM82" s="14" t="e">
        <f t="shared" si="38"/>
        <v>#DIV/0!</v>
      </c>
      <c r="AN82" s="14" t="e">
        <f t="shared" si="38"/>
        <v>#DIV/0!</v>
      </c>
      <c r="AO82" s="14" t="e">
        <f t="shared" si="38"/>
        <v>#DIV/0!</v>
      </c>
      <c r="AP82" s="14" t="e">
        <f t="shared" si="38"/>
        <v>#DIV/0!</v>
      </c>
      <c r="AQ82" s="14" t="e">
        <f t="shared" si="38"/>
        <v>#DIV/0!</v>
      </c>
      <c r="AR82" s="14" t="e">
        <f t="shared" si="38"/>
        <v>#DIV/0!</v>
      </c>
      <c r="AS82" s="14" t="e">
        <f t="shared" si="38"/>
        <v>#DIV/0!</v>
      </c>
      <c r="AT82" s="14" t="e">
        <f t="shared" si="38"/>
        <v>#DIV/0!</v>
      </c>
      <c r="AU82" s="14" t="e">
        <f t="shared" si="38"/>
        <v>#DIV/0!</v>
      </c>
      <c r="AV82" s="14" t="e">
        <f t="shared" si="38"/>
        <v>#DIV/0!</v>
      </c>
      <c r="AW82" s="14" t="e">
        <f t="shared" si="38"/>
        <v>#DIV/0!</v>
      </c>
      <c r="AX82" s="14" t="e">
        <f t="shared" si="38"/>
        <v>#DIV/0!</v>
      </c>
      <c r="AY82" s="14" t="e">
        <f t="shared" si="38"/>
        <v>#DIV/0!</v>
      </c>
      <c r="AZ82" s="14" t="e">
        <f t="shared" si="38"/>
        <v>#DIV/0!</v>
      </c>
      <c r="BA82" s="14" t="e">
        <f t="shared" si="38"/>
        <v>#DIV/0!</v>
      </c>
      <c r="BB82" s="14" t="e">
        <f t="shared" si="38"/>
        <v>#DIV/0!</v>
      </c>
      <c r="BC82" s="14" t="e">
        <f t="shared" si="38"/>
        <v>#DIV/0!</v>
      </c>
      <c r="BD82" s="14" t="e">
        <f t="shared" si="38"/>
        <v>#DIV/0!</v>
      </c>
      <c r="BE82" s="14" t="e">
        <f t="shared" si="38"/>
        <v>#DIV/0!</v>
      </c>
      <c r="BF82" s="14" t="e">
        <f t="shared" si="38"/>
        <v>#DIV/0!</v>
      </c>
      <c r="BG82" s="14" t="e">
        <f t="shared" si="38"/>
        <v>#DIV/0!</v>
      </c>
      <c r="BH82" s="14" t="e">
        <f t="shared" si="38"/>
        <v>#DIV/0!</v>
      </c>
      <c r="BI82" s="14" t="e">
        <f t="shared" si="38"/>
        <v>#DIV/0!</v>
      </c>
      <c r="BJ82" s="14" t="e">
        <f t="shared" si="38"/>
        <v>#DIV/0!</v>
      </c>
      <c r="BK82" s="14" t="e">
        <f t="shared" si="38"/>
        <v>#DIV/0!</v>
      </c>
      <c r="BL82" s="14" t="e">
        <f t="shared" si="38"/>
        <v>#DIV/0!</v>
      </c>
      <c r="BM82" s="14" t="e">
        <f t="shared" si="38"/>
        <v>#DIV/0!</v>
      </c>
      <c r="BN82" s="14" t="e">
        <f t="shared" si="38"/>
        <v>#DIV/0!</v>
      </c>
      <c r="BO82" s="14" t="e">
        <f t="shared" si="38"/>
        <v>#DIV/0!</v>
      </c>
      <c r="BP82" s="14" t="e">
        <f t="shared" si="38"/>
        <v>#DIV/0!</v>
      </c>
      <c r="BQ82" s="14" t="e">
        <f t="shared" si="38"/>
        <v>#DIV/0!</v>
      </c>
      <c r="BR82" s="14" t="e">
        <f t="shared" si="38"/>
        <v>#DIV/0!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1</v>
      </c>
      <c r="C83" s="5">
        <f t="shared" si="34"/>
        <v>0</v>
      </c>
      <c r="D83" s="5">
        <f t="shared" si="34"/>
        <v>0</v>
      </c>
      <c r="E83" s="6" t="str">
        <f t="shared" si="28"/>
        <v>See</v>
      </c>
      <c r="F83" s="14" t="e">
        <f t="shared" ref="F83" si="39">F7*$C$78</f>
        <v>#DIV/0!</v>
      </c>
      <c r="G83" s="14" t="e">
        <f t="shared" ref="G83:BR83" si="40">G7*$C$78</f>
        <v>#DIV/0!</v>
      </c>
      <c r="H83" s="14" t="e">
        <f t="shared" si="40"/>
        <v>#DIV/0!</v>
      </c>
      <c r="I83" s="14" t="e">
        <f t="shared" si="40"/>
        <v>#DIV/0!</v>
      </c>
      <c r="J83" s="14" t="e">
        <f t="shared" si="40"/>
        <v>#DIV/0!</v>
      </c>
      <c r="K83" s="14" t="e">
        <f t="shared" si="40"/>
        <v>#DIV/0!</v>
      </c>
      <c r="L83" s="14" t="e">
        <f t="shared" si="40"/>
        <v>#DIV/0!</v>
      </c>
      <c r="M83" s="14" t="e">
        <f t="shared" si="40"/>
        <v>#DIV/0!</v>
      </c>
      <c r="N83" s="14" t="e">
        <f t="shared" si="40"/>
        <v>#DIV/0!</v>
      </c>
      <c r="O83" s="14" t="e">
        <f t="shared" si="40"/>
        <v>#DIV/0!</v>
      </c>
      <c r="P83" s="14" t="e">
        <f t="shared" si="40"/>
        <v>#DIV/0!</v>
      </c>
      <c r="Q83" s="14" t="e">
        <f t="shared" si="40"/>
        <v>#DIV/0!</v>
      </c>
      <c r="R83" s="14" t="e">
        <f t="shared" si="40"/>
        <v>#DIV/0!</v>
      </c>
      <c r="S83" s="14" t="e">
        <f t="shared" si="40"/>
        <v>#DIV/0!</v>
      </c>
      <c r="T83" s="14" t="e">
        <f t="shared" si="40"/>
        <v>#DIV/0!</v>
      </c>
      <c r="U83" s="14" t="e">
        <f t="shared" si="40"/>
        <v>#DIV/0!</v>
      </c>
      <c r="V83" s="14" t="e">
        <f t="shared" si="40"/>
        <v>#DIV/0!</v>
      </c>
      <c r="W83" s="14" t="e">
        <f t="shared" si="40"/>
        <v>#DIV/0!</v>
      </c>
      <c r="X83" s="14" t="e">
        <f t="shared" si="40"/>
        <v>#DIV/0!</v>
      </c>
      <c r="Y83" s="14" t="e">
        <f t="shared" si="40"/>
        <v>#DIV/0!</v>
      </c>
      <c r="Z83" s="14" t="e">
        <f t="shared" si="40"/>
        <v>#DIV/0!</v>
      </c>
      <c r="AA83" s="14" t="e">
        <f t="shared" si="40"/>
        <v>#DIV/0!</v>
      </c>
      <c r="AB83" s="14" t="e">
        <f t="shared" si="40"/>
        <v>#DIV/0!</v>
      </c>
      <c r="AC83" s="14" t="e">
        <f t="shared" si="40"/>
        <v>#DIV/0!</v>
      </c>
      <c r="AD83" s="14" t="e">
        <f t="shared" si="40"/>
        <v>#DIV/0!</v>
      </c>
      <c r="AE83" s="14" t="e">
        <f t="shared" si="40"/>
        <v>#DIV/0!</v>
      </c>
      <c r="AF83" s="14" t="e">
        <f t="shared" si="40"/>
        <v>#DIV/0!</v>
      </c>
      <c r="AG83" s="14" t="e">
        <f t="shared" si="40"/>
        <v>#DIV/0!</v>
      </c>
      <c r="AH83" s="14" t="e">
        <f t="shared" si="40"/>
        <v>#DIV/0!</v>
      </c>
      <c r="AI83" s="14" t="e">
        <f t="shared" si="40"/>
        <v>#DIV/0!</v>
      </c>
      <c r="AJ83" s="14" t="e">
        <f t="shared" si="40"/>
        <v>#DIV/0!</v>
      </c>
      <c r="AK83" s="14" t="e">
        <f t="shared" si="40"/>
        <v>#DIV/0!</v>
      </c>
      <c r="AL83" s="14" t="e">
        <f t="shared" si="40"/>
        <v>#DIV/0!</v>
      </c>
      <c r="AM83" s="14" t="e">
        <f t="shared" si="40"/>
        <v>#DIV/0!</v>
      </c>
      <c r="AN83" s="14" t="e">
        <f t="shared" si="40"/>
        <v>#DIV/0!</v>
      </c>
      <c r="AO83" s="14" t="e">
        <f t="shared" si="40"/>
        <v>#DIV/0!</v>
      </c>
      <c r="AP83" s="14" t="e">
        <f t="shared" si="40"/>
        <v>#DIV/0!</v>
      </c>
      <c r="AQ83" s="14" t="e">
        <f t="shared" si="40"/>
        <v>#DIV/0!</v>
      </c>
      <c r="AR83" s="14" t="e">
        <f t="shared" si="40"/>
        <v>#DIV/0!</v>
      </c>
      <c r="AS83" s="14" t="e">
        <f t="shared" si="40"/>
        <v>#DIV/0!</v>
      </c>
      <c r="AT83" s="14" t="e">
        <f t="shared" si="40"/>
        <v>#DIV/0!</v>
      </c>
      <c r="AU83" s="14" t="e">
        <f t="shared" si="40"/>
        <v>#DIV/0!</v>
      </c>
      <c r="AV83" s="14" t="e">
        <f t="shared" si="40"/>
        <v>#DIV/0!</v>
      </c>
      <c r="AW83" s="14" t="e">
        <f t="shared" si="40"/>
        <v>#DIV/0!</v>
      </c>
      <c r="AX83" s="14" t="e">
        <f t="shared" si="40"/>
        <v>#DIV/0!</v>
      </c>
      <c r="AY83" s="14" t="e">
        <f t="shared" si="40"/>
        <v>#DIV/0!</v>
      </c>
      <c r="AZ83" s="14" t="e">
        <f t="shared" si="40"/>
        <v>#DIV/0!</v>
      </c>
      <c r="BA83" s="14" t="e">
        <f t="shared" si="40"/>
        <v>#DIV/0!</v>
      </c>
      <c r="BB83" s="14" t="e">
        <f t="shared" si="40"/>
        <v>#DIV/0!</v>
      </c>
      <c r="BC83" s="14" t="e">
        <f t="shared" si="40"/>
        <v>#DIV/0!</v>
      </c>
      <c r="BD83" s="14" t="e">
        <f t="shared" si="40"/>
        <v>#DIV/0!</v>
      </c>
      <c r="BE83" s="14" t="e">
        <f t="shared" si="40"/>
        <v>#DIV/0!</v>
      </c>
      <c r="BF83" s="14" t="e">
        <f t="shared" si="40"/>
        <v>#DIV/0!</v>
      </c>
      <c r="BG83" s="14" t="e">
        <f t="shared" si="40"/>
        <v>#DIV/0!</v>
      </c>
      <c r="BH83" s="14" t="e">
        <f t="shared" si="40"/>
        <v>#DIV/0!</v>
      </c>
      <c r="BI83" s="14" t="e">
        <f t="shared" si="40"/>
        <v>#DIV/0!</v>
      </c>
      <c r="BJ83" s="14" t="e">
        <f t="shared" si="40"/>
        <v>#DIV/0!</v>
      </c>
      <c r="BK83" s="14" t="e">
        <f t="shared" si="40"/>
        <v>#DIV/0!</v>
      </c>
      <c r="BL83" s="14" t="e">
        <f t="shared" si="40"/>
        <v>#DIV/0!</v>
      </c>
      <c r="BM83" s="14" t="e">
        <f t="shared" si="40"/>
        <v>#DIV/0!</v>
      </c>
      <c r="BN83" s="14" t="e">
        <f t="shared" si="40"/>
        <v>#DIV/0!</v>
      </c>
      <c r="BO83" s="14" t="e">
        <f t="shared" si="40"/>
        <v>#DIV/0!</v>
      </c>
      <c r="BP83" s="14" t="e">
        <f t="shared" si="40"/>
        <v>#DIV/0!</v>
      </c>
      <c r="BQ83" s="14" t="e">
        <f t="shared" si="40"/>
        <v>#DIV/0!</v>
      </c>
      <c r="BR83" s="14" t="e">
        <f t="shared" si="40"/>
        <v>#DIV/0!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1</v>
      </c>
      <c r="C84" s="5">
        <f t="shared" si="34"/>
        <v>0</v>
      </c>
      <c r="D84" s="5">
        <f t="shared" si="34"/>
        <v>0</v>
      </c>
      <c r="E84" s="6" t="str">
        <f t="shared" si="28"/>
        <v>Se?</v>
      </c>
      <c r="F84" s="14" t="e">
        <f t="shared" ref="F84" si="41">F8*$C$78</f>
        <v>#DIV/0!</v>
      </c>
      <c r="G84" s="14" t="e">
        <f t="shared" ref="G84:BR84" si="42">G8*$C$78</f>
        <v>#DIV/0!</v>
      </c>
      <c r="H84" s="14" t="e">
        <f t="shared" si="42"/>
        <v>#DIV/0!</v>
      </c>
      <c r="I84" s="14" t="e">
        <f t="shared" si="42"/>
        <v>#DIV/0!</v>
      </c>
      <c r="J84" s="14" t="e">
        <f t="shared" si="42"/>
        <v>#DIV/0!</v>
      </c>
      <c r="K84" s="14" t="e">
        <f t="shared" si="42"/>
        <v>#DIV/0!</v>
      </c>
      <c r="L84" s="14" t="e">
        <f t="shared" si="42"/>
        <v>#DIV/0!</v>
      </c>
      <c r="M84" s="14" t="e">
        <f t="shared" si="42"/>
        <v>#DIV/0!</v>
      </c>
      <c r="N84" s="14" t="e">
        <f t="shared" si="42"/>
        <v>#DIV/0!</v>
      </c>
      <c r="O84" s="14" t="e">
        <f t="shared" si="42"/>
        <v>#DIV/0!</v>
      </c>
      <c r="P84" s="14" t="e">
        <f t="shared" si="42"/>
        <v>#DIV/0!</v>
      </c>
      <c r="Q84" s="14" t="e">
        <f t="shared" si="42"/>
        <v>#DIV/0!</v>
      </c>
      <c r="R84" s="14" t="e">
        <f t="shared" si="42"/>
        <v>#DIV/0!</v>
      </c>
      <c r="S84" s="14" t="e">
        <f t="shared" si="42"/>
        <v>#DIV/0!</v>
      </c>
      <c r="T84" s="14" t="e">
        <f t="shared" si="42"/>
        <v>#DIV/0!</v>
      </c>
      <c r="U84" s="14" t="e">
        <f t="shared" si="42"/>
        <v>#DIV/0!</v>
      </c>
      <c r="V84" s="14" t="e">
        <f t="shared" si="42"/>
        <v>#DIV/0!</v>
      </c>
      <c r="W84" s="14" t="e">
        <f t="shared" si="42"/>
        <v>#DIV/0!</v>
      </c>
      <c r="X84" s="14" t="e">
        <f t="shared" si="42"/>
        <v>#DIV/0!</v>
      </c>
      <c r="Y84" s="14" t="e">
        <f t="shared" si="42"/>
        <v>#DIV/0!</v>
      </c>
      <c r="Z84" s="14" t="e">
        <f t="shared" si="42"/>
        <v>#DIV/0!</v>
      </c>
      <c r="AA84" s="14" t="e">
        <f t="shared" si="42"/>
        <v>#DIV/0!</v>
      </c>
      <c r="AB84" s="14" t="e">
        <f t="shared" si="42"/>
        <v>#DIV/0!</v>
      </c>
      <c r="AC84" s="14" t="e">
        <f t="shared" si="42"/>
        <v>#DIV/0!</v>
      </c>
      <c r="AD84" s="14" t="e">
        <f t="shared" si="42"/>
        <v>#DIV/0!</v>
      </c>
      <c r="AE84" s="14" t="e">
        <f t="shared" si="42"/>
        <v>#DIV/0!</v>
      </c>
      <c r="AF84" s="14" t="e">
        <f t="shared" si="42"/>
        <v>#DIV/0!</v>
      </c>
      <c r="AG84" s="14" t="e">
        <f t="shared" si="42"/>
        <v>#DIV/0!</v>
      </c>
      <c r="AH84" s="14" t="e">
        <f t="shared" si="42"/>
        <v>#DIV/0!</v>
      </c>
      <c r="AI84" s="14" t="e">
        <f t="shared" si="42"/>
        <v>#DIV/0!</v>
      </c>
      <c r="AJ84" s="14" t="e">
        <f t="shared" si="42"/>
        <v>#DIV/0!</v>
      </c>
      <c r="AK84" s="14" t="e">
        <f t="shared" si="42"/>
        <v>#DIV/0!</v>
      </c>
      <c r="AL84" s="14" t="e">
        <f t="shared" si="42"/>
        <v>#DIV/0!</v>
      </c>
      <c r="AM84" s="14" t="e">
        <f t="shared" si="42"/>
        <v>#DIV/0!</v>
      </c>
      <c r="AN84" s="14" t="e">
        <f t="shared" si="42"/>
        <v>#DIV/0!</v>
      </c>
      <c r="AO84" s="14" t="e">
        <f t="shared" si="42"/>
        <v>#DIV/0!</v>
      </c>
      <c r="AP84" s="14" t="e">
        <f t="shared" si="42"/>
        <v>#DIV/0!</v>
      </c>
      <c r="AQ84" s="14" t="e">
        <f t="shared" si="42"/>
        <v>#DIV/0!</v>
      </c>
      <c r="AR84" s="14" t="e">
        <f t="shared" si="42"/>
        <v>#DIV/0!</v>
      </c>
      <c r="AS84" s="14" t="e">
        <f t="shared" si="42"/>
        <v>#DIV/0!</v>
      </c>
      <c r="AT84" s="14" t="e">
        <f t="shared" si="42"/>
        <v>#DIV/0!</v>
      </c>
      <c r="AU84" s="14" t="e">
        <f t="shared" si="42"/>
        <v>#DIV/0!</v>
      </c>
      <c r="AV84" s="14" t="e">
        <f t="shared" si="42"/>
        <v>#DIV/0!</v>
      </c>
      <c r="AW84" s="14" t="e">
        <f t="shared" si="42"/>
        <v>#DIV/0!</v>
      </c>
      <c r="AX84" s="14" t="e">
        <f t="shared" si="42"/>
        <v>#DIV/0!</v>
      </c>
      <c r="AY84" s="14" t="e">
        <f t="shared" si="42"/>
        <v>#DIV/0!</v>
      </c>
      <c r="AZ84" s="14" t="e">
        <f t="shared" si="42"/>
        <v>#DIV/0!</v>
      </c>
      <c r="BA84" s="14" t="e">
        <f t="shared" si="42"/>
        <v>#DIV/0!</v>
      </c>
      <c r="BB84" s="14" t="e">
        <f t="shared" si="42"/>
        <v>#DIV/0!</v>
      </c>
      <c r="BC84" s="14" t="e">
        <f t="shared" si="42"/>
        <v>#DIV/0!</v>
      </c>
      <c r="BD84" s="14" t="e">
        <f t="shared" si="42"/>
        <v>#DIV/0!</v>
      </c>
      <c r="BE84" s="14" t="e">
        <f t="shared" si="42"/>
        <v>#DIV/0!</v>
      </c>
      <c r="BF84" s="14" t="e">
        <f t="shared" si="42"/>
        <v>#DIV/0!</v>
      </c>
      <c r="BG84" s="14" t="e">
        <f t="shared" si="42"/>
        <v>#DIV/0!</v>
      </c>
      <c r="BH84" s="14" t="e">
        <f t="shared" si="42"/>
        <v>#DIV/0!</v>
      </c>
      <c r="BI84" s="14" t="e">
        <f t="shared" si="42"/>
        <v>#DIV/0!</v>
      </c>
      <c r="BJ84" s="14" t="e">
        <f t="shared" si="42"/>
        <v>#DIV/0!</v>
      </c>
      <c r="BK84" s="14" t="e">
        <f t="shared" si="42"/>
        <v>#DIV/0!</v>
      </c>
      <c r="BL84" s="14" t="e">
        <f t="shared" si="42"/>
        <v>#DIV/0!</v>
      </c>
      <c r="BM84" s="14" t="e">
        <f t="shared" si="42"/>
        <v>#DIV/0!</v>
      </c>
      <c r="BN84" s="14" t="e">
        <f t="shared" si="42"/>
        <v>#DIV/0!</v>
      </c>
      <c r="BO84" s="14" t="e">
        <f t="shared" si="42"/>
        <v>#DIV/0!</v>
      </c>
      <c r="BP84" s="14" t="e">
        <f t="shared" si="42"/>
        <v>#DIV/0!</v>
      </c>
      <c r="BQ84" s="14" t="e">
        <f t="shared" si="42"/>
        <v>#DIV/0!</v>
      </c>
      <c r="BR84" s="14" t="e">
        <f t="shared" si="42"/>
        <v>#DIV/0!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8</v>
      </c>
      <c r="C85" s="5">
        <f t="shared" si="34"/>
        <v>0</v>
      </c>
      <c r="D85" s="5">
        <f t="shared" si="34"/>
        <v>0</v>
      </c>
      <c r="E85" s="6" t="str">
        <f t="shared" si="28"/>
        <v>Se8</v>
      </c>
      <c r="F85" s="14" t="e">
        <f t="shared" ref="F85" si="43">F9*$C$78</f>
        <v>#DIV/0!</v>
      </c>
      <c r="G85" s="14" t="e">
        <f t="shared" ref="G85:BR85" si="44">G9*$C$78</f>
        <v>#DIV/0!</v>
      </c>
      <c r="H85" s="14" t="e">
        <f t="shared" si="44"/>
        <v>#DIV/0!</v>
      </c>
      <c r="I85" s="14" t="e">
        <f t="shared" si="44"/>
        <v>#DIV/0!</v>
      </c>
      <c r="J85" s="14" t="e">
        <f t="shared" si="44"/>
        <v>#DIV/0!</v>
      </c>
      <c r="K85" s="14" t="e">
        <f t="shared" si="44"/>
        <v>#DIV/0!</v>
      </c>
      <c r="L85" s="14" t="e">
        <f t="shared" si="44"/>
        <v>#DIV/0!</v>
      </c>
      <c r="M85" s="14" t="e">
        <f t="shared" si="44"/>
        <v>#DIV/0!</v>
      </c>
      <c r="N85" s="14" t="e">
        <f t="shared" si="44"/>
        <v>#DIV/0!</v>
      </c>
      <c r="O85" s="14" t="e">
        <f t="shared" si="44"/>
        <v>#DIV/0!</v>
      </c>
      <c r="P85" s="14" t="e">
        <f t="shared" si="44"/>
        <v>#DIV/0!</v>
      </c>
      <c r="Q85" s="14" t="e">
        <f t="shared" si="44"/>
        <v>#DIV/0!</v>
      </c>
      <c r="R85" s="14" t="e">
        <f t="shared" si="44"/>
        <v>#DIV/0!</v>
      </c>
      <c r="S85" s="14" t="e">
        <f t="shared" si="44"/>
        <v>#DIV/0!</v>
      </c>
      <c r="T85" s="14" t="e">
        <f t="shared" si="44"/>
        <v>#DIV/0!</v>
      </c>
      <c r="U85" s="14" t="e">
        <f t="shared" si="44"/>
        <v>#DIV/0!</v>
      </c>
      <c r="V85" s="14" t="e">
        <f t="shared" si="44"/>
        <v>#DIV/0!</v>
      </c>
      <c r="W85" s="14" t="e">
        <f t="shared" si="44"/>
        <v>#DIV/0!</v>
      </c>
      <c r="X85" s="14" t="e">
        <f t="shared" si="44"/>
        <v>#DIV/0!</v>
      </c>
      <c r="Y85" s="14" t="e">
        <f t="shared" si="44"/>
        <v>#DIV/0!</v>
      </c>
      <c r="Z85" s="14" t="e">
        <f t="shared" si="44"/>
        <v>#DIV/0!</v>
      </c>
      <c r="AA85" s="14" t="e">
        <f t="shared" si="44"/>
        <v>#DIV/0!</v>
      </c>
      <c r="AB85" s="14" t="e">
        <f t="shared" si="44"/>
        <v>#DIV/0!</v>
      </c>
      <c r="AC85" s="14" t="e">
        <f t="shared" si="44"/>
        <v>#DIV/0!</v>
      </c>
      <c r="AD85" s="14" t="e">
        <f t="shared" si="44"/>
        <v>#DIV/0!</v>
      </c>
      <c r="AE85" s="14" t="e">
        <f t="shared" si="44"/>
        <v>#DIV/0!</v>
      </c>
      <c r="AF85" s="14" t="e">
        <f t="shared" si="44"/>
        <v>#DIV/0!</v>
      </c>
      <c r="AG85" s="14" t="e">
        <f t="shared" si="44"/>
        <v>#DIV/0!</v>
      </c>
      <c r="AH85" s="14" t="e">
        <f t="shared" si="44"/>
        <v>#DIV/0!</v>
      </c>
      <c r="AI85" s="14" t="e">
        <f t="shared" si="44"/>
        <v>#DIV/0!</v>
      </c>
      <c r="AJ85" s="14" t="e">
        <f t="shared" si="44"/>
        <v>#DIV/0!</v>
      </c>
      <c r="AK85" s="14" t="e">
        <f t="shared" si="44"/>
        <v>#DIV/0!</v>
      </c>
      <c r="AL85" s="14" t="e">
        <f t="shared" si="44"/>
        <v>#DIV/0!</v>
      </c>
      <c r="AM85" s="14" t="e">
        <f t="shared" si="44"/>
        <v>#DIV/0!</v>
      </c>
      <c r="AN85" s="14" t="e">
        <f t="shared" si="44"/>
        <v>#DIV/0!</v>
      </c>
      <c r="AO85" s="14" t="e">
        <f t="shared" si="44"/>
        <v>#DIV/0!</v>
      </c>
      <c r="AP85" s="14" t="e">
        <f t="shared" si="44"/>
        <v>#DIV/0!</v>
      </c>
      <c r="AQ85" s="14" t="e">
        <f t="shared" si="44"/>
        <v>#DIV/0!</v>
      </c>
      <c r="AR85" s="14" t="e">
        <f t="shared" si="44"/>
        <v>#DIV/0!</v>
      </c>
      <c r="AS85" s="14" t="e">
        <f t="shared" si="44"/>
        <v>#DIV/0!</v>
      </c>
      <c r="AT85" s="14" t="e">
        <f t="shared" si="44"/>
        <v>#DIV/0!</v>
      </c>
      <c r="AU85" s="14" t="e">
        <f t="shared" si="44"/>
        <v>#DIV/0!</v>
      </c>
      <c r="AV85" s="14" t="e">
        <f t="shared" si="44"/>
        <v>#DIV/0!</v>
      </c>
      <c r="AW85" s="14" t="e">
        <f t="shared" si="44"/>
        <v>#DIV/0!</v>
      </c>
      <c r="AX85" s="14" t="e">
        <f t="shared" si="44"/>
        <v>#DIV/0!</v>
      </c>
      <c r="AY85" s="14" t="e">
        <f t="shared" si="44"/>
        <v>#DIV/0!</v>
      </c>
      <c r="AZ85" s="14" t="e">
        <f t="shared" si="44"/>
        <v>#DIV/0!</v>
      </c>
      <c r="BA85" s="14" t="e">
        <f t="shared" si="44"/>
        <v>#DIV/0!</v>
      </c>
      <c r="BB85" s="14" t="e">
        <f t="shared" si="44"/>
        <v>#DIV/0!</v>
      </c>
      <c r="BC85" s="14" t="e">
        <f t="shared" si="44"/>
        <v>#DIV/0!</v>
      </c>
      <c r="BD85" s="14" t="e">
        <f t="shared" si="44"/>
        <v>#DIV/0!</v>
      </c>
      <c r="BE85" s="14" t="e">
        <f t="shared" si="44"/>
        <v>#DIV/0!</v>
      </c>
      <c r="BF85" s="14" t="e">
        <f t="shared" si="44"/>
        <v>#DIV/0!</v>
      </c>
      <c r="BG85" s="14" t="e">
        <f t="shared" si="44"/>
        <v>#DIV/0!</v>
      </c>
      <c r="BH85" s="14" t="e">
        <f t="shared" si="44"/>
        <v>#DIV/0!</v>
      </c>
      <c r="BI85" s="14" t="e">
        <f t="shared" si="44"/>
        <v>#DIV/0!</v>
      </c>
      <c r="BJ85" s="14" t="e">
        <f t="shared" si="44"/>
        <v>#DIV/0!</v>
      </c>
      <c r="BK85" s="14" t="e">
        <f t="shared" si="44"/>
        <v>#DIV/0!</v>
      </c>
      <c r="BL85" s="14" t="e">
        <f t="shared" si="44"/>
        <v>#DIV/0!</v>
      </c>
      <c r="BM85" s="14" t="e">
        <f t="shared" si="44"/>
        <v>#DIV/0!</v>
      </c>
      <c r="BN85" s="14" t="e">
        <f t="shared" si="44"/>
        <v>#DIV/0!</v>
      </c>
      <c r="BO85" s="14" t="e">
        <f t="shared" si="44"/>
        <v>#DIV/0!</v>
      </c>
      <c r="BP85" s="14" t="e">
        <f t="shared" si="44"/>
        <v>#DIV/0!</v>
      </c>
      <c r="BQ85" s="14" t="e">
        <f t="shared" si="44"/>
        <v>#DIV/0!</v>
      </c>
      <c r="BR85" s="14" t="e">
        <f t="shared" si="44"/>
        <v>#DIV/0!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2</v>
      </c>
      <c r="C86" s="5">
        <f t="shared" si="34"/>
        <v>0</v>
      </c>
      <c r="D86" s="5">
        <f t="shared" si="34"/>
        <v>0</v>
      </c>
      <c r="E86" s="6" t="str">
        <f t="shared" si="28"/>
        <v>Se2</v>
      </c>
      <c r="F86" s="14" t="e">
        <f t="shared" ref="F86" si="45">F10*$C$78</f>
        <v>#DIV/0!</v>
      </c>
      <c r="G86" s="14" t="e">
        <f t="shared" ref="G86:BR86" si="46">G10*$C$78</f>
        <v>#DIV/0!</v>
      </c>
      <c r="H86" s="14" t="e">
        <f t="shared" si="46"/>
        <v>#DIV/0!</v>
      </c>
      <c r="I86" s="14" t="e">
        <f t="shared" si="46"/>
        <v>#DIV/0!</v>
      </c>
      <c r="J86" s="14" t="e">
        <f t="shared" si="46"/>
        <v>#DIV/0!</v>
      </c>
      <c r="K86" s="14" t="e">
        <f t="shared" si="46"/>
        <v>#DIV/0!</v>
      </c>
      <c r="L86" s="14" t="e">
        <f t="shared" si="46"/>
        <v>#DIV/0!</v>
      </c>
      <c r="M86" s="14" t="e">
        <f t="shared" si="46"/>
        <v>#DIV/0!</v>
      </c>
      <c r="N86" s="14" t="e">
        <f t="shared" si="46"/>
        <v>#DIV/0!</v>
      </c>
      <c r="O86" s="14" t="e">
        <f t="shared" si="46"/>
        <v>#DIV/0!</v>
      </c>
      <c r="P86" s="14" t="e">
        <f t="shared" si="46"/>
        <v>#DIV/0!</v>
      </c>
      <c r="Q86" s="14" t="e">
        <f t="shared" si="46"/>
        <v>#DIV/0!</v>
      </c>
      <c r="R86" s="14" t="e">
        <f t="shared" si="46"/>
        <v>#DIV/0!</v>
      </c>
      <c r="S86" s="14" t="e">
        <f t="shared" si="46"/>
        <v>#DIV/0!</v>
      </c>
      <c r="T86" s="14" t="e">
        <f t="shared" si="46"/>
        <v>#DIV/0!</v>
      </c>
      <c r="U86" s="14" t="e">
        <f t="shared" si="46"/>
        <v>#DIV/0!</v>
      </c>
      <c r="V86" s="14" t="e">
        <f t="shared" si="46"/>
        <v>#DIV/0!</v>
      </c>
      <c r="W86" s="14" t="e">
        <f t="shared" si="46"/>
        <v>#DIV/0!</v>
      </c>
      <c r="X86" s="14" t="e">
        <f t="shared" si="46"/>
        <v>#DIV/0!</v>
      </c>
      <c r="Y86" s="14" t="e">
        <f t="shared" si="46"/>
        <v>#DIV/0!</v>
      </c>
      <c r="Z86" s="14" t="e">
        <f t="shared" si="46"/>
        <v>#DIV/0!</v>
      </c>
      <c r="AA86" s="14" t="e">
        <f t="shared" si="46"/>
        <v>#DIV/0!</v>
      </c>
      <c r="AB86" s="14" t="e">
        <f t="shared" si="46"/>
        <v>#DIV/0!</v>
      </c>
      <c r="AC86" s="14" t="e">
        <f t="shared" si="46"/>
        <v>#DIV/0!</v>
      </c>
      <c r="AD86" s="14" t="e">
        <f t="shared" si="46"/>
        <v>#DIV/0!</v>
      </c>
      <c r="AE86" s="14" t="e">
        <f t="shared" si="46"/>
        <v>#DIV/0!</v>
      </c>
      <c r="AF86" s="14" t="e">
        <f t="shared" si="46"/>
        <v>#DIV/0!</v>
      </c>
      <c r="AG86" s="14" t="e">
        <f t="shared" si="46"/>
        <v>#DIV/0!</v>
      </c>
      <c r="AH86" s="14" t="e">
        <f t="shared" si="46"/>
        <v>#DIV/0!</v>
      </c>
      <c r="AI86" s="14" t="e">
        <f t="shared" si="46"/>
        <v>#DIV/0!</v>
      </c>
      <c r="AJ86" s="14" t="e">
        <f t="shared" si="46"/>
        <v>#DIV/0!</v>
      </c>
      <c r="AK86" s="14" t="e">
        <f t="shared" si="46"/>
        <v>#DIV/0!</v>
      </c>
      <c r="AL86" s="14" t="e">
        <f t="shared" si="46"/>
        <v>#DIV/0!</v>
      </c>
      <c r="AM86" s="14" t="e">
        <f t="shared" si="46"/>
        <v>#DIV/0!</v>
      </c>
      <c r="AN86" s="14" t="e">
        <f t="shared" si="46"/>
        <v>#DIV/0!</v>
      </c>
      <c r="AO86" s="14" t="e">
        <f t="shared" si="46"/>
        <v>#DIV/0!</v>
      </c>
      <c r="AP86" s="14" t="e">
        <f t="shared" si="46"/>
        <v>#DIV/0!</v>
      </c>
      <c r="AQ86" s="14" t="e">
        <f t="shared" si="46"/>
        <v>#DIV/0!</v>
      </c>
      <c r="AR86" s="14" t="e">
        <f t="shared" si="46"/>
        <v>#DIV/0!</v>
      </c>
      <c r="AS86" s="14" t="e">
        <f t="shared" si="46"/>
        <v>#DIV/0!</v>
      </c>
      <c r="AT86" s="14" t="e">
        <f t="shared" si="46"/>
        <v>#DIV/0!</v>
      </c>
      <c r="AU86" s="14" t="e">
        <f t="shared" si="46"/>
        <v>#DIV/0!</v>
      </c>
      <c r="AV86" s="14" t="e">
        <f t="shared" si="46"/>
        <v>#DIV/0!</v>
      </c>
      <c r="AW86" s="14" t="e">
        <f t="shared" si="46"/>
        <v>#DIV/0!</v>
      </c>
      <c r="AX86" s="14" t="e">
        <f t="shared" si="46"/>
        <v>#DIV/0!</v>
      </c>
      <c r="AY86" s="14" t="e">
        <f t="shared" si="46"/>
        <v>#DIV/0!</v>
      </c>
      <c r="AZ86" s="14" t="e">
        <f t="shared" si="46"/>
        <v>#DIV/0!</v>
      </c>
      <c r="BA86" s="14" t="e">
        <f t="shared" si="46"/>
        <v>#DIV/0!</v>
      </c>
      <c r="BB86" s="14" t="e">
        <f t="shared" si="46"/>
        <v>#DIV/0!</v>
      </c>
      <c r="BC86" s="14" t="e">
        <f t="shared" si="46"/>
        <v>#DIV/0!</v>
      </c>
      <c r="BD86" s="14" t="e">
        <f t="shared" si="46"/>
        <v>#DIV/0!</v>
      </c>
      <c r="BE86" s="14" t="e">
        <f t="shared" si="46"/>
        <v>#DIV/0!</v>
      </c>
      <c r="BF86" s="14" t="e">
        <f t="shared" si="46"/>
        <v>#DIV/0!</v>
      </c>
      <c r="BG86" s="14" t="e">
        <f t="shared" si="46"/>
        <v>#DIV/0!</v>
      </c>
      <c r="BH86" s="14" t="e">
        <f t="shared" si="46"/>
        <v>#DIV/0!</v>
      </c>
      <c r="BI86" s="14" t="e">
        <f t="shared" si="46"/>
        <v>#DIV/0!</v>
      </c>
      <c r="BJ86" s="14" t="e">
        <f t="shared" si="46"/>
        <v>#DIV/0!</v>
      </c>
      <c r="BK86" s="14" t="e">
        <f t="shared" si="46"/>
        <v>#DIV/0!</v>
      </c>
      <c r="BL86" s="14" t="e">
        <f t="shared" si="46"/>
        <v>#DIV/0!</v>
      </c>
      <c r="BM86" s="14" t="e">
        <f t="shared" si="46"/>
        <v>#DIV/0!</v>
      </c>
      <c r="BN86" s="14" t="e">
        <f t="shared" si="46"/>
        <v>#DIV/0!</v>
      </c>
      <c r="BO86" s="14" t="e">
        <f t="shared" si="46"/>
        <v>#DIV/0!</v>
      </c>
      <c r="BP86" s="14" t="e">
        <f t="shared" si="46"/>
        <v>#DIV/0!</v>
      </c>
      <c r="BQ86" s="14" t="e">
        <f t="shared" si="46"/>
        <v>#DIV/0!</v>
      </c>
      <c r="BR86" s="14" t="e">
        <f t="shared" si="46"/>
        <v>#DIV/0!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1</v>
      </c>
      <c r="C87" s="5">
        <f t="shared" si="34"/>
        <v>0</v>
      </c>
      <c r="D87" s="5">
        <f t="shared" si="34"/>
        <v>0</v>
      </c>
      <c r="E87" s="6" t="str">
        <f t="shared" si="28"/>
        <v>Se</v>
      </c>
      <c r="F87" s="14" t="e">
        <f t="shared" ref="F87" si="47">F11*$C$78</f>
        <v>#DIV/0!</v>
      </c>
      <c r="G87" s="14" t="e">
        <f t="shared" ref="G87:BR87" si="48">G11*$C$78</f>
        <v>#DIV/0!</v>
      </c>
      <c r="H87" s="14" t="e">
        <f t="shared" si="48"/>
        <v>#DIV/0!</v>
      </c>
      <c r="I87" s="14" t="e">
        <f t="shared" si="48"/>
        <v>#DIV/0!</v>
      </c>
      <c r="J87" s="14" t="e">
        <f t="shared" si="48"/>
        <v>#DIV/0!</v>
      </c>
      <c r="K87" s="14" t="e">
        <f t="shared" si="48"/>
        <v>#DIV/0!</v>
      </c>
      <c r="L87" s="14" t="e">
        <f t="shared" si="48"/>
        <v>#DIV/0!</v>
      </c>
      <c r="M87" s="14" t="e">
        <f t="shared" si="48"/>
        <v>#DIV/0!</v>
      </c>
      <c r="N87" s="14" t="e">
        <f t="shared" si="48"/>
        <v>#DIV/0!</v>
      </c>
      <c r="O87" s="14" t="e">
        <f t="shared" si="48"/>
        <v>#DIV/0!</v>
      </c>
      <c r="P87" s="14" t="e">
        <f t="shared" si="48"/>
        <v>#DIV/0!</v>
      </c>
      <c r="Q87" s="14" t="e">
        <f t="shared" si="48"/>
        <v>#DIV/0!</v>
      </c>
      <c r="R87" s="14" t="e">
        <f t="shared" si="48"/>
        <v>#DIV/0!</v>
      </c>
      <c r="S87" s="14" t="e">
        <f t="shared" si="48"/>
        <v>#DIV/0!</v>
      </c>
      <c r="T87" s="14" t="e">
        <f t="shared" si="48"/>
        <v>#DIV/0!</v>
      </c>
      <c r="U87" s="14" t="e">
        <f t="shared" si="48"/>
        <v>#DIV/0!</v>
      </c>
      <c r="V87" s="14" t="e">
        <f t="shared" si="48"/>
        <v>#DIV/0!</v>
      </c>
      <c r="W87" s="14" t="e">
        <f t="shared" si="48"/>
        <v>#DIV/0!</v>
      </c>
      <c r="X87" s="14" t="e">
        <f t="shared" si="48"/>
        <v>#DIV/0!</v>
      </c>
      <c r="Y87" s="14" t="e">
        <f t="shared" si="48"/>
        <v>#DIV/0!</v>
      </c>
      <c r="Z87" s="14" t="e">
        <f t="shared" si="48"/>
        <v>#DIV/0!</v>
      </c>
      <c r="AA87" s="14" t="e">
        <f t="shared" si="48"/>
        <v>#DIV/0!</v>
      </c>
      <c r="AB87" s="14" t="e">
        <f t="shared" si="48"/>
        <v>#DIV/0!</v>
      </c>
      <c r="AC87" s="14" t="e">
        <f t="shared" si="48"/>
        <v>#DIV/0!</v>
      </c>
      <c r="AD87" s="14" t="e">
        <f t="shared" si="48"/>
        <v>#DIV/0!</v>
      </c>
      <c r="AE87" s="14" t="e">
        <f t="shared" si="48"/>
        <v>#DIV/0!</v>
      </c>
      <c r="AF87" s="14" t="e">
        <f t="shared" si="48"/>
        <v>#DIV/0!</v>
      </c>
      <c r="AG87" s="14" t="e">
        <f t="shared" si="48"/>
        <v>#DIV/0!</v>
      </c>
      <c r="AH87" s="14" t="e">
        <f t="shared" si="48"/>
        <v>#DIV/0!</v>
      </c>
      <c r="AI87" s="14" t="e">
        <f t="shared" si="48"/>
        <v>#DIV/0!</v>
      </c>
      <c r="AJ87" s="14" t="e">
        <f t="shared" si="48"/>
        <v>#DIV/0!</v>
      </c>
      <c r="AK87" s="14" t="e">
        <f t="shared" si="48"/>
        <v>#DIV/0!</v>
      </c>
      <c r="AL87" s="14" t="e">
        <f t="shared" si="48"/>
        <v>#DIV/0!</v>
      </c>
      <c r="AM87" s="14" t="e">
        <f t="shared" si="48"/>
        <v>#DIV/0!</v>
      </c>
      <c r="AN87" s="14" t="e">
        <f t="shared" si="48"/>
        <v>#DIV/0!</v>
      </c>
      <c r="AO87" s="14" t="e">
        <f t="shared" si="48"/>
        <v>#DIV/0!</v>
      </c>
      <c r="AP87" s="14" t="e">
        <f t="shared" si="48"/>
        <v>#DIV/0!</v>
      </c>
      <c r="AQ87" s="14" t="e">
        <f t="shared" si="48"/>
        <v>#DIV/0!</v>
      </c>
      <c r="AR87" s="14" t="e">
        <f t="shared" si="48"/>
        <v>#DIV/0!</v>
      </c>
      <c r="AS87" s="14" t="e">
        <f t="shared" si="48"/>
        <v>#DIV/0!</v>
      </c>
      <c r="AT87" s="14" t="e">
        <f t="shared" si="48"/>
        <v>#DIV/0!</v>
      </c>
      <c r="AU87" s="14" t="e">
        <f t="shared" si="48"/>
        <v>#DIV/0!</v>
      </c>
      <c r="AV87" s="14" t="e">
        <f t="shared" si="48"/>
        <v>#DIV/0!</v>
      </c>
      <c r="AW87" s="14" t="e">
        <f t="shared" si="48"/>
        <v>#DIV/0!</v>
      </c>
      <c r="AX87" s="14" t="e">
        <f t="shared" si="48"/>
        <v>#DIV/0!</v>
      </c>
      <c r="AY87" s="14" t="e">
        <f t="shared" si="48"/>
        <v>#DIV/0!</v>
      </c>
      <c r="AZ87" s="14" t="e">
        <f t="shared" si="48"/>
        <v>#DIV/0!</v>
      </c>
      <c r="BA87" s="14" t="e">
        <f t="shared" si="48"/>
        <v>#DIV/0!</v>
      </c>
      <c r="BB87" s="14" t="e">
        <f t="shared" si="48"/>
        <v>#DIV/0!</v>
      </c>
      <c r="BC87" s="14" t="e">
        <f t="shared" si="48"/>
        <v>#DIV/0!</v>
      </c>
      <c r="BD87" s="14" t="e">
        <f t="shared" si="48"/>
        <v>#DIV/0!</v>
      </c>
      <c r="BE87" s="14" t="e">
        <f t="shared" si="48"/>
        <v>#DIV/0!</v>
      </c>
      <c r="BF87" s="14" t="e">
        <f t="shared" si="48"/>
        <v>#DIV/0!</v>
      </c>
      <c r="BG87" s="14" t="e">
        <f t="shared" si="48"/>
        <v>#DIV/0!</v>
      </c>
      <c r="BH87" s="14" t="e">
        <f t="shared" si="48"/>
        <v>#DIV/0!</v>
      </c>
      <c r="BI87" s="14" t="e">
        <f t="shared" si="48"/>
        <v>#DIV/0!</v>
      </c>
      <c r="BJ87" s="14" t="e">
        <f t="shared" si="48"/>
        <v>#DIV/0!</v>
      </c>
      <c r="BK87" s="14" t="e">
        <f t="shared" si="48"/>
        <v>#DIV/0!</v>
      </c>
      <c r="BL87" s="14" t="e">
        <f t="shared" si="48"/>
        <v>#DIV/0!</v>
      </c>
      <c r="BM87" s="14" t="e">
        <f t="shared" si="48"/>
        <v>#DIV/0!</v>
      </c>
      <c r="BN87" s="14" t="e">
        <f t="shared" si="48"/>
        <v>#DIV/0!</v>
      </c>
      <c r="BO87" s="14" t="e">
        <f t="shared" si="48"/>
        <v>#DIV/0!</v>
      </c>
      <c r="BP87" s="14" t="e">
        <f t="shared" si="48"/>
        <v>#DIV/0!</v>
      </c>
      <c r="BQ87" s="14" t="e">
        <f t="shared" si="48"/>
        <v>#DIV/0!</v>
      </c>
      <c r="BR87" s="14" t="e">
        <f t="shared" si="48"/>
        <v>#DIV/0!</v>
      </c>
      <c r="BS87" s="14"/>
    </row>
    <row r="88" spans="1:71" ht="21" hidden="1" customHeight="1" outlineLevel="1" thickBot="1" x14ac:dyDescent="0.4">
      <c r="A88" s="5">
        <f t="shared" si="34"/>
        <v>1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 t="str">
        <f t="shared" si="28"/>
        <v>Ar</v>
      </c>
      <c r="F88" s="14" t="e">
        <f t="shared" ref="F88" si="49">F12*$C$78</f>
        <v>#DIV/0!</v>
      </c>
      <c r="G88" s="14" t="e">
        <f t="shared" ref="G88:BR88" si="50">G12*$C$78</f>
        <v>#DIV/0!</v>
      </c>
      <c r="H88" s="14" t="e">
        <f t="shared" si="50"/>
        <v>#DIV/0!</v>
      </c>
      <c r="I88" s="14" t="e">
        <f t="shared" si="50"/>
        <v>#DIV/0!</v>
      </c>
      <c r="J88" s="14" t="e">
        <f t="shared" si="50"/>
        <v>#DIV/0!</v>
      </c>
      <c r="K88" s="14" t="e">
        <f t="shared" si="50"/>
        <v>#DIV/0!</v>
      </c>
      <c r="L88" s="14" t="e">
        <f t="shared" si="50"/>
        <v>#DIV/0!</v>
      </c>
      <c r="M88" s="14" t="e">
        <f t="shared" si="50"/>
        <v>#DIV/0!</v>
      </c>
      <c r="N88" s="14" t="e">
        <f t="shared" si="50"/>
        <v>#DIV/0!</v>
      </c>
      <c r="O88" s="14" t="e">
        <f t="shared" si="50"/>
        <v>#DIV/0!</v>
      </c>
      <c r="P88" s="14" t="e">
        <f t="shared" si="50"/>
        <v>#DIV/0!</v>
      </c>
      <c r="Q88" s="14" t="e">
        <f t="shared" si="50"/>
        <v>#DIV/0!</v>
      </c>
      <c r="R88" s="14" t="e">
        <f t="shared" si="50"/>
        <v>#DIV/0!</v>
      </c>
      <c r="S88" s="14" t="e">
        <f t="shared" si="50"/>
        <v>#DIV/0!</v>
      </c>
      <c r="T88" s="14" t="e">
        <f t="shared" si="50"/>
        <v>#DIV/0!</v>
      </c>
      <c r="U88" s="14" t="e">
        <f t="shared" si="50"/>
        <v>#DIV/0!</v>
      </c>
      <c r="V88" s="14" t="e">
        <f t="shared" si="50"/>
        <v>#DIV/0!</v>
      </c>
      <c r="W88" s="14" t="e">
        <f t="shared" si="50"/>
        <v>#DIV/0!</v>
      </c>
      <c r="X88" s="14" t="e">
        <f t="shared" si="50"/>
        <v>#DIV/0!</v>
      </c>
      <c r="Y88" s="14" t="e">
        <f t="shared" si="50"/>
        <v>#DIV/0!</v>
      </c>
      <c r="Z88" s="14" t="e">
        <f t="shared" si="50"/>
        <v>#DIV/0!</v>
      </c>
      <c r="AA88" s="14" t="e">
        <f t="shared" si="50"/>
        <v>#DIV/0!</v>
      </c>
      <c r="AB88" s="14" t="e">
        <f t="shared" si="50"/>
        <v>#DIV/0!</v>
      </c>
      <c r="AC88" s="14" t="e">
        <f t="shared" si="50"/>
        <v>#DIV/0!</v>
      </c>
      <c r="AD88" s="14" t="e">
        <f t="shared" si="50"/>
        <v>#DIV/0!</v>
      </c>
      <c r="AE88" s="14" t="e">
        <f t="shared" si="50"/>
        <v>#DIV/0!</v>
      </c>
      <c r="AF88" s="14" t="e">
        <f t="shared" si="50"/>
        <v>#DIV/0!</v>
      </c>
      <c r="AG88" s="14" t="e">
        <f t="shared" si="50"/>
        <v>#DIV/0!</v>
      </c>
      <c r="AH88" s="14" t="e">
        <f t="shared" si="50"/>
        <v>#DIV/0!</v>
      </c>
      <c r="AI88" s="14" t="e">
        <f t="shared" si="50"/>
        <v>#DIV/0!</v>
      </c>
      <c r="AJ88" s="14" t="e">
        <f t="shared" si="50"/>
        <v>#DIV/0!</v>
      </c>
      <c r="AK88" s="14" t="e">
        <f t="shared" si="50"/>
        <v>#DIV/0!</v>
      </c>
      <c r="AL88" s="14" t="e">
        <f t="shared" si="50"/>
        <v>#DIV/0!</v>
      </c>
      <c r="AM88" s="14" t="e">
        <f t="shared" si="50"/>
        <v>#DIV/0!</v>
      </c>
      <c r="AN88" s="14" t="e">
        <f t="shared" si="50"/>
        <v>#DIV/0!</v>
      </c>
      <c r="AO88" s="14" t="e">
        <f t="shared" si="50"/>
        <v>#DIV/0!</v>
      </c>
      <c r="AP88" s="14" t="e">
        <f t="shared" si="50"/>
        <v>#DIV/0!</v>
      </c>
      <c r="AQ88" s="14" t="e">
        <f t="shared" si="50"/>
        <v>#DIV/0!</v>
      </c>
      <c r="AR88" s="14" t="e">
        <f t="shared" si="50"/>
        <v>#DIV/0!</v>
      </c>
      <c r="AS88" s="14" t="e">
        <f t="shared" si="50"/>
        <v>#DIV/0!</v>
      </c>
      <c r="AT88" s="14" t="e">
        <f t="shared" si="50"/>
        <v>#DIV/0!</v>
      </c>
      <c r="AU88" s="14" t="e">
        <f t="shared" si="50"/>
        <v>#DIV/0!</v>
      </c>
      <c r="AV88" s="14" t="e">
        <f t="shared" si="50"/>
        <v>#DIV/0!</v>
      </c>
      <c r="AW88" s="14" t="e">
        <f t="shared" si="50"/>
        <v>#DIV/0!</v>
      </c>
      <c r="AX88" s="14" t="e">
        <f t="shared" si="50"/>
        <v>#DIV/0!</v>
      </c>
      <c r="AY88" s="14" t="e">
        <f t="shared" si="50"/>
        <v>#DIV/0!</v>
      </c>
      <c r="AZ88" s="14" t="e">
        <f t="shared" si="50"/>
        <v>#DIV/0!</v>
      </c>
      <c r="BA88" s="14" t="e">
        <f t="shared" si="50"/>
        <v>#DIV/0!</v>
      </c>
      <c r="BB88" s="14" t="e">
        <f t="shared" si="50"/>
        <v>#DIV/0!</v>
      </c>
      <c r="BC88" s="14" t="e">
        <f t="shared" si="50"/>
        <v>#DIV/0!</v>
      </c>
      <c r="BD88" s="14" t="e">
        <f t="shared" si="50"/>
        <v>#DIV/0!</v>
      </c>
      <c r="BE88" s="14" t="e">
        <f t="shared" si="50"/>
        <v>#DIV/0!</v>
      </c>
      <c r="BF88" s="14" t="e">
        <f t="shared" si="50"/>
        <v>#DIV/0!</v>
      </c>
      <c r="BG88" s="14" t="e">
        <f t="shared" si="50"/>
        <v>#DIV/0!</v>
      </c>
      <c r="BH88" s="14" t="e">
        <f t="shared" si="50"/>
        <v>#DIV/0!</v>
      </c>
      <c r="BI88" s="14" t="e">
        <f t="shared" si="50"/>
        <v>#DIV/0!</v>
      </c>
      <c r="BJ88" s="14" t="e">
        <f t="shared" si="50"/>
        <v>#DIV/0!</v>
      </c>
      <c r="BK88" s="14" t="e">
        <f t="shared" si="50"/>
        <v>#DIV/0!</v>
      </c>
      <c r="BL88" s="14" t="e">
        <f t="shared" si="50"/>
        <v>#DIV/0!</v>
      </c>
      <c r="BM88" s="14" t="e">
        <f t="shared" si="50"/>
        <v>#DIV/0!</v>
      </c>
      <c r="BN88" s="14" t="e">
        <f t="shared" si="50"/>
        <v>#DIV/0!</v>
      </c>
      <c r="BO88" s="14" t="e">
        <f t="shared" si="50"/>
        <v>#DIV/0!</v>
      </c>
      <c r="BP88" s="14" t="e">
        <f t="shared" si="50"/>
        <v>#DIV/0!</v>
      </c>
      <c r="BQ88" s="14" t="e">
        <f t="shared" si="50"/>
        <v>#DIV/0!</v>
      </c>
      <c r="BR88" s="14" t="e">
        <f t="shared" si="50"/>
        <v>#DIV/0!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2</v>
      </c>
      <c r="E89" s="6" t="str">
        <f t="shared" si="28"/>
        <v>Ga2Se</v>
      </c>
      <c r="F89" s="14" t="e">
        <f t="shared" ref="F89" si="51">F13*$C$78</f>
        <v>#DIV/0!</v>
      </c>
      <c r="G89" s="14" t="e">
        <f t="shared" ref="G89:BR89" si="52">G13*$C$78</f>
        <v>#DIV/0!</v>
      </c>
      <c r="H89" s="14" t="e">
        <f t="shared" si="52"/>
        <v>#DIV/0!</v>
      </c>
      <c r="I89" s="14" t="e">
        <f t="shared" si="52"/>
        <v>#DIV/0!</v>
      </c>
      <c r="J89" s="14" t="e">
        <f t="shared" si="52"/>
        <v>#DIV/0!</v>
      </c>
      <c r="K89" s="14" t="e">
        <f t="shared" si="52"/>
        <v>#DIV/0!</v>
      </c>
      <c r="L89" s="14" t="e">
        <f t="shared" si="52"/>
        <v>#DIV/0!</v>
      </c>
      <c r="M89" s="14" t="e">
        <f t="shared" si="52"/>
        <v>#DIV/0!</v>
      </c>
      <c r="N89" s="14" t="e">
        <f t="shared" si="52"/>
        <v>#DIV/0!</v>
      </c>
      <c r="O89" s="14" t="e">
        <f t="shared" si="52"/>
        <v>#DIV/0!</v>
      </c>
      <c r="P89" s="14" t="e">
        <f t="shared" si="52"/>
        <v>#DIV/0!</v>
      </c>
      <c r="Q89" s="14" t="e">
        <f t="shared" si="52"/>
        <v>#DIV/0!</v>
      </c>
      <c r="R89" s="14" t="e">
        <f t="shared" si="52"/>
        <v>#DIV/0!</v>
      </c>
      <c r="S89" s="14" t="e">
        <f t="shared" si="52"/>
        <v>#DIV/0!</v>
      </c>
      <c r="T89" s="14" t="e">
        <f t="shared" si="52"/>
        <v>#DIV/0!</v>
      </c>
      <c r="U89" s="14" t="e">
        <f t="shared" si="52"/>
        <v>#DIV/0!</v>
      </c>
      <c r="V89" s="14" t="e">
        <f t="shared" si="52"/>
        <v>#DIV/0!</v>
      </c>
      <c r="W89" s="14" t="e">
        <f t="shared" si="52"/>
        <v>#DIV/0!</v>
      </c>
      <c r="X89" s="14" t="e">
        <f t="shared" si="52"/>
        <v>#DIV/0!</v>
      </c>
      <c r="Y89" s="14" t="e">
        <f t="shared" si="52"/>
        <v>#DIV/0!</v>
      </c>
      <c r="Z89" s="14" t="e">
        <f t="shared" si="52"/>
        <v>#DIV/0!</v>
      </c>
      <c r="AA89" s="14" t="e">
        <f t="shared" si="52"/>
        <v>#DIV/0!</v>
      </c>
      <c r="AB89" s="14" t="e">
        <f t="shared" si="52"/>
        <v>#DIV/0!</v>
      </c>
      <c r="AC89" s="14" t="e">
        <f t="shared" si="52"/>
        <v>#DIV/0!</v>
      </c>
      <c r="AD89" s="14" t="e">
        <f t="shared" si="52"/>
        <v>#DIV/0!</v>
      </c>
      <c r="AE89" s="14" t="e">
        <f t="shared" si="52"/>
        <v>#DIV/0!</v>
      </c>
      <c r="AF89" s="14" t="e">
        <f t="shared" si="52"/>
        <v>#DIV/0!</v>
      </c>
      <c r="AG89" s="14" t="e">
        <f t="shared" si="52"/>
        <v>#DIV/0!</v>
      </c>
      <c r="AH89" s="14" t="e">
        <f t="shared" si="52"/>
        <v>#DIV/0!</v>
      </c>
      <c r="AI89" s="14" t="e">
        <f t="shared" si="52"/>
        <v>#DIV/0!</v>
      </c>
      <c r="AJ89" s="14" t="e">
        <f t="shared" si="52"/>
        <v>#DIV/0!</v>
      </c>
      <c r="AK89" s="14" t="e">
        <f t="shared" si="52"/>
        <v>#DIV/0!</v>
      </c>
      <c r="AL89" s="14" t="e">
        <f t="shared" si="52"/>
        <v>#DIV/0!</v>
      </c>
      <c r="AM89" s="14" t="e">
        <f t="shared" si="52"/>
        <v>#DIV/0!</v>
      </c>
      <c r="AN89" s="14" t="e">
        <f t="shared" si="52"/>
        <v>#DIV/0!</v>
      </c>
      <c r="AO89" s="14" t="e">
        <f t="shared" si="52"/>
        <v>#DIV/0!</v>
      </c>
      <c r="AP89" s="14" t="e">
        <f t="shared" si="52"/>
        <v>#DIV/0!</v>
      </c>
      <c r="AQ89" s="14" t="e">
        <f t="shared" si="52"/>
        <v>#DIV/0!</v>
      </c>
      <c r="AR89" s="14" t="e">
        <f t="shared" si="52"/>
        <v>#DIV/0!</v>
      </c>
      <c r="AS89" s="14" t="e">
        <f t="shared" si="52"/>
        <v>#DIV/0!</v>
      </c>
      <c r="AT89" s="14" t="e">
        <f t="shared" si="52"/>
        <v>#DIV/0!</v>
      </c>
      <c r="AU89" s="14" t="e">
        <f t="shared" si="52"/>
        <v>#DIV/0!</v>
      </c>
      <c r="AV89" s="14" t="e">
        <f t="shared" si="52"/>
        <v>#DIV/0!</v>
      </c>
      <c r="AW89" s="14" t="e">
        <f t="shared" si="52"/>
        <v>#DIV/0!</v>
      </c>
      <c r="AX89" s="14" t="e">
        <f t="shared" si="52"/>
        <v>#DIV/0!</v>
      </c>
      <c r="AY89" s="14" t="e">
        <f t="shared" si="52"/>
        <v>#DIV/0!</v>
      </c>
      <c r="AZ89" s="14" t="e">
        <f t="shared" si="52"/>
        <v>#DIV/0!</v>
      </c>
      <c r="BA89" s="14" t="e">
        <f t="shared" si="52"/>
        <v>#DIV/0!</v>
      </c>
      <c r="BB89" s="14" t="e">
        <f t="shared" si="52"/>
        <v>#DIV/0!</v>
      </c>
      <c r="BC89" s="14" t="e">
        <f t="shared" si="52"/>
        <v>#DIV/0!</v>
      </c>
      <c r="BD89" s="14" t="e">
        <f t="shared" si="52"/>
        <v>#DIV/0!</v>
      </c>
      <c r="BE89" s="14" t="e">
        <f t="shared" si="52"/>
        <v>#DIV/0!</v>
      </c>
      <c r="BF89" s="14" t="e">
        <f t="shared" si="52"/>
        <v>#DIV/0!</v>
      </c>
      <c r="BG89" s="14" t="e">
        <f t="shared" si="52"/>
        <v>#DIV/0!</v>
      </c>
      <c r="BH89" s="14" t="e">
        <f t="shared" si="52"/>
        <v>#DIV/0!</v>
      </c>
      <c r="BI89" s="14" t="e">
        <f t="shared" si="52"/>
        <v>#DIV/0!</v>
      </c>
      <c r="BJ89" s="14" t="e">
        <f t="shared" si="52"/>
        <v>#DIV/0!</v>
      </c>
      <c r="BK89" s="14" t="e">
        <f t="shared" si="52"/>
        <v>#DIV/0!</v>
      </c>
      <c r="BL89" s="14" t="e">
        <f t="shared" si="52"/>
        <v>#DIV/0!</v>
      </c>
      <c r="BM89" s="14" t="e">
        <f t="shared" si="52"/>
        <v>#DIV/0!</v>
      </c>
      <c r="BN89" s="14" t="e">
        <f t="shared" si="52"/>
        <v>#DIV/0!</v>
      </c>
      <c r="BO89" s="14" t="e">
        <f t="shared" si="52"/>
        <v>#DIV/0!</v>
      </c>
      <c r="BP89" s="14" t="e">
        <f t="shared" si="52"/>
        <v>#DIV/0!</v>
      </c>
      <c r="BQ89" s="14" t="e">
        <f t="shared" si="52"/>
        <v>#DIV/0!</v>
      </c>
      <c r="BR89" s="14" t="e">
        <f t="shared" si="52"/>
        <v>#DIV/0!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(l)Ga[l]</v>
      </c>
      <c r="F90" s="14" t="e">
        <f t="shared" ref="F90" si="53">F14*$C$78</f>
        <v>#DIV/0!</v>
      </c>
      <c r="G90" s="14" t="e">
        <f t="shared" ref="G90:BR90" si="54">G14*$C$78</f>
        <v>#DIV/0!</v>
      </c>
      <c r="H90" s="14" t="e">
        <f t="shared" si="54"/>
        <v>#DIV/0!</v>
      </c>
      <c r="I90" s="14" t="e">
        <f t="shared" si="54"/>
        <v>#DIV/0!</v>
      </c>
      <c r="J90" s="14" t="e">
        <f t="shared" si="54"/>
        <v>#DIV/0!</v>
      </c>
      <c r="K90" s="14" t="e">
        <f t="shared" si="54"/>
        <v>#DIV/0!</v>
      </c>
      <c r="L90" s="14" t="e">
        <f t="shared" si="54"/>
        <v>#DIV/0!</v>
      </c>
      <c r="M90" s="14" t="e">
        <f t="shared" si="54"/>
        <v>#DIV/0!</v>
      </c>
      <c r="N90" s="14" t="e">
        <f t="shared" si="54"/>
        <v>#DIV/0!</v>
      </c>
      <c r="O90" s="14" t="e">
        <f t="shared" si="54"/>
        <v>#DIV/0!</v>
      </c>
      <c r="P90" s="14" t="e">
        <f t="shared" si="54"/>
        <v>#DIV/0!</v>
      </c>
      <c r="Q90" s="14" t="e">
        <f t="shared" si="54"/>
        <v>#DIV/0!</v>
      </c>
      <c r="R90" s="14" t="e">
        <f t="shared" si="54"/>
        <v>#DIV/0!</v>
      </c>
      <c r="S90" s="14" t="e">
        <f t="shared" si="54"/>
        <v>#DIV/0!</v>
      </c>
      <c r="T90" s="14" t="e">
        <f t="shared" si="54"/>
        <v>#DIV/0!</v>
      </c>
      <c r="U90" s="14" t="e">
        <f t="shared" si="54"/>
        <v>#DIV/0!</v>
      </c>
      <c r="V90" s="14" t="e">
        <f t="shared" si="54"/>
        <v>#DIV/0!</v>
      </c>
      <c r="W90" s="14" t="e">
        <f t="shared" si="54"/>
        <v>#DIV/0!</v>
      </c>
      <c r="X90" s="14" t="e">
        <f t="shared" si="54"/>
        <v>#DIV/0!</v>
      </c>
      <c r="Y90" s="14" t="e">
        <f t="shared" si="54"/>
        <v>#DIV/0!</v>
      </c>
      <c r="Z90" s="14" t="e">
        <f t="shared" si="54"/>
        <v>#DIV/0!</v>
      </c>
      <c r="AA90" s="14" t="e">
        <f t="shared" si="54"/>
        <v>#DIV/0!</v>
      </c>
      <c r="AB90" s="14" t="e">
        <f t="shared" si="54"/>
        <v>#DIV/0!</v>
      </c>
      <c r="AC90" s="14" t="e">
        <f t="shared" si="54"/>
        <v>#DIV/0!</v>
      </c>
      <c r="AD90" s="14" t="e">
        <f t="shared" si="54"/>
        <v>#DIV/0!</v>
      </c>
      <c r="AE90" s="14" t="e">
        <f t="shared" si="54"/>
        <v>#DIV/0!</v>
      </c>
      <c r="AF90" s="14" t="e">
        <f t="shared" si="54"/>
        <v>#DIV/0!</v>
      </c>
      <c r="AG90" s="14" t="e">
        <f t="shared" si="54"/>
        <v>#DIV/0!</v>
      </c>
      <c r="AH90" s="14" t="e">
        <f t="shared" si="54"/>
        <v>#DIV/0!</v>
      </c>
      <c r="AI90" s="14" t="e">
        <f t="shared" si="54"/>
        <v>#DIV/0!</v>
      </c>
      <c r="AJ90" s="14" t="e">
        <f t="shared" si="54"/>
        <v>#DIV/0!</v>
      </c>
      <c r="AK90" s="14" t="e">
        <f t="shared" si="54"/>
        <v>#DIV/0!</v>
      </c>
      <c r="AL90" s="14" t="e">
        <f t="shared" si="54"/>
        <v>#DIV/0!</v>
      </c>
      <c r="AM90" s="14" t="e">
        <f t="shared" si="54"/>
        <v>#DIV/0!</v>
      </c>
      <c r="AN90" s="14" t="e">
        <f t="shared" si="54"/>
        <v>#DIV/0!</v>
      </c>
      <c r="AO90" s="14" t="e">
        <f t="shared" si="54"/>
        <v>#DIV/0!</v>
      </c>
      <c r="AP90" s="14" t="e">
        <f t="shared" si="54"/>
        <v>#DIV/0!</v>
      </c>
      <c r="AQ90" s="14" t="e">
        <f t="shared" si="54"/>
        <v>#DIV/0!</v>
      </c>
      <c r="AR90" s="14" t="e">
        <f t="shared" si="54"/>
        <v>#DIV/0!</v>
      </c>
      <c r="AS90" s="14" t="e">
        <f t="shared" si="54"/>
        <v>#DIV/0!</v>
      </c>
      <c r="AT90" s="14" t="e">
        <f t="shared" si="54"/>
        <v>#DIV/0!</v>
      </c>
      <c r="AU90" s="14" t="e">
        <f t="shared" si="54"/>
        <v>#DIV/0!</v>
      </c>
      <c r="AV90" s="14" t="e">
        <f t="shared" si="54"/>
        <v>#DIV/0!</v>
      </c>
      <c r="AW90" s="14" t="e">
        <f t="shared" si="54"/>
        <v>#DIV/0!</v>
      </c>
      <c r="AX90" s="14" t="e">
        <f t="shared" si="54"/>
        <v>#DIV/0!</v>
      </c>
      <c r="AY90" s="14" t="e">
        <f t="shared" si="54"/>
        <v>#DIV/0!</v>
      </c>
      <c r="AZ90" s="14" t="e">
        <f t="shared" si="54"/>
        <v>#DIV/0!</v>
      </c>
      <c r="BA90" s="14" t="e">
        <f t="shared" si="54"/>
        <v>#DIV/0!</v>
      </c>
      <c r="BB90" s="14" t="e">
        <f t="shared" si="54"/>
        <v>#DIV/0!</v>
      </c>
      <c r="BC90" s="14" t="e">
        <f t="shared" si="54"/>
        <v>#DIV/0!</v>
      </c>
      <c r="BD90" s="14" t="e">
        <f t="shared" si="54"/>
        <v>#DIV/0!</v>
      </c>
      <c r="BE90" s="14" t="e">
        <f t="shared" si="54"/>
        <v>#DIV/0!</v>
      </c>
      <c r="BF90" s="14" t="e">
        <f t="shared" si="54"/>
        <v>#DIV/0!</v>
      </c>
      <c r="BG90" s="14" t="e">
        <f t="shared" si="54"/>
        <v>#DIV/0!</v>
      </c>
      <c r="BH90" s="14" t="e">
        <f t="shared" si="54"/>
        <v>#DIV/0!</v>
      </c>
      <c r="BI90" s="14" t="e">
        <f t="shared" si="54"/>
        <v>#DIV/0!</v>
      </c>
      <c r="BJ90" s="14" t="e">
        <f t="shared" si="54"/>
        <v>#DIV/0!</v>
      </c>
      <c r="BK90" s="14" t="e">
        <f t="shared" si="54"/>
        <v>#DIV/0!</v>
      </c>
      <c r="BL90" s="14" t="e">
        <f t="shared" si="54"/>
        <v>#DIV/0!</v>
      </c>
      <c r="BM90" s="14" t="e">
        <f t="shared" si="54"/>
        <v>#DIV/0!</v>
      </c>
      <c r="BN90" s="14" t="e">
        <f t="shared" si="54"/>
        <v>#DIV/0!</v>
      </c>
      <c r="BO90" s="14" t="e">
        <f t="shared" si="54"/>
        <v>#DIV/0!</v>
      </c>
      <c r="BP90" s="14" t="e">
        <f t="shared" si="54"/>
        <v>#DIV/0!</v>
      </c>
      <c r="BQ90" s="14" t="e">
        <f t="shared" si="54"/>
        <v>#DIV/0!</v>
      </c>
      <c r="BR90" s="14" t="e">
        <f t="shared" si="54"/>
        <v>#DIV/0!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1</v>
      </c>
      <c r="D91" s="5">
        <f t="shared" si="34"/>
        <v>0</v>
      </c>
      <c r="E91" s="6" t="str">
        <f t="shared" si="28"/>
        <v>(l)Ge[l]</v>
      </c>
      <c r="F91" s="14" t="e">
        <f t="shared" ref="F91" si="55">F15*$C$78</f>
        <v>#DIV/0!</v>
      </c>
      <c r="G91" s="14" t="e">
        <f t="shared" ref="G91:BR91" si="56">G15*$C$78</f>
        <v>#DIV/0!</v>
      </c>
      <c r="H91" s="14" t="e">
        <f t="shared" si="56"/>
        <v>#DIV/0!</v>
      </c>
      <c r="I91" s="14" t="e">
        <f t="shared" si="56"/>
        <v>#DIV/0!</v>
      </c>
      <c r="J91" s="14" t="e">
        <f t="shared" si="56"/>
        <v>#DIV/0!</v>
      </c>
      <c r="K91" s="14" t="e">
        <f t="shared" si="56"/>
        <v>#DIV/0!</v>
      </c>
      <c r="L91" s="14" t="e">
        <f t="shared" si="56"/>
        <v>#DIV/0!</v>
      </c>
      <c r="M91" s="14" t="e">
        <f t="shared" si="56"/>
        <v>#DIV/0!</v>
      </c>
      <c r="N91" s="14" t="e">
        <f t="shared" si="56"/>
        <v>#DIV/0!</v>
      </c>
      <c r="O91" s="14" t="e">
        <f t="shared" si="56"/>
        <v>#DIV/0!</v>
      </c>
      <c r="P91" s="14" t="e">
        <f t="shared" si="56"/>
        <v>#DIV/0!</v>
      </c>
      <c r="Q91" s="14" t="e">
        <f t="shared" si="56"/>
        <v>#DIV/0!</v>
      </c>
      <c r="R91" s="14" t="e">
        <f t="shared" si="56"/>
        <v>#DIV/0!</v>
      </c>
      <c r="S91" s="14" t="e">
        <f t="shared" si="56"/>
        <v>#DIV/0!</v>
      </c>
      <c r="T91" s="14" t="e">
        <f t="shared" si="56"/>
        <v>#DIV/0!</v>
      </c>
      <c r="U91" s="14" t="e">
        <f t="shared" si="56"/>
        <v>#DIV/0!</v>
      </c>
      <c r="V91" s="14" t="e">
        <f t="shared" si="56"/>
        <v>#DIV/0!</v>
      </c>
      <c r="W91" s="14" t="e">
        <f t="shared" si="56"/>
        <v>#DIV/0!</v>
      </c>
      <c r="X91" s="14" t="e">
        <f t="shared" si="56"/>
        <v>#DIV/0!</v>
      </c>
      <c r="Y91" s="14" t="e">
        <f t="shared" si="56"/>
        <v>#DIV/0!</v>
      </c>
      <c r="Z91" s="14" t="e">
        <f t="shared" si="56"/>
        <v>#DIV/0!</v>
      </c>
      <c r="AA91" s="14" t="e">
        <f t="shared" si="56"/>
        <v>#DIV/0!</v>
      </c>
      <c r="AB91" s="14" t="e">
        <f t="shared" si="56"/>
        <v>#DIV/0!</v>
      </c>
      <c r="AC91" s="14" t="e">
        <f t="shared" si="56"/>
        <v>#DIV/0!</v>
      </c>
      <c r="AD91" s="14" t="e">
        <f t="shared" si="56"/>
        <v>#DIV/0!</v>
      </c>
      <c r="AE91" s="14" t="e">
        <f t="shared" si="56"/>
        <v>#DIV/0!</v>
      </c>
      <c r="AF91" s="14" t="e">
        <f t="shared" si="56"/>
        <v>#DIV/0!</v>
      </c>
      <c r="AG91" s="14" t="e">
        <f t="shared" si="56"/>
        <v>#DIV/0!</v>
      </c>
      <c r="AH91" s="14" t="e">
        <f t="shared" si="56"/>
        <v>#DIV/0!</v>
      </c>
      <c r="AI91" s="14" t="e">
        <f t="shared" si="56"/>
        <v>#DIV/0!</v>
      </c>
      <c r="AJ91" s="14" t="e">
        <f t="shared" si="56"/>
        <v>#DIV/0!</v>
      </c>
      <c r="AK91" s="14" t="e">
        <f t="shared" si="56"/>
        <v>#DIV/0!</v>
      </c>
      <c r="AL91" s="14" t="e">
        <f t="shared" si="56"/>
        <v>#DIV/0!</v>
      </c>
      <c r="AM91" s="14" t="e">
        <f t="shared" si="56"/>
        <v>#DIV/0!</v>
      </c>
      <c r="AN91" s="14" t="e">
        <f t="shared" si="56"/>
        <v>#DIV/0!</v>
      </c>
      <c r="AO91" s="14" t="e">
        <f t="shared" si="56"/>
        <v>#DIV/0!</v>
      </c>
      <c r="AP91" s="14" t="e">
        <f t="shared" si="56"/>
        <v>#DIV/0!</v>
      </c>
      <c r="AQ91" s="14" t="e">
        <f t="shared" si="56"/>
        <v>#DIV/0!</v>
      </c>
      <c r="AR91" s="14" t="e">
        <f t="shared" si="56"/>
        <v>#DIV/0!</v>
      </c>
      <c r="AS91" s="14" t="e">
        <f t="shared" si="56"/>
        <v>#DIV/0!</v>
      </c>
      <c r="AT91" s="14" t="e">
        <f t="shared" si="56"/>
        <v>#DIV/0!</v>
      </c>
      <c r="AU91" s="14" t="e">
        <f t="shared" si="56"/>
        <v>#DIV/0!</v>
      </c>
      <c r="AV91" s="14" t="e">
        <f t="shared" si="56"/>
        <v>#DIV/0!</v>
      </c>
      <c r="AW91" s="14" t="e">
        <f t="shared" si="56"/>
        <v>#DIV/0!</v>
      </c>
      <c r="AX91" s="14" t="e">
        <f t="shared" si="56"/>
        <v>#DIV/0!</v>
      </c>
      <c r="AY91" s="14" t="e">
        <f t="shared" si="56"/>
        <v>#DIV/0!</v>
      </c>
      <c r="AZ91" s="14" t="e">
        <f t="shared" si="56"/>
        <v>#DIV/0!</v>
      </c>
      <c r="BA91" s="14" t="e">
        <f t="shared" si="56"/>
        <v>#DIV/0!</v>
      </c>
      <c r="BB91" s="14" t="e">
        <f t="shared" si="56"/>
        <v>#DIV/0!</v>
      </c>
      <c r="BC91" s="14" t="e">
        <f t="shared" si="56"/>
        <v>#DIV/0!</v>
      </c>
      <c r="BD91" s="14" t="e">
        <f t="shared" si="56"/>
        <v>#DIV/0!</v>
      </c>
      <c r="BE91" s="14" t="e">
        <f t="shared" si="56"/>
        <v>#DIV/0!</v>
      </c>
      <c r="BF91" s="14" t="e">
        <f t="shared" si="56"/>
        <v>#DIV/0!</v>
      </c>
      <c r="BG91" s="14" t="e">
        <f t="shared" si="56"/>
        <v>#DIV/0!</v>
      </c>
      <c r="BH91" s="14" t="e">
        <f t="shared" si="56"/>
        <v>#DIV/0!</v>
      </c>
      <c r="BI91" s="14" t="e">
        <f t="shared" si="56"/>
        <v>#DIV/0!</v>
      </c>
      <c r="BJ91" s="14" t="e">
        <f t="shared" si="56"/>
        <v>#DIV/0!</v>
      </c>
      <c r="BK91" s="14" t="e">
        <f t="shared" si="56"/>
        <v>#DIV/0!</v>
      </c>
      <c r="BL91" s="14" t="e">
        <f t="shared" si="56"/>
        <v>#DIV/0!</v>
      </c>
      <c r="BM91" s="14" t="e">
        <f t="shared" si="56"/>
        <v>#DIV/0!</v>
      </c>
      <c r="BN91" s="14" t="e">
        <f t="shared" si="56"/>
        <v>#DIV/0!</v>
      </c>
      <c r="BO91" s="14" t="e">
        <f t="shared" si="56"/>
        <v>#DIV/0!</v>
      </c>
      <c r="BP91" s="14" t="e">
        <f t="shared" si="56"/>
        <v>#DIV/0!</v>
      </c>
      <c r="BQ91" s="14" t="e">
        <f t="shared" si="56"/>
        <v>#DIV/0!</v>
      </c>
      <c r="BR91" s="14" t="e">
        <f t="shared" si="56"/>
        <v>#DIV/0!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1</v>
      </c>
      <c r="C92" s="5">
        <f t="shared" si="34"/>
        <v>0</v>
      </c>
      <c r="D92" s="5">
        <f t="shared" si="34"/>
        <v>0</v>
      </c>
      <c r="E92" s="6" t="str">
        <f t="shared" si="28"/>
        <v>(l)Se[l]</v>
      </c>
      <c r="F92" s="14" t="e">
        <f t="shared" ref="F92" si="57">F16*$C$78</f>
        <v>#DIV/0!</v>
      </c>
      <c r="G92" s="14" t="e">
        <f t="shared" ref="G92:BR92" si="58">G16*$C$78</f>
        <v>#DIV/0!</v>
      </c>
      <c r="H92" s="14" t="e">
        <f t="shared" si="58"/>
        <v>#DIV/0!</v>
      </c>
      <c r="I92" s="14" t="e">
        <f t="shared" si="58"/>
        <v>#DIV/0!</v>
      </c>
      <c r="J92" s="14" t="e">
        <f t="shared" si="58"/>
        <v>#DIV/0!</v>
      </c>
      <c r="K92" s="14" t="e">
        <f t="shared" si="58"/>
        <v>#DIV/0!</v>
      </c>
      <c r="L92" s="14" t="e">
        <f t="shared" si="58"/>
        <v>#DIV/0!</v>
      </c>
      <c r="M92" s="14" t="e">
        <f t="shared" si="58"/>
        <v>#DIV/0!</v>
      </c>
      <c r="N92" s="14" t="e">
        <f t="shared" si="58"/>
        <v>#DIV/0!</v>
      </c>
      <c r="O92" s="14" t="e">
        <f t="shared" si="58"/>
        <v>#DIV/0!</v>
      </c>
      <c r="P92" s="14" t="e">
        <f t="shared" si="58"/>
        <v>#DIV/0!</v>
      </c>
      <c r="Q92" s="14" t="e">
        <f t="shared" si="58"/>
        <v>#DIV/0!</v>
      </c>
      <c r="R92" s="14" t="e">
        <f t="shared" si="58"/>
        <v>#DIV/0!</v>
      </c>
      <c r="S92" s="14" t="e">
        <f t="shared" si="58"/>
        <v>#DIV/0!</v>
      </c>
      <c r="T92" s="14" t="e">
        <f t="shared" si="58"/>
        <v>#DIV/0!</v>
      </c>
      <c r="U92" s="14" t="e">
        <f t="shared" si="58"/>
        <v>#DIV/0!</v>
      </c>
      <c r="V92" s="14" t="e">
        <f t="shared" si="58"/>
        <v>#DIV/0!</v>
      </c>
      <c r="W92" s="14" t="e">
        <f t="shared" si="58"/>
        <v>#DIV/0!</v>
      </c>
      <c r="X92" s="14" t="e">
        <f t="shared" si="58"/>
        <v>#DIV/0!</v>
      </c>
      <c r="Y92" s="14" t="e">
        <f t="shared" si="58"/>
        <v>#DIV/0!</v>
      </c>
      <c r="Z92" s="14" t="e">
        <f t="shared" si="58"/>
        <v>#DIV/0!</v>
      </c>
      <c r="AA92" s="14" t="e">
        <f t="shared" si="58"/>
        <v>#DIV/0!</v>
      </c>
      <c r="AB92" s="14" t="e">
        <f t="shared" si="58"/>
        <v>#DIV/0!</v>
      </c>
      <c r="AC92" s="14" t="e">
        <f t="shared" si="58"/>
        <v>#DIV/0!</v>
      </c>
      <c r="AD92" s="14" t="e">
        <f t="shared" si="58"/>
        <v>#DIV/0!</v>
      </c>
      <c r="AE92" s="14" t="e">
        <f t="shared" si="58"/>
        <v>#DIV/0!</v>
      </c>
      <c r="AF92" s="14" t="e">
        <f t="shared" si="58"/>
        <v>#DIV/0!</v>
      </c>
      <c r="AG92" s="14" t="e">
        <f t="shared" si="58"/>
        <v>#DIV/0!</v>
      </c>
      <c r="AH92" s="14" t="e">
        <f t="shared" si="58"/>
        <v>#DIV/0!</v>
      </c>
      <c r="AI92" s="14" t="e">
        <f t="shared" si="58"/>
        <v>#DIV/0!</v>
      </c>
      <c r="AJ92" s="14" t="e">
        <f t="shared" si="58"/>
        <v>#DIV/0!</v>
      </c>
      <c r="AK92" s="14" t="e">
        <f t="shared" si="58"/>
        <v>#DIV/0!</v>
      </c>
      <c r="AL92" s="14" t="e">
        <f t="shared" si="58"/>
        <v>#DIV/0!</v>
      </c>
      <c r="AM92" s="14" t="e">
        <f t="shared" si="58"/>
        <v>#DIV/0!</v>
      </c>
      <c r="AN92" s="14" t="e">
        <f t="shared" si="58"/>
        <v>#DIV/0!</v>
      </c>
      <c r="AO92" s="14" t="e">
        <f t="shared" si="58"/>
        <v>#DIV/0!</v>
      </c>
      <c r="AP92" s="14" t="e">
        <f t="shared" si="58"/>
        <v>#DIV/0!</v>
      </c>
      <c r="AQ92" s="14" t="e">
        <f t="shared" si="58"/>
        <v>#DIV/0!</v>
      </c>
      <c r="AR92" s="14" t="e">
        <f t="shared" si="58"/>
        <v>#DIV/0!</v>
      </c>
      <c r="AS92" s="14" t="e">
        <f t="shared" si="58"/>
        <v>#DIV/0!</v>
      </c>
      <c r="AT92" s="14" t="e">
        <f t="shared" si="58"/>
        <v>#DIV/0!</v>
      </c>
      <c r="AU92" s="14" t="e">
        <f t="shared" si="58"/>
        <v>#DIV/0!</v>
      </c>
      <c r="AV92" s="14" t="e">
        <f t="shared" si="58"/>
        <v>#DIV/0!</v>
      </c>
      <c r="AW92" s="14" t="e">
        <f t="shared" si="58"/>
        <v>#DIV/0!</v>
      </c>
      <c r="AX92" s="14" t="e">
        <f t="shared" si="58"/>
        <v>#DIV/0!</v>
      </c>
      <c r="AY92" s="14" t="e">
        <f t="shared" si="58"/>
        <v>#DIV/0!</v>
      </c>
      <c r="AZ92" s="14" t="e">
        <f t="shared" si="58"/>
        <v>#DIV/0!</v>
      </c>
      <c r="BA92" s="14" t="e">
        <f t="shared" si="58"/>
        <v>#DIV/0!</v>
      </c>
      <c r="BB92" s="14" t="e">
        <f t="shared" si="58"/>
        <v>#DIV/0!</v>
      </c>
      <c r="BC92" s="14" t="e">
        <f t="shared" si="58"/>
        <v>#DIV/0!</v>
      </c>
      <c r="BD92" s="14" t="e">
        <f t="shared" si="58"/>
        <v>#DIV/0!</v>
      </c>
      <c r="BE92" s="14" t="e">
        <f t="shared" si="58"/>
        <v>#DIV/0!</v>
      </c>
      <c r="BF92" s="14" t="e">
        <f t="shared" si="58"/>
        <v>#DIV/0!</v>
      </c>
      <c r="BG92" s="14" t="e">
        <f t="shared" si="58"/>
        <v>#DIV/0!</v>
      </c>
      <c r="BH92" s="14" t="e">
        <f t="shared" si="58"/>
        <v>#DIV/0!</v>
      </c>
      <c r="BI92" s="14" t="e">
        <f t="shared" si="58"/>
        <v>#DIV/0!</v>
      </c>
      <c r="BJ92" s="14" t="e">
        <f t="shared" si="58"/>
        <v>#DIV/0!</v>
      </c>
      <c r="BK92" s="14" t="e">
        <f t="shared" si="58"/>
        <v>#DIV/0!</v>
      </c>
      <c r="BL92" s="14" t="e">
        <f t="shared" si="58"/>
        <v>#DIV/0!</v>
      </c>
      <c r="BM92" s="14" t="e">
        <f t="shared" si="58"/>
        <v>#DIV/0!</v>
      </c>
      <c r="BN92" s="14" t="e">
        <f t="shared" si="58"/>
        <v>#DIV/0!</v>
      </c>
      <c r="BO92" s="14" t="e">
        <f t="shared" si="58"/>
        <v>#DIV/0!</v>
      </c>
      <c r="BP92" s="14" t="e">
        <f t="shared" si="58"/>
        <v>#DIV/0!</v>
      </c>
      <c r="BQ92" s="14" t="e">
        <f t="shared" si="58"/>
        <v>#DIV/0!</v>
      </c>
      <c r="BR92" s="14" t="e">
        <f t="shared" si="58"/>
        <v>#DIV/0!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1</v>
      </c>
      <c r="C93" s="5">
        <f t="shared" si="34"/>
        <v>1</v>
      </c>
      <c r="D93" s="5">
        <f t="shared" si="34"/>
        <v>0</v>
      </c>
      <c r="E93" s="6" t="str">
        <f t="shared" si="28"/>
        <v>(1)GeSe[l]</v>
      </c>
      <c r="F93" s="14" t="e">
        <f t="shared" ref="F93" si="59">F17*$C$78</f>
        <v>#DIV/0!</v>
      </c>
      <c r="G93" s="14" t="e">
        <f t="shared" ref="G93:BR93" si="60">G17*$C$78</f>
        <v>#DIV/0!</v>
      </c>
      <c r="H93" s="14" t="e">
        <f t="shared" si="60"/>
        <v>#DIV/0!</v>
      </c>
      <c r="I93" s="14" t="e">
        <f t="shared" si="60"/>
        <v>#DIV/0!</v>
      </c>
      <c r="J93" s="14" t="e">
        <f t="shared" si="60"/>
        <v>#DIV/0!</v>
      </c>
      <c r="K93" s="14" t="e">
        <f t="shared" si="60"/>
        <v>#DIV/0!</v>
      </c>
      <c r="L93" s="14" t="e">
        <f t="shared" si="60"/>
        <v>#DIV/0!</v>
      </c>
      <c r="M93" s="14" t="e">
        <f t="shared" si="60"/>
        <v>#DIV/0!</v>
      </c>
      <c r="N93" s="14" t="e">
        <f t="shared" si="60"/>
        <v>#DIV/0!</v>
      </c>
      <c r="O93" s="14" t="e">
        <f t="shared" si="60"/>
        <v>#DIV/0!</v>
      </c>
      <c r="P93" s="14" t="e">
        <f t="shared" si="60"/>
        <v>#DIV/0!</v>
      </c>
      <c r="Q93" s="14" t="e">
        <f t="shared" si="60"/>
        <v>#DIV/0!</v>
      </c>
      <c r="R93" s="14" t="e">
        <f t="shared" si="60"/>
        <v>#DIV/0!</v>
      </c>
      <c r="S93" s="14" t="e">
        <f t="shared" si="60"/>
        <v>#DIV/0!</v>
      </c>
      <c r="T93" s="14" t="e">
        <f t="shared" si="60"/>
        <v>#DIV/0!</v>
      </c>
      <c r="U93" s="14" t="e">
        <f t="shared" si="60"/>
        <v>#DIV/0!</v>
      </c>
      <c r="V93" s="14" t="e">
        <f t="shared" si="60"/>
        <v>#DIV/0!</v>
      </c>
      <c r="W93" s="14" t="e">
        <f t="shared" si="60"/>
        <v>#DIV/0!</v>
      </c>
      <c r="X93" s="14" t="e">
        <f t="shared" si="60"/>
        <v>#DIV/0!</v>
      </c>
      <c r="Y93" s="14" t="e">
        <f t="shared" si="60"/>
        <v>#DIV/0!</v>
      </c>
      <c r="Z93" s="14" t="e">
        <f t="shared" si="60"/>
        <v>#DIV/0!</v>
      </c>
      <c r="AA93" s="14" t="e">
        <f t="shared" si="60"/>
        <v>#DIV/0!</v>
      </c>
      <c r="AB93" s="14" t="e">
        <f t="shared" si="60"/>
        <v>#DIV/0!</v>
      </c>
      <c r="AC93" s="14" t="e">
        <f t="shared" si="60"/>
        <v>#DIV/0!</v>
      </c>
      <c r="AD93" s="14" t="e">
        <f t="shared" si="60"/>
        <v>#DIV/0!</v>
      </c>
      <c r="AE93" s="14" t="e">
        <f t="shared" si="60"/>
        <v>#DIV/0!</v>
      </c>
      <c r="AF93" s="14" t="e">
        <f t="shared" si="60"/>
        <v>#DIV/0!</v>
      </c>
      <c r="AG93" s="14" t="e">
        <f t="shared" si="60"/>
        <v>#DIV/0!</v>
      </c>
      <c r="AH93" s="14" t="e">
        <f t="shared" si="60"/>
        <v>#DIV/0!</v>
      </c>
      <c r="AI93" s="14" t="e">
        <f t="shared" si="60"/>
        <v>#DIV/0!</v>
      </c>
      <c r="AJ93" s="14" t="e">
        <f t="shared" si="60"/>
        <v>#DIV/0!</v>
      </c>
      <c r="AK93" s="14" t="e">
        <f t="shared" si="60"/>
        <v>#DIV/0!</v>
      </c>
      <c r="AL93" s="14" t="e">
        <f t="shared" si="60"/>
        <v>#DIV/0!</v>
      </c>
      <c r="AM93" s="14" t="e">
        <f t="shared" si="60"/>
        <v>#DIV/0!</v>
      </c>
      <c r="AN93" s="14" t="e">
        <f t="shared" si="60"/>
        <v>#DIV/0!</v>
      </c>
      <c r="AO93" s="14" t="e">
        <f t="shared" si="60"/>
        <v>#DIV/0!</v>
      </c>
      <c r="AP93" s="14" t="e">
        <f t="shared" si="60"/>
        <v>#DIV/0!</v>
      </c>
      <c r="AQ93" s="14" t="e">
        <f t="shared" si="60"/>
        <v>#DIV/0!</v>
      </c>
      <c r="AR93" s="14" t="e">
        <f t="shared" si="60"/>
        <v>#DIV/0!</v>
      </c>
      <c r="AS93" s="14" t="e">
        <f t="shared" si="60"/>
        <v>#DIV/0!</v>
      </c>
      <c r="AT93" s="14" t="e">
        <f t="shared" si="60"/>
        <v>#DIV/0!</v>
      </c>
      <c r="AU93" s="14" t="e">
        <f t="shared" si="60"/>
        <v>#DIV/0!</v>
      </c>
      <c r="AV93" s="14" t="e">
        <f t="shared" si="60"/>
        <v>#DIV/0!</v>
      </c>
      <c r="AW93" s="14" t="e">
        <f t="shared" si="60"/>
        <v>#DIV/0!</v>
      </c>
      <c r="AX93" s="14" t="e">
        <f t="shared" si="60"/>
        <v>#DIV/0!</v>
      </c>
      <c r="AY93" s="14" t="e">
        <f t="shared" si="60"/>
        <v>#DIV/0!</v>
      </c>
      <c r="AZ93" s="14" t="e">
        <f t="shared" si="60"/>
        <v>#DIV/0!</v>
      </c>
      <c r="BA93" s="14" t="e">
        <f t="shared" si="60"/>
        <v>#DIV/0!</v>
      </c>
      <c r="BB93" s="14" t="e">
        <f t="shared" si="60"/>
        <v>#DIV/0!</v>
      </c>
      <c r="BC93" s="14" t="e">
        <f t="shared" si="60"/>
        <v>#DIV/0!</v>
      </c>
      <c r="BD93" s="14" t="e">
        <f t="shared" si="60"/>
        <v>#DIV/0!</v>
      </c>
      <c r="BE93" s="14" t="e">
        <f t="shared" si="60"/>
        <v>#DIV/0!</v>
      </c>
      <c r="BF93" s="14" t="e">
        <f t="shared" si="60"/>
        <v>#DIV/0!</v>
      </c>
      <c r="BG93" s="14" t="e">
        <f t="shared" si="60"/>
        <v>#DIV/0!</v>
      </c>
      <c r="BH93" s="14" t="e">
        <f t="shared" si="60"/>
        <v>#DIV/0!</v>
      </c>
      <c r="BI93" s="14" t="e">
        <f t="shared" si="60"/>
        <v>#DIV/0!</v>
      </c>
      <c r="BJ93" s="14" t="e">
        <f t="shared" si="60"/>
        <v>#DIV/0!</v>
      </c>
      <c r="BK93" s="14" t="e">
        <f t="shared" si="60"/>
        <v>#DIV/0!</v>
      </c>
      <c r="BL93" s="14" t="e">
        <f t="shared" si="60"/>
        <v>#DIV/0!</v>
      </c>
      <c r="BM93" s="14" t="e">
        <f t="shared" si="60"/>
        <v>#DIV/0!</v>
      </c>
      <c r="BN93" s="14" t="e">
        <f t="shared" si="60"/>
        <v>#DIV/0!</v>
      </c>
      <c r="BO93" s="14" t="e">
        <f t="shared" si="60"/>
        <v>#DIV/0!</v>
      </c>
      <c r="BP93" s="14" t="e">
        <f t="shared" si="60"/>
        <v>#DIV/0!</v>
      </c>
      <c r="BQ93" s="14" t="e">
        <f t="shared" si="60"/>
        <v>#DIV/0!</v>
      </c>
      <c r="BR93" s="14" t="e">
        <f t="shared" si="60"/>
        <v>#DIV/0!</v>
      </c>
      <c r="BS93" s="14"/>
    </row>
    <row r="94" spans="1:71" ht="21" hidden="1" customHeight="1" outlineLevel="1" thickBot="1" x14ac:dyDescent="0.4">
      <c r="A94" s="5">
        <f t="shared" si="34"/>
        <v>1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 t="str">
        <f t="shared" si="28"/>
        <v>H (Ar)</v>
      </c>
      <c r="F94" s="14" t="e">
        <f t="shared" ref="F94" si="61">F18*$C$78</f>
        <v>#DIV/0!</v>
      </c>
      <c r="G94" s="14" t="e">
        <f t="shared" ref="G94:BR94" si="62">G18*$C$78</f>
        <v>#DIV/0!</v>
      </c>
      <c r="H94" s="14" t="e">
        <f t="shared" si="62"/>
        <v>#DIV/0!</v>
      </c>
      <c r="I94" s="14" t="e">
        <f t="shared" si="62"/>
        <v>#DIV/0!</v>
      </c>
      <c r="J94" s="14" t="e">
        <f t="shared" si="62"/>
        <v>#DIV/0!</v>
      </c>
      <c r="K94" s="14" t="e">
        <f t="shared" si="62"/>
        <v>#DIV/0!</v>
      </c>
      <c r="L94" s="14" t="e">
        <f t="shared" si="62"/>
        <v>#DIV/0!</v>
      </c>
      <c r="M94" s="14" t="e">
        <f t="shared" si="62"/>
        <v>#DIV/0!</v>
      </c>
      <c r="N94" s="14" t="e">
        <f t="shared" si="62"/>
        <v>#DIV/0!</v>
      </c>
      <c r="O94" s="14" t="e">
        <f t="shared" si="62"/>
        <v>#DIV/0!</v>
      </c>
      <c r="P94" s="14" t="e">
        <f t="shared" si="62"/>
        <v>#DIV/0!</v>
      </c>
      <c r="Q94" s="14" t="e">
        <f t="shared" si="62"/>
        <v>#DIV/0!</v>
      </c>
      <c r="R94" s="14" t="e">
        <f t="shared" si="62"/>
        <v>#DIV/0!</v>
      </c>
      <c r="S94" s="14" t="e">
        <f t="shared" si="62"/>
        <v>#DIV/0!</v>
      </c>
      <c r="T94" s="14" t="e">
        <f t="shared" si="62"/>
        <v>#DIV/0!</v>
      </c>
      <c r="U94" s="14" t="e">
        <f t="shared" si="62"/>
        <v>#DIV/0!</v>
      </c>
      <c r="V94" s="14" t="e">
        <f t="shared" si="62"/>
        <v>#DIV/0!</v>
      </c>
      <c r="W94" s="14" t="e">
        <f t="shared" si="62"/>
        <v>#DIV/0!</v>
      </c>
      <c r="X94" s="14" t="e">
        <f t="shared" si="62"/>
        <v>#DIV/0!</v>
      </c>
      <c r="Y94" s="14" t="e">
        <f t="shared" si="62"/>
        <v>#DIV/0!</v>
      </c>
      <c r="Z94" s="14" t="e">
        <f t="shared" si="62"/>
        <v>#DIV/0!</v>
      </c>
      <c r="AA94" s="14" t="e">
        <f t="shared" si="62"/>
        <v>#DIV/0!</v>
      </c>
      <c r="AB94" s="14" t="e">
        <f t="shared" si="62"/>
        <v>#DIV/0!</v>
      </c>
      <c r="AC94" s="14" t="e">
        <f t="shared" si="62"/>
        <v>#DIV/0!</v>
      </c>
      <c r="AD94" s="14" t="e">
        <f t="shared" si="62"/>
        <v>#DIV/0!</v>
      </c>
      <c r="AE94" s="14" t="e">
        <f t="shared" si="62"/>
        <v>#DIV/0!</v>
      </c>
      <c r="AF94" s="14" t="e">
        <f t="shared" si="62"/>
        <v>#DIV/0!</v>
      </c>
      <c r="AG94" s="14" t="e">
        <f t="shared" si="62"/>
        <v>#DIV/0!</v>
      </c>
      <c r="AH94" s="14" t="e">
        <f t="shared" si="62"/>
        <v>#DIV/0!</v>
      </c>
      <c r="AI94" s="14" t="e">
        <f t="shared" si="62"/>
        <v>#DIV/0!</v>
      </c>
      <c r="AJ94" s="14" t="e">
        <f t="shared" si="62"/>
        <v>#DIV/0!</v>
      </c>
      <c r="AK94" s="14" t="e">
        <f t="shared" si="62"/>
        <v>#DIV/0!</v>
      </c>
      <c r="AL94" s="14" t="e">
        <f t="shared" si="62"/>
        <v>#DIV/0!</v>
      </c>
      <c r="AM94" s="14" t="e">
        <f t="shared" si="62"/>
        <v>#DIV/0!</v>
      </c>
      <c r="AN94" s="14" t="e">
        <f t="shared" si="62"/>
        <v>#DIV/0!</v>
      </c>
      <c r="AO94" s="14" t="e">
        <f t="shared" si="62"/>
        <v>#DIV/0!</v>
      </c>
      <c r="AP94" s="14" t="e">
        <f t="shared" si="62"/>
        <v>#DIV/0!</v>
      </c>
      <c r="AQ94" s="14" t="e">
        <f t="shared" si="62"/>
        <v>#DIV/0!</v>
      </c>
      <c r="AR94" s="14" t="e">
        <f t="shared" si="62"/>
        <v>#DIV/0!</v>
      </c>
      <c r="AS94" s="14" t="e">
        <f t="shared" si="62"/>
        <v>#DIV/0!</v>
      </c>
      <c r="AT94" s="14" t="e">
        <f t="shared" si="62"/>
        <v>#DIV/0!</v>
      </c>
      <c r="AU94" s="14" t="e">
        <f t="shared" si="62"/>
        <v>#DIV/0!</v>
      </c>
      <c r="AV94" s="14" t="e">
        <f t="shared" si="62"/>
        <v>#DIV/0!</v>
      </c>
      <c r="AW94" s="14" t="e">
        <f t="shared" si="62"/>
        <v>#DIV/0!</v>
      </c>
      <c r="AX94" s="14" t="e">
        <f t="shared" si="62"/>
        <v>#DIV/0!</v>
      </c>
      <c r="AY94" s="14" t="e">
        <f t="shared" si="62"/>
        <v>#DIV/0!</v>
      </c>
      <c r="AZ94" s="14" t="e">
        <f t="shared" si="62"/>
        <v>#DIV/0!</v>
      </c>
      <c r="BA94" s="14" t="e">
        <f t="shared" si="62"/>
        <v>#DIV/0!</v>
      </c>
      <c r="BB94" s="14" t="e">
        <f t="shared" si="62"/>
        <v>#DIV/0!</v>
      </c>
      <c r="BC94" s="14" t="e">
        <f t="shared" si="62"/>
        <v>#DIV/0!</v>
      </c>
      <c r="BD94" s="14" t="e">
        <f t="shared" si="62"/>
        <v>#DIV/0!</v>
      </c>
      <c r="BE94" s="14" t="e">
        <f t="shared" si="62"/>
        <v>#DIV/0!</v>
      </c>
      <c r="BF94" s="14" t="e">
        <f t="shared" si="62"/>
        <v>#DIV/0!</v>
      </c>
      <c r="BG94" s="14" t="e">
        <f t="shared" si="62"/>
        <v>#DIV/0!</v>
      </c>
      <c r="BH94" s="14" t="e">
        <f t="shared" si="62"/>
        <v>#DIV/0!</v>
      </c>
      <c r="BI94" s="14" t="e">
        <f t="shared" si="62"/>
        <v>#DIV/0!</v>
      </c>
      <c r="BJ94" s="14" t="e">
        <f t="shared" si="62"/>
        <v>#DIV/0!</v>
      </c>
      <c r="BK94" s="14" t="e">
        <f t="shared" si="62"/>
        <v>#DIV/0!</v>
      </c>
      <c r="BL94" s="14" t="e">
        <f t="shared" si="62"/>
        <v>#DIV/0!</v>
      </c>
      <c r="BM94" s="14" t="e">
        <f t="shared" si="62"/>
        <v>#DIV/0!</v>
      </c>
      <c r="BN94" s="14" t="e">
        <f t="shared" si="62"/>
        <v>#DIV/0!</v>
      </c>
      <c r="BO94" s="14" t="e">
        <f t="shared" si="62"/>
        <v>#DIV/0!</v>
      </c>
      <c r="BP94" s="14" t="e">
        <f t="shared" si="62"/>
        <v>#DIV/0!</v>
      </c>
      <c r="BQ94" s="14" t="e">
        <f t="shared" si="62"/>
        <v>#DIV/0!</v>
      </c>
      <c r="BR94" s="14" t="e">
        <f t="shared" si="62"/>
        <v>#DIV/0!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1</v>
      </c>
      <c r="E95" s="6" t="str">
        <f t="shared" si="28"/>
        <v>H (Ga)</v>
      </c>
      <c r="F95" s="14" t="e">
        <f t="shared" ref="F95" si="63">F19*$C$78</f>
        <v>#DIV/0!</v>
      </c>
      <c r="G95" s="14" t="e">
        <f t="shared" ref="G95:BR95" si="64">G19*$C$78</f>
        <v>#DIV/0!</v>
      </c>
      <c r="H95" s="14" t="e">
        <f t="shared" si="64"/>
        <v>#DIV/0!</v>
      </c>
      <c r="I95" s="14" t="e">
        <f t="shared" si="64"/>
        <v>#DIV/0!</v>
      </c>
      <c r="J95" s="14" t="e">
        <f t="shared" si="64"/>
        <v>#DIV/0!</v>
      </c>
      <c r="K95" s="14" t="e">
        <f t="shared" si="64"/>
        <v>#DIV/0!</v>
      </c>
      <c r="L95" s="14" t="e">
        <f t="shared" si="64"/>
        <v>#DIV/0!</v>
      </c>
      <c r="M95" s="14" t="e">
        <f t="shared" si="64"/>
        <v>#DIV/0!</v>
      </c>
      <c r="N95" s="14" t="e">
        <f t="shared" si="64"/>
        <v>#DIV/0!</v>
      </c>
      <c r="O95" s="14" t="e">
        <f t="shared" si="64"/>
        <v>#DIV/0!</v>
      </c>
      <c r="P95" s="14" t="e">
        <f t="shared" si="64"/>
        <v>#DIV/0!</v>
      </c>
      <c r="Q95" s="14" t="e">
        <f t="shared" si="64"/>
        <v>#DIV/0!</v>
      </c>
      <c r="R95" s="14" t="e">
        <f t="shared" si="64"/>
        <v>#DIV/0!</v>
      </c>
      <c r="S95" s="14" t="e">
        <f t="shared" si="64"/>
        <v>#DIV/0!</v>
      </c>
      <c r="T95" s="14" t="e">
        <f t="shared" si="64"/>
        <v>#DIV/0!</v>
      </c>
      <c r="U95" s="14" t="e">
        <f t="shared" si="64"/>
        <v>#DIV/0!</v>
      </c>
      <c r="V95" s="14" t="e">
        <f t="shared" si="64"/>
        <v>#DIV/0!</v>
      </c>
      <c r="W95" s="14" t="e">
        <f t="shared" si="64"/>
        <v>#DIV/0!</v>
      </c>
      <c r="X95" s="14" t="e">
        <f t="shared" si="64"/>
        <v>#DIV/0!</v>
      </c>
      <c r="Y95" s="14" t="e">
        <f t="shared" si="64"/>
        <v>#DIV/0!</v>
      </c>
      <c r="Z95" s="14" t="e">
        <f t="shared" si="64"/>
        <v>#DIV/0!</v>
      </c>
      <c r="AA95" s="14" t="e">
        <f t="shared" si="64"/>
        <v>#DIV/0!</v>
      </c>
      <c r="AB95" s="14" t="e">
        <f t="shared" si="64"/>
        <v>#DIV/0!</v>
      </c>
      <c r="AC95" s="14" t="e">
        <f t="shared" si="64"/>
        <v>#DIV/0!</v>
      </c>
      <c r="AD95" s="14" t="e">
        <f t="shared" si="64"/>
        <v>#DIV/0!</v>
      </c>
      <c r="AE95" s="14" t="e">
        <f t="shared" si="64"/>
        <v>#DIV/0!</v>
      </c>
      <c r="AF95" s="14" t="e">
        <f t="shared" si="64"/>
        <v>#DIV/0!</v>
      </c>
      <c r="AG95" s="14" t="e">
        <f t="shared" si="64"/>
        <v>#DIV/0!</v>
      </c>
      <c r="AH95" s="14" t="e">
        <f t="shared" si="64"/>
        <v>#DIV/0!</v>
      </c>
      <c r="AI95" s="14" t="e">
        <f t="shared" si="64"/>
        <v>#DIV/0!</v>
      </c>
      <c r="AJ95" s="14" t="e">
        <f t="shared" si="64"/>
        <v>#DIV/0!</v>
      </c>
      <c r="AK95" s="14" t="e">
        <f t="shared" si="64"/>
        <v>#DIV/0!</v>
      </c>
      <c r="AL95" s="14" t="e">
        <f t="shared" si="64"/>
        <v>#DIV/0!</v>
      </c>
      <c r="AM95" s="14" t="e">
        <f t="shared" si="64"/>
        <v>#DIV/0!</v>
      </c>
      <c r="AN95" s="14" t="e">
        <f t="shared" si="64"/>
        <v>#DIV/0!</v>
      </c>
      <c r="AO95" s="14" t="e">
        <f t="shared" si="64"/>
        <v>#DIV/0!</v>
      </c>
      <c r="AP95" s="14" t="e">
        <f t="shared" si="64"/>
        <v>#DIV/0!</v>
      </c>
      <c r="AQ95" s="14" t="e">
        <f t="shared" si="64"/>
        <v>#DIV/0!</v>
      </c>
      <c r="AR95" s="14" t="e">
        <f t="shared" si="64"/>
        <v>#DIV/0!</v>
      </c>
      <c r="AS95" s="14" t="e">
        <f t="shared" si="64"/>
        <v>#DIV/0!</v>
      </c>
      <c r="AT95" s="14" t="e">
        <f t="shared" si="64"/>
        <v>#DIV/0!</v>
      </c>
      <c r="AU95" s="14" t="e">
        <f t="shared" si="64"/>
        <v>#DIV/0!</v>
      </c>
      <c r="AV95" s="14" t="e">
        <f t="shared" si="64"/>
        <v>#DIV/0!</v>
      </c>
      <c r="AW95" s="14" t="e">
        <f t="shared" si="64"/>
        <v>#DIV/0!</v>
      </c>
      <c r="AX95" s="14" t="e">
        <f t="shared" si="64"/>
        <v>#DIV/0!</v>
      </c>
      <c r="AY95" s="14" t="e">
        <f t="shared" si="64"/>
        <v>#DIV/0!</v>
      </c>
      <c r="AZ95" s="14" t="e">
        <f t="shared" si="64"/>
        <v>#DIV/0!</v>
      </c>
      <c r="BA95" s="14" t="e">
        <f t="shared" si="64"/>
        <v>#DIV/0!</v>
      </c>
      <c r="BB95" s="14" t="e">
        <f t="shared" si="64"/>
        <v>#DIV/0!</v>
      </c>
      <c r="BC95" s="14" t="e">
        <f t="shared" si="64"/>
        <v>#DIV/0!</v>
      </c>
      <c r="BD95" s="14" t="e">
        <f t="shared" si="64"/>
        <v>#DIV/0!</v>
      </c>
      <c r="BE95" s="14" t="e">
        <f t="shared" si="64"/>
        <v>#DIV/0!</v>
      </c>
      <c r="BF95" s="14" t="e">
        <f t="shared" si="64"/>
        <v>#DIV/0!</v>
      </c>
      <c r="BG95" s="14" t="e">
        <f t="shared" si="64"/>
        <v>#DIV/0!</v>
      </c>
      <c r="BH95" s="14" t="e">
        <f t="shared" si="64"/>
        <v>#DIV/0!</v>
      </c>
      <c r="BI95" s="14" t="e">
        <f t="shared" si="64"/>
        <v>#DIV/0!</v>
      </c>
      <c r="BJ95" s="14" t="e">
        <f t="shared" si="64"/>
        <v>#DIV/0!</v>
      </c>
      <c r="BK95" s="14" t="e">
        <f t="shared" si="64"/>
        <v>#DIV/0!</v>
      </c>
      <c r="BL95" s="14" t="e">
        <f t="shared" si="64"/>
        <v>#DIV/0!</v>
      </c>
      <c r="BM95" s="14" t="e">
        <f t="shared" si="64"/>
        <v>#DIV/0!</v>
      </c>
      <c r="BN95" s="14" t="e">
        <f t="shared" si="64"/>
        <v>#DIV/0!</v>
      </c>
      <c r="BO95" s="14" t="e">
        <f t="shared" si="64"/>
        <v>#DIV/0!</v>
      </c>
      <c r="BP95" s="14" t="e">
        <f t="shared" si="64"/>
        <v>#DIV/0!</v>
      </c>
      <c r="BQ95" s="14" t="e">
        <f t="shared" si="64"/>
        <v>#DIV/0!</v>
      </c>
      <c r="BR95" s="14" t="e">
        <f t="shared" si="64"/>
        <v>#DIV/0!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1</v>
      </c>
      <c r="D96" s="5">
        <f t="shared" si="34"/>
        <v>0</v>
      </c>
      <c r="E96" s="6" t="str">
        <f t="shared" si="28"/>
        <v>H (Ge)</v>
      </c>
      <c r="F96" s="14" t="e">
        <f t="shared" ref="F96" si="65">F20*$C$78</f>
        <v>#DIV/0!</v>
      </c>
      <c r="G96" s="14" t="e">
        <f t="shared" ref="G96:BR96" si="66">G20*$C$78</f>
        <v>#DIV/0!</v>
      </c>
      <c r="H96" s="14" t="e">
        <f t="shared" si="66"/>
        <v>#DIV/0!</v>
      </c>
      <c r="I96" s="14" t="e">
        <f t="shared" si="66"/>
        <v>#DIV/0!</v>
      </c>
      <c r="J96" s="14" t="e">
        <f t="shared" si="66"/>
        <v>#DIV/0!</v>
      </c>
      <c r="K96" s="14" t="e">
        <f t="shared" si="66"/>
        <v>#DIV/0!</v>
      </c>
      <c r="L96" s="14" t="e">
        <f t="shared" si="66"/>
        <v>#DIV/0!</v>
      </c>
      <c r="M96" s="14" t="e">
        <f t="shared" si="66"/>
        <v>#DIV/0!</v>
      </c>
      <c r="N96" s="14" t="e">
        <f t="shared" si="66"/>
        <v>#DIV/0!</v>
      </c>
      <c r="O96" s="14" t="e">
        <f t="shared" si="66"/>
        <v>#DIV/0!</v>
      </c>
      <c r="P96" s="14" t="e">
        <f t="shared" si="66"/>
        <v>#DIV/0!</v>
      </c>
      <c r="Q96" s="14" t="e">
        <f t="shared" si="66"/>
        <v>#DIV/0!</v>
      </c>
      <c r="R96" s="14" t="e">
        <f t="shared" si="66"/>
        <v>#DIV/0!</v>
      </c>
      <c r="S96" s="14" t="e">
        <f t="shared" si="66"/>
        <v>#DIV/0!</v>
      </c>
      <c r="T96" s="14" t="e">
        <f t="shared" si="66"/>
        <v>#DIV/0!</v>
      </c>
      <c r="U96" s="14" t="e">
        <f t="shared" si="66"/>
        <v>#DIV/0!</v>
      </c>
      <c r="V96" s="14" t="e">
        <f t="shared" si="66"/>
        <v>#DIV/0!</v>
      </c>
      <c r="W96" s="14" t="e">
        <f t="shared" si="66"/>
        <v>#DIV/0!</v>
      </c>
      <c r="X96" s="14" t="e">
        <f t="shared" si="66"/>
        <v>#DIV/0!</v>
      </c>
      <c r="Y96" s="14" t="e">
        <f t="shared" si="66"/>
        <v>#DIV/0!</v>
      </c>
      <c r="Z96" s="14" t="e">
        <f t="shared" si="66"/>
        <v>#DIV/0!</v>
      </c>
      <c r="AA96" s="14" t="e">
        <f t="shared" si="66"/>
        <v>#DIV/0!</v>
      </c>
      <c r="AB96" s="14" t="e">
        <f t="shared" si="66"/>
        <v>#DIV/0!</v>
      </c>
      <c r="AC96" s="14" t="e">
        <f t="shared" si="66"/>
        <v>#DIV/0!</v>
      </c>
      <c r="AD96" s="14" t="e">
        <f t="shared" si="66"/>
        <v>#DIV/0!</v>
      </c>
      <c r="AE96" s="14" t="e">
        <f t="shared" si="66"/>
        <v>#DIV/0!</v>
      </c>
      <c r="AF96" s="14" t="e">
        <f t="shared" si="66"/>
        <v>#DIV/0!</v>
      </c>
      <c r="AG96" s="14" t="e">
        <f t="shared" si="66"/>
        <v>#DIV/0!</v>
      </c>
      <c r="AH96" s="14" t="e">
        <f t="shared" si="66"/>
        <v>#DIV/0!</v>
      </c>
      <c r="AI96" s="14" t="e">
        <f t="shared" si="66"/>
        <v>#DIV/0!</v>
      </c>
      <c r="AJ96" s="14" t="e">
        <f t="shared" si="66"/>
        <v>#DIV/0!</v>
      </c>
      <c r="AK96" s="14" t="e">
        <f t="shared" si="66"/>
        <v>#DIV/0!</v>
      </c>
      <c r="AL96" s="14" t="e">
        <f t="shared" si="66"/>
        <v>#DIV/0!</v>
      </c>
      <c r="AM96" s="14" t="e">
        <f t="shared" si="66"/>
        <v>#DIV/0!</v>
      </c>
      <c r="AN96" s="14" t="e">
        <f t="shared" si="66"/>
        <v>#DIV/0!</v>
      </c>
      <c r="AO96" s="14" t="e">
        <f t="shared" si="66"/>
        <v>#DIV/0!</v>
      </c>
      <c r="AP96" s="14" t="e">
        <f t="shared" si="66"/>
        <v>#DIV/0!</v>
      </c>
      <c r="AQ96" s="14" t="e">
        <f t="shared" si="66"/>
        <v>#DIV/0!</v>
      </c>
      <c r="AR96" s="14" t="e">
        <f t="shared" si="66"/>
        <v>#DIV/0!</v>
      </c>
      <c r="AS96" s="14" t="e">
        <f t="shared" si="66"/>
        <v>#DIV/0!</v>
      </c>
      <c r="AT96" s="14" t="e">
        <f t="shared" si="66"/>
        <v>#DIV/0!</v>
      </c>
      <c r="AU96" s="14" t="e">
        <f t="shared" si="66"/>
        <v>#DIV/0!</v>
      </c>
      <c r="AV96" s="14" t="e">
        <f t="shared" si="66"/>
        <v>#DIV/0!</v>
      </c>
      <c r="AW96" s="14" t="e">
        <f t="shared" si="66"/>
        <v>#DIV/0!</v>
      </c>
      <c r="AX96" s="14" t="e">
        <f t="shared" si="66"/>
        <v>#DIV/0!</v>
      </c>
      <c r="AY96" s="14" t="e">
        <f t="shared" si="66"/>
        <v>#DIV/0!</v>
      </c>
      <c r="AZ96" s="14" t="e">
        <f t="shared" si="66"/>
        <v>#DIV/0!</v>
      </c>
      <c r="BA96" s="14" t="e">
        <f t="shared" si="66"/>
        <v>#DIV/0!</v>
      </c>
      <c r="BB96" s="14" t="e">
        <f t="shared" si="66"/>
        <v>#DIV/0!</v>
      </c>
      <c r="BC96" s="14" t="e">
        <f t="shared" si="66"/>
        <v>#DIV/0!</v>
      </c>
      <c r="BD96" s="14" t="e">
        <f t="shared" si="66"/>
        <v>#DIV/0!</v>
      </c>
      <c r="BE96" s="14" t="e">
        <f t="shared" si="66"/>
        <v>#DIV/0!</v>
      </c>
      <c r="BF96" s="14" t="e">
        <f t="shared" si="66"/>
        <v>#DIV/0!</v>
      </c>
      <c r="BG96" s="14" t="e">
        <f t="shared" si="66"/>
        <v>#DIV/0!</v>
      </c>
      <c r="BH96" s="14" t="e">
        <f t="shared" si="66"/>
        <v>#DIV/0!</v>
      </c>
      <c r="BI96" s="14" t="e">
        <f t="shared" si="66"/>
        <v>#DIV/0!</v>
      </c>
      <c r="BJ96" s="14" t="e">
        <f t="shared" si="66"/>
        <v>#DIV/0!</v>
      </c>
      <c r="BK96" s="14" t="e">
        <f t="shared" si="66"/>
        <v>#DIV/0!</v>
      </c>
      <c r="BL96" s="14" t="e">
        <f t="shared" si="66"/>
        <v>#DIV/0!</v>
      </c>
      <c r="BM96" s="14" t="e">
        <f t="shared" si="66"/>
        <v>#DIV/0!</v>
      </c>
      <c r="BN96" s="14" t="e">
        <f t="shared" si="66"/>
        <v>#DIV/0!</v>
      </c>
      <c r="BO96" s="14" t="e">
        <f t="shared" si="66"/>
        <v>#DIV/0!</v>
      </c>
      <c r="BP96" s="14" t="e">
        <f t="shared" si="66"/>
        <v>#DIV/0!</v>
      </c>
      <c r="BQ96" s="14" t="e">
        <f t="shared" si="66"/>
        <v>#DIV/0!</v>
      </c>
      <c r="BR96" s="14" t="e">
        <f t="shared" si="66"/>
        <v>#DIV/0!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1</v>
      </c>
      <c r="C97" s="5">
        <f t="shared" si="67"/>
        <v>0</v>
      </c>
      <c r="D97" s="5">
        <f t="shared" si="67"/>
        <v>0</v>
      </c>
      <c r="E97" s="6" t="str">
        <f t="shared" si="28"/>
        <v>H (Se)</v>
      </c>
      <c r="F97" s="14" t="e">
        <f t="shared" ref="F97" si="68">F21*$C$78</f>
        <v>#DIV/0!</v>
      </c>
      <c r="G97" s="14" t="e">
        <f t="shared" ref="G97:BR97" si="69">G21*$C$78</f>
        <v>#DIV/0!</v>
      </c>
      <c r="H97" s="14" t="e">
        <f t="shared" si="69"/>
        <v>#DIV/0!</v>
      </c>
      <c r="I97" s="14" t="e">
        <f t="shared" si="69"/>
        <v>#DIV/0!</v>
      </c>
      <c r="J97" s="14" t="e">
        <f t="shared" si="69"/>
        <v>#DIV/0!</v>
      </c>
      <c r="K97" s="14" t="e">
        <f t="shared" si="69"/>
        <v>#DIV/0!</v>
      </c>
      <c r="L97" s="14" t="e">
        <f t="shared" si="69"/>
        <v>#DIV/0!</v>
      </c>
      <c r="M97" s="14" t="e">
        <f t="shared" si="69"/>
        <v>#DIV/0!</v>
      </c>
      <c r="N97" s="14" t="e">
        <f t="shared" si="69"/>
        <v>#DIV/0!</v>
      </c>
      <c r="O97" s="14" t="e">
        <f t="shared" si="69"/>
        <v>#DIV/0!</v>
      </c>
      <c r="P97" s="14" t="e">
        <f t="shared" si="69"/>
        <v>#DIV/0!</v>
      </c>
      <c r="Q97" s="14" t="e">
        <f t="shared" si="69"/>
        <v>#DIV/0!</v>
      </c>
      <c r="R97" s="14" t="e">
        <f t="shared" si="69"/>
        <v>#DIV/0!</v>
      </c>
      <c r="S97" s="14" t="e">
        <f t="shared" si="69"/>
        <v>#DIV/0!</v>
      </c>
      <c r="T97" s="14" t="e">
        <f t="shared" si="69"/>
        <v>#DIV/0!</v>
      </c>
      <c r="U97" s="14" t="e">
        <f t="shared" si="69"/>
        <v>#DIV/0!</v>
      </c>
      <c r="V97" s="14" t="e">
        <f t="shared" si="69"/>
        <v>#DIV/0!</v>
      </c>
      <c r="W97" s="14" t="e">
        <f t="shared" si="69"/>
        <v>#DIV/0!</v>
      </c>
      <c r="X97" s="14" t="e">
        <f t="shared" si="69"/>
        <v>#DIV/0!</v>
      </c>
      <c r="Y97" s="14" t="e">
        <f t="shared" si="69"/>
        <v>#DIV/0!</v>
      </c>
      <c r="Z97" s="14" t="e">
        <f t="shared" si="69"/>
        <v>#DIV/0!</v>
      </c>
      <c r="AA97" s="14" t="e">
        <f t="shared" si="69"/>
        <v>#DIV/0!</v>
      </c>
      <c r="AB97" s="14" t="e">
        <f t="shared" si="69"/>
        <v>#DIV/0!</v>
      </c>
      <c r="AC97" s="14" t="e">
        <f t="shared" si="69"/>
        <v>#DIV/0!</v>
      </c>
      <c r="AD97" s="14" t="e">
        <f t="shared" si="69"/>
        <v>#DIV/0!</v>
      </c>
      <c r="AE97" s="14" t="e">
        <f t="shared" si="69"/>
        <v>#DIV/0!</v>
      </c>
      <c r="AF97" s="14" t="e">
        <f t="shared" si="69"/>
        <v>#DIV/0!</v>
      </c>
      <c r="AG97" s="14" t="e">
        <f t="shared" si="69"/>
        <v>#DIV/0!</v>
      </c>
      <c r="AH97" s="14" t="e">
        <f t="shared" si="69"/>
        <v>#DIV/0!</v>
      </c>
      <c r="AI97" s="14" t="e">
        <f t="shared" si="69"/>
        <v>#DIV/0!</v>
      </c>
      <c r="AJ97" s="14" t="e">
        <f t="shared" si="69"/>
        <v>#DIV/0!</v>
      </c>
      <c r="AK97" s="14" t="e">
        <f t="shared" si="69"/>
        <v>#DIV/0!</v>
      </c>
      <c r="AL97" s="14" t="e">
        <f t="shared" si="69"/>
        <v>#DIV/0!</v>
      </c>
      <c r="AM97" s="14" t="e">
        <f t="shared" si="69"/>
        <v>#DIV/0!</v>
      </c>
      <c r="AN97" s="14" t="e">
        <f t="shared" si="69"/>
        <v>#DIV/0!</v>
      </c>
      <c r="AO97" s="14" t="e">
        <f t="shared" si="69"/>
        <v>#DIV/0!</v>
      </c>
      <c r="AP97" s="14" t="e">
        <f t="shared" si="69"/>
        <v>#DIV/0!</v>
      </c>
      <c r="AQ97" s="14" t="e">
        <f t="shared" si="69"/>
        <v>#DIV/0!</v>
      </c>
      <c r="AR97" s="14" t="e">
        <f t="shared" si="69"/>
        <v>#DIV/0!</v>
      </c>
      <c r="AS97" s="14" t="e">
        <f t="shared" si="69"/>
        <v>#DIV/0!</v>
      </c>
      <c r="AT97" s="14" t="e">
        <f t="shared" si="69"/>
        <v>#DIV/0!</v>
      </c>
      <c r="AU97" s="14" t="e">
        <f t="shared" si="69"/>
        <v>#DIV/0!</v>
      </c>
      <c r="AV97" s="14" t="e">
        <f t="shared" si="69"/>
        <v>#DIV/0!</v>
      </c>
      <c r="AW97" s="14" t="e">
        <f t="shared" si="69"/>
        <v>#DIV/0!</v>
      </c>
      <c r="AX97" s="14" t="e">
        <f t="shared" si="69"/>
        <v>#DIV/0!</v>
      </c>
      <c r="AY97" s="14" t="e">
        <f t="shared" si="69"/>
        <v>#DIV/0!</v>
      </c>
      <c r="AZ97" s="14" t="e">
        <f t="shared" si="69"/>
        <v>#DIV/0!</v>
      </c>
      <c r="BA97" s="14" t="e">
        <f t="shared" si="69"/>
        <v>#DIV/0!</v>
      </c>
      <c r="BB97" s="14" t="e">
        <f t="shared" si="69"/>
        <v>#DIV/0!</v>
      </c>
      <c r="BC97" s="14" t="e">
        <f t="shared" si="69"/>
        <v>#DIV/0!</v>
      </c>
      <c r="BD97" s="14" t="e">
        <f t="shared" si="69"/>
        <v>#DIV/0!</v>
      </c>
      <c r="BE97" s="14" t="e">
        <f t="shared" si="69"/>
        <v>#DIV/0!</v>
      </c>
      <c r="BF97" s="14" t="e">
        <f t="shared" si="69"/>
        <v>#DIV/0!</v>
      </c>
      <c r="BG97" s="14" t="e">
        <f t="shared" si="69"/>
        <v>#DIV/0!</v>
      </c>
      <c r="BH97" s="14" t="e">
        <f t="shared" si="69"/>
        <v>#DIV/0!</v>
      </c>
      <c r="BI97" s="14" t="e">
        <f t="shared" si="69"/>
        <v>#DIV/0!</v>
      </c>
      <c r="BJ97" s="14" t="e">
        <f t="shared" si="69"/>
        <v>#DIV/0!</v>
      </c>
      <c r="BK97" s="14" t="e">
        <f t="shared" si="69"/>
        <v>#DIV/0!</v>
      </c>
      <c r="BL97" s="14" t="e">
        <f t="shared" si="69"/>
        <v>#DIV/0!</v>
      </c>
      <c r="BM97" s="14" t="e">
        <f t="shared" si="69"/>
        <v>#DIV/0!</v>
      </c>
      <c r="BN97" s="14" t="e">
        <f t="shared" si="69"/>
        <v>#DIV/0!</v>
      </c>
      <c r="BO97" s="14" t="e">
        <f t="shared" si="69"/>
        <v>#DIV/0!</v>
      </c>
      <c r="BP97" s="14" t="e">
        <f t="shared" si="69"/>
        <v>#DIV/0!</v>
      </c>
      <c r="BQ97" s="14" t="e">
        <f t="shared" si="69"/>
        <v>#DIV/0!</v>
      </c>
      <c r="BR97" s="14" t="e">
        <f t="shared" si="69"/>
        <v>#DIV/0!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 t="e">
        <f t="shared" ref="F98" si="70">F22*$C$78</f>
        <v>#DIV/0!</v>
      </c>
      <c r="G98" s="14" t="e">
        <f t="shared" ref="G98:BR98" si="71">G22*$C$78</f>
        <v>#DIV/0!</v>
      </c>
      <c r="H98" s="14" t="e">
        <f t="shared" si="71"/>
        <v>#DIV/0!</v>
      </c>
      <c r="I98" s="14" t="e">
        <f t="shared" si="71"/>
        <v>#DIV/0!</v>
      </c>
      <c r="J98" s="14" t="e">
        <f t="shared" si="71"/>
        <v>#DIV/0!</v>
      </c>
      <c r="K98" s="14" t="e">
        <f t="shared" si="71"/>
        <v>#DIV/0!</v>
      </c>
      <c r="L98" s="14" t="e">
        <f t="shared" si="71"/>
        <v>#DIV/0!</v>
      </c>
      <c r="M98" s="14" t="e">
        <f t="shared" si="71"/>
        <v>#DIV/0!</v>
      </c>
      <c r="N98" s="14" t="e">
        <f t="shared" si="71"/>
        <v>#DIV/0!</v>
      </c>
      <c r="O98" s="14" t="e">
        <f t="shared" si="71"/>
        <v>#DIV/0!</v>
      </c>
      <c r="P98" s="14" t="e">
        <f t="shared" si="71"/>
        <v>#DIV/0!</v>
      </c>
      <c r="Q98" s="14" t="e">
        <f t="shared" si="71"/>
        <v>#DIV/0!</v>
      </c>
      <c r="R98" s="14" t="e">
        <f t="shared" si="71"/>
        <v>#DIV/0!</v>
      </c>
      <c r="S98" s="14" t="e">
        <f t="shared" si="71"/>
        <v>#DIV/0!</v>
      </c>
      <c r="T98" s="14" t="e">
        <f t="shared" si="71"/>
        <v>#DIV/0!</v>
      </c>
      <c r="U98" s="14" t="e">
        <f t="shared" si="71"/>
        <v>#DIV/0!</v>
      </c>
      <c r="V98" s="14" t="e">
        <f t="shared" si="71"/>
        <v>#DIV/0!</v>
      </c>
      <c r="W98" s="14" t="e">
        <f t="shared" si="71"/>
        <v>#DIV/0!</v>
      </c>
      <c r="X98" s="14" t="e">
        <f t="shared" si="71"/>
        <v>#DIV/0!</v>
      </c>
      <c r="Y98" s="14" t="e">
        <f t="shared" si="71"/>
        <v>#DIV/0!</v>
      </c>
      <c r="Z98" s="14" t="e">
        <f t="shared" si="71"/>
        <v>#DIV/0!</v>
      </c>
      <c r="AA98" s="14" t="e">
        <f t="shared" si="71"/>
        <v>#DIV/0!</v>
      </c>
      <c r="AB98" s="14" t="e">
        <f t="shared" si="71"/>
        <v>#DIV/0!</v>
      </c>
      <c r="AC98" s="14" t="e">
        <f t="shared" si="71"/>
        <v>#DIV/0!</v>
      </c>
      <c r="AD98" s="14" t="e">
        <f t="shared" si="71"/>
        <v>#DIV/0!</v>
      </c>
      <c r="AE98" s="14" t="e">
        <f t="shared" si="71"/>
        <v>#DIV/0!</v>
      </c>
      <c r="AF98" s="14" t="e">
        <f t="shared" si="71"/>
        <v>#DIV/0!</v>
      </c>
      <c r="AG98" s="14" t="e">
        <f t="shared" si="71"/>
        <v>#DIV/0!</v>
      </c>
      <c r="AH98" s="14" t="e">
        <f t="shared" si="71"/>
        <v>#DIV/0!</v>
      </c>
      <c r="AI98" s="14" t="e">
        <f t="shared" si="71"/>
        <v>#DIV/0!</v>
      </c>
      <c r="AJ98" s="14" t="e">
        <f t="shared" si="71"/>
        <v>#DIV/0!</v>
      </c>
      <c r="AK98" s="14" t="e">
        <f t="shared" si="71"/>
        <v>#DIV/0!</v>
      </c>
      <c r="AL98" s="14" t="e">
        <f t="shared" si="71"/>
        <v>#DIV/0!</v>
      </c>
      <c r="AM98" s="14" t="e">
        <f t="shared" si="71"/>
        <v>#DIV/0!</v>
      </c>
      <c r="AN98" s="14" t="e">
        <f t="shared" si="71"/>
        <v>#DIV/0!</v>
      </c>
      <c r="AO98" s="14" t="e">
        <f t="shared" si="71"/>
        <v>#DIV/0!</v>
      </c>
      <c r="AP98" s="14" t="e">
        <f t="shared" si="71"/>
        <v>#DIV/0!</v>
      </c>
      <c r="AQ98" s="14" t="e">
        <f t="shared" si="71"/>
        <v>#DIV/0!</v>
      </c>
      <c r="AR98" s="14" t="e">
        <f t="shared" si="71"/>
        <v>#DIV/0!</v>
      </c>
      <c r="AS98" s="14" t="e">
        <f t="shared" si="71"/>
        <v>#DIV/0!</v>
      </c>
      <c r="AT98" s="14" t="e">
        <f t="shared" si="71"/>
        <v>#DIV/0!</v>
      </c>
      <c r="AU98" s="14" t="e">
        <f t="shared" si="71"/>
        <v>#DIV/0!</v>
      </c>
      <c r="AV98" s="14" t="e">
        <f t="shared" si="71"/>
        <v>#DIV/0!</v>
      </c>
      <c r="AW98" s="14" t="e">
        <f t="shared" si="71"/>
        <v>#DIV/0!</v>
      </c>
      <c r="AX98" s="14" t="e">
        <f t="shared" si="71"/>
        <v>#DIV/0!</v>
      </c>
      <c r="AY98" s="14" t="e">
        <f t="shared" si="71"/>
        <v>#DIV/0!</v>
      </c>
      <c r="AZ98" s="14" t="e">
        <f t="shared" si="71"/>
        <v>#DIV/0!</v>
      </c>
      <c r="BA98" s="14" t="e">
        <f t="shared" si="71"/>
        <v>#DIV/0!</v>
      </c>
      <c r="BB98" s="14" t="e">
        <f t="shared" si="71"/>
        <v>#DIV/0!</v>
      </c>
      <c r="BC98" s="14" t="e">
        <f t="shared" si="71"/>
        <v>#DIV/0!</v>
      </c>
      <c r="BD98" s="14" t="e">
        <f t="shared" si="71"/>
        <v>#DIV/0!</v>
      </c>
      <c r="BE98" s="14" t="e">
        <f t="shared" si="71"/>
        <v>#DIV/0!</v>
      </c>
      <c r="BF98" s="14" t="e">
        <f t="shared" si="71"/>
        <v>#DIV/0!</v>
      </c>
      <c r="BG98" s="14" t="e">
        <f t="shared" si="71"/>
        <v>#DIV/0!</v>
      </c>
      <c r="BH98" s="14" t="e">
        <f t="shared" si="71"/>
        <v>#DIV/0!</v>
      </c>
      <c r="BI98" s="14" t="e">
        <f t="shared" si="71"/>
        <v>#DIV/0!</v>
      </c>
      <c r="BJ98" s="14" t="e">
        <f t="shared" si="71"/>
        <v>#DIV/0!</v>
      </c>
      <c r="BK98" s="14" t="e">
        <f t="shared" si="71"/>
        <v>#DIV/0!</v>
      </c>
      <c r="BL98" s="14" t="e">
        <f t="shared" si="71"/>
        <v>#DIV/0!</v>
      </c>
      <c r="BM98" s="14" t="e">
        <f t="shared" si="71"/>
        <v>#DIV/0!</v>
      </c>
      <c r="BN98" s="14" t="e">
        <f t="shared" si="71"/>
        <v>#DIV/0!</v>
      </c>
      <c r="BO98" s="14" t="e">
        <f t="shared" si="71"/>
        <v>#DIV/0!</v>
      </c>
      <c r="BP98" s="14" t="e">
        <f t="shared" si="71"/>
        <v>#DIV/0!</v>
      </c>
      <c r="BQ98" s="14" t="e">
        <f t="shared" si="71"/>
        <v>#DIV/0!</v>
      </c>
      <c r="BR98" s="14" t="e">
        <f t="shared" si="71"/>
        <v>#DIV/0!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 t="e">
        <f t="shared" ref="F99" si="72">F23*$C$78</f>
        <v>#DIV/0!</v>
      </c>
      <c r="G99" s="14" t="e">
        <f t="shared" ref="G99:BR99" si="73">G23*$C$78</f>
        <v>#DIV/0!</v>
      </c>
      <c r="H99" s="14" t="e">
        <f t="shared" si="73"/>
        <v>#DIV/0!</v>
      </c>
      <c r="I99" s="14" t="e">
        <f t="shared" si="73"/>
        <v>#DIV/0!</v>
      </c>
      <c r="J99" s="14" t="e">
        <f t="shared" si="73"/>
        <v>#DIV/0!</v>
      </c>
      <c r="K99" s="14" t="e">
        <f t="shared" si="73"/>
        <v>#DIV/0!</v>
      </c>
      <c r="L99" s="14" t="e">
        <f t="shared" si="73"/>
        <v>#DIV/0!</v>
      </c>
      <c r="M99" s="14" t="e">
        <f t="shared" si="73"/>
        <v>#DIV/0!</v>
      </c>
      <c r="N99" s="14" t="e">
        <f t="shared" si="73"/>
        <v>#DIV/0!</v>
      </c>
      <c r="O99" s="14" t="e">
        <f t="shared" si="73"/>
        <v>#DIV/0!</v>
      </c>
      <c r="P99" s="14" t="e">
        <f t="shared" si="73"/>
        <v>#DIV/0!</v>
      </c>
      <c r="Q99" s="14" t="e">
        <f t="shared" si="73"/>
        <v>#DIV/0!</v>
      </c>
      <c r="R99" s="14" t="e">
        <f t="shared" si="73"/>
        <v>#DIV/0!</v>
      </c>
      <c r="S99" s="14" t="e">
        <f t="shared" si="73"/>
        <v>#DIV/0!</v>
      </c>
      <c r="T99" s="14" t="e">
        <f t="shared" si="73"/>
        <v>#DIV/0!</v>
      </c>
      <c r="U99" s="14" t="e">
        <f t="shared" si="73"/>
        <v>#DIV/0!</v>
      </c>
      <c r="V99" s="14" t="e">
        <f t="shared" si="73"/>
        <v>#DIV/0!</v>
      </c>
      <c r="W99" s="14" t="e">
        <f t="shared" si="73"/>
        <v>#DIV/0!</v>
      </c>
      <c r="X99" s="14" t="e">
        <f t="shared" si="73"/>
        <v>#DIV/0!</v>
      </c>
      <c r="Y99" s="14" t="e">
        <f t="shared" si="73"/>
        <v>#DIV/0!</v>
      </c>
      <c r="Z99" s="14" t="e">
        <f t="shared" si="73"/>
        <v>#DIV/0!</v>
      </c>
      <c r="AA99" s="14" t="e">
        <f t="shared" si="73"/>
        <v>#DIV/0!</v>
      </c>
      <c r="AB99" s="14" t="e">
        <f t="shared" si="73"/>
        <v>#DIV/0!</v>
      </c>
      <c r="AC99" s="14" t="e">
        <f t="shared" si="73"/>
        <v>#DIV/0!</v>
      </c>
      <c r="AD99" s="14" t="e">
        <f t="shared" si="73"/>
        <v>#DIV/0!</v>
      </c>
      <c r="AE99" s="14" t="e">
        <f t="shared" si="73"/>
        <v>#DIV/0!</v>
      </c>
      <c r="AF99" s="14" t="e">
        <f t="shared" si="73"/>
        <v>#DIV/0!</v>
      </c>
      <c r="AG99" s="14" t="e">
        <f t="shared" si="73"/>
        <v>#DIV/0!</v>
      </c>
      <c r="AH99" s="14" t="e">
        <f t="shared" si="73"/>
        <v>#DIV/0!</v>
      </c>
      <c r="AI99" s="14" t="e">
        <f t="shared" si="73"/>
        <v>#DIV/0!</v>
      </c>
      <c r="AJ99" s="14" t="e">
        <f t="shared" si="73"/>
        <v>#DIV/0!</v>
      </c>
      <c r="AK99" s="14" t="e">
        <f t="shared" si="73"/>
        <v>#DIV/0!</v>
      </c>
      <c r="AL99" s="14" t="e">
        <f t="shared" si="73"/>
        <v>#DIV/0!</v>
      </c>
      <c r="AM99" s="14" t="e">
        <f t="shared" si="73"/>
        <v>#DIV/0!</v>
      </c>
      <c r="AN99" s="14" t="e">
        <f t="shared" si="73"/>
        <v>#DIV/0!</v>
      </c>
      <c r="AO99" s="14" t="e">
        <f t="shared" si="73"/>
        <v>#DIV/0!</v>
      </c>
      <c r="AP99" s="14" t="e">
        <f t="shared" si="73"/>
        <v>#DIV/0!</v>
      </c>
      <c r="AQ99" s="14" t="e">
        <f t="shared" si="73"/>
        <v>#DIV/0!</v>
      </c>
      <c r="AR99" s="14" t="e">
        <f t="shared" si="73"/>
        <v>#DIV/0!</v>
      </c>
      <c r="AS99" s="14" t="e">
        <f t="shared" si="73"/>
        <v>#DIV/0!</v>
      </c>
      <c r="AT99" s="14" t="e">
        <f t="shared" si="73"/>
        <v>#DIV/0!</v>
      </c>
      <c r="AU99" s="14" t="e">
        <f t="shared" si="73"/>
        <v>#DIV/0!</v>
      </c>
      <c r="AV99" s="14" t="e">
        <f t="shared" si="73"/>
        <v>#DIV/0!</v>
      </c>
      <c r="AW99" s="14" t="e">
        <f t="shared" si="73"/>
        <v>#DIV/0!</v>
      </c>
      <c r="AX99" s="14" t="e">
        <f t="shared" si="73"/>
        <v>#DIV/0!</v>
      </c>
      <c r="AY99" s="14" t="e">
        <f t="shared" si="73"/>
        <v>#DIV/0!</v>
      </c>
      <c r="AZ99" s="14" t="e">
        <f t="shared" si="73"/>
        <v>#DIV/0!</v>
      </c>
      <c r="BA99" s="14" t="e">
        <f t="shared" si="73"/>
        <v>#DIV/0!</v>
      </c>
      <c r="BB99" s="14" t="e">
        <f t="shared" si="73"/>
        <v>#DIV/0!</v>
      </c>
      <c r="BC99" s="14" t="e">
        <f t="shared" si="73"/>
        <v>#DIV/0!</v>
      </c>
      <c r="BD99" s="14" t="e">
        <f t="shared" si="73"/>
        <v>#DIV/0!</v>
      </c>
      <c r="BE99" s="14" t="e">
        <f t="shared" si="73"/>
        <v>#DIV/0!</v>
      </c>
      <c r="BF99" s="14" t="e">
        <f t="shared" si="73"/>
        <v>#DIV/0!</v>
      </c>
      <c r="BG99" s="14" t="e">
        <f t="shared" si="73"/>
        <v>#DIV/0!</v>
      </c>
      <c r="BH99" s="14" t="e">
        <f t="shared" si="73"/>
        <v>#DIV/0!</v>
      </c>
      <c r="BI99" s="14" t="e">
        <f t="shared" si="73"/>
        <v>#DIV/0!</v>
      </c>
      <c r="BJ99" s="14" t="e">
        <f t="shared" si="73"/>
        <v>#DIV/0!</v>
      </c>
      <c r="BK99" s="14" t="e">
        <f t="shared" si="73"/>
        <v>#DIV/0!</v>
      </c>
      <c r="BL99" s="14" t="e">
        <f t="shared" si="73"/>
        <v>#DIV/0!</v>
      </c>
      <c r="BM99" s="14" t="e">
        <f t="shared" si="73"/>
        <v>#DIV/0!</v>
      </c>
      <c r="BN99" s="14" t="e">
        <f t="shared" si="73"/>
        <v>#DIV/0!</v>
      </c>
      <c r="BO99" s="14" t="e">
        <f t="shared" si="73"/>
        <v>#DIV/0!</v>
      </c>
      <c r="BP99" s="14" t="e">
        <f t="shared" si="73"/>
        <v>#DIV/0!</v>
      </c>
      <c r="BQ99" s="14" t="e">
        <f t="shared" si="73"/>
        <v>#DIV/0!</v>
      </c>
      <c r="BR99" s="14" t="e">
        <f t="shared" si="73"/>
        <v>#DIV/0!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 t="e">
        <f t="shared" ref="F100" si="74">F24*$C$78</f>
        <v>#DIV/0!</v>
      </c>
      <c r="G100" s="14" t="e">
        <f t="shared" ref="G100:BR100" si="75">G24*$C$78</f>
        <v>#DIV/0!</v>
      </c>
      <c r="H100" s="14" t="e">
        <f t="shared" si="75"/>
        <v>#DIV/0!</v>
      </c>
      <c r="I100" s="14" t="e">
        <f t="shared" si="75"/>
        <v>#DIV/0!</v>
      </c>
      <c r="J100" s="14" t="e">
        <f t="shared" si="75"/>
        <v>#DIV/0!</v>
      </c>
      <c r="K100" s="14" t="e">
        <f t="shared" si="75"/>
        <v>#DIV/0!</v>
      </c>
      <c r="L100" s="14" t="e">
        <f t="shared" si="75"/>
        <v>#DIV/0!</v>
      </c>
      <c r="M100" s="14" t="e">
        <f t="shared" si="75"/>
        <v>#DIV/0!</v>
      </c>
      <c r="N100" s="14" t="e">
        <f t="shared" si="75"/>
        <v>#DIV/0!</v>
      </c>
      <c r="O100" s="14" t="e">
        <f t="shared" si="75"/>
        <v>#DIV/0!</v>
      </c>
      <c r="P100" s="14" t="e">
        <f t="shared" si="75"/>
        <v>#DIV/0!</v>
      </c>
      <c r="Q100" s="14" t="e">
        <f t="shared" si="75"/>
        <v>#DIV/0!</v>
      </c>
      <c r="R100" s="14" t="e">
        <f t="shared" si="75"/>
        <v>#DIV/0!</v>
      </c>
      <c r="S100" s="14" t="e">
        <f t="shared" si="75"/>
        <v>#DIV/0!</v>
      </c>
      <c r="T100" s="14" t="e">
        <f t="shared" si="75"/>
        <v>#DIV/0!</v>
      </c>
      <c r="U100" s="14" t="e">
        <f t="shared" si="75"/>
        <v>#DIV/0!</v>
      </c>
      <c r="V100" s="14" t="e">
        <f t="shared" si="75"/>
        <v>#DIV/0!</v>
      </c>
      <c r="W100" s="14" t="e">
        <f t="shared" si="75"/>
        <v>#DIV/0!</v>
      </c>
      <c r="X100" s="14" t="e">
        <f t="shared" si="75"/>
        <v>#DIV/0!</v>
      </c>
      <c r="Y100" s="14" t="e">
        <f t="shared" si="75"/>
        <v>#DIV/0!</v>
      </c>
      <c r="Z100" s="14" t="e">
        <f t="shared" si="75"/>
        <v>#DIV/0!</v>
      </c>
      <c r="AA100" s="14" t="e">
        <f t="shared" si="75"/>
        <v>#DIV/0!</v>
      </c>
      <c r="AB100" s="14" t="e">
        <f t="shared" si="75"/>
        <v>#DIV/0!</v>
      </c>
      <c r="AC100" s="14" t="e">
        <f t="shared" si="75"/>
        <v>#DIV/0!</v>
      </c>
      <c r="AD100" s="14" t="e">
        <f t="shared" si="75"/>
        <v>#DIV/0!</v>
      </c>
      <c r="AE100" s="14" t="e">
        <f t="shared" si="75"/>
        <v>#DIV/0!</v>
      </c>
      <c r="AF100" s="14" t="e">
        <f t="shared" si="75"/>
        <v>#DIV/0!</v>
      </c>
      <c r="AG100" s="14" t="e">
        <f t="shared" si="75"/>
        <v>#DIV/0!</v>
      </c>
      <c r="AH100" s="14" t="e">
        <f t="shared" si="75"/>
        <v>#DIV/0!</v>
      </c>
      <c r="AI100" s="14" t="e">
        <f t="shared" si="75"/>
        <v>#DIV/0!</v>
      </c>
      <c r="AJ100" s="14" t="e">
        <f t="shared" si="75"/>
        <v>#DIV/0!</v>
      </c>
      <c r="AK100" s="14" t="e">
        <f t="shared" si="75"/>
        <v>#DIV/0!</v>
      </c>
      <c r="AL100" s="14" t="e">
        <f t="shared" si="75"/>
        <v>#DIV/0!</v>
      </c>
      <c r="AM100" s="14" t="e">
        <f t="shared" si="75"/>
        <v>#DIV/0!</v>
      </c>
      <c r="AN100" s="14" t="e">
        <f t="shared" si="75"/>
        <v>#DIV/0!</v>
      </c>
      <c r="AO100" s="14" t="e">
        <f t="shared" si="75"/>
        <v>#DIV/0!</v>
      </c>
      <c r="AP100" s="14" t="e">
        <f t="shared" si="75"/>
        <v>#DIV/0!</v>
      </c>
      <c r="AQ100" s="14" t="e">
        <f t="shared" si="75"/>
        <v>#DIV/0!</v>
      </c>
      <c r="AR100" s="14" t="e">
        <f t="shared" si="75"/>
        <v>#DIV/0!</v>
      </c>
      <c r="AS100" s="14" t="e">
        <f t="shared" si="75"/>
        <v>#DIV/0!</v>
      </c>
      <c r="AT100" s="14" t="e">
        <f t="shared" si="75"/>
        <v>#DIV/0!</v>
      </c>
      <c r="AU100" s="14" t="e">
        <f t="shared" si="75"/>
        <v>#DIV/0!</v>
      </c>
      <c r="AV100" s="14" t="e">
        <f t="shared" si="75"/>
        <v>#DIV/0!</v>
      </c>
      <c r="AW100" s="14" t="e">
        <f t="shared" si="75"/>
        <v>#DIV/0!</v>
      </c>
      <c r="AX100" s="14" t="e">
        <f t="shared" si="75"/>
        <v>#DIV/0!</v>
      </c>
      <c r="AY100" s="14" t="e">
        <f t="shared" si="75"/>
        <v>#DIV/0!</v>
      </c>
      <c r="AZ100" s="14" t="e">
        <f t="shared" si="75"/>
        <v>#DIV/0!</v>
      </c>
      <c r="BA100" s="14" t="e">
        <f t="shared" si="75"/>
        <v>#DIV/0!</v>
      </c>
      <c r="BB100" s="14" t="e">
        <f t="shared" si="75"/>
        <v>#DIV/0!</v>
      </c>
      <c r="BC100" s="14" t="e">
        <f t="shared" si="75"/>
        <v>#DIV/0!</v>
      </c>
      <c r="BD100" s="14" t="e">
        <f t="shared" si="75"/>
        <v>#DIV/0!</v>
      </c>
      <c r="BE100" s="14" t="e">
        <f t="shared" si="75"/>
        <v>#DIV/0!</v>
      </c>
      <c r="BF100" s="14" t="e">
        <f t="shared" si="75"/>
        <v>#DIV/0!</v>
      </c>
      <c r="BG100" s="14" t="e">
        <f t="shared" si="75"/>
        <v>#DIV/0!</v>
      </c>
      <c r="BH100" s="14" t="e">
        <f t="shared" si="75"/>
        <v>#DIV/0!</v>
      </c>
      <c r="BI100" s="14" t="e">
        <f t="shared" si="75"/>
        <v>#DIV/0!</v>
      </c>
      <c r="BJ100" s="14" t="e">
        <f t="shared" si="75"/>
        <v>#DIV/0!</v>
      </c>
      <c r="BK100" s="14" t="e">
        <f t="shared" si="75"/>
        <v>#DIV/0!</v>
      </c>
      <c r="BL100" s="14" t="e">
        <f t="shared" si="75"/>
        <v>#DIV/0!</v>
      </c>
      <c r="BM100" s="14" t="e">
        <f t="shared" si="75"/>
        <v>#DIV/0!</v>
      </c>
      <c r="BN100" s="14" t="e">
        <f t="shared" si="75"/>
        <v>#DIV/0!</v>
      </c>
      <c r="BO100" s="14" t="e">
        <f t="shared" si="75"/>
        <v>#DIV/0!</v>
      </c>
      <c r="BP100" s="14" t="e">
        <f t="shared" si="75"/>
        <v>#DIV/0!</v>
      </c>
      <c r="BQ100" s="14" t="e">
        <f t="shared" si="75"/>
        <v>#DIV/0!</v>
      </c>
      <c r="BR100" s="14" t="e">
        <f t="shared" si="75"/>
        <v>#DIV/0!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 t="e">
        <f t="shared" ref="F101" si="76">F25*$C$78</f>
        <v>#DIV/0!</v>
      </c>
      <c r="G101" s="14" t="e">
        <f t="shared" ref="G101:BR101" si="77">G25*$C$78</f>
        <v>#DIV/0!</v>
      </c>
      <c r="H101" s="14" t="e">
        <f t="shared" si="77"/>
        <v>#DIV/0!</v>
      </c>
      <c r="I101" s="14" t="e">
        <f t="shared" si="77"/>
        <v>#DIV/0!</v>
      </c>
      <c r="J101" s="14" t="e">
        <f t="shared" si="77"/>
        <v>#DIV/0!</v>
      </c>
      <c r="K101" s="14" t="e">
        <f t="shared" si="77"/>
        <v>#DIV/0!</v>
      </c>
      <c r="L101" s="14" t="e">
        <f t="shared" si="77"/>
        <v>#DIV/0!</v>
      </c>
      <c r="M101" s="14" t="e">
        <f t="shared" si="77"/>
        <v>#DIV/0!</v>
      </c>
      <c r="N101" s="14" t="e">
        <f t="shared" si="77"/>
        <v>#DIV/0!</v>
      </c>
      <c r="O101" s="14" t="e">
        <f t="shared" si="77"/>
        <v>#DIV/0!</v>
      </c>
      <c r="P101" s="14" t="e">
        <f t="shared" si="77"/>
        <v>#DIV/0!</v>
      </c>
      <c r="Q101" s="14" t="e">
        <f t="shared" si="77"/>
        <v>#DIV/0!</v>
      </c>
      <c r="R101" s="14" t="e">
        <f t="shared" si="77"/>
        <v>#DIV/0!</v>
      </c>
      <c r="S101" s="14" t="e">
        <f t="shared" si="77"/>
        <v>#DIV/0!</v>
      </c>
      <c r="T101" s="14" t="e">
        <f t="shared" si="77"/>
        <v>#DIV/0!</v>
      </c>
      <c r="U101" s="14" t="e">
        <f t="shared" si="77"/>
        <v>#DIV/0!</v>
      </c>
      <c r="V101" s="14" t="e">
        <f t="shared" si="77"/>
        <v>#DIV/0!</v>
      </c>
      <c r="W101" s="14" t="e">
        <f t="shared" si="77"/>
        <v>#DIV/0!</v>
      </c>
      <c r="X101" s="14" t="e">
        <f t="shared" si="77"/>
        <v>#DIV/0!</v>
      </c>
      <c r="Y101" s="14" t="e">
        <f t="shared" si="77"/>
        <v>#DIV/0!</v>
      </c>
      <c r="Z101" s="14" t="e">
        <f t="shared" si="77"/>
        <v>#DIV/0!</v>
      </c>
      <c r="AA101" s="14" t="e">
        <f t="shared" si="77"/>
        <v>#DIV/0!</v>
      </c>
      <c r="AB101" s="14" t="e">
        <f t="shared" si="77"/>
        <v>#DIV/0!</v>
      </c>
      <c r="AC101" s="14" t="e">
        <f t="shared" si="77"/>
        <v>#DIV/0!</v>
      </c>
      <c r="AD101" s="14" t="e">
        <f t="shared" si="77"/>
        <v>#DIV/0!</v>
      </c>
      <c r="AE101" s="14" t="e">
        <f t="shared" si="77"/>
        <v>#DIV/0!</v>
      </c>
      <c r="AF101" s="14" t="e">
        <f t="shared" si="77"/>
        <v>#DIV/0!</v>
      </c>
      <c r="AG101" s="14" t="e">
        <f t="shared" si="77"/>
        <v>#DIV/0!</v>
      </c>
      <c r="AH101" s="14" t="e">
        <f t="shared" si="77"/>
        <v>#DIV/0!</v>
      </c>
      <c r="AI101" s="14" t="e">
        <f t="shared" si="77"/>
        <v>#DIV/0!</v>
      </c>
      <c r="AJ101" s="14" t="e">
        <f t="shared" si="77"/>
        <v>#DIV/0!</v>
      </c>
      <c r="AK101" s="14" t="e">
        <f t="shared" si="77"/>
        <v>#DIV/0!</v>
      </c>
      <c r="AL101" s="14" t="e">
        <f t="shared" si="77"/>
        <v>#DIV/0!</v>
      </c>
      <c r="AM101" s="14" t="e">
        <f t="shared" si="77"/>
        <v>#DIV/0!</v>
      </c>
      <c r="AN101" s="14" t="e">
        <f t="shared" si="77"/>
        <v>#DIV/0!</v>
      </c>
      <c r="AO101" s="14" t="e">
        <f t="shared" si="77"/>
        <v>#DIV/0!</v>
      </c>
      <c r="AP101" s="14" t="e">
        <f t="shared" si="77"/>
        <v>#DIV/0!</v>
      </c>
      <c r="AQ101" s="14" t="e">
        <f t="shared" si="77"/>
        <v>#DIV/0!</v>
      </c>
      <c r="AR101" s="14" t="e">
        <f t="shared" si="77"/>
        <v>#DIV/0!</v>
      </c>
      <c r="AS101" s="14" t="e">
        <f t="shared" si="77"/>
        <v>#DIV/0!</v>
      </c>
      <c r="AT101" s="14" t="e">
        <f t="shared" si="77"/>
        <v>#DIV/0!</v>
      </c>
      <c r="AU101" s="14" t="e">
        <f t="shared" si="77"/>
        <v>#DIV/0!</v>
      </c>
      <c r="AV101" s="14" t="e">
        <f t="shared" si="77"/>
        <v>#DIV/0!</v>
      </c>
      <c r="AW101" s="14" t="e">
        <f t="shared" si="77"/>
        <v>#DIV/0!</v>
      </c>
      <c r="AX101" s="14" t="e">
        <f t="shared" si="77"/>
        <v>#DIV/0!</v>
      </c>
      <c r="AY101" s="14" t="e">
        <f t="shared" si="77"/>
        <v>#DIV/0!</v>
      </c>
      <c r="AZ101" s="14" t="e">
        <f t="shared" si="77"/>
        <v>#DIV/0!</v>
      </c>
      <c r="BA101" s="14" t="e">
        <f t="shared" si="77"/>
        <v>#DIV/0!</v>
      </c>
      <c r="BB101" s="14" t="e">
        <f t="shared" si="77"/>
        <v>#DIV/0!</v>
      </c>
      <c r="BC101" s="14" t="e">
        <f t="shared" si="77"/>
        <v>#DIV/0!</v>
      </c>
      <c r="BD101" s="14" t="e">
        <f t="shared" si="77"/>
        <v>#DIV/0!</v>
      </c>
      <c r="BE101" s="14" t="e">
        <f t="shared" si="77"/>
        <v>#DIV/0!</v>
      </c>
      <c r="BF101" s="14" t="e">
        <f t="shared" si="77"/>
        <v>#DIV/0!</v>
      </c>
      <c r="BG101" s="14" t="e">
        <f t="shared" si="77"/>
        <v>#DIV/0!</v>
      </c>
      <c r="BH101" s="14" t="e">
        <f t="shared" si="77"/>
        <v>#DIV/0!</v>
      </c>
      <c r="BI101" s="14" t="e">
        <f t="shared" si="77"/>
        <v>#DIV/0!</v>
      </c>
      <c r="BJ101" s="14" t="e">
        <f t="shared" si="77"/>
        <v>#DIV/0!</v>
      </c>
      <c r="BK101" s="14" t="e">
        <f t="shared" si="77"/>
        <v>#DIV/0!</v>
      </c>
      <c r="BL101" s="14" t="e">
        <f t="shared" si="77"/>
        <v>#DIV/0!</v>
      </c>
      <c r="BM101" s="14" t="e">
        <f t="shared" si="77"/>
        <v>#DIV/0!</v>
      </c>
      <c r="BN101" s="14" t="e">
        <f t="shared" si="77"/>
        <v>#DIV/0!</v>
      </c>
      <c r="BO101" s="14" t="e">
        <f t="shared" si="77"/>
        <v>#DIV/0!</v>
      </c>
      <c r="BP101" s="14" t="e">
        <f t="shared" si="77"/>
        <v>#DIV/0!</v>
      </c>
      <c r="BQ101" s="14" t="e">
        <f t="shared" si="77"/>
        <v>#DIV/0!</v>
      </c>
      <c r="BR101" s="14" t="e">
        <f t="shared" si="77"/>
        <v>#DIV/0!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 t="e">
        <f t="shared" ref="F102" si="78">F26*$C$78</f>
        <v>#DIV/0!</v>
      </c>
      <c r="G102" s="14" t="e">
        <f t="shared" ref="G102:BR102" si="79">G26*$C$78</f>
        <v>#DIV/0!</v>
      </c>
      <c r="H102" s="14" t="e">
        <f t="shared" si="79"/>
        <v>#DIV/0!</v>
      </c>
      <c r="I102" s="14" t="e">
        <f t="shared" si="79"/>
        <v>#DIV/0!</v>
      </c>
      <c r="J102" s="14" t="e">
        <f t="shared" si="79"/>
        <v>#DIV/0!</v>
      </c>
      <c r="K102" s="14" t="e">
        <f t="shared" si="79"/>
        <v>#DIV/0!</v>
      </c>
      <c r="L102" s="14" t="e">
        <f t="shared" si="79"/>
        <v>#DIV/0!</v>
      </c>
      <c r="M102" s="14" t="e">
        <f t="shared" si="79"/>
        <v>#DIV/0!</v>
      </c>
      <c r="N102" s="14" t="e">
        <f t="shared" si="79"/>
        <v>#DIV/0!</v>
      </c>
      <c r="O102" s="14" t="e">
        <f t="shared" si="79"/>
        <v>#DIV/0!</v>
      </c>
      <c r="P102" s="14" t="e">
        <f t="shared" si="79"/>
        <v>#DIV/0!</v>
      </c>
      <c r="Q102" s="14" t="e">
        <f t="shared" si="79"/>
        <v>#DIV/0!</v>
      </c>
      <c r="R102" s="14" t="e">
        <f t="shared" si="79"/>
        <v>#DIV/0!</v>
      </c>
      <c r="S102" s="14" t="e">
        <f t="shared" si="79"/>
        <v>#DIV/0!</v>
      </c>
      <c r="T102" s="14" t="e">
        <f t="shared" si="79"/>
        <v>#DIV/0!</v>
      </c>
      <c r="U102" s="14" t="e">
        <f t="shared" si="79"/>
        <v>#DIV/0!</v>
      </c>
      <c r="V102" s="14" t="e">
        <f t="shared" si="79"/>
        <v>#DIV/0!</v>
      </c>
      <c r="W102" s="14" t="e">
        <f t="shared" si="79"/>
        <v>#DIV/0!</v>
      </c>
      <c r="X102" s="14" t="e">
        <f t="shared" si="79"/>
        <v>#DIV/0!</v>
      </c>
      <c r="Y102" s="14" t="e">
        <f t="shared" si="79"/>
        <v>#DIV/0!</v>
      </c>
      <c r="Z102" s="14" t="e">
        <f t="shared" si="79"/>
        <v>#DIV/0!</v>
      </c>
      <c r="AA102" s="14" t="e">
        <f t="shared" si="79"/>
        <v>#DIV/0!</v>
      </c>
      <c r="AB102" s="14" t="e">
        <f t="shared" si="79"/>
        <v>#DIV/0!</v>
      </c>
      <c r="AC102" s="14" t="e">
        <f t="shared" si="79"/>
        <v>#DIV/0!</v>
      </c>
      <c r="AD102" s="14" t="e">
        <f t="shared" si="79"/>
        <v>#DIV/0!</v>
      </c>
      <c r="AE102" s="14" t="e">
        <f t="shared" si="79"/>
        <v>#DIV/0!</v>
      </c>
      <c r="AF102" s="14" t="e">
        <f t="shared" si="79"/>
        <v>#DIV/0!</v>
      </c>
      <c r="AG102" s="14" t="e">
        <f t="shared" si="79"/>
        <v>#DIV/0!</v>
      </c>
      <c r="AH102" s="14" t="e">
        <f t="shared" si="79"/>
        <v>#DIV/0!</v>
      </c>
      <c r="AI102" s="14" t="e">
        <f t="shared" si="79"/>
        <v>#DIV/0!</v>
      </c>
      <c r="AJ102" s="14" t="e">
        <f t="shared" si="79"/>
        <v>#DIV/0!</v>
      </c>
      <c r="AK102" s="14" t="e">
        <f t="shared" si="79"/>
        <v>#DIV/0!</v>
      </c>
      <c r="AL102" s="14" t="e">
        <f t="shared" si="79"/>
        <v>#DIV/0!</v>
      </c>
      <c r="AM102" s="14" t="e">
        <f t="shared" si="79"/>
        <v>#DIV/0!</v>
      </c>
      <c r="AN102" s="14" t="e">
        <f t="shared" si="79"/>
        <v>#DIV/0!</v>
      </c>
      <c r="AO102" s="14" t="e">
        <f t="shared" si="79"/>
        <v>#DIV/0!</v>
      </c>
      <c r="AP102" s="14" t="e">
        <f t="shared" si="79"/>
        <v>#DIV/0!</v>
      </c>
      <c r="AQ102" s="14" t="e">
        <f t="shared" si="79"/>
        <v>#DIV/0!</v>
      </c>
      <c r="AR102" s="14" t="e">
        <f t="shared" si="79"/>
        <v>#DIV/0!</v>
      </c>
      <c r="AS102" s="14" t="e">
        <f t="shared" si="79"/>
        <v>#DIV/0!</v>
      </c>
      <c r="AT102" s="14" t="e">
        <f t="shared" si="79"/>
        <v>#DIV/0!</v>
      </c>
      <c r="AU102" s="14" t="e">
        <f t="shared" si="79"/>
        <v>#DIV/0!</v>
      </c>
      <c r="AV102" s="14" t="e">
        <f t="shared" si="79"/>
        <v>#DIV/0!</v>
      </c>
      <c r="AW102" s="14" t="e">
        <f t="shared" si="79"/>
        <v>#DIV/0!</v>
      </c>
      <c r="AX102" s="14" t="e">
        <f t="shared" si="79"/>
        <v>#DIV/0!</v>
      </c>
      <c r="AY102" s="14" t="e">
        <f t="shared" si="79"/>
        <v>#DIV/0!</v>
      </c>
      <c r="AZ102" s="14" t="e">
        <f t="shared" si="79"/>
        <v>#DIV/0!</v>
      </c>
      <c r="BA102" s="14" t="e">
        <f t="shared" si="79"/>
        <v>#DIV/0!</v>
      </c>
      <c r="BB102" s="14" t="e">
        <f t="shared" si="79"/>
        <v>#DIV/0!</v>
      </c>
      <c r="BC102" s="14" t="e">
        <f t="shared" si="79"/>
        <v>#DIV/0!</v>
      </c>
      <c r="BD102" s="14" t="e">
        <f t="shared" si="79"/>
        <v>#DIV/0!</v>
      </c>
      <c r="BE102" s="14" t="e">
        <f t="shared" si="79"/>
        <v>#DIV/0!</v>
      </c>
      <c r="BF102" s="14" t="e">
        <f t="shared" si="79"/>
        <v>#DIV/0!</v>
      </c>
      <c r="BG102" s="14" t="e">
        <f t="shared" si="79"/>
        <v>#DIV/0!</v>
      </c>
      <c r="BH102" s="14" t="e">
        <f t="shared" si="79"/>
        <v>#DIV/0!</v>
      </c>
      <c r="BI102" s="14" t="e">
        <f t="shared" si="79"/>
        <v>#DIV/0!</v>
      </c>
      <c r="BJ102" s="14" t="e">
        <f t="shared" si="79"/>
        <v>#DIV/0!</v>
      </c>
      <c r="BK102" s="14" t="e">
        <f t="shared" si="79"/>
        <v>#DIV/0!</v>
      </c>
      <c r="BL102" s="14" t="e">
        <f t="shared" si="79"/>
        <v>#DIV/0!</v>
      </c>
      <c r="BM102" s="14" t="e">
        <f t="shared" si="79"/>
        <v>#DIV/0!</v>
      </c>
      <c r="BN102" s="14" t="e">
        <f t="shared" si="79"/>
        <v>#DIV/0!</v>
      </c>
      <c r="BO102" s="14" t="e">
        <f t="shared" si="79"/>
        <v>#DIV/0!</v>
      </c>
      <c r="BP102" s="14" t="e">
        <f t="shared" si="79"/>
        <v>#DIV/0!</v>
      </c>
      <c r="BQ102" s="14" t="e">
        <f t="shared" si="79"/>
        <v>#DIV/0!</v>
      </c>
      <c r="BR102" s="14" t="e">
        <f t="shared" si="79"/>
        <v>#DIV/0!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 t="e">
        <f t="shared" ref="F103" si="80">F27*$C$78</f>
        <v>#DIV/0!</v>
      </c>
      <c r="G103" s="14" t="e">
        <f t="shared" ref="G103:BR103" si="81">G27*$C$78</f>
        <v>#DIV/0!</v>
      </c>
      <c r="H103" s="14" t="e">
        <f t="shared" si="81"/>
        <v>#DIV/0!</v>
      </c>
      <c r="I103" s="14" t="e">
        <f t="shared" si="81"/>
        <v>#DIV/0!</v>
      </c>
      <c r="J103" s="14" t="e">
        <f t="shared" si="81"/>
        <v>#DIV/0!</v>
      </c>
      <c r="K103" s="14" t="e">
        <f t="shared" si="81"/>
        <v>#DIV/0!</v>
      </c>
      <c r="L103" s="14" t="e">
        <f t="shared" si="81"/>
        <v>#DIV/0!</v>
      </c>
      <c r="M103" s="14" t="e">
        <f t="shared" si="81"/>
        <v>#DIV/0!</v>
      </c>
      <c r="N103" s="14" t="e">
        <f t="shared" si="81"/>
        <v>#DIV/0!</v>
      </c>
      <c r="O103" s="14" t="e">
        <f t="shared" si="81"/>
        <v>#DIV/0!</v>
      </c>
      <c r="P103" s="14" t="e">
        <f t="shared" si="81"/>
        <v>#DIV/0!</v>
      </c>
      <c r="Q103" s="14" t="e">
        <f t="shared" si="81"/>
        <v>#DIV/0!</v>
      </c>
      <c r="R103" s="14" t="e">
        <f t="shared" si="81"/>
        <v>#DIV/0!</v>
      </c>
      <c r="S103" s="14" t="e">
        <f t="shared" si="81"/>
        <v>#DIV/0!</v>
      </c>
      <c r="T103" s="14" t="e">
        <f t="shared" si="81"/>
        <v>#DIV/0!</v>
      </c>
      <c r="U103" s="14" t="e">
        <f t="shared" si="81"/>
        <v>#DIV/0!</v>
      </c>
      <c r="V103" s="14" t="e">
        <f t="shared" si="81"/>
        <v>#DIV/0!</v>
      </c>
      <c r="W103" s="14" t="e">
        <f t="shared" si="81"/>
        <v>#DIV/0!</v>
      </c>
      <c r="X103" s="14" t="e">
        <f t="shared" si="81"/>
        <v>#DIV/0!</v>
      </c>
      <c r="Y103" s="14" t="e">
        <f t="shared" si="81"/>
        <v>#DIV/0!</v>
      </c>
      <c r="Z103" s="14" t="e">
        <f t="shared" si="81"/>
        <v>#DIV/0!</v>
      </c>
      <c r="AA103" s="14" t="e">
        <f t="shared" si="81"/>
        <v>#DIV/0!</v>
      </c>
      <c r="AB103" s="14" t="e">
        <f t="shared" si="81"/>
        <v>#DIV/0!</v>
      </c>
      <c r="AC103" s="14" t="e">
        <f t="shared" si="81"/>
        <v>#DIV/0!</v>
      </c>
      <c r="AD103" s="14" t="e">
        <f t="shared" si="81"/>
        <v>#DIV/0!</v>
      </c>
      <c r="AE103" s="14" t="e">
        <f t="shared" si="81"/>
        <v>#DIV/0!</v>
      </c>
      <c r="AF103" s="14" t="e">
        <f t="shared" si="81"/>
        <v>#DIV/0!</v>
      </c>
      <c r="AG103" s="14" t="e">
        <f t="shared" si="81"/>
        <v>#DIV/0!</v>
      </c>
      <c r="AH103" s="14" t="e">
        <f t="shared" si="81"/>
        <v>#DIV/0!</v>
      </c>
      <c r="AI103" s="14" t="e">
        <f t="shared" si="81"/>
        <v>#DIV/0!</v>
      </c>
      <c r="AJ103" s="14" t="e">
        <f t="shared" si="81"/>
        <v>#DIV/0!</v>
      </c>
      <c r="AK103" s="14" t="e">
        <f t="shared" si="81"/>
        <v>#DIV/0!</v>
      </c>
      <c r="AL103" s="14" t="e">
        <f t="shared" si="81"/>
        <v>#DIV/0!</v>
      </c>
      <c r="AM103" s="14" t="e">
        <f t="shared" si="81"/>
        <v>#DIV/0!</v>
      </c>
      <c r="AN103" s="14" t="e">
        <f t="shared" si="81"/>
        <v>#DIV/0!</v>
      </c>
      <c r="AO103" s="14" t="e">
        <f t="shared" si="81"/>
        <v>#DIV/0!</v>
      </c>
      <c r="AP103" s="14" t="e">
        <f t="shared" si="81"/>
        <v>#DIV/0!</v>
      </c>
      <c r="AQ103" s="14" t="e">
        <f t="shared" si="81"/>
        <v>#DIV/0!</v>
      </c>
      <c r="AR103" s="14" t="e">
        <f t="shared" si="81"/>
        <v>#DIV/0!</v>
      </c>
      <c r="AS103" s="14" t="e">
        <f t="shared" si="81"/>
        <v>#DIV/0!</v>
      </c>
      <c r="AT103" s="14" t="e">
        <f t="shared" si="81"/>
        <v>#DIV/0!</v>
      </c>
      <c r="AU103" s="14" t="e">
        <f t="shared" si="81"/>
        <v>#DIV/0!</v>
      </c>
      <c r="AV103" s="14" t="e">
        <f t="shared" si="81"/>
        <v>#DIV/0!</v>
      </c>
      <c r="AW103" s="14" t="e">
        <f t="shared" si="81"/>
        <v>#DIV/0!</v>
      </c>
      <c r="AX103" s="14" t="e">
        <f t="shared" si="81"/>
        <v>#DIV/0!</v>
      </c>
      <c r="AY103" s="14" t="e">
        <f t="shared" si="81"/>
        <v>#DIV/0!</v>
      </c>
      <c r="AZ103" s="14" t="e">
        <f t="shared" si="81"/>
        <v>#DIV/0!</v>
      </c>
      <c r="BA103" s="14" t="e">
        <f t="shared" si="81"/>
        <v>#DIV/0!</v>
      </c>
      <c r="BB103" s="14" t="e">
        <f t="shared" si="81"/>
        <v>#DIV/0!</v>
      </c>
      <c r="BC103" s="14" t="e">
        <f t="shared" si="81"/>
        <v>#DIV/0!</v>
      </c>
      <c r="BD103" s="14" t="e">
        <f t="shared" si="81"/>
        <v>#DIV/0!</v>
      </c>
      <c r="BE103" s="14" t="e">
        <f t="shared" si="81"/>
        <v>#DIV/0!</v>
      </c>
      <c r="BF103" s="14" t="e">
        <f t="shared" si="81"/>
        <v>#DIV/0!</v>
      </c>
      <c r="BG103" s="14" t="e">
        <f t="shared" si="81"/>
        <v>#DIV/0!</v>
      </c>
      <c r="BH103" s="14" t="e">
        <f t="shared" si="81"/>
        <v>#DIV/0!</v>
      </c>
      <c r="BI103" s="14" t="e">
        <f t="shared" si="81"/>
        <v>#DIV/0!</v>
      </c>
      <c r="BJ103" s="14" t="e">
        <f t="shared" si="81"/>
        <v>#DIV/0!</v>
      </c>
      <c r="BK103" s="14" t="e">
        <f t="shared" si="81"/>
        <v>#DIV/0!</v>
      </c>
      <c r="BL103" s="14" t="e">
        <f t="shared" si="81"/>
        <v>#DIV/0!</v>
      </c>
      <c r="BM103" s="14" t="e">
        <f t="shared" si="81"/>
        <v>#DIV/0!</v>
      </c>
      <c r="BN103" s="14" t="e">
        <f t="shared" si="81"/>
        <v>#DIV/0!</v>
      </c>
      <c r="BO103" s="14" t="e">
        <f t="shared" si="81"/>
        <v>#DIV/0!</v>
      </c>
      <c r="BP103" s="14" t="e">
        <f t="shared" si="81"/>
        <v>#DIV/0!</v>
      </c>
      <c r="BQ103" s="14" t="e">
        <f t="shared" si="81"/>
        <v>#DIV/0!</v>
      </c>
      <c r="BR103" s="14" t="e">
        <f t="shared" si="81"/>
        <v>#DIV/0!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 t="e">
        <f t="shared" ref="F104" si="82">F28*$C$78</f>
        <v>#DIV/0!</v>
      </c>
      <c r="G104" s="14" t="e">
        <f t="shared" ref="G104:BR104" si="83">G28*$C$78</f>
        <v>#DIV/0!</v>
      </c>
      <c r="H104" s="14" t="e">
        <f t="shared" si="83"/>
        <v>#DIV/0!</v>
      </c>
      <c r="I104" s="14" t="e">
        <f t="shared" si="83"/>
        <v>#DIV/0!</v>
      </c>
      <c r="J104" s="14" t="e">
        <f t="shared" si="83"/>
        <v>#DIV/0!</v>
      </c>
      <c r="K104" s="14" t="e">
        <f t="shared" si="83"/>
        <v>#DIV/0!</v>
      </c>
      <c r="L104" s="14" t="e">
        <f t="shared" si="83"/>
        <v>#DIV/0!</v>
      </c>
      <c r="M104" s="14" t="e">
        <f t="shared" si="83"/>
        <v>#DIV/0!</v>
      </c>
      <c r="N104" s="14" t="e">
        <f t="shared" si="83"/>
        <v>#DIV/0!</v>
      </c>
      <c r="O104" s="14" t="e">
        <f t="shared" si="83"/>
        <v>#DIV/0!</v>
      </c>
      <c r="P104" s="14" t="e">
        <f t="shared" si="83"/>
        <v>#DIV/0!</v>
      </c>
      <c r="Q104" s="14" t="e">
        <f t="shared" si="83"/>
        <v>#DIV/0!</v>
      </c>
      <c r="R104" s="14" t="e">
        <f t="shared" si="83"/>
        <v>#DIV/0!</v>
      </c>
      <c r="S104" s="14" t="e">
        <f t="shared" si="83"/>
        <v>#DIV/0!</v>
      </c>
      <c r="T104" s="14" t="e">
        <f t="shared" si="83"/>
        <v>#DIV/0!</v>
      </c>
      <c r="U104" s="14" t="e">
        <f t="shared" si="83"/>
        <v>#DIV/0!</v>
      </c>
      <c r="V104" s="14" t="e">
        <f t="shared" si="83"/>
        <v>#DIV/0!</v>
      </c>
      <c r="W104" s="14" t="e">
        <f t="shared" si="83"/>
        <v>#DIV/0!</v>
      </c>
      <c r="X104" s="14" t="e">
        <f t="shared" si="83"/>
        <v>#DIV/0!</v>
      </c>
      <c r="Y104" s="14" t="e">
        <f t="shared" si="83"/>
        <v>#DIV/0!</v>
      </c>
      <c r="Z104" s="14" t="e">
        <f t="shared" si="83"/>
        <v>#DIV/0!</v>
      </c>
      <c r="AA104" s="14" t="e">
        <f t="shared" si="83"/>
        <v>#DIV/0!</v>
      </c>
      <c r="AB104" s="14" t="e">
        <f t="shared" si="83"/>
        <v>#DIV/0!</v>
      </c>
      <c r="AC104" s="14" t="e">
        <f t="shared" si="83"/>
        <v>#DIV/0!</v>
      </c>
      <c r="AD104" s="14" t="e">
        <f t="shared" si="83"/>
        <v>#DIV/0!</v>
      </c>
      <c r="AE104" s="14" t="e">
        <f t="shared" si="83"/>
        <v>#DIV/0!</v>
      </c>
      <c r="AF104" s="14" t="e">
        <f t="shared" si="83"/>
        <v>#DIV/0!</v>
      </c>
      <c r="AG104" s="14" t="e">
        <f t="shared" si="83"/>
        <v>#DIV/0!</v>
      </c>
      <c r="AH104" s="14" t="e">
        <f t="shared" si="83"/>
        <v>#DIV/0!</v>
      </c>
      <c r="AI104" s="14" t="e">
        <f t="shared" si="83"/>
        <v>#DIV/0!</v>
      </c>
      <c r="AJ104" s="14" t="e">
        <f t="shared" si="83"/>
        <v>#DIV/0!</v>
      </c>
      <c r="AK104" s="14" t="e">
        <f t="shared" si="83"/>
        <v>#DIV/0!</v>
      </c>
      <c r="AL104" s="14" t="e">
        <f t="shared" si="83"/>
        <v>#DIV/0!</v>
      </c>
      <c r="AM104" s="14" t="e">
        <f t="shared" si="83"/>
        <v>#DIV/0!</v>
      </c>
      <c r="AN104" s="14" t="e">
        <f t="shared" si="83"/>
        <v>#DIV/0!</v>
      </c>
      <c r="AO104" s="14" t="e">
        <f t="shared" si="83"/>
        <v>#DIV/0!</v>
      </c>
      <c r="AP104" s="14" t="e">
        <f t="shared" si="83"/>
        <v>#DIV/0!</v>
      </c>
      <c r="AQ104" s="14" t="e">
        <f t="shared" si="83"/>
        <v>#DIV/0!</v>
      </c>
      <c r="AR104" s="14" t="e">
        <f t="shared" si="83"/>
        <v>#DIV/0!</v>
      </c>
      <c r="AS104" s="14" t="e">
        <f t="shared" si="83"/>
        <v>#DIV/0!</v>
      </c>
      <c r="AT104" s="14" t="e">
        <f t="shared" si="83"/>
        <v>#DIV/0!</v>
      </c>
      <c r="AU104" s="14" t="e">
        <f t="shared" si="83"/>
        <v>#DIV/0!</v>
      </c>
      <c r="AV104" s="14" t="e">
        <f t="shared" si="83"/>
        <v>#DIV/0!</v>
      </c>
      <c r="AW104" s="14" t="e">
        <f t="shared" si="83"/>
        <v>#DIV/0!</v>
      </c>
      <c r="AX104" s="14" t="e">
        <f t="shared" si="83"/>
        <v>#DIV/0!</v>
      </c>
      <c r="AY104" s="14" t="e">
        <f t="shared" si="83"/>
        <v>#DIV/0!</v>
      </c>
      <c r="AZ104" s="14" t="e">
        <f t="shared" si="83"/>
        <v>#DIV/0!</v>
      </c>
      <c r="BA104" s="14" t="e">
        <f t="shared" si="83"/>
        <v>#DIV/0!</v>
      </c>
      <c r="BB104" s="14" t="e">
        <f t="shared" si="83"/>
        <v>#DIV/0!</v>
      </c>
      <c r="BC104" s="14" t="e">
        <f t="shared" si="83"/>
        <v>#DIV/0!</v>
      </c>
      <c r="BD104" s="14" t="e">
        <f t="shared" si="83"/>
        <v>#DIV/0!</v>
      </c>
      <c r="BE104" s="14" t="e">
        <f t="shared" si="83"/>
        <v>#DIV/0!</v>
      </c>
      <c r="BF104" s="14" t="e">
        <f t="shared" si="83"/>
        <v>#DIV/0!</v>
      </c>
      <c r="BG104" s="14" t="e">
        <f t="shared" si="83"/>
        <v>#DIV/0!</v>
      </c>
      <c r="BH104" s="14" t="e">
        <f t="shared" si="83"/>
        <v>#DIV/0!</v>
      </c>
      <c r="BI104" s="14" t="e">
        <f t="shared" si="83"/>
        <v>#DIV/0!</v>
      </c>
      <c r="BJ104" s="14" t="e">
        <f t="shared" si="83"/>
        <v>#DIV/0!</v>
      </c>
      <c r="BK104" s="14" t="e">
        <f t="shared" si="83"/>
        <v>#DIV/0!</v>
      </c>
      <c r="BL104" s="14" t="e">
        <f t="shared" si="83"/>
        <v>#DIV/0!</v>
      </c>
      <c r="BM104" s="14" t="e">
        <f t="shared" si="83"/>
        <v>#DIV/0!</v>
      </c>
      <c r="BN104" s="14" t="e">
        <f t="shared" si="83"/>
        <v>#DIV/0!</v>
      </c>
      <c r="BO104" s="14" t="e">
        <f t="shared" si="83"/>
        <v>#DIV/0!</v>
      </c>
      <c r="BP104" s="14" t="e">
        <f t="shared" si="83"/>
        <v>#DIV/0!</v>
      </c>
      <c r="BQ104" s="14" t="e">
        <f t="shared" si="83"/>
        <v>#DIV/0!</v>
      </c>
      <c r="BR104" s="14" t="e">
        <f t="shared" si="83"/>
        <v>#DIV/0!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 t="e">
        <f t="shared" ref="F105" si="84">F29*$C$78</f>
        <v>#DIV/0!</v>
      </c>
      <c r="G105" s="14" t="e">
        <f t="shared" ref="G105:BR105" si="85">G29*$C$78</f>
        <v>#DIV/0!</v>
      </c>
      <c r="H105" s="14" t="e">
        <f t="shared" si="85"/>
        <v>#DIV/0!</v>
      </c>
      <c r="I105" s="14" t="e">
        <f t="shared" si="85"/>
        <v>#DIV/0!</v>
      </c>
      <c r="J105" s="14" t="e">
        <f t="shared" si="85"/>
        <v>#DIV/0!</v>
      </c>
      <c r="K105" s="14" t="e">
        <f t="shared" si="85"/>
        <v>#DIV/0!</v>
      </c>
      <c r="L105" s="14" t="e">
        <f t="shared" si="85"/>
        <v>#DIV/0!</v>
      </c>
      <c r="M105" s="14" t="e">
        <f t="shared" si="85"/>
        <v>#DIV/0!</v>
      </c>
      <c r="N105" s="14" t="e">
        <f t="shared" si="85"/>
        <v>#DIV/0!</v>
      </c>
      <c r="O105" s="14" t="e">
        <f t="shared" si="85"/>
        <v>#DIV/0!</v>
      </c>
      <c r="P105" s="14" t="e">
        <f t="shared" si="85"/>
        <v>#DIV/0!</v>
      </c>
      <c r="Q105" s="14" t="e">
        <f t="shared" si="85"/>
        <v>#DIV/0!</v>
      </c>
      <c r="R105" s="14" t="e">
        <f t="shared" si="85"/>
        <v>#DIV/0!</v>
      </c>
      <c r="S105" s="14" t="e">
        <f t="shared" si="85"/>
        <v>#DIV/0!</v>
      </c>
      <c r="T105" s="14" t="e">
        <f t="shared" si="85"/>
        <v>#DIV/0!</v>
      </c>
      <c r="U105" s="14" t="e">
        <f t="shared" si="85"/>
        <v>#DIV/0!</v>
      </c>
      <c r="V105" s="14" t="e">
        <f t="shared" si="85"/>
        <v>#DIV/0!</v>
      </c>
      <c r="W105" s="14" t="e">
        <f t="shared" si="85"/>
        <v>#DIV/0!</v>
      </c>
      <c r="X105" s="14" t="e">
        <f t="shared" si="85"/>
        <v>#DIV/0!</v>
      </c>
      <c r="Y105" s="14" t="e">
        <f t="shared" si="85"/>
        <v>#DIV/0!</v>
      </c>
      <c r="Z105" s="14" t="e">
        <f t="shared" si="85"/>
        <v>#DIV/0!</v>
      </c>
      <c r="AA105" s="14" t="e">
        <f t="shared" si="85"/>
        <v>#DIV/0!</v>
      </c>
      <c r="AB105" s="14" t="e">
        <f t="shared" si="85"/>
        <v>#DIV/0!</v>
      </c>
      <c r="AC105" s="14" t="e">
        <f t="shared" si="85"/>
        <v>#DIV/0!</v>
      </c>
      <c r="AD105" s="14" t="e">
        <f t="shared" si="85"/>
        <v>#DIV/0!</v>
      </c>
      <c r="AE105" s="14" t="e">
        <f t="shared" si="85"/>
        <v>#DIV/0!</v>
      </c>
      <c r="AF105" s="14" t="e">
        <f t="shared" si="85"/>
        <v>#DIV/0!</v>
      </c>
      <c r="AG105" s="14" t="e">
        <f t="shared" si="85"/>
        <v>#DIV/0!</v>
      </c>
      <c r="AH105" s="14" t="e">
        <f t="shared" si="85"/>
        <v>#DIV/0!</v>
      </c>
      <c r="AI105" s="14" t="e">
        <f t="shared" si="85"/>
        <v>#DIV/0!</v>
      </c>
      <c r="AJ105" s="14" t="e">
        <f t="shared" si="85"/>
        <v>#DIV/0!</v>
      </c>
      <c r="AK105" s="14" t="e">
        <f t="shared" si="85"/>
        <v>#DIV/0!</v>
      </c>
      <c r="AL105" s="14" t="e">
        <f t="shared" si="85"/>
        <v>#DIV/0!</v>
      </c>
      <c r="AM105" s="14" t="e">
        <f t="shared" si="85"/>
        <v>#DIV/0!</v>
      </c>
      <c r="AN105" s="14" t="e">
        <f t="shared" si="85"/>
        <v>#DIV/0!</v>
      </c>
      <c r="AO105" s="14" t="e">
        <f t="shared" si="85"/>
        <v>#DIV/0!</v>
      </c>
      <c r="AP105" s="14" t="e">
        <f t="shared" si="85"/>
        <v>#DIV/0!</v>
      </c>
      <c r="AQ105" s="14" t="e">
        <f t="shared" si="85"/>
        <v>#DIV/0!</v>
      </c>
      <c r="AR105" s="14" t="e">
        <f t="shared" si="85"/>
        <v>#DIV/0!</v>
      </c>
      <c r="AS105" s="14" t="e">
        <f t="shared" si="85"/>
        <v>#DIV/0!</v>
      </c>
      <c r="AT105" s="14" t="e">
        <f t="shared" si="85"/>
        <v>#DIV/0!</v>
      </c>
      <c r="AU105" s="14" t="e">
        <f t="shared" si="85"/>
        <v>#DIV/0!</v>
      </c>
      <c r="AV105" s="14" t="e">
        <f t="shared" si="85"/>
        <v>#DIV/0!</v>
      </c>
      <c r="AW105" s="14" t="e">
        <f t="shared" si="85"/>
        <v>#DIV/0!</v>
      </c>
      <c r="AX105" s="14" t="e">
        <f t="shared" si="85"/>
        <v>#DIV/0!</v>
      </c>
      <c r="AY105" s="14" t="e">
        <f t="shared" si="85"/>
        <v>#DIV/0!</v>
      </c>
      <c r="AZ105" s="14" t="e">
        <f t="shared" si="85"/>
        <v>#DIV/0!</v>
      </c>
      <c r="BA105" s="14" t="e">
        <f t="shared" si="85"/>
        <v>#DIV/0!</v>
      </c>
      <c r="BB105" s="14" t="e">
        <f t="shared" si="85"/>
        <v>#DIV/0!</v>
      </c>
      <c r="BC105" s="14" t="e">
        <f t="shared" si="85"/>
        <v>#DIV/0!</v>
      </c>
      <c r="BD105" s="14" t="e">
        <f t="shared" si="85"/>
        <v>#DIV/0!</v>
      </c>
      <c r="BE105" s="14" t="e">
        <f t="shared" si="85"/>
        <v>#DIV/0!</v>
      </c>
      <c r="BF105" s="14" t="e">
        <f t="shared" si="85"/>
        <v>#DIV/0!</v>
      </c>
      <c r="BG105" s="14" t="e">
        <f t="shared" si="85"/>
        <v>#DIV/0!</v>
      </c>
      <c r="BH105" s="14" t="e">
        <f t="shared" si="85"/>
        <v>#DIV/0!</v>
      </c>
      <c r="BI105" s="14" t="e">
        <f t="shared" si="85"/>
        <v>#DIV/0!</v>
      </c>
      <c r="BJ105" s="14" t="e">
        <f t="shared" si="85"/>
        <v>#DIV/0!</v>
      </c>
      <c r="BK105" s="14" t="e">
        <f t="shared" si="85"/>
        <v>#DIV/0!</v>
      </c>
      <c r="BL105" s="14" t="e">
        <f t="shared" si="85"/>
        <v>#DIV/0!</v>
      </c>
      <c r="BM105" s="14" t="e">
        <f t="shared" si="85"/>
        <v>#DIV/0!</v>
      </c>
      <c r="BN105" s="14" t="e">
        <f t="shared" si="85"/>
        <v>#DIV/0!</v>
      </c>
      <c r="BO105" s="14" t="e">
        <f t="shared" si="85"/>
        <v>#DIV/0!</v>
      </c>
      <c r="BP105" s="14" t="e">
        <f t="shared" si="85"/>
        <v>#DIV/0!</v>
      </c>
      <c r="BQ105" s="14" t="e">
        <f t="shared" si="85"/>
        <v>#DIV/0!</v>
      </c>
      <c r="BR105" s="14" t="e">
        <f t="shared" si="85"/>
        <v>#DIV/0!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 t="e">
        <f t="shared" ref="F106" si="86">F30*$C$78</f>
        <v>#DIV/0!</v>
      </c>
      <c r="G106" s="14" t="e">
        <f t="shared" ref="G106:BR106" si="87">G30*$C$78</f>
        <v>#DIV/0!</v>
      </c>
      <c r="H106" s="14" t="e">
        <f t="shared" si="87"/>
        <v>#DIV/0!</v>
      </c>
      <c r="I106" s="14" t="e">
        <f t="shared" si="87"/>
        <v>#DIV/0!</v>
      </c>
      <c r="J106" s="14" t="e">
        <f t="shared" si="87"/>
        <v>#DIV/0!</v>
      </c>
      <c r="K106" s="14" t="e">
        <f t="shared" si="87"/>
        <v>#DIV/0!</v>
      </c>
      <c r="L106" s="14" t="e">
        <f t="shared" si="87"/>
        <v>#DIV/0!</v>
      </c>
      <c r="M106" s="14" t="e">
        <f t="shared" si="87"/>
        <v>#DIV/0!</v>
      </c>
      <c r="N106" s="14" t="e">
        <f t="shared" si="87"/>
        <v>#DIV/0!</v>
      </c>
      <c r="O106" s="14" t="e">
        <f t="shared" si="87"/>
        <v>#DIV/0!</v>
      </c>
      <c r="P106" s="14" t="e">
        <f t="shared" si="87"/>
        <v>#DIV/0!</v>
      </c>
      <c r="Q106" s="14" t="e">
        <f t="shared" si="87"/>
        <v>#DIV/0!</v>
      </c>
      <c r="R106" s="14" t="e">
        <f t="shared" si="87"/>
        <v>#DIV/0!</v>
      </c>
      <c r="S106" s="14" t="e">
        <f t="shared" si="87"/>
        <v>#DIV/0!</v>
      </c>
      <c r="T106" s="14" t="e">
        <f t="shared" si="87"/>
        <v>#DIV/0!</v>
      </c>
      <c r="U106" s="14" t="e">
        <f t="shared" si="87"/>
        <v>#DIV/0!</v>
      </c>
      <c r="V106" s="14" t="e">
        <f t="shared" si="87"/>
        <v>#DIV/0!</v>
      </c>
      <c r="W106" s="14" t="e">
        <f t="shared" si="87"/>
        <v>#DIV/0!</v>
      </c>
      <c r="X106" s="14" t="e">
        <f t="shared" si="87"/>
        <v>#DIV/0!</v>
      </c>
      <c r="Y106" s="14" t="e">
        <f t="shared" si="87"/>
        <v>#DIV/0!</v>
      </c>
      <c r="Z106" s="14" t="e">
        <f t="shared" si="87"/>
        <v>#DIV/0!</v>
      </c>
      <c r="AA106" s="14" t="e">
        <f t="shared" si="87"/>
        <v>#DIV/0!</v>
      </c>
      <c r="AB106" s="14" t="e">
        <f t="shared" si="87"/>
        <v>#DIV/0!</v>
      </c>
      <c r="AC106" s="14" t="e">
        <f t="shared" si="87"/>
        <v>#DIV/0!</v>
      </c>
      <c r="AD106" s="14" t="e">
        <f t="shared" si="87"/>
        <v>#DIV/0!</v>
      </c>
      <c r="AE106" s="14" t="e">
        <f t="shared" si="87"/>
        <v>#DIV/0!</v>
      </c>
      <c r="AF106" s="14" t="e">
        <f t="shared" si="87"/>
        <v>#DIV/0!</v>
      </c>
      <c r="AG106" s="14" t="e">
        <f t="shared" si="87"/>
        <v>#DIV/0!</v>
      </c>
      <c r="AH106" s="14" t="e">
        <f t="shared" si="87"/>
        <v>#DIV/0!</v>
      </c>
      <c r="AI106" s="14" t="e">
        <f t="shared" si="87"/>
        <v>#DIV/0!</v>
      </c>
      <c r="AJ106" s="14" t="e">
        <f t="shared" si="87"/>
        <v>#DIV/0!</v>
      </c>
      <c r="AK106" s="14" t="e">
        <f t="shared" si="87"/>
        <v>#DIV/0!</v>
      </c>
      <c r="AL106" s="14" t="e">
        <f t="shared" si="87"/>
        <v>#DIV/0!</v>
      </c>
      <c r="AM106" s="14" t="e">
        <f t="shared" si="87"/>
        <v>#DIV/0!</v>
      </c>
      <c r="AN106" s="14" t="e">
        <f t="shared" si="87"/>
        <v>#DIV/0!</v>
      </c>
      <c r="AO106" s="14" t="e">
        <f t="shared" si="87"/>
        <v>#DIV/0!</v>
      </c>
      <c r="AP106" s="14" t="e">
        <f t="shared" si="87"/>
        <v>#DIV/0!</v>
      </c>
      <c r="AQ106" s="14" t="e">
        <f t="shared" si="87"/>
        <v>#DIV/0!</v>
      </c>
      <c r="AR106" s="14" t="e">
        <f t="shared" si="87"/>
        <v>#DIV/0!</v>
      </c>
      <c r="AS106" s="14" t="e">
        <f t="shared" si="87"/>
        <v>#DIV/0!</v>
      </c>
      <c r="AT106" s="14" t="e">
        <f t="shared" si="87"/>
        <v>#DIV/0!</v>
      </c>
      <c r="AU106" s="14" t="e">
        <f t="shared" si="87"/>
        <v>#DIV/0!</v>
      </c>
      <c r="AV106" s="14" t="e">
        <f t="shared" si="87"/>
        <v>#DIV/0!</v>
      </c>
      <c r="AW106" s="14" t="e">
        <f t="shared" si="87"/>
        <v>#DIV/0!</v>
      </c>
      <c r="AX106" s="14" t="e">
        <f t="shared" si="87"/>
        <v>#DIV/0!</v>
      </c>
      <c r="AY106" s="14" t="e">
        <f t="shared" si="87"/>
        <v>#DIV/0!</v>
      </c>
      <c r="AZ106" s="14" t="e">
        <f t="shared" si="87"/>
        <v>#DIV/0!</v>
      </c>
      <c r="BA106" s="14" t="e">
        <f t="shared" si="87"/>
        <v>#DIV/0!</v>
      </c>
      <c r="BB106" s="14" t="e">
        <f t="shared" si="87"/>
        <v>#DIV/0!</v>
      </c>
      <c r="BC106" s="14" t="e">
        <f t="shared" si="87"/>
        <v>#DIV/0!</v>
      </c>
      <c r="BD106" s="14" t="e">
        <f t="shared" si="87"/>
        <v>#DIV/0!</v>
      </c>
      <c r="BE106" s="14" t="e">
        <f t="shared" si="87"/>
        <v>#DIV/0!</v>
      </c>
      <c r="BF106" s="14" t="e">
        <f t="shared" si="87"/>
        <v>#DIV/0!</v>
      </c>
      <c r="BG106" s="14" t="e">
        <f t="shared" si="87"/>
        <v>#DIV/0!</v>
      </c>
      <c r="BH106" s="14" t="e">
        <f t="shared" si="87"/>
        <v>#DIV/0!</v>
      </c>
      <c r="BI106" s="14" t="e">
        <f t="shared" si="87"/>
        <v>#DIV/0!</v>
      </c>
      <c r="BJ106" s="14" t="e">
        <f t="shared" si="87"/>
        <v>#DIV/0!</v>
      </c>
      <c r="BK106" s="14" t="e">
        <f t="shared" si="87"/>
        <v>#DIV/0!</v>
      </c>
      <c r="BL106" s="14" t="e">
        <f t="shared" si="87"/>
        <v>#DIV/0!</v>
      </c>
      <c r="BM106" s="14" t="e">
        <f t="shared" si="87"/>
        <v>#DIV/0!</v>
      </c>
      <c r="BN106" s="14" t="e">
        <f t="shared" si="87"/>
        <v>#DIV/0!</v>
      </c>
      <c r="BO106" s="14" t="e">
        <f t="shared" si="87"/>
        <v>#DIV/0!</v>
      </c>
      <c r="BP106" s="14" t="e">
        <f t="shared" si="87"/>
        <v>#DIV/0!</v>
      </c>
      <c r="BQ106" s="14" t="e">
        <f t="shared" si="87"/>
        <v>#DIV/0!</v>
      </c>
      <c r="BR106" s="14" t="e">
        <f t="shared" si="87"/>
        <v>#DIV/0!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 t="e">
        <f t="shared" ref="F107" si="88">F31*$C$78</f>
        <v>#DIV/0!</v>
      </c>
      <c r="G107" s="14" t="e">
        <f t="shared" ref="G107:BR107" si="89">G31*$C$78</f>
        <v>#DIV/0!</v>
      </c>
      <c r="H107" s="14" t="e">
        <f t="shared" si="89"/>
        <v>#DIV/0!</v>
      </c>
      <c r="I107" s="14" t="e">
        <f t="shared" si="89"/>
        <v>#DIV/0!</v>
      </c>
      <c r="J107" s="14" t="e">
        <f t="shared" si="89"/>
        <v>#DIV/0!</v>
      </c>
      <c r="K107" s="14" t="e">
        <f t="shared" si="89"/>
        <v>#DIV/0!</v>
      </c>
      <c r="L107" s="14" t="e">
        <f t="shared" si="89"/>
        <v>#DIV/0!</v>
      </c>
      <c r="M107" s="14" t="e">
        <f t="shared" si="89"/>
        <v>#DIV/0!</v>
      </c>
      <c r="N107" s="14" t="e">
        <f t="shared" si="89"/>
        <v>#DIV/0!</v>
      </c>
      <c r="O107" s="14" t="e">
        <f t="shared" si="89"/>
        <v>#DIV/0!</v>
      </c>
      <c r="P107" s="14" t="e">
        <f t="shared" si="89"/>
        <v>#DIV/0!</v>
      </c>
      <c r="Q107" s="14" t="e">
        <f t="shared" si="89"/>
        <v>#DIV/0!</v>
      </c>
      <c r="R107" s="14" t="e">
        <f t="shared" si="89"/>
        <v>#DIV/0!</v>
      </c>
      <c r="S107" s="14" t="e">
        <f t="shared" si="89"/>
        <v>#DIV/0!</v>
      </c>
      <c r="T107" s="14" t="e">
        <f t="shared" si="89"/>
        <v>#DIV/0!</v>
      </c>
      <c r="U107" s="14" t="e">
        <f t="shared" si="89"/>
        <v>#DIV/0!</v>
      </c>
      <c r="V107" s="14" t="e">
        <f t="shared" si="89"/>
        <v>#DIV/0!</v>
      </c>
      <c r="W107" s="14" t="e">
        <f t="shared" si="89"/>
        <v>#DIV/0!</v>
      </c>
      <c r="X107" s="14" t="e">
        <f t="shared" si="89"/>
        <v>#DIV/0!</v>
      </c>
      <c r="Y107" s="14" t="e">
        <f t="shared" si="89"/>
        <v>#DIV/0!</v>
      </c>
      <c r="Z107" s="14" t="e">
        <f t="shared" si="89"/>
        <v>#DIV/0!</v>
      </c>
      <c r="AA107" s="14" t="e">
        <f t="shared" si="89"/>
        <v>#DIV/0!</v>
      </c>
      <c r="AB107" s="14" t="e">
        <f t="shared" si="89"/>
        <v>#DIV/0!</v>
      </c>
      <c r="AC107" s="14" t="e">
        <f t="shared" si="89"/>
        <v>#DIV/0!</v>
      </c>
      <c r="AD107" s="14" t="e">
        <f t="shared" si="89"/>
        <v>#DIV/0!</v>
      </c>
      <c r="AE107" s="14" t="e">
        <f t="shared" si="89"/>
        <v>#DIV/0!</v>
      </c>
      <c r="AF107" s="14" t="e">
        <f t="shared" si="89"/>
        <v>#DIV/0!</v>
      </c>
      <c r="AG107" s="14" t="e">
        <f t="shared" si="89"/>
        <v>#DIV/0!</v>
      </c>
      <c r="AH107" s="14" t="e">
        <f t="shared" si="89"/>
        <v>#DIV/0!</v>
      </c>
      <c r="AI107" s="14" t="e">
        <f t="shared" si="89"/>
        <v>#DIV/0!</v>
      </c>
      <c r="AJ107" s="14" t="e">
        <f t="shared" si="89"/>
        <v>#DIV/0!</v>
      </c>
      <c r="AK107" s="14" t="e">
        <f t="shared" si="89"/>
        <v>#DIV/0!</v>
      </c>
      <c r="AL107" s="14" t="e">
        <f t="shared" si="89"/>
        <v>#DIV/0!</v>
      </c>
      <c r="AM107" s="14" t="e">
        <f t="shared" si="89"/>
        <v>#DIV/0!</v>
      </c>
      <c r="AN107" s="14" t="e">
        <f t="shared" si="89"/>
        <v>#DIV/0!</v>
      </c>
      <c r="AO107" s="14" t="e">
        <f t="shared" si="89"/>
        <v>#DIV/0!</v>
      </c>
      <c r="AP107" s="14" t="e">
        <f t="shared" si="89"/>
        <v>#DIV/0!</v>
      </c>
      <c r="AQ107" s="14" t="e">
        <f t="shared" si="89"/>
        <v>#DIV/0!</v>
      </c>
      <c r="AR107" s="14" t="e">
        <f t="shared" si="89"/>
        <v>#DIV/0!</v>
      </c>
      <c r="AS107" s="14" t="e">
        <f t="shared" si="89"/>
        <v>#DIV/0!</v>
      </c>
      <c r="AT107" s="14" t="e">
        <f t="shared" si="89"/>
        <v>#DIV/0!</v>
      </c>
      <c r="AU107" s="14" t="e">
        <f t="shared" si="89"/>
        <v>#DIV/0!</v>
      </c>
      <c r="AV107" s="14" t="e">
        <f t="shared" si="89"/>
        <v>#DIV/0!</v>
      </c>
      <c r="AW107" s="14" t="e">
        <f t="shared" si="89"/>
        <v>#DIV/0!</v>
      </c>
      <c r="AX107" s="14" t="e">
        <f t="shared" si="89"/>
        <v>#DIV/0!</v>
      </c>
      <c r="AY107" s="14" t="e">
        <f t="shared" si="89"/>
        <v>#DIV/0!</v>
      </c>
      <c r="AZ107" s="14" t="e">
        <f t="shared" si="89"/>
        <v>#DIV/0!</v>
      </c>
      <c r="BA107" s="14" t="e">
        <f t="shared" si="89"/>
        <v>#DIV/0!</v>
      </c>
      <c r="BB107" s="14" t="e">
        <f t="shared" si="89"/>
        <v>#DIV/0!</v>
      </c>
      <c r="BC107" s="14" t="e">
        <f t="shared" si="89"/>
        <v>#DIV/0!</v>
      </c>
      <c r="BD107" s="14" t="e">
        <f t="shared" si="89"/>
        <v>#DIV/0!</v>
      </c>
      <c r="BE107" s="14" t="e">
        <f t="shared" si="89"/>
        <v>#DIV/0!</v>
      </c>
      <c r="BF107" s="14" t="e">
        <f t="shared" si="89"/>
        <v>#DIV/0!</v>
      </c>
      <c r="BG107" s="14" t="e">
        <f t="shared" si="89"/>
        <v>#DIV/0!</v>
      </c>
      <c r="BH107" s="14" t="e">
        <f t="shared" si="89"/>
        <v>#DIV/0!</v>
      </c>
      <c r="BI107" s="14" t="e">
        <f t="shared" si="89"/>
        <v>#DIV/0!</v>
      </c>
      <c r="BJ107" s="14" t="e">
        <f t="shared" si="89"/>
        <v>#DIV/0!</v>
      </c>
      <c r="BK107" s="14" t="e">
        <f t="shared" si="89"/>
        <v>#DIV/0!</v>
      </c>
      <c r="BL107" s="14" t="e">
        <f t="shared" si="89"/>
        <v>#DIV/0!</v>
      </c>
      <c r="BM107" s="14" t="e">
        <f t="shared" si="89"/>
        <v>#DIV/0!</v>
      </c>
      <c r="BN107" s="14" t="e">
        <f t="shared" si="89"/>
        <v>#DIV/0!</v>
      </c>
      <c r="BO107" s="14" t="e">
        <f t="shared" si="89"/>
        <v>#DIV/0!</v>
      </c>
      <c r="BP107" s="14" t="e">
        <f t="shared" si="89"/>
        <v>#DIV/0!</v>
      </c>
      <c r="BQ107" s="14" t="e">
        <f t="shared" si="89"/>
        <v>#DIV/0!</v>
      </c>
      <c r="BR107" s="14" t="e">
        <f t="shared" si="89"/>
        <v>#DIV/0!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 t="e">
        <f t="shared" ref="F108" si="90">F32*$C$78</f>
        <v>#DIV/0!</v>
      </c>
      <c r="G108" s="14" t="e">
        <f t="shared" ref="G108:BR108" si="91">G32*$C$78</f>
        <v>#DIV/0!</v>
      </c>
      <c r="H108" s="14" t="e">
        <f t="shared" si="91"/>
        <v>#DIV/0!</v>
      </c>
      <c r="I108" s="14" t="e">
        <f t="shared" si="91"/>
        <v>#DIV/0!</v>
      </c>
      <c r="J108" s="14" t="e">
        <f t="shared" si="91"/>
        <v>#DIV/0!</v>
      </c>
      <c r="K108" s="14" t="e">
        <f t="shared" si="91"/>
        <v>#DIV/0!</v>
      </c>
      <c r="L108" s="14" t="e">
        <f t="shared" si="91"/>
        <v>#DIV/0!</v>
      </c>
      <c r="M108" s="14" t="e">
        <f t="shared" si="91"/>
        <v>#DIV/0!</v>
      </c>
      <c r="N108" s="14" t="e">
        <f t="shared" si="91"/>
        <v>#DIV/0!</v>
      </c>
      <c r="O108" s="14" t="e">
        <f t="shared" si="91"/>
        <v>#DIV/0!</v>
      </c>
      <c r="P108" s="14" t="e">
        <f t="shared" si="91"/>
        <v>#DIV/0!</v>
      </c>
      <c r="Q108" s="14" t="e">
        <f t="shared" si="91"/>
        <v>#DIV/0!</v>
      </c>
      <c r="R108" s="14" t="e">
        <f t="shared" si="91"/>
        <v>#DIV/0!</v>
      </c>
      <c r="S108" s="14" t="e">
        <f t="shared" si="91"/>
        <v>#DIV/0!</v>
      </c>
      <c r="T108" s="14" t="e">
        <f t="shared" si="91"/>
        <v>#DIV/0!</v>
      </c>
      <c r="U108" s="14" t="e">
        <f t="shared" si="91"/>
        <v>#DIV/0!</v>
      </c>
      <c r="V108" s="14" t="e">
        <f t="shared" si="91"/>
        <v>#DIV/0!</v>
      </c>
      <c r="W108" s="14" t="e">
        <f t="shared" si="91"/>
        <v>#DIV/0!</v>
      </c>
      <c r="X108" s="14" t="e">
        <f t="shared" si="91"/>
        <v>#DIV/0!</v>
      </c>
      <c r="Y108" s="14" t="e">
        <f t="shared" si="91"/>
        <v>#DIV/0!</v>
      </c>
      <c r="Z108" s="14" t="e">
        <f t="shared" si="91"/>
        <v>#DIV/0!</v>
      </c>
      <c r="AA108" s="14" t="e">
        <f t="shared" si="91"/>
        <v>#DIV/0!</v>
      </c>
      <c r="AB108" s="14" t="e">
        <f t="shared" si="91"/>
        <v>#DIV/0!</v>
      </c>
      <c r="AC108" s="14" t="e">
        <f t="shared" si="91"/>
        <v>#DIV/0!</v>
      </c>
      <c r="AD108" s="14" t="e">
        <f t="shared" si="91"/>
        <v>#DIV/0!</v>
      </c>
      <c r="AE108" s="14" t="e">
        <f t="shared" si="91"/>
        <v>#DIV/0!</v>
      </c>
      <c r="AF108" s="14" t="e">
        <f t="shared" si="91"/>
        <v>#DIV/0!</v>
      </c>
      <c r="AG108" s="14" t="e">
        <f t="shared" si="91"/>
        <v>#DIV/0!</v>
      </c>
      <c r="AH108" s="14" t="e">
        <f t="shared" si="91"/>
        <v>#DIV/0!</v>
      </c>
      <c r="AI108" s="14" t="e">
        <f t="shared" si="91"/>
        <v>#DIV/0!</v>
      </c>
      <c r="AJ108" s="14" t="e">
        <f t="shared" si="91"/>
        <v>#DIV/0!</v>
      </c>
      <c r="AK108" s="14" t="e">
        <f t="shared" si="91"/>
        <v>#DIV/0!</v>
      </c>
      <c r="AL108" s="14" t="e">
        <f t="shared" si="91"/>
        <v>#DIV/0!</v>
      </c>
      <c r="AM108" s="14" t="e">
        <f t="shared" si="91"/>
        <v>#DIV/0!</v>
      </c>
      <c r="AN108" s="14" t="e">
        <f t="shared" si="91"/>
        <v>#DIV/0!</v>
      </c>
      <c r="AO108" s="14" t="e">
        <f t="shared" si="91"/>
        <v>#DIV/0!</v>
      </c>
      <c r="AP108" s="14" t="e">
        <f t="shared" si="91"/>
        <v>#DIV/0!</v>
      </c>
      <c r="AQ108" s="14" t="e">
        <f t="shared" si="91"/>
        <v>#DIV/0!</v>
      </c>
      <c r="AR108" s="14" t="e">
        <f t="shared" si="91"/>
        <v>#DIV/0!</v>
      </c>
      <c r="AS108" s="14" t="e">
        <f t="shared" si="91"/>
        <v>#DIV/0!</v>
      </c>
      <c r="AT108" s="14" t="e">
        <f t="shared" si="91"/>
        <v>#DIV/0!</v>
      </c>
      <c r="AU108" s="14" t="e">
        <f t="shared" si="91"/>
        <v>#DIV/0!</v>
      </c>
      <c r="AV108" s="14" t="e">
        <f t="shared" si="91"/>
        <v>#DIV/0!</v>
      </c>
      <c r="AW108" s="14" t="e">
        <f t="shared" si="91"/>
        <v>#DIV/0!</v>
      </c>
      <c r="AX108" s="14" t="e">
        <f t="shared" si="91"/>
        <v>#DIV/0!</v>
      </c>
      <c r="AY108" s="14" t="e">
        <f t="shared" si="91"/>
        <v>#DIV/0!</v>
      </c>
      <c r="AZ108" s="14" t="e">
        <f t="shared" si="91"/>
        <v>#DIV/0!</v>
      </c>
      <c r="BA108" s="14" t="e">
        <f t="shared" si="91"/>
        <v>#DIV/0!</v>
      </c>
      <c r="BB108" s="14" t="e">
        <f t="shared" si="91"/>
        <v>#DIV/0!</v>
      </c>
      <c r="BC108" s="14" t="e">
        <f t="shared" si="91"/>
        <v>#DIV/0!</v>
      </c>
      <c r="BD108" s="14" t="e">
        <f t="shared" si="91"/>
        <v>#DIV/0!</v>
      </c>
      <c r="BE108" s="14" t="e">
        <f t="shared" si="91"/>
        <v>#DIV/0!</v>
      </c>
      <c r="BF108" s="14" t="e">
        <f t="shared" si="91"/>
        <v>#DIV/0!</v>
      </c>
      <c r="BG108" s="14" t="e">
        <f t="shared" si="91"/>
        <v>#DIV/0!</v>
      </c>
      <c r="BH108" s="14" t="e">
        <f t="shared" si="91"/>
        <v>#DIV/0!</v>
      </c>
      <c r="BI108" s="14" t="e">
        <f t="shared" si="91"/>
        <v>#DIV/0!</v>
      </c>
      <c r="BJ108" s="14" t="e">
        <f t="shared" si="91"/>
        <v>#DIV/0!</v>
      </c>
      <c r="BK108" s="14" t="e">
        <f t="shared" si="91"/>
        <v>#DIV/0!</v>
      </c>
      <c r="BL108" s="14" t="e">
        <f t="shared" si="91"/>
        <v>#DIV/0!</v>
      </c>
      <c r="BM108" s="14" t="e">
        <f t="shared" si="91"/>
        <v>#DIV/0!</v>
      </c>
      <c r="BN108" s="14" t="e">
        <f t="shared" si="91"/>
        <v>#DIV/0!</v>
      </c>
      <c r="BO108" s="14" t="e">
        <f t="shared" si="91"/>
        <v>#DIV/0!</v>
      </c>
      <c r="BP108" s="14" t="e">
        <f t="shared" si="91"/>
        <v>#DIV/0!</v>
      </c>
      <c r="BQ108" s="14" t="e">
        <f t="shared" si="91"/>
        <v>#DIV/0!</v>
      </c>
      <c r="BR108" s="14" t="e">
        <f t="shared" si="91"/>
        <v>#DIV/0!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67"/>
      <c r="B113" s="167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554</v>
      </c>
      <c r="L113" s="4">
        <f t="shared" si="92"/>
        <v>570.5</v>
      </c>
      <c r="M113" s="4">
        <f t="shared" si="92"/>
        <v>587</v>
      </c>
      <c r="N113" s="4">
        <f t="shared" si="92"/>
        <v>603.5</v>
      </c>
      <c r="O113" s="4">
        <f t="shared" si="92"/>
        <v>669.6</v>
      </c>
      <c r="P113" s="4">
        <f t="shared" si="92"/>
        <v>735.7</v>
      </c>
      <c r="Q113" s="4">
        <f t="shared" si="92"/>
        <v>801.8</v>
      </c>
      <c r="R113" s="4">
        <f t="shared" si="92"/>
        <v>867.8</v>
      </c>
      <c r="S113" s="4">
        <f t="shared" si="92"/>
        <v>933.9</v>
      </c>
      <c r="T113" s="4">
        <f t="shared" si="92"/>
        <v>950.4</v>
      </c>
      <c r="U113" s="4">
        <f t="shared" si="92"/>
        <v>967</v>
      </c>
      <c r="V113" s="4">
        <f t="shared" si="92"/>
        <v>983.5</v>
      </c>
      <c r="W113" s="4">
        <f t="shared" si="92"/>
        <v>1000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 t="e">
        <f>F$113*$B$2*SUMPRODUCT(F$90:F$92,F$56:F$58)/1000</f>
        <v>#DIV/0!</v>
      </c>
      <c r="G114" s="46" t="e">
        <f t="shared" ref="G114:AL114" si="93">G$113*$B$2*SUMPRODUCT(G$90:G$92,G$56:G$58)/1000</f>
        <v>#DIV/0!</v>
      </c>
      <c r="H114" s="46" t="e">
        <f t="shared" si="93"/>
        <v>#DIV/0!</v>
      </c>
      <c r="I114" s="46" t="e">
        <f t="shared" si="93"/>
        <v>#DIV/0!</v>
      </c>
      <c r="J114" s="46" t="e">
        <f t="shared" si="93"/>
        <v>#DIV/0!</v>
      </c>
      <c r="K114" s="46" t="e">
        <f t="shared" si="93"/>
        <v>#DIV/0!</v>
      </c>
      <c r="L114" s="46" t="e">
        <f t="shared" si="93"/>
        <v>#DIV/0!</v>
      </c>
      <c r="M114" s="46" t="e">
        <f t="shared" si="93"/>
        <v>#DIV/0!</v>
      </c>
      <c r="N114" s="46" t="e">
        <f t="shared" si="93"/>
        <v>#DIV/0!</v>
      </c>
      <c r="O114" s="46" t="e">
        <f t="shared" si="93"/>
        <v>#DIV/0!</v>
      </c>
      <c r="P114" s="46" t="e">
        <f t="shared" si="93"/>
        <v>#DIV/0!</v>
      </c>
      <c r="Q114" s="46" t="e">
        <f t="shared" si="93"/>
        <v>#DIV/0!</v>
      </c>
      <c r="R114" s="46" t="e">
        <f t="shared" si="93"/>
        <v>#DIV/0!</v>
      </c>
      <c r="S114" s="46" t="e">
        <f t="shared" si="93"/>
        <v>#DIV/0!</v>
      </c>
      <c r="T114" s="46" t="e">
        <f t="shared" si="93"/>
        <v>#DIV/0!</v>
      </c>
      <c r="U114" s="46" t="e">
        <f t="shared" si="93"/>
        <v>#DIV/0!</v>
      </c>
      <c r="V114" s="46" t="e">
        <f t="shared" si="93"/>
        <v>#DIV/0!</v>
      </c>
      <c r="W114" s="46" t="e">
        <f t="shared" si="93"/>
        <v>#DIV/0!</v>
      </c>
      <c r="X114" s="46" t="e">
        <f t="shared" si="93"/>
        <v>#DIV/0!</v>
      </c>
      <c r="Y114" s="46" t="e">
        <f t="shared" si="93"/>
        <v>#DIV/0!</v>
      </c>
      <c r="Z114" s="46" t="e">
        <f t="shared" si="93"/>
        <v>#DIV/0!</v>
      </c>
      <c r="AA114" s="46" t="e">
        <f t="shared" si="93"/>
        <v>#DIV/0!</v>
      </c>
      <c r="AB114" s="46" t="e">
        <f t="shared" si="93"/>
        <v>#DIV/0!</v>
      </c>
      <c r="AC114" s="46" t="e">
        <f t="shared" si="93"/>
        <v>#DIV/0!</v>
      </c>
      <c r="AD114" s="46" t="e">
        <f t="shared" si="93"/>
        <v>#DIV/0!</v>
      </c>
      <c r="AE114" s="46" t="e">
        <f t="shared" si="93"/>
        <v>#DIV/0!</v>
      </c>
      <c r="AF114" s="46" t="e">
        <f t="shared" si="93"/>
        <v>#DIV/0!</v>
      </c>
      <c r="AG114" s="46" t="e">
        <f t="shared" si="93"/>
        <v>#DIV/0!</v>
      </c>
      <c r="AH114" s="46" t="e">
        <f t="shared" si="93"/>
        <v>#DIV/0!</v>
      </c>
      <c r="AI114" s="46" t="e">
        <f t="shared" si="93"/>
        <v>#DIV/0!</v>
      </c>
      <c r="AJ114" s="46" t="e">
        <f t="shared" si="93"/>
        <v>#DIV/0!</v>
      </c>
      <c r="AK114" s="46" t="e">
        <f t="shared" si="93"/>
        <v>#DIV/0!</v>
      </c>
      <c r="AL114" s="46" t="e">
        <f t="shared" si="93"/>
        <v>#DIV/0!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18</v>
      </c>
      <c r="E115" s="17" t="s">
        <v>13</v>
      </c>
      <c r="F115" s="14" t="e">
        <f>F$113*$B$2*SUMPRODUCT(F$80:F$88,F$46:F$54)/1000</f>
        <v>#DIV/0!</v>
      </c>
      <c r="G115" s="14" t="e">
        <f t="shared" ref="G115:AL115" si="94">G$113*$B$2*SUMPRODUCT(G$80:G$88,G$46:G$54)/1000</f>
        <v>#DIV/0!</v>
      </c>
      <c r="H115" s="14" t="e">
        <f t="shared" si="94"/>
        <v>#DIV/0!</v>
      </c>
      <c r="I115" s="14" t="e">
        <f t="shared" si="94"/>
        <v>#DIV/0!</v>
      </c>
      <c r="J115" s="14" t="e">
        <f t="shared" si="94"/>
        <v>#DIV/0!</v>
      </c>
      <c r="K115" s="14" t="e">
        <f t="shared" si="94"/>
        <v>#DIV/0!</v>
      </c>
      <c r="L115" s="14" t="e">
        <f t="shared" si="94"/>
        <v>#DIV/0!</v>
      </c>
      <c r="M115" s="14" t="e">
        <f t="shared" si="94"/>
        <v>#DIV/0!</v>
      </c>
      <c r="N115" s="14" t="e">
        <f t="shared" si="94"/>
        <v>#DIV/0!</v>
      </c>
      <c r="O115" s="14" t="e">
        <f t="shared" si="94"/>
        <v>#DIV/0!</v>
      </c>
      <c r="P115" s="14" t="e">
        <f t="shared" si="94"/>
        <v>#DIV/0!</v>
      </c>
      <c r="Q115" s="14" t="e">
        <f t="shared" si="94"/>
        <v>#DIV/0!</v>
      </c>
      <c r="R115" s="14" t="e">
        <f t="shared" si="94"/>
        <v>#DIV/0!</v>
      </c>
      <c r="S115" s="14" t="e">
        <f t="shared" si="94"/>
        <v>#DIV/0!</v>
      </c>
      <c r="T115" s="14" t="e">
        <f t="shared" si="94"/>
        <v>#DIV/0!</v>
      </c>
      <c r="U115" s="14" t="e">
        <f t="shared" si="94"/>
        <v>#DIV/0!</v>
      </c>
      <c r="V115" s="14" t="e">
        <f t="shared" si="94"/>
        <v>#DIV/0!</v>
      </c>
      <c r="W115" s="14" t="e">
        <f t="shared" si="94"/>
        <v>#DIV/0!</v>
      </c>
      <c r="X115" s="14" t="e">
        <f t="shared" si="94"/>
        <v>#DIV/0!</v>
      </c>
      <c r="Y115" s="14" t="e">
        <f t="shared" si="94"/>
        <v>#DIV/0!</v>
      </c>
      <c r="Z115" s="14" t="e">
        <f t="shared" si="94"/>
        <v>#DIV/0!</v>
      </c>
      <c r="AA115" s="14" t="e">
        <f t="shared" si="94"/>
        <v>#DIV/0!</v>
      </c>
      <c r="AB115" s="14" t="e">
        <f t="shared" si="94"/>
        <v>#DIV/0!</v>
      </c>
      <c r="AC115" s="14" t="e">
        <f t="shared" si="94"/>
        <v>#DIV/0!</v>
      </c>
      <c r="AD115" s="14" t="e">
        <f t="shared" si="94"/>
        <v>#DIV/0!</v>
      </c>
      <c r="AE115" s="14" t="e">
        <f t="shared" si="94"/>
        <v>#DIV/0!</v>
      </c>
      <c r="AF115" s="14" t="e">
        <f t="shared" si="94"/>
        <v>#DIV/0!</v>
      </c>
      <c r="AG115" s="14" t="e">
        <f t="shared" si="94"/>
        <v>#DIV/0!</v>
      </c>
      <c r="AH115" s="14" t="e">
        <f t="shared" si="94"/>
        <v>#DIV/0!</v>
      </c>
      <c r="AI115" s="14" t="e">
        <f t="shared" si="94"/>
        <v>#DIV/0!</v>
      </c>
      <c r="AJ115" s="14" t="e">
        <f t="shared" si="94"/>
        <v>#DIV/0!</v>
      </c>
      <c r="AK115" s="14" t="e">
        <f t="shared" si="94"/>
        <v>#DIV/0!</v>
      </c>
      <c r="AL115" s="14" t="e">
        <f t="shared" si="94"/>
        <v>#DIV/0!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 t="e">
        <f t="shared" ref="F116:AL116" si="95">F115+F114</f>
        <v>#DIV/0!</v>
      </c>
      <c r="G116" s="14" t="e">
        <f t="shared" si="95"/>
        <v>#DIV/0!</v>
      </c>
      <c r="H116" s="14" t="e">
        <f t="shared" si="95"/>
        <v>#DIV/0!</v>
      </c>
      <c r="I116" s="14" t="e">
        <f t="shared" si="95"/>
        <v>#DIV/0!</v>
      </c>
      <c r="J116" s="14" t="e">
        <f t="shared" si="95"/>
        <v>#DIV/0!</v>
      </c>
      <c r="K116" s="14" t="e">
        <f t="shared" si="95"/>
        <v>#DIV/0!</v>
      </c>
      <c r="L116" s="14" t="e">
        <f t="shared" si="95"/>
        <v>#DIV/0!</v>
      </c>
      <c r="M116" s="14" t="e">
        <f t="shared" si="95"/>
        <v>#DIV/0!</v>
      </c>
      <c r="N116" s="14" t="e">
        <f t="shared" si="95"/>
        <v>#DIV/0!</v>
      </c>
      <c r="O116" s="14" t="e">
        <f t="shared" si="95"/>
        <v>#DIV/0!</v>
      </c>
      <c r="P116" s="14" t="e">
        <f t="shared" si="95"/>
        <v>#DIV/0!</v>
      </c>
      <c r="Q116" s="14" t="e">
        <f t="shared" si="95"/>
        <v>#DIV/0!</v>
      </c>
      <c r="R116" s="14" t="e">
        <f t="shared" si="95"/>
        <v>#DIV/0!</v>
      </c>
      <c r="S116" s="14" t="e">
        <f t="shared" si="95"/>
        <v>#DIV/0!</v>
      </c>
      <c r="T116" s="14" t="e">
        <f t="shared" si="95"/>
        <v>#DIV/0!</v>
      </c>
      <c r="U116" s="14" t="e">
        <f t="shared" si="95"/>
        <v>#DIV/0!</v>
      </c>
      <c r="V116" s="14" t="e">
        <f t="shared" si="95"/>
        <v>#DIV/0!</v>
      </c>
      <c r="W116" s="14" t="e">
        <f t="shared" si="95"/>
        <v>#DIV/0!</v>
      </c>
      <c r="X116" s="14" t="e">
        <f t="shared" si="95"/>
        <v>#DIV/0!</v>
      </c>
      <c r="Y116" s="14" t="e">
        <f t="shared" si="95"/>
        <v>#DIV/0!</v>
      </c>
      <c r="Z116" s="14" t="e">
        <f t="shared" si="95"/>
        <v>#DIV/0!</v>
      </c>
      <c r="AA116" s="14" t="e">
        <f t="shared" si="95"/>
        <v>#DIV/0!</v>
      </c>
      <c r="AB116" s="14" t="e">
        <f t="shared" si="95"/>
        <v>#DIV/0!</v>
      </c>
      <c r="AC116" s="14" t="e">
        <f t="shared" si="95"/>
        <v>#DIV/0!</v>
      </c>
      <c r="AD116" s="14" t="e">
        <f t="shared" si="95"/>
        <v>#DIV/0!</v>
      </c>
      <c r="AE116" s="14" t="e">
        <f t="shared" si="95"/>
        <v>#DIV/0!</v>
      </c>
      <c r="AF116" s="14" t="e">
        <f t="shared" si="95"/>
        <v>#DIV/0!</v>
      </c>
      <c r="AG116" s="14" t="e">
        <f t="shared" si="95"/>
        <v>#DIV/0!</v>
      </c>
      <c r="AH116" s="14" t="e">
        <f t="shared" si="95"/>
        <v>#DIV/0!</v>
      </c>
      <c r="AI116" s="14" t="e">
        <f t="shared" si="95"/>
        <v>#DIV/0!</v>
      </c>
      <c r="AJ116" s="14" t="e">
        <f t="shared" si="95"/>
        <v>#DIV/0!</v>
      </c>
      <c r="AK116" s="14" t="e">
        <f t="shared" si="95"/>
        <v>#DIV/0!</v>
      </c>
      <c r="AL116" s="14" t="e">
        <f t="shared" si="95"/>
        <v>#DIV/0!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554</v>
      </c>
      <c r="L122" s="4">
        <f ca="1"/>
        <v>570.5</v>
      </c>
      <c r="M122" s="4">
        <f ca="1"/>
        <v>587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801.8</v>
      </c>
      <c r="R122" s="4">
        <f ca="1"/>
        <v>867.8</v>
      </c>
      <c r="S122" s="4">
        <f ca="1"/>
        <v>933.9</v>
      </c>
      <c r="T122" s="20">
        <f ca="1"/>
        <v>950.4</v>
      </c>
      <c r="U122" s="55">
        <f ca="1"/>
        <v>967</v>
      </c>
      <c r="V122" s="56">
        <f ca="1"/>
        <v>983.5</v>
      </c>
      <c r="W122" s="58">
        <f ca="1"/>
        <v>1000</v>
      </c>
      <c r="X122" s="53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 t="e">
        <f ca="1"/>
        <v>#DIV/0!</v>
      </c>
      <c r="G123" s="47" t="e">
        <f ca="1"/>
        <v>#DIV/0!</v>
      </c>
      <c r="H123" s="47" t="e">
        <f ca="1"/>
        <v>#DIV/0!</v>
      </c>
      <c r="I123" s="47" t="e">
        <f ca="1"/>
        <v>#DIV/0!</v>
      </c>
      <c r="J123" s="47" t="e">
        <f ca="1"/>
        <v>#DIV/0!</v>
      </c>
      <c r="K123" s="47" t="e">
        <f ca="1"/>
        <v>#DIV/0!</v>
      </c>
      <c r="L123" s="47" t="e">
        <f ca="1"/>
        <v>#DIV/0!</v>
      </c>
      <c r="M123" s="47" t="e">
        <f ca="1"/>
        <v>#DIV/0!</v>
      </c>
      <c r="N123" s="47" t="e">
        <f ca="1"/>
        <v>#DIV/0!</v>
      </c>
      <c r="O123" s="47" t="e">
        <f ca="1"/>
        <v>#DIV/0!</v>
      </c>
      <c r="P123" s="47" t="e">
        <f ca="1"/>
        <v>#DIV/0!</v>
      </c>
      <c r="Q123" s="47" t="e">
        <f ca="1"/>
        <v>#DIV/0!</v>
      </c>
      <c r="R123" s="47" t="e">
        <f ca="1"/>
        <v>#DIV/0!</v>
      </c>
      <c r="S123" s="47" t="e">
        <f ca="1"/>
        <v>#DIV/0!</v>
      </c>
      <c r="T123" s="47" t="e">
        <f ca="1"/>
        <v>#DIV/0!</v>
      </c>
      <c r="U123" s="47" t="e">
        <f ca="1"/>
        <v>#DIV/0!</v>
      </c>
      <c r="V123" s="47" t="e">
        <f ca="1"/>
        <v>#DIV/0!</v>
      </c>
      <c r="W123" s="47" t="e">
        <f ca="1"/>
        <v>#DIV/0!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 t="e">
        <f ca="1"/>
        <v>#DIV/0!</v>
      </c>
      <c r="G124" s="47" t="e">
        <f ca="1"/>
        <v>#DIV/0!</v>
      </c>
      <c r="H124" s="47" t="e">
        <f ca="1"/>
        <v>#DIV/0!</v>
      </c>
      <c r="I124" s="47" t="e">
        <f ca="1"/>
        <v>#DIV/0!</v>
      </c>
      <c r="J124" s="47" t="e">
        <f ca="1"/>
        <v>#DIV/0!</v>
      </c>
      <c r="K124" s="47" t="e">
        <f ca="1"/>
        <v>#DIV/0!</v>
      </c>
      <c r="L124" s="47" t="e">
        <f ca="1"/>
        <v>#DIV/0!</v>
      </c>
      <c r="M124" s="47" t="e">
        <f ca="1"/>
        <v>#DIV/0!</v>
      </c>
      <c r="N124" s="47" t="e">
        <f ca="1"/>
        <v>#DIV/0!</v>
      </c>
      <c r="O124" s="47" t="e">
        <f ca="1"/>
        <v>#DIV/0!</v>
      </c>
      <c r="P124" s="47" t="e">
        <f ca="1"/>
        <v>#DIV/0!</v>
      </c>
      <c r="Q124" s="47" t="e">
        <f ca="1"/>
        <v>#DIV/0!</v>
      </c>
      <c r="R124" s="47" t="e">
        <f ca="1"/>
        <v>#DIV/0!</v>
      </c>
      <c r="S124" s="47" t="e">
        <f ca="1"/>
        <v>#DIV/0!</v>
      </c>
      <c r="T124" s="47" t="e">
        <f ca="1"/>
        <v>#DIV/0!</v>
      </c>
      <c r="U124" s="47" t="e">
        <f ca="1"/>
        <v>#DIV/0!</v>
      </c>
      <c r="V124" s="47" t="e">
        <f ca="1"/>
        <v>#DIV/0!</v>
      </c>
      <c r="W124" s="47" t="e">
        <f ca="1"/>
        <v>#DIV/0!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 t="e">
        <f ca="1"/>
        <v>#DIV/0!</v>
      </c>
      <c r="G125" s="47" t="e">
        <f ca="1"/>
        <v>#DIV/0!</v>
      </c>
      <c r="H125" s="47" t="e">
        <f ca="1"/>
        <v>#DIV/0!</v>
      </c>
      <c r="I125" s="47" t="e">
        <f ca="1"/>
        <v>#DIV/0!</v>
      </c>
      <c r="J125" s="47" t="e">
        <f ca="1"/>
        <v>#DIV/0!</v>
      </c>
      <c r="K125" s="47" t="e">
        <f ca="1"/>
        <v>#DIV/0!</v>
      </c>
      <c r="L125" s="47" t="e">
        <f ca="1"/>
        <v>#DIV/0!</v>
      </c>
      <c r="M125" s="47" t="e">
        <f ca="1"/>
        <v>#DIV/0!</v>
      </c>
      <c r="N125" s="47" t="e">
        <f ca="1"/>
        <v>#DIV/0!</v>
      </c>
      <c r="O125" s="47" t="e">
        <f ca="1"/>
        <v>#DIV/0!</v>
      </c>
      <c r="P125" s="47" t="e">
        <f ca="1"/>
        <v>#DIV/0!</v>
      </c>
      <c r="Q125" s="47" t="e">
        <f ca="1"/>
        <v>#DIV/0!</v>
      </c>
      <c r="R125" s="47" t="e">
        <f ca="1"/>
        <v>#DIV/0!</v>
      </c>
      <c r="S125" s="47" t="e">
        <f ca="1"/>
        <v>#DIV/0!</v>
      </c>
      <c r="T125" s="47" t="e">
        <f ca="1"/>
        <v>#DIV/0!</v>
      </c>
      <c r="U125" s="47" t="e">
        <f ca="1"/>
        <v>#DIV/0!</v>
      </c>
      <c r="V125" s="47" t="e">
        <f ca="1"/>
        <v>#DIV/0!</v>
      </c>
      <c r="W125" s="47" t="e">
        <f ca="1"/>
        <v>#DIV/0!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A86A-7D14-43F8-ACA3-67976C9A27DA}">
  <sheetPr codeName="Лист9"/>
  <dimension ref="A1:S20"/>
  <sheetViews>
    <sheetView zoomScaleNormal="100" workbookViewId="0">
      <selection activeCell="F22" sqref="F22"/>
    </sheetView>
  </sheetViews>
  <sheetFormatPr defaultRowHeight="21" x14ac:dyDescent="0.35"/>
  <cols>
    <col min="1" max="16384" width="8.7265625" style="107"/>
  </cols>
  <sheetData>
    <row r="1" spans="1:19" x14ac:dyDescent="0.35">
      <c r="A1" s="119" t="s">
        <v>72</v>
      </c>
      <c r="B1" s="121">
        <v>273.10000000000002</v>
      </c>
      <c r="C1" s="123">
        <v>339.2</v>
      </c>
      <c r="D1" s="123">
        <v>405.3</v>
      </c>
      <c r="E1" s="121">
        <v>471.4</v>
      </c>
      <c r="F1" s="123">
        <v>537.5</v>
      </c>
      <c r="G1" s="123">
        <v>554</v>
      </c>
      <c r="H1" s="121">
        <v>570.5</v>
      </c>
      <c r="I1" s="123">
        <v>587</v>
      </c>
      <c r="J1" s="123">
        <v>603.5</v>
      </c>
      <c r="K1" s="121">
        <v>669.6</v>
      </c>
      <c r="L1" s="123">
        <v>735.7</v>
      </c>
      <c r="M1" s="123">
        <v>801.8</v>
      </c>
      <c r="N1" s="121">
        <v>867.8</v>
      </c>
      <c r="O1" s="123">
        <v>933.9</v>
      </c>
      <c r="P1" s="123">
        <v>950.4</v>
      </c>
      <c r="Q1" s="164">
        <v>967</v>
      </c>
      <c r="R1" s="123">
        <v>983.5</v>
      </c>
      <c r="S1" s="123">
        <v>1000</v>
      </c>
    </row>
    <row r="2" spans="1:19" x14ac:dyDescent="0.35">
      <c r="A2" s="120" t="s">
        <v>64</v>
      </c>
      <c r="B2" s="124">
        <v>1.2831999999999999E-25</v>
      </c>
      <c r="C2" s="125">
        <v>1.9425E-19</v>
      </c>
      <c r="D2" s="125">
        <v>2.2298999999999998E-15</v>
      </c>
      <c r="E2" s="124">
        <v>1.5929E-12</v>
      </c>
      <c r="F2" s="125">
        <v>2.0498E-10</v>
      </c>
      <c r="G2" s="125">
        <v>5.7095999999999996E-10</v>
      </c>
      <c r="H2" s="124">
        <v>1.4969999999999999E-9</v>
      </c>
      <c r="I2" s="125">
        <v>3.7180000000000002E-9</v>
      </c>
      <c r="J2" s="125">
        <v>8.7965000000000004E-9</v>
      </c>
      <c r="K2" s="124">
        <v>1.8316999999999999E-7</v>
      </c>
      <c r="L2" s="125">
        <v>2.1741999999999999E-6</v>
      </c>
      <c r="M2" s="125">
        <v>1.6022E-5</v>
      </c>
      <c r="N2" s="125">
        <v>7.9373000000000001E-5</v>
      </c>
      <c r="O2" s="125">
        <v>2.7228000000000002E-4</v>
      </c>
      <c r="P2" s="125">
        <v>3.4900000000000003E-4</v>
      </c>
      <c r="Q2" s="125">
        <v>4.3608999999999998E-4</v>
      </c>
      <c r="R2" s="125">
        <v>5.3089999999999995E-4</v>
      </c>
      <c r="S2" s="125">
        <v>6.2951999999999995E-4</v>
      </c>
    </row>
    <row r="3" spans="1:19" x14ac:dyDescent="0.35">
      <c r="A3" s="119" t="s">
        <v>62</v>
      </c>
      <c r="B3" s="128">
        <v>1.0488E-23</v>
      </c>
      <c r="C3" s="129">
        <v>3.9577999999999998E-18</v>
      </c>
      <c r="D3" s="129">
        <v>1.6717000000000001E-14</v>
      </c>
      <c r="E3" s="128">
        <v>5.5917000000000001E-12</v>
      </c>
      <c r="F3" s="129">
        <v>3.9631999999999998E-10</v>
      </c>
      <c r="G3" s="129">
        <v>9.7003000000000001E-10</v>
      </c>
      <c r="H3" s="128">
        <v>2.2504E-9</v>
      </c>
      <c r="I3" s="129">
        <v>4.9784999999999997E-9</v>
      </c>
      <c r="J3" s="129">
        <v>1.0557999999999999E-8</v>
      </c>
      <c r="K3" s="128">
        <v>1.4999999999999999E-7</v>
      </c>
      <c r="L3" s="129">
        <v>1.2964E-6</v>
      </c>
      <c r="M3" s="129">
        <v>7.2142000000000003E-6</v>
      </c>
      <c r="N3" s="129">
        <v>2.7393E-5</v>
      </c>
      <c r="O3" s="129">
        <v>7.1099999999999994E-5</v>
      </c>
      <c r="P3" s="129">
        <v>8.4475999999999996E-5</v>
      </c>
      <c r="Q3" s="128">
        <v>9.7503999999999993E-5</v>
      </c>
      <c r="R3" s="129">
        <v>1.0922E-4</v>
      </c>
      <c r="S3" s="129">
        <v>1.1868E-4</v>
      </c>
    </row>
    <row r="4" spans="1:19" x14ac:dyDescent="0.35">
      <c r="A4" s="119" t="s">
        <v>63</v>
      </c>
      <c r="B4" s="128">
        <v>2.3519999999999999E-20</v>
      </c>
      <c r="C4" s="129">
        <v>2.9041E-15</v>
      </c>
      <c r="D4" s="129">
        <v>5.4777999999999999E-12</v>
      </c>
      <c r="E4" s="128">
        <v>9.9176999999999998E-10</v>
      </c>
      <c r="F4" s="129">
        <v>4.3318999999999999E-8</v>
      </c>
      <c r="G4" s="129">
        <v>9.5450999999999999E-8</v>
      </c>
      <c r="H4" s="128">
        <v>2.0048999999999999E-7</v>
      </c>
      <c r="I4" s="129">
        <v>4.0376000000000001E-7</v>
      </c>
      <c r="J4" s="129">
        <v>7.8352000000000002E-7</v>
      </c>
      <c r="K4" s="128">
        <v>8.1723999999999999E-6</v>
      </c>
      <c r="L4" s="129">
        <v>5.4653E-5</v>
      </c>
      <c r="M4" s="129">
        <v>2.4179E-4</v>
      </c>
      <c r="N4" s="129">
        <v>7.3530999999999998E-4</v>
      </c>
      <c r="O4" s="129">
        <v>1.5001000000000001E-3</v>
      </c>
      <c r="P4" s="129">
        <v>1.6666000000000001E-3</v>
      </c>
      <c r="Q4" s="128">
        <v>1.792E-3</v>
      </c>
      <c r="R4" s="129">
        <v>1.8621E-3</v>
      </c>
      <c r="S4" s="129">
        <v>1.869E-3</v>
      </c>
    </row>
    <row r="5" spans="1:19" x14ac:dyDescent="0.35">
      <c r="A5" s="118" t="s">
        <v>100</v>
      </c>
      <c r="B5" s="126">
        <v>7.0142999999999997E-18</v>
      </c>
      <c r="C5" s="127">
        <v>1.2472999999999999E-13</v>
      </c>
      <c r="D5" s="127">
        <v>6.0163000000000002E-11</v>
      </c>
      <c r="E5" s="126">
        <v>3.9376999999999998E-9</v>
      </c>
      <c r="F5" s="127">
        <v>7.8069999999999997E-8</v>
      </c>
      <c r="G5" s="127">
        <v>1.451E-7</v>
      </c>
      <c r="H5" s="126">
        <v>2.5949E-7</v>
      </c>
      <c r="I5" s="127">
        <v>4.4887999999999998E-7</v>
      </c>
      <c r="J5" s="127">
        <v>7.5448999999999998E-7</v>
      </c>
      <c r="K5" s="126">
        <v>4.7639000000000002E-6</v>
      </c>
      <c r="L5" s="127">
        <v>2.1036999999999999E-5</v>
      </c>
      <c r="M5" s="127">
        <v>6.4795999999999994E-5</v>
      </c>
      <c r="N5" s="126">
        <v>1.4101000000000001E-4</v>
      </c>
      <c r="O5" s="127">
        <v>2.0523000000000001E-4</v>
      </c>
      <c r="P5" s="127">
        <v>2.0854000000000001E-4</v>
      </c>
      <c r="Q5" s="126">
        <v>2.0446E-4</v>
      </c>
      <c r="R5" s="127">
        <v>1.9307999999999999E-4</v>
      </c>
      <c r="S5" s="127">
        <v>1.7545000000000001E-4</v>
      </c>
    </row>
    <row r="6" spans="1:19" x14ac:dyDescent="0.35">
      <c r="A6" s="118" t="s">
        <v>95</v>
      </c>
      <c r="B6" s="126">
        <v>4.6750000000000002E-19</v>
      </c>
      <c r="C6" s="127">
        <v>1.4544E-14</v>
      </c>
      <c r="D6" s="127">
        <v>9.6277999999999998E-12</v>
      </c>
      <c r="E6" s="126">
        <v>7.6236000000000004E-10</v>
      </c>
      <c r="F6" s="127">
        <v>1.7047E-8</v>
      </c>
      <c r="G6" s="127">
        <v>3.2428999999999999E-8</v>
      </c>
      <c r="H6" s="126">
        <v>5.9252E-8</v>
      </c>
      <c r="I6" s="127">
        <v>1.0457E-7</v>
      </c>
      <c r="J6" s="127">
        <v>1.7912000000000001E-7</v>
      </c>
      <c r="K6" s="127">
        <v>1.2105000000000001E-6</v>
      </c>
      <c r="L6" s="127">
        <v>5.6323999999999996E-6</v>
      </c>
      <c r="M6" s="127">
        <v>1.7842E-5</v>
      </c>
      <c r="N6" s="126">
        <v>3.8671999999999998E-5</v>
      </c>
      <c r="O6" s="127">
        <v>5.3331999999999997E-5</v>
      </c>
      <c r="P6" s="127">
        <v>5.2883999999999997E-5</v>
      </c>
      <c r="Q6" s="126">
        <v>5.0330000000000001E-5</v>
      </c>
      <c r="R6" s="127">
        <v>4.5880000000000001E-5</v>
      </c>
      <c r="S6" s="127">
        <v>4.002E-5</v>
      </c>
    </row>
    <row r="7" spans="1:19" x14ac:dyDescent="0.35">
      <c r="A7" s="119" t="s">
        <v>101</v>
      </c>
      <c r="B7" s="128">
        <v>6.5274000000000001E-21</v>
      </c>
      <c r="C7" s="129">
        <v>3.1763E-16</v>
      </c>
      <c r="D7" s="129">
        <v>2.6788999999999998E-13</v>
      </c>
      <c r="E7" s="128">
        <v>2.4334E-11</v>
      </c>
      <c r="F7" s="129">
        <v>5.8974999999999995E-10</v>
      </c>
      <c r="G7" s="129">
        <v>1.1386E-9</v>
      </c>
      <c r="H7" s="128">
        <v>2.1087E-9</v>
      </c>
      <c r="I7" s="129">
        <v>3.7684000000000003E-9</v>
      </c>
      <c r="J7" s="129">
        <v>6.5316000000000001E-9</v>
      </c>
      <c r="K7" s="129">
        <v>4.6090999999999999E-8</v>
      </c>
      <c r="L7" s="129">
        <v>2.2144E-7</v>
      </c>
      <c r="M7" s="129">
        <v>7.0938000000000002E-7</v>
      </c>
      <c r="N7" s="128">
        <v>1.5096999999999999E-6</v>
      </c>
      <c r="O7" s="129">
        <v>1.9487999999999999E-6</v>
      </c>
      <c r="P7" s="129">
        <v>1.8805E-6</v>
      </c>
      <c r="Q7" s="128">
        <v>1.7325999999999999E-6</v>
      </c>
      <c r="R7" s="129">
        <v>1.5206999999999999E-6</v>
      </c>
      <c r="S7" s="129">
        <v>1.2700999999999999E-6</v>
      </c>
    </row>
    <row r="8" spans="1:19" x14ac:dyDescent="0.35">
      <c r="A8" s="119" t="s">
        <v>65</v>
      </c>
      <c r="B8" s="128">
        <v>2.2998000000000001E-20</v>
      </c>
      <c r="C8" s="129">
        <v>2.7161000000000001E-15</v>
      </c>
      <c r="D8" s="129">
        <v>6.1727000000000001E-12</v>
      </c>
      <c r="E8" s="128">
        <v>1.4644E-9</v>
      </c>
      <c r="F8" s="129">
        <v>8.5529999999999999E-8</v>
      </c>
      <c r="G8" s="129">
        <v>2.0232E-7</v>
      </c>
      <c r="H8" s="128">
        <v>4.5535000000000001E-7</v>
      </c>
      <c r="I8" s="129">
        <v>9.8015000000000005E-7</v>
      </c>
      <c r="J8" s="129">
        <v>2.0269999999999998E-6</v>
      </c>
      <c r="K8" s="128">
        <v>2.6438E-5</v>
      </c>
      <c r="L8" s="129">
        <v>2.1613000000000001E-4</v>
      </c>
      <c r="M8" s="129">
        <v>1.1918E-3</v>
      </c>
      <c r="N8" s="128">
        <v>4.7704999999999996E-3</v>
      </c>
      <c r="O8" s="129">
        <v>1.439E-2</v>
      </c>
      <c r="P8" s="129">
        <v>1.814E-2</v>
      </c>
      <c r="Q8" s="128">
        <v>2.2447999999999999E-2</v>
      </c>
      <c r="R8" s="129">
        <v>2.7255000000000001E-2</v>
      </c>
      <c r="S8" s="129">
        <v>3.2462999999999999E-2</v>
      </c>
    </row>
    <row r="9" spans="1:19" x14ac:dyDescent="0.35">
      <c r="A9" s="118" t="s">
        <v>2</v>
      </c>
      <c r="B9" s="126">
        <v>0</v>
      </c>
      <c r="C9" s="127">
        <v>4.4399E-31</v>
      </c>
      <c r="D9" s="127">
        <v>3.0258999999999999E-25</v>
      </c>
      <c r="E9" s="126">
        <v>4.5625999999999999E-21</v>
      </c>
      <c r="F9" s="127">
        <v>6.3055999999999998E-18</v>
      </c>
      <c r="G9" s="127">
        <v>2.9350999999999997E-17</v>
      </c>
      <c r="H9" s="126">
        <v>1.2512E-16</v>
      </c>
      <c r="I9" s="127">
        <v>4.9255999999999996E-16</v>
      </c>
      <c r="J9" s="127">
        <v>1.8034000000000001E-15</v>
      </c>
      <c r="K9" s="126">
        <v>1.7494000000000001E-13</v>
      </c>
      <c r="L9" s="127">
        <v>7.5006000000000006E-12</v>
      </c>
      <c r="M9" s="127">
        <v>1.6884000000000001E-10</v>
      </c>
      <c r="N9" s="126">
        <v>2.3039999999999999E-9</v>
      </c>
      <c r="O9" s="127">
        <v>2.1068E-8</v>
      </c>
      <c r="P9" s="127">
        <v>3.4657999999999998E-8</v>
      </c>
      <c r="Q9" s="126">
        <v>5.5816000000000002E-8</v>
      </c>
      <c r="R9" s="127">
        <v>8.8024999999999996E-8</v>
      </c>
      <c r="S9" s="127">
        <v>1.3596999999999999E-7</v>
      </c>
    </row>
    <row r="10" spans="1:19" x14ac:dyDescent="0.35">
      <c r="A10" s="119" t="s">
        <v>1</v>
      </c>
      <c r="B10" s="128">
        <v>0.2</v>
      </c>
      <c r="C10" s="129">
        <v>0.2</v>
      </c>
      <c r="D10" s="129">
        <v>0.2</v>
      </c>
      <c r="E10" s="128">
        <v>0.2</v>
      </c>
      <c r="F10" s="129">
        <v>0.2</v>
      </c>
      <c r="G10" s="129">
        <v>0.2</v>
      </c>
      <c r="H10" s="128">
        <v>0.2</v>
      </c>
      <c r="I10" s="129">
        <v>0.2</v>
      </c>
      <c r="J10" s="129">
        <v>0.2</v>
      </c>
      <c r="K10" s="128">
        <v>0.2</v>
      </c>
      <c r="L10" s="129">
        <v>0.2</v>
      </c>
      <c r="M10" s="129">
        <v>0.2</v>
      </c>
      <c r="N10" s="128">
        <v>0.2</v>
      </c>
      <c r="O10" s="129">
        <v>0.2</v>
      </c>
      <c r="P10" s="129">
        <v>0.2</v>
      </c>
      <c r="Q10" s="128">
        <v>0.2</v>
      </c>
      <c r="R10" s="129">
        <v>0.2</v>
      </c>
      <c r="S10" s="129">
        <v>0.2</v>
      </c>
    </row>
    <row r="11" spans="1:19" x14ac:dyDescent="0.35">
      <c r="A11" s="119" t="s">
        <v>66</v>
      </c>
      <c r="B11" s="128">
        <v>6.1817999999999995E-11</v>
      </c>
      <c r="C11" s="129">
        <v>6.3934999999999996E-8</v>
      </c>
      <c r="D11" s="129">
        <v>5.8937E-6</v>
      </c>
      <c r="E11" s="128">
        <v>1.3797000000000001E-4</v>
      </c>
      <c r="F11" s="129">
        <v>1.3603000000000001E-3</v>
      </c>
      <c r="G11" s="129">
        <v>2.1714999999999998E-3</v>
      </c>
      <c r="H11" s="128">
        <v>3.3368E-3</v>
      </c>
      <c r="I11" s="129">
        <v>4.9376000000000003E-3</v>
      </c>
      <c r="J11" s="129">
        <v>7.0346999999999996E-3</v>
      </c>
      <c r="K11" s="128">
        <v>1.9782000000000001E-2</v>
      </c>
      <c r="L11" s="129">
        <v>3.3222000000000002E-2</v>
      </c>
      <c r="M11" s="129">
        <v>4.2268E-2</v>
      </c>
      <c r="N11" s="128">
        <v>4.7828000000000002E-2</v>
      </c>
      <c r="O11" s="129">
        <v>5.1423999999999997E-2</v>
      </c>
      <c r="P11" s="129">
        <v>5.2121000000000001E-2</v>
      </c>
      <c r="Q11" s="128">
        <v>5.2750999999999999E-2</v>
      </c>
      <c r="R11" s="129">
        <v>5.3317000000000003E-2</v>
      </c>
      <c r="S11" s="129">
        <v>5.3823000000000003E-2</v>
      </c>
    </row>
    <row r="12" spans="1:19" x14ac:dyDescent="0.35">
      <c r="A12" s="118" t="s">
        <v>96</v>
      </c>
      <c r="B12" s="126">
        <v>0.12</v>
      </c>
      <c r="C12" s="127">
        <v>0.12</v>
      </c>
      <c r="D12" s="127">
        <v>0.11999</v>
      </c>
      <c r="E12" s="126">
        <v>0.11971999999999999</v>
      </c>
      <c r="F12" s="127">
        <v>0.11728</v>
      </c>
      <c r="G12" s="127">
        <v>0.11566</v>
      </c>
      <c r="H12" s="126">
        <v>0.11333</v>
      </c>
      <c r="I12" s="127">
        <v>0.11012</v>
      </c>
      <c r="J12" s="127">
        <v>0.10593</v>
      </c>
      <c r="K12" s="126">
        <v>8.0435999999999994E-2</v>
      </c>
      <c r="L12" s="127">
        <v>5.3557E-2</v>
      </c>
      <c r="M12" s="127">
        <v>3.5464000000000002E-2</v>
      </c>
      <c r="N12" s="126">
        <v>2.4344000000000001E-2</v>
      </c>
      <c r="O12" s="127">
        <v>1.7152000000000001E-2</v>
      </c>
      <c r="P12" s="127">
        <v>1.5758000000000001E-2</v>
      </c>
      <c r="Q12" s="126">
        <v>1.4499E-2</v>
      </c>
      <c r="R12" s="127">
        <v>1.3365999999999999E-2</v>
      </c>
      <c r="S12" s="127">
        <v>1.2354E-2</v>
      </c>
    </row>
    <row r="13" spans="1:19" x14ac:dyDescent="0.35">
      <c r="A13" s="118" t="s">
        <v>97</v>
      </c>
      <c r="B13" s="126">
        <v>2.1116000000000001E-17</v>
      </c>
      <c r="C13" s="127">
        <v>4.4100000000000003E-14</v>
      </c>
      <c r="D13" s="127">
        <v>7.7169000000000008E-12</v>
      </c>
      <c r="E13" s="126">
        <v>3.1881999999999999E-10</v>
      </c>
      <c r="F13" s="127">
        <v>5.2700999999999998E-9</v>
      </c>
      <c r="G13" s="127">
        <v>9.5619999999999999E-9</v>
      </c>
      <c r="H13" s="126">
        <v>1.6749E-8</v>
      </c>
      <c r="I13" s="127">
        <v>2.8401000000000001E-8</v>
      </c>
      <c r="J13" s="127">
        <v>4.6738999999999999E-8</v>
      </c>
      <c r="K13" s="126">
        <v>2.6523E-7</v>
      </c>
      <c r="L13" s="127">
        <v>1.0922999999999999E-6</v>
      </c>
      <c r="M13" s="127">
        <v>3.5822000000000002E-6</v>
      </c>
      <c r="N13" s="126">
        <v>9.9946999999999994E-6</v>
      </c>
      <c r="O13" s="127">
        <v>2.5179000000000001E-5</v>
      </c>
      <c r="P13" s="127">
        <v>3.1439000000000002E-5</v>
      </c>
      <c r="Q13" s="126">
        <v>3.9180000000000001E-5</v>
      </c>
      <c r="R13" s="127">
        <v>4.8766E-5</v>
      </c>
      <c r="S13" s="127">
        <v>6.0649000000000002E-5</v>
      </c>
    </row>
    <row r="14" spans="1:19" x14ac:dyDescent="0.35">
      <c r="A14" s="119" t="s">
        <v>61</v>
      </c>
      <c r="B14" s="128">
        <v>0.28000000000000003</v>
      </c>
      <c r="C14" s="129">
        <v>0.28000000000000003</v>
      </c>
      <c r="D14" s="129">
        <v>0.27999000000000002</v>
      </c>
      <c r="E14" s="128">
        <v>0.27986</v>
      </c>
      <c r="F14" s="129">
        <v>0.27864</v>
      </c>
      <c r="G14" s="129">
        <v>0.27783000000000002</v>
      </c>
      <c r="H14" s="128">
        <v>0.27666000000000002</v>
      </c>
      <c r="I14" s="129">
        <v>0.27505000000000002</v>
      </c>
      <c r="J14" s="129">
        <v>0.27295000000000003</v>
      </c>
      <c r="K14" s="128">
        <v>0.26008999999999999</v>
      </c>
      <c r="L14" s="129">
        <v>0.24589</v>
      </c>
      <c r="M14" s="129">
        <v>0.23355000000000001</v>
      </c>
      <c r="N14" s="128">
        <v>0.21748999999999999</v>
      </c>
      <c r="O14" s="129">
        <v>0.18959999999999999</v>
      </c>
      <c r="P14" s="129">
        <v>0.18028</v>
      </c>
      <c r="Q14" s="128">
        <v>0.17014000000000001</v>
      </c>
      <c r="R14" s="129">
        <v>0.15939</v>
      </c>
      <c r="S14" s="129">
        <v>0.14826</v>
      </c>
    </row>
    <row r="15" spans="1:19" x14ac:dyDescent="0.35">
      <c r="A15" s="119" t="s">
        <v>74</v>
      </c>
      <c r="B15" s="128">
        <v>0.2</v>
      </c>
      <c r="C15" s="129">
        <v>0.2</v>
      </c>
      <c r="D15" s="129">
        <v>0.2</v>
      </c>
      <c r="E15" s="128">
        <v>0.2</v>
      </c>
      <c r="F15" s="129">
        <v>0.2</v>
      </c>
      <c r="G15" s="129">
        <v>0.2</v>
      </c>
      <c r="H15" s="128">
        <v>0.2</v>
      </c>
      <c r="I15" s="129">
        <v>0.2</v>
      </c>
      <c r="J15" s="129">
        <v>0.2</v>
      </c>
      <c r="K15" s="128">
        <v>0.2</v>
      </c>
      <c r="L15" s="129">
        <v>0.2</v>
      </c>
      <c r="M15" s="129">
        <v>0.2</v>
      </c>
      <c r="N15" s="128">
        <v>0.19999</v>
      </c>
      <c r="O15" s="129">
        <v>0.19997000000000001</v>
      </c>
      <c r="P15" s="129">
        <v>0.19997000000000001</v>
      </c>
      <c r="Q15" s="128">
        <v>0.19996</v>
      </c>
      <c r="R15" s="129">
        <v>0.19994999999999999</v>
      </c>
      <c r="S15" s="129">
        <v>0.19994000000000001</v>
      </c>
    </row>
    <row r="16" spans="1:19" x14ac:dyDescent="0.35">
      <c r="A16" s="118" t="s">
        <v>98</v>
      </c>
      <c r="B16" s="126">
        <v>-18.62</v>
      </c>
      <c r="C16" s="127">
        <v>-18.63</v>
      </c>
      <c r="D16" s="127">
        <v>-18.72</v>
      </c>
      <c r="E16" s="126">
        <v>-18.84</v>
      </c>
      <c r="F16" s="127">
        <v>-18.98</v>
      </c>
      <c r="G16" s="127">
        <v>-19.02</v>
      </c>
      <c r="H16" s="126">
        <v>-19.059999999999999</v>
      </c>
      <c r="I16" s="127">
        <v>-19.100000000000001</v>
      </c>
      <c r="J16" s="127">
        <v>-19.14</v>
      </c>
      <c r="K16" s="126">
        <v>-19.34</v>
      </c>
      <c r="L16" s="127">
        <v>-19.54</v>
      </c>
      <c r="M16" s="127">
        <v>-19.71</v>
      </c>
      <c r="N16" s="126">
        <v>-19.88</v>
      </c>
      <c r="O16" s="127">
        <v>-20.059999999999999</v>
      </c>
      <c r="P16" s="127">
        <v>-20.100000000000001</v>
      </c>
      <c r="Q16" s="126">
        <v>-20.149999999999999</v>
      </c>
      <c r="R16" s="127">
        <v>-20.2</v>
      </c>
      <c r="S16" s="127">
        <v>-20.25</v>
      </c>
    </row>
    <row r="17" spans="1:19" x14ac:dyDescent="0.35">
      <c r="A17" s="118" t="s">
        <v>67</v>
      </c>
      <c r="B17" s="126">
        <v>-6.28</v>
      </c>
      <c r="C17" s="127">
        <v>-6.7720000000000002</v>
      </c>
      <c r="D17" s="127">
        <v>-7.2119999999999997</v>
      </c>
      <c r="E17" s="126">
        <v>-7.6059999999999999</v>
      </c>
      <c r="F17" s="127">
        <v>-7.9720000000000004</v>
      </c>
      <c r="G17" s="127">
        <v>-8.0649999999999995</v>
      </c>
      <c r="H17" s="126">
        <v>-8.16</v>
      </c>
      <c r="I17" s="127">
        <v>-8.2590000000000003</v>
      </c>
      <c r="J17" s="127">
        <v>-8.3640000000000008</v>
      </c>
      <c r="K17" s="126">
        <v>-8.8610000000000007</v>
      </c>
      <c r="L17" s="127">
        <v>-9.4550000000000001</v>
      </c>
      <c r="M17" s="127">
        <v>-10.050000000000001</v>
      </c>
      <c r="N17" s="126">
        <v>-10.6</v>
      </c>
      <c r="O17" s="127">
        <v>-11.08</v>
      </c>
      <c r="P17" s="127">
        <v>-11.19</v>
      </c>
      <c r="Q17" s="128">
        <v>-11.29</v>
      </c>
      <c r="R17" s="129">
        <v>-11.39</v>
      </c>
      <c r="S17" s="129">
        <v>-11.48</v>
      </c>
    </row>
    <row r="18" spans="1:19" x14ac:dyDescent="0.35">
      <c r="A18" s="118" t="s">
        <v>53</v>
      </c>
      <c r="B18" s="126">
        <v>-29.32</v>
      </c>
      <c r="C18" s="127">
        <v>-24.74</v>
      </c>
      <c r="D18" s="127">
        <v>-21.74</v>
      </c>
      <c r="E18" s="126">
        <v>-19.649999999999999</v>
      </c>
      <c r="F18" s="127">
        <v>-18.13</v>
      </c>
      <c r="G18" s="127">
        <v>-17.82</v>
      </c>
      <c r="H18" s="126">
        <v>-17.52</v>
      </c>
      <c r="I18" s="127">
        <v>-17.239999999999998</v>
      </c>
      <c r="J18" s="127">
        <v>-16.97</v>
      </c>
      <c r="K18" s="126">
        <v>-16.05</v>
      </c>
      <c r="L18" s="127">
        <v>-15.31</v>
      </c>
      <c r="M18" s="127">
        <v>-14.71</v>
      </c>
      <c r="N18" s="126">
        <v>-14.2</v>
      </c>
      <c r="O18" s="127">
        <v>-13.7</v>
      </c>
      <c r="P18" s="127">
        <v>-13.57</v>
      </c>
      <c r="Q18" s="126">
        <v>-13.44</v>
      </c>
      <c r="R18" s="127">
        <v>-13.3</v>
      </c>
      <c r="S18" s="127">
        <v>-13.16</v>
      </c>
    </row>
    <row r="19" spans="1:19" x14ac:dyDescent="0.35">
      <c r="A19" s="118" t="s">
        <v>99</v>
      </c>
      <c r="B19" s="126">
        <v>-4.9509999999999996</v>
      </c>
      <c r="C19" s="127">
        <v>-5.3029999999999999</v>
      </c>
      <c r="D19" s="127">
        <v>-5.6920000000000002</v>
      </c>
      <c r="E19" s="126">
        <v>-6.0750000000000002</v>
      </c>
      <c r="F19" s="127">
        <v>-6.4379999999999997</v>
      </c>
      <c r="G19" s="127">
        <v>-6.5250000000000004</v>
      </c>
      <c r="H19" s="126">
        <v>-6.61</v>
      </c>
      <c r="I19" s="127">
        <v>-6.6920000000000002</v>
      </c>
      <c r="J19" s="127">
        <v>-6.7720000000000002</v>
      </c>
      <c r="K19" s="126">
        <v>-7.0709999999999997</v>
      </c>
      <c r="L19" s="127">
        <v>-7.3460000000000001</v>
      </c>
      <c r="M19" s="127">
        <v>-7.6130000000000004</v>
      </c>
      <c r="N19" s="126">
        <v>-7.8860000000000001</v>
      </c>
      <c r="O19" s="127">
        <v>-8.1869999999999994</v>
      </c>
      <c r="P19" s="127">
        <v>-8.27</v>
      </c>
      <c r="Q19" s="126">
        <v>-8.3569999999999993</v>
      </c>
      <c r="R19" s="127">
        <v>-8.4489999999999998</v>
      </c>
      <c r="S19" s="127">
        <v>-8.5459999999999994</v>
      </c>
    </row>
    <row r="20" spans="1:19" x14ac:dyDescent="0.35">
      <c r="A20" s="122" t="s">
        <v>54</v>
      </c>
      <c r="B20" s="130">
        <v>0.2</v>
      </c>
      <c r="C20" s="131">
        <v>0.2</v>
      </c>
      <c r="D20" s="131">
        <v>0.20000999999999999</v>
      </c>
      <c r="E20" s="130">
        <v>0.20014000000000001</v>
      </c>
      <c r="F20" s="131">
        <v>0.20136000000000001</v>
      </c>
      <c r="G20" s="131">
        <v>0.20216999999999999</v>
      </c>
      <c r="H20" s="130">
        <v>0.20333999999999999</v>
      </c>
      <c r="I20" s="131">
        <v>0.20494000000000001</v>
      </c>
      <c r="J20" s="131">
        <v>0.20704</v>
      </c>
      <c r="K20" s="130">
        <v>0.21981999999999999</v>
      </c>
      <c r="L20" s="131">
        <v>0.23352000000000001</v>
      </c>
      <c r="M20" s="131">
        <v>0.24381</v>
      </c>
      <c r="N20" s="130">
        <v>0.25362000000000001</v>
      </c>
      <c r="O20" s="131">
        <v>0.26791999999999999</v>
      </c>
      <c r="P20" s="131">
        <v>0.27261999999999997</v>
      </c>
      <c r="Q20" s="130">
        <v>0.27778000000000003</v>
      </c>
      <c r="R20" s="131">
        <v>0.28332000000000002</v>
      </c>
      <c r="S20" s="131">
        <v>0.28911999999999999</v>
      </c>
    </row>
  </sheetData>
  <conditionalFormatting sqref="B1:S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opLeftCell="A7" zoomScale="85" zoomScaleNormal="85" zoomScaleSheetLayoutView="25" workbookViewId="0">
      <selection activeCell="BS26" sqref="BS26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69" t="s">
        <v>24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72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3">
        <v>554</v>
      </c>
      <c r="U3" s="3">
        <v>570.5</v>
      </c>
      <c r="V3" s="3">
        <v>587</v>
      </c>
      <c r="W3" s="3">
        <v>603.5</v>
      </c>
      <c r="X3" s="3">
        <v>620.1</v>
      </c>
      <c r="Y3" s="3">
        <v>636.6</v>
      </c>
      <c r="Z3" s="3">
        <v>653.1</v>
      </c>
      <c r="AA3" s="3">
        <v>669.6</v>
      </c>
      <c r="AB3" s="3">
        <v>735.7</v>
      </c>
      <c r="AC3" s="3">
        <v>752.2</v>
      </c>
      <c r="AD3" s="3">
        <v>768.7</v>
      </c>
      <c r="AE3" s="3">
        <v>785.2</v>
      </c>
      <c r="AF3" s="3">
        <v>801.8</v>
      </c>
      <c r="AG3" s="3">
        <v>818.3</v>
      </c>
      <c r="AH3" s="3">
        <v>834.8</v>
      </c>
      <c r="AI3" s="3">
        <v>851.3</v>
      </c>
      <c r="AJ3" s="3">
        <v>867.8</v>
      </c>
      <c r="AK3" s="3">
        <v>933.9</v>
      </c>
      <c r="AL3" s="3">
        <v>1000</v>
      </c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89</v>
      </c>
      <c r="F4" s="85">
        <v>0.1</v>
      </c>
      <c r="G4" s="85">
        <v>0.1</v>
      </c>
      <c r="H4" s="85">
        <v>0.1</v>
      </c>
      <c r="I4" s="85">
        <v>0.1</v>
      </c>
      <c r="J4" s="85">
        <v>7.5293999999999996E-7</v>
      </c>
      <c r="K4" s="85">
        <v>0.1</v>
      </c>
      <c r="L4" s="85">
        <v>4.6837999999999999E-6</v>
      </c>
      <c r="M4" s="85">
        <v>1.2526E-9</v>
      </c>
      <c r="N4" s="85">
        <v>1.8983999999999999E-10</v>
      </c>
      <c r="O4" s="85">
        <v>8.6451999999999994E-36</v>
      </c>
      <c r="P4" s="85">
        <v>0</v>
      </c>
      <c r="Q4" s="85">
        <v>0</v>
      </c>
      <c r="R4" s="85">
        <v>0</v>
      </c>
      <c r="S4" s="85">
        <v>0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5">
        <v>0</v>
      </c>
      <c r="AH4" s="85">
        <v>0</v>
      </c>
      <c r="AI4" s="85">
        <v>0</v>
      </c>
      <c r="AJ4" s="85">
        <v>0</v>
      </c>
      <c r="AK4" s="85">
        <v>0</v>
      </c>
      <c r="AL4" s="85">
        <v>0</v>
      </c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0</v>
      </c>
      <c r="D5" s="41">
        <f t="shared" si="0"/>
        <v>0</v>
      </c>
      <c r="E5" s="45" t="s">
        <v>49</v>
      </c>
      <c r="F5" s="85">
        <v>2.4738999999999998E-15</v>
      </c>
      <c r="G5" s="85">
        <v>7.9334000000000001E-12</v>
      </c>
      <c r="H5" s="85">
        <v>2.6738999999999999E-10</v>
      </c>
      <c r="I5" s="85">
        <v>2.4725999999999999E-8</v>
      </c>
      <c r="J5" s="85">
        <v>9.9999000000000005E-2</v>
      </c>
      <c r="K5" s="85">
        <v>3.5023000000000002E-8</v>
      </c>
      <c r="L5" s="85">
        <v>9.9995000000000001E-2</v>
      </c>
      <c r="M5" s="85">
        <v>0.1</v>
      </c>
      <c r="N5" s="85">
        <v>0.1</v>
      </c>
      <c r="O5" s="85">
        <v>0.1</v>
      </c>
      <c r="P5" s="85">
        <v>0.1</v>
      </c>
      <c r="Q5" s="85">
        <v>0.1</v>
      </c>
      <c r="R5" s="85">
        <v>0.1</v>
      </c>
      <c r="S5" s="85">
        <v>0.17163</v>
      </c>
      <c r="T5" s="85">
        <v>0.24929999999999999</v>
      </c>
      <c r="U5" s="85">
        <v>0.27585999999999999</v>
      </c>
      <c r="V5" s="85">
        <v>0.28748000000000001</v>
      </c>
      <c r="W5" s="85">
        <v>0.35316999999999998</v>
      </c>
      <c r="X5" s="85">
        <v>0.35614000000000001</v>
      </c>
      <c r="Y5" s="85">
        <v>0.35776000000000002</v>
      </c>
      <c r="Z5" s="85">
        <v>0.35866999999999999</v>
      </c>
      <c r="AA5" s="85">
        <v>0.35919000000000001</v>
      </c>
      <c r="AB5" s="85">
        <v>0.35987000000000002</v>
      </c>
      <c r="AC5" s="85">
        <v>0.35991000000000001</v>
      </c>
      <c r="AD5" s="85">
        <v>0.35993999999999998</v>
      </c>
      <c r="AE5" s="85">
        <v>0.35996</v>
      </c>
      <c r="AF5" s="85">
        <v>0.35997000000000001</v>
      </c>
      <c r="AG5" s="85">
        <v>0.47395999999999999</v>
      </c>
      <c r="AH5" s="85">
        <v>0.47998000000000002</v>
      </c>
      <c r="AI5" s="85">
        <v>0.47999000000000003</v>
      </c>
      <c r="AJ5" s="85">
        <v>0.47999000000000003</v>
      </c>
      <c r="AK5" s="85">
        <v>0.48</v>
      </c>
      <c r="AL5" s="85">
        <v>0.48</v>
      </c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1</v>
      </c>
      <c r="D6" s="41">
        <f t="shared" si="0"/>
        <v>0</v>
      </c>
      <c r="E6" s="45" t="s">
        <v>50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0</v>
      </c>
      <c r="M6" s="85">
        <v>0</v>
      </c>
      <c r="N6" s="85">
        <v>0</v>
      </c>
      <c r="O6" s="85">
        <v>2.2528E-13</v>
      </c>
      <c r="P6" s="85">
        <v>5.8150000000000001E-11</v>
      </c>
      <c r="Q6" s="85">
        <v>1.4037E-9</v>
      </c>
      <c r="R6" s="85">
        <v>3.4671E-8</v>
      </c>
      <c r="S6" s="85">
        <v>7.1625999999999995E-2</v>
      </c>
      <c r="T6" s="85">
        <v>0.14929999999999999</v>
      </c>
      <c r="U6" s="85">
        <v>0.17585999999999999</v>
      </c>
      <c r="V6" s="85">
        <v>0.18748000000000001</v>
      </c>
      <c r="W6" s="85">
        <v>0.19317000000000001</v>
      </c>
      <c r="X6" s="85">
        <v>0.19614000000000001</v>
      </c>
      <c r="Y6" s="85">
        <v>0.19775999999999999</v>
      </c>
      <c r="Z6" s="85">
        <v>0.19867000000000001</v>
      </c>
      <c r="AA6" s="85">
        <v>0.19919000000000001</v>
      </c>
      <c r="AB6" s="85">
        <v>0.19986999999999999</v>
      </c>
      <c r="AC6" s="85">
        <v>0.19991</v>
      </c>
      <c r="AD6" s="85">
        <v>0.19994000000000001</v>
      </c>
      <c r="AE6" s="85">
        <v>0.19996</v>
      </c>
      <c r="AF6" s="85">
        <v>0.19997000000000001</v>
      </c>
      <c r="AG6" s="85">
        <v>0.17635999999999999</v>
      </c>
      <c r="AH6" s="85">
        <v>0.17161999999999999</v>
      </c>
      <c r="AI6" s="85">
        <v>0.16772000000000001</v>
      </c>
      <c r="AJ6" s="85">
        <v>0.16334000000000001</v>
      </c>
      <c r="AK6" s="85">
        <v>0.13930999999999999</v>
      </c>
      <c r="AL6" s="85">
        <v>9.7836999999999993E-2</v>
      </c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3</v>
      </c>
      <c r="C7" s="41">
        <f t="shared" si="0"/>
        <v>0</v>
      </c>
      <c r="D7" s="41">
        <f t="shared" si="0"/>
        <v>2</v>
      </c>
      <c r="E7" s="45" t="s">
        <v>114</v>
      </c>
      <c r="F7" s="85">
        <v>0.06</v>
      </c>
      <c r="G7" s="85">
        <v>0.06</v>
      </c>
      <c r="H7" s="85">
        <v>0.06</v>
      </c>
      <c r="I7" s="85">
        <v>0.06</v>
      </c>
      <c r="J7" s="85">
        <v>0.06</v>
      </c>
      <c r="K7" s="85">
        <v>0.06</v>
      </c>
      <c r="L7" s="85">
        <v>0.06</v>
      </c>
      <c r="M7" s="85">
        <v>0.06</v>
      </c>
      <c r="N7" s="85">
        <v>0.06</v>
      </c>
      <c r="O7" s="85">
        <v>0.06</v>
      </c>
      <c r="P7" s="85">
        <v>0.06</v>
      </c>
      <c r="Q7" s="85">
        <v>0.06</v>
      </c>
      <c r="R7" s="85">
        <v>0.06</v>
      </c>
      <c r="S7" s="85">
        <v>0.06</v>
      </c>
      <c r="T7" s="85">
        <v>0.06</v>
      </c>
      <c r="U7" s="85">
        <v>0.06</v>
      </c>
      <c r="V7" s="85">
        <v>0.06</v>
      </c>
      <c r="W7" s="85">
        <v>1.3082E-7</v>
      </c>
      <c r="X7" s="85">
        <v>1.0444E-9</v>
      </c>
      <c r="Y7" s="85">
        <v>2.0778999999999999E-10</v>
      </c>
      <c r="Z7" s="85">
        <v>1.6176000000000001E-11</v>
      </c>
      <c r="AA7" s="85">
        <v>2.7929999999999998E-13</v>
      </c>
      <c r="AB7" s="85">
        <v>1.1484E-27</v>
      </c>
      <c r="AC7" s="85">
        <v>6.7723000000000001E-33</v>
      </c>
      <c r="AD7" s="85">
        <v>0</v>
      </c>
      <c r="AE7" s="85">
        <v>0</v>
      </c>
      <c r="AF7" s="85">
        <v>0</v>
      </c>
      <c r="AG7" s="85">
        <v>0</v>
      </c>
      <c r="AH7" s="85">
        <v>0</v>
      </c>
      <c r="AI7" s="85">
        <v>0</v>
      </c>
      <c r="AJ7" s="85">
        <v>0</v>
      </c>
      <c r="AK7" s="85">
        <v>0</v>
      </c>
      <c r="AL7" s="85">
        <v>0</v>
      </c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1</v>
      </c>
      <c r="E8" s="45" t="s">
        <v>69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0</v>
      </c>
      <c r="M8" s="85">
        <v>0</v>
      </c>
      <c r="N8" s="85">
        <v>0</v>
      </c>
      <c r="O8" s="85">
        <v>0</v>
      </c>
      <c r="P8" s="85">
        <v>0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  <c r="V8" s="85">
        <v>0</v>
      </c>
      <c r="W8" s="85">
        <v>0</v>
      </c>
      <c r="X8" s="85">
        <v>0</v>
      </c>
      <c r="Y8" s="85">
        <v>0</v>
      </c>
      <c r="Z8" s="85">
        <v>0</v>
      </c>
      <c r="AA8" s="85">
        <v>0</v>
      </c>
      <c r="AB8" s="85">
        <v>4.5526999999999996E-28</v>
      </c>
      <c r="AC8" s="85">
        <v>6.1443E-25</v>
      </c>
      <c r="AD8" s="85">
        <v>2.5233999999999998E-21</v>
      </c>
      <c r="AE8" s="85">
        <v>2.9531999999999999E-19</v>
      </c>
      <c r="AF8" s="85">
        <v>3.1565000000000001E-18</v>
      </c>
      <c r="AG8" s="85">
        <v>9.2837999999999995E-19</v>
      </c>
      <c r="AH8" s="85">
        <v>1.8903999999999998E-8</v>
      </c>
      <c r="AI8" s="85">
        <v>1.7457999999999999E-7</v>
      </c>
      <c r="AJ8" s="85">
        <v>1.4719000000000001E-7</v>
      </c>
      <c r="AK8" s="85">
        <v>5.5145000000000002E-8</v>
      </c>
      <c r="AL8" s="85">
        <v>1.03E-8</v>
      </c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1</v>
      </c>
      <c r="D9" s="41">
        <f t="shared" si="0"/>
        <v>0</v>
      </c>
      <c r="E9" s="45" t="s">
        <v>109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0</v>
      </c>
      <c r="P9" s="85">
        <v>1.0158E-35</v>
      </c>
      <c r="Q9" s="85">
        <v>0</v>
      </c>
      <c r="R9" s="85">
        <v>0</v>
      </c>
      <c r="S9" s="85">
        <v>0</v>
      </c>
      <c r="T9" s="85">
        <v>1.1205000000000001E-32</v>
      </c>
      <c r="U9" s="85">
        <v>0</v>
      </c>
      <c r="V9" s="85">
        <v>0</v>
      </c>
      <c r="W9" s="85">
        <v>0</v>
      </c>
      <c r="X9" s="85">
        <v>0</v>
      </c>
      <c r="Y9" s="85">
        <v>2.7220000000000002E-22</v>
      </c>
      <c r="Z9" s="85">
        <v>7.6786000000000004E-17</v>
      </c>
      <c r="AA9" s="85">
        <v>1.3577999999999999E-14</v>
      </c>
      <c r="AB9" s="85">
        <v>1.0674E-13</v>
      </c>
      <c r="AC9" s="85">
        <v>6.7119999999999996E-14</v>
      </c>
      <c r="AD9" s="85">
        <v>4.7346000000000002E-14</v>
      </c>
      <c r="AE9" s="85">
        <v>9.4001999999999996E-17</v>
      </c>
      <c r="AF9" s="85">
        <v>2.0290000000000001E-26</v>
      </c>
      <c r="AG9" s="85">
        <v>0</v>
      </c>
      <c r="AH9" s="85">
        <v>1.2541E-17</v>
      </c>
      <c r="AI9" s="85">
        <v>1.7599E-12</v>
      </c>
      <c r="AJ9" s="85">
        <v>9.8021000000000005E-14</v>
      </c>
      <c r="AK9" s="85">
        <v>9.2581999999999999E-13</v>
      </c>
      <c r="AL9" s="85">
        <v>1.0261E-9</v>
      </c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0</v>
      </c>
      <c r="D10" s="41">
        <f t="shared" si="0"/>
        <v>1</v>
      </c>
      <c r="E10" s="45" t="s">
        <v>51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0</v>
      </c>
      <c r="M10" s="85">
        <v>0</v>
      </c>
      <c r="N10" s="85">
        <v>9.4820000000000006E-31</v>
      </c>
      <c r="O10" s="85">
        <v>1.7169000000000001E-14</v>
      </c>
      <c r="P10" s="85">
        <v>8.5510000000000006E-14</v>
      </c>
      <c r="Q10" s="85">
        <v>8.4048E-16</v>
      </c>
      <c r="R10" s="85">
        <v>4.5506999999999999E-26</v>
      </c>
      <c r="S10" s="85">
        <v>1.2055E-25</v>
      </c>
      <c r="T10" s="85">
        <v>3.2555000000000002E-9</v>
      </c>
      <c r="U10" s="85">
        <v>1.6651999999999999E-8</v>
      </c>
      <c r="V10" s="85">
        <v>1.7648999999999999E-7</v>
      </c>
      <c r="W10" s="85">
        <v>0.12</v>
      </c>
      <c r="X10" s="85">
        <v>0.12</v>
      </c>
      <c r="Y10" s="85">
        <v>0.12</v>
      </c>
      <c r="Z10" s="85">
        <v>0.12</v>
      </c>
      <c r="AA10" s="85">
        <v>0.12</v>
      </c>
      <c r="AB10" s="85">
        <v>0.12</v>
      </c>
      <c r="AC10" s="85">
        <v>0.12</v>
      </c>
      <c r="AD10" s="85">
        <v>0.12</v>
      </c>
      <c r="AE10" s="85">
        <v>0.12</v>
      </c>
      <c r="AF10" s="85">
        <v>0.12</v>
      </c>
      <c r="AG10" s="85">
        <v>6.0197000000000002E-3</v>
      </c>
      <c r="AH10" s="85">
        <v>1.222E-8</v>
      </c>
      <c r="AI10" s="85">
        <v>2.2326999999999999E-11</v>
      </c>
      <c r="AJ10" s="85">
        <v>1.7935999999999998E-18</v>
      </c>
      <c r="AK10" s="85">
        <v>0</v>
      </c>
      <c r="AL10" s="85">
        <v>0</v>
      </c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1</v>
      </c>
      <c r="D11" s="41">
        <f t="shared" si="0"/>
        <v>0</v>
      </c>
      <c r="E11" s="45" t="s">
        <v>78</v>
      </c>
      <c r="F11" s="85">
        <v>0.1</v>
      </c>
      <c r="G11" s="85">
        <v>0.1</v>
      </c>
      <c r="H11" s="85">
        <v>0.1</v>
      </c>
      <c r="I11" s="85">
        <v>0.1</v>
      </c>
      <c r="J11" s="85">
        <v>0.2</v>
      </c>
      <c r="K11" s="85">
        <v>0.1</v>
      </c>
      <c r="L11" s="85">
        <v>0.2</v>
      </c>
      <c r="M11" s="85">
        <v>0.2</v>
      </c>
      <c r="N11" s="85">
        <v>0.2</v>
      </c>
      <c r="O11" s="85">
        <v>0.2</v>
      </c>
      <c r="P11" s="85">
        <v>0.2</v>
      </c>
      <c r="Q11" s="85">
        <v>0.2</v>
      </c>
      <c r="R11" s="85">
        <v>0.2</v>
      </c>
      <c r="S11" s="85">
        <v>0.12837000000000001</v>
      </c>
      <c r="T11" s="85">
        <v>5.0701000000000003E-2</v>
      </c>
      <c r="U11" s="85">
        <v>2.4145E-2</v>
      </c>
      <c r="V11" s="85">
        <v>1.2522999999999999E-2</v>
      </c>
      <c r="W11" s="85">
        <v>6.8328E-3</v>
      </c>
      <c r="X11" s="85">
        <v>3.8625999999999999E-3</v>
      </c>
      <c r="Y11" s="85">
        <v>2.2447000000000001E-3</v>
      </c>
      <c r="Z11" s="85">
        <v>1.3349E-3</v>
      </c>
      <c r="AA11" s="85">
        <v>8.1010999999999995E-4</v>
      </c>
      <c r="AB11" s="85">
        <v>1.2987E-4</v>
      </c>
      <c r="AC11" s="85">
        <v>8.5175999999999999E-5</v>
      </c>
      <c r="AD11" s="85">
        <v>5.6563E-5</v>
      </c>
      <c r="AE11" s="85">
        <v>3.8003999999999997E-5</v>
      </c>
      <c r="AF11" s="85">
        <v>2.5819000000000001E-5</v>
      </c>
      <c r="AG11" s="85">
        <v>1.7725000000000001E-5</v>
      </c>
      <c r="AH11" s="85">
        <v>1.2286999999999999E-5</v>
      </c>
      <c r="AI11" s="85">
        <v>8.5976000000000005E-6</v>
      </c>
      <c r="AJ11" s="85">
        <v>6.0692000000000003E-6</v>
      </c>
      <c r="AK11" s="85">
        <v>1.6315E-6</v>
      </c>
      <c r="AL11" s="85">
        <v>4.8910999999999996E-7</v>
      </c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2</v>
      </c>
      <c r="E12" s="45" t="s">
        <v>90</v>
      </c>
      <c r="F12" s="85">
        <v>0</v>
      </c>
      <c r="G12" s="85">
        <v>0</v>
      </c>
      <c r="H12" s="85">
        <v>0</v>
      </c>
      <c r="I12" s="85">
        <v>0</v>
      </c>
      <c r="J12" s="85">
        <v>0</v>
      </c>
      <c r="K12" s="85">
        <v>0</v>
      </c>
      <c r="L12" s="85">
        <v>0</v>
      </c>
      <c r="M12" s="85">
        <v>0</v>
      </c>
      <c r="N12" s="85">
        <v>0</v>
      </c>
      <c r="O12" s="85">
        <v>1.3432E-31</v>
      </c>
      <c r="P12" s="85">
        <v>1.5711999999999999E-29</v>
      </c>
      <c r="Q12" s="85">
        <v>1.3752E-27</v>
      </c>
      <c r="R12" s="85">
        <v>9.2523999999999999E-26</v>
      </c>
      <c r="S12" s="85">
        <v>4.0224000000000004E-24</v>
      </c>
      <c r="T12" s="85">
        <v>1.3078000000000001E-22</v>
      </c>
      <c r="U12" s="85">
        <v>4.0776E-21</v>
      </c>
      <c r="V12" s="85">
        <v>1.1226E-19</v>
      </c>
      <c r="W12" s="85">
        <v>2.2370999999999998E-18</v>
      </c>
      <c r="X12" s="85">
        <v>2.3373999999999999E-17</v>
      </c>
      <c r="Y12" s="85">
        <v>2.1883E-16</v>
      </c>
      <c r="Z12" s="85">
        <v>1.846E-15</v>
      </c>
      <c r="AA12" s="85">
        <v>1.4121E-14</v>
      </c>
      <c r="AB12" s="85">
        <v>2.0518E-11</v>
      </c>
      <c r="AC12" s="85">
        <v>1.0504000000000001E-10</v>
      </c>
      <c r="AD12" s="85">
        <v>5.0361999999999996E-10</v>
      </c>
      <c r="AE12" s="85">
        <v>2.2708000000000001E-9</v>
      </c>
      <c r="AF12" s="85">
        <v>9.6646000000000007E-9</v>
      </c>
      <c r="AG12" s="85">
        <v>3.7832999999999999E-8</v>
      </c>
      <c r="AH12" s="85">
        <v>3.7532000000000002E-8</v>
      </c>
      <c r="AI12" s="85">
        <v>3.6856999999999997E-8</v>
      </c>
      <c r="AJ12" s="85">
        <v>3.5754999999999998E-8</v>
      </c>
      <c r="AK12" s="85">
        <v>2.8010999999999999E-8</v>
      </c>
      <c r="AL12" s="85">
        <v>1.7722999999999999E-8</v>
      </c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1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 t="s">
        <v>1</v>
      </c>
      <c r="F13" s="85">
        <v>0.2</v>
      </c>
      <c r="G13" s="85">
        <v>0.2</v>
      </c>
      <c r="H13" s="85">
        <v>0.2</v>
      </c>
      <c r="I13" s="85">
        <v>0.2</v>
      </c>
      <c r="J13" s="85">
        <v>0.2</v>
      </c>
      <c r="K13" s="85">
        <v>0.2</v>
      </c>
      <c r="L13" s="85">
        <v>0.2</v>
      </c>
      <c r="M13" s="85">
        <v>0.2</v>
      </c>
      <c r="N13" s="85">
        <v>0.2</v>
      </c>
      <c r="O13" s="85">
        <v>0.2</v>
      </c>
      <c r="P13" s="85">
        <v>0.2</v>
      </c>
      <c r="Q13" s="85">
        <v>0.2</v>
      </c>
      <c r="R13" s="85">
        <v>0.2</v>
      </c>
      <c r="S13" s="85">
        <v>0.2</v>
      </c>
      <c r="T13" s="85">
        <v>0.2</v>
      </c>
      <c r="U13" s="85">
        <v>0.2</v>
      </c>
      <c r="V13" s="85">
        <v>0.2</v>
      </c>
      <c r="W13" s="85">
        <v>0.2</v>
      </c>
      <c r="X13" s="85">
        <v>0.2</v>
      </c>
      <c r="Y13" s="85">
        <v>0.2</v>
      </c>
      <c r="Z13" s="85">
        <v>0.2</v>
      </c>
      <c r="AA13" s="85">
        <v>0.2</v>
      </c>
      <c r="AB13" s="85">
        <v>0.2</v>
      </c>
      <c r="AC13" s="85">
        <v>0.2</v>
      </c>
      <c r="AD13" s="85">
        <v>0.2</v>
      </c>
      <c r="AE13" s="85">
        <v>0.2</v>
      </c>
      <c r="AF13" s="85">
        <v>0.2</v>
      </c>
      <c r="AG13" s="85">
        <v>0.2</v>
      </c>
      <c r="AH13" s="85">
        <v>0.2</v>
      </c>
      <c r="AI13" s="85">
        <v>0.2</v>
      </c>
      <c r="AJ13" s="85">
        <v>0.2</v>
      </c>
      <c r="AK13" s="85">
        <v>0.2</v>
      </c>
      <c r="AL13" s="85">
        <v>0.2</v>
      </c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115</v>
      </c>
      <c r="F14" s="85">
        <v>0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0</v>
      </c>
      <c r="N14" s="85">
        <v>0</v>
      </c>
      <c r="O14" s="85">
        <v>2.6205E-24</v>
      </c>
      <c r="P14" s="85">
        <v>4.6451E-24</v>
      </c>
      <c r="Q14" s="85">
        <v>7.3235000000000001E-28</v>
      </c>
      <c r="R14" s="85">
        <v>0</v>
      </c>
      <c r="S14" s="85">
        <v>0</v>
      </c>
      <c r="T14" s="85">
        <v>2.129E-27</v>
      </c>
      <c r="U14" s="85">
        <v>0</v>
      </c>
      <c r="V14" s="85">
        <v>0</v>
      </c>
      <c r="W14" s="85">
        <v>0</v>
      </c>
      <c r="X14" s="85">
        <v>2.3314E-36</v>
      </c>
      <c r="Y14" s="85">
        <v>5.4937000000000001E-22</v>
      </c>
      <c r="Z14" s="85">
        <v>1.1051E-16</v>
      </c>
      <c r="AA14" s="85">
        <v>2.1310999999999999E-14</v>
      </c>
      <c r="AB14" s="85">
        <v>3.2337999999999998E-12</v>
      </c>
      <c r="AC14" s="85">
        <v>1.8614E-11</v>
      </c>
      <c r="AD14" s="85">
        <v>4.4847E-10</v>
      </c>
      <c r="AE14" s="85">
        <v>2.6244000000000002E-9</v>
      </c>
      <c r="AF14" s="85">
        <v>1.7035E-8</v>
      </c>
      <c r="AG14" s="85">
        <v>0.11398</v>
      </c>
      <c r="AH14" s="85">
        <v>0.12</v>
      </c>
      <c r="AI14" s="85">
        <v>0.12</v>
      </c>
      <c r="AJ14" s="85">
        <v>0.12</v>
      </c>
      <c r="AK14" s="85">
        <v>0.12</v>
      </c>
      <c r="AL14" s="85">
        <v>0.12</v>
      </c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1</v>
      </c>
      <c r="D15" s="41">
        <f t="shared" si="0"/>
        <v>0</v>
      </c>
      <c r="E15" s="45" t="s">
        <v>108</v>
      </c>
      <c r="F15" s="85">
        <v>1.4476000000000001E-29</v>
      </c>
      <c r="G15" s="85">
        <v>3.8845000000000001E-31</v>
      </c>
      <c r="H15" s="85">
        <v>0</v>
      </c>
      <c r="I15" s="85">
        <v>0</v>
      </c>
      <c r="J15" s="85">
        <v>0</v>
      </c>
      <c r="K15" s="85">
        <v>0</v>
      </c>
      <c r="L15" s="85">
        <v>0</v>
      </c>
      <c r="M15" s="85">
        <v>0</v>
      </c>
      <c r="N15" s="85">
        <v>2.2695E-25</v>
      </c>
      <c r="O15" s="85">
        <v>6.9787000000000004E-15</v>
      </c>
      <c r="P15" s="85">
        <v>1.7559999999999999E-15</v>
      </c>
      <c r="Q15" s="85">
        <v>4.391E-20</v>
      </c>
      <c r="R15" s="85">
        <v>0</v>
      </c>
      <c r="S15" s="85">
        <v>0</v>
      </c>
      <c r="T15" s="85">
        <v>3.6408999999999998E-22</v>
      </c>
      <c r="U15" s="85">
        <v>8.2240999999999992E-34</v>
      </c>
      <c r="V15" s="85">
        <v>0</v>
      </c>
      <c r="W15" s="85">
        <v>0</v>
      </c>
      <c r="X15" s="85">
        <v>2.2363E-34</v>
      </c>
      <c r="Y15" s="85">
        <v>1.2444000000000001E-20</v>
      </c>
      <c r="Z15" s="85">
        <v>6.2677000000000003E-16</v>
      </c>
      <c r="AA15" s="85">
        <v>3.1955000000000001E-14</v>
      </c>
      <c r="AB15" s="85">
        <v>3.8063999999999997E-14</v>
      </c>
      <c r="AC15" s="85">
        <v>7.2335000000000002E-14</v>
      </c>
      <c r="AD15" s="85">
        <v>5.9667000000000002E-13</v>
      </c>
      <c r="AE15" s="85">
        <v>1.2370000000000001E-12</v>
      </c>
      <c r="AF15" s="85">
        <v>2.9372E-12</v>
      </c>
      <c r="AG15" s="85">
        <v>7.5216000000000001E-6</v>
      </c>
      <c r="AH15" s="85">
        <v>6.0361999999999999E-6</v>
      </c>
      <c r="AI15" s="85">
        <v>4.6388999999999997E-6</v>
      </c>
      <c r="AJ15" s="85">
        <v>3.5966999999999998E-6</v>
      </c>
      <c r="AK15" s="85">
        <v>1.4179E-6</v>
      </c>
      <c r="AL15" s="85">
        <v>6.4486000000000002E-7</v>
      </c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1</v>
      </c>
      <c r="D16" s="41">
        <f t="shared" si="0"/>
        <v>0</v>
      </c>
      <c r="E16" s="45" t="s">
        <v>97</v>
      </c>
      <c r="F16" s="85">
        <v>0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2.4285999999999999E-29</v>
      </c>
      <c r="O16" s="85">
        <v>5.7105999999999998E-17</v>
      </c>
      <c r="P16" s="85">
        <v>3.6389999999999998E-17</v>
      </c>
      <c r="Q16" s="85">
        <v>2.1911999999999999E-21</v>
      </c>
      <c r="R16" s="85">
        <v>0</v>
      </c>
      <c r="S16" s="85">
        <v>0</v>
      </c>
      <c r="T16" s="85">
        <v>1.9581999999999999E-22</v>
      </c>
      <c r="U16" s="85">
        <v>9.0699000000000008E-34</v>
      </c>
      <c r="V16" s="85">
        <v>0</v>
      </c>
      <c r="W16" s="85">
        <v>0</v>
      </c>
      <c r="X16" s="85">
        <v>1.7698E-33</v>
      </c>
      <c r="Y16" s="85">
        <v>1.8003E-19</v>
      </c>
      <c r="Z16" s="85">
        <v>1.6190000000000002E-14</v>
      </c>
      <c r="AA16" s="85">
        <v>1.4418E-12</v>
      </c>
      <c r="AB16" s="85">
        <v>1.3207000000000001E-11</v>
      </c>
      <c r="AC16" s="85">
        <v>4.0084000000000001E-11</v>
      </c>
      <c r="AD16" s="85">
        <v>5.2038000000000002E-10</v>
      </c>
      <c r="AE16" s="85">
        <v>1.6747E-9</v>
      </c>
      <c r="AF16" s="85">
        <v>6.0933999999999997E-9</v>
      </c>
      <c r="AG16" s="85">
        <v>2.3615000000000001E-2</v>
      </c>
      <c r="AH16" s="85">
        <v>2.8364E-2</v>
      </c>
      <c r="AI16" s="85">
        <v>3.2265000000000002E-2</v>
      </c>
      <c r="AJ16" s="85">
        <v>3.6650000000000002E-2</v>
      </c>
      <c r="AK16" s="85">
        <v>6.0689E-2</v>
      </c>
      <c r="AL16" s="85">
        <v>0.10216</v>
      </c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1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 t="s">
        <v>26</v>
      </c>
      <c r="F17" s="85">
        <v>-19.03</v>
      </c>
      <c r="G17" s="85">
        <v>-19.02</v>
      </c>
      <c r="H17" s="85">
        <v>-19.02</v>
      </c>
      <c r="I17" s="85">
        <v>-19.02</v>
      </c>
      <c r="J17" s="85">
        <v>-19.32</v>
      </c>
      <c r="K17" s="85">
        <v>-19.05</v>
      </c>
      <c r="L17" s="85">
        <v>-19.36</v>
      </c>
      <c r="M17" s="85">
        <v>-19.38</v>
      </c>
      <c r="N17" s="85">
        <v>-19.41</v>
      </c>
      <c r="O17" s="85">
        <v>-19.53</v>
      </c>
      <c r="P17" s="85">
        <v>-19.559999999999999</v>
      </c>
      <c r="Q17" s="85">
        <v>-19.600000000000001</v>
      </c>
      <c r="R17" s="85">
        <v>-19.63</v>
      </c>
      <c r="S17" s="85">
        <v>-19.47</v>
      </c>
      <c r="T17" s="85">
        <v>-19.23</v>
      </c>
      <c r="U17" s="85">
        <v>-19.149999999999999</v>
      </c>
      <c r="V17" s="85">
        <v>-19.14</v>
      </c>
      <c r="W17" s="85">
        <v>-19.14</v>
      </c>
      <c r="X17" s="85">
        <v>-19.16</v>
      </c>
      <c r="Y17" s="85">
        <v>-19.190000000000001</v>
      </c>
      <c r="Z17" s="85">
        <v>-19.22</v>
      </c>
      <c r="AA17" s="85">
        <v>-19.25</v>
      </c>
      <c r="AB17" s="85">
        <v>-19.38</v>
      </c>
      <c r="AC17" s="85">
        <v>-19.420000000000002</v>
      </c>
      <c r="AD17" s="85">
        <v>-19.45</v>
      </c>
      <c r="AE17" s="85">
        <v>-19.48</v>
      </c>
      <c r="AF17" s="85">
        <v>-19.510000000000002</v>
      </c>
      <c r="AG17" s="85">
        <v>-19.55</v>
      </c>
      <c r="AH17" s="85">
        <v>-19.579999999999998</v>
      </c>
      <c r="AI17" s="85">
        <v>-19.61</v>
      </c>
      <c r="AJ17" s="85">
        <v>-19.64</v>
      </c>
      <c r="AK17" s="85">
        <v>-19.760000000000002</v>
      </c>
      <c r="AL17" s="85">
        <v>-19.88</v>
      </c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1</v>
      </c>
      <c r="E18" s="45" t="s">
        <v>5</v>
      </c>
      <c r="F18" s="85">
        <v>-66.569999999999993</v>
      </c>
      <c r="G18" s="85">
        <v>-63.1</v>
      </c>
      <c r="H18" s="85">
        <v>-60.01</v>
      </c>
      <c r="I18" s="85">
        <v>-57.25</v>
      </c>
      <c r="J18" s="85">
        <v>-54</v>
      </c>
      <c r="K18" s="85">
        <v>-49.67</v>
      </c>
      <c r="L18" s="85">
        <v>-46.96</v>
      </c>
      <c r="M18" s="85">
        <v>-43.86</v>
      </c>
      <c r="N18" s="85">
        <v>-40.98</v>
      </c>
      <c r="O18" s="85">
        <v>-31.32</v>
      </c>
      <c r="P18" s="85">
        <v>-29.28</v>
      </c>
      <c r="Q18" s="85">
        <v>-27.35</v>
      </c>
      <c r="R18" s="85">
        <v>-25.53</v>
      </c>
      <c r="S18" s="85">
        <v>-23.81</v>
      </c>
      <c r="T18" s="85">
        <v>-22.18</v>
      </c>
      <c r="U18" s="85">
        <v>-20.63</v>
      </c>
      <c r="V18" s="85">
        <v>-19.16</v>
      </c>
      <c r="W18" s="85">
        <v>-17.850000000000001</v>
      </c>
      <c r="X18" s="85">
        <v>-16.850000000000001</v>
      </c>
      <c r="Y18" s="85">
        <v>-15.9</v>
      </c>
      <c r="Z18" s="85">
        <v>-15</v>
      </c>
      <c r="AA18" s="85">
        <v>-14.13</v>
      </c>
      <c r="AB18" s="85">
        <v>-11</v>
      </c>
      <c r="AC18" s="85">
        <v>-10.29</v>
      </c>
      <c r="AD18" s="85">
        <v>-9.6059999999999999</v>
      </c>
      <c r="AE18" s="85">
        <v>-8.9480000000000004</v>
      </c>
      <c r="AF18" s="85">
        <v>-8.3130000000000006</v>
      </c>
      <c r="AG18" s="85">
        <v>-7.7140000000000004</v>
      </c>
      <c r="AH18" s="85">
        <v>-7.7969999999999997</v>
      </c>
      <c r="AI18" s="85">
        <v>-7.8789999999999996</v>
      </c>
      <c r="AJ18" s="85">
        <v>-7.9630000000000001</v>
      </c>
      <c r="AK18" s="85">
        <v>-8.3190000000000008</v>
      </c>
      <c r="AL18" s="85">
        <v>-8.7260000000000009</v>
      </c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6</v>
      </c>
      <c r="F19" s="85">
        <v>-18.059999999999999</v>
      </c>
      <c r="G19" s="85">
        <v>-17.43</v>
      </c>
      <c r="H19" s="85">
        <v>-16.88</v>
      </c>
      <c r="I19" s="85">
        <v>-16.39</v>
      </c>
      <c r="J19" s="85">
        <v>-15.05</v>
      </c>
      <c r="K19" s="85">
        <v>-13.68</v>
      </c>
      <c r="L19" s="85">
        <v>-12.49</v>
      </c>
      <c r="M19" s="85">
        <v>-11.36</v>
      </c>
      <c r="N19" s="85">
        <v>-10.31</v>
      </c>
      <c r="O19" s="85">
        <v>-6.7309999999999999</v>
      </c>
      <c r="P19" s="85">
        <v>-5.9660000000000002</v>
      </c>
      <c r="Q19" s="85">
        <v>-5.2430000000000003</v>
      </c>
      <c r="R19" s="85">
        <v>-4.5579999999999998</v>
      </c>
      <c r="S19" s="85">
        <v>-4.1550000000000002</v>
      </c>
      <c r="T19" s="85">
        <v>-4.1950000000000003</v>
      </c>
      <c r="U19" s="85">
        <v>-4.2359999999999998</v>
      </c>
      <c r="V19" s="85">
        <v>-4.2759999999999998</v>
      </c>
      <c r="W19" s="85">
        <v>-4.3170000000000002</v>
      </c>
      <c r="X19" s="85">
        <v>-4.3579999999999997</v>
      </c>
      <c r="Y19" s="85">
        <v>-4.399</v>
      </c>
      <c r="Z19" s="85">
        <v>-4.4400000000000004</v>
      </c>
      <c r="AA19" s="85">
        <v>-4.4809999999999999</v>
      </c>
      <c r="AB19" s="85">
        <v>-4.6429999999999998</v>
      </c>
      <c r="AC19" s="85">
        <v>-4.6829999999999998</v>
      </c>
      <c r="AD19" s="85">
        <v>-4.7220000000000004</v>
      </c>
      <c r="AE19" s="85">
        <v>-4.7619999999999996</v>
      </c>
      <c r="AF19" s="85">
        <v>-4.8010000000000002</v>
      </c>
      <c r="AG19" s="85">
        <v>-4.84</v>
      </c>
      <c r="AH19" s="85">
        <v>-4.8780000000000001</v>
      </c>
      <c r="AI19" s="85">
        <v>-4.9169999999999998</v>
      </c>
      <c r="AJ19" s="85">
        <v>-4.9550000000000001</v>
      </c>
      <c r="AK19" s="85">
        <v>-5.1040000000000001</v>
      </c>
      <c r="AL19" s="85">
        <v>-5.2489999999999997</v>
      </c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7</v>
      </c>
      <c r="F20" s="85">
        <v>-22.85</v>
      </c>
      <c r="G20" s="85">
        <v>-21.73</v>
      </c>
      <c r="H20" s="85">
        <v>-20.73</v>
      </c>
      <c r="I20" s="85">
        <v>-19.850000000000001</v>
      </c>
      <c r="J20" s="85">
        <v>-19.559999999999999</v>
      </c>
      <c r="K20" s="85">
        <v>-20.239999999999998</v>
      </c>
      <c r="L20" s="85">
        <v>-20.04</v>
      </c>
      <c r="M20" s="85">
        <v>-20.28</v>
      </c>
      <c r="N20" s="85">
        <v>-20.53</v>
      </c>
      <c r="O20" s="85">
        <v>-21.53</v>
      </c>
      <c r="P20" s="85">
        <v>-21.78</v>
      </c>
      <c r="Q20" s="85">
        <v>-22.02</v>
      </c>
      <c r="R20" s="85">
        <v>-22.27</v>
      </c>
      <c r="S20" s="85">
        <v>-22.52</v>
      </c>
      <c r="T20" s="85">
        <v>-22.76</v>
      </c>
      <c r="U20" s="85">
        <v>-23</v>
      </c>
      <c r="V20" s="85">
        <v>-23.24</v>
      </c>
      <c r="W20" s="85">
        <v>-23.48</v>
      </c>
      <c r="X20" s="85">
        <v>-23.72</v>
      </c>
      <c r="Y20" s="85">
        <v>-23.95</v>
      </c>
      <c r="Z20" s="85">
        <v>-24.18</v>
      </c>
      <c r="AA20" s="85">
        <v>-24.41</v>
      </c>
      <c r="AB20" s="85">
        <v>-25.31</v>
      </c>
      <c r="AC20" s="85">
        <v>-25.53</v>
      </c>
      <c r="AD20" s="85">
        <v>-25.75</v>
      </c>
      <c r="AE20" s="85">
        <v>-25.97</v>
      </c>
      <c r="AF20" s="85">
        <v>-26.18</v>
      </c>
      <c r="AG20" s="85">
        <v>-26.39</v>
      </c>
      <c r="AH20" s="85">
        <v>-26.6</v>
      </c>
      <c r="AI20" s="85">
        <v>-26.81</v>
      </c>
      <c r="AJ20" s="85">
        <v>-27.02</v>
      </c>
      <c r="AK20" s="85">
        <v>-27.83</v>
      </c>
      <c r="AL20" s="85">
        <v>-28.62</v>
      </c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1</v>
      </c>
      <c r="AD33" s="106">
        <f t="shared" si="3"/>
        <v>1</v>
      </c>
      <c r="AE33" s="106">
        <f t="shared" si="3"/>
        <v>1</v>
      </c>
      <c r="AF33" s="106">
        <f t="shared" si="3"/>
        <v>1</v>
      </c>
      <c r="AG33" s="106">
        <f t="shared" si="3"/>
        <v>1</v>
      </c>
      <c r="AH33" s="106">
        <f t="shared" si="3"/>
        <v>1</v>
      </c>
      <c r="AI33" s="106">
        <f t="shared" si="3"/>
        <v>1</v>
      </c>
      <c r="AJ33" s="106">
        <f t="shared" si="3"/>
        <v>1</v>
      </c>
      <c r="AK33" s="106">
        <f t="shared" si="3"/>
        <v>1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14</v>
      </c>
      <c r="E34" s="11" t="str">
        <f ca="1">OFFSET($E$3:$AL$3,$D34,0)</f>
        <v>H (Ar)</v>
      </c>
      <c r="F34" s="14">
        <f ca="1">OFFSET($E$3:$BR$3,$D34,0)</f>
        <v>-19.03</v>
      </c>
      <c r="G34" s="14">
        <f t="shared" ref="G34:BR37" ca="1" si="4">OFFSET($E$3:$BR$3,$D34,0)</f>
        <v>-19.02</v>
      </c>
      <c r="H34" s="14">
        <f t="shared" ca="1" si="4"/>
        <v>-19.02</v>
      </c>
      <c r="I34" s="14">
        <f t="shared" ca="1" si="4"/>
        <v>-19.02</v>
      </c>
      <c r="J34" s="14">
        <f t="shared" ca="1" si="4"/>
        <v>-19.32</v>
      </c>
      <c r="K34" s="14">
        <f t="shared" ca="1" si="4"/>
        <v>-19.05</v>
      </c>
      <c r="L34" s="14">
        <f t="shared" ca="1" si="4"/>
        <v>-19.36</v>
      </c>
      <c r="M34" s="14">
        <f t="shared" ca="1" si="4"/>
        <v>-19.38</v>
      </c>
      <c r="N34" s="14">
        <f t="shared" ca="1" si="4"/>
        <v>-19.41</v>
      </c>
      <c r="O34" s="14">
        <f t="shared" ca="1" si="4"/>
        <v>-19.53</v>
      </c>
      <c r="P34" s="14">
        <f t="shared" ca="1" si="4"/>
        <v>-19.559999999999999</v>
      </c>
      <c r="Q34" s="14">
        <f t="shared" ca="1" si="4"/>
        <v>-19.600000000000001</v>
      </c>
      <c r="R34" s="14">
        <f t="shared" ca="1" si="4"/>
        <v>-19.63</v>
      </c>
      <c r="S34" s="14">
        <f t="shared" ca="1" si="4"/>
        <v>-19.47</v>
      </c>
      <c r="T34" s="14">
        <f t="shared" ca="1" si="4"/>
        <v>-19.23</v>
      </c>
      <c r="U34" s="14">
        <f t="shared" ca="1" si="4"/>
        <v>-19.149999999999999</v>
      </c>
      <c r="V34" s="14">
        <f t="shared" ca="1" si="4"/>
        <v>-19.14</v>
      </c>
      <c r="W34" s="14">
        <f t="shared" ca="1" si="4"/>
        <v>-19.14</v>
      </c>
      <c r="X34" s="14">
        <f t="shared" ca="1" si="4"/>
        <v>-19.16</v>
      </c>
      <c r="Y34" s="14">
        <f t="shared" ca="1" si="4"/>
        <v>-19.190000000000001</v>
      </c>
      <c r="Z34" s="14">
        <f t="shared" ca="1" si="4"/>
        <v>-19.22</v>
      </c>
      <c r="AA34" s="14">
        <f t="shared" ca="1" si="4"/>
        <v>-19.25</v>
      </c>
      <c r="AB34" s="14">
        <f t="shared" ca="1" si="4"/>
        <v>-19.38</v>
      </c>
      <c r="AC34" s="14">
        <f t="shared" ca="1" si="4"/>
        <v>-19.420000000000002</v>
      </c>
      <c r="AD34" s="14">
        <f t="shared" ca="1" si="4"/>
        <v>-19.45</v>
      </c>
      <c r="AE34" s="14">
        <f t="shared" ca="1" si="4"/>
        <v>-19.48</v>
      </c>
      <c r="AF34" s="14">
        <f t="shared" ca="1" si="4"/>
        <v>-19.510000000000002</v>
      </c>
      <c r="AG34" s="14">
        <f t="shared" ca="1" si="4"/>
        <v>-19.55</v>
      </c>
      <c r="AH34" s="14">
        <f t="shared" ca="1" si="4"/>
        <v>-19.579999999999998</v>
      </c>
      <c r="AI34" s="14">
        <f t="shared" ca="1" si="4"/>
        <v>-19.61</v>
      </c>
      <c r="AJ34" s="14">
        <f t="shared" ca="1" si="4"/>
        <v>-19.64</v>
      </c>
      <c r="AK34" s="14">
        <f t="shared" ca="1" si="4"/>
        <v>-19.760000000000002</v>
      </c>
      <c r="AL34" s="14">
        <f t="shared" ca="1" si="4"/>
        <v>-19.88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15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-66.569999999999993</v>
      </c>
      <c r="G35" s="14">
        <f t="shared" ca="1" si="8"/>
        <v>-63.1</v>
      </c>
      <c r="H35" s="14">
        <f t="shared" ca="1" si="8"/>
        <v>-60.01</v>
      </c>
      <c r="I35" s="14">
        <f t="shared" ca="1" si="8"/>
        <v>-57.25</v>
      </c>
      <c r="J35" s="14">
        <f t="shared" ca="1" si="8"/>
        <v>-54</v>
      </c>
      <c r="K35" s="14">
        <f t="shared" ca="1" si="8"/>
        <v>-49.67</v>
      </c>
      <c r="L35" s="14">
        <f t="shared" ca="1" si="8"/>
        <v>-46.96</v>
      </c>
      <c r="M35" s="14">
        <f t="shared" ca="1" si="8"/>
        <v>-43.86</v>
      </c>
      <c r="N35" s="14">
        <f t="shared" ca="1" si="8"/>
        <v>-40.98</v>
      </c>
      <c r="O35" s="14">
        <f t="shared" ca="1" si="8"/>
        <v>-31.32</v>
      </c>
      <c r="P35" s="14">
        <f t="shared" ca="1" si="8"/>
        <v>-29.28</v>
      </c>
      <c r="Q35" s="14">
        <f t="shared" ca="1" si="8"/>
        <v>-27.35</v>
      </c>
      <c r="R35" s="14">
        <f t="shared" ca="1" si="8"/>
        <v>-25.53</v>
      </c>
      <c r="S35" s="14">
        <f t="shared" ca="1" si="8"/>
        <v>-23.81</v>
      </c>
      <c r="T35" s="14">
        <f t="shared" ca="1" si="8"/>
        <v>-22.18</v>
      </c>
      <c r="U35" s="14">
        <f t="shared" ca="1" si="8"/>
        <v>-20.63</v>
      </c>
      <c r="V35" s="14">
        <f t="shared" ca="1" si="4"/>
        <v>-19.16</v>
      </c>
      <c r="W35" s="14">
        <f t="shared" ca="1" si="4"/>
        <v>-17.850000000000001</v>
      </c>
      <c r="X35" s="14">
        <f t="shared" ca="1" si="4"/>
        <v>-16.850000000000001</v>
      </c>
      <c r="Y35" s="14">
        <f t="shared" ca="1" si="4"/>
        <v>-15.9</v>
      </c>
      <c r="Z35" s="14">
        <f t="shared" ca="1" si="4"/>
        <v>-15</v>
      </c>
      <c r="AA35" s="14">
        <f t="shared" ca="1" si="4"/>
        <v>-14.13</v>
      </c>
      <c r="AB35" s="14">
        <f t="shared" ca="1" si="4"/>
        <v>-11</v>
      </c>
      <c r="AC35" s="14">
        <f t="shared" ca="1" si="4"/>
        <v>-10.29</v>
      </c>
      <c r="AD35" s="14">
        <f t="shared" ca="1" si="4"/>
        <v>-9.6059999999999999</v>
      </c>
      <c r="AE35" s="14">
        <f t="shared" ca="1" si="4"/>
        <v>-8.9480000000000004</v>
      </c>
      <c r="AF35" s="14">
        <f t="shared" ca="1" si="4"/>
        <v>-8.3130000000000006</v>
      </c>
      <c r="AG35" s="14">
        <f t="shared" ca="1" si="4"/>
        <v>-7.7140000000000004</v>
      </c>
      <c r="AH35" s="14">
        <f t="shared" ca="1" si="4"/>
        <v>-7.7969999999999997</v>
      </c>
      <c r="AI35" s="14">
        <f t="shared" ca="1" si="4"/>
        <v>-7.8789999999999996</v>
      </c>
      <c r="AJ35" s="14">
        <f t="shared" ca="1" si="4"/>
        <v>-7.9630000000000001</v>
      </c>
      <c r="AK35" s="14">
        <f t="shared" ca="1" si="4"/>
        <v>-8.3190000000000008</v>
      </c>
      <c r="AL35" s="14">
        <f t="shared" ca="1" si="4"/>
        <v>-8.7260000000000009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16</v>
      </c>
      <c r="E36" s="11" t="str">
        <f t="shared" ca="1" si="7"/>
        <v>H (Ge)</v>
      </c>
      <c r="F36" s="14">
        <f t="shared" ca="1" si="8"/>
        <v>-18.059999999999999</v>
      </c>
      <c r="G36" s="14">
        <f t="shared" ca="1" si="4"/>
        <v>-17.43</v>
      </c>
      <c r="H36" s="14">
        <f t="shared" ca="1" si="4"/>
        <v>-16.88</v>
      </c>
      <c r="I36" s="14">
        <f t="shared" ca="1" si="4"/>
        <v>-16.39</v>
      </c>
      <c r="J36" s="14">
        <f t="shared" ca="1" si="4"/>
        <v>-15.05</v>
      </c>
      <c r="K36" s="14">
        <f t="shared" ca="1" si="4"/>
        <v>-13.68</v>
      </c>
      <c r="L36" s="14">
        <f t="shared" ca="1" si="4"/>
        <v>-12.49</v>
      </c>
      <c r="M36" s="14">
        <f t="shared" ca="1" si="4"/>
        <v>-11.36</v>
      </c>
      <c r="N36" s="14">
        <f t="shared" ca="1" si="4"/>
        <v>-10.31</v>
      </c>
      <c r="O36" s="14">
        <f t="shared" ca="1" si="4"/>
        <v>-6.7309999999999999</v>
      </c>
      <c r="P36" s="14">
        <f t="shared" ca="1" si="4"/>
        <v>-5.9660000000000002</v>
      </c>
      <c r="Q36" s="14">
        <f t="shared" ca="1" si="4"/>
        <v>-5.2430000000000003</v>
      </c>
      <c r="R36" s="14">
        <f t="shared" ca="1" si="4"/>
        <v>-4.5579999999999998</v>
      </c>
      <c r="S36" s="14">
        <f t="shared" ca="1" si="4"/>
        <v>-4.1550000000000002</v>
      </c>
      <c r="T36" s="14">
        <f t="shared" ca="1" si="4"/>
        <v>-4.1950000000000003</v>
      </c>
      <c r="U36" s="14">
        <f t="shared" ca="1" si="4"/>
        <v>-4.2359999999999998</v>
      </c>
      <c r="V36" s="14">
        <f t="shared" ca="1" si="4"/>
        <v>-4.2759999999999998</v>
      </c>
      <c r="W36" s="14">
        <f t="shared" ca="1" si="4"/>
        <v>-4.3170000000000002</v>
      </c>
      <c r="X36" s="14">
        <f t="shared" ca="1" si="4"/>
        <v>-4.3579999999999997</v>
      </c>
      <c r="Y36" s="14">
        <f t="shared" ca="1" si="4"/>
        <v>-4.399</v>
      </c>
      <c r="Z36" s="14">
        <f t="shared" ca="1" si="4"/>
        <v>-4.4400000000000004</v>
      </c>
      <c r="AA36" s="14">
        <f t="shared" ca="1" si="4"/>
        <v>-4.4809999999999999</v>
      </c>
      <c r="AB36" s="14">
        <f t="shared" ca="1" si="4"/>
        <v>-4.6429999999999998</v>
      </c>
      <c r="AC36" s="14">
        <f t="shared" ca="1" si="4"/>
        <v>-4.6829999999999998</v>
      </c>
      <c r="AD36" s="14">
        <f t="shared" ca="1" si="4"/>
        <v>-4.7220000000000004</v>
      </c>
      <c r="AE36" s="14">
        <f t="shared" ca="1" si="4"/>
        <v>-4.7619999999999996</v>
      </c>
      <c r="AF36" s="14">
        <f t="shared" ca="1" si="4"/>
        <v>-4.8010000000000002</v>
      </c>
      <c r="AG36" s="14">
        <f t="shared" ca="1" si="4"/>
        <v>-4.84</v>
      </c>
      <c r="AH36" s="14">
        <f t="shared" ca="1" si="4"/>
        <v>-4.8780000000000001</v>
      </c>
      <c r="AI36" s="14">
        <f t="shared" ca="1" si="4"/>
        <v>-4.9169999999999998</v>
      </c>
      <c r="AJ36" s="14">
        <f t="shared" ca="1" si="4"/>
        <v>-4.9550000000000001</v>
      </c>
      <c r="AK36" s="14">
        <f t="shared" ca="1" si="4"/>
        <v>-5.1040000000000001</v>
      </c>
      <c r="AL36" s="14">
        <f t="shared" ca="1" si="4"/>
        <v>-5.2489999999999997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17</v>
      </c>
      <c r="E37" s="11" t="str">
        <f t="shared" ca="1" si="7"/>
        <v>H (Se)</v>
      </c>
      <c r="F37" s="14">
        <f t="shared" ca="1" si="8"/>
        <v>-22.85</v>
      </c>
      <c r="G37" s="14">
        <f t="shared" ca="1" si="4"/>
        <v>-21.73</v>
      </c>
      <c r="H37" s="14">
        <f t="shared" ca="1" si="4"/>
        <v>-20.73</v>
      </c>
      <c r="I37" s="14">
        <f t="shared" ca="1" si="4"/>
        <v>-19.850000000000001</v>
      </c>
      <c r="J37" s="14">
        <f t="shared" ca="1" si="4"/>
        <v>-19.559999999999999</v>
      </c>
      <c r="K37" s="14">
        <f t="shared" ca="1" si="4"/>
        <v>-20.239999999999998</v>
      </c>
      <c r="L37" s="14">
        <f t="shared" ca="1" si="4"/>
        <v>-20.04</v>
      </c>
      <c r="M37" s="14">
        <f t="shared" ca="1" si="4"/>
        <v>-20.28</v>
      </c>
      <c r="N37" s="14">
        <f t="shared" ca="1" si="4"/>
        <v>-20.53</v>
      </c>
      <c r="O37" s="14">
        <f t="shared" ca="1" si="4"/>
        <v>-21.53</v>
      </c>
      <c r="P37" s="14">
        <f t="shared" ca="1" si="4"/>
        <v>-21.78</v>
      </c>
      <c r="Q37" s="14">
        <f t="shared" ca="1" si="4"/>
        <v>-22.02</v>
      </c>
      <c r="R37" s="14">
        <f t="shared" ca="1" si="4"/>
        <v>-22.27</v>
      </c>
      <c r="S37" s="14">
        <f t="shared" ca="1" si="4"/>
        <v>-22.52</v>
      </c>
      <c r="T37" s="14">
        <f t="shared" ca="1" si="4"/>
        <v>-22.76</v>
      </c>
      <c r="U37" s="14">
        <f t="shared" ca="1" si="4"/>
        <v>-23</v>
      </c>
      <c r="V37" s="14">
        <f t="shared" ca="1" si="4"/>
        <v>-23.24</v>
      </c>
      <c r="W37" s="14">
        <f t="shared" ca="1" si="4"/>
        <v>-23.48</v>
      </c>
      <c r="X37" s="14">
        <f t="shared" ca="1" si="4"/>
        <v>-23.72</v>
      </c>
      <c r="Y37" s="14">
        <f t="shared" ca="1" si="4"/>
        <v>-23.95</v>
      </c>
      <c r="Z37" s="14">
        <f t="shared" ca="1" si="4"/>
        <v>-24.18</v>
      </c>
      <c r="AA37" s="14">
        <f t="shared" ca="1" si="4"/>
        <v>-24.41</v>
      </c>
      <c r="AB37" s="14">
        <f t="shared" ca="1" si="4"/>
        <v>-25.31</v>
      </c>
      <c r="AC37" s="14">
        <f t="shared" ca="1" si="4"/>
        <v>-25.53</v>
      </c>
      <c r="AD37" s="14">
        <f t="shared" ca="1" si="4"/>
        <v>-25.75</v>
      </c>
      <c r="AE37" s="14">
        <f t="shared" ca="1" si="4"/>
        <v>-25.97</v>
      </c>
      <c r="AF37" s="14">
        <f t="shared" ca="1" si="4"/>
        <v>-26.18</v>
      </c>
      <c r="AG37" s="14">
        <f t="shared" ca="1" si="4"/>
        <v>-26.39</v>
      </c>
      <c r="AH37" s="14">
        <f t="shared" ca="1" si="4"/>
        <v>-26.6</v>
      </c>
      <c r="AI37" s="14">
        <f t="shared" ca="1" si="4"/>
        <v>-26.81</v>
      </c>
      <c r="AJ37" s="14">
        <f t="shared" ca="1" si="4"/>
        <v>-27.02</v>
      </c>
      <c r="AK37" s="14">
        <f t="shared" ca="1" si="4"/>
        <v>-27.83</v>
      </c>
      <c r="AL37" s="14">
        <f t="shared" ca="1" si="4"/>
        <v>-28.62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355.7</v>
      </c>
      <c r="L40" s="8">
        <f t="shared" si="9"/>
        <v>372.3</v>
      </c>
      <c r="M40" s="8">
        <f t="shared" si="9"/>
        <v>388.8</v>
      </c>
      <c r="N40" s="8">
        <f t="shared" si="9"/>
        <v>405.3</v>
      </c>
      <c r="O40" s="8">
        <f t="shared" si="9"/>
        <v>471.4</v>
      </c>
      <c r="P40" s="8">
        <f t="shared" si="9"/>
        <v>487.9</v>
      </c>
      <c r="Q40" s="8">
        <f t="shared" si="9"/>
        <v>504.4</v>
      </c>
      <c r="R40" s="8">
        <f t="shared" si="9"/>
        <v>520.9</v>
      </c>
      <c r="S40" s="8">
        <f t="shared" si="9"/>
        <v>537.5</v>
      </c>
      <c r="T40" s="8">
        <f t="shared" si="9"/>
        <v>554</v>
      </c>
      <c r="U40" s="8">
        <f t="shared" si="9"/>
        <v>570.5</v>
      </c>
      <c r="V40" s="8">
        <f t="shared" si="9"/>
        <v>587</v>
      </c>
      <c r="W40" s="8">
        <f t="shared" si="9"/>
        <v>603.5</v>
      </c>
      <c r="X40" s="8">
        <f t="shared" si="9"/>
        <v>620.1</v>
      </c>
      <c r="Y40" s="8">
        <f t="shared" si="9"/>
        <v>636.6</v>
      </c>
      <c r="Z40" s="8">
        <f t="shared" si="9"/>
        <v>653.1</v>
      </c>
      <c r="AA40" s="8">
        <f t="shared" si="9"/>
        <v>669.6</v>
      </c>
      <c r="AB40" s="8">
        <f t="shared" si="9"/>
        <v>735.7</v>
      </c>
      <c r="AC40" s="8">
        <f t="shared" si="9"/>
        <v>752.2</v>
      </c>
      <c r="AD40" s="8">
        <f t="shared" si="9"/>
        <v>768.7</v>
      </c>
      <c r="AE40" s="8">
        <f t="shared" si="9"/>
        <v>785.2</v>
      </c>
      <c r="AF40" s="8">
        <f t="shared" si="9"/>
        <v>801.8</v>
      </c>
      <c r="AG40" s="8">
        <f t="shared" si="9"/>
        <v>818.3</v>
      </c>
      <c r="AH40" s="8">
        <f t="shared" si="9"/>
        <v>834.8</v>
      </c>
      <c r="AI40" s="8">
        <f t="shared" si="9"/>
        <v>851.3</v>
      </c>
      <c r="AJ40" s="8">
        <f t="shared" si="9"/>
        <v>867.8</v>
      </c>
      <c r="AK40" s="8">
        <f t="shared" si="9"/>
        <v>933.9</v>
      </c>
      <c r="AL40" s="8">
        <f t="shared" si="9"/>
        <v>1000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BQ41" ca="1" si="10">($B$41*H.Ge+$C$41*H.Ga+$D$41*H.Se)*F$40*$B$2/1000</f>
        <v>#DIV/0!</v>
      </c>
      <c r="G41" s="10" t="e">
        <f t="shared" ca="1" si="10"/>
        <v>#DIV/0!</v>
      </c>
      <c r="H41" s="10" t="e">
        <f t="shared" ca="1" si="10"/>
        <v>#DIV/0!</v>
      </c>
      <c r="I41" s="10" t="e">
        <f t="shared" ca="1" si="10"/>
        <v>#DIV/0!</v>
      </c>
      <c r="J41" s="10" t="e">
        <f t="shared" ca="1" si="10"/>
        <v>#DIV/0!</v>
      </c>
      <c r="K41" s="10" t="e">
        <f t="shared" ca="1" si="10"/>
        <v>#DIV/0!</v>
      </c>
      <c r="L41" s="10" t="e">
        <f t="shared" ca="1" si="10"/>
        <v>#DIV/0!</v>
      </c>
      <c r="M41" s="10" t="e">
        <f t="shared" ca="1" si="10"/>
        <v>#DIV/0!</v>
      </c>
      <c r="N41" s="10" t="e">
        <f t="shared" ca="1" si="10"/>
        <v>#DIV/0!</v>
      </c>
      <c r="O41" s="10" t="e">
        <f t="shared" ca="1" si="10"/>
        <v>#DIV/0!</v>
      </c>
      <c r="P41" s="10" t="e">
        <f t="shared" ca="1" si="10"/>
        <v>#DIV/0!</v>
      </c>
      <c r="Q41" s="10" t="e">
        <f t="shared" ca="1" si="10"/>
        <v>#DIV/0!</v>
      </c>
      <c r="R41" s="10" t="e">
        <f t="shared" ca="1" si="10"/>
        <v>#DIV/0!</v>
      </c>
      <c r="S41" s="10" t="e">
        <f t="shared" ca="1" si="10"/>
        <v>#DIV/0!</v>
      </c>
      <c r="T41" s="10" t="e">
        <f t="shared" ca="1" si="10"/>
        <v>#DIV/0!</v>
      </c>
      <c r="U41" s="10" t="e">
        <f t="shared" ca="1" si="10"/>
        <v>#DIV/0!</v>
      </c>
      <c r="V41" s="10" t="e">
        <f t="shared" ca="1" si="10"/>
        <v>#DIV/0!</v>
      </c>
      <c r="W41" s="10" t="e">
        <f t="shared" ca="1" si="10"/>
        <v>#DIV/0!</v>
      </c>
      <c r="X41" s="10" t="e">
        <f t="shared" ca="1" si="10"/>
        <v>#DIV/0!</v>
      </c>
      <c r="Y41" s="10" t="e">
        <f t="shared" ca="1" si="10"/>
        <v>#DIV/0!</v>
      </c>
      <c r="Z41" s="10" t="e">
        <f t="shared" ca="1" si="10"/>
        <v>#DIV/0!</v>
      </c>
      <c r="AA41" s="10" t="e">
        <f t="shared" ca="1" si="10"/>
        <v>#DIV/0!</v>
      </c>
      <c r="AB41" s="10" t="e">
        <f t="shared" ca="1" si="10"/>
        <v>#DIV/0!</v>
      </c>
      <c r="AC41" s="10" t="e">
        <f t="shared" ca="1" si="10"/>
        <v>#DIV/0!</v>
      </c>
      <c r="AD41" s="10" t="e">
        <f t="shared" ca="1" si="10"/>
        <v>#DIV/0!</v>
      </c>
      <c r="AE41" s="10" t="e">
        <f t="shared" ca="1" si="10"/>
        <v>#DIV/0!</v>
      </c>
      <c r="AF41" s="10" t="e">
        <f t="shared" ca="1" si="10"/>
        <v>#DIV/0!</v>
      </c>
      <c r="AG41" s="10" t="e">
        <f t="shared" ca="1" si="10"/>
        <v>#DIV/0!</v>
      </c>
      <c r="AH41" s="10" t="e">
        <f t="shared" ca="1" si="10"/>
        <v>#DIV/0!</v>
      </c>
      <c r="AI41" s="10" t="e">
        <f t="shared" ca="1" si="10"/>
        <v>#DIV/0!</v>
      </c>
      <c r="AJ41" s="10" t="e">
        <f t="shared" ca="1" si="10"/>
        <v>#DIV/0!</v>
      </c>
      <c r="AK41" s="10" t="e">
        <f t="shared" ca="1" si="10"/>
        <v>#DIV/0!</v>
      </c>
      <c r="AL41" s="10" t="e">
        <f t="shared" ca="1" si="10"/>
        <v>#DIV/0!</v>
      </c>
      <c r="AM41" s="10" t="e">
        <f t="shared" ca="1" si="10"/>
        <v>#DIV/0!</v>
      </c>
      <c r="AN41" s="10" t="e">
        <f t="shared" ca="1" si="10"/>
        <v>#DIV/0!</v>
      </c>
      <c r="AO41" s="10" t="e">
        <f t="shared" ca="1" si="10"/>
        <v>#DIV/0!</v>
      </c>
      <c r="AP41" s="10" t="e">
        <f t="shared" ca="1" si="10"/>
        <v>#DIV/0!</v>
      </c>
      <c r="AQ41" s="10" t="e">
        <f t="shared" ca="1" si="10"/>
        <v>#DIV/0!</v>
      </c>
      <c r="AR41" s="10" t="e">
        <f t="shared" ca="1" si="10"/>
        <v>#DIV/0!</v>
      </c>
      <c r="AS41" s="10" t="e">
        <f t="shared" ca="1" si="10"/>
        <v>#DIV/0!</v>
      </c>
      <c r="AT41" s="10" t="e">
        <f t="shared" ca="1" si="10"/>
        <v>#DIV/0!</v>
      </c>
      <c r="AU41" s="10" t="e">
        <f t="shared" ca="1" si="10"/>
        <v>#DIV/0!</v>
      </c>
      <c r="AV41" s="10" t="e">
        <f t="shared" ca="1" si="10"/>
        <v>#DIV/0!</v>
      </c>
      <c r="AW41" s="10" t="e">
        <f t="shared" ca="1" si="10"/>
        <v>#DIV/0!</v>
      </c>
      <c r="AX41" s="10" t="e">
        <f t="shared" ca="1" si="10"/>
        <v>#DIV/0!</v>
      </c>
      <c r="AY41" s="10" t="e">
        <f t="shared" ca="1" si="10"/>
        <v>#DIV/0!</v>
      </c>
      <c r="AZ41" s="10" t="e">
        <f t="shared" ca="1" si="10"/>
        <v>#DIV/0!</v>
      </c>
      <c r="BA41" s="10" t="e">
        <f t="shared" ca="1" si="10"/>
        <v>#DIV/0!</v>
      </c>
      <c r="BB41" s="10" t="e">
        <f t="shared" ca="1" si="10"/>
        <v>#DIV/0!</v>
      </c>
      <c r="BC41" s="10" t="e">
        <f t="shared" ca="1" si="10"/>
        <v>#DIV/0!</v>
      </c>
      <c r="BD41" s="10" t="e">
        <f t="shared" ca="1" si="10"/>
        <v>#DIV/0!</v>
      </c>
      <c r="BE41" s="10" t="e">
        <f t="shared" ca="1" si="10"/>
        <v>#DIV/0!</v>
      </c>
      <c r="BF41" s="10" t="e">
        <f t="shared" ca="1" si="10"/>
        <v>#DIV/0!</v>
      </c>
      <c r="BG41" s="10" t="e">
        <f t="shared" ca="1" si="10"/>
        <v>#DIV/0!</v>
      </c>
      <c r="BH41" s="10" t="e">
        <f t="shared" ca="1" si="10"/>
        <v>#DIV/0!</v>
      </c>
      <c r="BI41" s="10" t="e">
        <f t="shared" ca="1" si="10"/>
        <v>#DIV/0!</v>
      </c>
      <c r="BJ41" s="10" t="e">
        <f t="shared" ca="1" si="10"/>
        <v>#DIV/0!</v>
      </c>
      <c r="BK41" s="10" t="e">
        <f t="shared" ca="1" si="10"/>
        <v>#DIV/0!</v>
      </c>
      <c r="BL41" s="10" t="e">
        <f t="shared" ca="1" si="10"/>
        <v>#DIV/0!</v>
      </c>
      <c r="BM41" s="10" t="e">
        <f t="shared" ca="1" si="10"/>
        <v>#DIV/0!</v>
      </c>
      <c r="BN41" s="10" t="e">
        <f t="shared" ca="1" si="10"/>
        <v>#DIV/0!</v>
      </c>
      <c r="BO41" s="10" t="e">
        <f t="shared" ca="1" si="10"/>
        <v>#DIV/0!</v>
      </c>
      <c r="BP41" s="10" t="e">
        <f t="shared" ca="1" si="10"/>
        <v>#DIV/0!</v>
      </c>
      <c r="BQ41" s="10" t="e">
        <f t="shared" ca="1" si="10"/>
        <v>#DIV/0!</v>
      </c>
      <c r="BR41" s="10" t="e">
        <f t="shared" ref="BR41" ca="1" si="11">($B$41*H.Ge+$C$41*H.Ga+$D$41*H.Se)*BR$40*$B$2/1000</f>
        <v>#DIV/0!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355.7</v>
      </c>
      <c r="L45" s="3">
        <f t="shared" si="13"/>
        <v>372.3</v>
      </c>
      <c r="M45" s="3">
        <f t="shared" si="13"/>
        <v>388.8</v>
      </c>
      <c r="N45" s="3">
        <f t="shared" si="13"/>
        <v>405.3</v>
      </c>
      <c r="O45" s="3">
        <f t="shared" si="13"/>
        <v>471.4</v>
      </c>
      <c r="P45" s="3">
        <f t="shared" si="13"/>
        <v>487.9</v>
      </c>
      <c r="Q45" s="3">
        <f t="shared" si="13"/>
        <v>504.4</v>
      </c>
      <c r="R45" s="3">
        <f t="shared" si="13"/>
        <v>520.9</v>
      </c>
      <c r="S45" s="3">
        <f t="shared" si="13"/>
        <v>537.5</v>
      </c>
      <c r="T45" s="3">
        <f t="shared" si="13"/>
        <v>554</v>
      </c>
      <c r="U45" s="3">
        <f t="shared" si="13"/>
        <v>570.5</v>
      </c>
      <c r="V45" s="3">
        <f t="shared" si="13"/>
        <v>587</v>
      </c>
      <c r="W45" s="3">
        <f t="shared" si="13"/>
        <v>603.5</v>
      </c>
      <c r="X45" s="3">
        <f t="shared" si="13"/>
        <v>620.1</v>
      </c>
      <c r="Y45" s="3">
        <f t="shared" si="13"/>
        <v>636.6</v>
      </c>
      <c r="Z45" s="3">
        <f t="shared" si="13"/>
        <v>653.1</v>
      </c>
      <c r="AA45" s="3">
        <f t="shared" si="13"/>
        <v>669.6</v>
      </c>
      <c r="AB45" s="3">
        <f t="shared" si="13"/>
        <v>735.7</v>
      </c>
      <c r="AC45" s="3">
        <f t="shared" si="13"/>
        <v>752.2</v>
      </c>
      <c r="AD45" s="3">
        <f t="shared" si="13"/>
        <v>768.7</v>
      </c>
      <c r="AE45" s="3">
        <f t="shared" si="13"/>
        <v>785.2</v>
      </c>
      <c r="AF45" s="3">
        <f t="shared" si="13"/>
        <v>801.8</v>
      </c>
      <c r="AG45" s="3">
        <f t="shared" si="13"/>
        <v>818.3</v>
      </c>
      <c r="AH45" s="3">
        <f t="shared" si="13"/>
        <v>834.8</v>
      </c>
      <c r="AI45" s="3">
        <f t="shared" si="13"/>
        <v>851.3</v>
      </c>
      <c r="AJ45" s="3">
        <f t="shared" si="13"/>
        <v>867.8</v>
      </c>
      <c r="AK45" s="3">
        <f t="shared" si="13"/>
        <v>933.9</v>
      </c>
      <c r="AL45" s="3">
        <f t="shared" si="13"/>
        <v>1000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-63.760000000000005</v>
      </c>
      <c r="G46" s="14">
        <f t="shared" ca="1" si="15"/>
        <v>-60.89</v>
      </c>
      <c r="H46" s="14">
        <f t="shared" ca="1" si="15"/>
        <v>-58.34</v>
      </c>
      <c r="I46" s="14">
        <f t="shared" ca="1" si="15"/>
        <v>-56.09</v>
      </c>
      <c r="J46" s="14">
        <f t="shared" ca="1" si="15"/>
        <v>-54.17</v>
      </c>
      <c r="K46" s="14">
        <f t="shared" ca="1" si="15"/>
        <v>-54.16</v>
      </c>
      <c r="L46" s="14">
        <f t="shared" ca="1" si="15"/>
        <v>-52.57</v>
      </c>
      <c r="M46" s="14">
        <f t="shared" ca="1" si="15"/>
        <v>-51.92</v>
      </c>
      <c r="N46" s="14">
        <f t="shared" ca="1" si="15"/>
        <v>-51.370000000000005</v>
      </c>
      <c r="O46" s="14">
        <f t="shared" ca="1" si="15"/>
        <v>-49.791000000000004</v>
      </c>
      <c r="P46" s="14">
        <f t="shared" ca="1" si="15"/>
        <v>-49.526000000000003</v>
      </c>
      <c r="Q46" s="14">
        <f t="shared" ca="1" si="15"/>
        <v>-49.283000000000001</v>
      </c>
      <c r="R46" s="14">
        <f t="shared" ca="1" si="15"/>
        <v>-49.097999999999999</v>
      </c>
      <c r="S46" s="14">
        <f t="shared" ca="1" si="15"/>
        <v>-49.195</v>
      </c>
      <c r="T46" s="14">
        <f t="shared" ca="1" si="15"/>
        <v>-49.715000000000003</v>
      </c>
      <c r="U46" s="14">
        <f t="shared" ca="1" si="15"/>
        <v>-50.235999999999997</v>
      </c>
      <c r="V46" s="14">
        <f t="shared" ref="G46:BR50" ca="1" si="16">$A46*H.Ar + $B46*H.Se + $C46*H.Ge + $D46*H.Ga</f>
        <v>-50.756</v>
      </c>
      <c r="W46" s="14">
        <f t="shared" ca="1" si="16"/>
        <v>-51.277000000000001</v>
      </c>
      <c r="X46" s="14">
        <f t="shared" ca="1" si="16"/>
        <v>-51.797999999999995</v>
      </c>
      <c r="Y46" s="14">
        <f t="shared" ca="1" si="16"/>
        <v>-52.298999999999999</v>
      </c>
      <c r="Z46" s="14">
        <f t="shared" ca="1" si="16"/>
        <v>-52.8</v>
      </c>
      <c r="AA46" s="14">
        <f t="shared" ca="1" si="16"/>
        <v>-53.301000000000002</v>
      </c>
      <c r="AB46" s="14">
        <f t="shared" ca="1" si="16"/>
        <v>-55.262999999999998</v>
      </c>
      <c r="AC46" s="14">
        <f t="shared" ca="1" si="16"/>
        <v>-55.743000000000002</v>
      </c>
      <c r="AD46" s="14">
        <f t="shared" ca="1" si="16"/>
        <v>-56.222000000000001</v>
      </c>
      <c r="AE46" s="14">
        <f t="shared" ca="1" si="16"/>
        <v>-56.701999999999998</v>
      </c>
      <c r="AF46" s="14">
        <f t="shared" ca="1" si="16"/>
        <v>-57.161000000000001</v>
      </c>
      <c r="AG46" s="14">
        <f t="shared" ca="1" si="16"/>
        <v>-57.620000000000005</v>
      </c>
      <c r="AH46" s="14">
        <f t="shared" ca="1" si="16"/>
        <v>-58.078000000000003</v>
      </c>
      <c r="AI46" s="14">
        <f t="shared" ca="1" si="16"/>
        <v>-58.536999999999999</v>
      </c>
      <c r="AJ46" s="14">
        <f t="shared" ca="1" si="16"/>
        <v>-58.994999999999997</v>
      </c>
      <c r="AK46" s="14">
        <f t="shared" ca="1" si="16"/>
        <v>-60.763999999999996</v>
      </c>
      <c r="AL46" s="14">
        <f t="shared" ca="1" si="16"/>
        <v>-62.489000000000004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1</v>
      </c>
      <c r="C47" s="5">
        <f t="shared" si="14"/>
        <v>0</v>
      </c>
      <c r="D47" s="5">
        <f t="shared" si="14"/>
        <v>0</v>
      </c>
      <c r="E47" s="6" t="str">
        <f t="shared" si="14"/>
        <v>*Se[M]</v>
      </c>
      <c r="F47" s="14">
        <f t="shared" ca="1" si="15"/>
        <v>-22.85</v>
      </c>
      <c r="G47" s="14">
        <f t="shared" ca="1" si="16"/>
        <v>-21.73</v>
      </c>
      <c r="H47" s="14">
        <f t="shared" ca="1" si="16"/>
        <v>-20.73</v>
      </c>
      <c r="I47" s="14">
        <f t="shared" ca="1" si="16"/>
        <v>-19.850000000000001</v>
      </c>
      <c r="J47" s="14">
        <f t="shared" ca="1" si="16"/>
        <v>-19.559999999999999</v>
      </c>
      <c r="K47" s="14">
        <f t="shared" ca="1" si="16"/>
        <v>-20.239999999999998</v>
      </c>
      <c r="L47" s="14">
        <f t="shared" ca="1" si="16"/>
        <v>-20.04</v>
      </c>
      <c r="M47" s="14">
        <f t="shared" ca="1" si="16"/>
        <v>-20.28</v>
      </c>
      <c r="N47" s="14">
        <f t="shared" ca="1" si="16"/>
        <v>-20.53</v>
      </c>
      <c r="O47" s="14">
        <f t="shared" ca="1" si="16"/>
        <v>-21.53</v>
      </c>
      <c r="P47" s="14">
        <f t="shared" ca="1" si="16"/>
        <v>-21.78</v>
      </c>
      <c r="Q47" s="14">
        <f t="shared" ca="1" si="16"/>
        <v>-22.02</v>
      </c>
      <c r="R47" s="14">
        <f t="shared" ca="1" si="16"/>
        <v>-22.27</v>
      </c>
      <c r="S47" s="14">
        <f t="shared" ca="1" si="16"/>
        <v>-22.52</v>
      </c>
      <c r="T47" s="14">
        <f t="shared" ca="1" si="16"/>
        <v>-22.76</v>
      </c>
      <c r="U47" s="14">
        <f t="shared" ca="1" si="16"/>
        <v>-23</v>
      </c>
      <c r="V47" s="14">
        <f t="shared" ca="1" si="16"/>
        <v>-23.24</v>
      </c>
      <c r="W47" s="14">
        <f t="shared" ca="1" si="16"/>
        <v>-23.48</v>
      </c>
      <c r="X47" s="14">
        <f t="shared" ca="1" si="16"/>
        <v>-23.72</v>
      </c>
      <c r="Y47" s="14">
        <f t="shared" ca="1" si="16"/>
        <v>-23.95</v>
      </c>
      <c r="Z47" s="14">
        <f t="shared" ca="1" si="16"/>
        <v>-24.18</v>
      </c>
      <c r="AA47" s="14">
        <f t="shared" ca="1" si="16"/>
        <v>-24.41</v>
      </c>
      <c r="AB47" s="14">
        <f t="shared" ca="1" si="16"/>
        <v>-25.31</v>
      </c>
      <c r="AC47" s="14">
        <f t="shared" ca="1" si="16"/>
        <v>-25.53</v>
      </c>
      <c r="AD47" s="14">
        <f t="shared" ca="1" si="16"/>
        <v>-25.75</v>
      </c>
      <c r="AE47" s="14">
        <f t="shared" ca="1" si="16"/>
        <v>-25.97</v>
      </c>
      <c r="AF47" s="14">
        <f t="shared" ca="1" si="16"/>
        <v>-26.18</v>
      </c>
      <c r="AG47" s="14">
        <f t="shared" ca="1" si="16"/>
        <v>-26.39</v>
      </c>
      <c r="AH47" s="14">
        <f t="shared" ca="1" si="16"/>
        <v>-26.6</v>
      </c>
      <c r="AI47" s="14">
        <f t="shared" ca="1" si="16"/>
        <v>-26.81</v>
      </c>
      <c r="AJ47" s="14">
        <f t="shared" ca="1" si="16"/>
        <v>-27.02</v>
      </c>
      <c r="AK47" s="14">
        <f t="shared" ca="1" si="16"/>
        <v>-27.83</v>
      </c>
      <c r="AL47" s="14">
        <f t="shared" ca="1" si="16"/>
        <v>-28.62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1</v>
      </c>
      <c r="D48" s="5">
        <f t="shared" si="14"/>
        <v>0</v>
      </c>
      <c r="E48" s="6" t="str">
        <f t="shared" si="14"/>
        <v>*Ge</v>
      </c>
      <c r="F48" s="14">
        <f t="shared" ca="1" si="15"/>
        <v>-18.059999999999999</v>
      </c>
      <c r="G48" s="14">
        <f t="shared" ca="1" si="16"/>
        <v>-17.43</v>
      </c>
      <c r="H48" s="14">
        <f t="shared" ca="1" si="16"/>
        <v>-16.88</v>
      </c>
      <c r="I48" s="14">
        <f t="shared" ca="1" si="16"/>
        <v>-16.39</v>
      </c>
      <c r="J48" s="14">
        <f t="shared" ca="1" si="16"/>
        <v>-15.05</v>
      </c>
      <c r="K48" s="14">
        <f t="shared" ca="1" si="16"/>
        <v>-13.68</v>
      </c>
      <c r="L48" s="14">
        <f t="shared" ca="1" si="16"/>
        <v>-12.49</v>
      </c>
      <c r="M48" s="14">
        <f t="shared" ca="1" si="16"/>
        <v>-11.36</v>
      </c>
      <c r="N48" s="14">
        <f t="shared" ca="1" si="16"/>
        <v>-10.31</v>
      </c>
      <c r="O48" s="14">
        <f t="shared" ca="1" si="16"/>
        <v>-6.7309999999999999</v>
      </c>
      <c r="P48" s="14">
        <f t="shared" ca="1" si="16"/>
        <v>-5.9660000000000002</v>
      </c>
      <c r="Q48" s="14">
        <f t="shared" ca="1" si="16"/>
        <v>-5.2430000000000003</v>
      </c>
      <c r="R48" s="14">
        <f t="shared" ca="1" si="16"/>
        <v>-4.5579999999999998</v>
      </c>
      <c r="S48" s="14">
        <f t="shared" ca="1" si="16"/>
        <v>-4.1550000000000002</v>
      </c>
      <c r="T48" s="14">
        <f t="shared" ca="1" si="16"/>
        <v>-4.1950000000000003</v>
      </c>
      <c r="U48" s="14">
        <f t="shared" ca="1" si="16"/>
        <v>-4.2359999999999998</v>
      </c>
      <c r="V48" s="14">
        <f t="shared" ca="1" si="16"/>
        <v>-4.2759999999999998</v>
      </c>
      <c r="W48" s="14">
        <f t="shared" ca="1" si="16"/>
        <v>-4.3170000000000002</v>
      </c>
      <c r="X48" s="14">
        <f t="shared" ca="1" si="16"/>
        <v>-4.3579999999999997</v>
      </c>
      <c r="Y48" s="14">
        <f t="shared" ca="1" si="16"/>
        <v>-4.399</v>
      </c>
      <c r="Z48" s="14">
        <f t="shared" ca="1" si="16"/>
        <v>-4.4400000000000004</v>
      </c>
      <c r="AA48" s="14">
        <f t="shared" ca="1" si="16"/>
        <v>-4.4809999999999999</v>
      </c>
      <c r="AB48" s="14">
        <f t="shared" ca="1" si="16"/>
        <v>-4.6429999999999998</v>
      </c>
      <c r="AC48" s="14">
        <f t="shared" ca="1" si="16"/>
        <v>-4.6829999999999998</v>
      </c>
      <c r="AD48" s="14">
        <f t="shared" ca="1" si="16"/>
        <v>-4.7220000000000004</v>
      </c>
      <c r="AE48" s="14">
        <f t="shared" ca="1" si="16"/>
        <v>-4.7619999999999996</v>
      </c>
      <c r="AF48" s="14">
        <f t="shared" ca="1" si="16"/>
        <v>-4.8010000000000002</v>
      </c>
      <c r="AG48" s="14">
        <f t="shared" ca="1" si="16"/>
        <v>-4.84</v>
      </c>
      <c r="AH48" s="14">
        <f t="shared" ca="1" si="16"/>
        <v>-4.8780000000000001</v>
      </c>
      <c r="AI48" s="14">
        <f t="shared" ca="1" si="16"/>
        <v>-4.9169999999999998</v>
      </c>
      <c r="AJ48" s="14">
        <f t="shared" ca="1" si="16"/>
        <v>-4.9550000000000001</v>
      </c>
      <c r="AK48" s="14">
        <f t="shared" ca="1" si="16"/>
        <v>-5.1040000000000001</v>
      </c>
      <c r="AL48" s="14">
        <f t="shared" ca="1" si="16"/>
        <v>-5.2489999999999997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3</v>
      </c>
      <c r="C49" s="5">
        <f t="shared" si="14"/>
        <v>0</v>
      </c>
      <c r="D49" s="5">
        <f t="shared" si="14"/>
        <v>2</v>
      </c>
      <c r="E49" s="6" t="str">
        <f t="shared" si="14"/>
        <v>*Ga2Se3</v>
      </c>
      <c r="F49" s="14">
        <f t="shared" ca="1" si="15"/>
        <v>-201.69</v>
      </c>
      <c r="G49" s="14">
        <f t="shared" ca="1" si="16"/>
        <v>-191.39</v>
      </c>
      <c r="H49" s="14">
        <f t="shared" ca="1" si="16"/>
        <v>-182.20999999999998</v>
      </c>
      <c r="I49" s="14">
        <f t="shared" ca="1" si="16"/>
        <v>-174.05</v>
      </c>
      <c r="J49" s="14">
        <f t="shared" ca="1" si="16"/>
        <v>-166.68</v>
      </c>
      <c r="K49" s="14">
        <f t="shared" ca="1" si="16"/>
        <v>-160.06</v>
      </c>
      <c r="L49" s="14">
        <f t="shared" ca="1" si="16"/>
        <v>-154.04</v>
      </c>
      <c r="M49" s="14">
        <f t="shared" ca="1" si="16"/>
        <v>-148.56</v>
      </c>
      <c r="N49" s="14">
        <f t="shared" ca="1" si="16"/>
        <v>-143.55000000000001</v>
      </c>
      <c r="O49" s="14">
        <f t="shared" ca="1" si="16"/>
        <v>-127.23</v>
      </c>
      <c r="P49" s="14">
        <f t="shared" ca="1" si="16"/>
        <v>-123.9</v>
      </c>
      <c r="Q49" s="14">
        <f t="shared" ca="1" si="16"/>
        <v>-120.76</v>
      </c>
      <c r="R49" s="14">
        <f t="shared" ca="1" si="16"/>
        <v>-117.87</v>
      </c>
      <c r="S49" s="14">
        <f t="shared" ca="1" si="16"/>
        <v>-115.18</v>
      </c>
      <c r="T49" s="14">
        <f t="shared" ca="1" si="16"/>
        <v>-112.64</v>
      </c>
      <c r="U49" s="14">
        <f t="shared" ca="1" si="16"/>
        <v>-110.25999999999999</v>
      </c>
      <c r="V49" s="14">
        <f t="shared" ca="1" si="16"/>
        <v>-108.03999999999999</v>
      </c>
      <c r="W49" s="14">
        <f t="shared" ca="1" si="16"/>
        <v>-106.14</v>
      </c>
      <c r="X49" s="14">
        <f t="shared" ca="1" si="16"/>
        <v>-104.86</v>
      </c>
      <c r="Y49" s="14">
        <f t="shared" ca="1" si="16"/>
        <v>-103.64999999999999</v>
      </c>
      <c r="Z49" s="14">
        <f t="shared" ca="1" si="16"/>
        <v>-102.53999999999999</v>
      </c>
      <c r="AA49" s="14">
        <f t="shared" ca="1" si="16"/>
        <v>-101.49000000000001</v>
      </c>
      <c r="AB49" s="14">
        <f t="shared" ca="1" si="16"/>
        <v>-97.929999999999993</v>
      </c>
      <c r="AC49" s="14">
        <f t="shared" ca="1" si="16"/>
        <v>-97.17</v>
      </c>
      <c r="AD49" s="14">
        <f t="shared" ca="1" si="16"/>
        <v>-96.462000000000003</v>
      </c>
      <c r="AE49" s="14">
        <f t="shared" ca="1" si="16"/>
        <v>-95.805999999999997</v>
      </c>
      <c r="AF49" s="14">
        <f t="shared" ca="1" si="16"/>
        <v>-95.165999999999997</v>
      </c>
      <c r="AG49" s="14">
        <f t="shared" ca="1" si="16"/>
        <v>-94.597999999999999</v>
      </c>
      <c r="AH49" s="14">
        <f t="shared" ca="1" si="16"/>
        <v>-95.394000000000005</v>
      </c>
      <c r="AI49" s="14">
        <f t="shared" ca="1" si="16"/>
        <v>-96.187999999999988</v>
      </c>
      <c r="AJ49" s="14">
        <f t="shared" ca="1" si="16"/>
        <v>-96.986000000000004</v>
      </c>
      <c r="AK49" s="14">
        <f t="shared" ca="1" si="16"/>
        <v>-100.128</v>
      </c>
      <c r="AL49" s="14">
        <f t="shared" ca="1" si="16"/>
        <v>-103.312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1</v>
      </c>
      <c r="E50" s="6" t="str">
        <f t="shared" si="14"/>
        <v>*Ga[l]</v>
      </c>
      <c r="F50" s="14">
        <f t="shared" ca="1" si="15"/>
        <v>-66.569999999999993</v>
      </c>
      <c r="G50" s="14">
        <f t="shared" ca="1" si="16"/>
        <v>-63.1</v>
      </c>
      <c r="H50" s="14">
        <f t="shared" ca="1" si="16"/>
        <v>-60.01</v>
      </c>
      <c r="I50" s="14">
        <f t="shared" ca="1" si="16"/>
        <v>-57.25</v>
      </c>
      <c r="J50" s="14">
        <f t="shared" ca="1" si="16"/>
        <v>-54</v>
      </c>
      <c r="K50" s="14">
        <f t="shared" ca="1" si="16"/>
        <v>-49.67</v>
      </c>
      <c r="L50" s="14">
        <f t="shared" ca="1" si="16"/>
        <v>-46.96</v>
      </c>
      <c r="M50" s="14">
        <f t="shared" ca="1" si="16"/>
        <v>-43.86</v>
      </c>
      <c r="N50" s="14">
        <f t="shared" ca="1" si="16"/>
        <v>-40.98</v>
      </c>
      <c r="O50" s="14">
        <f t="shared" ca="1" si="16"/>
        <v>-31.32</v>
      </c>
      <c r="P50" s="14">
        <f t="shared" ca="1" si="16"/>
        <v>-29.28</v>
      </c>
      <c r="Q50" s="14">
        <f t="shared" ca="1" si="16"/>
        <v>-27.35</v>
      </c>
      <c r="R50" s="14">
        <f t="shared" ca="1" si="16"/>
        <v>-25.53</v>
      </c>
      <c r="S50" s="14">
        <f t="shared" ca="1" si="16"/>
        <v>-23.81</v>
      </c>
      <c r="T50" s="14">
        <f t="shared" ca="1" si="16"/>
        <v>-22.18</v>
      </c>
      <c r="U50" s="14">
        <f t="shared" ref="G50:BR54" ca="1" si="17">$A50*H.Ar + $B50*H.Se + $C50*H.Ge + $D50*H.Ga</f>
        <v>-20.63</v>
      </c>
      <c r="V50" s="14">
        <f t="shared" ca="1" si="17"/>
        <v>-19.16</v>
      </c>
      <c r="W50" s="14">
        <f t="shared" ca="1" si="17"/>
        <v>-17.850000000000001</v>
      </c>
      <c r="X50" s="14">
        <f t="shared" ca="1" si="17"/>
        <v>-16.850000000000001</v>
      </c>
      <c r="Y50" s="14">
        <f t="shared" ca="1" si="17"/>
        <v>-15.9</v>
      </c>
      <c r="Z50" s="14">
        <f t="shared" ca="1" si="17"/>
        <v>-15</v>
      </c>
      <c r="AA50" s="14">
        <f t="shared" ca="1" si="17"/>
        <v>-14.13</v>
      </c>
      <c r="AB50" s="14">
        <f t="shared" ca="1" si="17"/>
        <v>-11</v>
      </c>
      <c r="AC50" s="14">
        <f t="shared" ca="1" si="17"/>
        <v>-10.29</v>
      </c>
      <c r="AD50" s="14">
        <f t="shared" ca="1" si="17"/>
        <v>-9.6059999999999999</v>
      </c>
      <c r="AE50" s="14">
        <f t="shared" ca="1" si="17"/>
        <v>-8.9480000000000004</v>
      </c>
      <c r="AF50" s="14">
        <f t="shared" ca="1" si="17"/>
        <v>-8.3130000000000006</v>
      </c>
      <c r="AG50" s="14">
        <f t="shared" ca="1" si="17"/>
        <v>-7.7140000000000004</v>
      </c>
      <c r="AH50" s="14">
        <f t="shared" ca="1" si="17"/>
        <v>-7.7969999999999997</v>
      </c>
      <c r="AI50" s="14">
        <f t="shared" ca="1" si="17"/>
        <v>-7.8789999999999996</v>
      </c>
      <c r="AJ50" s="14">
        <f t="shared" ca="1" si="17"/>
        <v>-7.9630000000000001</v>
      </c>
      <c r="AK50" s="14">
        <f t="shared" ca="1" si="17"/>
        <v>-8.3190000000000008</v>
      </c>
      <c r="AL50" s="14">
        <f t="shared" ca="1" si="17"/>
        <v>-8.7260000000000009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0</v>
      </c>
      <c r="C51" s="5">
        <f t="shared" si="14"/>
        <v>1</v>
      </c>
      <c r="D51" s="5">
        <f t="shared" si="14"/>
        <v>0</v>
      </c>
      <c r="E51" s="6" t="str">
        <f t="shared" si="14"/>
        <v>*Ge[l]</v>
      </c>
      <c r="F51" s="14">
        <f t="shared" ca="1" si="15"/>
        <v>-18.059999999999999</v>
      </c>
      <c r="G51" s="14">
        <f t="shared" ca="1" si="17"/>
        <v>-17.43</v>
      </c>
      <c r="H51" s="14">
        <f t="shared" ca="1" si="17"/>
        <v>-16.88</v>
      </c>
      <c r="I51" s="14">
        <f t="shared" ca="1" si="17"/>
        <v>-16.39</v>
      </c>
      <c r="J51" s="14">
        <f t="shared" ca="1" si="17"/>
        <v>-15.05</v>
      </c>
      <c r="K51" s="14">
        <f t="shared" ca="1" si="17"/>
        <v>-13.68</v>
      </c>
      <c r="L51" s="14">
        <f t="shared" ca="1" si="17"/>
        <v>-12.49</v>
      </c>
      <c r="M51" s="14">
        <f t="shared" ca="1" si="17"/>
        <v>-11.36</v>
      </c>
      <c r="N51" s="14">
        <f t="shared" ca="1" si="17"/>
        <v>-10.31</v>
      </c>
      <c r="O51" s="14">
        <f t="shared" ca="1" si="17"/>
        <v>-6.7309999999999999</v>
      </c>
      <c r="P51" s="14">
        <f t="shared" ca="1" si="17"/>
        <v>-5.9660000000000002</v>
      </c>
      <c r="Q51" s="14">
        <f t="shared" ca="1" si="17"/>
        <v>-5.2430000000000003</v>
      </c>
      <c r="R51" s="14">
        <f t="shared" ca="1" si="17"/>
        <v>-4.5579999999999998</v>
      </c>
      <c r="S51" s="14">
        <f t="shared" ca="1" si="17"/>
        <v>-4.1550000000000002</v>
      </c>
      <c r="T51" s="14">
        <f t="shared" ca="1" si="17"/>
        <v>-4.1950000000000003</v>
      </c>
      <c r="U51" s="14">
        <f t="shared" ca="1" si="17"/>
        <v>-4.2359999999999998</v>
      </c>
      <c r="V51" s="14">
        <f t="shared" ca="1" si="17"/>
        <v>-4.2759999999999998</v>
      </c>
      <c r="W51" s="14">
        <f t="shared" ca="1" si="17"/>
        <v>-4.3170000000000002</v>
      </c>
      <c r="X51" s="14">
        <f t="shared" ca="1" si="17"/>
        <v>-4.3579999999999997</v>
      </c>
      <c r="Y51" s="14">
        <f t="shared" ca="1" si="17"/>
        <v>-4.399</v>
      </c>
      <c r="Z51" s="14">
        <f t="shared" ca="1" si="17"/>
        <v>-4.4400000000000004</v>
      </c>
      <c r="AA51" s="14">
        <f t="shared" ca="1" si="17"/>
        <v>-4.4809999999999999</v>
      </c>
      <c r="AB51" s="14">
        <f t="shared" ca="1" si="17"/>
        <v>-4.6429999999999998</v>
      </c>
      <c r="AC51" s="14">
        <f t="shared" ca="1" si="17"/>
        <v>-4.6829999999999998</v>
      </c>
      <c r="AD51" s="14">
        <f t="shared" ca="1" si="17"/>
        <v>-4.7220000000000004</v>
      </c>
      <c r="AE51" s="14">
        <f t="shared" ca="1" si="17"/>
        <v>-4.7619999999999996</v>
      </c>
      <c r="AF51" s="14">
        <f t="shared" ca="1" si="17"/>
        <v>-4.8010000000000002</v>
      </c>
      <c r="AG51" s="14">
        <f t="shared" ca="1" si="17"/>
        <v>-4.84</v>
      </c>
      <c r="AH51" s="14">
        <f t="shared" ca="1" si="17"/>
        <v>-4.8780000000000001</v>
      </c>
      <c r="AI51" s="14">
        <f t="shared" ca="1" si="17"/>
        <v>-4.9169999999999998</v>
      </c>
      <c r="AJ51" s="14">
        <f t="shared" ca="1" si="17"/>
        <v>-4.9550000000000001</v>
      </c>
      <c r="AK51" s="14">
        <f t="shared" ca="1" si="17"/>
        <v>-5.1040000000000001</v>
      </c>
      <c r="AL51" s="14">
        <f t="shared" ca="1" si="17"/>
        <v>-5.2489999999999997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0</v>
      </c>
      <c r="D52" s="5">
        <f t="shared" si="14"/>
        <v>1</v>
      </c>
      <c r="E52" s="6" t="str">
        <f t="shared" si="14"/>
        <v>*GaSe</v>
      </c>
      <c r="F52" s="14">
        <f t="shared" ca="1" si="15"/>
        <v>-89.419999999999987</v>
      </c>
      <c r="G52" s="14">
        <f t="shared" ca="1" si="17"/>
        <v>-84.83</v>
      </c>
      <c r="H52" s="14">
        <f t="shared" ca="1" si="17"/>
        <v>-80.739999999999995</v>
      </c>
      <c r="I52" s="14">
        <f t="shared" ca="1" si="17"/>
        <v>-77.099999999999994</v>
      </c>
      <c r="J52" s="14">
        <f t="shared" ca="1" si="17"/>
        <v>-73.56</v>
      </c>
      <c r="K52" s="14">
        <f t="shared" ca="1" si="17"/>
        <v>-69.91</v>
      </c>
      <c r="L52" s="14">
        <f t="shared" ca="1" si="17"/>
        <v>-67</v>
      </c>
      <c r="M52" s="14">
        <f t="shared" ca="1" si="17"/>
        <v>-64.14</v>
      </c>
      <c r="N52" s="14">
        <f t="shared" ca="1" si="17"/>
        <v>-61.51</v>
      </c>
      <c r="O52" s="14">
        <f t="shared" ca="1" si="17"/>
        <v>-52.85</v>
      </c>
      <c r="P52" s="14">
        <f t="shared" ca="1" si="17"/>
        <v>-51.06</v>
      </c>
      <c r="Q52" s="14">
        <f t="shared" ca="1" si="17"/>
        <v>-49.370000000000005</v>
      </c>
      <c r="R52" s="14">
        <f t="shared" ca="1" si="17"/>
        <v>-47.8</v>
      </c>
      <c r="S52" s="14">
        <f t="shared" ca="1" si="17"/>
        <v>-46.33</v>
      </c>
      <c r="T52" s="14">
        <f t="shared" ca="1" si="17"/>
        <v>-44.94</v>
      </c>
      <c r="U52" s="14">
        <f t="shared" ca="1" si="17"/>
        <v>-43.629999999999995</v>
      </c>
      <c r="V52" s="14">
        <f t="shared" ca="1" si="17"/>
        <v>-42.4</v>
      </c>
      <c r="W52" s="14">
        <f t="shared" ca="1" si="17"/>
        <v>-41.33</v>
      </c>
      <c r="X52" s="14">
        <f t="shared" ca="1" si="17"/>
        <v>-40.57</v>
      </c>
      <c r="Y52" s="14">
        <f t="shared" ca="1" si="17"/>
        <v>-39.85</v>
      </c>
      <c r="Z52" s="14">
        <f t="shared" ca="1" si="17"/>
        <v>-39.18</v>
      </c>
      <c r="AA52" s="14">
        <f t="shared" ca="1" si="17"/>
        <v>-38.54</v>
      </c>
      <c r="AB52" s="14">
        <f t="shared" ca="1" si="17"/>
        <v>-36.31</v>
      </c>
      <c r="AC52" s="14">
        <f t="shared" ca="1" si="17"/>
        <v>-35.82</v>
      </c>
      <c r="AD52" s="14">
        <f t="shared" ca="1" si="17"/>
        <v>-35.356000000000002</v>
      </c>
      <c r="AE52" s="14">
        <f t="shared" ca="1" si="17"/>
        <v>-34.917999999999999</v>
      </c>
      <c r="AF52" s="14">
        <f t="shared" ca="1" si="17"/>
        <v>-34.493000000000002</v>
      </c>
      <c r="AG52" s="14">
        <f t="shared" ca="1" si="17"/>
        <v>-34.103999999999999</v>
      </c>
      <c r="AH52" s="14">
        <f t="shared" ca="1" si="17"/>
        <v>-34.396999999999998</v>
      </c>
      <c r="AI52" s="14">
        <f t="shared" ca="1" si="17"/>
        <v>-34.689</v>
      </c>
      <c r="AJ52" s="14">
        <f t="shared" ca="1" si="17"/>
        <v>-34.982999999999997</v>
      </c>
      <c r="AK52" s="14">
        <f t="shared" ca="1" si="17"/>
        <v>-36.149000000000001</v>
      </c>
      <c r="AL52" s="14">
        <f t="shared" ca="1" si="17"/>
        <v>-37.346000000000004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1</v>
      </c>
      <c r="C53" s="5">
        <f t="shared" si="14"/>
        <v>1</v>
      </c>
      <c r="D53" s="5">
        <f t="shared" si="14"/>
        <v>0</v>
      </c>
      <c r="E53" s="6" t="str">
        <f t="shared" si="14"/>
        <v>GeSe</v>
      </c>
      <c r="F53" s="14">
        <f t="shared" ca="1" si="15"/>
        <v>-40.909999999999997</v>
      </c>
      <c r="G53" s="14">
        <f t="shared" ca="1" si="17"/>
        <v>-39.159999999999997</v>
      </c>
      <c r="H53" s="14">
        <f t="shared" ca="1" si="17"/>
        <v>-37.61</v>
      </c>
      <c r="I53" s="14">
        <f t="shared" ca="1" si="17"/>
        <v>-36.24</v>
      </c>
      <c r="J53" s="14">
        <f t="shared" ca="1" si="17"/>
        <v>-34.61</v>
      </c>
      <c r="K53" s="14">
        <f t="shared" ca="1" si="17"/>
        <v>-33.92</v>
      </c>
      <c r="L53" s="14">
        <f t="shared" ca="1" si="17"/>
        <v>-32.53</v>
      </c>
      <c r="M53" s="14">
        <f t="shared" ca="1" si="17"/>
        <v>-31.64</v>
      </c>
      <c r="N53" s="14">
        <f t="shared" ca="1" si="17"/>
        <v>-30.840000000000003</v>
      </c>
      <c r="O53" s="14">
        <f t="shared" ca="1" si="17"/>
        <v>-28.261000000000003</v>
      </c>
      <c r="P53" s="14">
        <f t="shared" ca="1" si="17"/>
        <v>-27.746000000000002</v>
      </c>
      <c r="Q53" s="14">
        <f t="shared" ca="1" si="17"/>
        <v>-27.262999999999998</v>
      </c>
      <c r="R53" s="14">
        <f t="shared" ca="1" si="17"/>
        <v>-26.827999999999999</v>
      </c>
      <c r="S53" s="14">
        <f t="shared" ca="1" si="17"/>
        <v>-26.675000000000001</v>
      </c>
      <c r="T53" s="14">
        <f t="shared" ca="1" si="17"/>
        <v>-26.955000000000002</v>
      </c>
      <c r="U53" s="14">
        <f t="shared" ca="1" si="17"/>
        <v>-27.236000000000001</v>
      </c>
      <c r="V53" s="14">
        <f t="shared" ca="1" si="17"/>
        <v>-27.515999999999998</v>
      </c>
      <c r="W53" s="14">
        <f t="shared" ca="1" si="17"/>
        <v>-27.797000000000001</v>
      </c>
      <c r="X53" s="14">
        <f t="shared" ca="1" si="17"/>
        <v>-28.077999999999999</v>
      </c>
      <c r="Y53" s="14">
        <f t="shared" ca="1" si="17"/>
        <v>-28.349</v>
      </c>
      <c r="Z53" s="14">
        <f t="shared" ca="1" si="17"/>
        <v>-28.62</v>
      </c>
      <c r="AA53" s="14">
        <f t="shared" ca="1" si="17"/>
        <v>-28.890999999999998</v>
      </c>
      <c r="AB53" s="14">
        <f t="shared" ca="1" si="17"/>
        <v>-29.952999999999999</v>
      </c>
      <c r="AC53" s="14">
        <f t="shared" ca="1" si="17"/>
        <v>-30.213000000000001</v>
      </c>
      <c r="AD53" s="14">
        <f t="shared" ca="1" si="17"/>
        <v>-30.472000000000001</v>
      </c>
      <c r="AE53" s="14">
        <f t="shared" ca="1" si="17"/>
        <v>-30.731999999999999</v>
      </c>
      <c r="AF53" s="14">
        <f t="shared" ca="1" si="17"/>
        <v>-30.981000000000002</v>
      </c>
      <c r="AG53" s="14">
        <f t="shared" ca="1" si="17"/>
        <v>-31.23</v>
      </c>
      <c r="AH53" s="14">
        <f t="shared" ca="1" si="17"/>
        <v>-31.478000000000002</v>
      </c>
      <c r="AI53" s="14">
        <f t="shared" ca="1" si="17"/>
        <v>-31.726999999999997</v>
      </c>
      <c r="AJ53" s="14">
        <f t="shared" ca="1" si="17"/>
        <v>-31.975000000000001</v>
      </c>
      <c r="AK53" s="14">
        <f t="shared" ca="1" si="17"/>
        <v>-32.933999999999997</v>
      </c>
      <c r="AL53" s="14">
        <f t="shared" ca="1" si="17"/>
        <v>-33.869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customHeight="1" outlineLevel="1" thickBot="1" x14ac:dyDescent="0.4">
      <c r="A54" s="5">
        <f t="shared" si="14"/>
        <v>0</v>
      </c>
      <c r="B54" s="5">
        <f t="shared" si="14"/>
        <v>1</v>
      </c>
      <c r="C54" s="5">
        <f t="shared" si="14"/>
        <v>0</v>
      </c>
      <c r="D54" s="5">
        <f t="shared" si="14"/>
        <v>2</v>
      </c>
      <c r="E54" s="6" t="str">
        <f t="shared" si="14"/>
        <v>Ga2Se</v>
      </c>
      <c r="F54" s="14">
        <f t="shared" ca="1" si="15"/>
        <v>-155.98999999999998</v>
      </c>
      <c r="G54" s="14">
        <f t="shared" ca="1" si="17"/>
        <v>-147.93</v>
      </c>
      <c r="H54" s="14">
        <f t="shared" ca="1" si="17"/>
        <v>-140.75</v>
      </c>
      <c r="I54" s="14">
        <f t="shared" ca="1" si="17"/>
        <v>-134.35</v>
      </c>
      <c r="J54" s="14">
        <f t="shared" ca="1" si="17"/>
        <v>-127.56</v>
      </c>
      <c r="K54" s="14">
        <f t="shared" ca="1" si="17"/>
        <v>-119.58</v>
      </c>
      <c r="L54" s="14">
        <f t="shared" ca="1" si="17"/>
        <v>-113.96000000000001</v>
      </c>
      <c r="M54" s="14">
        <f t="shared" ca="1" si="17"/>
        <v>-108</v>
      </c>
      <c r="N54" s="14">
        <f t="shared" ca="1" si="17"/>
        <v>-102.49</v>
      </c>
      <c r="O54" s="14">
        <f t="shared" ca="1" si="17"/>
        <v>-84.17</v>
      </c>
      <c r="P54" s="14">
        <f t="shared" ca="1" si="17"/>
        <v>-80.34</v>
      </c>
      <c r="Q54" s="14">
        <f t="shared" ca="1" si="17"/>
        <v>-76.72</v>
      </c>
      <c r="R54" s="14">
        <f t="shared" ca="1" si="17"/>
        <v>-73.33</v>
      </c>
      <c r="S54" s="14">
        <f t="shared" ca="1" si="17"/>
        <v>-70.14</v>
      </c>
      <c r="T54" s="14">
        <f t="shared" ref="G54:BR58" ca="1" si="18">$A54*H.Ar + $B54*H.Se + $C54*H.Ge + $D54*H.Ga</f>
        <v>-67.12</v>
      </c>
      <c r="U54" s="14">
        <f t="shared" ca="1" si="18"/>
        <v>-64.259999999999991</v>
      </c>
      <c r="V54" s="14">
        <f t="shared" ca="1" si="18"/>
        <v>-61.56</v>
      </c>
      <c r="W54" s="14">
        <f t="shared" ca="1" si="18"/>
        <v>-59.180000000000007</v>
      </c>
      <c r="X54" s="14">
        <f t="shared" ca="1" si="18"/>
        <v>-57.42</v>
      </c>
      <c r="Y54" s="14">
        <f t="shared" ca="1" si="18"/>
        <v>-55.75</v>
      </c>
      <c r="Z54" s="14">
        <f t="shared" ca="1" si="18"/>
        <v>-54.18</v>
      </c>
      <c r="AA54" s="14">
        <f t="shared" ca="1" si="18"/>
        <v>-52.67</v>
      </c>
      <c r="AB54" s="14">
        <f t="shared" ca="1" si="18"/>
        <v>-47.31</v>
      </c>
      <c r="AC54" s="14">
        <f t="shared" ca="1" si="18"/>
        <v>-46.11</v>
      </c>
      <c r="AD54" s="14">
        <f t="shared" ca="1" si="18"/>
        <v>-44.962000000000003</v>
      </c>
      <c r="AE54" s="14">
        <f t="shared" ca="1" si="18"/>
        <v>-43.866</v>
      </c>
      <c r="AF54" s="14">
        <f t="shared" ca="1" si="18"/>
        <v>-42.805999999999997</v>
      </c>
      <c r="AG54" s="14">
        <f t="shared" ca="1" si="18"/>
        <v>-41.817999999999998</v>
      </c>
      <c r="AH54" s="14">
        <f t="shared" ca="1" si="18"/>
        <v>-42.194000000000003</v>
      </c>
      <c r="AI54" s="14">
        <f t="shared" ca="1" si="18"/>
        <v>-42.567999999999998</v>
      </c>
      <c r="AJ54" s="14">
        <f t="shared" ca="1" si="18"/>
        <v>-42.945999999999998</v>
      </c>
      <c r="AK54" s="14">
        <f t="shared" ca="1" si="18"/>
        <v>-44.468000000000004</v>
      </c>
      <c r="AL54" s="14">
        <f t="shared" ca="1" si="18"/>
        <v>-46.072000000000003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customHeight="1" outlineLevel="1" thickBot="1" x14ac:dyDescent="0.4">
      <c r="A55" s="5">
        <f t="shared" si="14"/>
        <v>1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 t="str">
        <f t="shared" si="14"/>
        <v>Ar</v>
      </c>
      <c r="F55" s="14">
        <f t="shared" ca="1" si="15"/>
        <v>-19.03</v>
      </c>
      <c r="G55" s="14">
        <f t="shared" ca="1" si="18"/>
        <v>-19.02</v>
      </c>
      <c r="H55" s="14">
        <f t="shared" ca="1" si="18"/>
        <v>-19.02</v>
      </c>
      <c r="I55" s="14">
        <f t="shared" ca="1" si="18"/>
        <v>-19.02</v>
      </c>
      <c r="J55" s="14">
        <f t="shared" ca="1" si="18"/>
        <v>-19.32</v>
      </c>
      <c r="K55" s="14">
        <f t="shared" ca="1" si="18"/>
        <v>-19.05</v>
      </c>
      <c r="L55" s="14">
        <f t="shared" ca="1" si="18"/>
        <v>-19.36</v>
      </c>
      <c r="M55" s="14">
        <f t="shared" ca="1" si="18"/>
        <v>-19.38</v>
      </c>
      <c r="N55" s="14">
        <f t="shared" ca="1" si="18"/>
        <v>-19.41</v>
      </c>
      <c r="O55" s="14">
        <f t="shared" ca="1" si="18"/>
        <v>-19.53</v>
      </c>
      <c r="P55" s="14">
        <f t="shared" ca="1" si="18"/>
        <v>-19.559999999999999</v>
      </c>
      <c r="Q55" s="14">
        <f t="shared" ca="1" si="18"/>
        <v>-19.600000000000001</v>
      </c>
      <c r="R55" s="14">
        <f t="shared" ca="1" si="18"/>
        <v>-19.63</v>
      </c>
      <c r="S55" s="14">
        <f t="shared" ca="1" si="18"/>
        <v>-19.47</v>
      </c>
      <c r="T55" s="14">
        <f t="shared" ca="1" si="18"/>
        <v>-19.23</v>
      </c>
      <c r="U55" s="14">
        <f t="shared" ca="1" si="18"/>
        <v>-19.149999999999999</v>
      </c>
      <c r="V55" s="14">
        <f t="shared" ca="1" si="18"/>
        <v>-19.14</v>
      </c>
      <c r="W55" s="14">
        <f t="shared" ca="1" si="18"/>
        <v>-19.14</v>
      </c>
      <c r="X55" s="14">
        <f t="shared" ca="1" si="18"/>
        <v>-19.16</v>
      </c>
      <c r="Y55" s="14">
        <f t="shared" ca="1" si="18"/>
        <v>-19.190000000000001</v>
      </c>
      <c r="Z55" s="14">
        <f t="shared" ca="1" si="18"/>
        <v>-19.22</v>
      </c>
      <c r="AA55" s="14">
        <f t="shared" ca="1" si="18"/>
        <v>-19.25</v>
      </c>
      <c r="AB55" s="14">
        <f t="shared" ca="1" si="18"/>
        <v>-19.38</v>
      </c>
      <c r="AC55" s="14">
        <f t="shared" ca="1" si="18"/>
        <v>-19.420000000000002</v>
      </c>
      <c r="AD55" s="14">
        <f t="shared" ca="1" si="18"/>
        <v>-19.45</v>
      </c>
      <c r="AE55" s="14">
        <f t="shared" ca="1" si="18"/>
        <v>-19.48</v>
      </c>
      <c r="AF55" s="14">
        <f t="shared" ca="1" si="18"/>
        <v>-19.510000000000002</v>
      </c>
      <c r="AG55" s="14">
        <f t="shared" ca="1" si="18"/>
        <v>-19.55</v>
      </c>
      <c r="AH55" s="14">
        <f t="shared" ca="1" si="18"/>
        <v>-19.579999999999998</v>
      </c>
      <c r="AI55" s="14">
        <f t="shared" ca="1" si="18"/>
        <v>-19.61</v>
      </c>
      <c r="AJ55" s="14">
        <f t="shared" ca="1" si="18"/>
        <v>-19.64</v>
      </c>
      <c r="AK55" s="14">
        <f t="shared" ca="1" si="18"/>
        <v>-19.760000000000002</v>
      </c>
      <c r="AL55" s="14">
        <f t="shared" ca="1" si="18"/>
        <v>-19.88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(1)Ga[l]</v>
      </c>
      <c r="F56" s="14">
        <f t="shared" ref="F56:U65" ca="1" si="20">$A56*H.Ar + $B56*H.Se + $C56*H.Ge + $D56*H.Ga</f>
        <v>-66.569999999999993</v>
      </c>
      <c r="G56" s="14">
        <f t="shared" ca="1" si="20"/>
        <v>-63.1</v>
      </c>
      <c r="H56" s="14">
        <f t="shared" ca="1" si="20"/>
        <v>-60.01</v>
      </c>
      <c r="I56" s="14">
        <f t="shared" ca="1" si="20"/>
        <v>-57.25</v>
      </c>
      <c r="J56" s="14">
        <f t="shared" ca="1" si="20"/>
        <v>-54</v>
      </c>
      <c r="K56" s="14">
        <f t="shared" ca="1" si="20"/>
        <v>-49.67</v>
      </c>
      <c r="L56" s="14">
        <f t="shared" ca="1" si="20"/>
        <v>-46.96</v>
      </c>
      <c r="M56" s="14">
        <f t="shared" ca="1" si="20"/>
        <v>-43.86</v>
      </c>
      <c r="N56" s="14">
        <f t="shared" ca="1" si="20"/>
        <v>-40.98</v>
      </c>
      <c r="O56" s="14">
        <f t="shared" ca="1" si="20"/>
        <v>-31.32</v>
      </c>
      <c r="P56" s="14">
        <f t="shared" ca="1" si="20"/>
        <v>-29.28</v>
      </c>
      <c r="Q56" s="14">
        <f t="shared" ca="1" si="20"/>
        <v>-27.35</v>
      </c>
      <c r="R56" s="14">
        <f t="shared" ca="1" si="20"/>
        <v>-25.53</v>
      </c>
      <c r="S56" s="14">
        <f t="shared" ca="1" si="20"/>
        <v>-23.81</v>
      </c>
      <c r="T56" s="14">
        <f t="shared" ca="1" si="20"/>
        <v>-22.18</v>
      </c>
      <c r="U56" s="14">
        <f t="shared" ca="1" si="20"/>
        <v>-20.63</v>
      </c>
      <c r="V56" s="14">
        <f t="shared" ca="1" si="18"/>
        <v>-19.16</v>
      </c>
      <c r="W56" s="14">
        <f t="shared" ca="1" si="18"/>
        <v>-17.850000000000001</v>
      </c>
      <c r="X56" s="14">
        <f t="shared" ca="1" si="18"/>
        <v>-16.850000000000001</v>
      </c>
      <c r="Y56" s="14">
        <f t="shared" ca="1" si="18"/>
        <v>-15.9</v>
      </c>
      <c r="Z56" s="14">
        <f t="shared" ca="1" si="18"/>
        <v>-15</v>
      </c>
      <c r="AA56" s="14">
        <f t="shared" ca="1" si="18"/>
        <v>-14.13</v>
      </c>
      <c r="AB56" s="14">
        <f t="shared" ca="1" si="18"/>
        <v>-11</v>
      </c>
      <c r="AC56" s="14">
        <f t="shared" ca="1" si="18"/>
        <v>-10.29</v>
      </c>
      <c r="AD56" s="14">
        <f t="shared" ca="1" si="18"/>
        <v>-9.6059999999999999</v>
      </c>
      <c r="AE56" s="14">
        <f t="shared" ca="1" si="18"/>
        <v>-8.9480000000000004</v>
      </c>
      <c r="AF56" s="14">
        <f t="shared" ca="1" si="18"/>
        <v>-8.3130000000000006</v>
      </c>
      <c r="AG56" s="14">
        <f t="shared" ca="1" si="18"/>
        <v>-7.7140000000000004</v>
      </c>
      <c r="AH56" s="14">
        <f t="shared" ca="1" si="18"/>
        <v>-7.7969999999999997</v>
      </c>
      <c r="AI56" s="14">
        <f t="shared" ca="1" si="18"/>
        <v>-7.8789999999999996</v>
      </c>
      <c r="AJ56" s="14">
        <f t="shared" ca="1" si="18"/>
        <v>-7.9630000000000001</v>
      </c>
      <c r="AK56" s="14">
        <f t="shared" ca="1" si="18"/>
        <v>-8.3190000000000008</v>
      </c>
      <c r="AL56" s="14">
        <f t="shared" ca="1" si="18"/>
        <v>-8.7260000000000009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1</v>
      </c>
      <c r="C57" s="5">
        <f t="shared" si="19"/>
        <v>1</v>
      </c>
      <c r="D57" s="5">
        <f t="shared" si="19"/>
        <v>0</v>
      </c>
      <c r="E57" s="6" t="str">
        <f t="shared" si="19"/>
        <v>(1)GeSe[l]</v>
      </c>
      <c r="F57" s="14">
        <f t="shared" ca="1" si="20"/>
        <v>-40.909999999999997</v>
      </c>
      <c r="G57" s="14">
        <f t="shared" ca="1" si="18"/>
        <v>-39.159999999999997</v>
      </c>
      <c r="H57" s="14">
        <f t="shared" ca="1" si="18"/>
        <v>-37.61</v>
      </c>
      <c r="I57" s="14">
        <f t="shared" ca="1" si="18"/>
        <v>-36.24</v>
      </c>
      <c r="J57" s="14">
        <f t="shared" ca="1" si="18"/>
        <v>-34.61</v>
      </c>
      <c r="K57" s="14">
        <f t="shared" ca="1" si="18"/>
        <v>-33.92</v>
      </c>
      <c r="L57" s="14">
        <f t="shared" ca="1" si="18"/>
        <v>-32.53</v>
      </c>
      <c r="M57" s="14">
        <f t="shared" ca="1" si="18"/>
        <v>-31.64</v>
      </c>
      <c r="N57" s="14">
        <f t="shared" ca="1" si="18"/>
        <v>-30.840000000000003</v>
      </c>
      <c r="O57" s="14">
        <f t="shared" ca="1" si="18"/>
        <v>-28.261000000000003</v>
      </c>
      <c r="P57" s="14">
        <f t="shared" ca="1" si="18"/>
        <v>-27.746000000000002</v>
      </c>
      <c r="Q57" s="14">
        <f t="shared" ca="1" si="18"/>
        <v>-27.262999999999998</v>
      </c>
      <c r="R57" s="14">
        <f t="shared" ca="1" si="18"/>
        <v>-26.827999999999999</v>
      </c>
      <c r="S57" s="14">
        <f t="shared" ca="1" si="18"/>
        <v>-26.675000000000001</v>
      </c>
      <c r="T57" s="14">
        <f t="shared" ca="1" si="18"/>
        <v>-26.955000000000002</v>
      </c>
      <c r="U57" s="14">
        <f t="shared" ca="1" si="18"/>
        <v>-27.236000000000001</v>
      </c>
      <c r="V57" s="14">
        <f t="shared" ca="1" si="18"/>
        <v>-27.515999999999998</v>
      </c>
      <c r="W57" s="14">
        <f t="shared" ca="1" si="18"/>
        <v>-27.797000000000001</v>
      </c>
      <c r="X57" s="14">
        <f t="shared" ca="1" si="18"/>
        <v>-28.077999999999999</v>
      </c>
      <c r="Y57" s="14">
        <f t="shared" ca="1" si="18"/>
        <v>-28.349</v>
      </c>
      <c r="Z57" s="14">
        <f t="shared" ca="1" si="18"/>
        <v>-28.62</v>
      </c>
      <c r="AA57" s="14">
        <f t="shared" ca="1" si="18"/>
        <v>-28.890999999999998</v>
      </c>
      <c r="AB57" s="14">
        <f t="shared" ca="1" si="18"/>
        <v>-29.952999999999999</v>
      </c>
      <c r="AC57" s="14">
        <f t="shared" ca="1" si="18"/>
        <v>-30.213000000000001</v>
      </c>
      <c r="AD57" s="14">
        <f t="shared" ca="1" si="18"/>
        <v>-30.472000000000001</v>
      </c>
      <c r="AE57" s="14">
        <f t="shared" ca="1" si="18"/>
        <v>-30.731999999999999</v>
      </c>
      <c r="AF57" s="14">
        <f t="shared" ca="1" si="18"/>
        <v>-30.981000000000002</v>
      </c>
      <c r="AG57" s="14">
        <f t="shared" ca="1" si="18"/>
        <v>-31.23</v>
      </c>
      <c r="AH57" s="14">
        <f t="shared" ca="1" si="18"/>
        <v>-31.478000000000002</v>
      </c>
      <c r="AI57" s="14">
        <f t="shared" ca="1" si="18"/>
        <v>-31.726999999999997</v>
      </c>
      <c r="AJ57" s="14">
        <f t="shared" ca="1" si="18"/>
        <v>-31.975000000000001</v>
      </c>
      <c r="AK57" s="14">
        <f t="shared" ca="1" si="18"/>
        <v>-32.933999999999997</v>
      </c>
      <c r="AL57" s="14">
        <f t="shared" ca="1" si="18"/>
        <v>-33.869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1</v>
      </c>
      <c r="D58" s="5">
        <f t="shared" si="19"/>
        <v>0</v>
      </c>
      <c r="E58" s="6" t="str">
        <f t="shared" si="19"/>
        <v>(l)Ge[l]</v>
      </c>
      <c r="F58" s="14">
        <f t="shared" ca="1" si="20"/>
        <v>-18.059999999999999</v>
      </c>
      <c r="G58" s="14">
        <f t="shared" ca="1" si="18"/>
        <v>-17.43</v>
      </c>
      <c r="H58" s="14">
        <f t="shared" ca="1" si="18"/>
        <v>-16.88</v>
      </c>
      <c r="I58" s="14">
        <f t="shared" ca="1" si="18"/>
        <v>-16.39</v>
      </c>
      <c r="J58" s="14">
        <f t="shared" ca="1" si="18"/>
        <v>-15.05</v>
      </c>
      <c r="K58" s="14">
        <f t="shared" ca="1" si="18"/>
        <v>-13.68</v>
      </c>
      <c r="L58" s="14">
        <f t="shared" ca="1" si="18"/>
        <v>-12.49</v>
      </c>
      <c r="M58" s="14">
        <f t="shared" ca="1" si="18"/>
        <v>-11.36</v>
      </c>
      <c r="N58" s="14">
        <f t="shared" ca="1" si="18"/>
        <v>-10.31</v>
      </c>
      <c r="O58" s="14">
        <f t="shared" ca="1" si="18"/>
        <v>-6.7309999999999999</v>
      </c>
      <c r="P58" s="14">
        <f t="shared" ca="1" si="18"/>
        <v>-5.9660000000000002</v>
      </c>
      <c r="Q58" s="14">
        <f t="shared" ca="1" si="18"/>
        <v>-5.2430000000000003</v>
      </c>
      <c r="R58" s="14">
        <f t="shared" ca="1" si="18"/>
        <v>-4.5579999999999998</v>
      </c>
      <c r="S58" s="14">
        <f t="shared" ca="1" si="18"/>
        <v>-4.1550000000000002</v>
      </c>
      <c r="T58" s="14">
        <f t="shared" ca="1" si="18"/>
        <v>-4.1950000000000003</v>
      </c>
      <c r="U58" s="14">
        <f t="shared" ca="1" si="18"/>
        <v>-4.2359999999999998</v>
      </c>
      <c r="V58" s="14">
        <f t="shared" ca="1" si="18"/>
        <v>-4.2759999999999998</v>
      </c>
      <c r="W58" s="14">
        <f t="shared" ca="1" si="18"/>
        <v>-4.3170000000000002</v>
      </c>
      <c r="X58" s="14">
        <f t="shared" ca="1" si="18"/>
        <v>-4.3579999999999997</v>
      </c>
      <c r="Y58" s="14">
        <f t="shared" ca="1" si="18"/>
        <v>-4.399</v>
      </c>
      <c r="Z58" s="14">
        <f t="shared" ca="1" si="18"/>
        <v>-4.4400000000000004</v>
      </c>
      <c r="AA58" s="14">
        <f t="shared" ca="1" si="18"/>
        <v>-4.4809999999999999</v>
      </c>
      <c r="AB58" s="14">
        <f t="shared" ca="1" si="18"/>
        <v>-4.6429999999999998</v>
      </c>
      <c r="AC58" s="14">
        <f t="shared" ca="1" si="18"/>
        <v>-4.6829999999999998</v>
      </c>
      <c r="AD58" s="14">
        <f t="shared" ca="1" si="18"/>
        <v>-4.7220000000000004</v>
      </c>
      <c r="AE58" s="14">
        <f t="shared" ca="1" si="18"/>
        <v>-4.7619999999999996</v>
      </c>
      <c r="AF58" s="14">
        <f t="shared" ca="1" si="18"/>
        <v>-4.8010000000000002</v>
      </c>
      <c r="AG58" s="14">
        <f t="shared" ca="1" si="18"/>
        <v>-4.84</v>
      </c>
      <c r="AH58" s="14">
        <f t="shared" ref="G58:BR62" ca="1" si="21">$A58*H.Ar + $B58*H.Se + $C58*H.Ge + $D58*H.Ga</f>
        <v>-4.8780000000000001</v>
      </c>
      <c r="AI58" s="14">
        <f t="shared" ca="1" si="21"/>
        <v>-4.9169999999999998</v>
      </c>
      <c r="AJ58" s="14">
        <f t="shared" ca="1" si="21"/>
        <v>-4.9550000000000001</v>
      </c>
      <c r="AK58" s="14">
        <f t="shared" ca="1" si="21"/>
        <v>-5.1040000000000001</v>
      </c>
      <c r="AL58" s="14">
        <f t="shared" ca="1" si="21"/>
        <v>-5.2489999999999997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customHeight="1" outlineLevel="1" thickBot="1" x14ac:dyDescent="0.4">
      <c r="A59" s="5">
        <f t="shared" si="19"/>
        <v>1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 t="str">
        <f t="shared" si="19"/>
        <v>H (Ar)</v>
      </c>
      <c r="F59" s="14">
        <f t="shared" ca="1" si="20"/>
        <v>-19.03</v>
      </c>
      <c r="G59" s="14">
        <f t="shared" ca="1" si="21"/>
        <v>-19.02</v>
      </c>
      <c r="H59" s="14">
        <f t="shared" ca="1" si="21"/>
        <v>-19.02</v>
      </c>
      <c r="I59" s="14">
        <f t="shared" ca="1" si="21"/>
        <v>-19.02</v>
      </c>
      <c r="J59" s="14">
        <f t="shared" ca="1" si="21"/>
        <v>-19.32</v>
      </c>
      <c r="K59" s="14">
        <f t="shared" ca="1" si="21"/>
        <v>-19.05</v>
      </c>
      <c r="L59" s="14">
        <f t="shared" ca="1" si="21"/>
        <v>-19.36</v>
      </c>
      <c r="M59" s="14">
        <f t="shared" ca="1" si="21"/>
        <v>-19.38</v>
      </c>
      <c r="N59" s="14">
        <f t="shared" ca="1" si="21"/>
        <v>-19.41</v>
      </c>
      <c r="O59" s="14">
        <f t="shared" ca="1" si="21"/>
        <v>-19.53</v>
      </c>
      <c r="P59" s="14">
        <f t="shared" ca="1" si="21"/>
        <v>-19.559999999999999</v>
      </c>
      <c r="Q59" s="14">
        <f t="shared" ca="1" si="21"/>
        <v>-19.600000000000001</v>
      </c>
      <c r="R59" s="14">
        <f t="shared" ca="1" si="21"/>
        <v>-19.63</v>
      </c>
      <c r="S59" s="14">
        <f t="shared" ca="1" si="21"/>
        <v>-19.47</v>
      </c>
      <c r="T59" s="14">
        <f t="shared" ca="1" si="21"/>
        <v>-19.23</v>
      </c>
      <c r="U59" s="14">
        <f t="shared" ca="1" si="21"/>
        <v>-19.149999999999999</v>
      </c>
      <c r="V59" s="14">
        <f t="shared" ca="1" si="21"/>
        <v>-19.14</v>
      </c>
      <c r="W59" s="14">
        <f t="shared" ca="1" si="21"/>
        <v>-19.14</v>
      </c>
      <c r="X59" s="14">
        <f t="shared" ca="1" si="21"/>
        <v>-19.16</v>
      </c>
      <c r="Y59" s="14">
        <f t="shared" ca="1" si="21"/>
        <v>-19.190000000000001</v>
      </c>
      <c r="Z59" s="14">
        <f t="shared" ca="1" si="21"/>
        <v>-19.22</v>
      </c>
      <c r="AA59" s="14">
        <f t="shared" ca="1" si="21"/>
        <v>-19.25</v>
      </c>
      <c r="AB59" s="14">
        <f t="shared" ca="1" si="21"/>
        <v>-19.38</v>
      </c>
      <c r="AC59" s="14">
        <f t="shared" ca="1" si="21"/>
        <v>-19.420000000000002</v>
      </c>
      <c r="AD59" s="14">
        <f t="shared" ca="1" si="21"/>
        <v>-19.45</v>
      </c>
      <c r="AE59" s="14">
        <f t="shared" ca="1" si="21"/>
        <v>-19.48</v>
      </c>
      <c r="AF59" s="14">
        <f t="shared" ca="1" si="21"/>
        <v>-19.510000000000002</v>
      </c>
      <c r="AG59" s="14">
        <f t="shared" ca="1" si="21"/>
        <v>-19.55</v>
      </c>
      <c r="AH59" s="14">
        <f t="shared" ca="1" si="21"/>
        <v>-19.579999999999998</v>
      </c>
      <c r="AI59" s="14">
        <f t="shared" ca="1" si="21"/>
        <v>-19.61</v>
      </c>
      <c r="AJ59" s="14">
        <f t="shared" ca="1" si="21"/>
        <v>-19.64</v>
      </c>
      <c r="AK59" s="14">
        <f t="shared" ca="1" si="21"/>
        <v>-19.760000000000002</v>
      </c>
      <c r="AL59" s="14">
        <f t="shared" ca="1" si="21"/>
        <v>-19.88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1</v>
      </c>
      <c r="E60" s="6" t="str">
        <f t="shared" si="19"/>
        <v>H (Ga)</v>
      </c>
      <c r="F60" s="14">
        <f t="shared" ca="1" si="20"/>
        <v>-66.569999999999993</v>
      </c>
      <c r="G60" s="14">
        <f t="shared" ca="1" si="21"/>
        <v>-63.1</v>
      </c>
      <c r="H60" s="14">
        <f t="shared" ca="1" si="21"/>
        <v>-60.01</v>
      </c>
      <c r="I60" s="14">
        <f t="shared" ca="1" si="21"/>
        <v>-57.25</v>
      </c>
      <c r="J60" s="14">
        <f t="shared" ca="1" si="21"/>
        <v>-54</v>
      </c>
      <c r="K60" s="14">
        <f t="shared" ca="1" si="21"/>
        <v>-49.67</v>
      </c>
      <c r="L60" s="14">
        <f t="shared" ca="1" si="21"/>
        <v>-46.96</v>
      </c>
      <c r="M60" s="14">
        <f t="shared" ca="1" si="21"/>
        <v>-43.86</v>
      </c>
      <c r="N60" s="14">
        <f t="shared" ca="1" si="21"/>
        <v>-40.98</v>
      </c>
      <c r="O60" s="14">
        <f t="shared" ca="1" si="21"/>
        <v>-31.32</v>
      </c>
      <c r="P60" s="14">
        <f t="shared" ca="1" si="21"/>
        <v>-29.28</v>
      </c>
      <c r="Q60" s="14">
        <f t="shared" ca="1" si="21"/>
        <v>-27.35</v>
      </c>
      <c r="R60" s="14">
        <f t="shared" ca="1" si="21"/>
        <v>-25.53</v>
      </c>
      <c r="S60" s="14">
        <f t="shared" ca="1" si="21"/>
        <v>-23.81</v>
      </c>
      <c r="T60" s="14">
        <f t="shared" ca="1" si="21"/>
        <v>-22.18</v>
      </c>
      <c r="U60" s="14">
        <f t="shared" ca="1" si="21"/>
        <v>-20.63</v>
      </c>
      <c r="V60" s="14">
        <f t="shared" ca="1" si="21"/>
        <v>-19.16</v>
      </c>
      <c r="W60" s="14">
        <f t="shared" ca="1" si="21"/>
        <v>-17.850000000000001</v>
      </c>
      <c r="X60" s="14">
        <f t="shared" ca="1" si="21"/>
        <v>-16.850000000000001</v>
      </c>
      <c r="Y60" s="14">
        <f t="shared" ca="1" si="21"/>
        <v>-15.9</v>
      </c>
      <c r="Z60" s="14">
        <f t="shared" ca="1" si="21"/>
        <v>-15</v>
      </c>
      <c r="AA60" s="14">
        <f t="shared" ca="1" si="21"/>
        <v>-14.13</v>
      </c>
      <c r="AB60" s="14">
        <f t="shared" ca="1" si="21"/>
        <v>-11</v>
      </c>
      <c r="AC60" s="14">
        <f t="shared" ca="1" si="21"/>
        <v>-10.29</v>
      </c>
      <c r="AD60" s="14">
        <f t="shared" ca="1" si="21"/>
        <v>-9.6059999999999999</v>
      </c>
      <c r="AE60" s="14">
        <f t="shared" ca="1" si="21"/>
        <v>-8.9480000000000004</v>
      </c>
      <c r="AF60" s="14">
        <f t="shared" ca="1" si="21"/>
        <v>-8.3130000000000006</v>
      </c>
      <c r="AG60" s="14">
        <f t="shared" ca="1" si="21"/>
        <v>-7.7140000000000004</v>
      </c>
      <c r="AH60" s="14">
        <f t="shared" ca="1" si="21"/>
        <v>-7.7969999999999997</v>
      </c>
      <c r="AI60" s="14">
        <f t="shared" ca="1" si="21"/>
        <v>-7.8789999999999996</v>
      </c>
      <c r="AJ60" s="14">
        <f t="shared" ca="1" si="21"/>
        <v>-7.9630000000000001</v>
      </c>
      <c r="AK60" s="14">
        <f t="shared" ca="1" si="21"/>
        <v>-8.3190000000000008</v>
      </c>
      <c r="AL60" s="14">
        <f t="shared" ca="1" si="21"/>
        <v>-8.7260000000000009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1</v>
      </c>
      <c r="D61" s="5">
        <f t="shared" si="19"/>
        <v>0</v>
      </c>
      <c r="E61" s="6" t="str">
        <f t="shared" si="19"/>
        <v>H (Ge)</v>
      </c>
      <c r="F61" s="14">
        <f t="shared" ca="1" si="20"/>
        <v>-18.059999999999999</v>
      </c>
      <c r="G61" s="14">
        <f t="shared" ca="1" si="21"/>
        <v>-17.43</v>
      </c>
      <c r="H61" s="14">
        <f t="shared" ca="1" si="21"/>
        <v>-16.88</v>
      </c>
      <c r="I61" s="14">
        <f t="shared" ca="1" si="21"/>
        <v>-16.39</v>
      </c>
      <c r="J61" s="14">
        <f t="shared" ca="1" si="21"/>
        <v>-15.05</v>
      </c>
      <c r="K61" s="14">
        <f t="shared" ca="1" si="21"/>
        <v>-13.68</v>
      </c>
      <c r="L61" s="14">
        <f t="shared" ca="1" si="21"/>
        <v>-12.49</v>
      </c>
      <c r="M61" s="14">
        <f t="shared" ca="1" si="21"/>
        <v>-11.36</v>
      </c>
      <c r="N61" s="14">
        <f t="shared" ca="1" si="21"/>
        <v>-10.31</v>
      </c>
      <c r="O61" s="14">
        <f t="shared" ca="1" si="21"/>
        <v>-6.7309999999999999</v>
      </c>
      <c r="P61" s="14">
        <f t="shared" ca="1" si="21"/>
        <v>-5.9660000000000002</v>
      </c>
      <c r="Q61" s="14">
        <f t="shared" ca="1" si="21"/>
        <v>-5.2430000000000003</v>
      </c>
      <c r="R61" s="14">
        <f t="shared" ca="1" si="21"/>
        <v>-4.5579999999999998</v>
      </c>
      <c r="S61" s="14">
        <f t="shared" ca="1" si="21"/>
        <v>-4.1550000000000002</v>
      </c>
      <c r="T61" s="14">
        <f t="shared" ca="1" si="21"/>
        <v>-4.1950000000000003</v>
      </c>
      <c r="U61" s="14">
        <f t="shared" ca="1" si="21"/>
        <v>-4.2359999999999998</v>
      </c>
      <c r="V61" s="14">
        <f t="shared" ca="1" si="21"/>
        <v>-4.2759999999999998</v>
      </c>
      <c r="W61" s="14">
        <f t="shared" ca="1" si="21"/>
        <v>-4.3170000000000002</v>
      </c>
      <c r="X61" s="14">
        <f t="shared" ca="1" si="21"/>
        <v>-4.3579999999999997</v>
      </c>
      <c r="Y61" s="14">
        <f t="shared" ca="1" si="21"/>
        <v>-4.399</v>
      </c>
      <c r="Z61" s="14">
        <f t="shared" ca="1" si="21"/>
        <v>-4.4400000000000004</v>
      </c>
      <c r="AA61" s="14">
        <f t="shared" ca="1" si="21"/>
        <v>-4.4809999999999999</v>
      </c>
      <c r="AB61" s="14">
        <f t="shared" ca="1" si="21"/>
        <v>-4.6429999999999998</v>
      </c>
      <c r="AC61" s="14">
        <f t="shared" ca="1" si="21"/>
        <v>-4.6829999999999998</v>
      </c>
      <c r="AD61" s="14">
        <f t="shared" ca="1" si="21"/>
        <v>-4.7220000000000004</v>
      </c>
      <c r="AE61" s="14">
        <f t="shared" ca="1" si="21"/>
        <v>-4.7619999999999996</v>
      </c>
      <c r="AF61" s="14">
        <f t="shared" ca="1" si="21"/>
        <v>-4.8010000000000002</v>
      </c>
      <c r="AG61" s="14">
        <f t="shared" ca="1" si="21"/>
        <v>-4.84</v>
      </c>
      <c r="AH61" s="14">
        <f t="shared" ca="1" si="21"/>
        <v>-4.8780000000000001</v>
      </c>
      <c r="AI61" s="14">
        <f t="shared" ca="1" si="21"/>
        <v>-4.9169999999999998</v>
      </c>
      <c r="AJ61" s="14">
        <f t="shared" ca="1" si="21"/>
        <v>-4.9550000000000001</v>
      </c>
      <c r="AK61" s="14">
        <f t="shared" ca="1" si="21"/>
        <v>-5.1040000000000001</v>
      </c>
      <c r="AL61" s="14">
        <f t="shared" ca="1" si="21"/>
        <v>-5.2489999999999997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1</v>
      </c>
      <c r="C62" s="5">
        <f t="shared" si="19"/>
        <v>0</v>
      </c>
      <c r="D62" s="5">
        <f t="shared" si="19"/>
        <v>0</v>
      </c>
      <c r="E62" s="6" t="str">
        <f t="shared" si="19"/>
        <v>H (Se)</v>
      </c>
      <c r="F62" s="14">
        <f t="shared" ca="1" si="20"/>
        <v>-22.85</v>
      </c>
      <c r="G62" s="14">
        <f t="shared" ca="1" si="21"/>
        <v>-21.73</v>
      </c>
      <c r="H62" s="14">
        <f t="shared" ca="1" si="21"/>
        <v>-20.73</v>
      </c>
      <c r="I62" s="14">
        <f t="shared" ca="1" si="21"/>
        <v>-19.850000000000001</v>
      </c>
      <c r="J62" s="14">
        <f t="shared" ca="1" si="21"/>
        <v>-19.559999999999999</v>
      </c>
      <c r="K62" s="14">
        <f t="shared" ca="1" si="21"/>
        <v>-20.239999999999998</v>
      </c>
      <c r="L62" s="14">
        <f t="shared" ca="1" si="21"/>
        <v>-20.04</v>
      </c>
      <c r="M62" s="14">
        <f t="shared" ca="1" si="21"/>
        <v>-20.28</v>
      </c>
      <c r="N62" s="14">
        <f t="shared" ca="1" si="21"/>
        <v>-20.53</v>
      </c>
      <c r="O62" s="14">
        <f t="shared" ca="1" si="21"/>
        <v>-21.53</v>
      </c>
      <c r="P62" s="14">
        <f t="shared" ca="1" si="21"/>
        <v>-21.78</v>
      </c>
      <c r="Q62" s="14">
        <f t="shared" ca="1" si="21"/>
        <v>-22.02</v>
      </c>
      <c r="R62" s="14">
        <f t="shared" ca="1" si="21"/>
        <v>-22.27</v>
      </c>
      <c r="S62" s="14">
        <f t="shared" ca="1" si="21"/>
        <v>-22.52</v>
      </c>
      <c r="T62" s="14">
        <f t="shared" ca="1" si="21"/>
        <v>-22.76</v>
      </c>
      <c r="U62" s="14">
        <f t="shared" ca="1" si="21"/>
        <v>-23</v>
      </c>
      <c r="V62" s="14">
        <f t="shared" ca="1" si="21"/>
        <v>-23.24</v>
      </c>
      <c r="W62" s="14">
        <f t="shared" ca="1" si="21"/>
        <v>-23.48</v>
      </c>
      <c r="X62" s="14">
        <f t="shared" ca="1" si="21"/>
        <v>-23.72</v>
      </c>
      <c r="Y62" s="14">
        <f t="shared" ca="1" si="21"/>
        <v>-23.95</v>
      </c>
      <c r="Z62" s="14">
        <f t="shared" ca="1" si="21"/>
        <v>-24.18</v>
      </c>
      <c r="AA62" s="14">
        <f t="shared" ca="1" si="21"/>
        <v>-24.41</v>
      </c>
      <c r="AB62" s="14">
        <f t="shared" ca="1" si="21"/>
        <v>-25.31</v>
      </c>
      <c r="AC62" s="14">
        <f t="shared" ca="1" si="21"/>
        <v>-25.53</v>
      </c>
      <c r="AD62" s="14">
        <f t="shared" ca="1" si="21"/>
        <v>-25.75</v>
      </c>
      <c r="AE62" s="14">
        <f t="shared" ca="1" si="21"/>
        <v>-25.97</v>
      </c>
      <c r="AF62" s="14">
        <f t="shared" ca="1" si="21"/>
        <v>-26.18</v>
      </c>
      <c r="AG62" s="14">
        <f t="shared" ref="G62:BR66" ca="1" si="22">$A62*H.Ar + $B62*H.Se + $C62*H.Ge + $D62*H.Ga</f>
        <v>-26.39</v>
      </c>
      <c r="AH62" s="14">
        <f t="shared" ca="1" si="22"/>
        <v>-26.6</v>
      </c>
      <c r="AI62" s="14">
        <f t="shared" ca="1" si="22"/>
        <v>-26.81</v>
      </c>
      <c r="AJ62" s="14">
        <f t="shared" ca="1" si="22"/>
        <v>-27.02</v>
      </c>
      <c r="AK62" s="14">
        <f t="shared" ca="1" si="22"/>
        <v>-27.83</v>
      </c>
      <c r="AL62" s="14">
        <f t="shared" ca="1" si="22"/>
        <v>-28.62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 t="e">
        <f>E41</f>
        <v>#DIV/0!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355.7</v>
      </c>
      <c r="L79" s="3">
        <f t="shared" si="30"/>
        <v>372.3</v>
      </c>
      <c r="M79" s="3">
        <f t="shared" si="30"/>
        <v>388.8</v>
      </c>
      <c r="N79" s="3">
        <f t="shared" si="30"/>
        <v>405.3</v>
      </c>
      <c r="O79" s="3">
        <f t="shared" si="30"/>
        <v>471.4</v>
      </c>
      <c r="P79" s="3">
        <f t="shared" si="30"/>
        <v>487.9</v>
      </c>
      <c r="Q79" s="3">
        <f t="shared" si="30"/>
        <v>504.4</v>
      </c>
      <c r="R79" s="3">
        <f t="shared" si="30"/>
        <v>520.9</v>
      </c>
      <c r="S79" s="3">
        <f t="shared" si="30"/>
        <v>537.5</v>
      </c>
      <c r="T79" s="3">
        <f t="shared" si="30"/>
        <v>554</v>
      </c>
      <c r="U79" s="3">
        <f t="shared" si="30"/>
        <v>570.5</v>
      </c>
      <c r="V79" s="3">
        <f t="shared" si="30"/>
        <v>587</v>
      </c>
      <c r="W79" s="3">
        <f t="shared" si="30"/>
        <v>603.5</v>
      </c>
      <c r="X79" s="3">
        <f t="shared" si="30"/>
        <v>620.1</v>
      </c>
      <c r="Y79" s="3">
        <f t="shared" si="30"/>
        <v>636.6</v>
      </c>
      <c r="Z79" s="3">
        <f t="shared" si="30"/>
        <v>653.1</v>
      </c>
      <c r="AA79" s="3">
        <f t="shared" si="30"/>
        <v>669.6</v>
      </c>
      <c r="AB79" s="3">
        <f t="shared" si="30"/>
        <v>735.7</v>
      </c>
      <c r="AC79" s="3">
        <f t="shared" si="30"/>
        <v>752.2</v>
      </c>
      <c r="AD79" s="3">
        <f t="shared" si="30"/>
        <v>768.7</v>
      </c>
      <c r="AE79" s="3">
        <f t="shared" si="30"/>
        <v>785.2</v>
      </c>
      <c r="AF79" s="3">
        <f t="shared" si="30"/>
        <v>801.8</v>
      </c>
      <c r="AG79" s="3">
        <f t="shared" si="30"/>
        <v>818.3</v>
      </c>
      <c r="AH79" s="3">
        <f t="shared" si="30"/>
        <v>834.8</v>
      </c>
      <c r="AI79" s="3">
        <f t="shared" si="30"/>
        <v>851.3</v>
      </c>
      <c r="AJ79" s="3">
        <f t="shared" si="30"/>
        <v>867.8</v>
      </c>
      <c r="AK79" s="3">
        <f t="shared" si="30"/>
        <v>933.9</v>
      </c>
      <c r="AL79" s="3">
        <f t="shared" si="30"/>
        <v>1000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 t="e">
        <f t="shared" ref="F80" si="32">F4*$C$78</f>
        <v>#DIV/0!</v>
      </c>
      <c r="G80" s="14" t="e">
        <f t="shared" ref="G80:BR80" si="33">G4*$C$78</f>
        <v>#DIV/0!</v>
      </c>
      <c r="H80" s="14" t="e">
        <f t="shared" si="33"/>
        <v>#DIV/0!</v>
      </c>
      <c r="I80" s="14" t="e">
        <f t="shared" si="33"/>
        <v>#DIV/0!</v>
      </c>
      <c r="J80" s="14" t="e">
        <f t="shared" si="33"/>
        <v>#DIV/0!</v>
      </c>
      <c r="K80" s="14" t="e">
        <f t="shared" si="33"/>
        <v>#DIV/0!</v>
      </c>
      <c r="L80" s="14" t="e">
        <f t="shared" si="33"/>
        <v>#DIV/0!</v>
      </c>
      <c r="M80" s="14" t="e">
        <f t="shared" si="33"/>
        <v>#DIV/0!</v>
      </c>
      <c r="N80" s="14" t="e">
        <f t="shared" si="33"/>
        <v>#DIV/0!</v>
      </c>
      <c r="O80" s="14" t="e">
        <f t="shared" si="33"/>
        <v>#DIV/0!</v>
      </c>
      <c r="P80" s="14" t="e">
        <f t="shared" si="33"/>
        <v>#DIV/0!</v>
      </c>
      <c r="Q80" s="14" t="e">
        <f t="shared" si="33"/>
        <v>#DIV/0!</v>
      </c>
      <c r="R80" s="14" t="e">
        <f t="shared" si="33"/>
        <v>#DIV/0!</v>
      </c>
      <c r="S80" s="14" t="e">
        <f t="shared" si="33"/>
        <v>#DIV/0!</v>
      </c>
      <c r="T80" s="14" t="e">
        <f t="shared" si="33"/>
        <v>#DIV/0!</v>
      </c>
      <c r="U80" s="14" t="e">
        <f t="shared" si="33"/>
        <v>#DIV/0!</v>
      </c>
      <c r="V80" s="14" t="e">
        <f t="shared" si="33"/>
        <v>#DIV/0!</v>
      </c>
      <c r="W80" s="14" t="e">
        <f t="shared" si="33"/>
        <v>#DIV/0!</v>
      </c>
      <c r="X80" s="14" t="e">
        <f t="shared" si="33"/>
        <v>#DIV/0!</v>
      </c>
      <c r="Y80" s="14" t="e">
        <f t="shared" si="33"/>
        <v>#DIV/0!</v>
      </c>
      <c r="Z80" s="14" t="e">
        <f t="shared" si="33"/>
        <v>#DIV/0!</v>
      </c>
      <c r="AA80" s="14" t="e">
        <f t="shared" si="33"/>
        <v>#DIV/0!</v>
      </c>
      <c r="AB80" s="14" t="e">
        <f t="shared" si="33"/>
        <v>#DIV/0!</v>
      </c>
      <c r="AC80" s="14" t="e">
        <f t="shared" si="33"/>
        <v>#DIV/0!</v>
      </c>
      <c r="AD80" s="14" t="e">
        <f t="shared" si="33"/>
        <v>#DIV/0!</v>
      </c>
      <c r="AE80" s="14" t="e">
        <f t="shared" si="33"/>
        <v>#DIV/0!</v>
      </c>
      <c r="AF80" s="14" t="e">
        <f t="shared" si="33"/>
        <v>#DIV/0!</v>
      </c>
      <c r="AG80" s="14" t="e">
        <f t="shared" si="33"/>
        <v>#DIV/0!</v>
      </c>
      <c r="AH80" s="14" t="e">
        <f t="shared" si="33"/>
        <v>#DIV/0!</v>
      </c>
      <c r="AI80" s="14" t="e">
        <f t="shared" si="33"/>
        <v>#DIV/0!</v>
      </c>
      <c r="AJ80" s="14" t="e">
        <f t="shared" si="33"/>
        <v>#DIV/0!</v>
      </c>
      <c r="AK80" s="14" t="e">
        <f t="shared" si="33"/>
        <v>#DIV/0!</v>
      </c>
      <c r="AL80" s="14" t="e">
        <f t="shared" si="33"/>
        <v>#DIV/0!</v>
      </c>
      <c r="AM80" s="14" t="e">
        <f t="shared" si="33"/>
        <v>#DIV/0!</v>
      </c>
      <c r="AN80" s="14" t="e">
        <f t="shared" si="33"/>
        <v>#DIV/0!</v>
      </c>
      <c r="AO80" s="14" t="e">
        <f t="shared" si="33"/>
        <v>#DIV/0!</v>
      </c>
      <c r="AP80" s="14" t="e">
        <f t="shared" si="33"/>
        <v>#DIV/0!</v>
      </c>
      <c r="AQ80" s="14" t="e">
        <f t="shared" si="33"/>
        <v>#DIV/0!</v>
      </c>
      <c r="AR80" s="14" t="e">
        <f t="shared" si="33"/>
        <v>#DIV/0!</v>
      </c>
      <c r="AS80" s="14" t="e">
        <f t="shared" si="33"/>
        <v>#DIV/0!</v>
      </c>
      <c r="AT80" s="14" t="e">
        <f t="shared" si="33"/>
        <v>#DIV/0!</v>
      </c>
      <c r="AU80" s="14" t="e">
        <f t="shared" si="33"/>
        <v>#DIV/0!</v>
      </c>
      <c r="AV80" s="14" t="e">
        <f t="shared" si="33"/>
        <v>#DIV/0!</v>
      </c>
      <c r="AW80" s="14" t="e">
        <f t="shared" si="33"/>
        <v>#DIV/0!</v>
      </c>
      <c r="AX80" s="14" t="e">
        <f t="shared" si="33"/>
        <v>#DIV/0!</v>
      </c>
      <c r="AY80" s="14" t="e">
        <f t="shared" si="33"/>
        <v>#DIV/0!</v>
      </c>
      <c r="AZ80" s="14" t="e">
        <f t="shared" si="33"/>
        <v>#DIV/0!</v>
      </c>
      <c r="BA80" s="14" t="e">
        <f t="shared" si="33"/>
        <v>#DIV/0!</v>
      </c>
      <c r="BB80" s="14" t="e">
        <f t="shared" si="33"/>
        <v>#DIV/0!</v>
      </c>
      <c r="BC80" s="14" t="e">
        <f t="shared" si="33"/>
        <v>#DIV/0!</v>
      </c>
      <c r="BD80" s="14" t="e">
        <f t="shared" si="33"/>
        <v>#DIV/0!</v>
      </c>
      <c r="BE80" s="14" t="e">
        <f t="shared" si="33"/>
        <v>#DIV/0!</v>
      </c>
      <c r="BF80" s="14" t="e">
        <f t="shared" si="33"/>
        <v>#DIV/0!</v>
      </c>
      <c r="BG80" s="14" t="e">
        <f t="shared" si="33"/>
        <v>#DIV/0!</v>
      </c>
      <c r="BH80" s="14" t="e">
        <f t="shared" si="33"/>
        <v>#DIV/0!</v>
      </c>
      <c r="BI80" s="14" t="e">
        <f t="shared" si="33"/>
        <v>#DIV/0!</v>
      </c>
      <c r="BJ80" s="14" t="e">
        <f t="shared" si="33"/>
        <v>#DIV/0!</v>
      </c>
      <c r="BK80" s="14" t="e">
        <f t="shared" si="33"/>
        <v>#DIV/0!</v>
      </c>
      <c r="BL80" s="14" t="e">
        <f t="shared" si="33"/>
        <v>#DIV/0!</v>
      </c>
      <c r="BM80" s="14" t="e">
        <f t="shared" si="33"/>
        <v>#DIV/0!</v>
      </c>
      <c r="BN80" s="14" t="e">
        <f t="shared" si="33"/>
        <v>#DIV/0!</v>
      </c>
      <c r="BO80" s="14" t="e">
        <f t="shared" si="33"/>
        <v>#DIV/0!</v>
      </c>
      <c r="BP80" s="14" t="e">
        <f t="shared" si="33"/>
        <v>#DIV/0!</v>
      </c>
      <c r="BQ80" s="14" t="e">
        <f t="shared" si="33"/>
        <v>#DIV/0!</v>
      </c>
      <c r="BR80" s="14" t="e">
        <f t="shared" si="33"/>
        <v>#DIV/0!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1</v>
      </c>
      <c r="C81" s="5">
        <f t="shared" si="34"/>
        <v>0</v>
      </c>
      <c r="D81" s="5">
        <f t="shared" si="34"/>
        <v>0</v>
      </c>
      <c r="E81" s="6" t="str">
        <f t="shared" si="28"/>
        <v>*Se[M]</v>
      </c>
      <c r="F81" s="14" t="e">
        <f t="shared" ref="F81" si="35">F5*$C$78</f>
        <v>#DIV/0!</v>
      </c>
      <c r="G81" s="14" t="e">
        <f t="shared" ref="G81:BR81" si="36">G5*$C$78</f>
        <v>#DIV/0!</v>
      </c>
      <c r="H81" s="14" t="e">
        <f t="shared" si="36"/>
        <v>#DIV/0!</v>
      </c>
      <c r="I81" s="14" t="e">
        <f t="shared" si="36"/>
        <v>#DIV/0!</v>
      </c>
      <c r="J81" s="14" t="e">
        <f t="shared" si="36"/>
        <v>#DIV/0!</v>
      </c>
      <c r="K81" s="14" t="e">
        <f t="shared" si="36"/>
        <v>#DIV/0!</v>
      </c>
      <c r="L81" s="14" t="e">
        <f t="shared" si="36"/>
        <v>#DIV/0!</v>
      </c>
      <c r="M81" s="14" t="e">
        <f t="shared" si="36"/>
        <v>#DIV/0!</v>
      </c>
      <c r="N81" s="14" t="e">
        <f t="shared" si="36"/>
        <v>#DIV/0!</v>
      </c>
      <c r="O81" s="14" t="e">
        <f t="shared" si="36"/>
        <v>#DIV/0!</v>
      </c>
      <c r="P81" s="14" t="e">
        <f t="shared" si="36"/>
        <v>#DIV/0!</v>
      </c>
      <c r="Q81" s="14" t="e">
        <f t="shared" si="36"/>
        <v>#DIV/0!</v>
      </c>
      <c r="R81" s="14" t="e">
        <f t="shared" si="36"/>
        <v>#DIV/0!</v>
      </c>
      <c r="S81" s="14" t="e">
        <f t="shared" si="36"/>
        <v>#DIV/0!</v>
      </c>
      <c r="T81" s="14" t="e">
        <f t="shared" si="36"/>
        <v>#DIV/0!</v>
      </c>
      <c r="U81" s="14" t="e">
        <f t="shared" si="36"/>
        <v>#DIV/0!</v>
      </c>
      <c r="V81" s="14" t="e">
        <f t="shared" si="36"/>
        <v>#DIV/0!</v>
      </c>
      <c r="W81" s="14" t="e">
        <f t="shared" si="36"/>
        <v>#DIV/0!</v>
      </c>
      <c r="X81" s="14" t="e">
        <f t="shared" si="36"/>
        <v>#DIV/0!</v>
      </c>
      <c r="Y81" s="14" t="e">
        <f t="shared" si="36"/>
        <v>#DIV/0!</v>
      </c>
      <c r="Z81" s="14" t="e">
        <f t="shared" si="36"/>
        <v>#DIV/0!</v>
      </c>
      <c r="AA81" s="14" t="e">
        <f t="shared" si="36"/>
        <v>#DIV/0!</v>
      </c>
      <c r="AB81" s="14" t="e">
        <f t="shared" si="36"/>
        <v>#DIV/0!</v>
      </c>
      <c r="AC81" s="14" t="e">
        <f t="shared" si="36"/>
        <v>#DIV/0!</v>
      </c>
      <c r="AD81" s="14" t="e">
        <f t="shared" si="36"/>
        <v>#DIV/0!</v>
      </c>
      <c r="AE81" s="14" t="e">
        <f t="shared" si="36"/>
        <v>#DIV/0!</v>
      </c>
      <c r="AF81" s="14" t="e">
        <f t="shared" si="36"/>
        <v>#DIV/0!</v>
      </c>
      <c r="AG81" s="14" t="e">
        <f t="shared" si="36"/>
        <v>#DIV/0!</v>
      </c>
      <c r="AH81" s="14" t="e">
        <f t="shared" si="36"/>
        <v>#DIV/0!</v>
      </c>
      <c r="AI81" s="14" t="e">
        <f t="shared" si="36"/>
        <v>#DIV/0!</v>
      </c>
      <c r="AJ81" s="14" t="e">
        <f t="shared" si="36"/>
        <v>#DIV/0!</v>
      </c>
      <c r="AK81" s="14" t="e">
        <f t="shared" si="36"/>
        <v>#DIV/0!</v>
      </c>
      <c r="AL81" s="14" t="e">
        <f t="shared" si="36"/>
        <v>#DIV/0!</v>
      </c>
      <c r="AM81" s="14" t="e">
        <f t="shared" si="36"/>
        <v>#DIV/0!</v>
      </c>
      <c r="AN81" s="14" t="e">
        <f t="shared" si="36"/>
        <v>#DIV/0!</v>
      </c>
      <c r="AO81" s="14" t="e">
        <f t="shared" si="36"/>
        <v>#DIV/0!</v>
      </c>
      <c r="AP81" s="14" t="e">
        <f t="shared" si="36"/>
        <v>#DIV/0!</v>
      </c>
      <c r="AQ81" s="14" t="e">
        <f t="shared" si="36"/>
        <v>#DIV/0!</v>
      </c>
      <c r="AR81" s="14" t="e">
        <f t="shared" si="36"/>
        <v>#DIV/0!</v>
      </c>
      <c r="AS81" s="14" t="e">
        <f t="shared" si="36"/>
        <v>#DIV/0!</v>
      </c>
      <c r="AT81" s="14" t="e">
        <f t="shared" si="36"/>
        <v>#DIV/0!</v>
      </c>
      <c r="AU81" s="14" t="e">
        <f t="shared" si="36"/>
        <v>#DIV/0!</v>
      </c>
      <c r="AV81" s="14" t="e">
        <f t="shared" si="36"/>
        <v>#DIV/0!</v>
      </c>
      <c r="AW81" s="14" t="e">
        <f t="shared" si="36"/>
        <v>#DIV/0!</v>
      </c>
      <c r="AX81" s="14" t="e">
        <f t="shared" si="36"/>
        <v>#DIV/0!</v>
      </c>
      <c r="AY81" s="14" t="e">
        <f t="shared" si="36"/>
        <v>#DIV/0!</v>
      </c>
      <c r="AZ81" s="14" t="e">
        <f t="shared" si="36"/>
        <v>#DIV/0!</v>
      </c>
      <c r="BA81" s="14" t="e">
        <f t="shared" si="36"/>
        <v>#DIV/0!</v>
      </c>
      <c r="BB81" s="14" t="e">
        <f t="shared" si="36"/>
        <v>#DIV/0!</v>
      </c>
      <c r="BC81" s="14" t="e">
        <f t="shared" si="36"/>
        <v>#DIV/0!</v>
      </c>
      <c r="BD81" s="14" t="e">
        <f t="shared" si="36"/>
        <v>#DIV/0!</v>
      </c>
      <c r="BE81" s="14" t="e">
        <f t="shared" si="36"/>
        <v>#DIV/0!</v>
      </c>
      <c r="BF81" s="14" t="e">
        <f t="shared" si="36"/>
        <v>#DIV/0!</v>
      </c>
      <c r="BG81" s="14" t="e">
        <f t="shared" si="36"/>
        <v>#DIV/0!</v>
      </c>
      <c r="BH81" s="14" t="e">
        <f t="shared" si="36"/>
        <v>#DIV/0!</v>
      </c>
      <c r="BI81" s="14" t="e">
        <f t="shared" si="36"/>
        <v>#DIV/0!</v>
      </c>
      <c r="BJ81" s="14" t="e">
        <f t="shared" si="36"/>
        <v>#DIV/0!</v>
      </c>
      <c r="BK81" s="14" t="e">
        <f t="shared" si="36"/>
        <v>#DIV/0!</v>
      </c>
      <c r="BL81" s="14" t="e">
        <f t="shared" si="36"/>
        <v>#DIV/0!</v>
      </c>
      <c r="BM81" s="14" t="e">
        <f t="shared" si="36"/>
        <v>#DIV/0!</v>
      </c>
      <c r="BN81" s="14" t="e">
        <f t="shared" si="36"/>
        <v>#DIV/0!</v>
      </c>
      <c r="BO81" s="14" t="e">
        <f t="shared" si="36"/>
        <v>#DIV/0!</v>
      </c>
      <c r="BP81" s="14" t="e">
        <f t="shared" si="36"/>
        <v>#DIV/0!</v>
      </c>
      <c r="BQ81" s="14" t="e">
        <f t="shared" si="36"/>
        <v>#DIV/0!</v>
      </c>
      <c r="BR81" s="14" t="e">
        <f t="shared" si="36"/>
        <v>#DIV/0!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1</v>
      </c>
      <c r="D82" s="5">
        <f t="shared" si="34"/>
        <v>0</v>
      </c>
      <c r="E82" s="6" t="str">
        <f t="shared" si="28"/>
        <v>*Ge</v>
      </c>
      <c r="F82" s="14" t="e">
        <f t="shared" ref="F82" si="37">F6*$C$78</f>
        <v>#DIV/0!</v>
      </c>
      <c r="G82" s="14" t="e">
        <f t="shared" ref="G82:BR82" si="38">G6*$C$78</f>
        <v>#DIV/0!</v>
      </c>
      <c r="H82" s="14" t="e">
        <f t="shared" si="38"/>
        <v>#DIV/0!</v>
      </c>
      <c r="I82" s="14" t="e">
        <f t="shared" si="38"/>
        <v>#DIV/0!</v>
      </c>
      <c r="J82" s="14" t="e">
        <f t="shared" si="38"/>
        <v>#DIV/0!</v>
      </c>
      <c r="K82" s="14" t="e">
        <f t="shared" si="38"/>
        <v>#DIV/0!</v>
      </c>
      <c r="L82" s="14" t="e">
        <f t="shared" si="38"/>
        <v>#DIV/0!</v>
      </c>
      <c r="M82" s="14" t="e">
        <f t="shared" si="38"/>
        <v>#DIV/0!</v>
      </c>
      <c r="N82" s="14" t="e">
        <f t="shared" si="38"/>
        <v>#DIV/0!</v>
      </c>
      <c r="O82" s="14" t="e">
        <f t="shared" si="38"/>
        <v>#DIV/0!</v>
      </c>
      <c r="P82" s="14" t="e">
        <f t="shared" si="38"/>
        <v>#DIV/0!</v>
      </c>
      <c r="Q82" s="14" t="e">
        <f t="shared" si="38"/>
        <v>#DIV/0!</v>
      </c>
      <c r="R82" s="14" t="e">
        <f t="shared" si="38"/>
        <v>#DIV/0!</v>
      </c>
      <c r="S82" s="14" t="e">
        <f t="shared" si="38"/>
        <v>#DIV/0!</v>
      </c>
      <c r="T82" s="14" t="e">
        <f t="shared" si="38"/>
        <v>#DIV/0!</v>
      </c>
      <c r="U82" s="14" t="e">
        <f t="shared" si="38"/>
        <v>#DIV/0!</v>
      </c>
      <c r="V82" s="14" t="e">
        <f t="shared" si="38"/>
        <v>#DIV/0!</v>
      </c>
      <c r="W82" s="14" t="e">
        <f t="shared" si="38"/>
        <v>#DIV/0!</v>
      </c>
      <c r="X82" s="14" t="e">
        <f t="shared" si="38"/>
        <v>#DIV/0!</v>
      </c>
      <c r="Y82" s="14" t="e">
        <f t="shared" si="38"/>
        <v>#DIV/0!</v>
      </c>
      <c r="Z82" s="14" t="e">
        <f t="shared" si="38"/>
        <v>#DIV/0!</v>
      </c>
      <c r="AA82" s="14" t="e">
        <f t="shared" si="38"/>
        <v>#DIV/0!</v>
      </c>
      <c r="AB82" s="14" t="e">
        <f t="shared" si="38"/>
        <v>#DIV/0!</v>
      </c>
      <c r="AC82" s="14" t="e">
        <f t="shared" si="38"/>
        <v>#DIV/0!</v>
      </c>
      <c r="AD82" s="14" t="e">
        <f t="shared" si="38"/>
        <v>#DIV/0!</v>
      </c>
      <c r="AE82" s="14" t="e">
        <f t="shared" si="38"/>
        <v>#DIV/0!</v>
      </c>
      <c r="AF82" s="14" t="e">
        <f t="shared" si="38"/>
        <v>#DIV/0!</v>
      </c>
      <c r="AG82" s="14" t="e">
        <f t="shared" si="38"/>
        <v>#DIV/0!</v>
      </c>
      <c r="AH82" s="14" t="e">
        <f t="shared" si="38"/>
        <v>#DIV/0!</v>
      </c>
      <c r="AI82" s="14" t="e">
        <f t="shared" si="38"/>
        <v>#DIV/0!</v>
      </c>
      <c r="AJ82" s="14" t="e">
        <f t="shared" si="38"/>
        <v>#DIV/0!</v>
      </c>
      <c r="AK82" s="14" t="e">
        <f t="shared" si="38"/>
        <v>#DIV/0!</v>
      </c>
      <c r="AL82" s="14" t="e">
        <f t="shared" si="38"/>
        <v>#DIV/0!</v>
      </c>
      <c r="AM82" s="14" t="e">
        <f t="shared" si="38"/>
        <v>#DIV/0!</v>
      </c>
      <c r="AN82" s="14" t="e">
        <f t="shared" si="38"/>
        <v>#DIV/0!</v>
      </c>
      <c r="AO82" s="14" t="e">
        <f t="shared" si="38"/>
        <v>#DIV/0!</v>
      </c>
      <c r="AP82" s="14" t="e">
        <f t="shared" si="38"/>
        <v>#DIV/0!</v>
      </c>
      <c r="AQ82" s="14" t="e">
        <f t="shared" si="38"/>
        <v>#DIV/0!</v>
      </c>
      <c r="AR82" s="14" t="e">
        <f t="shared" si="38"/>
        <v>#DIV/0!</v>
      </c>
      <c r="AS82" s="14" t="e">
        <f t="shared" si="38"/>
        <v>#DIV/0!</v>
      </c>
      <c r="AT82" s="14" t="e">
        <f t="shared" si="38"/>
        <v>#DIV/0!</v>
      </c>
      <c r="AU82" s="14" t="e">
        <f t="shared" si="38"/>
        <v>#DIV/0!</v>
      </c>
      <c r="AV82" s="14" t="e">
        <f t="shared" si="38"/>
        <v>#DIV/0!</v>
      </c>
      <c r="AW82" s="14" t="e">
        <f t="shared" si="38"/>
        <v>#DIV/0!</v>
      </c>
      <c r="AX82" s="14" t="e">
        <f t="shared" si="38"/>
        <v>#DIV/0!</v>
      </c>
      <c r="AY82" s="14" t="e">
        <f t="shared" si="38"/>
        <v>#DIV/0!</v>
      </c>
      <c r="AZ82" s="14" t="e">
        <f t="shared" si="38"/>
        <v>#DIV/0!</v>
      </c>
      <c r="BA82" s="14" t="e">
        <f t="shared" si="38"/>
        <v>#DIV/0!</v>
      </c>
      <c r="BB82" s="14" t="e">
        <f t="shared" si="38"/>
        <v>#DIV/0!</v>
      </c>
      <c r="BC82" s="14" t="e">
        <f t="shared" si="38"/>
        <v>#DIV/0!</v>
      </c>
      <c r="BD82" s="14" t="e">
        <f t="shared" si="38"/>
        <v>#DIV/0!</v>
      </c>
      <c r="BE82" s="14" t="e">
        <f t="shared" si="38"/>
        <v>#DIV/0!</v>
      </c>
      <c r="BF82" s="14" t="e">
        <f t="shared" si="38"/>
        <v>#DIV/0!</v>
      </c>
      <c r="BG82" s="14" t="e">
        <f t="shared" si="38"/>
        <v>#DIV/0!</v>
      </c>
      <c r="BH82" s="14" t="e">
        <f t="shared" si="38"/>
        <v>#DIV/0!</v>
      </c>
      <c r="BI82" s="14" t="e">
        <f t="shared" si="38"/>
        <v>#DIV/0!</v>
      </c>
      <c r="BJ82" s="14" t="e">
        <f t="shared" si="38"/>
        <v>#DIV/0!</v>
      </c>
      <c r="BK82" s="14" t="e">
        <f t="shared" si="38"/>
        <v>#DIV/0!</v>
      </c>
      <c r="BL82" s="14" t="e">
        <f t="shared" si="38"/>
        <v>#DIV/0!</v>
      </c>
      <c r="BM82" s="14" t="e">
        <f t="shared" si="38"/>
        <v>#DIV/0!</v>
      </c>
      <c r="BN82" s="14" t="e">
        <f t="shared" si="38"/>
        <v>#DIV/0!</v>
      </c>
      <c r="BO82" s="14" t="e">
        <f t="shared" si="38"/>
        <v>#DIV/0!</v>
      </c>
      <c r="BP82" s="14" t="e">
        <f t="shared" si="38"/>
        <v>#DIV/0!</v>
      </c>
      <c r="BQ82" s="14" t="e">
        <f t="shared" si="38"/>
        <v>#DIV/0!</v>
      </c>
      <c r="BR82" s="14" t="e">
        <f t="shared" si="38"/>
        <v>#DIV/0!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3</v>
      </c>
      <c r="C83" s="5">
        <f t="shared" si="34"/>
        <v>0</v>
      </c>
      <c r="D83" s="5">
        <f t="shared" si="34"/>
        <v>2</v>
      </c>
      <c r="E83" s="6" t="str">
        <f t="shared" si="28"/>
        <v>*Ga2Se3</v>
      </c>
      <c r="F83" s="14" t="e">
        <f t="shared" ref="F83" si="39">F7*$C$78</f>
        <v>#DIV/0!</v>
      </c>
      <c r="G83" s="14" t="e">
        <f t="shared" ref="G83:BR83" si="40">G7*$C$78</f>
        <v>#DIV/0!</v>
      </c>
      <c r="H83" s="14" t="e">
        <f t="shared" si="40"/>
        <v>#DIV/0!</v>
      </c>
      <c r="I83" s="14" t="e">
        <f t="shared" si="40"/>
        <v>#DIV/0!</v>
      </c>
      <c r="J83" s="14" t="e">
        <f t="shared" si="40"/>
        <v>#DIV/0!</v>
      </c>
      <c r="K83" s="14" t="e">
        <f t="shared" si="40"/>
        <v>#DIV/0!</v>
      </c>
      <c r="L83" s="14" t="e">
        <f t="shared" si="40"/>
        <v>#DIV/0!</v>
      </c>
      <c r="M83" s="14" t="e">
        <f t="shared" si="40"/>
        <v>#DIV/0!</v>
      </c>
      <c r="N83" s="14" t="e">
        <f t="shared" si="40"/>
        <v>#DIV/0!</v>
      </c>
      <c r="O83" s="14" t="e">
        <f t="shared" si="40"/>
        <v>#DIV/0!</v>
      </c>
      <c r="P83" s="14" t="e">
        <f t="shared" si="40"/>
        <v>#DIV/0!</v>
      </c>
      <c r="Q83" s="14" t="e">
        <f t="shared" si="40"/>
        <v>#DIV/0!</v>
      </c>
      <c r="R83" s="14" t="e">
        <f t="shared" si="40"/>
        <v>#DIV/0!</v>
      </c>
      <c r="S83" s="14" t="e">
        <f t="shared" si="40"/>
        <v>#DIV/0!</v>
      </c>
      <c r="T83" s="14" t="e">
        <f t="shared" si="40"/>
        <v>#DIV/0!</v>
      </c>
      <c r="U83" s="14" t="e">
        <f t="shared" si="40"/>
        <v>#DIV/0!</v>
      </c>
      <c r="V83" s="14" t="e">
        <f t="shared" si="40"/>
        <v>#DIV/0!</v>
      </c>
      <c r="W83" s="14" t="e">
        <f t="shared" si="40"/>
        <v>#DIV/0!</v>
      </c>
      <c r="X83" s="14" t="e">
        <f t="shared" si="40"/>
        <v>#DIV/0!</v>
      </c>
      <c r="Y83" s="14" t="e">
        <f t="shared" si="40"/>
        <v>#DIV/0!</v>
      </c>
      <c r="Z83" s="14" t="e">
        <f t="shared" si="40"/>
        <v>#DIV/0!</v>
      </c>
      <c r="AA83" s="14" t="e">
        <f t="shared" si="40"/>
        <v>#DIV/0!</v>
      </c>
      <c r="AB83" s="14" t="e">
        <f t="shared" si="40"/>
        <v>#DIV/0!</v>
      </c>
      <c r="AC83" s="14" t="e">
        <f t="shared" si="40"/>
        <v>#DIV/0!</v>
      </c>
      <c r="AD83" s="14" t="e">
        <f t="shared" si="40"/>
        <v>#DIV/0!</v>
      </c>
      <c r="AE83" s="14" t="e">
        <f t="shared" si="40"/>
        <v>#DIV/0!</v>
      </c>
      <c r="AF83" s="14" t="e">
        <f t="shared" si="40"/>
        <v>#DIV/0!</v>
      </c>
      <c r="AG83" s="14" t="e">
        <f t="shared" si="40"/>
        <v>#DIV/0!</v>
      </c>
      <c r="AH83" s="14" t="e">
        <f t="shared" si="40"/>
        <v>#DIV/0!</v>
      </c>
      <c r="AI83" s="14" t="e">
        <f t="shared" si="40"/>
        <v>#DIV/0!</v>
      </c>
      <c r="AJ83" s="14" t="e">
        <f t="shared" si="40"/>
        <v>#DIV/0!</v>
      </c>
      <c r="AK83" s="14" t="e">
        <f t="shared" si="40"/>
        <v>#DIV/0!</v>
      </c>
      <c r="AL83" s="14" t="e">
        <f t="shared" si="40"/>
        <v>#DIV/0!</v>
      </c>
      <c r="AM83" s="14" t="e">
        <f t="shared" si="40"/>
        <v>#DIV/0!</v>
      </c>
      <c r="AN83" s="14" t="e">
        <f t="shared" si="40"/>
        <v>#DIV/0!</v>
      </c>
      <c r="AO83" s="14" t="e">
        <f t="shared" si="40"/>
        <v>#DIV/0!</v>
      </c>
      <c r="AP83" s="14" t="e">
        <f t="shared" si="40"/>
        <v>#DIV/0!</v>
      </c>
      <c r="AQ83" s="14" t="e">
        <f t="shared" si="40"/>
        <v>#DIV/0!</v>
      </c>
      <c r="AR83" s="14" t="e">
        <f t="shared" si="40"/>
        <v>#DIV/0!</v>
      </c>
      <c r="AS83" s="14" t="e">
        <f t="shared" si="40"/>
        <v>#DIV/0!</v>
      </c>
      <c r="AT83" s="14" t="e">
        <f t="shared" si="40"/>
        <v>#DIV/0!</v>
      </c>
      <c r="AU83" s="14" t="e">
        <f t="shared" si="40"/>
        <v>#DIV/0!</v>
      </c>
      <c r="AV83" s="14" t="e">
        <f t="shared" si="40"/>
        <v>#DIV/0!</v>
      </c>
      <c r="AW83" s="14" t="e">
        <f t="shared" si="40"/>
        <v>#DIV/0!</v>
      </c>
      <c r="AX83" s="14" t="e">
        <f t="shared" si="40"/>
        <v>#DIV/0!</v>
      </c>
      <c r="AY83" s="14" t="e">
        <f t="shared" si="40"/>
        <v>#DIV/0!</v>
      </c>
      <c r="AZ83" s="14" t="e">
        <f t="shared" si="40"/>
        <v>#DIV/0!</v>
      </c>
      <c r="BA83" s="14" t="e">
        <f t="shared" si="40"/>
        <v>#DIV/0!</v>
      </c>
      <c r="BB83" s="14" t="e">
        <f t="shared" si="40"/>
        <v>#DIV/0!</v>
      </c>
      <c r="BC83" s="14" t="e">
        <f t="shared" si="40"/>
        <v>#DIV/0!</v>
      </c>
      <c r="BD83" s="14" t="e">
        <f t="shared" si="40"/>
        <v>#DIV/0!</v>
      </c>
      <c r="BE83" s="14" t="e">
        <f t="shared" si="40"/>
        <v>#DIV/0!</v>
      </c>
      <c r="BF83" s="14" t="e">
        <f t="shared" si="40"/>
        <v>#DIV/0!</v>
      </c>
      <c r="BG83" s="14" t="e">
        <f t="shared" si="40"/>
        <v>#DIV/0!</v>
      </c>
      <c r="BH83" s="14" t="e">
        <f t="shared" si="40"/>
        <v>#DIV/0!</v>
      </c>
      <c r="BI83" s="14" t="e">
        <f t="shared" si="40"/>
        <v>#DIV/0!</v>
      </c>
      <c r="BJ83" s="14" t="e">
        <f t="shared" si="40"/>
        <v>#DIV/0!</v>
      </c>
      <c r="BK83" s="14" t="e">
        <f t="shared" si="40"/>
        <v>#DIV/0!</v>
      </c>
      <c r="BL83" s="14" t="e">
        <f t="shared" si="40"/>
        <v>#DIV/0!</v>
      </c>
      <c r="BM83" s="14" t="e">
        <f t="shared" si="40"/>
        <v>#DIV/0!</v>
      </c>
      <c r="BN83" s="14" t="e">
        <f t="shared" si="40"/>
        <v>#DIV/0!</v>
      </c>
      <c r="BO83" s="14" t="e">
        <f t="shared" si="40"/>
        <v>#DIV/0!</v>
      </c>
      <c r="BP83" s="14" t="e">
        <f t="shared" si="40"/>
        <v>#DIV/0!</v>
      </c>
      <c r="BQ83" s="14" t="e">
        <f t="shared" si="40"/>
        <v>#DIV/0!</v>
      </c>
      <c r="BR83" s="14" t="e">
        <f t="shared" si="40"/>
        <v>#DIV/0!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1</v>
      </c>
      <c r="E84" s="6" t="str">
        <f t="shared" si="28"/>
        <v>*Ga[l]</v>
      </c>
      <c r="F84" s="14" t="e">
        <f t="shared" ref="F84" si="41">F8*$C$78</f>
        <v>#DIV/0!</v>
      </c>
      <c r="G84" s="14" t="e">
        <f t="shared" ref="G84:BR84" si="42">G8*$C$78</f>
        <v>#DIV/0!</v>
      </c>
      <c r="H84" s="14" t="e">
        <f t="shared" si="42"/>
        <v>#DIV/0!</v>
      </c>
      <c r="I84" s="14" t="e">
        <f t="shared" si="42"/>
        <v>#DIV/0!</v>
      </c>
      <c r="J84" s="14" t="e">
        <f t="shared" si="42"/>
        <v>#DIV/0!</v>
      </c>
      <c r="K84" s="14" t="e">
        <f t="shared" si="42"/>
        <v>#DIV/0!</v>
      </c>
      <c r="L84" s="14" t="e">
        <f t="shared" si="42"/>
        <v>#DIV/0!</v>
      </c>
      <c r="M84" s="14" t="e">
        <f t="shared" si="42"/>
        <v>#DIV/0!</v>
      </c>
      <c r="N84" s="14" t="e">
        <f t="shared" si="42"/>
        <v>#DIV/0!</v>
      </c>
      <c r="O84" s="14" t="e">
        <f t="shared" si="42"/>
        <v>#DIV/0!</v>
      </c>
      <c r="P84" s="14" t="e">
        <f t="shared" si="42"/>
        <v>#DIV/0!</v>
      </c>
      <c r="Q84" s="14" t="e">
        <f t="shared" si="42"/>
        <v>#DIV/0!</v>
      </c>
      <c r="R84" s="14" t="e">
        <f t="shared" si="42"/>
        <v>#DIV/0!</v>
      </c>
      <c r="S84" s="14" t="e">
        <f t="shared" si="42"/>
        <v>#DIV/0!</v>
      </c>
      <c r="T84" s="14" t="e">
        <f t="shared" si="42"/>
        <v>#DIV/0!</v>
      </c>
      <c r="U84" s="14" t="e">
        <f t="shared" si="42"/>
        <v>#DIV/0!</v>
      </c>
      <c r="V84" s="14" t="e">
        <f t="shared" si="42"/>
        <v>#DIV/0!</v>
      </c>
      <c r="W84" s="14" t="e">
        <f t="shared" si="42"/>
        <v>#DIV/0!</v>
      </c>
      <c r="X84" s="14" t="e">
        <f t="shared" si="42"/>
        <v>#DIV/0!</v>
      </c>
      <c r="Y84" s="14" t="e">
        <f t="shared" si="42"/>
        <v>#DIV/0!</v>
      </c>
      <c r="Z84" s="14" t="e">
        <f t="shared" si="42"/>
        <v>#DIV/0!</v>
      </c>
      <c r="AA84" s="14" t="e">
        <f t="shared" si="42"/>
        <v>#DIV/0!</v>
      </c>
      <c r="AB84" s="14" t="e">
        <f t="shared" si="42"/>
        <v>#DIV/0!</v>
      </c>
      <c r="AC84" s="14" t="e">
        <f t="shared" si="42"/>
        <v>#DIV/0!</v>
      </c>
      <c r="AD84" s="14" t="e">
        <f t="shared" si="42"/>
        <v>#DIV/0!</v>
      </c>
      <c r="AE84" s="14" t="e">
        <f t="shared" si="42"/>
        <v>#DIV/0!</v>
      </c>
      <c r="AF84" s="14" t="e">
        <f t="shared" si="42"/>
        <v>#DIV/0!</v>
      </c>
      <c r="AG84" s="14" t="e">
        <f t="shared" si="42"/>
        <v>#DIV/0!</v>
      </c>
      <c r="AH84" s="14" t="e">
        <f t="shared" si="42"/>
        <v>#DIV/0!</v>
      </c>
      <c r="AI84" s="14" t="e">
        <f t="shared" si="42"/>
        <v>#DIV/0!</v>
      </c>
      <c r="AJ84" s="14" t="e">
        <f t="shared" si="42"/>
        <v>#DIV/0!</v>
      </c>
      <c r="AK84" s="14" t="e">
        <f t="shared" si="42"/>
        <v>#DIV/0!</v>
      </c>
      <c r="AL84" s="14" t="e">
        <f t="shared" si="42"/>
        <v>#DIV/0!</v>
      </c>
      <c r="AM84" s="14" t="e">
        <f t="shared" si="42"/>
        <v>#DIV/0!</v>
      </c>
      <c r="AN84" s="14" t="e">
        <f t="shared" si="42"/>
        <v>#DIV/0!</v>
      </c>
      <c r="AO84" s="14" t="e">
        <f t="shared" si="42"/>
        <v>#DIV/0!</v>
      </c>
      <c r="AP84" s="14" t="e">
        <f t="shared" si="42"/>
        <v>#DIV/0!</v>
      </c>
      <c r="AQ84" s="14" t="e">
        <f t="shared" si="42"/>
        <v>#DIV/0!</v>
      </c>
      <c r="AR84" s="14" t="e">
        <f t="shared" si="42"/>
        <v>#DIV/0!</v>
      </c>
      <c r="AS84" s="14" t="e">
        <f t="shared" si="42"/>
        <v>#DIV/0!</v>
      </c>
      <c r="AT84" s="14" t="e">
        <f t="shared" si="42"/>
        <v>#DIV/0!</v>
      </c>
      <c r="AU84" s="14" t="e">
        <f t="shared" si="42"/>
        <v>#DIV/0!</v>
      </c>
      <c r="AV84" s="14" t="e">
        <f t="shared" si="42"/>
        <v>#DIV/0!</v>
      </c>
      <c r="AW84" s="14" t="e">
        <f t="shared" si="42"/>
        <v>#DIV/0!</v>
      </c>
      <c r="AX84" s="14" t="e">
        <f t="shared" si="42"/>
        <v>#DIV/0!</v>
      </c>
      <c r="AY84" s="14" t="e">
        <f t="shared" si="42"/>
        <v>#DIV/0!</v>
      </c>
      <c r="AZ84" s="14" t="e">
        <f t="shared" si="42"/>
        <v>#DIV/0!</v>
      </c>
      <c r="BA84" s="14" t="e">
        <f t="shared" si="42"/>
        <v>#DIV/0!</v>
      </c>
      <c r="BB84" s="14" t="e">
        <f t="shared" si="42"/>
        <v>#DIV/0!</v>
      </c>
      <c r="BC84" s="14" t="e">
        <f t="shared" si="42"/>
        <v>#DIV/0!</v>
      </c>
      <c r="BD84" s="14" t="e">
        <f t="shared" si="42"/>
        <v>#DIV/0!</v>
      </c>
      <c r="BE84" s="14" t="e">
        <f t="shared" si="42"/>
        <v>#DIV/0!</v>
      </c>
      <c r="BF84" s="14" t="e">
        <f t="shared" si="42"/>
        <v>#DIV/0!</v>
      </c>
      <c r="BG84" s="14" t="e">
        <f t="shared" si="42"/>
        <v>#DIV/0!</v>
      </c>
      <c r="BH84" s="14" t="e">
        <f t="shared" si="42"/>
        <v>#DIV/0!</v>
      </c>
      <c r="BI84" s="14" t="e">
        <f t="shared" si="42"/>
        <v>#DIV/0!</v>
      </c>
      <c r="BJ84" s="14" t="e">
        <f t="shared" si="42"/>
        <v>#DIV/0!</v>
      </c>
      <c r="BK84" s="14" t="e">
        <f t="shared" si="42"/>
        <v>#DIV/0!</v>
      </c>
      <c r="BL84" s="14" t="e">
        <f t="shared" si="42"/>
        <v>#DIV/0!</v>
      </c>
      <c r="BM84" s="14" t="e">
        <f t="shared" si="42"/>
        <v>#DIV/0!</v>
      </c>
      <c r="BN84" s="14" t="e">
        <f t="shared" si="42"/>
        <v>#DIV/0!</v>
      </c>
      <c r="BO84" s="14" t="e">
        <f t="shared" si="42"/>
        <v>#DIV/0!</v>
      </c>
      <c r="BP84" s="14" t="e">
        <f t="shared" si="42"/>
        <v>#DIV/0!</v>
      </c>
      <c r="BQ84" s="14" t="e">
        <f t="shared" si="42"/>
        <v>#DIV/0!</v>
      </c>
      <c r="BR84" s="14" t="e">
        <f t="shared" si="42"/>
        <v>#DIV/0!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0</v>
      </c>
      <c r="C85" s="5">
        <f t="shared" si="34"/>
        <v>1</v>
      </c>
      <c r="D85" s="5">
        <f t="shared" si="34"/>
        <v>0</v>
      </c>
      <c r="E85" s="6" t="str">
        <f t="shared" si="28"/>
        <v>*Ge[l]</v>
      </c>
      <c r="F85" s="14" t="e">
        <f t="shared" ref="F85" si="43">F9*$C$78</f>
        <v>#DIV/0!</v>
      </c>
      <c r="G85" s="14" t="e">
        <f t="shared" ref="G85:BR85" si="44">G9*$C$78</f>
        <v>#DIV/0!</v>
      </c>
      <c r="H85" s="14" t="e">
        <f t="shared" si="44"/>
        <v>#DIV/0!</v>
      </c>
      <c r="I85" s="14" t="e">
        <f t="shared" si="44"/>
        <v>#DIV/0!</v>
      </c>
      <c r="J85" s="14" t="e">
        <f t="shared" si="44"/>
        <v>#DIV/0!</v>
      </c>
      <c r="K85" s="14" t="e">
        <f t="shared" si="44"/>
        <v>#DIV/0!</v>
      </c>
      <c r="L85" s="14" t="e">
        <f t="shared" si="44"/>
        <v>#DIV/0!</v>
      </c>
      <c r="M85" s="14" t="e">
        <f t="shared" si="44"/>
        <v>#DIV/0!</v>
      </c>
      <c r="N85" s="14" t="e">
        <f t="shared" si="44"/>
        <v>#DIV/0!</v>
      </c>
      <c r="O85" s="14" t="e">
        <f t="shared" si="44"/>
        <v>#DIV/0!</v>
      </c>
      <c r="P85" s="14" t="e">
        <f t="shared" si="44"/>
        <v>#DIV/0!</v>
      </c>
      <c r="Q85" s="14" t="e">
        <f t="shared" si="44"/>
        <v>#DIV/0!</v>
      </c>
      <c r="R85" s="14" t="e">
        <f t="shared" si="44"/>
        <v>#DIV/0!</v>
      </c>
      <c r="S85" s="14" t="e">
        <f t="shared" si="44"/>
        <v>#DIV/0!</v>
      </c>
      <c r="T85" s="14" t="e">
        <f t="shared" si="44"/>
        <v>#DIV/0!</v>
      </c>
      <c r="U85" s="14" t="e">
        <f t="shared" si="44"/>
        <v>#DIV/0!</v>
      </c>
      <c r="V85" s="14" t="e">
        <f t="shared" si="44"/>
        <v>#DIV/0!</v>
      </c>
      <c r="W85" s="14" t="e">
        <f t="shared" si="44"/>
        <v>#DIV/0!</v>
      </c>
      <c r="X85" s="14" t="e">
        <f t="shared" si="44"/>
        <v>#DIV/0!</v>
      </c>
      <c r="Y85" s="14" t="e">
        <f t="shared" si="44"/>
        <v>#DIV/0!</v>
      </c>
      <c r="Z85" s="14" t="e">
        <f t="shared" si="44"/>
        <v>#DIV/0!</v>
      </c>
      <c r="AA85" s="14" t="e">
        <f t="shared" si="44"/>
        <v>#DIV/0!</v>
      </c>
      <c r="AB85" s="14" t="e">
        <f t="shared" si="44"/>
        <v>#DIV/0!</v>
      </c>
      <c r="AC85" s="14" t="e">
        <f t="shared" si="44"/>
        <v>#DIV/0!</v>
      </c>
      <c r="AD85" s="14" t="e">
        <f t="shared" si="44"/>
        <v>#DIV/0!</v>
      </c>
      <c r="AE85" s="14" t="e">
        <f t="shared" si="44"/>
        <v>#DIV/0!</v>
      </c>
      <c r="AF85" s="14" t="e">
        <f t="shared" si="44"/>
        <v>#DIV/0!</v>
      </c>
      <c r="AG85" s="14" t="e">
        <f t="shared" si="44"/>
        <v>#DIV/0!</v>
      </c>
      <c r="AH85" s="14" t="e">
        <f t="shared" si="44"/>
        <v>#DIV/0!</v>
      </c>
      <c r="AI85" s="14" t="e">
        <f t="shared" si="44"/>
        <v>#DIV/0!</v>
      </c>
      <c r="AJ85" s="14" t="e">
        <f t="shared" si="44"/>
        <v>#DIV/0!</v>
      </c>
      <c r="AK85" s="14" t="e">
        <f t="shared" si="44"/>
        <v>#DIV/0!</v>
      </c>
      <c r="AL85" s="14" t="e">
        <f t="shared" si="44"/>
        <v>#DIV/0!</v>
      </c>
      <c r="AM85" s="14" t="e">
        <f t="shared" si="44"/>
        <v>#DIV/0!</v>
      </c>
      <c r="AN85" s="14" t="e">
        <f t="shared" si="44"/>
        <v>#DIV/0!</v>
      </c>
      <c r="AO85" s="14" t="e">
        <f t="shared" si="44"/>
        <v>#DIV/0!</v>
      </c>
      <c r="AP85" s="14" t="e">
        <f t="shared" si="44"/>
        <v>#DIV/0!</v>
      </c>
      <c r="AQ85" s="14" t="e">
        <f t="shared" si="44"/>
        <v>#DIV/0!</v>
      </c>
      <c r="AR85" s="14" t="e">
        <f t="shared" si="44"/>
        <v>#DIV/0!</v>
      </c>
      <c r="AS85" s="14" t="e">
        <f t="shared" si="44"/>
        <v>#DIV/0!</v>
      </c>
      <c r="AT85" s="14" t="e">
        <f t="shared" si="44"/>
        <v>#DIV/0!</v>
      </c>
      <c r="AU85" s="14" t="e">
        <f t="shared" si="44"/>
        <v>#DIV/0!</v>
      </c>
      <c r="AV85" s="14" t="e">
        <f t="shared" si="44"/>
        <v>#DIV/0!</v>
      </c>
      <c r="AW85" s="14" t="e">
        <f t="shared" si="44"/>
        <v>#DIV/0!</v>
      </c>
      <c r="AX85" s="14" t="e">
        <f t="shared" si="44"/>
        <v>#DIV/0!</v>
      </c>
      <c r="AY85" s="14" t="e">
        <f t="shared" si="44"/>
        <v>#DIV/0!</v>
      </c>
      <c r="AZ85" s="14" t="e">
        <f t="shared" si="44"/>
        <v>#DIV/0!</v>
      </c>
      <c r="BA85" s="14" t="e">
        <f t="shared" si="44"/>
        <v>#DIV/0!</v>
      </c>
      <c r="BB85" s="14" t="e">
        <f t="shared" si="44"/>
        <v>#DIV/0!</v>
      </c>
      <c r="BC85" s="14" t="e">
        <f t="shared" si="44"/>
        <v>#DIV/0!</v>
      </c>
      <c r="BD85" s="14" t="e">
        <f t="shared" si="44"/>
        <v>#DIV/0!</v>
      </c>
      <c r="BE85" s="14" t="e">
        <f t="shared" si="44"/>
        <v>#DIV/0!</v>
      </c>
      <c r="BF85" s="14" t="e">
        <f t="shared" si="44"/>
        <v>#DIV/0!</v>
      </c>
      <c r="BG85" s="14" t="e">
        <f t="shared" si="44"/>
        <v>#DIV/0!</v>
      </c>
      <c r="BH85" s="14" t="e">
        <f t="shared" si="44"/>
        <v>#DIV/0!</v>
      </c>
      <c r="BI85" s="14" t="e">
        <f t="shared" si="44"/>
        <v>#DIV/0!</v>
      </c>
      <c r="BJ85" s="14" t="e">
        <f t="shared" si="44"/>
        <v>#DIV/0!</v>
      </c>
      <c r="BK85" s="14" t="e">
        <f t="shared" si="44"/>
        <v>#DIV/0!</v>
      </c>
      <c r="BL85" s="14" t="e">
        <f t="shared" si="44"/>
        <v>#DIV/0!</v>
      </c>
      <c r="BM85" s="14" t="e">
        <f t="shared" si="44"/>
        <v>#DIV/0!</v>
      </c>
      <c r="BN85" s="14" t="e">
        <f t="shared" si="44"/>
        <v>#DIV/0!</v>
      </c>
      <c r="BO85" s="14" t="e">
        <f t="shared" si="44"/>
        <v>#DIV/0!</v>
      </c>
      <c r="BP85" s="14" t="e">
        <f t="shared" si="44"/>
        <v>#DIV/0!</v>
      </c>
      <c r="BQ85" s="14" t="e">
        <f t="shared" si="44"/>
        <v>#DIV/0!</v>
      </c>
      <c r="BR85" s="14" t="e">
        <f t="shared" si="44"/>
        <v>#DIV/0!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0</v>
      </c>
      <c r="D86" s="5">
        <f t="shared" si="34"/>
        <v>1</v>
      </c>
      <c r="E86" s="6" t="str">
        <f t="shared" si="28"/>
        <v>*GaSe</v>
      </c>
      <c r="F86" s="14" t="e">
        <f t="shared" ref="F86" si="45">F10*$C$78</f>
        <v>#DIV/0!</v>
      </c>
      <c r="G86" s="14" t="e">
        <f t="shared" ref="G86:BR86" si="46">G10*$C$78</f>
        <v>#DIV/0!</v>
      </c>
      <c r="H86" s="14" t="e">
        <f t="shared" si="46"/>
        <v>#DIV/0!</v>
      </c>
      <c r="I86" s="14" t="e">
        <f t="shared" si="46"/>
        <v>#DIV/0!</v>
      </c>
      <c r="J86" s="14" t="e">
        <f t="shared" si="46"/>
        <v>#DIV/0!</v>
      </c>
      <c r="K86" s="14" t="e">
        <f t="shared" si="46"/>
        <v>#DIV/0!</v>
      </c>
      <c r="L86" s="14" t="e">
        <f t="shared" si="46"/>
        <v>#DIV/0!</v>
      </c>
      <c r="M86" s="14" t="e">
        <f t="shared" si="46"/>
        <v>#DIV/0!</v>
      </c>
      <c r="N86" s="14" t="e">
        <f t="shared" si="46"/>
        <v>#DIV/0!</v>
      </c>
      <c r="O86" s="14" t="e">
        <f t="shared" si="46"/>
        <v>#DIV/0!</v>
      </c>
      <c r="P86" s="14" t="e">
        <f t="shared" si="46"/>
        <v>#DIV/0!</v>
      </c>
      <c r="Q86" s="14" t="e">
        <f t="shared" si="46"/>
        <v>#DIV/0!</v>
      </c>
      <c r="R86" s="14" t="e">
        <f t="shared" si="46"/>
        <v>#DIV/0!</v>
      </c>
      <c r="S86" s="14" t="e">
        <f t="shared" si="46"/>
        <v>#DIV/0!</v>
      </c>
      <c r="T86" s="14" t="e">
        <f t="shared" si="46"/>
        <v>#DIV/0!</v>
      </c>
      <c r="U86" s="14" t="e">
        <f t="shared" si="46"/>
        <v>#DIV/0!</v>
      </c>
      <c r="V86" s="14" t="e">
        <f t="shared" si="46"/>
        <v>#DIV/0!</v>
      </c>
      <c r="W86" s="14" t="e">
        <f t="shared" si="46"/>
        <v>#DIV/0!</v>
      </c>
      <c r="X86" s="14" t="e">
        <f t="shared" si="46"/>
        <v>#DIV/0!</v>
      </c>
      <c r="Y86" s="14" t="e">
        <f t="shared" si="46"/>
        <v>#DIV/0!</v>
      </c>
      <c r="Z86" s="14" t="e">
        <f t="shared" si="46"/>
        <v>#DIV/0!</v>
      </c>
      <c r="AA86" s="14" t="e">
        <f t="shared" si="46"/>
        <v>#DIV/0!</v>
      </c>
      <c r="AB86" s="14" t="e">
        <f t="shared" si="46"/>
        <v>#DIV/0!</v>
      </c>
      <c r="AC86" s="14" t="e">
        <f t="shared" si="46"/>
        <v>#DIV/0!</v>
      </c>
      <c r="AD86" s="14" t="e">
        <f t="shared" si="46"/>
        <v>#DIV/0!</v>
      </c>
      <c r="AE86" s="14" t="e">
        <f t="shared" si="46"/>
        <v>#DIV/0!</v>
      </c>
      <c r="AF86" s="14" t="e">
        <f t="shared" si="46"/>
        <v>#DIV/0!</v>
      </c>
      <c r="AG86" s="14" t="e">
        <f t="shared" si="46"/>
        <v>#DIV/0!</v>
      </c>
      <c r="AH86" s="14" t="e">
        <f t="shared" si="46"/>
        <v>#DIV/0!</v>
      </c>
      <c r="AI86" s="14" t="e">
        <f t="shared" si="46"/>
        <v>#DIV/0!</v>
      </c>
      <c r="AJ86" s="14" t="e">
        <f t="shared" si="46"/>
        <v>#DIV/0!</v>
      </c>
      <c r="AK86" s="14" t="e">
        <f t="shared" si="46"/>
        <v>#DIV/0!</v>
      </c>
      <c r="AL86" s="14" t="e">
        <f t="shared" si="46"/>
        <v>#DIV/0!</v>
      </c>
      <c r="AM86" s="14" t="e">
        <f t="shared" si="46"/>
        <v>#DIV/0!</v>
      </c>
      <c r="AN86" s="14" t="e">
        <f t="shared" si="46"/>
        <v>#DIV/0!</v>
      </c>
      <c r="AO86" s="14" t="e">
        <f t="shared" si="46"/>
        <v>#DIV/0!</v>
      </c>
      <c r="AP86" s="14" t="e">
        <f t="shared" si="46"/>
        <v>#DIV/0!</v>
      </c>
      <c r="AQ86" s="14" t="e">
        <f t="shared" si="46"/>
        <v>#DIV/0!</v>
      </c>
      <c r="AR86" s="14" t="e">
        <f t="shared" si="46"/>
        <v>#DIV/0!</v>
      </c>
      <c r="AS86" s="14" t="e">
        <f t="shared" si="46"/>
        <v>#DIV/0!</v>
      </c>
      <c r="AT86" s="14" t="e">
        <f t="shared" si="46"/>
        <v>#DIV/0!</v>
      </c>
      <c r="AU86" s="14" t="e">
        <f t="shared" si="46"/>
        <v>#DIV/0!</v>
      </c>
      <c r="AV86" s="14" t="e">
        <f t="shared" si="46"/>
        <v>#DIV/0!</v>
      </c>
      <c r="AW86" s="14" t="e">
        <f t="shared" si="46"/>
        <v>#DIV/0!</v>
      </c>
      <c r="AX86" s="14" t="e">
        <f t="shared" si="46"/>
        <v>#DIV/0!</v>
      </c>
      <c r="AY86" s="14" t="e">
        <f t="shared" si="46"/>
        <v>#DIV/0!</v>
      </c>
      <c r="AZ86" s="14" t="e">
        <f t="shared" si="46"/>
        <v>#DIV/0!</v>
      </c>
      <c r="BA86" s="14" t="e">
        <f t="shared" si="46"/>
        <v>#DIV/0!</v>
      </c>
      <c r="BB86" s="14" t="e">
        <f t="shared" si="46"/>
        <v>#DIV/0!</v>
      </c>
      <c r="BC86" s="14" t="e">
        <f t="shared" si="46"/>
        <v>#DIV/0!</v>
      </c>
      <c r="BD86" s="14" t="e">
        <f t="shared" si="46"/>
        <v>#DIV/0!</v>
      </c>
      <c r="BE86" s="14" t="e">
        <f t="shared" si="46"/>
        <v>#DIV/0!</v>
      </c>
      <c r="BF86" s="14" t="e">
        <f t="shared" si="46"/>
        <v>#DIV/0!</v>
      </c>
      <c r="BG86" s="14" t="e">
        <f t="shared" si="46"/>
        <v>#DIV/0!</v>
      </c>
      <c r="BH86" s="14" t="e">
        <f t="shared" si="46"/>
        <v>#DIV/0!</v>
      </c>
      <c r="BI86" s="14" t="e">
        <f t="shared" si="46"/>
        <v>#DIV/0!</v>
      </c>
      <c r="BJ86" s="14" t="e">
        <f t="shared" si="46"/>
        <v>#DIV/0!</v>
      </c>
      <c r="BK86" s="14" t="e">
        <f t="shared" si="46"/>
        <v>#DIV/0!</v>
      </c>
      <c r="BL86" s="14" t="e">
        <f t="shared" si="46"/>
        <v>#DIV/0!</v>
      </c>
      <c r="BM86" s="14" t="e">
        <f t="shared" si="46"/>
        <v>#DIV/0!</v>
      </c>
      <c r="BN86" s="14" t="e">
        <f t="shared" si="46"/>
        <v>#DIV/0!</v>
      </c>
      <c r="BO86" s="14" t="e">
        <f t="shared" si="46"/>
        <v>#DIV/0!</v>
      </c>
      <c r="BP86" s="14" t="e">
        <f t="shared" si="46"/>
        <v>#DIV/0!</v>
      </c>
      <c r="BQ86" s="14" t="e">
        <f t="shared" si="46"/>
        <v>#DIV/0!</v>
      </c>
      <c r="BR86" s="14" t="e">
        <f t="shared" si="46"/>
        <v>#DIV/0!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1</v>
      </c>
      <c r="C87" s="5">
        <f t="shared" si="34"/>
        <v>1</v>
      </c>
      <c r="D87" s="5">
        <f t="shared" si="34"/>
        <v>0</v>
      </c>
      <c r="E87" s="6" t="str">
        <f t="shared" si="28"/>
        <v>GeSe</v>
      </c>
      <c r="F87" s="14" t="e">
        <f t="shared" ref="F87" si="47">F11*$C$78</f>
        <v>#DIV/0!</v>
      </c>
      <c r="G87" s="14" t="e">
        <f t="shared" ref="G87:BR87" si="48">G11*$C$78</f>
        <v>#DIV/0!</v>
      </c>
      <c r="H87" s="14" t="e">
        <f t="shared" si="48"/>
        <v>#DIV/0!</v>
      </c>
      <c r="I87" s="14" t="e">
        <f t="shared" si="48"/>
        <v>#DIV/0!</v>
      </c>
      <c r="J87" s="14" t="e">
        <f t="shared" si="48"/>
        <v>#DIV/0!</v>
      </c>
      <c r="K87" s="14" t="e">
        <f t="shared" si="48"/>
        <v>#DIV/0!</v>
      </c>
      <c r="L87" s="14" t="e">
        <f t="shared" si="48"/>
        <v>#DIV/0!</v>
      </c>
      <c r="M87" s="14" t="e">
        <f t="shared" si="48"/>
        <v>#DIV/0!</v>
      </c>
      <c r="N87" s="14" t="e">
        <f t="shared" si="48"/>
        <v>#DIV/0!</v>
      </c>
      <c r="O87" s="14" t="e">
        <f t="shared" si="48"/>
        <v>#DIV/0!</v>
      </c>
      <c r="P87" s="14" t="e">
        <f t="shared" si="48"/>
        <v>#DIV/0!</v>
      </c>
      <c r="Q87" s="14" t="e">
        <f t="shared" si="48"/>
        <v>#DIV/0!</v>
      </c>
      <c r="R87" s="14" t="e">
        <f t="shared" si="48"/>
        <v>#DIV/0!</v>
      </c>
      <c r="S87" s="14" t="e">
        <f t="shared" si="48"/>
        <v>#DIV/0!</v>
      </c>
      <c r="T87" s="14" t="e">
        <f t="shared" si="48"/>
        <v>#DIV/0!</v>
      </c>
      <c r="U87" s="14" t="e">
        <f t="shared" si="48"/>
        <v>#DIV/0!</v>
      </c>
      <c r="V87" s="14" t="e">
        <f t="shared" si="48"/>
        <v>#DIV/0!</v>
      </c>
      <c r="W87" s="14" t="e">
        <f t="shared" si="48"/>
        <v>#DIV/0!</v>
      </c>
      <c r="X87" s="14" t="e">
        <f t="shared" si="48"/>
        <v>#DIV/0!</v>
      </c>
      <c r="Y87" s="14" t="e">
        <f t="shared" si="48"/>
        <v>#DIV/0!</v>
      </c>
      <c r="Z87" s="14" t="e">
        <f t="shared" si="48"/>
        <v>#DIV/0!</v>
      </c>
      <c r="AA87" s="14" t="e">
        <f t="shared" si="48"/>
        <v>#DIV/0!</v>
      </c>
      <c r="AB87" s="14" t="e">
        <f t="shared" si="48"/>
        <v>#DIV/0!</v>
      </c>
      <c r="AC87" s="14" t="e">
        <f t="shared" si="48"/>
        <v>#DIV/0!</v>
      </c>
      <c r="AD87" s="14" t="e">
        <f t="shared" si="48"/>
        <v>#DIV/0!</v>
      </c>
      <c r="AE87" s="14" t="e">
        <f t="shared" si="48"/>
        <v>#DIV/0!</v>
      </c>
      <c r="AF87" s="14" t="e">
        <f t="shared" si="48"/>
        <v>#DIV/0!</v>
      </c>
      <c r="AG87" s="14" t="e">
        <f t="shared" si="48"/>
        <v>#DIV/0!</v>
      </c>
      <c r="AH87" s="14" t="e">
        <f t="shared" si="48"/>
        <v>#DIV/0!</v>
      </c>
      <c r="AI87" s="14" t="e">
        <f t="shared" si="48"/>
        <v>#DIV/0!</v>
      </c>
      <c r="AJ87" s="14" t="e">
        <f t="shared" si="48"/>
        <v>#DIV/0!</v>
      </c>
      <c r="AK87" s="14" t="e">
        <f t="shared" si="48"/>
        <v>#DIV/0!</v>
      </c>
      <c r="AL87" s="14" t="e">
        <f t="shared" si="48"/>
        <v>#DIV/0!</v>
      </c>
      <c r="AM87" s="14" t="e">
        <f t="shared" si="48"/>
        <v>#DIV/0!</v>
      </c>
      <c r="AN87" s="14" t="e">
        <f t="shared" si="48"/>
        <v>#DIV/0!</v>
      </c>
      <c r="AO87" s="14" t="e">
        <f t="shared" si="48"/>
        <v>#DIV/0!</v>
      </c>
      <c r="AP87" s="14" t="e">
        <f t="shared" si="48"/>
        <v>#DIV/0!</v>
      </c>
      <c r="AQ87" s="14" t="e">
        <f t="shared" si="48"/>
        <v>#DIV/0!</v>
      </c>
      <c r="AR87" s="14" t="e">
        <f t="shared" si="48"/>
        <v>#DIV/0!</v>
      </c>
      <c r="AS87" s="14" t="e">
        <f t="shared" si="48"/>
        <v>#DIV/0!</v>
      </c>
      <c r="AT87" s="14" t="e">
        <f t="shared" si="48"/>
        <v>#DIV/0!</v>
      </c>
      <c r="AU87" s="14" t="e">
        <f t="shared" si="48"/>
        <v>#DIV/0!</v>
      </c>
      <c r="AV87" s="14" t="e">
        <f t="shared" si="48"/>
        <v>#DIV/0!</v>
      </c>
      <c r="AW87" s="14" t="e">
        <f t="shared" si="48"/>
        <v>#DIV/0!</v>
      </c>
      <c r="AX87" s="14" t="e">
        <f t="shared" si="48"/>
        <v>#DIV/0!</v>
      </c>
      <c r="AY87" s="14" t="e">
        <f t="shared" si="48"/>
        <v>#DIV/0!</v>
      </c>
      <c r="AZ87" s="14" t="e">
        <f t="shared" si="48"/>
        <v>#DIV/0!</v>
      </c>
      <c r="BA87" s="14" t="e">
        <f t="shared" si="48"/>
        <v>#DIV/0!</v>
      </c>
      <c r="BB87" s="14" t="e">
        <f t="shared" si="48"/>
        <v>#DIV/0!</v>
      </c>
      <c r="BC87" s="14" t="e">
        <f t="shared" si="48"/>
        <v>#DIV/0!</v>
      </c>
      <c r="BD87" s="14" t="e">
        <f t="shared" si="48"/>
        <v>#DIV/0!</v>
      </c>
      <c r="BE87" s="14" t="e">
        <f t="shared" si="48"/>
        <v>#DIV/0!</v>
      </c>
      <c r="BF87" s="14" t="e">
        <f t="shared" si="48"/>
        <v>#DIV/0!</v>
      </c>
      <c r="BG87" s="14" t="e">
        <f t="shared" si="48"/>
        <v>#DIV/0!</v>
      </c>
      <c r="BH87" s="14" t="e">
        <f t="shared" si="48"/>
        <v>#DIV/0!</v>
      </c>
      <c r="BI87" s="14" t="e">
        <f t="shared" si="48"/>
        <v>#DIV/0!</v>
      </c>
      <c r="BJ87" s="14" t="e">
        <f t="shared" si="48"/>
        <v>#DIV/0!</v>
      </c>
      <c r="BK87" s="14" t="e">
        <f t="shared" si="48"/>
        <v>#DIV/0!</v>
      </c>
      <c r="BL87" s="14" t="e">
        <f t="shared" si="48"/>
        <v>#DIV/0!</v>
      </c>
      <c r="BM87" s="14" t="e">
        <f t="shared" si="48"/>
        <v>#DIV/0!</v>
      </c>
      <c r="BN87" s="14" t="e">
        <f t="shared" si="48"/>
        <v>#DIV/0!</v>
      </c>
      <c r="BO87" s="14" t="e">
        <f t="shared" si="48"/>
        <v>#DIV/0!</v>
      </c>
      <c r="BP87" s="14" t="e">
        <f t="shared" si="48"/>
        <v>#DIV/0!</v>
      </c>
      <c r="BQ87" s="14" t="e">
        <f t="shared" si="48"/>
        <v>#DIV/0!</v>
      </c>
      <c r="BR87" s="14" t="e">
        <f t="shared" si="48"/>
        <v>#DIV/0!</v>
      </c>
      <c r="BS87" s="98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1</v>
      </c>
      <c r="C88" s="5">
        <f t="shared" si="34"/>
        <v>0</v>
      </c>
      <c r="D88" s="5">
        <f t="shared" si="34"/>
        <v>2</v>
      </c>
      <c r="E88" s="6" t="str">
        <f t="shared" si="28"/>
        <v>Ga2Se</v>
      </c>
      <c r="F88" s="14" t="e">
        <f t="shared" ref="F88" si="49">F12*$C$78</f>
        <v>#DIV/0!</v>
      </c>
      <c r="G88" s="14" t="e">
        <f t="shared" ref="G88:BR88" si="50">G12*$C$78</f>
        <v>#DIV/0!</v>
      </c>
      <c r="H88" s="14" t="e">
        <f t="shared" si="50"/>
        <v>#DIV/0!</v>
      </c>
      <c r="I88" s="14" t="e">
        <f t="shared" si="50"/>
        <v>#DIV/0!</v>
      </c>
      <c r="J88" s="14" t="e">
        <f t="shared" si="50"/>
        <v>#DIV/0!</v>
      </c>
      <c r="K88" s="14" t="e">
        <f t="shared" si="50"/>
        <v>#DIV/0!</v>
      </c>
      <c r="L88" s="14" t="e">
        <f t="shared" si="50"/>
        <v>#DIV/0!</v>
      </c>
      <c r="M88" s="14" t="e">
        <f t="shared" si="50"/>
        <v>#DIV/0!</v>
      </c>
      <c r="N88" s="14" t="e">
        <f t="shared" si="50"/>
        <v>#DIV/0!</v>
      </c>
      <c r="O88" s="14" t="e">
        <f t="shared" si="50"/>
        <v>#DIV/0!</v>
      </c>
      <c r="P88" s="14" t="e">
        <f t="shared" si="50"/>
        <v>#DIV/0!</v>
      </c>
      <c r="Q88" s="14" t="e">
        <f t="shared" si="50"/>
        <v>#DIV/0!</v>
      </c>
      <c r="R88" s="14" t="e">
        <f t="shared" si="50"/>
        <v>#DIV/0!</v>
      </c>
      <c r="S88" s="14" t="e">
        <f t="shared" si="50"/>
        <v>#DIV/0!</v>
      </c>
      <c r="T88" s="14" t="e">
        <f t="shared" si="50"/>
        <v>#DIV/0!</v>
      </c>
      <c r="U88" s="14" t="e">
        <f t="shared" si="50"/>
        <v>#DIV/0!</v>
      </c>
      <c r="V88" s="14" t="e">
        <f t="shared" si="50"/>
        <v>#DIV/0!</v>
      </c>
      <c r="W88" s="14" t="e">
        <f t="shared" si="50"/>
        <v>#DIV/0!</v>
      </c>
      <c r="X88" s="14" t="e">
        <f t="shared" si="50"/>
        <v>#DIV/0!</v>
      </c>
      <c r="Y88" s="14" t="e">
        <f t="shared" si="50"/>
        <v>#DIV/0!</v>
      </c>
      <c r="Z88" s="14" t="e">
        <f t="shared" si="50"/>
        <v>#DIV/0!</v>
      </c>
      <c r="AA88" s="14" t="e">
        <f t="shared" si="50"/>
        <v>#DIV/0!</v>
      </c>
      <c r="AB88" s="14" t="e">
        <f t="shared" si="50"/>
        <v>#DIV/0!</v>
      </c>
      <c r="AC88" s="14" t="e">
        <f t="shared" si="50"/>
        <v>#DIV/0!</v>
      </c>
      <c r="AD88" s="14" t="e">
        <f t="shared" si="50"/>
        <v>#DIV/0!</v>
      </c>
      <c r="AE88" s="14" t="e">
        <f t="shared" si="50"/>
        <v>#DIV/0!</v>
      </c>
      <c r="AF88" s="14" t="e">
        <f t="shared" si="50"/>
        <v>#DIV/0!</v>
      </c>
      <c r="AG88" s="14" t="e">
        <f t="shared" si="50"/>
        <v>#DIV/0!</v>
      </c>
      <c r="AH88" s="14" t="e">
        <f t="shared" si="50"/>
        <v>#DIV/0!</v>
      </c>
      <c r="AI88" s="14" t="e">
        <f t="shared" si="50"/>
        <v>#DIV/0!</v>
      </c>
      <c r="AJ88" s="14" t="e">
        <f t="shared" si="50"/>
        <v>#DIV/0!</v>
      </c>
      <c r="AK88" s="14" t="e">
        <f t="shared" si="50"/>
        <v>#DIV/0!</v>
      </c>
      <c r="AL88" s="14" t="e">
        <f t="shared" si="50"/>
        <v>#DIV/0!</v>
      </c>
      <c r="AM88" s="14" t="e">
        <f t="shared" si="50"/>
        <v>#DIV/0!</v>
      </c>
      <c r="AN88" s="14" t="e">
        <f t="shared" si="50"/>
        <v>#DIV/0!</v>
      </c>
      <c r="AO88" s="14" t="e">
        <f t="shared" si="50"/>
        <v>#DIV/0!</v>
      </c>
      <c r="AP88" s="14" t="e">
        <f t="shared" si="50"/>
        <v>#DIV/0!</v>
      </c>
      <c r="AQ88" s="14" t="e">
        <f t="shared" si="50"/>
        <v>#DIV/0!</v>
      </c>
      <c r="AR88" s="14" t="e">
        <f t="shared" si="50"/>
        <v>#DIV/0!</v>
      </c>
      <c r="AS88" s="14" t="e">
        <f t="shared" si="50"/>
        <v>#DIV/0!</v>
      </c>
      <c r="AT88" s="14" t="e">
        <f t="shared" si="50"/>
        <v>#DIV/0!</v>
      </c>
      <c r="AU88" s="14" t="e">
        <f t="shared" si="50"/>
        <v>#DIV/0!</v>
      </c>
      <c r="AV88" s="14" t="e">
        <f t="shared" si="50"/>
        <v>#DIV/0!</v>
      </c>
      <c r="AW88" s="14" t="e">
        <f t="shared" si="50"/>
        <v>#DIV/0!</v>
      </c>
      <c r="AX88" s="14" t="e">
        <f t="shared" si="50"/>
        <v>#DIV/0!</v>
      </c>
      <c r="AY88" s="14" t="e">
        <f t="shared" si="50"/>
        <v>#DIV/0!</v>
      </c>
      <c r="AZ88" s="14" t="e">
        <f t="shared" si="50"/>
        <v>#DIV/0!</v>
      </c>
      <c r="BA88" s="14" t="e">
        <f t="shared" si="50"/>
        <v>#DIV/0!</v>
      </c>
      <c r="BB88" s="14" t="e">
        <f t="shared" si="50"/>
        <v>#DIV/0!</v>
      </c>
      <c r="BC88" s="14" t="e">
        <f t="shared" si="50"/>
        <v>#DIV/0!</v>
      </c>
      <c r="BD88" s="14" t="e">
        <f t="shared" si="50"/>
        <v>#DIV/0!</v>
      </c>
      <c r="BE88" s="14" t="e">
        <f t="shared" si="50"/>
        <v>#DIV/0!</v>
      </c>
      <c r="BF88" s="14" t="e">
        <f t="shared" si="50"/>
        <v>#DIV/0!</v>
      </c>
      <c r="BG88" s="14" t="e">
        <f t="shared" si="50"/>
        <v>#DIV/0!</v>
      </c>
      <c r="BH88" s="14" t="e">
        <f t="shared" si="50"/>
        <v>#DIV/0!</v>
      </c>
      <c r="BI88" s="14" t="e">
        <f t="shared" si="50"/>
        <v>#DIV/0!</v>
      </c>
      <c r="BJ88" s="14" t="e">
        <f t="shared" si="50"/>
        <v>#DIV/0!</v>
      </c>
      <c r="BK88" s="14" t="e">
        <f t="shared" si="50"/>
        <v>#DIV/0!</v>
      </c>
      <c r="BL88" s="14" t="e">
        <f t="shared" si="50"/>
        <v>#DIV/0!</v>
      </c>
      <c r="BM88" s="14" t="e">
        <f t="shared" si="50"/>
        <v>#DIV/0!</v>
      </c>
      <c r="BN88" s="14" t="e">
        <f t="shared" si="50"/>
        <v>#DIV/0!</v>
      </c>
      <c r="BO88" s="14" t="e">
        <f t="shared" si="50"/>
        <v>#DIV/0!</v>
      </c>
      <c r="BP88" s="14" t="e">
        <f t="shared" si="50"/>
        <v>#DIV/0!</v>
      </c>
      <c r="BQ88" s="14" t="e">
        <f t="shared" si="50"/>
        <v>#DIV/0!</v>
      </c>
      <c r="BR88" s="14" t="e">
        <f t="shared" si="50"/>
        <v>#DIV/0!</v>
      </c>
      <c r="BS88" s="98"/>
    </row>
    <row r="89" spans="1:71" ht="21" hidden="1" customHeight="1" outlineLevel="1" thickBot="1" x14ac:dyDescent="0.4">
      <c r="A89" s="5">
        <f t="shared" si="34"/>
        <v>1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 t="str">
        <f t="shared" si="28"/>
        <v>Ar</v>
      </c>
      <c r="F89" s="14" t="e">
        <f t="shared" ref="F89" si="51">F13*$C$78</f>
        <v>#DIV/0!</v>
      </c>
      <c r="G89" s="14" t="e">
        <f t="shared" ref="G89:BR89" si="52">G13*$C$78</f>
        <v>#DIV/0!</v>
      </c>
      <c r="H89" s="14" t="e">
        <f t="shared" si="52"/>
        <v>#DIV/0!</v>
      </c>
      <c r="I89" s="14" t="e">
        <f t="shared" si="52"/>
        <v>#DIV/0!</v>
      </c>
      <c r="J89" s="14" t="e">
        <f t="shared" si="52"/>
        <v>#DIV/0!</v>
      </c>
      <c r="K89" s="14" t="e">
        <f t="shared" si="52"/>
        <v>#DIV/0!</v>
      </c>
      <c r="L89" s="14" t="e">
        <f t="shared" si="52"/>
        <v>#DIV/0!</v>
      </c>
      <c r="M89" s="14" t="e">
        <f t="shared" si="52"/>
        <v>#DIV/0!</v>
      </c>
      <c r="N89" s="14" t="e">
        <f t="shared" si="52"/>
        <v>#DIV/0!</v>
      </c>
      <c r="O89" s="14" t="e">
        <f t="shared" si="52"/>
        <v>#DIV/0!</v>
      </c>
      <c r="P89" s="14" t="e">
        <f t="shared" si="52"/>
        <v>#DIV/0!</v>
      </c>
      <c r="Q89" s="14" t="e">
        <f t="shared" si="52"/>
        <v>#DIV/0!</v>
      </c>
      <c r="R89" s="14" t="e">
        <f t="shared" si="52"/>
        <v>#DIV/0!</v>
      </c>
      <c r="S89" s="14" t="e">
        <f t="shared" si="52"/>
        <v>#DIV/0!</v>
      </c>
      <c r="T89" s="14" t="e">
        <f t="shared" si="52"/>
        <v>#DIV/0!</v>
      </c>
      <c r="U89" s="14" t="e">
        <f t="shared" si="52"/>
        <v>#DIV/0!</v>
      </c>
      <c r="V89" s="14" t="e">
        <f t="shared" si="52"/>
        <v>#DIV/0!</v>
      </c>
      <c r="W89" s="14" t="e">
        <f t="shared" si="52"/>
        <v>#DIV/0!</v>
      </c>
      <c r="X89" s="14" t="e">
        <f t="shared" si="52"/>
        <v>#DIV/0!</v>
      </c>
      <c r="Y89" s="14" t="e">
        <f t="shared" si="52"/>
        <v>#DIV/0!</v>
      </c>
      <c r="Z89" s="14" t="e">
        <f t="shared" si="52"/>
        <v>#DIV/0!</v>
      </c>
      <c r="AA89" s="14" t="e">
        <f t="shared" si="52"/>
        <v>#DIV/0!</v>
      </c>
      <c r="AB89" s="14" t="e">
        <f t="shared" si="52"/>
        <v>#DIV/0!</v>
      </c>
      <c r="AC89" s="14" t="e">
        <f t="shared" si="52"/>
        <v>#DIV/0!</v>
      </c>
      <c r="AD89" s="14" t="e">
        <f t="shared" si="52"/>
        <v>#DIV/0!</v>
      </c>
      <c r="AE89" s="14" t="e">
        <f t="shared" si="52"/>
        <v>#DIV/0!</v>
      </c>
      <c r="AF89" s="14" t="e">
        <f t="shared" si="52"/>
        <v>#DIV/0!</v>
      </c>
      <c r="AG89" s="14" t="e">
        <f t="shared" si="52"/>
        <v>#DIV/0!</v>
      </c>
      <c r="AH89" s="14" t="e">
        <f t="shared" si="52"/>
        <v>#DIV/0!</v>
      </c>
      <c r="AI89" s="14" t="e">
        <f t="shared" si="52"/>
        <v>#DIV/0!</v>
      </c>
      <c r="AJ89" s="14" t="e">
        <f t="shared" si="52"/>
        <v>#DIV/0!</v>
      </c>
      <c r="AK89" s="14" t="e">
        <f t="shared" si="52"/>
        <v>#DIV/0!</v>
      </c>
      <c r="AL89" s="14" t="e">
        <f t="shared" si="52"/>
        <v>#DIV/0!</v>
      </c>
      <c r="AM89" s="14" t="e">
        <f t="shared" si="52"/>
        <v>#DIV/0!</v>
      </c>
      <c r="AN89" s="14" t="e">
        <f t="shared" si="52"/>
        <v>#DIV/0!</v>
      </c>
      <c r="AO89" s="14" t="e">
        <f t="shared" si="52"/>
        <v>#DIV/0!</v>
      </c>
      <c r="AP89" s="14" t="e">
        <f t="shared" si="52"/>
        <v>#DIV/0!</v>
      </c>
      <c r="AQ89" s="14" t="e">
        <f t="shared" si="52"/>
        <v>#DIV/0!</v>
      </c>
      <c r="AR89" s="14" t="e">
        <f t="shared" si="52"/>
        <v>#DIV/0!</v>
      </c>
      <c r="AS89" s="14" t="e">
        <f t="shared" si="52"/>
        <v>#DIV/0!</v>
      </c>
      <c r="AT89" s="14" t="e">
        <f t="shared" si="52"/>
        <v>#DIV/0!</v>
      </c>
      <c r="AU89" s="14" t="e">
        <f t="shared" si="52"/>
        <v>#DIV/0!</v>
      </c>
      <c r="AV89" s="14" t="e">
        <f t="shared" si="52"/>
        <v>#DIV/0!</v>
      </c>
      <c r="AW89" s="14" t="e">
        <f t="shared" si="52"/>
        <v>#DIV/0!</v>
      </c>
      <c r="AX89" s="14" t="e">
        <f t="shared" si="52"/>
        <v>#DIV/0!</v>
      </c>
      <c r="AY89" s="14" t="e">
        <f t="shared" si="52"/>
        <v>#DIV/0!</v>
      </c>
      <c r="AZ89" s="14" t="e">
        <f t="shared" si="52"/>
        <v>#DIV/0!</v>
      </c>
      <c r="BA89" s="14" t="e">
        <f t="shared" si="52"/>
        <v>#DIV/0!</v>
      </c>
      <c r="BB89" s="14" t="e">
        <f t="shared" si="52"/>
        <v>#DIV/0!</v>
      </c>
      <c r="BC89" s="14" t="e">
        <f t="shared" si="52"/>
        <v>#DIV/0!</v>
      </c>
      <c r="BD89" s="14" t="e">
        <f t="shared" si="52"/>
        <v>#DIV/0!</v>
      </c>
      <c r="BE89" s="14" t="e">
        <f t="shared" si="52"/>
        <v>#DIV/0!</v>
      </c>
      <c r="BF89" s="14" t="e">
        <f t="shared" si="52"/>
        <v>#DIV/0!</v>
      </c>
      <c r="BG89" s="14" t="e">
        <f t="shared" si="52"/>
        <v>#DIV/0!</v>
      </c>
      <c r="BH89" s="14" t="e">
        <f t="shared" si="52"/>
        <v>#DIV/0!</v>
      </c>
      <c r="BI89" s="14" t="e">
        <f t="shared" si="52"/>
        <v>#DIV/0!</v>
      </c>
      <c r="BJ89" s="14" t="e">
        <f t="shared" si="52"/>
        <v>#DIV/0!</v>
      </c>
      <c r="BK89" s="14" t="e">
        <f t="shared" si="52"/>
        <v>#DIV/0!</v>
      </c>
      <c r="BL89" s="14" t="e">
        <f t="shared" si="52"/>
        <v>#DIV/0!</v>
      </c>
      <c r="BM89" s="14" t="e">
        <f t="shared" si="52"/>
        <v>#DIV/0!</v>
      </c>
      <c r="BN89" s="14" t="e">
        <f t="shared" si="52"/>
        <v>#DIV/0!</v>
      </c>
      <c r="BO89" s="14" t="e">
        <f t="shared" si="52"/>
        <v>#DIV/0!</v>
      </c>
      <c r="BP89" s="14" t="e">
        <f t="shared" si="52"/>
        <v>#DIV/0!</v>
      </c>
      <c r="BQ89" s="14" t="e">
        <f t="shared" si="52"/>
        <v>#DIV/0!</v>
      </c>
      <c r="BR89" s="14" t="e">
        <f t="shared" si="52"/>
        <v>#DIV/0!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(1)Ga[l]</v>
      </c>
      <c r="F90" s="14" t="e">
        <f t="shared" ref="F90" si="53">F14*$C$78</f>
        <v>#DIV/0!</v>
      </c>
      <c r="G90" s="14" t="e">
        <f t="shared" ref="G90:BR90" si="54">G14*$C$78</f>
        <v>#DIV/0!</v>
      </c>
      <c r="H90" s="14" t="e">
        <f t="shared" si="54"/>
        <v>#DIV/0!</v>
      </c>
      <c r="I90" s="14" t="e">
        <f t="shared" si="54"/>
        <v>#DIV/0!</v>
      </c>
      <c r="J90" s="14" t="e">
        <f t="shared" si="54"/>
        <v>#DIV/0!</v>
      </c>
      <c r="K90" s="14" t="e">
        <f t="shared" si="54"/>
        <v>#DIV/0!</v>
      </c>
      <c r="L90" s="14" t="e">
        <f t="shared" si="54"/>
        <v>#DIV/0!</v>
      </c>
      <c r="M90" s="14" t="e">
        <f t="shared" si="54"/>
        <v>#DIV/0!</v>
      </c>
      <c r="N90" s="14" t="e">
        <f t="shared" si="54"/>
        <v>#DIV/0!</v>
      </c>
      <c r="O90" s="14" t="e">
        <f t="shared" si="54"/>
        <v>#DIV/0!</v>
      </c>
      <c r="P90" s="14" t="e">
        <f t="shared" si="54"/>
        <v>#DIV/0!</v>
      </c>
      <c r="Q90" s="14" t="e">
        <f t="shared" si="54"/>
        <v>#DIV/0!</v>
      </c>
      <c r="R90" s="14" t="e">
        <f t="shared" si="54"/>
        <v>#DIV/0!</v>
      </c>
      <c r="S90" s="14" t="e">
        <f t="shared" si="54"/>
        <v>#DIV/0!</v>
      </c>
      <c r="T90" s="14" t="e">
        <f t="shared" si="54"/>
        <v>#DIV/0!</v>
      </c>
      <c r="U90" s="14" t="e">
        <f t="shared" si="54"/>
        <v>#DIV/0!</v>
      </c>
      <c r="V90" s="14" t="e">
        <f t="shared" si="54"/>
        <v>#DIV/0!</v>
      </c>
      <c r="W90" s="14" t="e">
        <f t="shared" si="54"/>
        <v>#DIV/0!</v>
      </c>
      <c r="X90" s="14" t="e">
        <f t="shared" si="54"/>
        <v>#DIV/0!</v>
      </c>
      <c r="Y90" s="14" t="e">
        <f t="shared" si="54"/>
        <v>#DIV/0!</v>
      </c>
      <c r="Z90" s="14" t="e">
        <f t="shared" si="54"/>
        <v>#DIV/0!</v>
      </c>
      <c r="AA90" s="14" t="e">
        <f t="shared" si="54"/>
        <v>#DIV/0!</v>
      </c>
      <c r="AB90" s="14" t="e">
        <f t="shared" si="54"/>
        <v>#DIV/0!</v>
      </c>
      <c r="AC90" s="14" t="e">
        <f t="shared" si="54"/>
        <v>#DIV/0!</v>
      </c>
      <c r="AD90" s="14" t="e">
        <f t="shared" si="54"/>
        <v>#DIV/0!</v>
      </c>
      <c r="AE90" s="14" t="e">
        <f t="shared" si="54"/>
        <v>#DIV/0!</v>
      </c>
      <c r="AF90" s="14" t="e">
        <f t="shared" si="54"/>
        <v>#DIV/0!</v>
      </c>
      <c r="AG90" s="14" t="e">
        <f t="shared" si="54"/>
        <v>#DIV/0!</v>
      </c>
      <c r="AH90" s="14" t="e">
        <f t="shared" si="54"/>
        <v>#DIV/0!</v>
      </c>
      <c r="AI90" s="14" t="e">
        <f t="shared" si="54"/>
        <v>#DIV/0!</v>
      </c>
      <c r="AJ90" s="14" t="e">
        <f t="shared" si="54"/>
        <v>#DIV/0!</v>
      </c>
      <c r="AK90" s="14" t="e">
        <f t="shared" si="54"/>
        <v>#DIV/0!</v>
      </c>
      <c r="AL90" s="14" t="e">
        <f t="shared" si="54"/>
        <v>#DIV/0!</v>
      </c>
      <c r="AM90" s="14" t="e">
        <f t="shared" si="54"/>
        <v>#DIV/0!</v>
      </c>
      <c r="AN90" s="14" t="e">
        <f t="shared" si="54"/>
        <v>#DIV/0!</v>
      </c>
      <c r="AO90" s="14" t="e">
        <f t="shared" si="54"/>
        <v>#DIV/0!</v>
      </c>
      <c r="AP90" s="14" t="e">
        <f t="shared" si="54"/>
        <v>#DIV/0!</v>
      </c>
      <c r="AQ90" s="14" t="e">
        <f t="shared" si="54"/>
        <v>#DIV/0!</v>
      </c>
      <c r="AR90" s="14" t="e">
        <f t="shared" si="54"/>
        <v>#DIV/0!</v>
      </c>
      <c r="AS90" s="14" t="e">
        <f t="shared" si="54"/>
        <v>#DIV/0!</v>
      </c>
      <c r="AT90" s="14" t="e">
        <f t="shared" si="54"/>
        <v>#DIV/0!</v>
      </c>
      <c r="AU90" s="14" t="e">
        <f t="shared" si="54"/>
        <v>#DIV/0!</v>
      </c>
      <c r="AV90" s="14" t="e">
        <f t="shared" si="54"/>
        <v>#DIV/0!</v>
      </c>
      <c r="AW90" s="14" t="e">
        <f t="shared" si="54"/>
        <v>#DIV/0!</v>
      </c>
      <c r="AX90" s="14" t="e">
        <f t="shared" si="54"/>
        <v>#DIV/0!</v>
      </c>
      <c r="AY90" s="14" t="e">
        <f t="shared" si="54"/>
        <v>#DIV/0!</v>
      </c>
      <c r="AZ90" s="14" t="e">
        <f t="shared" si="54"/>
        <v>#DIV/0!</v>
      </c>
      <c r="BA90" s="14" t="e">
        <f t="shared" si="54"/>
        <v>#DIV/0!</v>
      </c>
      <c r="BB90" s="14" t="e">
        <f t="shared" si="54"/>
        <v>#DIV/0!</v>
      </c>
      <c r="BC90" s="14" t="e">
        <f t="shared" si="54"/>
        <v>#DIV/0!</v>
      </c>
      <c r="BD90" s="14" t="e">
        <f t="shared" si="54"/>
        <v>#DIV/0!</v>
      </c>
      <c r="BE90" s="14" t="e">
        <f t="shared" si="54"/>
        <v>#DIV/0!</v>
      </c>
      <c r="BF90" s="14" t="e">
        <f t="shared" si="54"/>
        <v>#DIV/0!</v>
      </c>
      <c r="BG90" s="14" t="e">
        <f t="shared" si="54"/>
        <v>#DIV/0!</v>
      </c>
      <c r="BH90" s="14" t="e">
        <f t="shared" si="54"/>
        <v>#DIV/0!</v>
      </c>
      <c r="BI90" s="14" t="e">
        <f t="shared" si="54"/>
        <v>#DIV/0!</v>
      </c>
      <c r="BJ90" s="14" t="e">
        <f t="shared" si="54"/>
        <v>#DIV/0!</v>
      </c>
      <c r="BK90" s="14" t="e">
        <f t="shared" si="54"/>
        <v>#DIV/0!</v>
      </c>
      <c r="BL90" s="14" t="e">
        <f t="shared" si="54"/>
        <v>#DIV/0!</v>
      </c>
      <c r="BM90" s="14" t="e">
        <f t="shared" si="54"/>
        <v>#DIV/0!</v>
      </c>
      <c r="BN90" s="14" t="e">
        <f t="shared" si="54"/>
        <v>#DIV/0!</v>
      </c>
      <c r="BO90" s="14" t="e">
        <f t="shared" si="54"/>
        <v>#DIV/0!</v>
      </c>
      <c r="BP90" s="14" t="e">
        <f t="shared" si="54"/>
        <v>#DIV/0!</v>
      </c>
      <c r="BQ90" s="14" t="e">
        <f t="shared" si="54"/>
        <v>#DIV/0!</v>
      </c>
      <c r="BR90" s="14" t="e">
        <f t="shared" si="54"/>
        <v>#DIV/0!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1</v>
      </c>
      <c r="C91" s="5">
        <f t="shared" si="34"/>
        <v>1</v>
      </c>
      <c r="D91" s="5">
        <f t="shared" si="34"/>
        <v>0</v>
      </c>
      <c r="E91" s="6" t="str">
        <f t="shared" si="28"/>
        <v>(1)GeSe[l]</v>
      </c>
      <c r="F91" s="14" t="e">
        <f t="shared" ref="F91" si="55">F15*$C$78</f>
        <v>#DIV/0!</v>
      </c>
      <c r="G91" s="14" t="e">
        <f t="shared" ref="G91:BR91" si="56">G15*$C$78</f>
        <v>#DIV/0!</v>
      </c>
      <c r="H91" s="14" t="e">
        <f t="shared" si="56"/>
        <v>#DIV/0!</v>
      </c>
      <c r="I91" s="14" t="e">
        <f t="shared" si="56"/>
        <v>#DIV/0!</v>
      </c>
      <c r="J91" s="14" t="e">
        <f t="shared" si="56"/>
        <v>#DIV/0!</v>
      </c>
      <c r="K91" s="14" t="e">
        <f t="shared" si="56"/>
        <v>#DIV/0!</v>
      </c>
      <c r="L91" s="14" t="e">
        <f t="shared" si="56"/>
        <v>#DIV/0!</v>
      </c>
      <c r="M91" s="14" t="e">
        <f t="shared" si="56"/>
        <v>#DIV/0!</v>
      </c>
      <c r="N91" s="14" t="e">
        <f t="shared" si="56"/>
        <v>#DIV/0!</v>
      </c>
      <c r="O91" s="14" t="e">
        <f t="shared" si="56"/>
        <v>#DIV/0!</v>
      </c>
      <c r="P91" s="14" t="e">
        <f t="shared" si="56"/>
        <v>#DIV/0!</v>
      </c>
      <c r="Q91" s="14" t="e">
        <f t="shared" si="56"/>
        <v>#DIV/0!</v>
      </c>
      <c r="R91" s="14" t="e">
        <f t="shared" si="56"/>
        <v>#DIV/0!</v>
      </c>
      <c r="S91" s="14" t="e">
        <f t="shared" si="56"/>
        <v>#DIV/0!</v>
      </c>
      <c r="T91" s="14" t="e">
        <f t="shared" si="56"/>
        <v>#DIV/0!</v>
      </c>
      <c r="U91" s="14" t="e">
        <f t="shared" si="56"/>
        <v>#DIV/0!</v>
      </c>
      <c r="V91" s="14" t="e">
        <f t="shared" si="56"/>
        <v>#DIV/0!</v>
      </c>
      <c r="W91" s="14" t="e">
        <f t="shared" si="56"/>
        <v>#DIV/0!</v>
      </c>
      <c r="X91" s="14" t="e">
        <f t="shared" si="56"/>
        <v>#DIV/0!</v>
      </c>
      <c r="Y91" s="14" t="e">
        <f t="shared" si="56"/>
        <v>#DIV/0!</v>
      </c>
      <c r="Z91" s="14" t="e">
        <f t="shared" si="56"/>
        <v>#DIV/0!</v>
      </c>
      <c r="AA91" s="14" t="e">
        <f t="shared" si="56"/>
        <v>#DIV/0!</v>
      </c>
      <c r="AB91" s="14" t="e">
        <f t="shared" si="56"/>
        <v>#DIV/0!</v>
      </c>
      <c r="AC91" s="14" t="e">
        <f t="shared" si="56"/>
        <v>#DIV/0!</v>
      </c>
      <c r="AD91" s="14" t="e">
        <f t="shared" si="56"/>
        <v>#DIV/0!</v>
      </c>
      <c r="AE91" s="14" t="e">
        <f t="shared" si="56"/>
        <v>#DIV/0!</v>
      </c>
      <c r="AF91" s="14" t="e">
        <f t="shared" si="56"/>
        <v>#DIV/0!</v>
      </c>
      <c r="AG91" s="14" t="e">
        <f t="shared" si="56"/>
        <v>#DIV/0!</v>
      </c>
      <c r="AH91" s="14" t="e">
        <f t="shared" si="56"/>
        <v>#DIV/0!</v>
      </c>
      <c r="AI91" s="14" t="e">
        <f t="shared" si="56"/>
        <v>#DIV/0!</v>
      </c>
      <c r="AJ91" s="14" t="e">
        <f t="shared" si="56"/>
        <v>#DIV/0!</v>
      </c>
      <c r="AK91" s="14" t="e">
        <f t="shared" si="56"/>
        <v>#DIV/0!</v>
      </c>
      <c r="AL91" s="14" t="e">
        <f t="shared" si="56"/>
        <v>#DIV/0!</v>
      </c>
      <c r="AM91" s="14" t="e">
        <f t="shared" si="56"/>
        <v>#DIV/0!</v>
      </c>
      <c r="AN91" s="14" t="e">
        <f t="shared" si="56"/>
        <v>#DIV/0!</v>
      </c>
      <c r="AO91" s="14" t="e">
        <f t="shared" si="56"/>
        <v>#DIV/0!</v>
      </c>
      <c r="AP91" s="14" t="e">
        <f t="shared" si="56"/>
        <v>#DIV/0!</v>
      </c>
      <c r="AQ91" s="14" t="e">
        <f t="shared" si="56"/>
        <v>#DIV/0!</v>
      </c>
      <c r="AR91" s="14" t="e">
        <f t="shared" si="56"/>
        <v>#DIV/0!</v>
      </c>
      <c r="AS91" s="14" t="e">
        <f t="shared" si="56"/>
        <v>#DIV/0!</v>
      </c>
      <c r="AT91" s="14" t="e">
        <f t="shared" si="56"/>
        <v>#DIV/0!</v>
      </c>
      <c r="AU91" s="14" t="e">
        <f t="shared" si="56"/>
        <v>#DIV/0!</v>
      </c>
      <c r="AV91" s="14" t="e">
        <f t="shared" si="56"/>
        <v>#DIV/0!</v>
      </c>
      <c r="AW91" s="14" t="e">
        <f t="shared" si="56"/>
        <v>#DIV/0!</v>
      </c>
      <c r="AX91" s="14" t="e">
        <f t="shared" si="56"/>
        <v>#DIV/0!</v>
      </c>
      <c r="AY91" s="14" t="e">
        <f t="shared" si="56"/>
        <v>#DIV/0!</v>
      </c>
      <c r="AZ91" s="14" t="e">
        <f t="shared" si="56"/>
        <v>#DIV/0!</v>
      </c>
      <c r="BA91" s="14" t="e">
        <f t="shared" si="56"/>
        <v>#DIV/0!</v>
      </c>
      <c r="BB91" s="14" t="e">
        <f t="shared" si="56"/>
        <v>#DIV/0!</v>
      </c>
      <c r="BC91" s="14" t="e">
        <f t="shared" si="56"/>
        <v>#DIV/0!</v>
      </c>
      <c r="BD91" s="14" t="e">
        <f t="shared" si="56"/>
        <v>#DIV/0!</v>
      </c>
      <c r="BE91" s="14" t="e">
        <f t="shared" si="56"/>
        <v>#DIV/0!</v>
      </c>
      <c r="BF91" s="14" t="e">
        <f t="shared" si="56"/>
        <v>#DIV/0!</v>
      </c>
      <c r="BG91" s="14" t="e">
        <f t="shared" si="56"/>
        <v>#DIV/0!</v>
      </c>
      <c r="BH91" s="14" t="e">
        <f t="shared" si="56"/>
        <v>#DIV/0!</v>
      </c>
      <c r="BI91" s="14" t="e">
        <f t="shared" si="56"/>
        <v>#DIV/0!</v>
      </c>
      <c r="BJ91" s="14" t="e">
        <f t="shared" si="56"/>
        <v>#DIV/0!</v>
      </c>
      <c r="BK91" s="14" t="e">
        <f t="shared" si="56"/>
        <v>#DIV/0!</v>
      </c>
      <c r="BL91" s="14" t="e">
        <f t="shared" si="56"/>
        <v>#DIV/0!</v>
      </c>
      <c r="BM91" s="14" t="e">
        <f t="shared" si="56"/>
        <v>#DIV/0!</v>
      </c>
      <c r="BN91" s="14" t="e">
        <f t="shared" si="56"/>
        <v>#DIV/0!</v>
      </c>
      <c r="BO91" s="14" t="e">
        <f t="shared" si="56"/>
        <v>#DIV/0!</v>
      </c>
      <c r="BP91" s="14" t="e">
        <f t="shared" si="56"/>
        <v>#DIV/0!</v>
      </c>
      <c r="BQ91" s="14" t="e">
        <f t="shared" si="56"/>
        <v>#DIV/0!</v>
      </c>
      <c r="BR91" s="14" t="e">
        <f t="shared" si="56"/>
        <v>#DIV/0!</v>
      </c>
      <c r="BS91" s="98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1</v>
      </c>
      <c r="D92" s="5">
        <f t="shared" si="34"/>
        <v>0</v>
      </c>
      <c r="E92" s="6" t="str">
        <f t="shared" si="28"/>
        <v>(l)Ge[l]</v>
      </c>
      <c r="F92" s="14" t="e">
        <f t="shared" ref="F92" si="57">F16*$C$78</f>
        <v>#DIV/0!</v>
      </c>
      <c r="G92" s="14" t="e">
        <f t="shared" ref="G92:BR92" si="58">G16*$C$78</f>
        <v>#DIV/0!</v>
      </c>
      <c r="H92" s="14" t="e">
        <f t="shared" si="58"/>
        <v>#DIV/0!</v>
      </c>
      <c r="I92" s="14" t="e">
        <f t="shared" si="58"/>
        <v>#DIV/0!</v>
      </c>
      <c r="J92" s="14" t="e">
        <f t="shared" si="58"/>
        <v>#DIV/0!</v>
      </c>
      <c r="K92" s="14" t="e">
        <f t="shared" si="58"/>
        <v>#DIV/0!</v>
      </c>
      <c r="L92" s="14" t="e">
        <f t="shared" si="58"/>
        <v>#DIV/0!</v>
      </c>
      <c r="M92" s="14" t="e">
        <f t="shared" si="58"/>
        <v>#DIV/0!</v>
      </c>
      <c r="N92" s="14" t="e">
        <f t="shared" si="58"/>
        <v>#DIV/0!</v>
      </c>
      <c r="O92" s="14" t="e">
        <f t="shared" si="58"/>
        <v>#DIV/0!</v>
      </c>
      <c r="P92" s="14" t="e">
        <f t="shared" si="58"/>
        <v>#DIV/0!</v>
      </c>
      <c r="Q92" s="14" t="e">
        <f t="shared" si="58"/>
        <v>#DIV/0!</v>
      </c>
      <c r="R92" s="14" t="e">
        <f t="shared" si="58"/>
        <v>#DIV/0!</v>
      </c>
      <c r="S92" s="14" t="e">
        <f t="shared" si="58"/>
        <v>#DIV/0!</v>
      </c>
      <c r="T92" s="14" t="e">
        <f t="shared" si="58"/>
        <v>#DIV/0!</v>
      </c>
      <c r="U92" s="14" t="e">
        <f t="shared" si="58"/>
        <v>#DIV/0!</v>
      </c>
      <c r="V92" s="14" t="e">
        <f t="shared" si="58"/>
        <v>#DIV/0!</v>
      </c>
      <c r="W92" s="14" t="e">
        <f t="shared" si="58"/>
        <v>#DIV/0!</v>
      </c>
      <c r="X92" s="14" t="e">
        <f t="shared" si="58"/>
        <v>#DIV/0!</v>
      </c>
      <c r="Y92" s="14" t="e">
        <f t="shared" si="58"/>
        <v>#DIV/0!</v>
      </c>
      <c r="Z92" s="14" t="e">
        <f t="shared" si="58"/>
        <v>#DIV/0!</v>
      </c>
      <c r="AA92" s="14" t="e">
        <f t="shared" si="58"/>
        <v>#DIV/0!</v>
      </c>
      <c r="AB92" s="14" t="e">
        <f t="shared" si="58"/>
        <v>#DIV/0!</v>
      </c>
      <c r="AC92" s="14" t="e">
        <f t="shared" si="58"/>
        <v>#DIV/0!</v>
      </c>
      <c r="AD92" s="14" t="e">
        <f t="shared" si="58"/>
        <v>#DIV/0!</v>
      </c>
      <c r="AE92" s="14" t="e">
        <f t="shared" si="58"/>
        <v>#DIV/0!</v>
      </c>
      <c r="AF92" s="14" t="e">
        <f t="shared" si="58"/>
        <v>#DIV/0!</v>
      </c>
      <c r="AG92" s="14" t="e">
        <f t="shared" si="58"/>
        <v>#DIV/0!</v>
      </c>
      <c r="AH92" s="14" t="e">
        <f t="shared" si="58"/>
        <v>#DIV/0!</v>
      </c>
      <c r="AI92" s="14" t="e">
        <f t="shared" si="58"/>
        <v>#DIV/0!</v>
      </c>
      <c r="AJ92" s="14" t="e">
        <f t="shared" si="58"/>
        <v>#DIV/0!</v>
      </c>
      <c r="AK92" s="14" t="e">
        <f t="shared" si="58"/>
        <v>#DIV/0!</v>
      </c>
      <c r="AL92" s="14" t="e">
        <f t="shared" si="58"/>
        <v>#DIV/0!</v>
      </c>
      <c r="AM92" s="14" t="e">
        <f t="shared" si="58"/>
        <v>#DIV/0!</v>
      </c>
      <c r="AN92" s="14" t="e">
        <f t="shared" si="58"/>
        <v>#DIV/0!</v>
      </c>
      <c r="AO92" s="14" t="e">
        <f t="shared" si="58"/>
        <v>#DIV/0!</v>
      </c>
      <c r="AP92" s="14" t="e">
        <f t="shared" si="58"/>
        <v>#DIV/0!</v>
      </c>
      <c r="AQ92" s="14" t="e">
        <f t="shared" si="58"/>
        <v>#DIV/0!</v>
      </c>
      <c r="AR92" s="14" t="e">
        <f t="shared" si="58"/>
        <v>#DIV/0!</v>
      </c>
      <c r="AS92" s="14" t="e">
        <f t="shared" si="58"/>
        <v>#DIV/0!</v>
      </c>
      <c r="AT92" s="14" t="e">
        <f t="shared" si="58"/>
        <v>#DIV/0!</v>
      </c>
      <c r="AU92" s="14" t="e">
        <f t="shared" si="58"/>
        <v>#DIV/0!</v>
      </c>
      <c r="AV92" s="14" t="e">
        <f t="shared" si="58"/>
        <v>#DIV/0!</v>
      </c>
      <c r="AW92" s="14" t="e">
        <f t="shared" si="58"/>
        <v>#DIV/0!</v>
      </c>
      <c r="AX92" s="14" t="e">
        <f t="shared" si="58"/>
        <v>#DIV/0!</v>
      </c>
      <c r="AY92" s="14" t="e">
        <f t="shared" si="58"/>
        <v>#DIV/0!</v>
      </c>
      <c r="AZ92" s="14" t="e">
        <f t="shared" si="58"/>
        <v>#DIV/0!</v>
      </c>
      <c r="BA92" s="14" t="e">
        <f t="shared" si="58"/>
        <v>#DIV/0!</v>
      </c>
      <c r="BB92" s="14" t="e">
        <f t="shared" si="58"/>
        <v>#DIV/0!</v>
      </c>
      <c r="BC92" s="14" t="e">
        <f t="shared" si="58"/>
        <v>#DIV/0!</v>
      </c>
      <c r="BD92" s="14" t="e">
        <f t="shared" si="58"/>
        <v>#DIV/0!</v>
      </c>
      <c r="BE92" s="14" t="e">
        <f t="shared" si="58"/>
        <v>#DIV/0!</v>
      </c>
      <c r="BF92" s="14" t="e">
        <f t="shared" si="58"/>
        <v>#DIV/0!</v>
      </c>
      <c r="BG92" s="14" t="e">
        <f t="shared" si="58"/>
        <v>#DIV/0!</v>
      </c>
      <c r="BH92" s="14" t="e">
        <f t="shared" si="58"/>
        <v>#DIV/0!</v>
      </c>
      <c r="BI92" s="14" t="e">
        <f t="shared" si="58"/>
        <v>#DIV/0!</v>
      </c>
      <c r="BJ92" s="14" t="e">
        <f t="shared" si="58"/>
        <v>#DIV/0!</v>
      </c>
      <c r="BK92" s="14" t="e">
        <f t="shared" si="58"/>
        <v>#DIV/0!</v>
      </c>
      <c r="BL92" s="14" t="e">
        <f t="shared" si="58"/>
        <v>#DIV/0!</v>
      </c>
      <c r="BM92" s="14" t="e">
        <f t="shared" si="58"/>
        <v>#DIV/0!</v>
      </c>
      <c r="BN92" s="14" t="e">
        <f t="shared" si="58"/>
        <v>#DIV/0!</v>
      </c>
      <c r="BO92" s="14" t="e">
        <f t="shared" si="58"/>
        <v>#DIV/0!</v>
      </c>
      <c r="BP92" s="14" t="e">
        <f t="shared" si="58"/>
        <v>#DIV/0!</v>
      </c>
      <c r="BQ92" s="14" t="e">
        <f t="shared" si="58"/>
        <v>#DIV/0!</v>
      </c>
      <c r="BR92" s="14" t="e">
        <f t="shared" si="58"/>
        <v>#DIV/0!</v>
      </c>
      <c r="BS92" s="98"/>
    </row>
    <row r="93" spans="1:71" ht="21" hidden="1" customHeight="1" outlineLevel="1" thickBot="1" x14ac:dyDescent="0.4">
      <c r="A93" s="5">
        <f t="shared" si="34"/>
        <v>1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 t="str">
        <f t="shared" si="28"/>
        <v>H (Ar)</v>
      </c>
      <c r="F93" s="14" t="e">
        <f t="shared" ref="F93" si="59">F17*$C$78</f>
        <v>#DIV/0!</v>
      </c>
      <c r="G93" s="14" t="e">
        <f t="shared" ref="G93:BR93" si="60">G17*$C$78</f>
        <v>#DIV/0!</v>
      </c>
      <c r="H93" s="14" t="e">
        <f t="shared" si="60"/>
        <v>#DIV/0!</v>
      </c>
      <c r="I93" s="14" t="e">
        <f t="shared" si="60"/>
        <v>#DIV/0!</v>
      </c>
      <c r="J93" s="14" t="e">
        <f t="shared" si="60"/>
        <v>#DIV/0!</v>
      </c>
      <c r="K93" s="14" t="e">
        <f t="shared" si="60"/>
        <v>#DIV/0!</v>
      </c>
      <c r="L93" s="14" t="e">
        <f t="shared" si="60"/>
        <v>#DIV/0!</v>
      </c>
      <c r="M93" s="14" t="e">
        <f t="shared" si="60"/>
        <v>#DIV/0!</v>
      </c>
      <c r="N93" s="14" t="e">
        <f t="shared" si="60"/>
        <v>#DIV/0!</v>
      </c>
      <c r="O93" s="14" t="e">
        <f t="shared" si="60"/>
        <v>#DIV/0!</v>
      </c>
      <c r="P93" s="14" t="e">
        <f t="shared" si="60"/>
        <v>#DIV/0!</v>
      </c>
      <c r="Q93" s="14" t="e">
        <f t="shared" si="60"/>
        <v>#DIV/0!</v>
      </c>
      <c r="R93" s="14" t="e">
        <f t="shared" si="60"/>
        <v>#DIV/0!</v>
      </c>
      <c r="S93" s="14" t="e">
        <f t="shared" si="60"/>
        <v>#DIV/0!</v>
      </c>
      <c r="T93" s="14" t="e">
        <f t="shared" si="60"/>
        <v>#DIV/0!</v>
      </c>
      <c r="U93" s="14" t="e">
        <f t="shared" si="60"/>
        <v>#DIV/0!</v>
      </c>
      <c r="V93" s="14" t="e">
        <f t="shared" si="60"/>
        <v>#DIV/0!</v>
      </c>
      <c r="W93" s="14" t="e">
        <f t="shared" si="60"/>
        <v>#DIV/0!</v>
      </c>
      <c r="X93" s="14" t="e">
        <f t="shared" si="60"/>
        <v>#DIV/0!</v>
      </c>
      <c r="Y93" s="14" t="e">
        <f t="shared" si="60"/>
        <v>#DIV/0!</v>
      </c>
      <c r="Z93" s="14" t="e">
        <f t="shared" si="60"/>
        <v>#DIV/0!</v>
      </c>
      <c r="AA93" s="14" t="e">
        <f t="shared" si="60"/>
        <v>#DIV/0!</v>
      </c>
      <c r="AB93" s="14" t="e">
        <f t="shared" si="60"/>
        <v>#DIV/0!</v>
      </c>
      <c r="AC93" s="14" t="e">
        <f t="shared" si="60"/>
        <v>#DIV/0!</v>
      </c>
      <c r="AD93" s="14" t="e">
        <f t="shared" si="60"/>
        <v>#DIV/0!</v>
      </c>
      <c r="AE93" s="14" t="e">
        <f t="shared" si="60"/>
        <v>#DIV/0!</v>
      </c>
      <c r="AF93" s="14" t="e">
        <f t="shared" si="60"/>
        <v>#DIV/0!</v>
      </c>
      <c r="AG93" s="14" t="e">
        <f t="shared" si="60"/>
        <v>#DIV/0!</v>
      </c>
      <c r="AH93" s="14" t="e">
        <f t="shared" si="60"/>
        <v>#DIV/0!</v>
      </c>
      <c r="AI93" s="14" t="e">
        <f t="shared" si="60"/>
        <v>#DIV/0!</v>
      </c>
      <c r="AJ93" s="14" t="e">
        <f t="shared" si="60"/>
        <v>#DIV/0!</v>
      </c>
      <c r="AK93" s="14" t="e">
        <f t="shared" si="60"/>
        <v>#DIV/0!</v>
      </c>
      <c r="AL93" s="14" t="e">
        <f t="shared" si="60"/>
        <v>#DIV/0!</v>
      </c>
      <c r="AM93" s="14" t="e">
        <f t="shared" si="60"/>
        <v>#DIV/0!</v>
      </c>
      <c r="AN93" s="14" t="e">
        <f t="shared" si="60"/>
        <v>#DIV/0!</v>
      </c>
      <c r="AO93" s="14" t="e">
        <f t="shared" si="60"/>
        <v>#DIV/0!</v>
      </c>
      <c r="AP93" s="14" t="e">
        <f t="shared" si="60"/>
        <v>#DIV/0!</v>
      </c>
      <c r="AQ93" s="14" t="e">
        <f t="shared" si="60"/>
        <v>#DIV/0!</v>
      </c>
      <c r="AR93" s="14" t="e">
        <f t="shared" si="60"/>
        <v>#DIV/0!</v>
      </c>
      <c r="AS93" s="14" t="e">
        <f t="shared" si="60"/>
        <v>#DIV/0!</v>
      </c>
      <c r="AT93" s="14" t="e">
        <f t="shared" si="60"/>
        <v>#DIV/0!</v>
      </c>
      <c r="AU93" s="14" t="e">
        <f t="shared" si="60"/>
        <v>#DIV/0!</v>
      </c>
      <c r="AV93" s="14" t="e">
        <f t="shared" si="60"/>
        <v>#DIV/0!</v>
      </c>
      <c r="AW93" s="14" t="e">
        <f t="shared" si="60"/>
        <v>#DIV/0!</v>
      </c>
      <c r="AX93" s="14" t="e">
        <f t="shared" si="60"/>
        <v>#DIV/0!</v>
      </c>
      <c r="AY93" s="14" t="e">
        <f t="shared" si="60"/>
        <v>#DIV/0!</v>
      </c>
      <c r="AZ93" s="14" t="e">
        <f t="shared" si="60"/>
        <v>#DIV/0!</v>
      </c>
      <c r="BA93" s="14" t="e">
        <f t="shared" si="60"/>
        <v>#DIV/0!</v>
      </c>
      <c r="BB93" s="14" t="e">
        <f t="shared" si="60"/>
        <v>#DIV/0!</v>
      </c>
      <c r="BC93" s="14" t="e">
        <f t="shared" si="60"/>
        <v>#DIV/0!</v>
      </c>
      <c r="BD93" s="14" t="e">
        <f t="shared" si="60"/>
        <v>#DIV/0!</v>
      </c>
      <c r="BE93" s="14" t="e">
        <f t="shared" si="60"/>
        <v>#DIV/0!</v>
      </c>
      <c r="BF93" s="14" t="e">
        <f t="shared" si="60"/>
        <v>#DIV/0!</v>
      </c>
      <c r="BG93" s="14" t="e">
        <f t="shared" si="60"/>
        <v>#DIV/0!</v>
      </c>
      <c r="BH93" s="14" t="e">
        <f t="shared" si="60"/>
        <v>#DIV/0!</v>
      </c>
      <c r="BI93" s="14" t="e">
        <f t="shared" si="60"/>
        <v>#DIV/0!</v>
      </c>
      <c r="BJ93" s="14" t="e">
        <f t="shared" si="60"/>
        <v>#DIV/0!</v>
      </c>
      <c r="BK93" s="14" t="e">
        <f t="shared" si="60"/>
        <v>#DIV/0!</v>
      </c>
      <c r="BL93" s="14" t="e">
        <f t="shared" si="60"/>
        <v>#DIV/0!</v>
      </c>
      <c r="BM93" s="14" t="e">
        <f t="shared" si="60"/>
        <v>#DIV/0!</v>
      </c>
      <c r="BN93" s="14" t="e">
        <f t="shared" si="60"/>
        <v>#DIV/0!</v>
      </c>
      <c r="BO93" s="14" t="e">
        <f t="shared" si="60"/>
        <v>#DIV/0!</v>
      </c>
      <c r="BP93" s="14" t="e">
        <f t="shared" si="60"/>
        <v>#DIV/0!</v>
      </c>
      <c r="BQ93" s="14" t="e">
        <f t="shared" si="60"/>
        <v>#DIV/0!</v>
      </c>
      <c r="BR93" s="14" t="e">
        <f t="shared" si="60"/>
        <v>#DIV/0!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1</v>
      </c>
      <c r="E94" s="6" t="str">
        <f t="shared" si="28"/>
        <v>H (Ga)</v>
      </c>
      <c r="F94" s="14" t="e">
        <f t="shared" ref="F94" si="61">F18*$C$78</f>
        <v>#DIV/0!</v>
      </c>
      <c r="G94" s="14" t="e">
        <f t="shared" ref="G94:BR94" si="62">G18*$C$78</f>
        <v>#DIV/0!</v>
      </c>
      <c r="H94" s="14" t="e">
        <f t="shared" si="62"/>
        <v>#DIV/0!</v>
      </c>
      <c r="I94" s="14" t="e">
        <f t="shared" si="62"/>
        <v>#DIV/0!</v>
      </c>
      <c r="J94" s="14" t="e">
        <f t="shared" si="62"/>
        <v>#DIV/0!</v>
      </c>
      <c r="K94" s="14" t="e">
        <f t="shared" si="62"/>
        <v>#DIV/0!</v>
      </c>
      <c r="L94" s="14" t="e">
        <f t="shared" si="62"/>
        <v>#DIV/0!</v>
      </c>
      <c r="M94" s="14" t="e">
        <f t="shared" si="62"/>
        <v>#DIV/0!</v>
      </c>
      <c r="N94" s="14" t="e">
        <f t="shared" si="62"/>
        <v>#DIV/0!</v>
      </c>
      <c r="O94" s="14" t="e">
        <f t="shared" si="62"/>
        <v>#DIV/0!</v>
      </c>
      <c r="P94" s="14" t="e">
        <f t="shared" si="62"/>
        <v>#DIV/0!</v>
      </c>
      <c r="Q94" s="14" t="e">
        <f t="shared" si="62"/>
        <v>#DIV/0!</v>
      </c>
      <c r="R94" s="14" t="e">
        <f t="shared" si="62"/>
        <v>#DIV/0!</v>
      </c>
      <c r="S94" s="14" t="e">
        <f t="shared" si="62"/>
        <v>#DIV/0!</v>
      </c>
      <c r="T94" s="14" t="e">
        <f t="shared" si="62"/>
        <v>#DIV/0!</v>
      </c>
      <c r="U94" s="14" t="e">
        <f t="shared" si="62"/>
        <v>#DIV/0!</v>
      </c>
      <c r="V94" s="14" t="e">
        <f t="shared" si="62"/>
        <v>#DIV/0!</v>
      </c>
      <c r="W94" s="14" t="e">
        <f t="shared" si="62"/>
        <v>#DIV/0!</v>
      </c>
      <c r="X94" s="14" t="e">
        <f t="shared" si="62"/>
        <v>#DIV/0!</v>
      </c>
      <c r="Y94" s="14" t="e">
        <f t="shared" si="62"/>
        <v>#DIV/0!</v>
      </c>
      <c r="Z94" s="14" t="e">
        <f t="shared" si="62"/>
        <v>#DIV/0!</v>
      </c>
      <c r="AA94" s="14" t="e">
        <f t="shared" si="62"/>
        <v>#DIV/0!</v>
      </c>
      <c r="AB94" s="14" t="e">
        <f t="shared" si="62"/>
        <v>#DIV/0!</v>
      </c>
      <c r="AC94" s="14" t="e">
        <f t="shared" si="62"/>
        <v>#DIV/0!</v>
      </c>
      <c r="AD94" s="14" t="e">
        <f t="shared" si="62"/>
        <v>#DIV/0!</v>
      </c>
      <c r="AE94" s="14" t="e">
        <f t="shared" si="62"/>
        <v>#DIV/0!</v>
      </c>
      <c r="AF94" s="14" t="e">
        <f t="shared" si="62"/>
        <v>#DIV/0!</v>
      </c>
      <c r="AG94" s="14" t="e">
        <f t="shared" si="62"/>
        <v>#DIV/0!</v>
      </c>
      <c r="AH94" s="14" t="e">
        <f t="shared" si="62"/>
        <v>#DIV/0!</v>
      </c>
      <c r="AI94" s="14" t="e">
        <f t="shared" si="62"/>
        <v>#DIV/0!</v>
      </c>
      <c r="AJ94" s="14" t="e">
        <f t="shared" si="62"/>
        <v>#DIV/0!</v>
      </c>
      <c r="AK94" s="14" t="e">
        <f t="shared" si="62"/>
        <v>#DIV/0!</v>
      </c>
      <c r="AL94" s="14" t="e">
        <f t="shared" si="62"/>
        <v>#DIV/0!</v>
      </c>
      <c r="AM94" s="14" t="e">
        <f t="shared" si="62"/>
        <v>#DIV/0!</v>
      </c>
      <c r="AN94" s="14" t="e">
        <f t="shared" si="62"/>
        <v>#DIV/0!</v>
      </c>
      <c r="AO94" s="14" t="e">
        <f t="shared" si="62"/>
        <v>#DIV/0!</v>
      </c>
      <c r="AP94" s="14" t="e">
        <f t="shared" si="62"/>
        <v>#DIV/0!</v>
      </c>
      <c r="AQ94" s="14" t="e">
        <f t="shared" si="62"/>
        <v>#DIV/0!</v>
      </c>
      <c r="AR94" s="14" t="e">
        <f t="shared" si="62"/>
        <v>#DIV/0!</v>
      </c>
      <c r="AS94" s="14" t="e">
        <f t="shared" si="62"/>
        <v>#DIV/0!</v>
      </c>
      <c r="AT94" s="14" t="e">
        <f t="shared" si="62"/>
        <v>#DIV/0!</v>
      </c>
      <c r="AU94" s="14" t="e">
        <f t="shared" si="62"/>
        <v>#DIV/0!</v>
      </c>
      <c r="AV94" s="14" t="e">
        <f t="shared" si="62"/>
        <v>#DIV/0!</v>
      </c>
      <c r="AW94" s="14" t="e">
        <f t="shared" si="62"/>
        <v>#DIV/0!</v>
      </c>
      <c r="AX94" s="14" t="e">
        <f t="shared" si="62"/>
        <v>#DIV/0!</v>
      </c>
      <c r="AY94" s="14" t="e">
        <f t="shared" si="62"/>
        <v>#DIV/0!</v>
      </c>
      <c r="AZ94" s="14" t="e">
        <f t="shared" si="62"/>
        <v>#DIV/0!</v>
      </c>
      <c r="BA94" s="14" t="e">
        <f t="shared" si="62"/>
        <v>#DIV/0!</v>
      </c>
      <c r="BB94" s="14" t="e">
        <f t="shared" si="62"/>
        <v>#DIV/0!</v>
      </c>
      <c r="BC94" s="14" t="e">
        <f t="shared" si="62"/>
        <v>#DIV/0!</v>
      </c>
      <c r="BD94" s="14" t="e">
        <f t="shared" si="62"/>
        <v>#DIV/0!</v>
      </c>
      <c r="BE94" s="14" t="e">
        <f t="shared" si="62"/>
        <v>#DIV/0!</v>
      </c>
      <c r="BF94" s="14" t="e">
        <f t="shared" si="62"/>
        <v>#DIV/0!</v>
      </c>
      <c r="BG94" s="14" t="e">
        <f t="shared" si="62"/>
        <v>#DIV/0!</v>
      </c>
      <c r="BH94" s="14" t="e">
        <f t="shared" si="62"/>
        <v>#DIV/0!</v>
      </c>
      <c r="BI94" s="14" t="e">
        <f t="shared" si="62"/>
        <v>#DIV/0!</v>
      </c>
      <c r="BJ94" s="14" t="e">
        <f t="shared" si="62"/>
        <v>#DIV/0!</v>
      </c>
      <c r="BK94" s="14" t="e">
        <f t="shared" si="62"/>
        <v>#DIV/0!</v>
      </c>
      <c r="BL94" s="14" t="e">
        <f t="shared" si="62"/>
        <v>#DIV/0!</v>
      </c>
      <c r="BM94" s="14" t="e">
        <f t="shared" si="62"/>
        <v>#DIV/0!</v>
      </c>
      <c r="BN94" s="14" t="e">
        <f t="shared" si="62"/>
        <v>#DIV/0!</v>
      </c>
      <c r="BO94" s="14" t="e">
        <f t="shared" si="62"/>
        <v>#DIV/0!</v>
      </c>
      <c r="BP94" s="14" t="e">
        <f t="shared" si="62"/>
        <v>#DIV/0!</v>
      </c>
      <c r="BQ94" s="14" t="e">
        <f t="shared" si="62"/>
        <v>#DIV/0!</v>
      </c>
      <c r="BR94" s="14" t="e">
        <f t="shared" si="62"/>
        <v>#DIV/0!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1</v>
      </c>
      <c r="D95" s="5">
        <f t="shared" si="34"/>
        <v>0</v>
      </c>
      <c r="E95" s="6" t="str">
        <f t="shared" si="28"/>
        <v>H (Ge)</v>
      </c>
      <c r="F95" s="14" t="e">
        <f t="shared" ref="F95" si="63">F19*$C$78</f>
        <v>#DIV/0!</v>
      </c>
      <c r="G95" s="14" t="e">
        <f t="shared" ref="G95:BR95" si="64">G19*$C$78</f>
        <v>#DIV/0!</v>
      </c>
      <c r="H95" s="14" t="e">
        <f t="shared" si="64"/>
        <v>#DIV/0!</v>
      </c>
      <c r="I95" s="14" t="e">
        <f t="shared" si="64"/>
        <v>#DIV/0!</v>
      </c>
      <c r="J95" s="14" t="e">
        <f t="shared" si="64"/>
        <v>#DIV/0!</v>
      </c>
      <c r="K95" s="14" t="e">
        <f t="shared" si="64"/>
        <v>#DIV/0!</v>
      </c>
      <c r="L95" s="14" t="e">
        <f t="shared" si="64"/>
        <v>#DIV/0!</v>
      </c>
      <c r="M95" s="14" t="e">
        <f t="shared" si="64"/>
        <v>#DIV/0!</v>
      </c>
      <c r="N95" s="14" t="e">
        <f t="shared" si="64"/>
        <v>#DIV/0!</v>
      </c>
      <c r="O95" s="14" t="e">
        <f t="shared" si="64"/>
        <v>#DIV/0!</v>
      </c>
      <c r="P95" s="14" t="e">
        <f t="shared" si="64"/>
        <v>#DIV/0!</v>
      </c>
      <c r="Q95" s="14" t="e">
        <f t="shared" si="64"/>
        <v>#DIV/0!</v>
      </c>
      <c r="R95" s="14" t="e">
        <f t="shared" si="64"/>
        <v>#DIV/0!</v>
      </c>
      <c r="S95" s="14" t="e">
        <f t="shared" si="64"/>
        <v>#DIV/0!</v>
      </c>
      <c r="T95" s="14" t="e">
        <f t="shared" si="64"/>
        <v>#DIV/0!</v>
      </c>
      <c r="U95" s="14" t="e">
        <f t="shared" si="64"/>
        <v>#DIV/0!</v>
      </c>
      <c r="V95" s="14" t="e">
        <f t="shared" si="64"/>
        <v>#DIV/0!</v>
      </c>
      <c r="W95" s="14" t="e">
        <f t="shared" si="64"/>
        <v>#DIV/0!</v>
      </c>
      <c r="X95" s="14" t="e">
        <f t="shared" si="64"/>
        <v>#DIV/0!</v>
      </c>
      <c r="Y95" s="14" t="e">
        <f t="shared" si="64"/>
        <v>#DIV/0!</v>
      </c>
      <c r="Z95" s="14" t="e">
        <f t="shared" si="64"/>
        <v>#DIV/0!</v>
      </c>
      <c r="AA95" s="14" t="e">
        <f t="shared" si="64"/>
        <v>#DIV/0!</v>
      </c>
      <c r="AB95" s="14" t="e">
        <f t="shared" si="64"/>
        <v>#DIV/0!</v>
      </c>
      <c r="AC95" s="14" t="e">
        <f t="shared" si="64"/>
        <v>#DIV/0!</v>
      </c>
      <c r="AD95" s="14" t="e">
        <f t="shared" si="64"/>
        <v>#DIV/0!</v>
      </c>
      <c r="AE95" s="14" t="e">
        <f t="shared" si="64"/>
        <v>#DIV/0!</v>
      </c>
      <c r="AF95" s="14" t="e">
        <f t="shared" si="64"/>
        <v>#DIV/0!</v>
      </c>
      <c r="AG95" s="14" t="e">
        <f t="shared" si="64"/>
        <v>#DIV/0!</v>
      </c>
      <c r="AH95" s="14" t="e">
        <f t="shared" si="64"/>
        <v>#DIV/0!</v>
      </c>
      <c r="AI95" s="14" t="e">
        <f t="shared" si="64"/>
        <v>#DIV/0!</v>
      </c>
      <c r="AJ95" s="14" t="e">
        <f t="shared" si="64"/>
        <v>#DIV/0!</v>
      </c>
      <c r="AK95" s="14" t="e">
        <f t="shared" si="64"/>
        <v>#DIV/0!</v>
      </c>
      <c r="AL95" s="14" t="e">
        <f t="shared" si="64"/>
        <v>#DIV/0!</v>
      </c>
      <c r="AM95" s="14" t="e">
        <f t="shared" si="64"/>
        <v>#DIV/0!</v>
      </c>
      <c r="AN95" s="14" t="e">
        <f t="shared" si="64"/>
        <v>#DIV/0!</v>
      </c>
      <c r="AO95" s="14" t="e">
        <f t="shared" si="64"/>
        <v>#DIV/0!</v>
      </c>
      <c r="AP95" s="14" t="e">
        <f t="shared" si="64"/>
        <v>#DIV/0!</v>
      </c>
      <c r="AQ95" s="14" t="e">
        <f t="shared" si="64"/>
        <v>#DIV/0!</v>
      </c>
      <c r="AR95" s="14" t="e">
        <f t="shared" si="64"/>
        <v>#DIV/0!</v>
      </c>
      <c r="AS95" s="14" t="e">
        <f t="shared" si="64"/>
        <v>#DIV/0!</v>
      </c>
      <c r="AT95" s="14" t="e">
        <f t="shared" si="64"/>
        <v>#DIV/0!</v>
      </c>
      <c r="AU95" s="14" t="e">
        <f t="shared" si="64"/>
        <v>#DIV/0!</v>
      </c>
      <c r="AV95" s="14" t="e">
        <f t="shared" si="64"/>
        <v>#DIV/0!</v>
      </c>
      <c r="AW95" s="14" t="e">
        <f t="shared" si="64"/>
        <v>#DIV/0!</v>
      </c>
      <c r="AX95" s="14" t="e">
        <f t="shared" si="64"/>
        <v>#DIV/0!</v>
      </c>
      <c r="AY95" s="14" t="e">
        <f t="shared" si="64"/>
        <v>#DIV/0!</v>
      </c>
      <c r="AZ95" s="14" t="e">
        <f t="shared" si="64"/>
        <v>#DIV/0!</v>
      </c>
      <c r="BA95" s="14" t="e">
        <f t="shared" si="64"/>
        <v>#DIV/0!</v>
      </c>
      <c r="BB95" s="14" t="e">
        <f t="shared" si="64"/>
        <v>#DIV/0!</v>
      </c>
      <c r="BC95" s="14" t="e">
        <f t="shared" si="64"/>
        <v>#DIV/0!</v>
      </c>
      <c r="BD95" s="14" t="e">
        <f t="shared" si="64"/>
        <v>#DIV/0!</v>
      </c>
      <c r="BE95" s="14" t="e">
        <f t="shared" si="64"/>
        <v>#DIV/0!</v>
      </c>
      <c r="BF95" s="14" t="e">
        <f t="shared" si="64"/>
        <v>#DIV/0!</v>
      </c>
      <c r="BG95" s="14" t="e">
        <f t="shared" si="64"/>
        <v>#DIV/0!</v>
      </c>
      <c r="BH95" s="14" t="e">
        <f t="shared" si="64"/>
        <v>#DIV/0!</v>
      </c>
      <c r="BI95" s="14" t="e">
        <f t="shared" si="64"/>
        <v>#DIV/0!</v>
      </c>
      <c r="BJ95" s="14" t="e">
        <f t="shared" si="64"/>
        <v>#DIV/0!</v>
      </c>
      <c r="BK95" s="14" t="e">
        <f t="shared" si="64"/>
        <v>#DIV/0!</v>
      </c>
      <c r="BL95" s="14" t="e">
        <f t="shared" si="64"/>
        <v>#DIV/0!</v>
      </c>
      <c r="BM95" s="14" t="e">
        <f t="shared" si="64"/>
        <v>#DIV/0!</v>
      </c>
      <c r="BN95" s="14" t="e">
        <f t="shared" si="64"/>
        <v>#DIV/0!</v>
      </c>
      <c r="BO95" s="14" t="e">
        <f t="shared" si="64"/>
        <v>#DIV/0!</v>
      </c>
      <c r="BP95" s="14" t="e">
        <f t="shared" si="64"/>
        <v>#DIV/0!</v>
      </c>
      <c r="BQ95" s="14" t="e">
        <f t="shared" si="64"/>
        <v>#DIV/0!</v>
      </c>
      <c r="BR95" s="14" t="e">
        <f t="shared" si="64"/>
        <v>#DIV/0!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1</v>
      </c>
      <c r="C96" s="5">
        <f t="shared" si="34"/>
        <v>0</v>
      </c>
      <c r="D96" s="5">
        <f t="shared" si="34"/>
        <v>0</v>
      </c>
      <c r="E96" s="6" t="str">
        <f t="shared" si="28"/>
        <v>H (Se)</v>
      </c>
      <c r="F96" s="14" t="e">
        <f t="shared" ref="F96" si="65">F20*$C$78</f>
        <v>#DIV/0!</v>
      </c>
      <c r="G96" s="14" t="e">
        <f t="shared" ref="G96:BR96" si="66">G20*$C$78</f>
        <v>#DIV/0!</v>
      </c>
      <c r="H96" s="14" t="e">
        <f t="shared" si="66"/>
        <v>#DIV/0!</v>
      </c>
      <c r="I96" s="14" t="e">
        <f t="shared" si="66"/>
        <v>#DIV/0!</v>
      </c>
      <c r="J96" s="14" t="e">
        <f t="shared" si="66"/>
        <v>#DIV/0!</v>
      </c>
      <c r="K96" s="14" t="e">
        <f t="shared" si="66"/>
        <v>#DIV/0!</v>
      </c>
      <c r="L96" s="14" t="e">
        <f t="shared" si="66"/>
        <v>#DIV/0!</v>
      </c>
      <c r="M96" s="14" t="e">
        <f t="shared" si="66"/>
        <v>#DIV/0!</v>
      </c>
      <c r="N96" s="14" t="e">
        <f t="shared" si="66"/>
        <v>#DIV/0!</v>
      </c>
      <c r="O96" s="14" t="e">
        <f t="shared" si="66"/>
        <v>#DIV/0!</v>
      </c>
      <c r="P96" s="14" t="e">
        <f t="shared" si="66"/>
        <v>#DIV/0!</v>
      </c>
      <c r="Q96" s="14" t="e">
        <f t="shared" si="66"/>
        <v>#DIV/0!</v>
      </c>
      <c r="R96" s="14" t="e">
        <f t="shared" si="66"/>
        <v>#DIV/0!</v>
      </c>
      <c r="S96" s="14" t="e">
        <f t="shared" si="66"/>
        <v>#DIV/0!</v>
      </c>
      <c r="T96" s="14" t="e">
        <f t="shared" si="66"/>
        <v>#DIV/0!</v>
      </c>
      <c r="U96" s="14" t="e">
        <f t="shared" si="66"/>
        <v>#DIV/0!</v>
      </c>
      <c r="V96" s="14" t="e">
        <f t="shared" si="66"/>
        <v>#DIV/0!</v>
      </c>
      <c r="W96" s="14" t="e">
        <f t="shared" si="66"/>
        <v>#DIV/0!</v>
      </c>
      <c r="X96" s="14" t="e">
        <f t="shared" si="66"/>
        <v>#DIV/0!</v>
      </c>
      <c r="Y96" s="14" t="e">
        <f t="shared" si="66"/>
        <v>#DIV/0!</v>
      </c>
      <c r="Z96" s="14" t="e">
        <f t="shared" si="66"/>
        <v>#DIV/0!</v>
      </c>
      <c r="AA96" s="14" t="e">
        <f t="shared" si="66"/>
        <v>#DIV/0!</v>
      </c>
      <c r="AB96" s="14" t="e">
        <f t="shared" si="66"/>
        <v>#DIV/0!</v>
      </c>
      <c r="AC96" s="14" t="e">
        <f t="shared" si="66"/>
        <v>#DIV/0!</v>
      </c>
      <c r="AD96" s="14" t="e">
        <f t="shared" si="66"/>
        <v>#DIV/0!</v>
      </c>
      <c r="AE96" s="14" t="e">
        <f t="shared" si="66"/>
        <v>#DIV/0!</v>
      </c>
      <c r="AF96" s="14" t="e">
        <f t="shared" si="66"/>
        <v>#DIV/0!</v>
      </c>
      <c r="AG96" s="14" t="e">
        <f t="shared" si="66"/>
        <v>#DIV/0!</v>
      </c>
      <c r="AH96" s="14" t="e">
        <f t="shared" si="66"/>
        <v>#DIV/0!</v>
      </c>
      <c r="AI96" s="14" t="e">
        <f t="shared" si="66"/>
        <v>#DIV/0!</v>
      </c>
      <c r="AJ96" s="14" t="e">
        <f t="shared" si="66"/>
        <v>#DIV/0!</v>
      </c>
      <c r="AK96" s="14" t="e">
        <f t="shared" si="66"/>
        <v>#DIV/0!</v>
      </c>
      <c r="AL96" s="14" t="e">
        <f t="shared" si="66"/>
        <v>#DIV/0!</v>
      </c>
      <c r="AM96" s="14" t="e">
        <f t="shared" si="66"/>
        <v>#DIV/0!</v>
      </c>
      <c r="AN96" s="14" t="e">
        <f t="shared" si="66"/>
        <v>#DIV/0!</v>
      </c>
      <c r="AO96" s="14" t="e">
        <f t="shared" si="66"/>
        <v>#DIV/0!</v>
      </c>
      <c r="AP96" s="14" t="e">
        <f t="shared" si="66"/>
        <v>#DIV/0!</v>
      </c>
      <c r="AQ96" s="14" t="e">
        <f t="shared" si="66"/>
        <v>#DIV/0!</v>
      </c>
      <c r="AR96" s="14" t="e">
        <f t="shared" si="66"/>
        <v>#DIV/0!</v>
      </c>
      <c r="AS96" s="14" t="e">
        <f t="shared" si="66"/>
        <v>#DIV/0!</v>
      </c>
      <c r="AT96" s="14" t="e">
        <f t="shared" si="66"/>
        <v>#DIV/0!</v>
      </c>
      <c r="AU96" s="14" t="e">
        <f t="shared" si="66"/>
        <v>#DIV/0!</v>
      </c>
      <c r="AV96" s="14" t="e">
        <f t="shared" si="66"/>
        <v>#DIV/0!</v>
      </c>
      <c r="AW96" s="14" t="e">
        <f t="shared" si="66"/>
        <v>#DIV/0!</v>
      </c>
      <c r="AX96" s="14" t="e">
        <f t="shared" si="66"/>
        <v>#DIV/0!</v>
      </c>
      <c r="AY96" s="14" t="e">
        <f t="shared" si="66"/>
        <v>#DIV/0!</v>
      </c>
      <c r="AZ96" s="14" t="e">
        <f t="shared" si="66"/>
        <v>#DIV/0!</v>
      </c>
      <c r="BA96" s="14" t="e">
        <f t="shared" si="66"/>
        <v>#DIV/0!</v>
      </c>
      <c r="BB96" s="14" t="e">
        <f t="shared" si="66"/>
        <v>#DIV/0!</v>
      </c>
      <c r="BC96" s="14" t="e">
        <f t="shared" si="66"/>
        <v>#DIV/0!</v>
      </c>
      <c r="BD96" s="14" t="e">
        <f t="shared" si="66"/>
        <v>#DIV/0!</v>
      </c>
      <c r="BE96" s="14" t="e">
        <f t="shared" si="66"/>
        <v>#DIV/0!</v>
      </c>
      <c r="BF96" s="14" t="e">
        <f t="shared" si="66"/>
        <v>#DIV/0!</v>
      </c>
      <c r="BG96" s="14" t="e">
        <f t="shared" si="66"/>
        <v>#DIV/0!</v>
      </c>
      <c r="BH96" s="14" t="e">
        <f t="shared" si="66"/>
        <v>#DIV/0!</v>
      </c>
      <c r="BI96" s="14" t="e">
        <f t="shared" si="66"/>
        <v>#DIV/0!</v>
      </c>
      <c r="BJ96" s="14" t="e">
        <f t="shared" si="66"/>
        <v>#DIV/0!</v>
      </c>
      <c r="BK96" s="14" t="e">
        <f t="shared" si="66"/>
        <v>#DIV/0!</v>
      </c>
      <c r="BL96" s="14" t="e">
        <f t="shared" si="66"/>
        <v>#DIV/0!</v>
      </c>
      <c r="BM96" s="14" t="e">
        <f t="shared" si="66"/>
        <v>#DIV/0!</v>
      </c>
      <c r="BN96" s="14" t="e">
        <f t="shared" si="66"/>
        <v>#DIV/0!</v>
      </c>
      <c r="BO96" s="14" t="e">
        <f t="shared" si="66"/>
        <v>#DIV/0!</v>
      </c>
      <c r="BP96" s="14" t="e">
        <f t="shared" si="66"/>
        <v>#DIV/0!</v>
      </c>
      <c r="BQ96" s="14" t="e">
        <f t="shared" si="66"/>
        <v>#DIV/0!</v>
      </c>
      <c r="BR96" s="14" t="e">
        <f t="shared" si="66"/>
        <v>#DIV/0!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 t="e">
        <f t="shared" ref="F97" si="68">F21*$C$78</f>
        <v>#DIV/0!</v>
      </c>
      <c r="G97" s="14" t="e">
        <f t="shared" ref="G97:BR97" si="69">G21*$C$78</f>
        <v>#DIV/0!</v>
      </c>
      <c r="H97" s="14" t="e">
        <f t="shared" si="69"/>
        <v>#DIV/0!</v>
      </c>
      <c r="I97" s="14" t="e">
        <f t="shared" si="69"/>
        <v>#DIV/0!</v>
      </c>
      <c r="J97" s="14" t="e">
        <f t="shared" si="69"/>
        <v>#DIV/0!</v>
      </c>
      <c r="K97" s="14" t="e">
        <f t="shared" si="69"/>
        <v>#DIV/0!</v>
      </c>
      <c r="L97" s="14" t="e">
        <f t="shared" si="69"/>
        <v>#DIV/0!</v>
      </c>
      <c r="M97" s="14" t="e">
        <f t="shared" si="69"/>
        <v>#DIV/0!</v>
      </c>
      <c r="N97" s="14" t="e">
        <f t="shared" si="69"/>
        <v>#DIV/0!</v>
      </c>
      <c r="O97" s="14" t="e">
        <f t="shared" si="69"/>
        <v>#DIV/0!</v>
      </c>
      <c r="P97" s="14" t="e">
        <f t="shared" si="69"/>
        <v>#DIV/0!</v>
      </c>
      <c r="Q97" s="14" t="e">
        <f t="shared" si="69"/>
        <v>#DIV/0!</v>
      </c>
      <c r="R97" s="14" t="e">
        <f t="shared" si="69"/>
        <v>#DIV/0!</v>
      </c>
      <c r="S97" s="14" t="e">
        <f t="shared" si="69"/>
        <v>#DIV/0!</v>
      </c>
      <c r="T97" s="14" t="e">
        <f t="shared" si="69"/>
        <v>#DIV/0!</v>
      </c>
      <c r="U97" s="14" t="e">
        <f t="shared" si="69"/>
        <v>#DIV/0!</v>
      </c>
      <c r="V97" s="14" t="e">
        <f t="shared" si="69"/>
        <v>#DIV/0!</v>
      </c>
      <c r="W97" s="14" t="e">
        <f t="shared" si="69"/>
        <v>#DIV/0!</v>
      </c>
      <c r="X97" s="14" t="e">
        <f t="shared" si="69"/>
        <v>#DIV/0!</v>
      </c>
      <c r="Y97" s="14" t="e">
        <f t="shared" si="69"/>
        <v>#DIV/0!</v>
      </c>
      <c r="Z97" s="14" t="e">
        <f t="shared" si="69"/>
        <v>#DIV/0!</v>
      </c>
      <c r="AA97" s="14" t="e">
        <f t="shared" si="69"/>
        <v>#DIV/0!</v>
      </c>
      <c r="AB97" s="14" t="e">
        <f t="shared" si="69"/>
        <v>#DIV/0!</v>
      </c>
      <c r="AC97" s="14" t="e">
        <f t="shared" si="69"/>
        <v>#DIV/0!</v>
      </c>
      <c r="AD97" s="14" t="e">
        <f t="shared" si="69"/>
        <v>#DIV/0!</v>
      </c>
      <c r="AE97" s="14" t="e">
        <f t="shared" si="69"/>
        <v>#DIV/0!</v>
      </c>
      <c r="AF97" s="14" t="e">
        <f t="shared" si="69"/>
        <v>#DIV/0!</v>
      </c>
      <c r="AG97" s="14" t="e">
        <f t="shared" si="69"/>
        <v>#DIV/0!</v>
      </c>
      <c r="AH97" s="14" t="e">
        <f t="shared" si="69"/>
        <v>#DIV/0!</v>
      </c>
      <c r="AI97" s="14" t="e">
        <f t="shared" si="69"/>
        <v>#DIV/0!</v>
      </c>
      <c r="AJ97" s="14" t="e">
        <f t="shared" si="69"/>
        <v>#DIV/0!</v>
      </c>
      <c r="AK97" s="14" t="e">
        <f t="shared" si="69"/>
        <v>#DIV/0!</v>
      </c>
      <c r="AL97" s="14" t="e">
        <f t="shared" si="69"/>
        <v>#DIV/0!</v>
      </c>
      <c r="AM97" s="14" t="e">
        <f t="shared" si="69"/>
        <v>#DIV/0!</v>
      </c>
      <c r="AN97" s="14" t="e">
        <f t="shared" si="69"/>
        <v>#DIV/0!</v>
      </c>
      <c r="AO97" s="14" t="e">
        <f t="shared" si="69"/>
        <v>#DIV/0!</v>
      </c>
      <c r="AP97" s="14" t="e">
        <f t="shared" si="69"/>
        <v>#DIV/0!</v>
      </c>
      <c r="AQ97" s="14" t="e">
        <f t="shared" si="69"/>
        <v>#DIV/0!</v>
      </c>
      <c r="AR97" s="14" t="e">
        <f t="shared" si="69"/>
        <v>#DIV/0!</v>
      </c>
      <c r="AS97" s="14" t="e">
        <f t="shared" si="69"/>
        <v>#DIV/0!</v>
      </c>
      <c r="AT97" s="14" t="e">
        <f t="shared" si="69"/>
        <v>#DIV/0!</v>
      </c>
      <c r="AU97" s="14" t="e">
        <f t="shared" si="69"/>
        <v>#DIV/0!</v>
      </c>
      <c r="AV97" s="14" t="e">
        <f t="shared" si="69"/>
        <v>#DIV/0!</v>
      </c>
      <c r="AW97" s="14" t="e">
        <f t="shared" si="69"/>
        <v>#DIV/0!</v>
      </c>
      <c r="AX97" s="14" t="e">
        <f t="shared" si="69"/>
        <v>#DIV/0!</v>
      </c>
      <c r="AY97" s="14" t="e">
        <f t="shared" si="69"/>
        <v>#DIV/0!</v>
      </c>
      <c r="AZ97" s="14" t="e">
        <f t="shared" si="69"/>
        <v>#DIV/0!</v>
      </c>
      <c r="BA97" s="14" t="e">
        <f t="shared" si="69"/>
        <v>#DIV/0!</v>
      </c>
      <c r="BB97" s="14" t="e">
        <f t="shared" si="69"/>
        <v>#DIV/0!</v>
      </c>
      <c r="BC97" s="14" t="e">
        <f t="shared" si="69"/>
        <v>#DIV/0!</v>
      </c>
      <c r="BD97" s="14" t="e">
        <f t="shared" si="69"/>
        <v>#DIV/0!</v>
      </c>
      <c r="BE97" s="14" t="e">
        <f t="shared" si="69"/>
        <v>#DIV/0!</v>
      </c>
      <c r="BF97" s="14" t="e">
        <f t="shared" si="69"/>
        <v>#DIV/0!</v>
      </c>
      <c r="BG97" s="14" t="e">
        <f t="shared" si="69"/>
        <v>#DIV/0!</v>
      </c>
      <c r="BH97" s="14" t="e">
        <f t="shared" si="69"/>
        <v>#DIV/0!</v>
      </c>
      <c r="BI97" s="14" t="e">
        <f t="shared" si="69"/>
        <v>#DIV/0!</v>
      </c>
      <c r="BJ97" s="14" t="e">
        <f t="shared" si="69"/>
        <v>#DIV/0!</v>
      </c>
      <c r="BK97" s="14" t="e">
        <f t="shared" si="69"/>
        <v>#DIV/0!</v>
      </c>
      <c r="BL97" s="14" t="e">
        <f t="shared" si="69"/>
        <v>#DIV/0!</v>
      </c>
      <c r="BM97" s="14" t="e">
        <f t="shared" si="69"/>
        <v>#DIV/0!</v>
      </c>
      <c r="BN97" s="14" t="e">
        <f t="shared" si="69"/>
        <v>#DIV/0!</v>
      </c>
      <c r="BO97" s="14" t="e">
        <f t="shared" si="69"/>
        <v>#DIV/0!</v>
      </c>
      <c r="BP97" s="14" t="e">
        <f t="shared" si="69"/>
        <v>#DIV/0!</v>
      </c>
      <c r="BQ97" s="14" t="e">
        <f t="shared" si="69"/>
        <v>#DIV/0!</v>
      </c>
      <c r="BR97" s="14" t="e">
        <f t="shared" si="69"/>
        <v>#DIV/0!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 t="e">
        <f t="shared" ref="F98" si="70">F22*$C$78</f>
        <v>#DIV/0!</v>
      </c>
      <c r="G98" s="14" t="e">
        <f t="shared" ref="G98:BR98" si="71">G22*$C$78</f>
        <v>#DIV/0!</v>
      </c>
      <c r="H98" s="14" t="e">
        <f t="shared" si="71"/>
        <v>#DIV/0!</v>
      </c>
      <c r="I98" s="14" t="e">
        <f t="shared" si="71"/>
        <v>#DIV/0!</v>
      </c>
      <c r="J98" s="14" t="e">
        <f t="shared" si="71"/>
        <v>#DIV/0!</v>
      </c>
      <c r="K98" s="14" t="e">
        <f t="shared" si="71"/>
        <v>#DIV/0!</v>
      </c>
      <c r="L98" s="14" t="e">
        <f t="shared" si="71"/>
        <v>#DIV/0!</v>
      </c>
      <c r="M98" s="14" t="e">
        <f t="shared" si="71"/>
        <v>#DIV/0!</v>
      </c>
      <c r="N98" s="14" t="e">
        <f t="shared" si="71"/>
        <v>#DIV/0!</v>
      </c>
      <c r="O98" s="14" t="e">
        <f t="shared" si="71"/>
        <v>#DIV/0!</v>
      </c>
      <c r="P98" s="14" t="e">
        <f t="shared" si="71"/>
        <v>#DIV/0!</v>
      </c>
      <c r="Q98" s="14" t="e">
        <f t="shared" si="71"/>
        <v>#DIV/0!</v>
      </c>
      <c r="R98" s="14" t="e">
        <f t="shared" si="71"/>
        <v>#DIV/0!</v>
      </c>
      <c r="S98" s="14" t="e">
        <f t="shared" si="71"/>
        <v>#DIV/0!</v>
      </c>
      <c r="T98" s="14" t="e">
        <f t="shared" si="71"/>
        <v>#DIV/0!</v>
      </c>
      <c r="U98" s="14" t="e">
        <f t="shared" si="71"/>
        <v>#DIV/0!</v>
      </c>
      <c r="V98" s="14" t="e">
        <f t="shared" si="71"/>
        <v>#DIV/0!</v>
      </c>
      <c r="W98" s="14" t="e">
        <f t="shared" si="71"/>
        <v>#DIV/0!</v>
      </c>
      <c r="X98" s="14" t="e">
        <f t="shared" si="71"/>
        <v>#DIV/0!</v>
      </c>
      <c r="Y98" s="14" t="e">
        <f t="shared" si="71"/>
        <v>#DIV/0!</v>
      </c>
      <c r="Z98" s="14" t="e">
        <f t="shared" si="71"/>
        <v>#DIV/0!</v>
      </c>
      <c r="AA98" s="14" t="e">
        <f t="shared" si="71"/>
        <v>#DIV/0!</v>
      </c>
      <c r="AB98" s="14" t="e">
        <f t="shared" si="71"/>
        <v>#DIV/0!</v>
      </c>
      <c r="AC98" s="14" t="e">
        <f t="shared" si="71"/>
        <v>#DIV/0!</v>
      </c>
      <c r="AD98" s="14" t="e">
        <f t="shared" si="71"/>
        <v>#DIV/0!</v>
      </c>
      <c r="AE98" s="14" t="e">
        <f t="shared" si="71"/>
        <v>#DIV/0!</v>
      </c>
      <c r="AF98" s="14" t="e">
        <f t="shared" si="71"/>
        <v>#DIV/0!</v>
      </c>
      <c r="AG98" s="14" t="e">
        <f t="shared" si="71"/>
        <v>#DIV/0!</v>
      </c>
      <c r="AH98" s="14" t="e">
        <f t="shared" si="71"/>
        <v>#DIV/0!</v>
      </c>
      <c r="AI98" s="14" t="e">
        <f t="shared" si="71"/>
        <v>#DIV/0!</v>
      </c>
      <c r="AJ98" s="14" t="e">
        <f t="shared" si="71"/>
        <v>#DIV/0!</v>
      </c>
      <c r="AK98" s="14" t="e">
        <f t="shared" si="71"/>
        <v>#DIV/0!</v>
      </c>
      <c r="AL98" s="14" t="e">
        <f t="shared" si="71"/>
        <v>#DIV/0!</v>
      </c>
      <c r="AM98" s="14" t="e">
        <f t="shared" si="71"/>
        <v>#DIV/0!</v>
      </c>
      <c r="AN98" s="14" t="e">
        <f t="shared" si="71"/>
        <v>#DIV/0!</v>
      </c>
      <c r="AO98" s="14" t="e">
        <f t="shared" si="71"/>
        <v>#DIV/0!</v>
      </c>
      <c r="AP98" s="14" t="e">
        <f t="shared" si="71"/>
        <v>#DIV/0!</v>
      </c>
      <c r="AQ98" s="14" t="e">
        <f t="shared" si="71"/>
        <v>#DIV/0!</v>
      </c>
      <c r="AR98" s="14" t="e">
        <f t="shared" si="71"/>
        <v>#DIV/0!</v>
      </c>
      <c r="AS98" s="14" t="e">
        <f t="shared" si="71"/>
        <v>#DIV/0!</v>
      </c>
      <c r="AT98" s="14" t="e">
        <f t="shared" si="71"/>
        <v>#DIV/0!</v>
      </c>
      <c r="AU98" s="14" t="e">
        <f t="shared" si="71"/>
        <v>#DIV/0!</v>
      </c>
      <c r="AV98" s="14" t="e">
        <f t="shared" si="71"/>
        <v>#DIV/0!</v>
      </c>
      <c r="AW98" s="14" t="e">
        <f t="shared" si="71"/>
        <v>#DIV/0!</v>
      </c>
      <c r="AX98" s="14" t="e">
        <f t="shared" si="71"/>
        <v>#DIV/0!</v>
      </c>
      <c r="AY98" s="14" t="e">
        <f t="shared" si="71"/>
        <v>#DIV/0!</v>
      </c>
      <c r="AZ98" s="14" t="e">
        <f t="shared" si="71"/>
        <v>#DIV/0!</v>
      </c>
      <c r="BA98" s="14" t="e">
        <f t="shared" si="71"/>
        <v>#DIV/0!</v>
      </c>
      <c r="BB98" s="14" t="e">
        <f t="shared" si="71"/>
        <v>#DIV/0!</v>
      </c>
      <c r="BC98" s="14" t="e">
        <f t="shared" si="71"/>
        <v>#DIV/0!</v>
      </c>
      <c r="BD98" s="14" t="e">
        <f t="shared" si="71"/>
        <v>#DIV/0!</v>
      </c>
      <c r="BE98" s="14" t="e">
        <f t="shared" si="71"/>
        <v>#DIV/0!</v>
      </c>
      <c r="BF98" s="14" t="e">
        <f t="shared" si="71"/>
        <v>#DIV/0!</v>
      </c>
      <c r="BG98" s="14" t="e">
        <f t="shared" si="71"/>
        <v>#DIV/0!</v>
      </c>
      <c r="BH98" s="14" t="e">
        <f t="shared" si="71"/>
        <v>#DIV/0!</v>
      </c>
      <c r="BI98" s="14" t="e">
        <f t="shared" si="71"/>
        <v>#DIV/0!</v>
      </c>
      <c r="BJ98" s="14" t="e">
        <f t="shared" si="71"/>
        <v>#DIV/0!</v>
      </c>
      <c r="BK98" s="14" t="e">
        <f t="shared" si="71"/>
        <v>#DIV/0!</v>
      </c>
      <c r="BL98" s="14" t="e">
        <f t="shared" si="71"/>
        <v>#DIV/0!</v>
      </c>
      <c r="BM98" s="14" t="e">
        <f t="shared" si="71"/>
        <v>#DIV/0!</v>
      </c>
      <c r="BN98" s="14" t="e">
        <f t="shared" si="71"/>
        <v>#DIV/0!</v>
      </c>
      <c r="BO98" s="14" t="e">
        <f t="shared" si="71"/>
        <v>#DIV/0!</v>
      </c>
      <c r="BP98" s="14" t="e">
        <f t="shared" si="71"/>
        <v>#DIV/0!</v>
      </c>
      <c r="BQ98" s="14" t="e">
        <f t="shared" si="71"/>
        <v>#DIV/0!</v>
      </c>
      <c r="BR98" s="14" t="e">
        <f t="shared" si="71"/>
        <v>#DIV/0!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 t="e">
        <f t="shared" ref="F99" si="72">F23*$C$78</f>
        <v>#DIV/0!</v>
      </c>
      <c r="G99" s="14" t="e">
        <f t="shared" ref="G99:BR99" si="73">G23*$C$78</f>
        <v>#DIV/0!</v>
      </c>
      <c r="H99" s="14" t="e">
        <f t="shared" si="73"/>
        <v>#DIV/0!</v>
      </c>
      <c r="I99" s="14" t="e">
        <f t="shared" si="73"/>
        <v>#DIV/0!</v>
      </c>
      <c r="J99" s="14" t="e">
        <f t="shared" si="73"/>
        <v>#DIV/0!</v>
      </c>
      <c r="K99" s="14" t="e">
        <f t="shared" si="73"/>
        <v>#DIV/0!</v>
      </c>
      <c r="L99" s="14" t="e">
        <f t="shared" si="73"/>
        <v>#DIV/0!</v>
      </c>
      <c r="M99" s="14" t="e">
        <f t="shared" si="73"/>
        <v>#DIV/0!</v>
      </c>
      <c r="N99" s="14" t="e">
        <f t="shared" si="73"/>
        <v>#DIV/0!</v>
      </c>
      <c r="O99" s="14" t="e">
        <f t="shared" si="73"/>
        <v>#DIV/0!</v>
      </c>
      <c r="P99" s="14" t="e">
        <f t="shared" si="73"/>
        <v>#DIV/0!</v>
      </c>
      <c r="Q99" s="14" t="e">
        <f t="shared" si="73"/>
        <v>#DIV/0!</v>
      </c>
      <c r="R99" s="14" t="e">
        <f t="shared" si="73"/>
        <v>#DIV/0!</v>
      </c>
      <c r="S99" s="14" t="e">
        <f t="shared" si="73"/>
        <v>#DIV/0!</v>
      </c>
      <c r="T99" s="14" t="e">
        <f t="shared" si="73"/>
        <v>#DIV/0!</v>
      </c>
      <c r="U99" s="14" t="e">
        <f t="shared" si="73"/>
        <v>#DIV/0!</v>
      </c>
      <c r="V99" s="14" t="e">
        <f t="shared" si="73"/>
        <v>#DIV/0!</v>
      </c>
      <c r="W99" s="14" t="e">
        <f t="shared" si="73"/>
        <v>#DIV/0!</v>
      </c>
      <c r="X99" s="14" t="e">
        <f t="shared" si="73"/>
        <v>#DIV/0!</v>
      </c>
      <c r="Y99" s="14" t="e">
        <f t="shared" si="73"/>
        <v>#DIV/0!</v>
      </c>
      <c r="Z99" s="14" t="e">
        <f t="shared" si="73"/>
        <v>#DIV/0!</v>
      </c>
      <c r="AA99" s="14" t="e">
        <f t="shared" si="73"/>
        <v>#DIV/0!</v>
      </c>
      <c r="AB99" s="14" t="e">
        <f t="shared" si="73"/>
        <v>#DIV/0!</v>
      </c>
      <c r="AC99" s="14" t="e">
        <f t="shared" si="73"/>
        <v>#DIV/0!</v>
      </c>
      <c r="AD99" s="14" t="e">
        <f t="shared" si="73"/>
        <v>#DIV/0!</v>
      </c>
      <c r="AE99" s="14" t="e">
        <f t="shared" si="73"/>
        <v>#DIV/0!</v>
      </c>
      <c r="AF99" s="14" t="e">
        <f t="shared" si="73"/>
        <v>#DIV/0!</v>
      </c>
      <c r="AG99" s="14" t="e">
        <f t="shared" si="73"/>
        <v>#DIV/0!</v>
      </c>
      <c r="AH99" s="14" t="e">
        <f t="shared" si="73"/>
        <v>#DIV/0!</v>
      </c>
      <c r="AI99" s="14" t="e">
        <f t="shared" si="73"/>
        <v>#DIV/0!</v>
      </c>
      <c r="AJ99" s="14" t="e">
        <f t="shared" si="73"/>
        <v>#DIV/0!</v>
      </c>
      <c r="AK99" s="14" t="e">
        <f t="shared" si="73"/>
        <v>#DIV/0!</v>
      </c>
      <c r="AL99" s="14" t="e">
        <f t="shared" si="73"/>
        <v>#DIV/0!</v>
      </c>
      <c r="AM99" s="14" t="e">
        <f t="shared" si="73"/>
        <v>#DIV/0!</v>
      </c>
      <c r="AN99" s="14" t="e">
        <f t="shared" si="73"/>
        <v>#DIV/0!</v>
      </c>
      <c r="AO99" s="14" t="e">
        <f t="shared" si="73"/>
        <v>#DIV/0!</v>
      </c>
      <c r="AP99" s="14" t="e">
        <f t="shared" si="73"/>
        <v>#DIV/0!</v>
      </c>
      <c r="AQ99" s="14" t="e">
        <f t="shared" si="73"/>
        <v>#DIV/0!</v>
      </c>
      <c r="AR99" s="14" t="e">
        <f t="shared" si="73"/>
        <v>#DIV/0!</v>
      </c>
      <c r="AS99" s="14" t="e">
        <f t="shared" si="73"/>
        <v>#DIV/0!</v>
      </c>
      <c r="AT99" s="14" t="e">
        <f t="shared" si="73"/>
        <v>#DIV/0!</v>
      </c>
      <c r="AU99" s="14" t="e">
        <f t="shared" si="73"/>
        <v>#DIV/0!</v>
      </c>
      <c r="AV99" s="14" t="e">
        <f t="shared" si="73"/>
        <v>#DIV/0!</v>
      </c>
      <c r="AW99" s="14" t="e">
        <f t="shared" si="73"/>
        <v>#DIV/0!</v>
      </c>
      <c r="AX99" s="14" t="e">
        <f t="shared" si="73"/>
        <v>#DIV/0!</v>
      </c>
      <c r="AY99" s="14" t="e">
        <f t="shared" si="73"/>
        <v>#DIV/0!</v>
      </c>
      <c r="AZ99" s="14" t="e">
        <f t="shared" si="73"/>
        <v>#DIV/0!</v>
      </c>
      <c r="BA99" s="14" t="e">
        <f t="shared" si="73"/>
        <v>#DIV/0!</v>
      </c>
      <c r="BB99" s="14" t="e">
        <f t="shared" si="73"/>
        <v>#DIV/0!</v>
      </c>
      <c r="BC99" s="14" t="e">
        <f t="shared" si="73"/>
        <v>#DIV/0!</v>
      </c>
      <c r="BD99" s="14" t="e">
        <f t="shared" si="73"/>
        <v>#DIV/0!</v>
      </c>
      <c r="BE99" s="14" t="e">
        <f t="shared" si="73"/>
        <v>#DIV/0!</v>
      </c>
      <c r="BF99" s="14" t="e">
        <f t="shared" si="73"/>
        <v>#DIV/0!</v>
      </c>
      <c r="BG99" s="14" t="e">
        <f t="shared" si="73"/>
        <v>#DIV/0!</v>
      </c>
      <c r="BH99" s="14" t="e">
        <f t="shared" si="73"/>
        <v>#DIV/0!</v>
      </c>
      <c r="BI99" s="14" t="e">
        <f t="shared" si="73"/>
        <v>#DIV/0!</v>
      </c>
      <c r="BJ99" s="14" t="e">
        <f t="shared" si="73"/>
        <v>#DIV/0!</v>
      </c>
      <c r="BK99" s="14" t="e">
        <f t="shared" si="73"/>
        <v>#DIV/0!</v>
      </c>
      <c r="BL99" s="14" t="e">
        <f t="shared" si="73"/>
        <v>#DIV/0!</v>
      </c>
      <c r="BM99" s="14" t="e">
        <f t="shared" si="73"/>
        <v>#DIV/0!</v>
      </c>
      <c r="BN99" s="14" t="e">
        <f t="shared" si="73"/>
        <v>#DIV/0!</v>
      </c>
      <c r="BO99" s="14" t="e">
        <f t="shared" si="73"/>
        <v>#DIV/0!</v>
      </c>
      <c r="BP99" s="14" t="e">
        <f t="shared" si="73"/>
        <v>#DIV/0!</v>
      </c>
      <c r="BQ99" s="14" t="e">
        <f t="shared" si="73"/>
        <v>#DIV/0!</v>
      </c>
      <c r="BR99" s="14" t="e">
        <f t="shared" si="73"/>
        <v>#DIV/0!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 t="e">
        <f t="shared" ref="F100" si="74">F24*$C$78</f>
        <v>#DIV/0!</v>
      </c>
      <c r="G100" s="14" t="e">
        <f t="shared" ref="G100:BR100" si="75">G24*$C$78</f>
        <v>#DIV/0!</v>
      </c>
      <c r="H100" s="14" t="e">
        <f t="shared" si="75"/>
        <v>#DIV/0!</v>
      </c>
      <c r="I100" s="14" t="e">
        <f t="shared" si="75"/>
        <v>#DIV/0!</v>
      </c>
      <c r="J100" s="14" t="e">
        <f t="shared" si="75"/>
        <v>#DIV/0!</v>
      </c>
      <c r="K100" s="14" t="e">
        <f t="shared" si="75"/>
        <v>#DIV/0!</v>
      </c>
      <c r="L100" s="14" t="e">
        <f t="shared" si="75"/>
        <v>#DIV/0!</v>
      </c>
      <c r="M100" s="14" t="e">
        <f t="shared" si="75"/>
        <v>#DIV/0!</v>
      </c>
      <c r="N100" s="14" t="e">
        <f t="shared" si="75"/>
        <v>#DIV/0!</v>
      </c>
      <c r="O100" s="14" t="e">
        <f t="shared" si="75"/>
        <v>#DIV/0!</v>
      </c>
      <c r="P100" s="14" t="e">
        <f t="shared" si="75"/>
        <v>#DIV/0!</v>
      </c>
      <c r="Q100" s="14" t="e">
        <f t="shared" si="75"/>
        <v>#DIV/0!</v>
      </c>
      <c r="R100" s="14" t="e">
        <f t="shared" si="75"/>
        <v>#DIV/0!</v>
      </c>
      <c r="S100" s="14" t="e">
        <f t="shared" si="75"/>
        <v>#DIV/0!</v>
      </c>
      <c r="T100" s="14" t="e">
        <f t="shared" si="75"/>
        <v>#DIV/0!</v>
      </c>
      <c r="U100" s="14" t="e">
        <f t="shared" si="75"/>
        <v>#DIV/0!</v>
      </c>
      <c r="V100" s="14" t="e">
        <f t="shared" si="75"/>
        <v>#DIV/0!</v>
      </c>
      <c r="W100" s="14" t="e">
        <f t="shared" si="75"/>
        <v>#DIV/0!</v>
      </c>
      <c r="X100" s="14" t="e">
        <f t="shared" si="75"/>
        <v>#DIV/0!</v>
      </c>
      <c r="Y100" s="14" t="e">
        <f t="shared" si="75"/>
        <v>#DIV/0!</v>
      </c>
      <c r="Z100" s="14" t="e">
        <f t="shared" si="75"/>
        <v>#DIV/0!</v>
      </c>
      <c r="AA100" s="14" t="e">
        <f t="shared" si="75"/>
        <v>#DIV/0!</v>
      </c>
      <c r="AB100" s="14" t="e">
        <f t="shared" si="75"/>
        <v>#DIV/0!</v>
      </c>
      <c r="AC100" s="14" t="e">
        <f t="shared" si="75"/>
        <v>#DIV/0!</v>
      </c>
      <c r="AD100" s="14" t="e">
        <f t="shared" si="75"/>
        <v>#DIV/0!</v>
      </c>
      <c r="AE100" s="14" t="e">
        <f t="shared" si="75"/>
        <v>#DIV/0!</v>
      </c>
      <c r="AF100" s="14" t="e">
        <f t="shared" si="75"/>
        <v>#DIV/0!</v>
      </c>
      <c r="AG100" s="14" t="e">
        <f t="shared" si="75"/>
        <v>#DIV/0!</v>
      </c>
      <c r="AH100" s="14" t="e">
        <f t="shared" si="75"/>
        <v>#DIV/0!</v>
      </c>
      <c r="AI100" s="14" t="e">
        <f t="shared" si="75"/>
        <v>#DIV/0!</v>
      </c>
      <c r="AJ100" s="14" t="e">
        <f t="shared" si="75"/>
        <v>#DIV/0!</v>
      </c>
      <c r="AK100" s="14" t="e">
        <f t="shared" si="75"/>
        <v>#DIV/0!</v>
      </c>
      <c r="AL100" s="14" t="e">
        <f t="shared" si="75"/>
        <v>#DIV/0!</v>
      </c>
      <c r="AM100" s="14" t="e">
        <f t="shared" si="75"/>
        <v>#DIV/0!</v>
      </c>
      <c r="AN100" s="14" t="e">
        <f t="shared" si="75"/>
        <v>#DIV/0!</v>
      </c>
      <c r="AO100" s="14" t="e">
        <f t="shared" si="75"/>
        <v>#DIV/0!</v>
      </c>
      <c r="AP100" s="14" t="e">
        <f t="shared" si="75"/>
        <v>#DIV/0!</v>
      </c>
      <c r="AQ100" s="14" t="e">
        <f t="shared" si="75"/>
        <v>#DIV/0!</v>
      </c>
      <c r="AR100" s="14" t="e">
        <f t="shared" si="75"/>
        <v>#DIV/0!</v>
      </c>
      <c r="AS100" s="14" t="e">
        <f t="shared" si="75"/>
        <v>#DIV/0!</v>
      </c>
      <c r="AT100" s="14" t="e">
        <f t="shared" si="75"/>
        <v>#DIV/0!</v>
      </c>
      <c r="AU100" s="14" t="e">
        <f t="shared" si="75"/>
        <v>#DIV/0!</v>
      </c>
      <c r="AV100" s="14" t="e">
        <f t="shared" si="75"/>
        <v>#DIV/0!</v>
      </c>
      <c r="AW100" s="14" t="e">
        <f t="shared" si="75"/>
        <v>#DIV/0!</v>
      </c>
      <c r="AX100" s="14" t="e">
        <f t="shared" si="75"/>
        <v>#DIV/0!</v>
      </c>
      <c r="AY100" s="14" t="e">
        <f t="shared" si="75"/>
        <v>#DIV/0!</v>
      </c>
      <c r="AZ100" s="14" t="e">
        <f t="shared" si="75"/>
        <v>#DIV/0!</v>
      </c>
      <c r="BA100" s="14" t="e">
        <f t="shared" si="75"/>
        <v>#DIV/0!</v>
      </c>
      <c r="BB100" s="14" t="e">
        <f t="shared" si="75"/>
        <v>#DIV/0!</v>
      </c>
      <c r="BC100" s="14" t="e">
        <f t="shared" si="75"/>
        <v>#DIV/0!</v>
      </c>
      <c r="BD100" s="14" t="e">
        <f t="shared" si="75"/>
        <v>#DIV/0!</v>
      </c>
      <c r="BE100" s="14" t="e">
        <f t="shared" si="75"/>
        <v>#DIV/0!</v>
      </c>
      <c r="BF100" s="14" t="e">
        <f t="shared" si="75"/>
        <v>#DIV/0!</v>
      </c>
      <c r="BG100" s="14" t="e">
        <f t="shared" si="75"/>
        <v>#DIV/0!</v>
      </c>
      <c r="BH100" s="14" t="e">
        <f t="shared" si="75"/>
        <v>#DIV/0!</v>
      </c>
      <c r="BI100" s="14" t="e">
        <f t="shared" si="75"/>
        <v>#DIV/0!</v>
      </c>
      <c r="BJ100" s="14" t="e">
        <f t="shared" si="75"/>
        <v>#DIV/0!</v>
      </c>
      <c r="BK100" s="14" t="e">
        <f t="shared" si="75"/>
        <v>#DIV/0!</v>
      </c>
      <c r="BL100" s="14" t="e">
        <f t="shared" si="75"/>
        <v>#DIV/0!</v>
      </c>
      <c r="BM100" s="14" t="e">
        <f t="shared" si="75"/>
        <v>#DIV/0!</v>
      </c>
      <c r="BN100" s="14" t="e">
        <f t="shared" si="75"/>
        <v>#DIV/0!</v>
      </c>
      <c r="BO100" s="14" t="e">
        <f t="shared" si="75"/>
        <v>#DIV/0!</v>
      </c>
      <c r="BP100" s="14" t="e">
        <f t="shared" si="75"/>
        <v>#DIV/0!</v>
      </c>
      <c r="BQ100" s="14" t="e">
        <f t="shared" si="75"/>
        <v>#DIV/0!</v>
      </c>
      <c r="BR100" s="14" t="e">
        <f t="shared" si="75"/>
        <v>#DIV/0!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 t="e">
        <f t="shared" ref="F101" si="76">F25*$C$78</f>
        <v>#DIV/0!</v>
      </c>
      <c r="G101" s="14" t="e">
        <f t="shared" ref="G101:BR101" si="77">G25*$C$78</f>
        <v>#DIV/0!</v>
      </c>
      <c r="H101" s="14" t="e">
        <f t="shared" si="77"/>
        <v>#DIV/0!</v>
      </c>
      <c r="I101" s="14" t="e">
        <f t="shared" si="77"/>
        <v>#DIV/0!</v>
      </c>
      <c r="J101" s="14" t="e">
        <f t="shared" si="77"/>
        <v>#DIV/0!</v>
      </c>
      <c r="K101" s="14" t="e">
        <f t="shared" si="77"/>
        <v>#DIV/0!</v>
      </c>
      <c r="L101" s="14" t="e">
        <f t="shared" si="77"/>
        <v>#DIV/0!</v>
      </c>
      <c r="M101" s="14" t="e">
        <f t="shared" si="77"/>
        <v>#DIV/0!</v>
      </c>
      <c r="N101" s="14" t="e">
        <f t="shared" si="77"/>
        <v>#DIV/0!</v>
      </c>
      <c r="O101" s="14" t="e">
        <f t="shared" si="77"/>
        <v>#DIV/0!</v>
      </c>
      <c r="P101" s="14" t="e">
        <f t="shared" si="77"/>
        <v>#DIV/0!</v>
      </c>
      <c r="Q101" s="14" t="e">
        <f t="shared" si="77"/>
        <v>#DIV/0!</v>
      </c>
      <c r="R101" s="14" t="e">
        <f t="shared" si="77"/>
        <v>#DIV/0!</v>
      </c>
      <c r="S101" s="14" t="e">
        <f t="shared" si="77"/>
        <v>#DIV/0!</v>
      </c>
      <c r="T101" s="14" t="e">
        <f t="shared" si="77"/>
        <v>#DIV/0!</v>
      </c>
      <c r="U101" s="14" t="e">
        <f t="shared" si="77"/>
        <v>#DIV/0!</v>
      </c>
      <c r="V101" s="14" t="e">
        <f t="shared" si="77"/>
        <v>#DIV/0!</v>
      </c>
      <c r="W101" s="14" t="e">
        <f t="shared" si="77"/>
        <v>#DIV/0!</v>
      </c>
      <c r="X101" s="14" t="e">
        <f t="shared" si="77"/>
        <v>#DIV/0!</v>
      </c>
      <c r="Y101" s="14" t="e">
        <f t="shared" si="77"/>
        <v>#DIV/0!</v>
      </c>
      <c r="Z101" s="14" t="e">
        <f t="shared" si="77"/>
        <v>#DIV/0!</v>
      </c>
      <c r="AA101" s="14" t="e">
        <f t="shared" si="77"/>
        <v>#DIV/0!</v>
      </c>
      <c r="AB101" s="14" t="e">
        <f t="shared" si="77"/>
        <v>#DIV/0!</v>
      </c>
      <c r="AC101" s="14" t="e">
        <f t="shared" si="77"/>
        <v>#DIV/0!</v>
      </c>
      <c r="AD101" s="14" t="e">
        <f t="shared" si="77"/>
        <v>#DIV/0!</v>
      </c>
      <c r="AE101" s="14" t="e">
        <f t="shared" si="77"/>
        <v>#DIV/0!</v>
      </c>
      <c r="AF101" s="14" t="e">
        <f t="shared" si="77"/>
        <v>#DIV/0!</v>
      </c>
      <c r="AG101" s="14" t="e">
        <f t="shared" si="77"/>
        <v>#DIV/0!</v>
      </c>
      <c r="AH101" s="14" t="e">
        <f t="shared" si="77"/>
        <v>#DIV/0!</v>
      </c>
      <c r="AI101" s="14" t="e">
        <f t="shared" si="77"/>
        <v>#DIV/0!</v>
      </c>
      <c r="AJ101" s="14" t="e">
        <f t="shared" si="77"/>
        <v>#DIV/0!</v>
      </c>
      <c r="AK101" s="14" t="e">
        <f t="shared" si="77"/>
        <v>#DIV/0!</v>
      </c>
      <c r="AL101" s="14" t="e">
        <f t="shared" si="77"/>
        <v>#DIV/0!</v>
      </c>
      <c r="AM101" s="14" t="e">
        <f t="shared" si="77"/>
        <v>#DIV/0!</v>
      </c>
      <c r="AN101" s="14" t="e">
        <f t="shared" si="77"/>
        <v>#DIV/0!</v>
      </c>
      <c r="AO101" s="14" t="e">
        <f t="shared" si="77"/>
        <v>#DIV/0!</v>
      </c>
      <c r="AP101" s="14" t="e">
        <f t="shared" si="77"/>
        <v>#DIV/0!</v>
      </c>
      <c r="AQ101" s="14" t="e">
        <f t="shared" si="77"/>
        <v>#DIV/0!</v>
      </c>
      <c r="AR101" s="14" t="e">
        <f t="shared" si="77"/>
        <v>#DIV/0!</v>
      </c>
      <c r="AS101" s="14" t="e">
        <f t="shared" si="77"/>
        <v>#DIV/0!</v>
      </c>
      <c r="AT101" s="14" t="e">
        <f t="shared" si="77"/>
        <v>#DIV/0!</v>
      </c>
      <c r="AU101" s="14" t="e">
        <f t="shared" si="77"/>
        <v>#DIV/0!</v>
      </c>
      <c r="AV101" s="14" t="e">
        <f t="shared" si="77"/>
        <v>#DIV/0!</v>
      </c>
      <c r="AW101" s="14" t="e">
        <f t="shared" si="77"/>
        <v>#DIV/0!</v>
      </c>
      <c r="AX101" s="14" t="e">
        <f t="shared" si="77"/>
        <v>#DIV/0!</v>
      </c>
      <c r="AY101" s="14" t="e">
        <f t="shared" si="77"/>
        <v>#DIV/0!</v>
      </c>
      <c r="AZ101" s="14" t="e">
        <f t="shared" si="77"/>
        <v>#DIV/0!</v>
      </c>
      <c r="BA101" s="14" t="e">
        <f t="shared" si="77"/>
        <v>#DIV/0!</v>
      </c>
      <c r="BB101" s="14" t="e">
        <f t="shared" si="77"/>
        <v>#DIV/0!</v>
      </c>
      <c r="BC101" s="14" t="e">
        <f t="shared" si="77"/>
        <v>#DIV/0!</v>
      </c>
      <c r="BD101" s="14" t="e">
        <f t="shared" si="77"/>
        <v>#DIV/0!</v>
      </c>
      <c r="BE101" s="14" t="e">
        <f t="shared" si="77"/>
        <v>#DIV/0!</v>
      </c>
      <c r="BF101" s="14" t="e">
        <f t="shared" si="77"/>
        <v>#DIV/0!</v>
      </c>
      <c r="BG101" s="14" t="e">
        <f t="shared" si="77"/>
        <v>#DIV/0!</v>
      </c>
      <c r="BH101" s="14" t="e">
        <f t="shared" si="77"/>
        <v>#DIV/0!</v>
      </c>
      <c r="BI101" s="14" t="e">
        <f t="shared" si="77"/>
        <v>#DIV/0!</v>
      </c>
      <c r="BJ101" s="14" t="e">
        <f t="shared" si="77"/>
        <v>#DIV/0!</v>
      </c>
      <c r="BK101" s="14" t="e">
        <f t="shared" si="77"/>
        <v>#DIV/0!</v>
      </c>
      <c r="BL101" s="14" t="e">
        <f t="shared" si="77"/>
        <v>#DIV/0!</v>
      </c>
      <c r="BM101" s="14" t="e">
        <f t="shared" si="77"/>
        <v>#DIV/0!</v>
      </c>
      <c r="BN101" s="14" t="e">
        <f t="shared" si="77"/>
        <v>#DIV/0!</v>
      </c>
      <c r="BO101" s="14" t="e">
        <f t="shared" si="77"/>
        <v>#DIV/0!</v>
      </c>
      <c r="BP101" s="14" t="e">
        <f t="shared" si="77"/>
        <v>#DIV/0!</v>
      </c>
      <c r="BQ101" s="14" t="e">
        <f t="shared" si="77"/>
        <v>#DIV/0!</v>
      </c>
      <c r="BR101" s="14" t="e">
        <f t="shared" si="77"/>
        <v>#DIV/0!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 t="e">
        <f t="shared" ref="F102" si="78">F26*$C$78</f>
        <v>#DIV/0!</v>
      </c>
      <c r="G102" s="14" t="e">
        <f t="shared" ref="G102:BR102" si="79">G26*$C$78</f>
        <v>#DIV/0!</v>
      </c>
      <c r="H102" s="14" t="e">
        <f t="shared" si="79"/>
        <v>#DIV/0!</v>
      </c>
      <c r="I102" s="14" t="e">
        <f t="shared" si="79"/>
        <v>#DIV/0!</v>
      </c>
      <c r="J102" s="14" t="e">
        <f t="shared" si="79"/>
        <v>#DIV/0!</v>
      </c>
      <c r="K102" s="14" t="e">
        <f t="shared" si="79"/>
        <v>#DIV/0!</v>
      </c>
      <c r="L102" s="14" t="e">
        <f t="shared" si="79"/>
        <v>#DIV/0!</v>
      </c>
      <c r="M102" s="14" t="e">
        <f t="shared" si="79"/>
        <v>#DIV/0!</v>
      </c>
      <c r="N102" s="14" t="e">
        <f t="shared" si="79"/>
        <v>#DIV/0!</v>
      </c>
      <c r="O102" s="14" t="e">
        <f t="shared" si="79"/>
        <v>#DIV/0!</v>
      </c>
      <c r="P102" s="14" t="e">
        <f t="shared" si="79"/>
        <v>#DIV/0!</v>
      </c>
      <c r="Q102" s="14" t="e">
        <f t="shared" si="79"/>
        <v>#DIV/0!</v>
      </c>
      <c r="R102" s="14" t="e">
        <f t="shared" si="79"/>
        <v>#DIV/0!</v>
      </c>
      <c r="S102" s="14" t="e">
        <f t="shared" si="79"/>
        <v>#DIV/0!</v>
      </c>
      <c r="T102" s="14" t="e">
        <f t="shared" si="79"/>
        <v>#DIV/0!</v>
      </c>
      <c r="U102" s="14" t="e">
        <f t="shared" si="79"/>
        <v>#DIV/0!</v>
      </c>
      <c r="V102" s="14" t="e">
        <f t="shared" si="79"/>
        <v>#DIV/0!</v>
      </c>
      <c r="W102" s="14" t="e">
        <f t="shared" si="79"/>
        <v>#DIV/0!</v>
      </c>
      <c r="X102" s="14" t="e">
        <f t="shared" si="79"/>
        <v>#DIV/0!</v>
      </c>
      <c r="Y102" s="14" t="e">
        <f t="shared" si="79"/>
        <v>#DIV/0!</v>
      </c>
      <c r="Z102" s="14" t="e">
        <f t="shared" si="79"/>
        <v>#DIV/0!</v>
      </c>
      <c r="AA102" s="14" t="e">
        <f t="shared" si="79"/>
        <v>#DIV/0!</v>
      </c>
      <c r="AB102" s="14" t="e">
        <f t="shared" si="79"/>
        <v>#DIV/0!</v>
      </c>
      <c r="AC102" s="14" t="e">
        <f t="shared" si="79"/>
        <v>#DIV/0!</v>
      </c>
      <c r="AD102" s="14" t="e">
        <f t="shared" si="79"/>
        <v>#DIV/0!</v>
      </c>
      <c r="AE102" s="14" t="e">
        <f t="shared" si="79"/>
        <v>#DIV/0!</v>
      </c>
      <c r="AF102" s="14" t="e">
        <f t="shared" si="79"/>
        <v>#DIV/0!</v>
      </c>
      <c r="AG102" s="14" t="e">
        <f t="shared" si="79"/>
        <v>#DIV/0!</v>
      </c>
      <c r="AH102" s="14" t="e">
        <f t="shared" si="79"/>
        <v>#DIV/0!</v>
      </c>
      <c r="AI102" s="14" t="e">
        <f t="shared" si="79"/>
        <v>#DIV/0!</v>
      </c>
      <c r="AJ102" s="14" t="e">
        <f t="shared" si="79"/>
        <v>#DIV/0!</v>
      </c>
      <c r="AK102" s="14" t="e">
        <f t="shared" si="79"/>
        <v>#DIV/0!</v>
      </c>
      <c r="AL102" s="14" t="e">
        <f t="shared" si="79"/>
        <v>#DIV/0!</v>
      </c>
      <c r="AM102" s="14" t="e">
        <f t="shared" si="79"/>
        <v>#DIV/0!</v>
      </c>
      <c r="AN102" s="14" t="e">
        <f t="shared" si="79"/>
        <v>#DIV/0!</v>
      </c>
      <c r="AO102" s="14" t="e">
        <f t="shared" si="79"/>
        <v>#DIV/0!</v>
      </c>
      <c r="AP102" s="14" t="e">
        <f t="shared" si="79"/>
        <v>#DIV/0!</v>
      </c>
      <c r="AQ102" s="14" t="e">
        <f t="shared" si="79"/>
        <v>#DIV/0!</v>
      </c>
      <c r="AR102" s="14" t="e">
        <f t="shared" si="79"/>
        <v>#DIV/0!</v>
      </c>
      <c r="AS102" s="14" t="e">
        <f t="shared" si="79"/>
        <v>#DIV/0!</v>
      </c>
      <c r="AT102" s="14" t="e">
        <f t="shared" si="79"/>
        <v>#DIV/0!</v>
      </c>
      <c r="AU102" s="14" t="e">
        <f t="shared" si="79"/>
        <v>#DIV/0!</v>
      </c>
      <c r="AV102" s="14" t="e">
        <f t="shared" si="79"/>
        <v>#DIV/0!</v>
      </c>
      <c r="AW102" s="14" t="e">
        <f t="shared" si="79"/>
        <v>#DIV/0!</v>
      </c>
      <c r="AX102" s="14" t="e">
        <f t="shared" si="79"/>
        <v>#DIV/0!</v>
      </c>
      <c r="AY102" s="14" t="e">
        <f t="shared" si="79"/>
        <v>#DIV/0!</v>
      </c>
      <c r="AZ102" s="14" t="e">
        <f t="shared" si="79"/>
        <v>#DIV/0!</v>
      </c>
      <c r="BA102" s="14" t="e">
        <f t="shared" si="79"/>
        <v>#DIV/0!</v>
      </c>
      <c r="BB102" s="14" t="e">
        <f t="shared" si="79"/>
        <v>#DIV/0!</v>
      </c>
      <c r="BC102" s="14" t="e">
        <f t="shared" si="79"/>
        <v>#DIV/0!</v>
      </c>
      <c r="BD102" s="14" t="e">
        <f t="shared" si="79"/>
        <v>#DIV/0!</v>
      </c>
      <c r="BE102" s="14" t="e">
        <f t="shared" si="79"/>
        <v>#DIV/0!</v>
      </c>
      <c r="BF102" s="14" t="e">
        <f t="shared" si="79"/>
        <v>#DIV/0!</v>
      </c>
      <c r="BG102" s="14" t="e">
        <f t="shared" si="79"/>
        <v>#DIV/0!</v>
      </c>
      <c r="BH102" s="14" t="e">
        <f t="shared" si="79"/>
        <v>#DIV/0!</v>
      </c>
      <c r="BI102" s="14" t="e">
        <f t="shared" si="79"/>
        <v>#DIV/0!</v>
      </c>
      <c r="BJ102" s="14" t="e">
        <f t="shared" si="79"/>
        <v>#DIV/0!</v>
      </c>
      <c r="BK102" s="14" t="e">
        <f t="shared" si="79"/>
        <v>#DIV/0!</v>
      </c>
      <c r="BL102" s="14" t="e">
        <f t="shared" si="79"/>
        <v>#DIV/0!</v>
      </c>
      <c r="BM102" s="14" t="e">
        <f t="shared" si="79"/>
        <v>#DIV/0!</v>
      </c>
      <c r="BN102" s="14" t="e">
        <f t="shared" si="79"/>
        <v>#DIV/0!</v>
      </c>
      <c r="BO102" s="14" t="e">
        <f t="shared" si="79"/>
        <v>#DIV/0!</v>
      </c>
      <c r="BP102" s="14" t="e">
        <f t="shared" si="79"/>
        <v>#DIV/0!</v>
      </c>
      <c r="BQ102" s="14" t="e">
        <f t="shared" si="79"/>
        <v>#DIV/0!</v>
      </c>
      <c r="BR102" s="14" t="e">
        <f t="shared" si="79"/>
        <v>#DIV/0!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 t="e">
        <f t="shared" ref="F103" si="80">F27*$C$78</f>
        <v>#DIV/0!</v>
      </c>
      <c r="G103" s="14" t="e">
        <f t="shared" ref="G103:BR103" si="81">G27*$C$78</f>
        <v>#DIV/0!</v>
      </c>
      <c r="H103" s="14" t="e">
        <f t="shared" si="81"/>
        <v>#DIV/0!</v>
      </c>
      <c r="I103" s="14" t="e">
        <f t="shared" si="81"/>
        <v>#DIV/0!</v>
      </c>
      <c r="J103" s="14" t="e">
        <f t="shared" si="81"/>
        <v>#DIV/0!</v>
      </c>
      <c r="K103" s="14" t="e">
        <f t="shared" si="81"/>
        <v>#DIV/0!</v>
      </c>
      <c r="L103" s="14" t="e">
        <f t="shared" si="81"/>
        <v>#DIV/0!</v>
      </c>
      <c r="M103" s="14" t="e">
        <f t="shared" si="81"/>
        <v>#DIV/0!</v>
      </c>
      <c r="N103" s="14" t="e">
        <f t="shared" si="81"/>
        <v>#DIV/0!</v>
      </c>
      <c r="O103" s="14" t="e">
        <f t="shared" si="81"/>
        <v>#DIV/0!</v>
      </c>
      <c r="P103" s="14" t="e">
        <f t="shared" si="81"/>
        <v>#DIV/0!</v>
      </c>
      <c r="Q103" s="14" t="e">
        <f t="shared" si="81"/>
        <v>#DIV/0!</v>
      </c>
      <c r="R103" s="14" t="e">
        <f t="shared" si="81"/>
        <v>#DIV/0!</v>
      </c>
      <c r="S103" s="14" t="e">
        <f t="shared" si="81"/>
        <v>#DIV/0!</v>
      </c>
      <c r="T103" s="14" t="e">
        <f t="shared" si="81"/>
        <v>#DIV/0!</v>
      </c>
      <c r="U103" s="14" t="e">
        <f t="shared" si="81"/>
        <v>#DIV/0!</v>
      </c>
      <c r="V103" s="14" t="e">
        <f t="shared" si="81"/>
        <v>#DIV/0!</v>
      </c>
      <c r="W103" s="14" t="e">
        <f t="shared" si="81"/>
        <v>#DIV/0!</v>
      </c>
      <c r="X103" s="14" t="e">
        <f t="shared" si="81"/>
        <v>#DIV/0!</v>
      </c>
      <c r="Y103" s="14" t="e">
        <f t="shared" si="81"/>
        <v>#DIV/0!</v>
      </c>
      <c r="Z103" s="14" t="e">
        <f t="shared" si="81"/>
        <v>#DIV/0!</v>
      </c>
      <c r="AA103" s="14" t="e">
        <f t="shared" si="81"/>
        <v>#DIV/0!</v>
      </c>
      <c r="AB103" s="14" t="e">
        <f t="shared" si="81"/>
        <v>#DIV/0!</v>
      </c>
      <c r="AC103" s="14" t="e">
        <f t="shared" si="81"/>
        <v>#DIV/0!</v>
      </c>
      <c r="AD103" s="14" t="e">
        <f t="shared" si="81"/>
        <v>#DIV/0!</v>
      </c>
      <c r="AE103" s="14" t="e">
        <f t="shared" si="81"/>
        <v>#DIV/0!</v>
      </c>
      <c r="AF103" s="14" t="e">
        <f t="shared" si="81"/>
        <v>#DIV/0!</v>
      </c>
      <c r="AG103" s="14" t="e">
        <f t="shared" si="81"/>
        <v>#DIV/0!</v>
      </c>
      <c r="AH103" s="14" t="e">
        <f t="shared" si="81"/>
        <v>#DIV/0!</v>
      </c>
      <c r="AI103" s="14" t="e">
        <f t="shared" si="81"/>
        <v>#DIV/0!</v>
      </c>
      <c r="AJ103" s="14" t="e">
        <f t="shared" si="81"/>
        <v>#DIV/0!</v>
      </c>
      <c r="AK103" s="14" t="e">
        <f t="shared" si="81"/>
        <v>#DIV/0!</v>
      </c>
      <c r="AL103" s="14" t="e">
        <f t="shared" si="81"/>
        <v>#DIV/0!</v>
      </c>
      <c r="AM103" s="14" t="e">
        <f t="shared" si="81"/>
        <v>#DIV/0!</v>
      </c>
      <c r="AN103" s="14" t="e">
        <f t="shared" si="81"/>
        <v>#DIV/0!</v>
      </c>
      <c r="AO103" s="14" t="e">
        <f t="shared" si="81"/>
        <v>#DIV/0!</v>
      </c>
      <c r="AP103" s="14" t="e">
        <f t="shared" si="81"/>
        <v>#DIV/0!</v>
      </c>
      <c r="AQ103" s="14" t="e">
        <f t="shared" si="81"/>
        <v>#DIV/0!</v>
      </c>
      <c r="AR103" s="14" t="e">
        <f t="shared" si="81"/>
        <v>#DIV/0!</v>
      </c>
      <c r="AS103" s="14" t="e">
        <f t="shared" si="81"/>
        <v>#DIV/0!</v>
      </c>
      <c r="AT103" s="14" t="e">
        <f t="shared" si="81"/>
        <v>#DIV/0!</v>
      </c>
      <c r="AU103" s="14" t="e">
        <f t="shared" si="81"/>
        <v>#DIV/0!</v>
      </c>
      <c r="AV103" s="14" t="e">
        <f t="shared" si="81"/>
        <v>#DIV/0!</v>
      </c>
      <c r="AW103" s="14" t="e">
        <f t="shared" si="81"/>
        <v>#DIV/0!</v>
      </c>
      <c r="AX103" s="14" t="e">
        <f t="shared" si="81"/>
        <v>#DIV/0!</v>
      </c>
      <c r="AY103" s="14" t="e">
        <f t="shared" si="81"/>
        <v>#DIV/0!</v>
      </c>
      <c r="AZ103" s="14" t="e">
        <f t="shared" si="81"/>
        <v>#DIV/0!</v>
      </c>
      <c r="BA103" s="14" t="e">
        <f t="shared" si="81"/>
        <v>#DIV/0!</v>
      </c>
      <c r="BB103" s="14" t="e">
        <f t="shared" si="81"/>
        <v>#DIV/0!</v>
      </c>
      <c r="BC103" s="14" t="e">
        <f t="shared" si="81"/>
        <v>#DIV/0!</v>
      </c>
      <c r="BD103" s="14" t="e">
        <f t="shared" si="81"/>
        <v>#DIV/0!</v>
      </c>
      <c r="BE103" s="14" t="e">
        <f t="shared" si="81"/>
        <v>#DIV/0!</v>
      </c>
      <c r="BF103" s="14" t="e">
        <f t="shared" si="81"/>
        <v>#DIV/0!</v>
      </c>
      <c r="BG103" s="14" t="e">
        <f t="shared" si="81"/>
        <v>#DIV/0!</v>
      </c>
      <c r="BH103" s="14" t="e">
        <f t="shared" si="81"/>
        <v>#DIV/0!</v>
      </c>
      <c r="BI103" s="14" t="e">
        <f t="shared" si="81"/>
        <v>#DIV/0!</v>
      </c>
      <c r="BJ103" s="14" t="e">
        <f t="shared" si="81"/>
        <v>#DIV/0!</v>
      </c>
      <c r="BK103" s="14" t="e">
        <f t="shared" si="81"/>
        <v>#DIV/0!</v>
      </c>
      <c r="BL103" s="14" t="e">
        <f t="shared" si="81"/>
        <v>#DIV/0!</v>
      </c>
      <c r="BM103" s="14" t="e">
        <f t="shared" si="81"/>
        <v>#DIV/0!</v>
      </c>
      <c r="BN103" s="14" t="e">
        <f t="shared" si="81"/>
        <v>#DIV/0!</v>
      </c>
      <c r="BO103" s="14" t="e">
        <f t="shared" si="81"/>
        <v>#DIV/0!</v>
      </c>
      <c r="BP103" s="14" t="e">
        <f t="shared" si="81"/>
        <v>#DIV/0!</v>
      </c>
      <c r="BQ103" s="14" t="e">
        <f t="shared" si="81"/>
        <v>#DIV/0!</v>
      </c>
      <c r="BR103" s="14" t="e">
        <f t="shared" si="81"/>
        <v>#DIV/0!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 t="e">
        <f t="shared" ref="F104" si="82">F28*$C$78</f>
        <v>#DIV/0!</v>
      </c>
      <c r="G104" s="14" t="e">
        <f t="shared" ref="G104:BR104" si="83">G28*$C$78</f>
        <v>#DIV/0!</v>
      </c>
      <c r="H104" s="14" t="e">
        <f t="shared" si="83"/>
        <v>#DIV/0!</v>
      </c>
      <c r="I104" s="14" t="e">
        <f t="shared" si="83"/>
        <v>#DIV/0!</v>
      </c>
      <c r="J104" s="14" t="e">
        <f t="shared" si="83"/>
        <v>#DIV/0!</v>
      </c>
      <c r="K104" s="14" t="e">
        <f t="shared" si="83"/>
        <v>#DIV/0!</v>
      </c>
      <c r="L104" s="14" t="e">
        <f t="shared" si="83"/>
        <v>#DIV/0!</v>
      </c>
      <c r="M104" s="14" t="e">
        <f t="shared" si="83"/>
        <v>#DIV/0!</v>
      </c>
      <c r="N104" s="14" t="e">
        <f t="shared" si="83"/>
        <v>#DIV/0!</v>
      </c>
      <c r="O104" s="14" t="e">
        <f t="shared" si="83"/>
        <v>#DIV/0!</v>
      </c>
      <c r="P104" s="14" t="e">
        <f t="shared" si="83"/>
        <v>#DIV/0!</v>
      </c>
      <c r="Q104" s="14" t="e">
        <f t="shared" si="83"/>
        <v>#DIV/0!</v>
      </c>
      <c r="R104" s="14" t="e">
        <f t="shared" si="83"/>
        <v>#DIV/0!</v>
      </c>
      <c r="S104" s="14" t="e">
        <f t="shared" si="83"/>
        <v>#DIV/0!</v>
      </c>
      <c r="T104" s="14" t="e">
        <f t="shared" si="83"/>
        <v>#DIV/0!</v>
      </c>
      <c r="U104" s="14" t="e">
        <f t="shared" si="83"/>
        <v>#DIV/0!</v>
      </c>
      <c r="V104" s="14" t="e">
        <f t="shared" si="83"/>
        <v>#DIV/0!</v>
      </c>
      <c r="W104" s="14" t="e">
        <f t="shared" si="83"/>
        <v>#DIV/0!</v>
      </c>
      <c r="X104" s="14" t="e">
        <f t="shared" si="83"/>
        <v>#DIV/0!</v>
      </c>
      <c r="Y104" s="14" t="e">
        <f t="shared" si="83"/>
        <v>#DIV/0!</v>
      </c>
      <c r="Z104" s="14" t="e">
        <f t="shared" si="83"/>
        <v>#DIV/0!</v>
      </c>
      <c r="AA104" s="14" t="e">
        <f t="shared" si="83"/>
        <v>#DIV/0!</v>
      </c>
      <c r="AB104" s="14" t="e">
        <f t="shared" si="83"/>
        <v>#DIV/0!</v>
      </c>
      <c r="AC104" s="14" t="e">
        <f t="shared" si="83"/>
        <v>#DIV/0!</v>
      </c>
      <c r="AD104" s="14" t="e">
        <f t="shared" si="83"/>
        <v>#DIV/0!</v>
      </c>
      <c r="AE104" s="14" t="e">
        <f t="shared" si="83"/>
        <v>#DIV/0!</v>
      </c>
      <c r="AF104" s="14" t="e">
        <f t="shared" si="83"/>
        <v>#DIV/0!</v>
      </c>
      <c r="AG104" s="14" t="e">
        <f t="shared" si="83"/>
        <v>#DIV/0!</v>
      </c>
      <c r="AH104" s="14" t="e">
        <f t="shared" si="83"/>
        <v>#DIV/0!</v>
      </c>
      <c r="AI104" s="14" t="e">
        <f t="shared" si="83"/>
        <v>#DIV/0!</v>
      </c>
      <c r="AJ104" s="14" t="e">
        <f t="shared" si="83"/>
        <v>#DIV/0!</v>
      </c>
      <c r="AK104" s="14" t="e">
        <f t="shared" si="83"/>
        <v>#DIV/0!</v>
      </c>
      <c r="AL104" s="14" t="e">
        <f t="shared" si="83"/>
        <v>#DIV/0!</v>
      </c>
      <c r="AM104" s="14" t="e">
        <f t="shared" si="83"/>
        <v>#DIV/0!</v>
      </c>
      <c r="AN104" s="14" t="e">
        <f t="shared" si="83"/>
        <v>#DIV/0!</v>
      </c>
      <c r="AO104" s="14" t="e">
        <f t="shared" si="83"/>
        <v>#DIV/0!</v>
      </c>
      <c r="AP104" s="14" t="e">
        <f t="shared" si="83"/>
        <v>#DIV/0!</v>
      </c>
      <c r="AQ104" s="14" t="e">
        <f t="shared" si="83"/>
        <v>#DIV/0!</v>
      </c>
      <c r="AR104" s="14" t="e">
        <f t="shared" si="83"/>
        <v>#DIV/0!</v>
      </c>
      <c r="AS104" s="14" t="e">
        <f t="shared" si="83"/>
        <v>#DIV/0!</v>
      </c>
      <c r="AT104" s="14" t="e">
        <f t="shared" si="83"/>
        <v>#DIV/0!</v>
      </c>
      <c r="AU104" s="14" t="e">
        <f t="shared" si="83"/>
        <v>#DIV/0!</v>
      </c>
      <c r="AV104" s="14" t="e">
        <f t="shared" si="83"/>
        <v>#DIV/0!</v>
      </c>
      <c r="AW104" s="14" t="e">
        <f t="shared" si="83"/>
        <v>#DIV/0!</v>
      </c>
      <c r="AX104" s="14" t="e">
        <f t="shared" si="83"/>
        <v>#DIV/0!</v>
      </c>
      <c r="AY104" s="14" t="e">
        <f t="shared" si="83"/>
        <v>#DIV/0!</v>
      </c>
      <c r="AZ104" s="14" t="e">
        <f t="shared" si="83"/>
        <v>#DIV/0!</v>
      </c>
      <c r="BA104" s="14" t="e">
        <f t="shared" si="83"/>
        <v>#DIV/0!</v>
      </c>
      <c r="BB104" s="14" t="e">
        <f t="shared" si="83"/>
        <v>#DIV/0!</v>
      </c>
      <c r="BC104" s="14" t="e">
        <f t="shared" si="83"/>
        <v>#DIV/0!</v>
      </c>
      <c r="BD104" s="14" t="e">
        <f t="shared" si="83"/>
        <v>#DIV/0!</v>
      </c>
      <c r="BE104" s="14" t="e">
        <f t="shared" si="83"/>
        <v>#DIV/0!</v>
      </c>
      <c r="BF104" s="14" t="e">
        <f t="shared" si="83"/>
        <v>#DIV/0!</v>
      </c>
      <c r="BG104" s="14" t="e">
        <f t="shared" si="83"/>
        <v>#DIV/0!</v>
      </c>
      <c r="BH104" s="14" t="e">
        <f t="shared" si="83"/>
        <v>#DIV/0!</v>
      </c>
      <c r="BI104" s="14" t="e">
        <f t="shared" si="83"/>
        <v>#DIV/0!</v>
      </c>
      <c r="BJ104" s="14" t="e">
        <f t="shared" si="83"/>
        <v>#DIV/0!</v>
      </c>
      <c r="BK104" s="14" t="e">
        <f t="shared" si="83"/>
        <v>#DIV/0!</v>
      </c>
      <c r="BL104" s="14" t="e">
        <f t="shared" si="83"/>
        <v>#DIV/0!</v>
      </c>
      <c r="BM104" s="14" t="e">
        <f t="shared" si="83"/>
        <v>#DIV/0!</v>
      </c>
      <c r="BN104" s="14" t="e">
        <f t="shared" si="83"/>
        <v>#DIV/0!</v>
      </c>
      <c r="BO104" s="14" t="e">
        <f t="shared" si="83"/>
        <v>#DIV/0!</v>
      </c>
      <c r="BP104" s="14" t="e">
        <f t="shared" si="83"/>
        <v>#DIV/0!</v>
      </c>
      <c r="BQ104" s="14" t="e">
        <f t="shared" si="83"/>
        <v>#DIV/0!</v>
      </c>
      <c r="BR104" s="14" t="e">
        <f t="shared" si="83"/>
        <v>#DIV/0!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 t="e">
        <f t="shared" ref="F105" si="84">F29*$C$78</f>
        <v>#DIV/0!</v>
      </c>
      <c r="G105" s="14" t="e">
        <f t="shared" ref="G105:BR105" si="85">G29*$C$78</f>
        <v>#DIV/0!</v>
      </c>
      <c r="H105" s="14" t="e">
        <f t="shared" si="85"/>
        <v>#DIV/0!</v>
      </c>
      <c r="I105" s="14" t="e">
        <f t="shared" si="85"/>
        <v>#DIV/0!</v>
      </c>
      <c r="J105" s="14" t="e">
        <f t="shared" si="85"/>
        <v>#DIV/0!</v>
      </c>
      <c r="K105" s="14" t="e">
        <f t="shared" si="85"/>
        <v>#DIV/0!</v>
      </c>
      <c r="L105" s="14" t="e">
        <f t="shared" si="85"/>
        <v>#DIV/0!</v>
      </c>
      <c r="M105" s="14" t="e">
        <f t="shared" si="85"/>
        <v>#DIV/0!</v>
      </c>
      <c r="N105" s="14" t="e">
        <f t="shared" si="85"/>
        <v>#DIV/0!</v>
      </c>
      <c r="O105" s="14" t="e">
        <f t="shared" si="85"/>
        <v>#DIV/0!</v>
      </c>
      <c r="P105" s="14" t="e">
        <f t="shared" si="85"/>
        <v>#DIV/0!</v>
      </c>
      <c r="Q105" s="14" t="e">
        <f t="shared" si="85"/>
        <v>#DIV/0!</v>
      </c>
      <c r="R105" s="14" t="e">
        <f t="shared" si="85"/>
        <v>#DIV/0!</v>
      </c>
      <c r="S105" s="14" t="e">
        <f t="shared" si="85"/>
        <v>#DIV/0!</v>
      </c>
      <c r="T105" s="14" t="e">
        <f t="shared" si="85"/>
        <v>#DIV/0!</v>
      </c>
      <c r="U105" s="14" t="e">
        <f t="shared" si="85"/>
        <v>#DIV/0!</v>
      </c>
      <c r="V105" s="14" t="e">
        <f t="shared" si="85"/>
        <v>#DIV/0!</v>
      </c>
      <c r="W105" s="14" t="e">
        <f t="shared" si="85"/>
        <v>#DIV/0!</v>
      </c>
      <c r="X105" s="14" t="e">
        <f t="shared" si="85"/>
        <v>#DIV/0!</v>
      </c>
      <c r="Y105" s="14" t="e">
        <f t="shared" si="85"/>
        <v>#DIV/0!</v>
      </c>
      <c r="Z105" s="14" t="e">
        <f t="shared" si="85"/>
        <v>#DIV/0!</v>
      </c>
      <c r="AA105" s="14" t="e">
        <f t="shared" si="85"/>
        <v>#DIV/0!</v>
      </c>
      <c r="AB105" s="14" t="e">
        <f t="shared" si="85"/>
        <v>#DIV/0!</v>
      </c>
      <c r="AC105" s="14" t="e">
        <f t="shared" si="85"/>
        <v>#DIV/0!</v>
      </c>
      <c r="AD105" s="14" t="e">
        <f t="shared" si="85"/>
        <v>#DIV/0!</v>
      </c>
      <c r="AE105" s="14" t="e">
        <f t="shared" si="85"/>
        <v>#DIV/0!</v>
      </c>
      <c r="AF105" s="14" t="e">
        <f t="shared" si="85"/>
        <v>#DIV/0!</v>
      </c>
      <c r="AG105" s="14" t="e">
        <f t="shared" si="85"/>
        <v>#DIV/0!</v>
      </c>
      <c r="AH105" s="14" t="e">
        <f t="shared" si="85"/>
        <v>#DIV/0!</v>
      </c>
      <c r="AI105" s="14" t="e">
        <f t="shared" si="85"/>
        <v>#DIV/0!</v>
      </c>
      <c r="AJ105" s="14" t="e">
        <f t="shared" si="85"/>
        <v>#DIV/0!</v>
      </c>
      <c r="AK105" s="14" t="e">
        <f t="shared" si="85"/>
        <v>#DIV/0!</v>
      </c>
      <c r="AL105" s="14" t="e">
        <f t="shared" si="85"/>
        <v>#DIV/0!</v>
      </c>
      <c r="AM105" s="14" t="e">
        <f t="shared" si="85"/>
        <v>#DIV/0!</v>
      </c>
      <c r="AN105" s="14" t="e">
        <f t="shared" si="85"/>
        <v>#DIV/0!</v>
      </c>
      <c r="AO105" s="14" t="e">
        <f t="shared" si="85"/>
        <v>#DIV/0!</v>
      </c>
      <c r="AP105" s="14" t="e">
        <f t="shared" si="85"/>
        <v>#DIV/0!</v>
      </c>
      <c r="AQ105" s="14" t="e">
        <f t="shared" si="85"/>
        <v>#DIV/0!</v>
      </c>
      <c r="AR105" s="14" t="e">
        <f t="shared" si="85"/>
        <v>#DIV/0!</v>
      </c>
      <c r="AS105" s="14" t="e">
        <f t="shared" si="85"/>
        <v>#DIV/0!</v>
      </c>
      <c r="AT105" s="14" t="e">
        <f t="shared" si="85"/>
        <v>#DIV/0!</v>
      </c>
      <c r="AU105" s="14" t="e">
        <f t="shared" si="85"/>
        <v>#DIV/0!</v>
      </c>
      <c r="AV105" s="14" t="e">
        <f t="shared" si="85"/>
        <v>#DIV/0!</v>
      </c>
      <c r="AW105" s="14" t="e">
        <f t="shared" si="85"/>
        <v>#DIV/0!</v>
      </c>
      <c r="AX105" s="14" t="e">
        <f t="shared" si="85"/>
        <v>#DIV/0!</v>
      </c>
      <c r="AY105" s="14" t="e">
        <f t="shared" si="85"/>
        <v>#DIV/0!</v>
      </c>
      <c r="AZ105" s="14" t="e">
        <f t="shared" si="85"/>
        <v>#DIV/0!</v>
      </c>
      <c r="BA105" s="14" t="e">
        <f t="shared" si="85"/>
        <v>#DIV/0!</v>
      </c>
      <c r="BB105" s="14" t="e">
        <f t="shared" si="85"/>
        <v>#DIV/0!</v>
      </c>
      <c r="BC105" s="14" t="e">
        <f t="shared" si="85"/>
        <v>#DIV/0!</v>
      </c>
      <c r="BD105" s="14" t="e">
        <f t="shared" si="85"/>
        <v>#DIV/0!</v>
      </c>
      <c r="BE105" s="14" t="e">
        <f t="shared" si="85"/>
        <v>#DIV/0!</v>
      </c>
      <c r="BF105" s="14" t="e">
        <f t="shared" si="85"/>
        <v>#DIV/0!</v>
      </c>
      <c r="BG105" s="14" t="e">
        <f t="shared" si="85"/>
        <v>#DIV/0!</v>
      </c>
      <c r="BH105" s="14" t="e">
        <f t="shared" si="85"/>
        <v>#DIV/0!</v>
      </c>
      <c r="BI105" s="14" t="e">
        <f t="shared" si="85"/>
        <v>#DIV/0!</v>
      </c>
      <c r="BJ105" s="14" t="e">
        <f t="shared" si="85"/>
        <v>#DIV/0!</v>
      </c>
      <c r="BK105" s="14" t="e">
        <f t="shared" si="85"/>
        <v>#DIV/0!</v>
      </c>
      <c r="BL105" s="14" t="e">
        <f t="shared" si="85"/>
        <v>#DIV/0!</v>
      </c>
      <c r="BM105" s="14" t="e">
        <f t="shared" si="85"/>
        <v>#DIV/0!</v>
      </c>
      <c r="BN105" s="14" t="e">
        <f t="shared" si="85"/>
        <v>#DIV/0!</v>
      </c>
      <c r="BO105" s="14" t="e">
        <f t="shared" si="85"/>
        <v>#DIV/0!</v>
      </c>
      <c r="BP105" s="14" t="e">
        <f t="shared" si="85"/>
        <v>#DIV/0!</v>
      </c>
      <c r="BQ105" s="14" t="e">
        <f t="shared" si="85"/>
        <v>#DIV/0!</v>
      </c>
      <c r="BR105" s="14" t="e">
        <f t="shared" si="85"/>
        <v>#DIV/0!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 t="e">
        <f t="shared" ref="F106" si="86">F30*$C$78</f>
        <v>#DIV/0!</v>
      </c>
      <c r="G106" s="14" t="e">
        <f t="shared" ref="G106:BR106" si="87">G30*$C$78</f>
        <v>#DIV/0!</v>
      </c>
      <c r="H106" s="14" t="e">
        <f t="shared" si="87"/>
        <v>#DIV/0!</v>
      </c>
      <c r="I106" s="14" t="e">
        <f t="shared" si="87"/>
        <v>#DIV/0!</v>
      </c>
      <c r="J106" s="14" t="e">
        <f t="shared" si="87"/>
        <v>#DIV/0!</v>
      </c>
      <c r="K106" s="14" t="e">
        <f t="shared" si="87"/>
        <v>#DIV/0!</v>
      </c>
      <c r="L106" s="14" t="e">
        <f t="shared" si="87"/>
        <v>#DIV/0!</v>
      </c>
      <c r="M106" s="14" t="e">
        <f t="shared" si="87"/>
        <v>#DIV/0!</v>
      </c>
      <c r="N106" s="14" t="e">
        <f t="shared" si="87"/>
        <v>#DIV/0!</v>
      </c>
      <c r="O106" s="14" t="e">
        <f t="shared" si="87"/>
        <v>#DIV/0!</v>
      </c>
      <c r="P106" s="14" t="e">
        <f t="shared" si="87"/>
        <v>#DIV/0!</v>
      </c>
      <c r="Q106" s="14" t="e">
        <f t="shared" si="87"/>
        <v>#DIV/0!</v>
      </c>
      <c r="R106" s="14" t="e">
        <f t="shared" si="87"/>
        <v>#DIV/0!</v>
      </c>
      <c r="S106" s="14" t="e">
        <f t="shared" si="87"/>
        <v>#DIV/0!</v>
      </c>
      <c r="T106" s="14" t="e">
        <f t="shared" si="87"/>
        <v>#DIV/0!</v>
      </c>
      <c r="U106" s="14" t="e">
        <f t="shared" si="87"/>
        <v>#DIV/0!</v>
      </c>
      <c r="V106" s="14" t="e">
        <f t="shared" si="87"/>
        <v>#DIV/0!</v>
      </c>
      <c r="W106" s="14" t="e">
        <f t="shared" si="87"/>
        <v>#DIV/0!</v>
      </c>
      <c r="X106" s="14" t="e">
        <f t="shared" si="87"/>
        <v>#DIV/0!</v>
      </c>
      <c r="Y106" s="14" t="e">
        <f t="shared" si="87"/>
        <v>#DIV/0!</v>
      </c>
      <c r="Z106" s="14" t="e">
        <f t="shared" si="87"/>
        <v>#DIV/0!</v>
      </c>
      <c r="AA106" s="14" t="e">
        <f t="shared" si="87"/>
        <v>#DIV/0!</v>
      </c>
      <c r="AB106" s="14" t="e">
        <f t="shared" si="87"/>
        <v>#DIV/0!</v>
      </c>
      <c r="AC106" s="14" t="e">
        <f t="shared" si="87"/>
        <v>#DIV/0!</v>
      </c>
      <c r="AD106" s="14" t="e">
        <f t="shared" si="87"/>
        <v>#DIV/0!</v>
      </c>
      <c r="AE106" s="14" t="e">
        <f t="shared" si="87"/>
        <v>#DIV/0!</v>
      </c>
      <c r="AF106" s="14" t="e">
        <f t="shared" si="87"/>
        <v>#DIV/0!</v>
      </c>
      <c r="AG106" s="14" t="e">
        <f t="shared" si="87"/>
        <v>#DIV/0!</v>
      </c>
      <c r="AH106" s="14" t="e">
        <f t="shared" si="87"/>
        <v>#DIV/0!</v>
      </c>
      <c r="AI106" s="14" t="e">
        <f t="shared" si="87"/>
        <v>#DIV/0!</v>
      </c>
      <c r="AJ106" s="14" t="e">
        <f t="shared" si="87"/>
        <v>#DIV/0!</v>
      </c>
      <c r="AK106" s="14" t="e">
        <f t="shared" si="87"/>
        <v>#DIV/0!</v>
      </c>
      <c r="AL106" s="14" t="e">
        <f t="shared" si="87"/>
        <v>#DIV/0!</v>
      </c>
      <c r="AM106" s="14" t="e">
        <f t="shared" si="87"/>
        <v>#DIV/0!</v>
      </c>
      <c r="AN106" s="14" t="e">
        <f t="shared" si="87"/>
        <v>#DIV/0!</v>
      </c>
      <c r="AO106" s="14" t="e">
        <f t="shared" si="87"/>
        <v>#DIV/0!</v>
      </c>
      <c r="AP106" s="14" t="e">
        <f t="shared" si="87"/>
        <v>#DIV/0!</v>
      </c>
      <c r="AQ106" s="14" t="e">
        <f t="shared" si="87"/>
        <v>#DIV/0!</v>
      </c>
      <c r="AR106" s="14" t="e">
        <f t="shared" si="87"/>
        <v>#DIV/0!</v>
      </c>
      <c r="AS106" s="14" t="e">
        <f t="shared" si="87"/>
        <v>#DIV/0!</v>
      </c>
      <c r="AT106" s="14" t="e">
        <f t="shared" si="87"/>
        <v>#DIV/0!</v>
      </c>
      <c r="AU106" s="14" t="e">
        <f t="shared" si="87"/>
        <v>#DIV/0!</v>
      </c>
      <c r="AV106" s="14" t="e">
        <f t="shared" si="87"/>
        <v>#DIV/0!</v>
      </c>
      <c r="AW106" s="14" t="e">
        <f t="shared" si="87"/>
        <v>#DIV/0!</v>
      </c>
      <c r="AX106" s="14" t="e">
        <f t="shared" si="87"/>
        <v>#DIV/0!</v>
      </c>
      <c r="AY106" s="14" t="e">
        <f t="shared" si="87"/>
        <v>#DIV/0!</v>
      </c>
      <c r="AZ106" s="14" t="e">
        <f t="shared" si="87"/>
        <v>#DIV/0!</v>
      </c>
      <c r="BA106" s="14" t="e">
        <f t="shared" si="87"/>
        <v>#DIV/0!</v>
      </c>
      <c r="BB106" s="14" t="e">
        <f t="shared" si="87"/>
        <v>#DIV/0!</v>
      </c>
      <c r="BC106" s="14" t="e">
        <f t="shared" si="87"/>
        <v>#DIV/0!</v>
      </c>
      <c r="BD106" s="14" t="e">
        <f t="shared" si="87"/>
        <v>#DIV/0!</v>
      </c>
      <c r="BE106" s="14" t="e">
        <f t="shared" si="87"/>
        <v>#DIV/0!</v>
      </c>
      <c r="BF106" s="14" t="e">
        <f t="shared" si="87"/>
        <v>#DIV/0!</v>
      </c>
      <c r="BG106" s="14" t="e">
        <f t="shared" si="87"/>
        <v>#DIV/0!</v>
      </c>
      <c r="BH106" s="14" t="e">
        <f t="shared" si="87"/>
        <v>#DIV/0!</v>
      </c>
      <c r="BI106" s="14" t="e">
        <f t="shared" si="87"/>
        <v>#DIV/0!</v>
      </c>
      <c r="BJ106" s="14" t="e">
        <f t="shared" si="87"/>
        <v>#DIV/0!</v>
      </c>
      <c r="BK106" s="14" t="e">
        <f t="shared" si="87"/>
        <v>#DIV/0!</v>
      </c>
      <c r="BL106" s="14" t="e">
        <f t="shared" si="87"/>
        <v>#DIV/0!</v>
      </c>
      <c r="BM106" s="14" t="e">
        <f t="shared" si="87"/>
        <v>#DIV/0!</v>
      </c>
      <c r="BN106" s="14" t="e">
        <f t="shared" si="87"/>
        <v>#DIV/0!</v>
      </c>
      <c r="BO106" s="14" t="e">
        <f t="shared" si="87"/>
        <v>#DIV/0!</v>
      </c>
      <c r="BP106" s="14" t="e">
        <f t="shared" si="87"/>
        <v>#DIV/0!</v>
      </c>
      <c r="BQ106" s="14" t="e">
        <f t="shared" si="87"/>
        <v>#DIV/0!</v>
      </c>
      <c r="BR106" s="14" t="e">
        <f t="shared" si="87"/>
        <v>#DIV/0!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 t="e">
        <f t="shared" ref="F107" si="88">F31*$C$78</f>
        <v>#DIV/0!</v>
      </c>
      <c r="G107" s="14" t="e">
        <f t="shared" ref="G107:BR107" si="89">G31*$C$78</f>
        <v>#DIV/0!</v>
      </c>
      <c r="H107" s="14" t="e">
        <f t="shared" si="89"/>
        <v>#DIV/0!</v>
      </c>
      <c r="I107" s="14" t="e">
        <f t="shared" si="89"/>
        <v>#DIV/0!</v>
      </c>
      <c r="J107" s="14" t="e">
        <f t="shared" si="89"/>
        <v>#DIV/0!</v>
      </c>
      <c r="K107" s="14" t="e">
        <f t="shared" si="89"/>
        <v>#DIV/0!</v>
      </c>
      <c r="L107" s="14" t="e">
        <f t="shared" si="89"/>
        <v>#DIV/0!</v>
      </c>
      <c r="M107" s="14" t="e">
        <f t="shared" si="89"/>
        <v>#DIV/0!</v>
      </c>
      <c r="N107" s="14" t="e">
        <f t="shared" si="89"/>
        <v>#DIV/0!</v>
      </c>
      <c r="O107" s="14" t="e">
        <f t="shared" si="89"/>
        <v>#DIV/0!</v>
      </c>
      <c r="P107" s="14" t="e">
        <f t="shared" si="89"/>
        <v>#DIV/0!</v>
      </c>
      <c r="Q107" s="14" t="e">
        <f t="shared" si="89"/>
        <v>#DIV/0!</v>
      </c>
      <c r="R107" s="14" t="e">
        <f t="shared" si="89"/>
        <v>#DIV/0!</v>
      </c>
      <c r="S107" s="14" t="e">
        <f t="shared" si="89"/>
        <v>#DIV/0!</v>
      </c>
      <c r="T107" s="14" t="e">
        <f t="shared" si="89"/>
        <v>#DIV/0!</v>
      </c>
      <c r="U107" s="14" t="e">
        <f t="shared" si="89"/>
        <v>#DIV/0!</v>
      </c>
      <c r="V107" s="14" t="e">
        <f t="shared" si="89"/>
        <v>#DIV/0!</v>
      </c>
      <c r="W107" s="14" t="e">
        <f t="shared" si="89"/>
        <v>#DIV/0!</v>
      </c>
      <c r="X107" s="14" t="e">
        <f t="shared" si="89"/>
        <v>#DIV/0!</v>
      </c>
      <c r="Y107" s="14" t="e">
        <f t="shared" si="89"/>
        <v>#DIV/0!</v>
      </c>
      <c r="Z107" s="14" t="e">
        <f t="shared" si="89"/>
        <v>#DIV/0!</v>
      </c>
      <c r="AA107" s="14" t="e">
        <f t="shared" si="89"/>
        <v>#DIV/0!</v>
      </c>
      <c r="AB107" s="14" t="e">
        <f t="shared" si="89"/>
        <v>#DIV/0!</v>
      </c>
      <c r="AC107" s="14" t="e">
        <f t="shared" si="89"/>
        <v>#DIV/0!</v>
      </c>
      <c r="AD107" s="14" t="e">
        <f t="shared" si="89"/>
        <v>#DIV/0!</v>
      </c>
      <c r="AE107" s="14" t="e">
        <f t="shared" si="89"/>
        <v>#DIV/0!</v>
      </c>
      <c r="AF107" s="14" t="e">
        <f t="shared" si="89"/>
        <v>#DIV/0!</v>
      </c>
      <c r="AG107" s="14" t="e">
        <f t="shared" si="89"/>
        <v>#DIV/0!</v>
      </c>
      <c r="AH107" s="14" t="e">
        <f t="shared" si="89"/>
        <v>#DIV/0!</v>
      </c>
      <c r="AI107" s="14" t="e">
        <f t="shared" si="89"/>
        <v>#DIV/0!</v>
      </c>
      <c r="AJ107" s="14" t="e">
        <f t="shared" si="89"/>
        <v>#DIV/0!</v>
      </c>
      <c r="AK107" s="14" t="e">
        <f t="shared" si="89"/>
        <v>#DIV/0!</v>
      </c>
      <c r="AL107" s="14" t="e">
        <f t="shared" si="89"/>
        <v>#DIV/0!</v>
      </c>
      <c r="AM107" s="14" t="e">
        <f t="shared" si="89"/>
        <v>#DIV/0!</v>
      </c>
      <c r="AN107" s="14" t="e">
        <f t="shared" si="89"/>
        <v>#DIV/0!</v>
      </c>
      <c r="AO107" s="14" t="e">
        <f t="shared" si="89"/>
        <v>#DIV/0!</v>
      </c>
      <c r="AP107" s="14" t="e">
        <f t="shared" si="89"/>
        <v>#DIV/0!</v>
      </c>
      <c r="AQ107" s="14" t="e">
        <f t="shared" si="89"/>
        <v>#DIV/0!</v>
      </c>
      <c r="AR107" s="14" t="e">
        <f t="shared" si="89"/>
        <v>#DIV/0!</v>
      </c>
      <c r="AS107" s="14" t="e">
        <f t="shared" si="89"/>
        <v>#DIV/0!</v>
      </c>
      <c r="AT107" s="14" t="e">
        <f t="shared" si="89"/>
        <v>#DIV/0!</v>
      </c>
      <c r="AU107" s="14" t="e">
        <f t="shared" si="89"/>
        <v>#DIV/0!</v>
      </c>
      <c r="AV107" s="14" t="e">
        <f t="shared" si="89"/>
        <v>#DIV/0!</v>
      </c>
      <c r="AW107" s="14" t="e">
        <f t="shared" si="89"/>
        <v>#DIV/0!</v>
      </c>
      <c r="AX107" s="14" t="e">
        <f t="shared" si="89"/>
        <v>#DIV/0!</v>
      </c>
      <c r="AY107" s="14" t="e">
        <f t="shared" si="89"/>
        <v>#DIV/0!</v>
      </c>
      <c r="AZ107" s="14" t="e">
        <f t="shared" si="89"/>
        <v>#DIV/0!</v>
      </c>
      <c r="BA107" s="14" t="e">
        <f t="shared" si="89"/>
        <v>#DIV/0!</v>
      </c>
      <c r="BB107" s="14" t="e">
        <f t="shared" si="89"/>
        <v>#DIV/0!</v>
      </c>
      <c r="BC107" s="14" t="e">
        <f t="shared" si="89"/>
        <v>#DIV/0!</v>
      </c>
      <c r="BD107" s="14" t="e">
        <f t="shared" si="89"/>
        <v>#DIV/0!</v>
      </c>
      <c r="BE107" s="14" t="e">
        <f t="shared" si="89"/>
        <v>#DIV/0!</v>
      </c>
      <c r="BF107" s="14" t="e">
        <f t="shared" si="89"/>
        <v>#DIV/0!</v>
      </c>
      <c r="BG107" s="14" t="e">
        <f t="shared" si="89"/>
        <v>#DIV/0!</v>
      </c>
      <c r="BH107" s="14" t="e">
        <f t="shared" si="89"/>
        <v>#DIV/0!</v>
      </c>
      <c r="BI107" s="14" t="e">
        <f t="shared" si="89"/>
        <v>#DIV/0!</v>
      </c>
      <c r="BJ107" s="14" t="e">
        <f t="shared" si="89"/>
        <v>#DIV/0!</v>
      </c>
      <c r="BK107" s="14" t="e">
        <f t="shared" si="89"/>
        <v>#DIV/0!</v>
      </c>
      <c r="BL107" s="14" t="e">
        <f t="shared" si="89"/>
        <v>#DIV/0!</v>
      </c>
      <c r="BM107" s="14" t="e">
        <f t="shared" si="89"/>
        <v>#DIV/0!</v>
      </c>
      <c r="BN107" s="14" t="e">
        <f t="shared" si="89"/>
        <v>#DIV/0!</v>
      </c>
      <c r="BO107" s="14" t="e">
        <f t="shared" si="89"/>
        <v>#DIV/0!</v>
      </c>
      <c r="BP107" s="14" t="e">
        <f t="shared" si="89"/>
        <v>#DIV/0!</v>
      </c>
      <c r="BQ107" s="14" t="e">
        <f t="shared" si="89"/>
        <v>#DIV/0!</v>
      </c>
      <c r="BR107" s="14" t="e">
        <f t="shared" si="89"/>
        <v>#DIV/0!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 t="e">
        <f t="shared" ref="F108" si="90">F32*$C$78</f>
        <v>#DIV/0!</v>
      </c>
      <c r="G108" s="14" t="e">
        <f t="shared" ref="G108:BR108" si="91">G32*$C$78</f>
        <v>#DIV/0!</v>
      </c>
      <c r="H108" s="14" t="e">
        <f t="shared" si="91"/>
        <v>#DIV/0!</v>
      </c>
      <c r="I108" s="14" t="e">
        <f t="shared" si="91"/>
        <v>#DIV/0!</v>
      </c>
      <c r="J108" s="14" t="e">
        <f t="shared" si="91"/>
        <v>#DIV/0!</v>
      </c>
      <c r="K108" s="14" t="e">
        <f t="shared" si="91"/>
        <v>#DIV/0!</v>
      </c>
      <c r="L108" s="14" t="e">
        <f t="shared" si="91"/>
        <v>#DIV/0!</v>
      </c>
      <c r="M108" s="14" t="e">
        <f t="shared" si="91"/>
        <v>#DIV/0!</v>
      </c>
      <c r="N108" s="14" t="e">
        <f t="shared" si="91"/>
        <v>#DIV/0!</v>
      </c>
      <c r="O108" s="14" t="e">
        <f t="shared" si="91"/>
        <v>#DIV/0!</v>
      </c>
      <c r="P108" s="14" t="e">
        <f t="shared" si="91"/>
        <v>#DIV/0!</v>
      </c>
      <c r="Q108" s="14" t="e">
        <f t="shared" si="91"/>
        <v>#DIV/0!</v>
      </c>
      <c r="R108" s="14" t="e">
        <f t="shared" si="91"/>
        <v>#DIV/0!</v>
      </c>
      <c r="S108" s="14" t="e">
        <f t="shared" si="91"/>
        <v>#DIV/0!</v>
      </c>
      <c r="T108" s="14" t="e">
        <f t="shared" si="91"/>
        <v>#DIV/0!</v>
      </c>
      <c r="U108" s="14" t="e">
        <f t="shared" si="91"/>
        <v>#DIV/0!</v>
      </c>
      <c r="V108" s="14" t="e">
        <f t="shared" si="91"/>
        <v>#DIV/0!</v>
      </c>
      <c r="W108" s="14" t="e">
        <f t="shared" si="91"/>
        <v>#DIV/0!</v>
      </c>
      <c r="X108" s="14" t="e">
        <f t="shared" si="91"/>
        <v>#DIV/0!</v>
      </c>
      <c r="Y108" s="14" t="e">
        <f t="shared" si="91"/>
        <v>#DIV/0!</v>
      </c>
      <c r="Z108" s="14" t="e">
        <f t="shared" si="91"/>
        <v>#DIV/0!</v>
      </c>
      <c r="AA108" s="14" t="e">
        <f t="shared" si="91"/>
        <v>#DIV/0!</v>
      </c>
      <c r="AB108" s="14" t="e">
        <f t="shared" si="91"/>
        <v>#DIV/0!</v>
      </c>
      <c r="AC108" s="14" t="e">
        <f t="shared" si="91"/>
        <v>#DIV/0!</v>
      </c>
      <c r="AD108" s="14" t="e">
        <f t="shared" si="91"/>
        <v>#DIV/0!</v>
      </c>
      <c r="AE108" s="14" t="e">
        <f t="shared" si="91"/>
        <v>#DIV/0!</v>
      </c>
      <c r="AF108" s="14" t="e">
        <f t="shared" si="91"/>
        <v>#DIV/0!</v>
      </c>
      <c r="AG108" s="14" t="e">
        <f t="shared" si="91"/>
        <v>#DIV/0!</v>
      </c>
      <c r="AH108" s="14" t="e">
        <f t="shared" si="91"/>
        <v>#DIV/0!</v>
      </c>
      <c r="AI108" s="14" t="e">
        <f t="shared" si="91"/>
        <v>#DIV/0!</v>
      </c>
      <c r="AJ108" s="14" t="e">
        <f t="shared" si="91"/>
        <v>#DIV/0!</v>
      </c>
      <c r="AK108" s="14" t="e">
        <f t="shared" si="91"/>
        <v>#DIV/0!</v>
      </c>
      <c r="AL108" s="14" t="e">
        <f t="shared" si="91"/>
        <v>#DIV/0!</v>
      </c>
      <c r="AM108" s="14" t="e">
        <f t="shared" si="91"/>
        <v>#DIV/0!</v>
      </c>
      <c r="AN108" s="14" t="e">
        <f t="shared" si="91"/>
        <v>#DIV/0!</v>
      </c>
      <c r="AO108" s="14" t="e">
        <f t="shared" si="91"/>
        <v>#DIV/0!</v>
      </c>
      <c r="AP108" s="14" t="e">
        <f t="shared" si="91"/>
        <v>#DIV/0!</v>
      </c>
      <c r="AQ108" s="14" t="e">
        <f t="shared" si="91"/>
        <v>#DIV/0!</v>
      </c>
      <c r="AR108" s="14" t="e">
        <f t="shared" si="91"/>
        <v>#DIV/0!</v>
      </c>
      <c r="AS108" s="14" t="e">
        <f t="shared" si="91"/>
        <v>#DIV/0!</v>
      </c>
      <c r="AT108" s="14" t="e">
        <f t="shared" si="91"/>
        <v>#DIV/0!</v>
      </c>
      <c r="AU108" s="14" t="e">
        <f t="shared" si="91"/>
        <v>#DIV/0!</v>
      </c>
      <c r="AV108" s="14" t="e">
        <f t="shared" si="91"/>
        <v>#DIV/0!</v>
      </c>
      <c r="AW108" s="14" t="e">
        <f t="shared" si="91"/>
        <v>#DIV/0!</v>
      </c>
      <c r="AX108" s="14" t="e">
        <f t="shared" si="91"/>
        <v>#DIV/0!</v>
      </c>
      <c r="AY108" s="14" t="e">
        <f t="shared" si="91"/>
        <v>#DIV/0!</v>
      </c>
      <c r="AZ108" s="14" t="e">
        <f t="shared" si="91"/>
        <v>#DIV/0!</v>
      </c>
      <c r="BA108" s="14" t="e">
        <f t="shared" si="91"/>
        <v>#DIV/0!</v>
      </c>
      <c r="BB108" s="14" t="e">
        <f t="shared" si="91"/>
        <v>#DIV/0!</v>
      </c>
      <c r="BC108" s="14" t="e">
        <f t="shared" si="91"/>
        <v>#DIV/0!</v>
      </c>
      <c r="BD108" s="14" t="e">
        <f t="shared" si="91"/>
        <v>#DIV/0!</v>
      </c>
      <c r="BE108" s="14" t="e">
        <f t="shared" si="91"/>
        <v>#DIV/0!</v>
      </c>
      <c r="BF108" s="14" t="e">
        <f t="shared" si="91"/>
        <v>#DIV/0!</v>
      </c>
      <c r="BG108" s="14" t="e">
        <f t="shared" si="91"/>
        <v>#DIV/0!</v>
      </c>
      <c r="BH108" s="14" t="e">
        <f t="shared" si="91"/>
        <v>#DIV/0!</v>
      </c>
      <c r="BI108" s="14" t="e">
        <f t="shared" si="91"/>
        <v>#DIV/0!</v>
      </c>
      <c r="BJ108" s="14" t="e">
        <f t="shared" si="91"/>
        <v>#DIV/0!</v>
      </c>
      <c r="BK108" s="14" t="e">
        <f t="shared" si="91"/>
        <v>#DIV/0!</v>
      </c>
      <c r="BL108" s="14" t="e">
        <f t="shared" si="91"/>
        <v>#DIV/0!</v>
      </c>
      <c r="BM108" s="14" t="e">
        <f t="shared" si="91"/>
        <v>#DIV/0!</v>
      </c>
      <c r="BN108" s="14" t="e">
        <f t="shared" si="91"/>
        <v>#DIV/0!</v>
      </c>
      <c r="BO108" s="14" t="e">
        <f t="shared" si="91"/>
        <v>#DIV/0!</v>
      </c>
      <c r="BP108" s="14" t="e">
        <f t="shared" si="91"/>
        <v>#DIV/0!</v>
      </c>
      <c r="BQ108" s="14" t="e">
        <f t="shared" si="91"/>
        <v>#DIV/0!</v>
      </c>
      <c r="BR108" s="14" t="e">
        <f t="shared" si="91"/>
        <v>#DIV/0!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67"/>
      <c r="B113" s="167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355.7</v>
      </c>
      <c r="L113" s="4">
        <f t="shared" si="92"/>
        <v>372.3</v>
      </c>
      <c r="M113" s="4">
        <f t="shared" si="92"/>
        <v>388.8</v>
      </c>
      <c r="N113" s="4">
        <f t="shared" si="92"/>
        <v>405.3</v>
      </c>
      <c r="O113" s="4">
        <f t="shared" si="92"/>
        <v>471.4</v>
      </c>
      <c r="P113" s="4">
        <f t="shared" si="92"/>
        <v>487.9</v>
      </c>
      <c r="Q113" s="4">
        <f t="shared" si="92"/>
        <v>504.4</v>
      </c>
      <c r="R113" s="4">
        <f t="shared" si="92"/>
        <v>520.9</v>
      </c>
      <c r="S113" s="4">
        <f t="shared" si="92"/>
        <v>537.5</v>
      </c>
      <c r="T113" s="4">
        <f t="shared" si="92"/>
        <v>554</v>
      </c>
      <c r="U113" s="4">
        <f t="shared" si="92"/>
        <v>570.5</v>
      </c>
      <c r="V113" s="4">
        <f t="shared" si="92"/>
        <v>587</v>
      </c>
      <c r="W113" s="4">
        <f t="shared" si="92"/>
        <v>603.5</v>
      </c>
      <c r="X113" s="4">
        <f t="shared" si="92"/>
        <v>620.1</v>
      </c>
      <c r="Y113" s="4">
        <f t="shared" si="92"/>
        <v>636.6</v>
      </c>
      <c r="Z113" s="4">
        <f t="shared" si="92"/>
        <v>653.1</v>
      </c>
      <c r="AA113" s="4">
        <f t="shared" si="92"/>
        <v>669.6</v>
      </c>
      <c r="AB113" s="4">
        <f t="shared" si="92"/>
        <v>735.7</v>
      </c>
      <c r="AC113" s="4">
        <f t="shared" si="92"/>
        <v>752.2</v>
      </c>
      <c r="AD113" s="4">
        <f t="shared" si="92"/>
        <v>768.7</v>
      </c>
      <c r="AE113" s="4">
        <f t="shared" si="92"/>
        <v>785.2</v>
      </c>
      <c r="AF113" s="4">
        <f t="shared" si="92"/>
        <v>801.8</v>
      </c>
      <c r="AG113" s="4">
        <f t="shared" si="92"/>
        <v>818.3</v>
      </c>
      <c r="AH113" s="4">
        <f t="shared" si="92"/>
        <v>834.8</v>
      </c>
      <c r="AI113" s="4">
        <f t="shared" si="92"/>
        <v>851.3</v>
      </c>
      <c r="AJ113" s="4">
        <f t="shared" si="92"/>
        <v>867.8</v>
      </c>
      <c r="AK113" s="4">
        <f t="shared" si="92"/>
        <v>933.9</v>
      </c>
      <c r="AL113" s="4">
        <f t="shared" si="92"/>
        <v>1000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 t="e">
        <f t="shared" ref="F114:AL114" si="93">F$113*$B$2*SUMPRODUCT(F$90:F$91,F$56:F$57)/1000</f>
        <v>#DIV/0!</v>
      </c>
      <c r="G114" s="46" t="e">
        <f t="shared" si="93"/>
        <v>#DIV/0!</v>
      </c>
      <c r="H114" s="46" t="e">
        <f t="shared" si="93"/>
        <v>#DIV/0!</v>
      </c>
      <c r="I114" s="46" t="e">
        <f t="shared" si="93"/>
        <v>#DIV/0!</v>
      </c>
      <c r="J114" s="46" t="e">
        <f t="shared" si="93"/>
        <v>#DIV/0!</v>
      </c>
      <c r="K114" s="46" t="e">
        <f t="shared" si="93"/>
        <v>#DIV/0!</v>
      </c>
      <c r="L114" s="46" t="e">
        <f t="shared" si="93"/>
        <v>#DIV/0!</v>
      </c>
      <c r="M114" s="46" t="e">
        <f t="shared" si="93"/>
        <v>#DIV/0!</v>
      </c>
      <c r="N114" s="46" t="e">
        <f t="shared" si="93"/>
        <v>#DIV/0!</v>
      </c>
      <c r="O114" s="46" t="e">
        <f t="shared" si="93"/>
        <v>#DIV/0!</v>
      </c>
      <c r="P114" s="46" t="e">
        <f t="shared" si="93"/>
        <v>#DIV/0!</v>
      </c>
      <c r="Q114" s="46" t="e">
        <f t="shared" si="93"/>
        <v>#DIV/0!</v>
      </c>
      <c r="R114" s="46" t="e">
        <f t="shared" si="93"/>
        <v>#DIV/0!</v>
      </c>
      <c r="S114" s="46" t="e">
        <f t="shared" si="93"/>
        <v>#DIV/0!</v>
      </c>
      <c r="T114" s="46" t="e">
        <f t="shared" si="93"/>
        <v>#DIV/0!</v>
      </c>
      <c r="U114" s="46" t="e">
        <f t="shared" si="93"/>
        <v>#DIV/0!</v>
      </c>
      <c r="V114" s="46" t="e">
        <f t="shared" si="93"/>
        <v>#DIV/0!</v>
      </c>
      <c r="W114" s="46" t="e">
        <f t="shared" si="93"/>
        <v>#DIV/0!</v>
      </c>
      <c r="X114" s="46" t="e">
        <f t="shared" si="93"/>
        <v>#DIV/0!</v>
      </c>
      <c r="Y114" s="46" t="e">
        <f t="shared" si="93"/>
        <v>#DIV/0!</v>
      </c>
      <c r="Z114" s="46" t="e">
        <f t="shared" si="93"/>
        <v>#DIV/0!</v>
      </c>
      <c r="AA114" s="46" t="e">
        <f t="shared" si="93"/>
        <v>#DIV/0!</v>
      </c>
      <c r="AB114" s="46" t="e">
        <f t="shared" si="93"/>
        <v>#DIV/0!</v>
      </c>
      <c r="AC114" s="46" t="e">
        <f t="shared" si="93"/>
        <v>#DIV/0!</v>
      </c>
      <c r="AD114" s="46" t="e">
        <f t="shared" si="93"/>
        <v>#DIV/0!</v>
      </c>
      <c r="AE114" s="46" t="e">
        <f t="shared" si="93"/>
        <v>#DIV/0!</v>
      </c>
      <c r="AF114" s="46" t="e">
        <f t="shared" si="93"/>
        <v>#DIV/0!</v>
      </c>
      <c r="AG114" s="46" t="e">
        <f t="shared" si="93"/>
        <v>#DIV/0!</v>
      </c>
      <c r="AH114" s="46" t="e">
        <f t="shared" si="93"/>
        <v>#DIV/0!</v>
      </c>
      <c r="AI114" s="46" t="e">
        <f t="shared" si="93"/>
        <v>#DIV/0!</v>
      </c>
      <c r="AJ114" s="46" t="e">
        <f t="shared" si="93"/>
        <v>#DIV/0!</v>
      </c>
      <c r="AK114" s="46" t="e">
        <f t="shared" si="93"/>
        <v>#DIV/0!</v>
      </c>
      <c r="AL114" s="46" t="e">
        <f t="shared" si="93"/>
        <v>#DIV/0!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33</v>
      </c>
      <c r="E115" s="17" t="s">
        <v>13</v>
      </c>
      <c r="F115" s="14" t="e">
        <f t="shared" ref="F115:AL115" si="94">F$113*$B$2*SUMPRODUCT(F$87:F$88,F$53:F$54)/1000</f>
        <v>#DIV/0!</v>
      </c>
      <c r="G115" s="14" t="e">
        <f t="shared" si="94"/>
        <v>#DIV/0!</v>
      </c>
      <c r="H115" s="14" t="e">
        <f t="shared" si="94"/>
        <v>#DIV/0!</v>
      </c>
      <c r="I115" s="14" t="e">
        <f t="shared" si="94"/>
        <v>#DIV/0!</v>
      </c>
      <c r="J115" s="14" t="e">
        <f t="shared" si="94"/>
        <v>#DIV/0!</v>
      </c>
      <c r="K115" s="14" t="e">
        <f t="shared" si="94"/>
        <v>#DIV/0!</v>
      </c>
      <c r="L115" s="14" t="e">
        <f t="shared" si="94"/>
        <v>#DIV/0!</v>
      </c>
      <c r="M115" s="14" t="e">
        <f t="shared" si="94"/>
        <v>#DIV/0!</v>
      </c>
      <c r="N115" s="14" t="e">
        <f t="shared" si="94"/>
        <v>#DIV/0!</v>
      </c>
      <c r="O115" s="14" t="e">
        <f t="shared" si="94"/>
        <v>#DIV/0!</v>
      </c>
      <c r="P115" s="14" t="e">
        <f t="shared" si="94"/>
        <v>#DIV/0!</v>
      </c>
      <c r="Q115" s="14" t="e">
        <f t="shared" si="94"/>
        <v>#DIV/0!</v>
      </c>
      <c r="R115" s="14" t="e">
        <f t="shared" si="94"/>
        <v>#DIV/0!</v>
      </c>
      <c r="S115" s="14" t="e">
        <f t="shared" si="94"/>
        <v>#DIV/0!</v>
      </c>
      <c r="T115" s="14" t="e">
        <f t="shared" si="94"/>
        <v>#DIV/0!</v>
      </c>
      <c r="U115" s="14" t="e">
        <f t="shared" si="94"/>
        <v>#DIV/0!</v>
      </c>
      <c r="V115" s="14" t="e">
        <f t="shared" si="94"/>
        <v>#DIV/0!</v>
      </c>
      <c r="W115" s="14" t="e">
        <f t="shared" si="94"/>
        <v>#DIV/0!</v>
      </c>
      <c r="X115" s="14" t="e">
        <f t="shared" si="94"/>
        <v>#DIV/0!</v>
      </c>
      <c r="Y115" s="14" t="e">
        <f t="shared" si="94"/>
        <v>#DIV/0!</v>
      </c>
      <c r="Z115" s="14" t="e">
        <f t="shared" si="94"/>
        <v>#DIV/0!</v>
      </c>
      <c r="AA115" s="14" t="e">
        <f t="shared" si="94"/>
        <v>#DIV/0!</v>
      </c>
      <c r="AB115" s="14" t="e">
        <f t="shared" si="94"/>
        <v>#DIV/0!</v>
      </c>
      <c r="AC115" s="14" t="e">
        <f t="shared" si="94"/>
        <v>#DIV/0!</v>
      </c>
      <c r="AD115" s="14" t="e">
        <f t="shared" si="94"/>
        <v>#DIV/0!</v>
      </c>
      <c r="AE115" s="14" t="e">
        <f t="shared" si="94"/>
        <v>#DIV/0!</v>
      </c>
      <c r="AF115" s="14" t="e">
        <f t="shared" si="94"/>
        <v>#DIV/0!</v>
      </c>
      <c r="AG115" s="14" t="e">
        <f t="shared" si="94"/>
        <v>#DIV/0!</v>
      </c>
      <c r="AH115" s="14" t="e">
        <f t="shared" si="94"/>
        <v>#DIV/0!</v>
      </c>
      <c r="AI115" s="14" t="e">
        <f t="shared" si="94"/>
        <v>#DIV/0!</v>
      </c>
      <c r="AJ115" s="14" t="e">
        <f t="shared" si="94"/>
        <v>#DIV/0!</v>
      </c>
      <c r="AK115" s="14" t="e">
        <f t="shared" si="94"/>
        <v>#DIV/0!</v>
      </c>
      <c r="AL115" s="14" t="e">
        <f t="shared" si="94"/>
        <v>#DIV/0!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 t="e">
        <f t="shared" ref="F116:AL116" si="95">F$113*$B$2*SUMPRODUCT(F$87:F$89,F$53:F$55)/1000</f>
        <v>#DIV/0!</v>
      </c>
      <c r="G116" s="14" t="e">
        <f t="shared" si="95"/>
        <v>#DIV/0!</v>
      </c>
      <c r="H116" s="14" t="e">
        <f t="shared" si="95"/>
        <v>#DIV/0!</v>
      </c>
      <c r="I116" s="14" t="e">
        <f t="shared" si="95"/>
        <v>#DIV/0!</v>
      </c>
      <c r="J116" s="14" t="e">
        <f t="shared" si="95"/>
        <v>#DIV/0!</v>
      </c>
      <c r="K116" s="14" t="e">
        <f t="shared" si="95"/>
        <v>#DIV/0!</v>
      </c>
      <c r="L116" s="14" t="e">
        <f t="shared" si="95"/>
        <v>#DIV/0!</v>
      </c>
      <c r="M116" s="14" t="e">
        <f t="shared" si="95"/>
        <v>#DIV/0!</v>
      </c>
      <c r="N116" s="14" t="e">
        <f t="shared" si="95"/>
        <v>#DIV/0!</v>
      </c>
      <c r="O116" s="14" t="e">
        <f t="shared" si="95"/>
        <v>#DIV/0!</v>
      </c>
      <c r="P116" s="14" t="e">
        <f t="shared" si="95"/>
        <v>#DIV/0!</v>
      </c>
      <c r="Q116" s="14" t="e">
        <f t="shared" si="95"/>
        <v>#DIV/0!</v>
      </c>
      <c r="R116" s="14" t="e">
        <f t="shared" si="95"/>
        <v>#DIV/0!</v>
      </c>
      <c r="S116" s="14" t="e">
        <f t="shared" si="95"/>
        <v>#DIV/0!</v>
      </c>
      <c r="T116" s="14" t="e">
        <f t="shared" si="95"/>
        <v>#DIV/0!</v>
      </c>
      <c r="U116" s="14" t="e">
        <f t="shared" si="95"/>
        <v>#DIV/0!</v>
      </c>
      <c r="V116" s="14" t="e">
        <f t="shared" si="95"/>
        <v>#DIV/0!</v>
      </c>
      <c r="W116" s="14" t="e">
        <f t="shared" si="95"/>
        <v>#DIV/0!</v>
      </c>
      <c r="X116" s="14" t="e">
        <f t="shared" si="95"/>
        <v>#DIV/0!</v>
      </c>
      <c r="Y116" s="14" t="e">
        <f t="shared" si="95"/>
        <v>#DIV/0!</v>
      </c>
      <c r="Z116" s="14" t="e">
        <f t="shared" si="95"/>
        <v>#DIV/0!</v>
      </c>
      <c r="AA116" s="14" t="e">
        <f t="shared" si="95"/>
        <v>#DIV/0!</v>
      </c>
      <c r="AB116" s="14" t="e">
        <f t="shared" si="95"/>
        <v>#DIV/0!</v>
      </c>
      <c r="AC116" s="14" t="e">
        <f t="shared" si="95"/>
        <v>#DIV/0!</v>
      </c>
      <c r="AD116" s="14" t="e">
        <f t="shared" si="95"/>
        <v>#DIV/0!</v>
      </c>
      <c r="AE116" s="14" t="e">
        <f t="shared" si="95"/>
        <v>#DIV/0!</v>
      </c>
      <c r="AF116" s="14" t="e">
        <f t="shared" si="95"/>
        <v>#DIV/0!</v>
      </c>
      <c r="AG116" s="14" t="e">
        <f t="shared" si="95"/>
        <v>#DIV/0!</v>
      </c>
      <c r="AH116" s="14" t="e">
        <f t="shared" si="95"/>
        <v>#DIV/0!</v>
      </c>
      <c r="AI116" s="14" t="e">
        <f t="shared" si="95"/>
        <v>#DIV/0!</v>
      </c>
      <c r="AJ116" s="14" t="e">
        <f t="shared" si="95"/>
        <v>#DIV/0!</v>
      </c>
      <c r="AK116" s="14" t="e">
        <f t="shared" si="95"/>
        <v>#DIV/0!</v>
      </c>
      <c r="AL116" s="14" t="e">
        <f t="shared" si="95"/>
        <v>#DIV/0!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 t="e">
        <f>F115+F114</f>
        <v>#DIV/0!</v>
      </c>
      <c r="G117" s="14" t="e">
        <f t="shared" ref="G117:AL117" si="96">G115+G114</f>
        <v>#DIV/0!</v>
      </c>
      <c r="H117" s="14" t="e">
        <f t="shared" si="96"/>
        <v>#DIV/0!</v>
      </c>
      <c r="I117" s="14" t="e">
        <f t="shared" si="96"/>
        <v>#DIV/0!</v>
      </c>
      <c r="J117" s="14" t="e">
        <f t="shared" si="96"/>
        <v>#DIV/0!</v>
      </c>
      <c r="K117" s="14" t="e">
        <f t="shared" si="96"/>
        <v>#DIV/0!</v>
      </c>
      <c r="L117" s="14" t="e">
        <f t="shared" si="96"/>
        <v>#DIV/0!</v>
      </c>
      <c r="M117" s="14" t="e">
        <f t="shared" si="96"/>
        <v>#DIV/0!</v>
      </c>
      <c r="N117" s="14" t="e">
        <f t="shared" si="96"/>
        <v>#DIV/0!</v>
      </c>
      <c r="O117" s="14" t="e">
        <f t="shared" si="96"/>
        <v>#DIV/0!</v>
      </c>
      <c r="P117" s="14" t="e">
        <f t="shared" si="96"/>
        <v>#DIV/0!</v>
      </c>
      <c r="Q117" s="14" t="e">
        <f t="shared" si="96"/>
        <v>#DIV/0!</v>
      </c>
      <c r="R117" s="14" t="e">
        <f t="shared" si="96"/>
        <v>#DIV/0!</v>
      </c>
      <c r="S117" s="14" t="e">
        <f t="shared" si="96"/>
        <v>#DIV/0!</v>
      </c>
      <c r="T117" s="14" t="e">
        <f t="shared" si="96"/>
        <v>#DIV/0!</v>
      </c>
      <c r="U117" s="14" t="e">
        <f t="shared" si="96"/>
        <v>#DIV/0!</v>
      </c>
      <c r="V117" s="14" t="e">
        <f t="shared" si="96"/>
        <v>#DIV/0!</v>
      </c>
      <c r="W117" s="14" t="e">
        <f t="shared" si="96"/>
        <v>#DIV/0!</v>
      </c>
      <c r="X117" s="14" t="e">
        <f t="shared" si="96"/>
        <v>#DIV/0!</v>
      </c>
      <c r="Y117" s="14" t="e">
        <f t="shared" si="96"/>
        <v>#DIV/0!</v>
      </c>
      <c r="Z117" s="14" t="e">
        <f t="shared" si="96"/>
        <v>#DIV/0!</v>
      </c>
      <c r="AA117" s="14" t="e">
        <f t="shared" si="96"/>
        <v>#DIV/0!</v>
      </c>
      <c r="AB117" s="14" t="e">
        <f t="shared" si="96"/>
        <v>#DIV/0!</v>
      </c>
      <c r="AC117" s="14" t="e">
        <f t="shared" si="96"/>
        <v>#DIV/0!</v>
      </c>
      <c r="AD117" s="14" t="e">
        <f t="shared" si="96"/>
        <v>#DIV/0!</v>
      </c>
      <c r="AE117" s="14" t="e">
        <f t="shared" si="96"/>
        <v>#DIV/0!</v>
      </c>
      <c r="AF117" s="14" t="e">
        <f t="shared" si="96"/>
        <v>#DIV/0!</v>
      </c>
      <c r="AG117" s="14" t="e">
        <f t="shared" si="96"/>
        <v>#DIV/0!</v>
      </c>
      <c r="AH117" s="14" t="e">
        <f t="shared" si="96"/>
        <v>#DIV/0!</v>
      </c>
      <c r="AI117" s="14" t="e">
        <f t="shared" si="96"/>
        <v>#DIV/0!</v>
      </c>
      <c r="AJ117" s="14" t="e">
        <f t="shared" si="96"/>
        <v>#DIV/0!</v>
      </c>
      <c r="AK117" s="14" t="e">
        <f t="shared" si="96"/>
        <v>#DIV/0!</v>
      </c>
      <c r="AL117" s="14" t="e">
        <f t="shared" si="96"/>
        <v>#DIV/0!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752.2</v>
      </c>
      <c r="AD122" s="4">
        <f ca="1"/>
        <v>768.7</v>
      </c>
      <c r="AE122" s="4">
        <f ca="1"/>
        <v>785.2</v>
      </c>
      <c r="AF122" s="4">
        <f ca="1"/>
        <v>801.8</v>
      </c>
      <c r="AG122" s="4">
        <f ca="1"/>
        <v>818.3</v>
      </c>
      <c r="AH122" s="4">
        <f ca="1"/>
        <v>834.8</v>
      </c>
      <c r="AI122" s="4">
        <f ca="1"/>
        <v>851.3</v>
      </c>
      <c r="AJ122" s="4">
        <f ca="1"/>
        <v>867.8</v>
      </c>
      <c r="AK122" s="4">
        <f ca="1"/>
        <v>933.9</v>
      </c>
      <c r="AL122" s="4">
        <f ca="1"/>
        <v>1000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 t="e">
        <f ca="1"/>
        <v>#DIV/0!</v>
      </c>
      <c r="G123" s="47" t="e">
        <f ca="1"/>
        <v>#DIV/0!</v>
      </c>
      <c r="H123" s="47" t="e">
        <f ca="1"/>
        <v>#DIV/0!</v>
      </c>
      <c r="I123" s="47" t="e">
        <f ca="1"/>
        <v>#DIV/0!</v>
      </c>
      <c r="J123" s="47" t="e">
        <f ca="1"/>
        <v>#DIV/0!</v>
      </c>
      <c r="K123" s="47" t="e">
        <f ca="1"/>
        <v>#DIV/0!</v>
      </c>
      <c r="L123" s="47" t="e">
        <f ca="1"/>
        <v>#DIV/0!</v>
      </c>
      <c r="M123" s="47" t="e">
        <f ca="1"/>
        <v>#DIV/0!</v>
      </c>
      <c r="N123" s="47" t="e">
        <f ca="1"/>
        <v>#DIV/0!</v>
      </c>
      <c r="O123" s="47" t="e">
        <f ca="1"/>
        <v>#DIV/0!</v>
      </c>
      <c r="P123" s="47" t="e">
        <f ca="1"/>
        <v>#DIV/0!</v>
      </c>
      <c r="Q123" s="47" t="e">
        <f ca="1"/>
        <v>#DIV/0!</v>
      </c>
      <c r="R123" s="47" t="e">
        <f ca="1"/>
        <v>#DIV/0!</v>
      </c>
      <c r="S123" s="47" t="e">
        <f ca="1"/>
        <v>#DIV/0!</v>
      </c>
      <c r="T123" s="47" t="e">
        <f ca="1"/>
        <v>#DIV/0!</v>
      </c>
      <c r="U123" s="47" t="e">
        <f ca="1"/>
        <v>#DIV/0!</v>
      </c>
      <c r="V123" s="47" t="e">
        <f ca="1"/>
        <v>#DIV/0!</v>
      </c>
      <c r="W123" s="47" t="e">
        <f ca="1"/>
        <v>#DIV/0!</v>
      </c>
      <c r="X123" s="47" t="e">
        <f ca="1"/>
        <v>#DIV/0!</v>
      </c>
      <c r="Y123" s="47" t="e">
        <f ca="1"/>
        <v>#DIV/0!</v>
      </c>
      <c r="Z123" s="47" t="e">
        <f ca="1"/>
        <v>#DIV/0!</v>
      </c>
      <c r="AA123" s="47" t="e">
        <f ca="1"/>
        <v>#DIV/0!</v>
      </c>
      <c r="AB123" s="47" t="e">
        <f ca="1"/>
        <v>#DIV/0!</v>
      </c>
      <c r="AC123" s="47" t="e">
        <f ca="1"/>
        <v>#DIV/0!</v>
      </c>
      <c r="AD123" s="47" t="e">
        <f ca="1"/>
        <v>#DIV/0!</v>
      </c>
      <c r="AE123" s="47" t="e">
        <f ca="1"/>
        <v>#DIV/0!</v>
      </c>
      <c r="AF123" s="47" t="e">
        <f ca="1"/>
        <v>#DIV/0!</v>
      </c>
      <c r="AG123" s="47" t="e">
        <f ca="1"/>
        <v>#DIV/0!</v>
      </c>
      <c r="AH123" s="47" t="e">
        <f ca="1"/>
        <v>#DIV/0!</v>
      </c>
      <c r="AI123" s="47" t="e">
        <f ca="1"/>
        <v>#DIV/0!</v>
      </c>
      <c r="AJ123" s="47" t="e">
        <f ca="1"/>
        <v>#DIV/0!</v>
      </c>
      <c r="AK123" s="47" t="e">
        <f ca="1"/>
        <v>#DIV/0!</v>
      </c>
      <c r="AL123" s="47" t="e">
        <f ca="1"/>
        <v>#DIV/0!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 t="e">
        <f ca="1"/>
        <v>#DIV/0!</v>
      </c>
      <c r="G124" s="47" t="e">
        <f ca="1"/>
        <v>#DIV/0!</v>
      </c>
      <c r="H124" s="47" t="e">
        <f ca="1"/>
        <v>#DIV/0!</v>
      </c>
      <c r="I124" s="47" t="e">
        <f ca="1"/>
        <v>#DIV/0!</v>
      </c>
      <c r="J124" s="47" t="e">
        <f ca="1"/>
        <v>#DIV/0!</v>
      </c>
      <c r="K124" s="47" t="e">
        <f ca="1"/>
        <v>#DIV/0!</v>
      </c>
      <c r="L124" s="47" t="e">
        <f ca="1"/>
        <v>#DIV/0!</v>
      </c>
      <c r="M124" s="47" t="e">
        <f ca="1"/>
        <v>#DIV/0!</v>
      </c>
      <c r="N124" s="47" t="e">
        <f ca="1"/>
        <v>#DIV/0!</v>
      </c>
      <c r="O124" s="47" t="e">
        <f ca="1"/>
        <v>#DIV/0!</v>
      </c>
      <c r="P124" s="47" t="e">
        <f ca="1"/>
        <v>#DIV/0!</v>
      </c>
      <c r="Q124" s="47" t="e">
        <f ca="1"/>
        <v>#DIV/0!</v>
      </c>
      <c r="R124" s="47" t="e">
        <f ca="1"/>
        <v>#DIV/0!</v>
      </c>
      <c r="S124" s="47" t="e">
        <f ca="1"/>
        <v>#DIV/0!</v>
      </c>
      <c r="T124" s="47" t="e">
        <f ca="1"/>
        <v>#DIV/0!</v>
      </c>
      <c r="U124" s="47" t="e">
        <f ca="1"/>
        <v>#DIV/0!</v>
      </c>
      <c r="V124" s="47" t="e">
        <f ca="1"/>
        <v>#DIV/0!</v>
      </c>
      <c r="W124" s="47" t="e">
        <f ca="1"/>
        <v>#DIV/0!</v>
      </c>
      <c r="X124" s="47" t="e">
        <f ca="1"/>
        <v>#DIV/0!</v>
      </c>
      <c r="Y124" s="47" t="e">
        <f ca="1"/>
        <v>#DIV/0!</v>
      </c>
      <c r="Z124" s="47" t="e">
        <f ca="1"/>
        <v>#DIV/0!</v>
      </c>
      <c r="AA124" s="47" t="e">
        <f ca="1"/>
        <v>#DIV/0!</v>
      </c>
      <c r="AB124" s="47" t="e">
        <f ca="1"/>
        <v>#DIV/0!</v>
      </c>
      <c r="AC124" s="47" t="e">
        <f ca="1"/>
        <v>#DIV/0!</v>
      </c>
      <c r="AD124" s="47" t="e">
        <f ca="1"/>
        <v>#DIV/0!</v>
      </c>
      <c r="AE124" s="47" t="e">
        <f ca="1"/>
        <v>#DIV/0!</v>
      </c>
      <c r="AF124" s="47" t="e">
        <f ca="1"/>
        <v>#DIV/0!</v>
      </c>
      <c r="AG124" s="47" t="e">
        <f ca="1"/>
        <v>#DIV/0!</v>
      </c>
      <c r="AH124" s="47" t="e">
        <f ca="1"/>
        <v>#DIV/0!</v>
      </c>
      <c r="AI124" s="47" t="e">
        <f ca="1"/>
        <v>#DIV/0!</v>
      </c>
      <c r="AJ124" s="47" t="e">
        <f ca="1"/>
        <v>#DIV/0!</v>
      </c>
      <c r="AK124" s="47" t="e">
        <f ca="1"/>
        <v>#DIV/0!</v>
      </c>
      <c r="AL124" s="47" t="e">
        <f ca="1"/>
        <v>#DIV/0!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 t="e">
        <f ca="1"/>
        <v>#DIV/0!</v>
      </c>
      <c r="G125" s="47" t="e">
        <f ca="1"/>
        <v>#DIV/0!</v>
      </c>
      <c r="H125" s="47" t="e">
        <f ca="1"/>
        <v>#DIV/0!</v>
      </c>
      <c r="I125" s="47" t="e">
        <f ca="1"/>
        <v>#DIV/0!</v>
      </c>
      <c r="J125" s="47" t="e">
        <f ca="1"/>
        <v>#DIV/0!</v>
      </c>
      <c r="K125" s="47" t="e">
        <f ca="1"/>
        <v>#DIV/0!</v>
      </c>
      <c r="L125" s="47" t="e">
        <f ca="1"/>
        <v>#DIV/0!</v>
      </c>
      <c r="M125" s="47" t="e">
        <f ca="1"/>
        <v>#DIV/0!</v>
      </c>
      <c r="N125" s="47" t="e">
        <f ca="1"/>
        <v>#DIV/0!</v>
      </c>
      <c r="O125" s="47" t="e">
        <f ca="1"/>
        <v>#DIV/0!</v>
      </c>
      <c r="P125" s="47" t="e">
        <f ca="1"/>
        <v>#DIV/0!</v>
      </c>
      <c r="Q125" s="47" t="e">
        <f ca="1"/>
        <v>#DIV/0!</v>
      </c>
      <c r="R125" s="47" t="e">
        <f ca="1"/>
        <v>#DIV/0!</v>
      </c>
      <c r="S125" s="47" t="e">
        <f ca="1"/>
        <v>#DIV/0!</v>
      </c>
      <c r="T125" s="47" t="e">
        <f ca="1"/>
        <v>#DIV/0!</v>
      </c>
      <c r="U125" s="47" t="e">
        <f ca="1"/>
        <v>#DIV/0!</v>
      </c>
      <c r="V125" s="47" t="e">
        <f ca="1"/>
        <v>#DIV/0!</v>
      </c>
      <c r="W125" s="47" t="e">
        <f ca="1"/>
        <v>#DIV/0!</v>
      </c>
      <c r="X125" s="47" t="e">
        <f ca="1"/>
        <v>#DIV/0!</v>
      </c>
      <c r="Y125" s="47" t="e">
        <f ca="1"/>
        <v>#DIV/0!</v>
      </c>
      <c r="Z125" s="47" t="e">
        <f ca="1"/>
        <v>#DIV/0!</v>
      </c>
      <c r="AA125" s="47" t="e">
        <f ca="1"/>
        <v>#DIV/0!</v>
      </c>
      <c r="AB125" s="47" t="e">
        <f ca="1"/>
        <v>#DIV/0!</v>
      </c>
      <c r="AC125" s="47" t="e">
        <f ca="1"/>
        <v>#DIV/0!</v>
      </c>
      <c r="AD125" s="47" t="e">
        <f ca="1"/>
        <v>#DIV/0!</v>
      </c>
      <c r="AE125" s="47" t="e">
        <f ca="1"/>
        <v>#DIV/0!</v>
      </c>
      <c r="AF125" s="47" t="e">
        <f ca="1"/>
        <v>#DIV/0!</v>
      </c>
      <c r="AG125" s="47" t="e">
        <f ca="1"/>
        <v>#DIV/0!</v>
      </c>
      <c r="AH125" s="47" t="e">
        <f ca="1"/>
        <v>#DIV/0!</v>
      </c>
      <c r="AI125" s="47" t="e">
        <f ca="1"/>
        <v>#DIV/0!</v>
      </c>
      <c r="AJ125" s="47" t="e">
        <f ca="1"/>
        <v>#DIV/0!</v>
      </c>
      <c r="AK125" s="47" t="e">
        <f ca="1"/>
        <v>#DIV/0!</v>
      </c>
      <c r="AL125" s="47" t="e">
        <f ca="1"/>
        <v>#DIV/0!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 t="e">
        <f ca="1"/>
        <v>#DIV/0!</v>
      </c>
      <c r="G126" s="47" t="e">
        <f ca="1"/>
        <v>#DIV/0!</v>
      </c>
      <c r="H126" s="47" t="e">
        <f ca="1"/>
        <v>#DIV/0!</v>
      </c>
      <c r="I126" s="47" t="e">
        <f ca="1"/>
        <v>#DIV/0!</v>
      </c>
      <c r="J126" s="47" t="e">
        <f ca="1"/>
        <v>#DIV/0!</v>
      </c>
      <c r="K126" s="47" t="e">
        <f ca="1"/>
        <v>#DIV/0!</v>
      </c>
      <c r="L126" s="47" t="e">
        <f ca="1"/>
        <v>#DIV/0!</v>
      </c>
      <c r="M126" s="47" t="e">
        <f ca="1"/>
        <v>#DIV/0!</v>
      </c>
      <c r="N126" s="47" t="e">
        <f ca="1"/>
        <v>#DIV/0!</v>
      </c>
      <c r="O126" s="47" t="e">
        <f ca="1"/>
        <v>#DIV/0!</v>
      </c>
      <c r="P126" s="47" t="e">
        <f ca="1"/>
        <v>#DIV/0!</v>
      </c>
      <c r="Q126" s="47" t="e">
        <f ca="1"/>
        <v>#DIV/0!</v>
      </c>
      <c r="R126" s="47" t="e">
        <f ca="1"/>
        <v>#DIV/0!</v>
      </c>
      <c r="S126" s="47" t="e">
        <f ca="1"/>
        <v>#DIV/0!</v>
      </c>
      <c r="T126" s="47" t="e">
        <f ca="1"/>
        <v>#DIV/0!</v>
      </c>
      <c r="U126" s="47" t="e">
        <f ca="1"/>
        <v>#DIV/0!</v>
      </c>
      <c r="V126" s="47" t="e">
        <f ca="1"/>
        <v>#DIV/0!</v>
      </c>
      <c r="W126" s="47" t="e">
        <f ca="1"/>
        <v>#DIV/0!</v>
      </c>
      <c r="X126" s="47" t="e">
        <f ca="1"/>
        <v>#DIV/0!</v>
      </c>
      <c r="Y126" s="47" t="e">
        <f ca="1"/>
        <v>#DIV/0!</v>
      </c>
      <c r="Z126" s="47" t="e">
        <f ca="1"/>
        <v>#DIV/0!</v>
      </c>
      <c r="AA126" s="47" t="e">
        <f ca="1"/>
        <v>#DIV/0!</v>
      </c>
      <c r="AB126" s="47" t="e">
        <f ca="1"/>
        <v>#DIV/0!</v>
      </c>
      <c r="AC126" s="47" t="e">
        <f ca="1"/>
        <v>#DIV/0!</v>
      </c>
      <c r="AD126" s="47" t="e">
        <f ca="1"/>
        <v>#DIV/0!</v>
      </c>
      <c r="AE126" s="47" t="e">
        <f ca="1"/>
        <v>#DIV/0!</v>
      </c>
      <c r="AF126" s="47" t="e">
        <f ca="1"/>
        <v>#DIV/0!</v>
      </c>
      <c r="AG126" s="47" t="e">
        <f ca="1"/>
        <v>#DIV/0!</v>
      </c>
      <c r="AH126" s="47" t="e">
        <f ca="1"/>
        <v>#DIV/0!</v>
      </c>
      <c r="AI126" s="47" t="e">
        <f ca="1"/>
        <v>#DIV/0!</v>
      </c>
      <c r="AJ126" s="47" t="e">
        <f ca="1"/>
        <v>#DIV/0!</v>
      </c>
      <c r="AK126" s="47" t="e">
        <f ca="1"/>
        <v>#DIV/0!</v>
      </c>
      <c r="AL126" s="47" t="e">
        <f ca="1"/>
        <v>#DIV/0!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E814-2E56-4E36-9111-E8FABC9282BB}">
  <sheetPr codeName="Лист10"/>
  <dimension ref="A1:AH18"/>
  <sheetViews>
    <sheetView topLeftCell="S1" zoomScale="115" zoomScaleNormal="115" workbookViewId="0">
      <selection sqref="A1:AH18"/>
    </sheetView>
  </sheetViews>
  <sheetFormatPr defaultRowHeight="21" x14ac:dyDescent="0.35"/>
  <cols>
    <col min="1" max="16384" width="8.7265625" style="107"/>
  </cols>
  <sheetData>
    <row r="1" spans="1:34" x14ac:dyDescent="0.35">
      <c r="A1" s="133" t="s">
        <v>72</v>
      </c>
      <c r="B1" s="134">
        <v>273.10000000000002</v>
      </c>
      <c r="C1" s="135">
        <v>289.7</v>
      </c>
      <c r="D1" s="135">
        <v>306.2</v>
      </c>
      <c r="E1" s="134">
        <v>322.7</v>
      </c>
      <c r="F1" s="135">
        <v>339.2</v>
      </c>
      <c r="G1" s="135">
        <v>355.7</v>
      </c>
      <c r="H1" s="134">
        <v>372.3</v>
      </c>
      <c r="I1" s="135">
        <v>388.8</v>
      </c>
      <c r="J1" s="135">
        <v>405.3</v>
      </c>
      <c r="K1" s="134">
        <v>471.4</v>
      </c>
      <c r="L1" s="135">
        <v>487.9</v>
      </c>
      <c r="M1" s="135">
        <v>504.4</v>
      </c>
      <c r="N1" s="134">
        <v>520.9</v>
      </c>
      <c r="O1" s="135">
        <v>537.5</v>
      </c>
      <c r="P1" s="135">
        <v>554</v>
      </c>
      <c r="Q1" s="134">
        <v>570.5</v>
      </c>
      <c r="R1" s="135">
        <v>587</v>
      </c>
      <c r="S1" s="135">
        <v>603.5</v>
      </c>
      <c r="T1" s="134">
        <v>620.1</v>
      </c>
      <c r="U1" s="135">
        <v>636.6</v>
      </c>
      <c r="V1" s="135">
        <v>653.1</v>
      </c>
      <c r="W1" s="134">
        <v>669.6</v>
      </c>
      <c r="X1" s="135">
        <v>735.7</v>
      </c>
      <c r="Y1" s="135">
        <v>752.2</v>
      </c>
      <c r="Z1" s="134">
        <v>768.7</v>
      </c>
      <c r="AA1" s="135">
        <v>785.2</v>
      </c>
      <c r="AB1" s="135">
        <v>801.8</v>
      </c>
      <c r="AC1" s="134">
        <v>818.3</v>
      </c>
      <c r="AD1" s="135">
        <v>834.8</v>
      </c>
      <c r="AE1" s="135">
        <v>851.3</v>
      </c>
      <c r="AF1" s="134">
        <v>867.8</v>
      </c>
      <c r="AG1" s="135">
        <v>933.9</v>
      </c>
      <c r="AH1" s="135">
        <v>1000</v>
      </c>
    </row>
    <row r="2" spans="1:34" x14ac:dyDescent="0.35">
      <c r="A2" s="136" t="s">
        <v>75</v>
      </c>
      <c r="B2" s="138">
        <v>0.1</v>
      </c>
      <c r="C2" s="139">
        <v>0.1</v>
      </c>
      <c r="D2" s="139">
        <v>0.1</v>
      </c>
      <c r="E2" s="138">
        <v>0.1</v>
      </c>
      <c r="F2" s="139">
        <v>7.5293999999999996E-7</v>
      </c>
      <c r="G2" s="139">
        <v>0.1</v>
      </c>
      <c r="H2" s="139">
        <v>4.6837999999999999E-6</v>
      </c>
      <c r="I2" s="139">
        <v>1.2526E-9</v>
      </c>
      <c r="J2" s="139">
        <v>1.8983999999999999E-10</v>
      </c>
      <c r="K2" s="138">
        <v>8.6451999999999994E-36</v>
      </c>
      <c r="L2" s="139">
        <v>0</v>
      </c>
      <c r="M2" s="139">
        <v>0</v>
      </c>
      <c r="N2" s="138">
        <v>0</v>
      </c>
      <c r="O2" s="139">
        <v>0</v>
      </c>
      <c r="P2" s="139">
        <v>0</v>
      </c>
      <c r="Q2" s="138">
        <v>0</v>
      </c>
      <c r="R2" s="139">
        <v>0</v>
      </c>
      <c r="S2" s="139">
        <v>0</v>
      </c>
      <c r="T2" s="138">
        <v>0</v>
      </c>
      <c r="U2" s="139">
        <v>0</v>
      </c>
      <c r="V2" s="139">
        <v>0</v>
      </c>
      <c r="W2" s="138">
        <v>0</v>
      </c>
      <c r="X2" s="139">
        <v>0</v>
      </c>
      <c r="Y2" s="139">
        <v>0</v>
      </c>
      <c r="Z2" s="138">
        <v>0</v>
      </c>
      <c r="AA2" s="139">
        <v>0</v>
      </c>
      <c r="AB2" s="139">
        <v>0</v>
      </c>
      <c r="AC2" s="139">
        <v>0</v>
      </c>
      <c r="AD2" s="139">
        <v>0</v>
      </c>
      <c r="AE2" s="139">
        <v>0</v>
      </c>
      <c r="AF2" s="139">
        <v>0</v>
      </c>
      <c r="AG2" s="139">
        <v>0</v>
      </c>
      <c r="AH2" s="139">
        <v>0</v>
      </c>
    </row>
    <row r="3" spans="1:34" x14ac:dyDescent="0.35">
      <c r="A3" s="133" t="s">
        <v>49</v>
      </c>
      <c r="B3" s="140">
        <v>2.4738999999999998E-15</v>
      </c>
      <c r="C3" s="141">
        <v>7.9334000000000001E-12</v>
      </c>
      <c r="D3" s="141">
        <v>2.6738999999999999E-10</v>
      </c>
      <c r="E3" s="140">
        <v>2.4725999999999999E-8</v>
      </c>
      <c r="F3" s="141">
        <v>9.9999000000000005E-2</v>
      </c>
      <c r="G3" s="141">
        <v>3.5023000000000002E-8</v>
      </c>
      <c r="H3" s="140">
        <v>9.9995000000000001E-2</v>
      </c>
      <c r="I3" s="141">
        <v>0.1</v>
      </c>
      <c r="J3" s="141">
        <v>0.1</v>
      </c>
      <c r="K3" s="140">
        <v>0.1</v>
      </c>
      <c r="L3" s="141">
        <v>0.1</v>
      </c>
      <c r="M3" s="141">
        <v>0.1</v>
      </c>
      <c r="N3" s="140">
        <v>0.1</v>
      </c>
      <c r="O3" s="141">
        <v>0.17163</v>
      </c>
      <c r="P3" s="141">
        <v>0.24929999999999999</v>
      </c>
      <c r="Q3" s="140">
        <v>0.27585999999999999</v>
      </c>
      <c r="R3" s="141">
        <v>0.28748000000000001</v>
      </c>
      <c r="S3" s="141">
        <v>0.35316999999999998</v>
      </c>
      <c r="T3" s="140">
        <v>0.35614000000000001</v>
      </c>
      <c r="U3" s="141">
        <v>0.35776000000000002</v>
      </c>
      <c r="V3" s="141">
        <v>0.35866999999999999</v>
      </c>
      <c r="W3" s="140">
        <v>0.35919000000000001</v>
      </c>
      <c r="X3" s="141">
        <v>0.35987000000000002</v>
      </c>
      <c r="Y3" s="141">
        <v>0.35991000000000001</v>
      </c>
      <c r="Z3" s="140">
        <v>0.35993999999999998</v>
      </c>
      <c r="AA3" s="141">
        <v>0.35996</v>
      </c>
      <c r="AB3" s="141">
        <v>0.35997000000000001</v>
      </c>
      <c r="AC3" s="141">
        <v>0.47395999999999999</v>
      </c>
      <c r="AD3" s="141">
        <v>0.47998000000000002</v>
      </c>
      <c r="AE3" s="141">
        <v>0.47999000000000003</v>
      </c>
      <c r="AF3" s="141">
        <v>0.47999000000000003</v>
      </c>
      <c r="AG3" s="141">
        <v>0.48</v>
      </c>
      <c r="AH3" s="141">
        <v>0.48</v>
      </c>
    </row>
    <row r="4" spans="1:34" x14ac:dyDescent="0.35">
      <c r="A4" s="133" t="s">
        <v>50</v>
      </c>
      <c r="B4" s="140">
        <v>0</v>
      </c>
      <c r="C4" s="141">
        <v>0</v>
      </c>
      <c r="D4" s="141">
        <v>0</v>
      </c>
      <c r="E4" s="140">
        <v>0</v>
      </c>
      <c r="F4" s="141">
        <v>0</v>
      </c>
      <c r="G4" s="141">
        <v>0</v>
      </c>
      <c r="H4" s="140">
        <v>0</v>
      </c>
      <c r="I4" s="141">
        <v>0</v>
      </c>
      <c r="J4" s="141">
        <v>0</v>
      </c>
      <c r="K4" s="140">
        <v>2.2528E-13</v>
      </c>
      <c r="L4" s="141">
        <v>5.8150000000000001E-11</v>
      </c>
      <c r="M4" s="141">
        <v>1.4037E-9</v>
      </c>
      <c r="N4" s="140">
        <v>3.4671E-8</v>
      </c>
      <c r="O4" s="141">
        <v>7.1625999999999995E-2</v>
      </c>
      <c r="P4" s="141">
        <v>0.14929999999999999</v>
      </c>
      <c r="Q4" s="140">
        <v>0.17585999999999999</v>
      </c>
      <c r="R4" s="141">
        <v>0.18748000000000001</v>
      </c>
      <c r="S4" s="141">
        <v>0.19317000000000001</v>
      </c>
      <c r="T4" s="140">
        <v>0.19614000000000001</v>
      </c>
      <c r="U4" s="141">
        <v>0.19775999999999999</v>
      </c>
      <c r="V4" s="141">
        <v>0.19867000000000001</v>
      </c>
      <c r="W4" s="142">
        <v>0.19919000000000001</v>
      </c>
      <c r="X4" s="143">
        <v>0.19986999999999999</v>
      </c>
      <c r="Y4" s="143">
        <v>0.19991</v>
      </c>
      <c r="Z4" s="140">
        <v>0.19994000000000001</v>
      </c>
      <c r="AA4" s="141">
        <v>0.19996</v>
      </c>
      <c r="AB4" s="141">
        <v>0.19997000000000001</v>
      </c>
      <c r="AC4" s="142">
        <v>0.17635999999999999</v>
      </c>
      <c r="AD4" s="143">
        <v>0.17161999999999999</v>
      </c>
      <c r="AE4" s="143">
        <v>0.16772000000000001</v>
      </c>
      <c r="AF4" s="140">
        <v>0.16334000000000001</v>
      </c>
      <c r="AG4" s="141">
        <v>0.13930999999999999</v>
      </c>
      <c r="AH4" s="141">
        <v>9.7836999999999993E-2</v>
      </c>
    </row>
    <row r="5" spans="1:34" x14ac:dyDescent="0.35">
      <c r="A5" s="133" t="s">
        <v>76</v>
      </c>
      <c r="B5" s="140">
        <v>0.06</v>
      </c>
      <c r="C5" s="141">
        <v>0.06</v>
      </c>
      <c r="D5" s="141">
        <v>0.06</v>
      </c>
      <c r="E5" s="140">
        <v>0.06</v>
      </c>
      <c r="F5" s="141">
        <v>0.06</v>
      </c>
      <c r="G5" s="141">
        <v>0.06</v>
      </c>
      <c r="H5" s="140">
        <v>0.06</v>
      </c>
      <c r="I5" s="141">
        <v>0.06</v>
      </c>
      <c r="J5" s="141">
        <v>0.06</v>
      </c>
      <c r="K5" s="140">
        <v>0.06</v>
      </c>
      <c r="L5" s="141">
        <v>0.06</v>
      </c>
      <c r="M5" s="141">
        <v>0.06</v>
      </c>
      <c r="N5" s="140">
        <v>0.06</v>
      </c>
      <c r="O5" s="141">
        <v>0.06</v>
      </c>
      <c r="P5" s="141">
        <v>0.06</v>
      </c>
      <c r="Q5" s="140">
        <v>0.06</v>
      </c>
      <c r="R5" s="141">
        <v>0.06</v>
      </c>
      <c r="S5" s="141">
        <v>1.3082E-7</v>
      </c>
      <c r="T5" s="140">
        <v>1.0444E-9</v>
      </c>
      <c r="U5" s="141">
        <v>2.0778999999999999E-10</v>
      </c>
      <c r="V5" s="141">
        <v>1.6176000000000001E-11</v>
      </c>
      <c r="W5" s="140">
        <v>2.7929999999999998E-13</v>
      </c>
      <c r="X5" s="141">
        <v>1.1484E-27</v>
      </c>
      <c r="Y5" s="141">
        <v>6.7723000000000001E-33</v>
      </c>
      <c r="Z5" s="140">
        <v>0</v>
      </c>
      <c r="AA5" s="141">
        <v>0</v>
      </c>
      <c r="AB5" s="141">
        <v>0</v>
      </c>
      <c r="AC5" s="140">
        <v>0</v>
      </c>
      <c r="AD5" s="141">
        <v>0</v>
      </c>
      <c r="AE5" s="141">
        <v>0</v>
      </c>
      <c r="AF5" s="140">
        <v>0</v>
      </c>
      <c r="AG5" s="141">
        <v>0</v>
      </c>
      <c r="AH5" s="141">
        <v>0</v>
      </c>
    </row>
    <row r="6" spans="1:34" x14ac:dyDescent="0.35">
      <c r="A6" s="133" t="s">
        <v>69</v>
      </c>
      <c r="B6" s="140">
        <v>0</v>
      </c>
      <c r="C6" s="141">
        <v>0</v>
      </c>
      <c r="D6" s="141">
        <v>0</v>
      </c>
      <c r="E6" s="140">
        <v>0</v>
      </c>
      <c r="F6" s="141">
        <v>0</v>
      </c>
      <c r="G6" s="141">
        <v>0</v>
      </c>
      <c r="H6" s="140">
        <v>0</v>
      </c>
      <c r="I6" s="141">
        <v>0</v>
      </c>
      <c r="J6" s="141">
        <v>0</v>
      </c>
      <c r="K6" s="140">
        <v>0</v>
      </c>
      <c r="L6" s="141">
        <v>0</v>
      </c>
      <c r="M6" s="141">
        <v>0</v>
      </c>
      <c r="N6" s="140">
        <v>0</v>
      </c>
      <c r="O6" s="141">
        <v>0</v>
      </c>
      <c r="P6" s="141">
        <v>0</v>
      </c>
      <c r="Q6" s="140">
        <v>0</v>
      </c>
      <c r="R6" s="141">
        <v>0</v>
      </c>
      <c r="S6" s="141">
        <v>0</v>
      </c>
      <c r="T6" s="140">
        <v>0</v>
      </c>
      <c r="U6" s="141">
        <v>0</v>
      </c>
      <c r="V6" s="141">
        <v>0</v>
      </c>
      <c r="W6" s="140">
        <v>0</v>
      </c>
      <c r="X6" s="141">
        <v>4.5526999999999996E-28</v>
      </c>
      <c r="Y6" s="141">
        <v>6.1443E-25</v>
      </c>
      <c r="Z6" s="140">
        <v>2.5233999999999998E-21</v>
      </c>
      <c r="AA6" s="141">
        <v>2.9531999999999999E-19</v>
      </c>
      <c r="AB6" s="141">
        <v>3.1565000000000001E-18</v>
      </c>
      <c r="AC6" s="140">
        <v>9.2837999999999995E-19</v>
      </c>
      <c r="AD6" s="141">
        <v>1.8903999999999998E-8</v>
      </c>
      <c r="AE6" s="141">
        <v>1.7457999999999999E-7</v>
      </c>
      <c r="AF6" s="140">
        <v>1.4719000000000001E-7</v>
      </c>
      <c r="AG6" s="141">
        <v>5.5145000000000002E-8</v>
      </c>
      <c r="AH6" s="141">
        <v>1.03E-8</v>
      </c>
    </row>
    <row r="7" spans="1:34" x14ac:dyDescent="0.35">
      <c r="A7" s="133" t="s">
        <v>109</v>
      </c>
      <c r="B7" s="140">
        <v>0</v>
      </c>
      <c r="C7" s="141">
        <v>0</v>
      </c>
      <c r="D7" s="141">
        <v>0</v>
      </c>
      <c r="E7" s="140">
        <v>0</v>
      </c>
      <c r="F7" s="141">
        <v>0</v>
      </c>
      <c r="G7" s="141">
        <v>0</v>
      </c>
      <c r="H7" s="140">
        <v>0</v>
      </c>
      <c r="I7" s="141">
        <v>0</v>
      </c>
      <c r="J7" s="141">
        <v>0</v>
      </c>
      <c r="K7" s="140">
        <v>0</v>
      </c>
      <c r="L7" s="141">
        <v>1.0158E-35</v>
      </c>
      <c r="M7" s="141">
        <v>0</v>
      </c>
      <c r="N7" s="140">
        <v>0</v>
      </c>
      <c r="O7" s="141">
        <v>0</v>
      </c>
      <c r="P7" s="141">
        <v>1.1205000000000001E-32</v>
      </c>
      <c r="Q7" s="140">
        <v>0</v>
      </c>
      <c r="R7" s="141">
        <v>0</v>
      </c>
      <c r="S7" s="141">
        <v>0</v>
      </c>
      <c r="T7" s="140">
        <v>0</v>
      </c>
      <c r="U7" s="141">
        <v>2.7220000000000002E-22</v>
      </c>
      <c r="V7" s="141">
        <v>7.6786000000000004E-17</v>
      </c>
      <c r="W7" s="140">
        <v>1.3577999999999999E-14</v>
      </c>
      <c r="X7" s="141">
        <v>1.0674E-13</v>
      </c>
      <c r="Y7" s="141">
        <v>6.7119999999999996E-14</v>
      </c>
      <c r="Z7" s="140">
        <v>4.7346000000000002E-14</v>
      </c>
      <c r="AA7" s="141">
        <v>9.4001999999999996E-17</v>
      </c>
      <c r="AB7" s="141">
        <v>2.0290000000000001E-26</v>
      </c>
      <c r="AC7" s="140">
        <v>0</v>
      </c>
      <c r="AD7" s="141">
        <v>1.2541E-17</v>
      </c>
      <c r="AE7" s="141">
        <v>1.7599E-12</v>
      </c>
      <c r="AF7" s="140">
        <v>9.8021000000000005E-14</v>
      </c>
      <c r="AG7" s="141">
        <v>9.2581999999999999E-13</v>
      </c>
      <c r="AH7" s="141">
        <v>1.0261E-9</v>
      </c>
    </row>
    <row r="8" spans="1:34" x14ac:dyDescent="0.35">
      <c r="A8" s="133" t="s">
        <v>51</v>
      </c>
      <c r="B8" s="140">
        <v>0</v>
      </c>
      <c r="C8" s="141">
        <v>0</v>
      </c>
      <c r="D8" s="141">
        <v>0</v>
      </c>
      <c r="E8" s="140">
        <v>0</v>
      </c>
      <c r="F8" s="141">
        <v>0</v>
      </c>
      <c r="G8" s="141">
        <v>0</v>
      </c>
      <c r="H8" s="140">
        <v>0</v>
      </c>
      <c r="I8" s="141">
        <v>0</v>
      </c>
      <c r="J8" s="141">
        <v>9.4820000000000006E-31</v>
      </c>
      <c r="K8" s="140">
        <v>1.7169000000000001E-14</v>
      </c>
      <c r="L8" s="141">
        <v>8.5510000000000006E-14</v>
      </c>
      <c r="M8" s="141">
        <v>8.4048E-16</v>
      </c>
      <c r="N8" s="140">
        <v>4.5506999999999999E-26</v>
      </c>
      <c r="O8" s="141">
        <v>1.2055E-25</v>
      </c>
      <c r="P8" s="141">
        <v>3.2555000000000002E-9</v>
      </c>
      <c r="Q8" s="140">
        <v>1.6651999999999999E-8</v>
      </c>
      <c r="R8" s="141">
        <v>1.7648999999999999E-7</v>
      </c>
      <c r="S8" s="141">
        <v>0.12</v>
      </c>
      <c r="T8" s="140">
        <v>0.12</v>
      </c>
      <c r="U8" s="141">
        <v>0.12</v>
      </c>
      <c r="V8" s="141">
        <v>0.12</v>
      </c>
      <c r="W8" s="140">
        <v>0.12</v>
      </c>
      <c r="X8" s="141">
        <v>0.12</v>
      </c>
      <c r="Y8" s="141">
        <v>0.12</v>
      </c>
      <c r="Z8" s="140">
        <v>0.12</v>
      </c>
      <c r="AA8" s="141">
        <v>0.12</v>
      </c>
      <c r="AB8" s="141">
        <v>0.12</v>
      </c>
      <c r="AC8" s="140">
        <v>6.0197000000000002E-3</v>
      </c>
      <c r="AD8" s="141">
        <v>1.222E-8</v>
      </c>
      <c r="AE8" s="141">
        <v>2.2326999999999999E-11</v>
      </c>
      <c r="AF8" s="140">
        <v>1.7935999999999998E-18</v>
      </c>
      <c r="AG8" s="141">
        <v>0</v>
      </c>
      <c r="AH8" s="141">
        <v>0</v>
      </c>
    </row>
    <row r="9" spans="1:34" x14ac:dyDescent="0.35">
      <c r="A9" s="133" t="s">
        <v>78</v>
      </c>
      <c r="B9" s="140">
        <v>0.1</v>
      </c>
      <c r="C9" s="141">
        <v>0.1</v>
      </c>
      <c r="D9" s="141">
        <v>0.1</v>
      </c>
      <c r="E9" s="140">
        <v>0.1</v>
      </c>
      <c r="F9" s="141">
        <v>0.2</v>
      </c>
      <c r="G9" s="141">
        <v>0.1</v>
      </c>
      <c r="H9" s="140">
        <v>0.2</v>
      </c>
      <c r="I9" s="141">
        <v>0.2</v>
      </c>
      <c r="J9" s="141">
        <v>0.2</v>
      </c>
      <c r="K9" s="140">
        <v>0.2</v>
      </c>
      <c r="L9" s="141">
        <v>0.2</v>
      </c>
      <c r="M9" s="141">
        <v>0.2</v>
      </c>
      <c r="N9" s="140">
        <v>0.2</v>
      </c>
      <c r="O9" s="141">
        <v>0.12837000000000001</v>
      </c>
      <c r="P9" s="141">
        <v>5.0701000000000003E-2</v>
      </c>
      <c r="Q9" s="140">
        <v>2.4145E-2</v>
      </c>
      <c r="R9" s="141">
        <v>1.2522999999999999E-2</v>
      </c>
      <c r="S9" s="141">
        <v>6.8328E-3</v>
      </c>
      <c r="T9" s="140">
        <v>3.8625999999999999E-3</v>
      </c>
      <c r="U9" s="141">
        <v>2.2447000000000001E-3</v>
      </c>
      <c r="V9" s="141">
        <v>1.3349E-3</v>
      </c>
      <c r="W9" s="140">
        <v>8.1010999999999995E-4</v>
      </c>
      <c r="X9" s="141">
        <v>1.2987E-4</v>
      </c>
      <c r="Y9" s="141">
        <v>8.5175999999999999E-5</v>
      </c>
      <c r="Z9" s="140">
        <v>5.6563E-5</v>
      </c>
      <c r="AA9" s="141">
        <v>3.8003999999999997E-5</v>
      </c>
      <c r="AB9" s="141">
        <v>2.5819000000000001E-5</v>
      </c>
      <c r="AC9" s="140">
        <v>1.7725000000000001E-5</v>
      </c>
      <c r="AD9" s="141">
        <v>1.2286999999999999E-5</v>
      </c>
      <c r="AE9" s="141">
        <v>8.5976000000000005E-6</v>
      </c>
      <c r="AF9" s="140">
        <v>6.0692000000000003E-6</v>
      </c>
      <c r="AG9" s="141">
        <v>1.6315E-6</v>
      </c>
      <c r="AH9" s="141">
        <v>4.8910999999999996E-7</v>
      </c>
    </row>
    <row r="10" spans="1:34" x14ac:dyDescent="0.35">
      <c r="A10" s="137" t="s">
        <v>66</v>
      </c>
      <c r="B10" s="142">
        <v>0</v>
      </c>
      <c r="C10" s="143">
        <v>0</v>
      </c>
      <c r="D10" s="143">
        <v>0</v>
      </c>
      <c r="E10" s="142">
        <v>0</v>
      </c>
      <c r="F10" s="143">
        <v>0</v>
      </c>
      <c r="G10" s="143">
        <v>0</v>
      </c>
      <c r="H10" s="142">
        <v>0</v>
      </c>
      <c r="I10" s="143">
        <v>0</v>
      </c>
      <c r="J10" s="143">
        <v>0</v>
      </c>
      <c r="K10" s="142">
        <v>1.3432E-31</v>
      </c>
      <c r="L10" s="143">
        <v>1.5711999999999999E-29</v>
      </c>
      <c r="M10" s="143">
        <v>1.3752E-27</v>
      </c>
      <c r="N10" s="142">
        <v>9.2523999999999999E-26</v>
      </c>
      <c r="O10" s="143">
        <v>4.0224000000000004E-24</v>
      </c>
      <c r="P10" s="143">
        <v>1.3078000000000001E-22</v>
      </c>
      <c r="Q10" s="142">
        <v>4.0776E-21</v>
      </c>
      <c r="R10" s="143">
        <v>1.1226E-19</v>
      </c>
      <c r="S10" s="143">
        <v>2.2370999999999998E-18</v>
      </c>
      <c r="T10" s="142">
        <v>2.3373999999999999E-17</v>
      </c>
      <c r="U10" s="143">
        <v>2.1883E-16</v>
      </c>
      <c r="V10" s="143">
        <v>1.846E-15</v>
      </c>
      <c r="W10" s="142">
        <v>1.4121E-14</v>
      </c>
      <c r="X10" s="143">
        <v>2.0518E-11</v>
      </c>
      <c r="Y10" s="143">
        <v>1.0504000000000001E-10</v>
      </c>
      <c r="Z10" s="142">
        <v>5.0361999999999996E-10</v>
      </c>
      <c r="AA10" s="143">
        <v>2.2708000000000001E-9</v>
      </c>
      <c r="AB10" s="143">
        <v>9.6646000000000007E-9</v>
      </c>
      <c r="AC10" s="142">
        <v>3.7832999999999999E-8</v>
      </c>
      <c r="AD10" s="143">
        <v>3.7532000000000002E-8</v>
      </c>
      <c r="AE10" s="143">
        <v>3.6856999999999997E-8</v>
      </c>
      <c r="AF10" s="142">
        <v>3.5754999999999998E-8</v>
      </c>
      <c r="AG10" s="143">
        <v>2.8010999999999999E-8</v>
      </c>
      <c r="AH10" s="143">
        <v>1.7722999999999999E-8</v>
      </c>
    </row>
    <row r="11" spans="1:34" x14ac:dyDescent="0.35">
      <c r="A11" s="137" t="s">
        <v>1</v>
      </c>
      <c r="B11" s="142">
        <v>0.2</v>
      </c>
      <c r="C11" s="143">
        <v>0.2</v>
      </c>
      <c r="D11" s="143">
        <v>0.2</v>
      </c>
      <c r="E11" s="142">
        <v>0.2</v>
      </c>
      <c r="F11" s="143">
        <v>0.2</v>
      </c>
      <c r="G11" s="143">
        <v>0.2</v>
      </c>
      <c r="H11" s="142">
        <v>0.2</v>
      </c>
      <c r="I11" s="143">
        <v>0.2</v>
      </c>
      <c r="J11" s="143">
        <v>0.2</v>
      </c>
      <c r="K11" s="142">
        <v>0.2</v>
      </c>
      <c r="L11" s="143">
        <v>0.2</v>
      </c>
      <c r="M11" s="143">
        <v>0.2</v>
      </c>
      <c r="N11" s="142">
        <v>0.2</v>
      </c>
      <c r="O11" s="143">
        <v>0.2</v>
      </c>
      <c r="P11" s="143">
        <v>0.2</v>
      </c>
      <c r="Q11" s="142">
        <v>0.2</v>
      </c>
      <c r="R11" s="143">
        <v>0.2</v>
      </c>
      <c r="S11" s="143">
        <v>0.2</v>
      </c>
      <c r="T11" s="142">
        <v>0.2</v>
      </c>
      <c r="U11" s="143">
        <v>0.2</v>
      </c>
      <c r="V11" s="143">
        <v>0.2</v>
      </c>
      <c r="W11" s="142">
        <v>0.2</v>
      </c>
      <c r="X11" s="143">
        <v>0.2</v>
      </c>
      <c r="Y11" s="143">
        <v>0.2</v>
      </c>
      <c r="Z11" s="142">
        <v>0.2</v>
      </c>
      <c r="AA11" s="143">
        <v>0.2</v>
      </c>
      <c r="AB11" s="143">
        <v>0.2</v>
      </c>
      <c r="AC11" s="142">
        <v>0.2</v>
      </c>
      <c r="AD11" s="143">
        <v>0.2</v>
      </c>
      <c r="AE11" s="143">
        <v>0.2</v>
      </c>
      <c r="AF11" s="142">
        <v>0.2</v>
      </c>
      <c r="AG11" s="143">
        <v>0.2</v>
      </c>
      <c r="AH11" s="143">
        <v>0.2</v>
      </c>
    </row>
    <row r="12" spans="1:34" x14ac:dyDescent="0.35">
      <c r="A12" s="137" t="s">
        <v>110</v>
      </c>
      <c r="B12" s="142">
        <v>0</v>
      </c>
      <c r="C12" s="143">
        <v>0</v>
      </c>
      <c r="D12" s="143">
        <v>0</v>
      </c>
      <c r="E12" s="142">
        <v>0</v>
      </c>
      <c r="F12" s="143">
        <v>0</v>
      </c>
      <c r="G12" s="143">
        <v>0</v>
      </c>
      <c r="H12" s="142">
        <v>0</v>
      </c>
      <c r="I12" s="143">
        <v>0</v>
      </c>
      <c r="J12" s="143">
        <v>0</v>
      </c>
      <c r="K12" s="142">
        <v>2.6205E-24</v>
      </c>
      <c r="L12" s="143">
        <v>4.6451E-24</v>
      </c>
      <c r="M12" s="143">
        <v>7.3235000000000001E-28</v>
      </c>
      <c r="N12" s="142">
        <v>0</v>
      </c>
      <c r="O12" s="143">
        <v>0</v>
      </c>
      <c r="P12" s="143">
        <v>2.129E-27</v>
      </c>
      <c r="Q12" s="142">
        <v>0</v>
      </c>
      <c r="R12" s="143">
        <v>0</v>
      </c>
      <c r="S12" s="143">
        <v>0</v>
      </c>
      <c r="T12" s="142">
        <v>2.3314E-36</v>
      </c>
      <c r="U12" s="143">
        <v>5.4937000000000001E-22</v>
      </c>
      <c r="V12" s="143">
        <v>1.1051E-16</v>
      </c>
      <c r="W12" s="142">
        <v>2.1310999999999999E-14</v>
      </c>
      <c r="X12" s="143">
        <v>3.2337999999999998E-12</v>
      </c>
      <c r="Y12" s="143">
        <v>1.8614E-11</v>
      </c>
      <c r="Z12" s="142">
        <v>4.4847E-10</v>
      </c>
      <c r="AA12" s="143">
        <v>2.6244000000000002E-9</v>
      </c>
      <c r="AB12" s="143">
        <v>1.7035E-8</v>
      </c>
      <c r="AC12" s="142">
        <v>0.11398</v>
      </c>
      <c r="AD12" s="143">
        <v>0.12</v>
      </c>
      <c r="AE12" s="143">
        <v>0.12</v>
      </c>
      <c r="AF12" s="142">
        <v>0.12</v>
      </c>
      <c r="AG12" s="143">
        <v>0.12</v>
      </c>
      <c r="AH12" s="143">
        <v>0.12</v>
      </c>
    </row>
    <row r="13" spans="1:34" x14ac:dyDescent="0.35">
      <c r="A13" s="133" t="s">
        <v>111</v>
      </c>
      <c r="B13" s="140">
        <v>1.4476000000000001E-29</v>
      </c>
      <c r="C13" s="141">
        <v>3.8845000000000001E-31</v>
      </c>
      <c r="D13" s="141">
        <v>0</v>
      </c>
      <c r="E13" s="140">
        <v>0</v>
      </c>
      <c r="F13" s="141">
        <v>0</v>
      </c>
      <c r="G13" s="141">
        <v>0</v>
      </c>
      <c r="H13" s="140">
        <v>0</v>
      </c>
      <c r="I13" s="141">
        <v>0</v>
      </c>
      <c r="J13" s="141">
        <v>2.2695E-25</v>
      </c>
      <c r="K13" s="140">
        <v>6.9787000000000004E-15</v>
      </c>
      <c r="L13" s="141">
        <v>1.7559999999999999E-15</v>
      </c>
      <c r="M13" s="141">
        <v>4.391E-20</v>
      </c>
      <c r="N13" s="140">
        <v>0</v>
      </c>
      <c r="O13" s="141">
        <v>0</v>
      </c>
      <c r="P13" s="141">
        <v>3.6408999999999998E-22</v>
      </c>
      <c r="Q13" s="140">
        <v>8.2240999999999992E-34</v>
      </c>
      <c r="R13" s="141">
        <v>0</v>
      </c>
      <c r="S13" s="141">
        <v>0</v>
      </c>
      <c r="T13" s="140">
        <v>2.2363E-34</v>
      </c>
      <c r="U13" s="141">
        <v>1.2444000000000001E-20</v>
      </c>
      <c r="V13" s="141">
        <v>6.2677000000000003E-16</v>
      </c>
      <c r="W13" s="140">
        <v>3.1955000000000001E-14</v>
      </c>
      <c r="X13" s="141">
        <v>3.8063999999999997E-14</v>
      </c>
      <c r="Y13" s="141">
        <v>7.2335000000000002E-14</v>
      </c>
      <c r="Z13" s="140">
        <v>5.9667000000000002E-13</v>
      </c>
      <c r="AA13" s="141">
        <v>1.2370000000000001E-12</v>
      </c>
      <c r="AB13" s="141">
        <v>2.9372E-12</v>
      </c>
      <c r="AC13" s="140">
        <v>7.5216000000000001E-6</v>
      </c>
      <c r="AD13" s="141">
        <v>6.0361999999999999E-6</v>
      </c>
      <c r="AE13" s="141">
        <v>4.6388999999999997E-6</v>
      </c>
      <c r="AF13" s="140">
        <v>3.5966999999999998E-6</v>
      </c>
      <c r="AG13" s="141">
        <v>1.4179E-6</v>
      </c>
      <c r="AH13" s="141">
        <v>6.4486000000000002E-7</v>
      </c>
    </row>
    <row r="14" spans="1:34" x14ac:dyDescent="0.35">
      <c r="A14" s="133" t="s">
        <v>112</v>
      </c>
      <c r="B14" s="140">
        <v>0</v>
      </c>
      <c r="C14" s="141">
        <v>0</v>
      </c>
      <c r="D14" s="141">
        <v>0</v>
      </c>
      <c r="E14" s="140">
        <v>0</v>
      </c>
      <c r="F14" s="141">
        <v>0</v>
      </c>
      <c r="G14" s="141">
        <v>0</v>
      </c>
      <c r="H14" s="140">
        <v>0</v>
      </c>
      <c r="I14" s="141">
        <v>0</v>
      </c>
      <c r="J14" s="141">
        <v>2.4285999999999999E-29</v>
      </c>
      <c r="K14" s="140">
        <v>5.7105999999999998E-17</v>
      </c>
      <c r="L14" s="141">
        <v>3.6389999999999998E-17</v>
      </c>
      <c r="M14" s="141">
        <v>2.1911999999999999E-21</v>
      </c>
      <c r="N14" s="140">
        <v>0</v>
      </c>
      <c r="O14" s="141">
        <v>0</v>
      </c>
      <c r="P14" s="141">
        <v>1.9581999999999999E-22</v>
      </c>
      <c r="Q14" s="140">
        <v>9.0699000000000008E-34</v>
      </c>
      <c r="R14" s="141">
        <v>0</v>
      </c>
      <c r="S14" s="141">
        <v>0</v>
      </c>
      <c r="T14" s="140">
        <v>1.7698E-33</v>
      </c>
      <c r="U14" s="141">
        <v>1.8003E-19</v>
      </c>
      <c r="V14" s="141">
        <v>1.6190000000000002E-14</v>
      </c>
      <c r="W14" s="140">
        <v>1.4418E-12</v>
      </c>
      <c r="X14" s="141">
        <v>1.3207000000000001E-11</v>
      </c>
      <c r="Y14" s="141">
        <v>4.0084000000000001E-11</v>
      </c>
      <c r="Z14" s="140">
        <v>5.2038000000000002E-10</v>
      </c>
      <c r="AA14" s="141">
        <v>1.6747E-9</v>
      </c>
      <c r="AB14" s="141">
        <v>6.0933999999999997E-9</v>
      </c>
      <c r="AC14" s="140">
        <v>2.3615000000000001E-2</v>
      </c>
      <c r="AD14" s="141">
        <v>2.8364E-2</v>
      </c>
      <c r="AE14" s="141">
        <v>3.2265000000000002E-2</v>
      </c>
      <c r="AF14" s="140">
        <v>3.6650000000000002E-2</v>
      </c>
      <c r="AG14" s="141">
        <v>6.0689E-2</v>
      </c>
      <c r="AH14" s="141">
        <v>0.10216</v>
      </c>
    </row>
    <row r="15" spans="1:34" x14ac:dyDescent="0.35">
      <c r="A15" s="133" t="s">
        <v>52</v>
      </c>
      <c r="B15" s="140">
        <v>-19.03</v>
      </c>
      <c r="C15" s="141">
        <v>-19.02</v>
      </c>
      <c r="D15" s="141">
        <v>-19.02</v>
      </c>
      <c r="E15" s="140">
        <v>-19.02</v>
      </c>
      <c r="F15" s="141">
        <v>-19.32</v>
      </c>
      <c r="G15" s="141">
        <v>-19.05</v>
      </c>
      <c r="H15" s="140">
        <v>-19.36</v>
      </c>
      <c r="I15" s="141">
        <v>-19.38</v>
      </c>
      <c r="J15" s="141">
        <v>-19.41</v>
      </c>
      <c r="K15" s="140">
        <v>-19.53</v>
      </c>
      <c r="L15" s="141">
        <v>-19.559999999999999</v>
      </c>
      <c r="M15" s="141">
        <v>-19.600000000000001</v>
      </c>
      <c r="N15" s="140">
        <v>-19.63</v>
      </c>
      <c r="O15" s="141">
        <v>-19.47</v>
      </c>
      <c r="P15" s="141">
        <v>-19.23</v>
      </c>
      <c r="Q15" s="140">
        <v>-19.149999999999999</v>
      </c>
      <c r="R15" s="141">
        <v>-19.14</v>
      </c>
      <c r="S15" s="141">
        <v>-19.14</v>
      </c>
      <c r="T15" s="140">
        <v>-19.16</v>
      </c>
      <c r="U15" s="141">
        <v>-19.190000000000001</v>
      </c>
      <c r="V15" s="141">
        <v>-19.22</v>
      </c>
      <c r="W15" s="140">
        <v>-19.25</v>
      </c>
      <c r="X15" s="141">
        <v>-19.38</v>
      </c>
      <c r="Y15" s="141">
        <v>-19.420000000000002</v>
      </c>
      <c r="Z15" s="140">
        <v>-19.45</v>
      </c>
      <c r="AA15" s="141">
        <v>-19.48</v>
      </c>
      <c r="AB15" s="141">
        <v>-19.510000000000002</v>
      </c>
      <c r="AC15" s="140">
        <v>-19.55</v>
      </c>
      <c r="AD15" s="141">
        <v>-19.579999999999998</v>
      </c>
      <c r="AE15" s="141">
        <v>-19.61</v>
      </c>
      <c r="AF15" s="140">
        <v>-19.64</v>
      </c>
      <c r="AG15" s="141">
        <v>-19.760000000000002</v>
      </c>
      <c r="AH15" s="141">
        <v>-19.88</v>
      </c>
    </row>
    <row r="16" spans="1:34" x14ac:dyDescent="0.35">
      <c r="A16" s="133" t="s">
        <v>87</v>
      </c>
      <c r="B16" s="140">
        <v>-66.569999999999993</v>
      </c>
      <c r="C16" s="141">
        <v>-63.1</v>
      </c>
      <c r="D16" s="141">
        <v>-60.01</v>
      </c>
      <c r="E16" s="140">
        <v>-57.25</v>
      </c>
      <c r="F16" s="141">
        <v>-54</v>
      </c>
      <c r="G16" s="141">
        <v>-49.67</v>
      </c>
      <c r="H16" s="140">
        <v>-46.96</v>
      </c>
      <c r="I16" s="141">
        <v>-43.86</v>
      </c>
      <c r="J16" s="141">
        <v>-40.98</v>
      </c>
      <c r="K16" s="140">
        <v>-31.32</v>
      </c>
      <c r="L16" s="141">
        <v>-29.28</v>
      </c>
      <c r="M16" s="141">
        <v>-27.35</v>
      </c>
      <c r="N16" s="140">
        <v>-25.53</v>
      </c>
      <c r="O16" s="141">
        <v>-23.81</v>
      </c>
      <c r="P16" s="141">
        <v>-22.18</v>
      </c>
      <c r="Q16" s="140">
        <v>-20.63</v>
      </c>
      <c r="R16" s="141">
        <v>-19.16</v>
      </c>
      <c r="S16" s="141">
        <v>-17.850000000000001</v>
      </c>
      <c r="T16" s="140">
        <v>-16.850000000000001</v>
      </c>
      <c r="U16" s="141">
        <v>-15.9</v>
      </c>
      <c r="V16" s="141">
        <v>-15</v>
      </c>
      <c r="W16" s="140">
        <v>-14.13</v>
      </c>
      <c r="X16" s="141">
        <v>-11</v>
      </c>
      <c r="Y16" s="141">
        <v>-10.29</v>
      </c>
      <c r="Z16" s="140">
        <v>-9.6059999999999999</v>
      </c>
      <c r="AA16" s="141">
        <v>-8.9480000000000004</v>
      </c>
      <c r="AB16" s="141">
        <v>-8.3130000000000006</v>
      </c>
      <c r="AC16" s="140">
        <v>-7.7140000000000004</v>
      </c>
      <c r="AD16" s="141">
        <v>-7.7969999999999997</v>
      </c>
      <c r="AE16" s="141">
        <v>-7.8789999999999996</v>
      </c>
      <c r="AF16" s="140">
        <v>-7.9630000000000001</v>
      </c>
      <c r="AG16" s="141">
        <v>-8.3190000000000008</v>
      </c>
      <c r="AH16" s="141">
        <v>-8.7260000000000009</v>
      </c>
    </row>
    <row r="17" spans="1:34" x14ac:dyDescent="0.35">
      <c r="A17" s="133" t="s">
        <v>113</v>
      </c>
      <c r="B17" s="140">
        <v>-18.059999999999999</v>
      </c>
      <c r="C17" s="141">
        <v>-17.43</v>
      </c>
      <c r="D17" s="141">
        <v>-16.88</v>
      </c>
      <c r="E17" s="140">
        <v>-16.39</v>
      </c>
      <c r="F17" s="141">
        <v>-15.05</v>
      </c>
      <c r="G17" s="141">
        <v>-13.68</v>
      </c>
      <c r="H17" s="140">
        <v>-12.49</v>
      </c>
      <c r="I17" s="141">
        <v>-11.36</v>
      </c>
      <c r="J17" s="141">
        <v>-10.31</v>
      </c>
      <c r="K17" s="140">
        <v>-6.7309999999999999</v>
      </c>
      <c r="L17" s="141">
        <v>-5.9660000000000002</v>
      </c>
      <c r="M17" s="141">
        <v>-5.2430000000000003</v>
      </c>
      <c r="N17" s="140">
        <v>-4.5579999999999998</v>
      </c>
      <c r="O17" s="141">
        <v>-4.1550000000000002</v>
      </c>
      <c r="P17" s="141">
        <v>-4.1950000000000003</v>
      </c>
      <c r="Q17" s="140">
        <v>-4.2359999999999998</v>
      </c>
      <c r="R17" s="141">
        <v>-4.2759999999999998</v>
      </c>
      <c r="S17" s="141">
        <v>-4.3170000000000002</v>
      </c>
      <c r="T17" s="140">
        <v>-4.3579999999999997</v>
      </c>
      <c r="U17" s="141">
        <v>-4.399</v>
      </c>
      <c r="V17" s="141">
        <v>-4.4400000000000004</v>
      </c>
      <c r="W17" s="140">
        <v>-4.4809999999999999</v>
      </c>
      <c r="X17" s="141">
        <v>-4.6429999999999998</v>
      </c>
      <c r="Y17" s="141">
        <v>-4.6829999999999998</v>
      </c>
      <c r="Z17" s="140">
        <v>-4.7220000000000004</v>
      </c>
      <c r="AA17" s="141">
        <v>-4.7619999999999996</v>
      </c>
      <c r="AB17" s="141">
        <v>-4.8010000000000002</v>
      </c>
      <c r="AC17" s="140">
        <v>-4.84</v>
      </c>
      <c r="AD17" s="141">
        <v>-4.8780000000000001</v>
      </c>
      <c r="AE17" s="141">
        <v>-4.9169999999999998</v>
      </c>
      <c r="AF17" s="140">
        <v>-4.9550000000000001</v>
      </c>
      <c r="AG17" s="141">
        <v>-5.1040000000000001</v>
      </c>
      <c r="AH17" s="141">
        <v>-5.2489999999999997</v>
      </c>
    </row>
    <row r="18" spans="1:34" x14ac:dyDescent="0.35">
      <c r="A18" s="133" t="s">
        <v>68</v>
      </c>
      <c r="B18" s="140">
        <v>-22.85</v>
      </c>
      <c r="C18" s="141">
        <v>-21.73</v>
      </c>
      <c r="D18" s="141">
        <v>-20.73</v>
      </c>
      <c r="E18" s="140">
        <v>-19.850000000000001</v>
      </c>
      <c r="F18" s="141">
        <v>-19.559999999999999</v>
      </c>
      <c r="G18" s="141">
        <v>-20.239999999999998</v>
      </c>
      <c r="H18" s="140">
        <v>-20.04</v>
      </c>
      <c r="I18" s="141">
        <v>-20.28</v>
      </c>
      <c r="J18" s="141">
        <v>-20.53</v>
      </c>
      <c r="K18" s="140">
        <v>-21.53</v>
      </c>
      <c r="L18" s="141">
        <v>-21.78</v>
      </c>
      <c r="M18" s="141">
        <v>-22.02</v>
      </c>
      <c r="N18" s="140">
        <v>-22.27</v>
      </c>
      <c r="O18" s="141">
        <v>-22.52</v>
      </c>
      <c r="P18" s="141">
        <v>-22.76</v>
      </c>
      <c r="Q18" s="140">
        <v>-23</v>
      </c>
      <c r="R18" s="141">
        <v>-23.24</v>
      </c>
      <c r="S18" s="141">
        <v>-23.48</v>
      </c>
      <c r="T18" s="140">
        <v>-23.72</v>
      </c>
      <c r="U18" s="141">
        <v>-23.95</v>
      </c>
      <c r="V18" s="141">
        <v>-24.18</v>
      </c>
      <c r="W18" s="140">
        <v>-24.41</v>
      </c>
      <c r="X18" s="141">
        <v>-25.31</v>
      </c>
      <c r="Y18" s="141">
        <v>-25.53</v>
      </c>
      <c r="Z18" s="140">
        <v>-25.75</v>
      </c>
      <c r="AA18" s="141">
        <v>-25.97</v>
      </c>
      <c r="AB18" s="141">
        <v>-26.18</v>
      </c>
      <c r="AC18" s="140">
        <v>-26.39</v>
      </c>
      <c r="AD18" s="141">
        <v>-26.6</v>
      </c>
      <c r="AE18" s="141">
        <v>-26.81</v>
      </c>
      <c r="AF18" s="140">
        <v>-27.02</v>
      </c>
      <c r="AG18" s="141">
        <v>-27.83</v>
      </c>
      <c r="AH18" s="141">
        <v>-28.62</v>
      </c>
    </row>
  </sheetData>
  <conditionalFormatting sqref="B1:AH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5"/>
  <sheetViews>
    <sheetView zoomScale="85" zoomScaleNormal="85" workbookViewId="0">
      <pane ySplit="1" topLeftCell="A153" activePane="bottomLeft" state="frozen"/>
      <selection pane="bottomLeft" activeCell="A100" sqref="A100:BT194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537.5</v>
      </c>
      <c r="G2" s="4">
        <f>IFERROR(FLUID!K45,0)</f>
        <v>554</v>
      </c>
      <c r="H2" s="4">
        <f>IFERROR(FLUID!L45,0)</f>
        <v>570.5</v>
      </c>
      <c r="I2" s="4">
        <f>IFERROR(FLUID!M45,0)</f>
        <v>587</v>
      </c>
      <c r="J2" s="4">
        <f>IFERROR(FLUID!N45,0)</f>
        <v>603.5</v>
      </c>
      <c r="K2" s="4">
        <f>IFERROR(FLUID!O45,0)</f>
        <v>669.6</v>
      </c>
      <c r="L2" s="4">
        <f>IFERROR(FLUID!P45,0)</f>
        <v>735.7</v>
      </c>
      <c r="M2" s="4">
        <f>IFERROR(FLUID!Q45,0)</f>
        <v>801.8</v>
      </c>
      <c r="N2" s="4">
        <f>IFERROR(FLUID!R45,0)</f>
        <v>867.8</v>
      </c>
      <c r="O2" s="4">
        <f>IFERROR(FLUID!S45,0)</f>
        <v>933.9</v>
      </c>
      <c r="P2" s="4">
        <f>IFERROR(FLUID!T45,0)</f>
        <v>950.4</v>
      </c>
      <c r="Q2" s="4">
        <f>IFERROR(FLUID!U45,0)</f>
        <v>967</v>
      </c>
      <c r="R2" s="4">
        <f>IFERROR(FLUID!V45,0)</f>
        <v>983.5</v>
      </c>
      <c r="S2" s="4">
        <f>IFERROR(FLUID!W45,0)</f>
        <v>1000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Se3</v>
      </c>
      <c r="B3" s="16">
        <f ca="1">IFERROR(FLUID!F46,0)</f>
        <v>-14.852999999999998</v>
      </c>
      <c r="C3" s="16">
        <f ca="1">IFERROR(FLUID!G46,0)</f>
        <v>-15.908999999999999</v>
      </c>
      <c r="D3" s="16">
        <f ca="1">IFERROR(FLUID!H46,0)</f>
        <v>-17.076000000000001</v>
      </c>
      <c r="E3" s="16">
        <f ca="1">IFERROR(FLUID!I46,0)</f>
        <v>-18.225000000000001</v>
      </c>
      <c r="F3" s="16">
        <f ca="1">IFERROR(FLUID!J46,0)</f>
        <v>-19.314</v>
      </c>
      <c r="G3" s="16">
        <f ca="1">IFERROR(FLUID!K46,0)</f>
        <v>-19.575000000000003</v>
      </c>
      <c r="H3" s="16">
        <f ca="1">IFERROR(FLUID!L46,0)</f>
        <v>-19.830000000000002</v>
      </c>
      <c r="I3" s="16">
        <f ca="1">IFERROR(FLUID!M46,0)</f>
        <v>-20.076000000000001</v>
      </c>
      <c r="J3" s="16">
        <f ca="1">IFERROR(FLUID!N46,0)</f>
        <v>-20.316000000000003</v>
      </c>
      <c r="K3" s="16">
        <f ca="1">IFERROR(FLUID!O46,0)</f>
        <v>-21.213000000000001</v>
      </c>
      <c r="L3" s="16">
        <f ca="1">IFERROR(FLUID!P46,0)</f>
        <v>-22.038</v>
      </c>
      <c r="M3" s="16">
        <f ca="1">IFERROR(FLUID!Q46,0)</f>
        <v>-22.839000000000002</v>
      </c>
      <c r="N3" s="16">
        <f ca="1">IFERROR(FLUID!R46,0)</f>
        <v>-23.658000000000001</v>
      </c>
      <c r="O3" s="16">
        <f ca="1">IFERROR(FLUID!S46,0)</f>
        <v>-24.561</v>
      </c>
      <c r="P3" s="16">
        <f ca="1">IFERROR(FLUID!T46,0)</f>
        <v>-24.81</v>
      </c>
      <c r="Q3" s="16">
        <f ca="1">IFERROR(FLUID!U46,0)</f>
        <v>-25.070999999999998</v>
      </c>
      <c r="R3" s="16">
        <f ca="1">IFERROR(FLUID!V46,0)</f>
        <v>-25.347000000000001</v>
      </c>
      <c r="S3" s="16">
        <f ca="1">IFERROR(FLUID!W46,0)</f>
        <v>-25.637999999999998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Se4</v>
      </c>
      <c r="B4" s="16">
        <f ca="1">IFERROR(FLUID!F47,0)</f>
        <v>-19.803999999999998</v>
      </c>
      <c r="C4" s="16">
        <f ca="1">IFERROR(FLUID!G47,0)</f>
        <v>-21.212</v>
      </c>
      <c r="D4" s="16">
        <f ca="1">IFERROR(FLUID!H47,0)</f>
        <v>-22.768000000000001</v>
      </c>
      <c r="E4" s="16">
        <f ca="1">IFERROR(FLUID!I47,0)</f>
        <v>-24.3</v>
      </c>
      <c r="F4" s="16">
        <f ca="1">IFERROR(FLUID!J47,0)</f>
        <v>-25.751999999999999</v>
      </c>
      <c r="G4" s="16">
        <f ca="1">IFERROR(FLUID!K47,0)</f>
        <v>-26.1</v>
      </c>
      <c r="H4" s="16">
        <f ca="1">IFERROR(FLUID!L47,0)</f>
        <v>-26.44</v>
      </c>
      <c r="I4" s="16">
        <f ca="1">IFERROR(FLUID!M47,0)</f>
        <v>-26.768000000000001</v>
      </c>
      <c r="J4" s="16">
        <f ca="1">IFERROR(FLUID!N47,0)</f>
        <v>-27.088000000000001</v>
      </c>
      <c r="K4" s="16">
        <f ca="1">IFERROR(FLUID!O47,0)</f>
        <v>-28.283999999999999</v>
      </c>
      <c r="L4" s="16">
        <f ca="1">IFERROR(FLUID!P47,0)</f>
        <v>-29.384</v>
      </c>
      <c r="M4" s="16">
        <f ca="1">IFERROR(FLUID!Q47,0)</f>
        <v>-30.452000000000002</v>
      </c>
      <c r="N4" s="16">
        <f ca="1">IFERROR(FLUID!R47,0)</f>
        <v>-31.544</v>
      </c>
      <c r="O4" s="16">
        <f ca="1">IFERROR(FLUID!S47,0)</f>
        <v>-32.747999999999998</v>
      </c>
      <c r="P4" s="16">
        <f ca="1">IFERROR(FLUID!T47,0)</f>
        <v>-33.08</v>
      </c>
      <c r="Q4" s="16">
        <f ca="1">IFERROR(FLUID!U47,0)</f>
        <v>-33.427999999999997</v>
      </c>
      <c r="R4" s="16">
        <f ca="1">IFERROR(FLUID!V47,0)</f>
        <v>-33.795999999999999</v>
      </c>
      <c r="S4" s="16">
        <f ca="1">IFERROR(FLUID!W47,0)</f>
        <v>-34.183999999999997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Se5</v>
      </c>
      <c r="B5" s="16">
        <f ca="1">IFERROR(FLUID!F48,0)</f>
        <v>-24.754999999999999</v>
      </c>
      <c r="C5" s="16">
        <f ca="1">IFERROR(FLUID!G48,0)</f>
        <v>-26.515000000000001</v>
      </c>
      <c r="D5" s="16">
        <f ca="1">IFERROR(FLUID!H48,0)</f>
        <v>-28.46</v>
      </c>
      <c r="E5" s="16">
        <f ca="1">IFERROR(FLUID!I48,0)</f>
        <v>-30.375</v>
      </c>
      <c r="F5" s="16">
        <f ca="1">IFERROR(FLUID!J48,0)</f>
        <v>-32.19</v>
      </c>
      <c r="G5" s="16">
        <f ca="1">IFERROR(FLUID!K48,0)</f>
        <v>-32.625</v>
      </c>
      <c r="H5" s="16">
        <f ca="1">IFERROR(FLUID!L48,0)</f>
        <v>-33.050000000000004</v>
      </c>
      <c r="I5" s="16">
        <f ca="1">IFERROR(FLUID!M48,0)</f>
        <v>-33.46</v>
      </c>
      <c r="J5" s="16">
        <f ca="1">IFERROR(FLUID!N48,0)</f>
        <v>-33.86</v>
      </c>
      <c r="K5" s="16">
        <f ca="1">IFERROR(FLUID!O48,0)</f>
        <v>-35.354999999999997</v>
      </c>
      <c r="L5" s="16">
        <f ca="1">IFERROR(FLUID!P48,0)</f>
        <v>-36.730000000000004</v>
      </c>
      <c r="M5" s="16">
        <f ca="1">IFERROR(FLUID!Q48,0)</f>
        <v>-38.065000000000005</v>
      </c>
      <c r="N5" s="16">
        <f ca="1">IFERROR(FLUID!R48,0)</f>
        <v>-39.43</v>
      </c>
      <c r="O5" s="16">
        <f ca="1">IFERROR(FLUID!S48,0)</f>
        <v>-40.934999999999995</v>
      </c>
      <c r="P5" s="16">
        <f ca="1">IFERROR(FLUID!T48,0)</f>
        <v>-41.349999999999994</v>
      </c>
      <c r="Q5" s="16">
        <f ca="1">IFERROR(FLUID!U48,0)</f>
        <v>-41.784999999999997</v>
      </c>
      <c r="R5" s="16">
        <f ca="1">IFERROR(FLUID!V48,0)</f>
        <v>-42.244999999999997</v>
      </c>
      <c r="S5" s="16">
        <f ca="1">IFERROR(FLUID!W48,0)</f>
        <v>-42.73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See</v>
      </c>
      <c r="B6" s="16">
        <f ca="1">IFERROR(FLUID!F49,0)</f>
        <v>-4.9509999999999996</v>
      </c>
      <c r="C6" s="16">
        <f ca="1">IFERROR(FLUID!G49,0)</f>
        <v>-5.3029999999999999</v>
      </c>
      <c r="D6" s="16">
        <f ca="1">IFERROR(FLUID!H49,0)</f>
        <v>-5.6920000000000002</v>
      </c>
      <c r="E6" s="16">
        <f ca="1">IFERROR(FLUID!I49,0)</f>
        <v>-6.0750000000000002</v>
      </c>
      <c r="F6" s="16">
        <f ca="1">IFERROR(FLUID!J49,0)</f>
        <v>-6.4379999999999997</v>
      </c>
      <c r="G6" s="16">
        <f ca="1">IFERROR(FLUID!K49,0)</f>
        <v>-6.5250000000000004</v>
      </c>
      <c r="H6" s="16">
        <f ca="1">IFERROR(FLUID!L49,0)</f>
        <v>-6.61</v>
      </c>
      <c r="I6" s="16">
        <f ca="1">IFERROR(FLUID!M49,0)</f>
        <v>-6.6920000000000002</v>
      </c>
      <c r="J6" s="16">
        <f ca="1">IFERROR(FLUID!N49,0)</f>
        <v>-6.7720000000000002</v>
      </c>
      <c r="K6" s="16">
        <f ca="1">IFERROR(FLUID!O49,0)</f>
        <v>-7.0709999999999997</v>
      </c>
      <c r="L6" s="16">
        <f ca="1">IFERROR(FLUID!P49,0)</f>
        <v>-7.3460000000000001</v>
      </c>
      <c r="M6" s="16">
        <f ca="1">IFERROR(FLUID!Q49,0)</f>
        <v>-7.6130000000000004</v>
      </c>
      <c r="N6" s="16">
        <f ca="1">IFERROR(FLUID!R49,0)</f>
        <v>-7.8860000000000001</v>
      </c>
      <c r="O6" s="16">
        <f ca="1">IFERROR(FLUID!S49,0)</f>
        <v>-8.1869999999999994</v>
      </c>
      <c r="P6" s="16">
        <f ca="1">IFERROR(FLUID!T49,0)</f>
        <v>-8.27</v>
      </c>
      <c r="Q6" s="16">
        <f ca="1">IFERROR(FLUID!U49,0)</f>
        <v>-8.3569999999999993</v>
      </c>
      <c r="R6" s="16">
        <f ca="1">IFERROR(FLUID!V49,0)</f>
        <v>-8.4489999999999998</v>
      </c>
      <c r="S6" s="16">
        <f ca="1">IFERROR(FLUID!W49,0)</f>
        <v>-8.5459999999999994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Se?</v>
      </c>
      <c r="B7" s="16">
        <f ca="1">IFERROR(FLUID!F50,0)</f>
        <v>-4.9509999999999996</v>
      </c>
      <c r="C7" s="16">
        <f ca="1">IFERROR(FLUID!G50,0)</f>
        <v>-5.3029999999999999</v>
      </c>
      <c r="D7" s="16">
        <f ca="1">IFERROR(FLUID!H50,0)</f>
        <v>-5.6920000000000002</v>
      </c>
      <c r="E7" s="16">
        <f ca="1">IFERROR(FLUID!I50,0)</f>
        <v>-6.0750000000000002</v>
      </c>
      <c r="F7" s="16">
        <f ca="1">IFERROR(FLUID!J50,0)</f>
        <v>-6.4379999999999997</v>
      </c>
      <c r="G7" s="16">
        <f ca="1">IFERROR(FLUID!K50,0)</f>
        <v>-6.5250000000000004</v>
      </c>
      <c r="H7" s="16">
        <f ca="1">IFERROR(FLUID!L50,0)</f>
        <v>-6.61</v>
      </c>
      <c r="I7" s="16">
        <f ca="1">IFERROR(FLUID!M50,0)</f>
        <v>-6.6920000000000002</v>
      </c>
      <c r="J7" s="16">
        <f ca="1">IFERROR(FLUID!N50,0)</f>
        <v>-6.7720000000000002</v>
      </c>
      <c r="K7" s="16">
        <f ca="1">IFERROR(FLUID!O50,0)</f>
        <v>-7.0709999999999997</v>
      </c>
      <c r="L7" s="16">
        <f ca="1">IFERROR(FLUID!P50,0)</f>
        <v>-7.3460000000000001</v>
      </c>
      <c r="M7" s="16">
        <f ca="1">IFERROR(FLUID!Q50,0)</f>
        <v>-7.6130000000000004</v>
      </c>
      <c r="N7" s="16">
        <f ca="1">IFERROR(FLUID!R50,0)</f>
        <v>-7.8860000000000001</v>
      </c>
      <c r="O7" s="16">
        <f ca="1">IFERROR(FLUID!S50,0)</f>
        <v>-8.1869999999999994</v>
      </c>
      <c r="P7" s="16">
        <f ca="1">IFERROR(FLUID!T50,0)</f>
        <v>-8.27</v>
      </c>
      <c r="Q7" s="16">
        <f ca="1">IFERROR(FLUID!U50,0)</f>
        <v>-8.3569999999999993</v>
      </c>
      <c r="R7" s="16">
        <f ca="1">IFERROR(FLUID!V50,0)</f>
        <v>-8.4489999999999998</v>
      </c>
      <c r="S7" s="16">
        <f ca="1">IFERROR(FLUID!W50,0)</f>
        <v>-8.5459999999999994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Se8</v>
      </c>
      <c r="B8" s="16">
        <f ca="1">IFERROR(FLUID!F51,0)</f>
        <v>-39.607999999999997</v>
      </c>
      <c r="C8" s="16">
        <f ca="1">IFERROR(FLUID!G51,0)</f>
        <v>-42.423999999999999</v>
      </c>
      <c r="D8" s="16">
        <f ca="1">IFERROR(FLUID!H51,0)</f>
        <v>-45.536000000000001</v>
      </c>
      <c r="E8" s="16">
        <f ca="1">IFERROR(FLUID!I51,0)</f>
        <v>-48.6</v>
      </c>
      <c r="F8" s="16">
        <f ca="1">IFERROR(FLUID!J51,0)</f>
        <v>-51.503999999999998</v>
      </c>
      <c r="G8" s="16">
        <f ca="1">IFERROR(FLUID!K51,0)</f>
        <v>-52.2</v>
      </c>
      <c r="H8" s="16">
        <f ca="1">IFERROR(FLUID!L51,0)</f>
        <v>-52.88</v>
      </c>
      <c r="I8" s="16">
        <f ca="1">IFERROR(FLUID!M51,0)</f>
        <v>-53.536000000000001</v>
      </c>
      <c r="J8" s="16">
        <f ca="1">IFERROR(FLUID!N51,0)</f>
        <v>-54.176000000000002</v>
      </c>
      <c r="K8" s="16">
        <f ca="1">IFERROR(FLUID!O51,0)</f>
        <v>-56.567999999999998</v>
      </c>
      <c r="L8" s="16">
        <f ca="1">IFERROR(FLUID!P51,0)</f>
        <v>-58.768000000000001</v>
      </c>
      <c r="M8" s="16">
        <f ca="1">IFERROR(FLUID!Q51,0)</f>
        <v>-60.904000000000003</v>
      </c>
      <c r="N8" s="16">
        <f ca="1">IFERROR(FLUID!R51,0)</f>
        <v>-63.088000000000001</v>
      </c>
      <c r="O8" s="16">
        <f ca="1">IFERROR(FLUID!S51,0)</f>
        <v>-65.495999999999995</v>
      </c>
      <c r="P8" s="16">
        <f ca="1">IFERROR(FLUID!T51,0)</f>
        <v>-66.16</v>
      </c>
      <c r="Q8" s="16">
        <f ca="1">IFERROR(FLUID!U51,0)</f>
        <v>-66.855999999999995</v>
      </c>
      <c r="R8" s="16">
        <f ca="1">IFERROR(FLUID!V51,0)</f>
        <v>-67.591999999999999</v>
      </c>
      <c r="S8" s="16">
        <f ca="1">IFERROR(FLUID!W51,0)</f>
        <v>-68.367999999999995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Se2</v>
      </c>
      <c r="B9" s="16">
        <f ca="1">IFERROR(FLUID!F52,0)</f>
        <v>-9.9019999999999992</v>
      </c>
      <c r="C9" s="16">
        <f ca="1">IFERROR(FLUID!G52,0)</f>
        <v>-10.606</v>
      </c>
      <c r="D9" s="16">
        <f ca="1">IFERROR(FLUID!H52,0)</f>
        <v>-11.384</v>
      </c>
      <c r="E9" s="16">
        <f ca="1">IFERROR(FLUID!I52,0)</f>
        <v>-12.15</v>
      </c>
      <c r="F9" s="16">
        <f ca="1">IFERROR(FLUID!J52,0)</f>
        <v>-12.875999999999999</v>
      </c>
      <c r="G9" s="16">
        <f ca="1">IFERROR(FLUID!K52,0)</f>
        <v>-13.05</v>
      </c>
      <c r="H9" s="16">
        <f ca="1">IFERROR(FLUID!L52,0)</f>
        <v>-13.22</v>
      </c>
      <c r="I9" s="16">
        <f ca="1">IFERROR(FLUID!M52,0)</f>
        <v>-13.384</v>
      </c>
      <c r="J9" s="16">
        <f ca="1">IFERROR(FLUID!N52,0)</f>
        <v>-13.544</v>
      </c>
      <c r="K9" s="16">
        <f ca="1">IFERROR(FLUID!O52,0)</f>
        <v>-14.141999999999999</v>
      </c>
      <c r="L9" s="16">
        <f ca="1">IFERROR(FLUID!P52,0)</f>
        <v>-14.692</v>
      </c>
      <c r="M9" s="16">
        <f ca="1">IFERROR(FLUID!Q52,0)</f>
        <v>-15.226000000000001</v>
      </c>
      <c r="N9" s="16">
        <f ca="1">IFERROR(FLUID!R52,0)</f>
        <v>-15.772</v>
      </c>
      <c r="O9" s="16">
        <f ca="1">IFERROR(FLUID!S52,0)</f>
        <v>-16.373999999999999</v>
      </c>
      <c r="P9" s="16">
        <f ca="1">IFERROR(FLUID!T52,0)</f>
        <v>-16.54</v>
      </c>
      <c r="Q9" s="16">
        <f ca="1">IFERROR(FLUID!U52,0)</f>
        <v>-16.713999999999999</v>
      </c>
      <c r="R9" s="16">
        <f ca="1">IFERROR(FLUID!V52,0)</f>
        <v>-16.898</v>
      </c>
      <c r="S9" s="16">
        <f ca="1">IFERROR(FLUID!W52,0)</f>
        <v>-17.091999999999999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Se</v>
      </c>
      <c r="B10" s="16">
        <f ca="1">IFERROR(FLUID!F53,0)</f>
        <v>-4.9509999999999996</v>
      </c>
      <c r="C10" s="16">
        <f ca="1">IFERROR(FLUID!G53,0)</f>
        <v>-5.3029999999999999</v>
      </c>
      <c r="D10" s="16">
        <f ca="1">IFERROR(FLUID!H53,0)</f>
        <v>-5.6920000000000002</v>
      </c>
      <c r="E10" s="16">
        <f ca="1">IFERROR(FLUID!I53,0)</f>
        <v>-6.0750000000000002</v>
      </c>
      <c r="F10" s="16">
        <f ca="1">IFERROR(FLUID!J53,0)</f>
        <v>-6.4379999999999997</v>
      </c>
      <c r="G10" s="16">
        <f ca="1">IFERROR(FLUID!K53,0)</f>
        <v>-6.5250000000000004</v>
      </c>
      <c r="H10" s="16">
        <f ca="1">IFERROR(FLUID!L53,0)</f>
        <v>-6.61</v>
      </c>
      <c r="I10" s="16">
        <f ca="1">IFERROR(FLUID!M53,0)</f>
        <v>-6.6920000000000002</v>
      </c>
      <c r="J10" s="16">
        <f ca="1">IFERROR(FLUID!N53,0)</f>
        <v>-6.7720000000000002</v>
      </c>
      <c r="K10" s="16">
        <f ca="1">IFERROR(FLUID!O53,0)</f>
        <v>-7.0709999999999997</v>
      </c>
      <c r="L10" s="16">
        <f ca="1">IFERROR(FLUID!P53,0)</f>
        <v>-7.3460000000000001</v>
      </c>
      <c r="M10" s="16">
        <f ca="1">IFERROR(FLUID!Q53,0)</f>
        <v>-7.6130000000000004</v>
      </c>
      <c r="N10" s="16">
        <f ca="1">IFERROR(FLUID!R53,0)</f>
        <v>-7.8860000000000001</v>
      </c>
      <c r="O10" s="16">
        <f ca="1">IFERROR(FLUID!S53,0)</f>
        <v>-8.1869999999999994</v>
      </c>
      <c r="P10" s="16">
        <f ca="1">IFERROR(FLUID!T53,0)</f>
        <v>-8.27</v>
      </c>
      <c r="Q10" s="16">
        <f ca="1">IFERROR(FLUID!U53,0)</f>
        <v>-8.3569999999999993</v>
      </c>
      <c r="R10" s="16">
        <f ca="1">IFERROR(FLUID!V53,0)</f>
        <v>-8.4489999999999998</v>
      </c>
      <c r="S10" s="16">
        <f ca="1">IFERROR(FLUID!W53,0)</f>
        <v>-8.5459999999999994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Ar</v>
      </c>
      <c r="B11" s="16">
        <f ca="1">IFERROR(FLUID!F54,0)</f>
        <v>-18.62</v>
      </c>
      <c r="C11" s="16">
        <f ca="1">IFERROR(FLUID!G54,0)</f>
        <v>-18.63</v>
      </c>
      <c r="D11" s="16">
        <f ca="1">IFERROR(FLUID!H54,0)</f>
        <v>-18.72</v>
      </c>
      <c r="E11" s="16">
        <f ca="1">IFERROR(FLUID!I54,0)</f>
        <v>-18.84</v>
      </c>
      <c r="F11" s="16">
        <f ca="1">IFERROR(FLUID!J54,0)</f>
        <v>-18.98</v>
      </c>
      <c r="G11" s="16">
        <f ca="1">IFERROR(FLUID!K54,0)</f>
        <v>-19.02</v>
      </c>
      <c r="H11" s="16">
        <f ca="1">IFERROR(FLUID!L54,0)</f>
        <v>-19.059999999999999</v>
      </c>
      <c r="I11" s="16">
        <f ca="1">IFERROR(FLUID!M54,0)</f>
        <v>-19.100000000000001</v>
      </c>
      <c r="J11" s="16">
        <f ca="1">IFERROR(FLUID!N54,0)</f>
        <v>-19.14</v>
      </c>
      <c r="K11" s="16">
        <f ca="1">IFERROR(FLUID!O54,0)</f>
        <v>-19.34</v>
      </c>
      <c r="L11" s="16">
        <f ca="1">IFERROR(FLUID!P54,0)</f>
        <v>-19.54</v>
      </c>
      <c r="M11" s="16">
        <f ca="1">IFERROR(FLUID!Q54,0)</f>
        <v>-19.71</v>
      </c>
      <c r="N11" s="16">
        <f ca="1">IFERROR(FLUID!R54,0)</f>
        <v>-19.88</v>
      </c>
      <c r="O11" s="16">
        <f ca="1">IFERROR(FLUID!S54,0)</f>
        <v>-20.059999999999999</v>
      </c>
      <c r="P11" s="16">
        <f ca="1">IFERROR(FLUID!T54,0)</f>
        <v>-20.100000000000001</v>
      </c>
      <c r="Q11" s="16">
        <f ca="1">IFERROR(FLUID!U54,0)</f>
        <v>-20.149999999999999</v>
      </c>
      <c r="R11" s="16">
        <f ca="1">IFERROR(FLUID!V54,0)</f>
        <v>-20.2</v>
      </c>
      <c r="S11" s="16">
        <f ca="1">IFERROR(FLUID!W54,0)</f>
        <v>-20.25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Ga2Se</v>
      </c>
      <c r="B12" s="16">
        <f ca="1">IFERROR(FLUID!F55,0)</f>
        <v>-17.510999999999999</v>
      </c>
      <c r="C12" s="16">
        <f ca="1">IFERROR(FLUID!G55,0)</f>
        <v>-18.847000000000001</v>
      </c>
      <c r="D12" s="16">
        <f ca="1">IFERROR(FLUID!H55,0)</f>
        <v>-20.116</v>
      </c>
      <c r="E12" s="16">
        <f ca="1">IFERROR(FLUID!I55,0)</f>
        <v>-21.286999999999999</v>
      </c>
      <c r="F12" s="16">
        <f ca="1">IFERROR(FLUID!J55,0)</f>
        <v>-22.382000000000001</v>
      </c>
      <c r="G12" s="16">
        <f ca="1">IFERROR(FLUID!K55,0)</f>
        <v>-22.655000000000001</v>
      </c>
      <c r="H12" s="16">
        <f ca="1">IFERROR(FLUID!L55,0)</f>
        <v>-22.93</v>
      </c>
      <c r="I12" s="16">
        <f ca="1">IFERROR(FLUID!M55,0)</f>
        <v>-23.21</v>
      </c>
      <c r="J12" s="16">
        <f ca="1">IFERROR(FLUID!N55,0)</f>
        <v>-23.5</v>
      </c>
      <c r="K12" s="16">
        <f ca="1">IFERROR(FLUID!O55,0)</f>
        <v>-24.792999999999999</v>
      </c>
      <c r="L12" s="16">
        <f ca="1">IFERROR(FLUID!P55,0)</f>
        <v>-26.256</v>
      </c>
      <c r="M12" s="16">
        <f ca="1">IFERROR(FLUID!Q55,0)</f>
        <v>-27.713000000000001</v>
      </c>
      <c r="N12" s="16">
        <f ca="1">IFERROR(FLUID!R55,0)</f>
        <v>-29.085999999999999</v>
      </c>
      <c r="O12" s="16">
        <f ca="1">IFERROR(FLUID!S55,0)</f>
        <v>-30.347000000000001</v>
      </c>
      <c r="P12" s="16">
        <f ca="1">IFERROR(FLUID!T55,0)</f>
        <v>-30.65</v>
      </c>
      <c r="Q12" s="16">
        <f ca="1">IFERROR(FLUID!U55,0)</f>
        <v>-30.936999999999998</v>
      </c>
      <c r="R12" s="16">
        <f ca="1">IFERROR(FLUID!V55,0)</f>
        <v>-31.228999999999999</v>
      </c>
      <c r="S12" s="16">
        <f ca="1">IFERROR(FLUID!W55,0)</f>
        <v>-31.506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(l)Ga[l]</v>
      </c>
      <c r="B13" s="16">
        <f ca="1">IFERROR(FLUID!F56,0)</f>
        <v>-6.28</v>
      </c>
      <c r="C13" s="16">
        <f ca="1">IFERROR(FLUID!G56,0)</f>
        <v>-6.7720000000000002</v>
      </c>
      <c r="D13" s="16">
        <f ca="1">IFERROR(FLUID!H56,0)</f>
        <v>-7.2119999999999997</v>
      </c>
      <c r="E13" s="16">
        <f ca="1">IFERROR(FLUID!I56,0)</f>
        <v>-7.6059999999999999</v>
      </c>
      <c r="F13" s="16">
        <f ca="1">IFERROR(FLUID!J56,0)</f>
        <v>-7.9720000000000004</v>
      </c>
      <c r="G13" s="16">
        <f ca="1">IFERROR(FLUID!K56,0)</f>
        <v>-8.0649999999999995</v>
      </c>
      <c r="H13" s="16">
        <f ca="1">IFERROR(FLUID!L56,0)</f>
        <v>-8.16</v>
      </c>
      <c r="I13" s="16">
        <f ca="1">IFERROR(FLUID!M56,0)</f>
        <v>-8.2590000000000003</v>
      </c>
      <c r="J13" s="16">
        <f ca="1">IFERROR(FLUID!N56,0)</f>
        <v>-8.3640000000000008</v>
      </c>
      <c r="K13" s="16">
        <f ca="1">IFERROR(FLUID!O56,0)</f>
        <v>-8.8610000000000007</v>
      </c>
      <c r="L13" s="16">
        <f ca="1">IFERROR(FLUID!P56,0)</f>
        <v>-9.4550000000000001</v>
      </c>
      <c r="M13" s="16">
        <f ca="1">IFERROR(FLUID!Q56,0)</f>
        <v>-10.050000000000001</v>
      </c>
      <c r="N13" s="16">
        <f ca="1">IFERROR(FLUID!R56,0)</f>
        <v>-10.6</v>
      </c>
      <c r="O13" s="16">
        <f ca="1">IFERROR(FLUID!S56,0)</f>
        <v>-11.08</v>
      </c>
      <c r="P13" s="16">
        <f ca="1">IFERROR(FLUID!T56,0)</f>
        <v>-11.19</v>
      </c>
      <c r="Q13" s="16">
        <f ca="1">IFERROR(FLUID!U56,0)</f>
        <v>-11.29</v>
      </c>
      <c r="R13" s="16">
        <f ca="1">IFERROR(FLUID!V56,0)</f>
        <v>-11.39</v>
      </c>
      <c r="S13" s="16">
        <f ca="1">IFERROR(FLUID!W56,0)</f>
        <v>-11.48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(l)Ge[l]</v>
      </c>
      <c r="B14" s="16">
        <f ca="1">IFERROR(FLUID!F57,0)</f>
        <v>-29.32</v>
      </c>
      <c r="C14" s="16">
        <f ca="1">IFERROR(FLUID!G57,0)</f>
        <v>-24.74</v>
      </c>
      <c r="D14" s="16">
        <f ca="1">IFERROR(FLUID!H57,0)</f>
        <v>-21.74</v>
      </c>
      <c r="E14" s="16">
        <f ca="1">IFERROR(FLUID!I57,0)</f>
        <v>-19.649999999999999</v>
      </c>
      <c r="F14" s="16">
        <f ca="1">IFERROR(FLUID!J57,0)</f>
        <v>-18.13</v>
      </c>
      <c r="G14" s="16">
        <f ca="1">IFERROR(FLUID!K57,0)</f>
        <v>-17.82</v>
      </c>
      <c r="H14" s="16">
        <f ca="1">IFERROR(FLUID!L57,0)</f>
        <v>-17.52</v>
      </c>
      <c r="I14" s="16">
        <f ca="1">IFERROR(FLUID!M57,0)</f>
        <v>-17.239999999999998</v>
      </c>
      <c r="J14" s="16">
        <f ca="1">IFERROR(FLUID!N57,0)</f>
        <v>-16.97</v>
      </c>
      <c r="K14" s="16">
        <f ca="1">IFERROR(FLUID!O57,0)</f>
        <v>-16.05</v>
      </c>
      <c r="L14" s="16">
        <f ca="1">IFERROR(FLUID!P57,0)</f>
        <v>-15.31</v>
      </c>
      <c r="M14" s="16">
        <f ca="1">IFERROR(FLUID!Q57,0)</f>
        <v>-14.71</v>
      </c>
      <c r="N14" s="16">
        <f ca="1">IFERROR(FLUID!R57,0)</f>
        <v>-14.2</v>
      </c>
      <c r="O14" s="16">
        <f ca="1">IFERROR(FLUID!S57,0)</f>
        <v>-13.7</v>
      </c>
      <c r="P14" s="16">
        <f ca="1">IFERROR(FLUID!T57,0)</f>
        <v>-13.57</v>
      </c>
      <c r="Q14" s="16">
        <f ca="1">IFERROR(FLUID!U57,0)</f>
        <v>-13.44</v>
      </c>
      <c r="R14" s="16">
        <f ca="1">IFERROR(FLUID!V57,0)</f>
        <v>-13.3</v>
      </c>
      <c r="S14" s="16">
        <f ca="1">IFERROR(FLUID!W57,0)</f>
        <v>-13.16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(l)Se[l]</v>
      </c>
      <c r="B15" s="16">
        <f ca="1">IFERROR(FLUID!F58,0)</f>
        <v>-4.9509999999999996</v>
      </c>
      <c r="C15" s="16">
        <f ca="1">IFERROR(FLUID!G58,0)</f>
        <v>-5.3029999999999999</v>
      </c>
      <c r="D15" s="16">
        <f ca="1">IFERROR(FLUID!H58,0)</f>
        <v>-5.6920000000000002</v>
      </c>
      <c r="E15" s="16">
        <f ca="1">IFERROR(FLUID!I58,0)</f>
        <v>-6.0750000000000002</v>
      </c>
      <c r="F15" s="16">
        <f ca="1">IFERROR(FLUID!J58,0)</f>
        <v>-6.4379999999999997</v>
      </c>
      <c r="G15" s="16">
        <f ca="1">IFERROR(FLUID!K58,0)</f>
        <v>-6.5250000000000004</v>
      </c>
      <c r="H15" s="16">
        <f ca="1">IFERROR(FLUID!L58,0)</f>
        <v>-6.61</v>
      </c>
      <c r="I15" s="16">
        <f ca="1">IFERROR(FLUID!M58,0)</f>
        <v>-6.6920000000000002</v>
      </c>
      <c r="J15" s="16">
        <f ca="1">IFERROR(FLUID!N58,0)</f>
        <v>-6.7720000000000002</v>
      </c>
      <c r="K15" s="16">
        <f ca="1">IFERROR(FLUID!O58,0)</f>
        <v>-7.0709999999999997</v>
      </c>
      <c r="L15" s="16">
        <f ca="1">IFERROR(FLUID!P58,0)</f>
        <v>-7.3460000000000001</v>
      </c>
      <c r="M15" s="16">
        <f ca="1">IFERROR(FLUID!Q58,0)</f>
        <v>-7.6130000000000004</v>
      </c>
      <c r="N15" s="16">
        <f ca="1">IFERROR(FLUID!R58,0)</f>
        <v>-7.8860000000000001</v>
      </c>
      <c r="O15" s="16">
        <f ca="1">IFERROR(FLUID!S58,0)</f>
        <v>-8.1869999999999994</v>
      </c>
      <c r="P15" s="16">
        <f ca="1">IFERROR(FLUID!T58,0)</f>
        <v>-8.27</v>
      </c>
      <c r="Q15" s="16">
        <f ca="1">IFERROR(FLUID!U58,0)</f>
        <v>-8.3569999999999993</v>
      </c>
      <c r="R15" s="16">
        <f ca="1">IFERROR(FLUID!V58,0)</f>
        <v>-8.4489999999999998</v>
      </c>
      <c r="S15" s="16">
        <f ca="1">IFERROR(FLUID!W58,0)</f>
        <v>-8.5459999999999994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(1)GeSe[l]</v>
      </c>
      <c r="B16" s="16">
        <f ca="1">IFERROR(FLUID!F59,0)</f>
        <v>-34.271000000000001</v>
      </c>
      <c r="C16" s="16">
        <f ca="1">IFERROR(FLUID!G59,0)</f>
        <v>-30.042999999999999</v>
      </c>
      <c r="D16" s="16">
        <f ca="1">IFERROR(FLUID!H59,0)</f>
        <v>-27.431999999999999</v>
      </c>
      <c r="E16" s="16">
        <f ca="1">IFERROR(FLUID!I59,0)</f>
        <v>-25.724999999999998</v>
      </c>
      <c r="F16" s="16">
        <f ca="1">IFERROR(FLUID!J59,0)</f>
        <v>-24.567999999999998</v>
      </c>
      <c r="G16" s="16">
        <f ca="1">IFERROR(FLUID!K59,0)</f>
        <v>-24.344999999999999</v>
      </c>
      <c r="H16" s="16">
        <f ca="1">IFERROR(FLUID!L59,0)</f>
        <v>-24.13</v>
      </c>
      <c r="I16" s="16">
        <f ca="1">IFERROR(FLUID!M59,0)</f>
        <v>-23.931999999999999</v>
      </c>
      <c r="J16" s="16">
        <f ca="1">IFERROR(FLUID!N59,0)</f>
        <v>-23.741999999999997</v>
      </c>
      <c r="K16" s="16">
        <f ca="1">IFERROR(FLUID!O59,0)</f>
        <v>-23.121000000000002</v>
      </c>
      <c r="L16" s="16">
        <f ca="1">IFERROR(FLUID!P59,0)</f>
        <v>-22.655999999999999</v>
      </c>
      <c r="M16" s="16">
        <f ca="1">IFERROR(FLUID!Q59,0)</f>
        <v>-22.323</v>
      </c>
      <c r="N16" s="16">
        <f ca="1">IFERROR(FLUID!R59,0)</f>
        <v>-22.085999999999999</v>
      </c>
      <c r="O16" s="16">
        <f ca="1">IFERROR(FLUID!S59,0)</f>
        <v>-21.887</v>
      </c>
      <c r="P16" s="16">
        <f ca="1">IFERROR(FLUID!T59,0)</f>
        <v>-21.84</v>
      </c>
      <c r="Q16" s="16">
        <f ca="1">IFERROR(FLUID!U59,0)</f>
        <v>-21.796999999999997</v>
      </c>
      <c r="R16" s="16">
        <f ca="1">IFERROR(FLUID!V59,0)</f>
        <v>-21.749000000000002</v>
      </c>
      <c r="S16" s="16">
        <f ca="1">IFERROR(FLUID!W59,0)</f>
        <v>-21.706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H (Ar)</v>
      </c>
      <c r="B17" s="16">
        <f ca="1">IFERROR(FLUID!F60,0)</f>
        <v>-18.62</v>
      </c>
      <c r="C17" s="16">
        <f ca="1">IFERROR(FLUID!G60,0)</f>
        <v>-18.63</v>
      </c>
      <c r="D17" s="16">
        <f ca="1">IFERROR(FLUID!H60,0)</f>
        <v>-18.72</v>
      </c>
      <c r="E17" s="16">
        <f ca="1">IFERROR(FLUID!I60,0)</f>
        <v>-18.84</v>
      </c>
      <c r="F17" s="16">
        <f ca="1">IFERROR(FLUID!J60,0)</f>
        <v>-18.98</v>
      </c>
      <c r="G17" s="16">
        <f ca="1">IFERROR(FLUID!K60,0)</f>
        <v>-19.02</v>
      </c>
      <c r="H17" s="16">
        <f ca="1">IFERROR(FLUID!L60,0)</f>
        <v>-19.059999999999999</v>
      </c>
      <c r="I17" s="16">
        <f ca="1">IFERROR(FLUID!M60,0)</f>
        <v>-19.100000000000001</v>
      </c>
      <c r="J17" s="16">
        <f ca="1">IFERROR(FLUID!N60,0)</f>
        <v>-19.14</v>
      </c>
      <c r="K17" s="16">
        <f ca="1">IFERROR(FLUID!O60,0)</f>
        <v>-19.34</v>
      </c>
      <c r="L17" s="16">
        <f ca="1">IFERROR(FLUID!P60,0)</f>
        <v>-19.54</v>
      </c>
      <c r="M17" s="16">
        <f ca="1">IFERROR(FLUID!Q60,0)</f>
        <v>-19.71</v>
      </c>
      <c r="N17" s="16">
        <f ca="1">IFERROR(FLUID!R60,0)</f>
        <v>-19.88</v>
      </c>
      <c r="O17" s="16">
        <f ca="1">IFERROR(FLUID!S60,0)</f>
        <v>-20.059999999999999</v>
      </c>
      <c r="P17" s="16">
        <f ca="1">IFERROR(FLUID!T60,0)</f>
        <v>-20.100000000000001</v>
      </c>
      <c r="Q17" s="16">
        <f ca="1">IFERROR(FLUID!U60,0)</f>
        <v>-20.149999999999999</v>
      </c>
      <c r="R17" s="16">
        <f ca="1">IFERROR(FLUID!V60,0)</f>
        <v>-20.2</v>
      </c>
      <c r="S17" s="16">
        <f ca="1">IFERROR(FLUID!W60,0)</f>
        <v>-20.25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H (Ga)</v>
      </c>
      <c r="B18" s="16">
        <f ca="1">IFERROR(FLUID!F61,0)</f>
        <v>-6.28</v>
      </c>
      <c r="C18" s="16">
        <f ca="1">IFERROR(FLUID!G61,0)</f>
        <v>-6.7720000000000002</v>
      </c>
      <c r="D18" s="16">
        <f ca="1">IFERROR(FLUID!H61,0)</f>
        <v>-7.2119999999999997</v>
      </c>
      <c r="E18" s="16">
        <f ca="1">IFERROR(FLUID!I61,0)</f>
        <v>-7.6059999999999999</v>
      </c>
      <c r="F18" s="16">
        <f ca="1">IFERROR(FLUID!J61,0)</f>
        <v>-7.9720000000000004</v>
      </c>
      <c r="G18" s="16">
        <f ca="1">IFERROR(FLUID!K61,0)</f>
        <v>-8.0649999999999995</v>
      </c>
      <c r="H18" s="16">
        <f ca="1">IFERROR(FLUID!L61,0)</f>
        <v>-8.16</v>
      </c>
      <c r="I18" s="16">
        <f ca="1">IFERROR(FLUID!M61,0)</f>
        <v>-8.2590000000000003</v>
      </c>
      <c r="J18" s="16">
        <f ca="1">IFERROR(FLUID!N61,0)</f>
        <v>-8.3640000000000008</v>
      </c>
      <c r="K18" s="16">
        <f ca="1">IFERROR(FLUID!O61,0)</f>
        <v>-8.8610000000000007</v>
      </c>
      <c r="L18" s="16">
        <f ca="1">IFERROR(FLUID!P61,0)</f>
        <v>-9.4550000000000001</v>
      </c>
      <c r="M18" s="16">
        <f ca="1">IFERROR(FLUID!Q61,0)</f>
        <v>-10.050000000000001</v>
      </c>
      <c r="N18" s="16">
        <f ca="1">IFERROR(FLUID!R61,0)</f>
        <v>-10.6</v>
      </c>
      <c r="O18" s="16">
        <f ca="1">IFERROR(FLUID!S61,0)</f>
        <v>-11.08</v>
      </c>
      <c r="P18" s="16">
        <f ca="1">IFERROR(FLUID!T61,0)</f>
        <v>-11.19</v>
      </c>
      <c r="Q18" s="16">
        <f ca="1">IFERROR(FLUID!U61,0)</f>
        <v>-11.29</v>
      </c>
      <c r="R18" s="16">
        <f ca="1">IFERROR(FLUID!V61,0)</f>
        <v>-11.39</v>
      </c>
      <c r="S18" s="16">
        <f ca="1">IFERROR(FLUID!W61,0)</f>
        <v>-11.48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H (Ge)</v>
      </c>
      <c r="B19" s="16">
        <f ca="1">IFERROR(FLUID!F62,0)</f>
        <v>-29.32</v>
      </c>
      <c r="C19" s="16">
        <f ca="1">IFERROR(FLUID!G62,0)</f>
        <v>-24.74</v>
      </c>
      <c r="D19" s="16">
        <f ca="1">IFERROR(FLUID!H62,0)</f>
        <v>-21.74</v>
      </c>
      <c r="E19" s="16">
        <f ca="1">IFERROR(FLUID!I62,0)</f>
        <v>-19.649999999999999</v>
      </c>
      <c r="F19" s="16">
        <f ca="1">IFERROR(FLUID!J62,0)</f>
        <v>-18.13</v>
      </c>
      <c r="G19" s="16">
        <f ca="1">IFERROR(FLUID!K62,0)</f>
        <v>-17.82</v>
      </c>
      <c r="H19" s="16">
        <f ca="1">IFERROR(FLUID!L62,0)</f>
        <v>-17.52</v>
      </c>
      <c r="I19" s="16">
        <f ca="1">IFERROR(FLUID!M62,0)</f>
        <v>-17.239999999999998</v>
      </c>
      <c r="J19" s="16">
        <f ca="1">IFERROR(FLUID!N62,0)</f>
        <v>-16.97</v>
      </c>
      <c r="K19" s="16">
        <f ca="1">IFERROR(FLUID!O62,0)</f>
        <v>-16.05</v>
      </c>
      <c r="L19" s="16">
        <f ca="1">IFERROR(FLUID!P62,0)</f>
        <v>-15.31</v>
      </c>
      <c r="M19" s="16">
        <f ca="1">IFERROR(FLUID!Q62,0)</f>
        <v>-14.71</v>
      </c>
      <c r="N19" s="16">
        <f ca="1">IFERROR(FLUID!R62,0)</f>
        <v>-14.2</v>
      </c>
      <c r="O19" s="16">
        <f ca="1">IFERROR(FLUID!S62,0)</f>
        <v>-13.7</v>
      </c>
      <c r="P19" s="16">
        <f ca="1">IFERROR(FLUID!T62,0)</f>
        <v>-13.57</v>
      </c>
      <c r="Q19" s="16">
        <f ca="1">IFERROR(FLUID!U62,0)</f>
        <v>-13.44</v>
      </c>
      <c r="R19" s="16">
        <f ca="1">IFERROR(FLUID!V62,0)</f>
        <v>-13.3</v>
      </c>
      <c r="S19" s="16">
        <f ca="1">IFERROR(FLUID!W62,0)</f>
        <v>-13.16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 t="str">
        <f>IFERROR(FLUID!E63,0)</f>
        <v>H (Se)</v>
      </c>
      <c r="B20" s="16">
        <f ca="1">IFERROR(FLUID!F63,0)</f>
        <v>-4.9509999999999996</v>
      </c>
      <c r="C20" s="16">
        <f ca="1">IFERROR(FLUID!G63,0)</f>
        <v>-5.3029999999999999</v>
      </c>
      <c r="D20" s="16">
        <f ca="1">IFERROR(FLUID!H63,0)</f>
        <v>-5.6920000000000002</v>
      </c>
      <c r="E20" s="16">
        <f ca="1">IFERROR(FLUID!I63,0)</f>
        <v>-6.0750000000000002</v>
      </c>
      <c r="F20" s="16">
        <f ca="1">IFERROR(FLUID!J63,0)</f>
        <v>-6.4379999999999997</v>
      </c>
      <c r="G20" s="16">
        <f ca="1">IFERROR(FLUID!K63,0)</f>
        <v>-6.5250000000000004</v>
      </c>
      <c r="H20" s="16">
        <f ca="1">IFERROR(FLUID!L63,0)</f>
        <v>-6.61</v>
      </c>
      <c r="I20" s="16">
        <f ca="1">IFERROR(FLUID!M63,0)</f>
        <v>-6.6920000000000002</v>
      </c>
      <c r="J20" s="16">
        <f ca="1">IFERROR(FLUID!N63,0)</f>
        <v>-6.7720000000000002</v>
      </c>
      <c r="K20" s="16">
        <f ca="1">IFERROR(FLUID!O63,0)</f>
        <v>-7.0709999999999997</v>
      </c>
      <c r="L20" s="16">
        <f ca="1">IFERROR(FLUID!P63,0)</f>
        <v>-7.3460000000000001</v>
      </c>
      <c r="M20" s="16">
        <f ca="1">IFERROR(FLUID!Q63,0)</f>
        <v>-7.6130000000000004</v>
      </c>
      <c r="N20" s="16">
        <f ca="1">IFERROR(FLUID!R63,0)</f>
        <v>-7.8860000000000001</v>
      </c>
      <c r="O20" s="16">
        <f ca="1">IFERROR(FLUID!S63,0)</f>
        <v>-8.1869999999999994</v>
      </c>
      <c r="P20" s="16">
        <f ca="1">IFERROR(FLUID!T63,0)</f>
        <v>-8.27</v>
      </c>
      <c r="Q20" s="16">
        <f ca="1">IFERROR(FLUID!U63,0)</f>
        <v>-8.3569999999999993</v>
      </c>
      <c r="R20" s="16">
        <f ca="1">IFERROR(FLUID!V63,0)</f>
        <v>-8.4489999999999998</v>
      </c>
      <c r="S20" s="16">
        <f ca="1">IFERROR(FLUID!W63,0)</f>
        <v>-8.5459999999999994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00"/>
      <c r="C33" s="100"/>
      <c r="D33" s="100"/>
      <c r="E33" s="100"/>
      <c r="F33" s="100">
        <f ca="1">IFERROR(AI35,0)</f>
        <v>0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289.7</v>
      </c>
      <c r="D34" s="4">
        <f>IFERROR(SOLID!H45,0)</f>
        <v>306.2</v>
      </c>
      <c r="E34" s="4">
        <f>IFERROR(SOLID!I45,0)</f>
        <v>322.7</v>
      </c>
      <c r="F34" s="4">
        <f>IFERROR(SOLID!J45,0)</f>
        <v>339.2</v>
      </c>
      <c r="G34" s="4">
        <f>IFERROR(SOLID!K45,0)</f>
        <v>355.7</v>
      </c>
      <c r="H34" s="4">
        <f>IFERROR(SOLID!L45,0)</f>
        <v>372.3</v>
      </c>
      <c r="I34" s="4">
        <f>IFERROR(SOLID!M45,0)</f>
        <v>388.8</v>
      </c>
      <c r="J34" s="4">
        <f>IFERROR(SOLID!N45,0)</f>
        <v>405.3</v>
      </c>
      <c r="K34" s="4">
        <f>IFERROR(SOLID!O45,0)</f>
        <v>471.4</v>
      </c>
      <c r="L34" s="4">
        <f>IFERROR(SOLID!P45,0)</f>
        <v>487.9</v>
      </c>
      <c r="M34" s="4">
        <f>IFERROR(SOLID!Q45,0)</f>
        <v>504.4</v>
      </c>
      <c r="N34" s="4">
        <f>IFERROR(SOLID!R45,0)</f>
        <v>520.9</v>
      </c>
      <c r="O34" s="4">
        <f>IFERROR(SOLID!S45,0)</f>
        <v>537.5</v>
      </c>
      <c r="P34" s="4">
        <f>IFERROR(SOLID!T45,0)</f>
        <v>554</v>
      </c>
      <c r="Q34" s="4">
        <f>IFERROR(SOLID!U45,0)</f>
        <v>570.5</v>
      </c>
      <c r="R34" s="4">
        <f>IFERROR(SOLID!V45,0)</f>
        <v>587</v>
      </c>
      <c r="S34" s="4">
        <f>IFERROR(SOLID!W45,0)</f>
        <v>603.5</v>
      </c>
      <c r="T34" s="4">
        <f>IFERROR(SOLID!X45,0)</f>
        <v>620.1</v>
      </c>
      <c r="U34" s="4">
        <f>IFERROR(SOLID!Y45,0)</f>
        <v>636.6</v>
      </c>
      <c r="V34" s="4">
        <f>IFERROR(SOLID!Z45,0)</f>
        <v>653.1</v>
      </c>
      <c r="W34" s="4">
        <f>IFERROR(SOLID!AA45,0)</f>
        <v>669.6</v>
      </c>
      <c r="X34" s="4">
        <f>IFERROR(SOLID!AB45,0)</f>
        <v>735.7</v>
      </c>
      <c r="Y34" s="4">
        <f>IFERROR(SOLID!AC45,0)</f>
        <v>752.2</v>
      </c>
      <c r="Z34" s="4">
        <f>IFERROR(SOLID!AD45,0)</f>
        <v>768.7</v>
      </c>
      <c r="AA34" s="4">
        <f>IFERROR(SOLID!AE45,0)</f>
        <v>785.2</v>
      </c>
      <c r="AB34" s="4">
        <f>IFERROR(SOLID!AF45,0)</f>
        <v>801.8</v>
      </c>
      <c r="AC34" s="4">
        <f>IFERROR(SOLID!AG45,0)</f>
        <v>818.3</v>
      </c>
      <c r="AD34" s="4">
        <f>IFERROR(SOLID!AH45,0)</f>
        <v>834.8</v>
      </c>
      <c r="AE34" s="4">
        <f>IFERROR(SOLID!AI45,0)</f>
        <v>851.3</v>
      </c>
      <c r="AF34" s="4">
        <f>IFERROR(SOLID!AJ45,0)</f>
        <v>867.8</v>
      </c>
      <c r="AG34" s="4">
        <f>IFERROR(SOLID!AK45,0)</f>
        <v>933.9</v>
      </c>
      <c r="AH34" s="4">
        <f>IFERROR(SOLID!AL45,0)</f>
        <v>1000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*GeSe2</v>
      </c>
      <c r="B35" s="16">
        <f ca="1">IFERROR(SOLID!F46,0)</f>
        <v>-63.760000000000005</v>
      </c>
      <c r="C35" s="16">
        <f ca="1">IFERROR(SOLID!G46,0)</f>
        <v>-60.89</v>
      </c>
      <c r="D35" s="16">
        <f ca="1">IFERROR(SOLID!H46,0)</f>
        <v>-58.34</v>
      </c>
      <c r="E35" s="16">
        <f ca="1">IFERROR(SOLID!I46,0)</f>
        <v>-56.09</v>
      </c>
      <c r="F35" s="16">
        <f ca="1">IFERROR(SOLID!J46,0)</f>
        <v>-54.17</v>
      </c>
      <c r="G35" s="16">
        <f ca="1">IFERROR(SOLID!K46,0)</f>
        <v>-54.16</v>
      </c>
      <c r="H35" s="16">
        <f ca="1">IFERROR(SOLID!L46,0)</f>
        <v>-52.57</v>
      </c>
      <c r="I35" s="16">
        <f ca="1">IFERROR(SOLID!M46,0)</f>
        <v>-51.92</v>
      </c>
      <c r="J35" s="16">
        <f ca="1">IFERROR(SOLID!N46,0)</f>
        <v>-51.370000000000005</v>
      </c>
      <c r="K35" s="16">
        <f ca="1">IFERROR(SOLID!O46,0)</f>
        <v>-49.791000000000004</v>
      </c>
      <c r="L35" s="16">
        <f ca="1">IFERROR(SOLID!P46,0)</f>
        <v>-49.526000000000003</v>
      </c>
      <c r="M35" s="16">
        <f ca="1">IFERROR(SOLID!Q46,0)</f>
        <v>-49.283000000000001</v>
      </c>
      <c r="N35" s="16">
        <f ca="1">IFERROR(SOLID!R46,0)</f>
        <v>-49.097999999999999</v>
      </c>
      <c r="O35" s="16">
        <f ca="1">IFERROR(SOLID!S46,0)</f>
        <v>-49.195</v>
      </c>
      <c r="P35" s="16">
        <f ca="1">IFERROR(SOLID!T46,0)</f>
        <v>-49.715000000000003</v>
      </c>
      <c r="Q35" s="16">
        <f ca="1">IFERROR(SOLID!U46,0)</f>
        <v>-50.235999999999997</v>
      </c>
      <c r="R35" s="16">
        <f ca="1">IFERROR(SOLID!V46,0)</f>
        <v>-50.756</v>
      </c>
      <c r="S35" s="16">
        <f ca="1">IFERROR(SOLID!W46,0)</f>
        <v>-51.277000000000001</v>
      </c>
      <c r="T35" s="16">
        <f ca="1">IFERROR(SOLID!X46,0)</f>
        <v>-51.797999999999995</v>
      </c>
      <c r="U35" s="16">
        <f ca="1">IFERROR(SOLID!Y46,0)</f>
        <v>-52.298999999999999</v>
      </c>
      <c r="V35" s="16">
        <f ca="1">IFERROR(SOLID!Z46,0)</f>
        <v>-52.8</v>
      </c>
      <c r="W35" s="16">
        <f ca="1">IFERROR(SOLID!AA46,0)</f>
        <v>-53.301000000000002</v>
      </c>
      <c r="X35" s="16">
        <f ca="1">IFERROR(SOLID!AB46,0)</f>
        <v>-55.262999999999998</v>
      </c>
      <c r="Y35" s="16">
        <f ca="1">IFERROR(SOLID!AC46,0)</f>
        <v>-55.743000000000002</v>
      </c>
      <c r="Z35" s="16">
        <f ca="1">IFERROR(SOLID!AD46,0)</f>
        <v>-56.222000000000001</v>
      </c>
      <c r="AA35" s="16">
        <f ca="1">IFERROR(SOLID!AE46,0)</f>
        <v>-56.701999999999998</v>
      </c>
      <c r="AB35" s="16">
        <f ca="1">IFERROR(SOLID!AF46,0)</f>
        <v>-57.161000000000001</v>
      </c>
      <c r="AC35" s="16">
        <f ca="1">IFERROR(SOLID!AG46,0)</f>
        <v>-57.620000000000005</v>
      </c>
      <c r="AD35" s="16">
        <f ca="1">IFERROR(SOLID!AH46,0)</f>
        <v>-58.078000000000003</v>
      </c>
      <c r="AE35" s="16">
        <f ca="1">IFERROR(SOLID!AI46,0)</f>
        <v>-58.536999999999999</v>
      </c>
      <c r="AF35" s="16">
        <f ca="1">IFERROR(SOLID!AJ46,0)</f>
        <v>-58.994999999999997</v>
      </c>
      <c r="AG35" s="16">
        <f ca="1">IFERROR(SOLID!AK46,0)</f>
        <v>-60.763999999999996</v>
      </c>
      <c r="AH35" s="16">
        <f ca="1">IFERROR(SOLID!AL46,0)</f>
        <v>-62.489000000000004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*Se[M]</v>
      </c>
      <c r="B36" s="16">
        <f ca="1">IFERROR(SOLID!F47,0)</f>
        <v>-22.85</v>
      </c>
      <c r="C36" s="16">
        <f ca="1">IFERROR(SOLID!G47,0)</f>
        <v>-21.73</v>
      </c>
      <c r="D36" s="16">
        <f ca="1">IFERROR(SOLID!H47,0)</f>
        <v>-20.73</v>
      </c>
      <c r="E36" s="16">
        <f ca="1">IFERROR(SOLID!I47,0)</f>
        <v>-19.850000000000001</v>
      </c>
      <c r="F36" s="16">
        <f ca="1">IFERROR(SOLID!J47,0)</f>
        <v>-19.559999999999999</v>
      </c>
      <c r="G36" s="16">
        <f ca="1">IFERROR(SOLID!K47,0)</f>
        <v>-20.239999999999998</v>
      </c>
      <c r="H36" s="16">
        <f ca="1">IFERROR(SOLID!L47,0)</f>
        <v>-20.04</v>
      </c>
      <c r="I36" s="16">
        <f ca="1">IFERROR(SOLID!M47,0)</f>
        <v>-20.28</v>
      </c>
      <c r="J36" s="16">
        <f ca="1">IFERROR(SOLID!N47,0)</f>
        <v>-20.53</v>
      </c>
      <c r="K36" s="16">
        <f ca="1">IFERROR(SOLID!O47,0)</f>
        <v>-21.53</v>
      </c>
      <c r="L36" s="16">
        <f ca="1">IFERROR(SOLID!P47,0)</f>
        <v>-21.78</v>
      </c>
      <c r="M36" s="16">
        <f ca="1">IFERROR(SOLID!Q47,0)</f>
        <v>-22.02</v>
      </c>
      <c r="N36" s="16">
        <f ca="1">IFERROR(SOLID!R47,0)</f>
        <v>-22.27</v>
      </c>
      <c r="O36" s="16">
        <f ca="1">IFERROR(SOLID!S47,0)</f>
        <v>-22.52</v>
      </c>
      <c r="P36" s="16">
        <f ca="1">IFERROR(SOLID!T47,0)</f>
        <v>-22.76</v>
      </c>
      <c r="Q36" s="16">
        <f ca="1">IFERROR(SOLID!U47,0)</f>
        <v>-23</v>
      </c>
      <c r="R36" s="16">
        <f ca="1">IFERROR(SOLID!V47,0)</f>
        <v>-23.24</v>
      </c>
      <c r="S36" s="16">
        <f ca="1">IFERROR(SOLID!W47,0)</f>
        <v>-23.48</v>
      </c>
      <c r="T36" s="16">
        <f ca="1">IFERROR(SOLID!X47,0)</f>
        <v>-23.72</v>
      </c>
      <c r="U36" s="16">
        <f ca="1">IFERROR(SOLID!Y47,0)</f>
        <v>-23.95</v>
      </c>
      <c r="V36" s="16">
        <f ca="1">IFERROR(SOLID!Z47,0)</f>
        <v>-24.18</v>
      </c>
      <c r="W36" s="16">
        <f ca="1">IFERROR(SOLID!AA47,0)</f>
        <v>-24.41</v>
      </c>
      <c r="X36" s="16">
        <f ca="1">IFERROR(SOLID!AB47,0)</f>
        <v>-25.31</v>
      </c>
      <c r="Y36" s="16">
        <f ca="1">IFERROR(SOLID!AC47,0)</f>
        <v>-25.53</v>
      </c>
      <c r="Z36" s="16">
        <f ca="1">IFERROR(SOLID!AD47,0)</f>
        <v>-25.75</v>
      </c>
      <c r="AA36" s="16">
        <f ca="1">IFERROR(SOLID!AE47,0)</f>
        <v>-25.97</v>
      </c>
      <c r="AB36" s="16">
        <f ca="1">IFERROR(SOLID!AF47,0)</f>
        <v>-26.18</v>
      </c>
      <c r="AC36" s="16">
        <f ca="1">IFERROR(SOLID!AG47,0)</f>
        <v>-26.39</v>
      </c>
      <c r="AD36" s="16">
        <f ca="1">IFERROR(SOLID!AH47,0)</f>
        <v>-26.6</v>
      </c>
      <c r="AE36" s="16">
        <f ca="1">IFERROR(SOLID!AI47,0)</f>
        <v>-26.81</v>
      </c>
      <c r="AF36" s="16">
        <f ca="1">IFERROR(SOLID!AJ47,0)</f>
        <v>-27.02</v>
      </c>
      <c r="AG36" s="16">
        <f ca="1">IFERROR(SOLID!AK47,0)</f>
        <v>-27.83</v>
      </c>
      <c r="AH36" s="16">
        <f ca="1">IFERROR(SOLID!AL47,0)</f>
        <v>-28.62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*Ge</v>
      </c>
      <c r="B37" s="16">
        <f ca="1">IFERROR(SOLID!F48,0)</f>
        <v>-18.059999999999999</v>
      </c>
      <c r="C37" s="16">
        <f ca="1">IFERROR(SOLID!G48,0)</f>
        <v>-17.43</v>
      </c>
      <c r="D37" s="16">
        <f ca="1">IFERROR(SOLID!H48,0)</f>
        <v>-16.88</v>
      </c>
      <c r="E37" s="16">
        <f ca="1">IFERROR(SOLID!I48,0)</f>
        <v>-16.39</v>
      </c>
      <c r="F37" s="16">
        <f ca="1">IFERROR(SOLID!J48,0)</f>
        <v>-15.05</v>
      </c>
      <c r="G37" s="16">
        <f ca="1">IFERROR(SOLID!K48,0)</f>
        <v>-13.68</v>
      </c>
      <c r="H37" s="16">
        <f ca="1">IFERROR(SOLID!L48,0)</f>
        <v>-12.49</v>
      </c>
      <c r="I37" s="16">
        <f ca="1">IFERROR(SOLID!M48,0)</f>
        <v>-11.36</v>
      </c>
      <c r="J37" s="16">
        <f ca="1">IFERROR(SOLID!N48,0)</f>
        <v>-10.31</v>
      </c>
      <c r="K37" s="16">
        <f ca="1">IFERROR(SOLID!O48,0)</f>
        <v>-6.7309999999999999</v>
      </c>
      <c r="L37" s="16">
        <f ca="1">IFERROR(SOLID!P48,0)</f>
        <v>-5.9660000000000002</v>
      </c>
      <c r="M37" s="16">
        <f ca="1">IFERROR(SOLID!Q48,0)</f>
        <v>-5.2430000000000003</v>
      </c>
      <c r="N37" s="16">
        <f ca="1">IFERROR(SOLID!R48,0)</f>
        <v>-4.5579999999999998</v>
      </c>
      <c r="O37" s="16">
        <f ca="1">IFERROR(SOLID!S48,0)</f>
        <v>-4.1550000000000002</v>
      </c>
      <c r="P37" s="16">
        <f ca="1">IFERROR(SOLID!T48,0)</f>
        <v>-4.1950000000000003</v>
      </c>
      <c r="Q37" s="16">
        <f ca="1">IFERROR(SOLID!U48,0)</f>
        <v>-4.2359999999999998</v>
      </c>
      <c r="R37" s="16">
        <f ca="1">IFERROR(SOLID!V48,0)</f>
        <v>-4.2759999999999998</v>
      </c>
      <c r="S37" s="16">
        <f ca="1">IFERROR(SOLID!W48,0)</f>
        <v>-4.3170000000000002</v>
      </c>
      <c r="T37" s="16">
        <f ca="1">IFERROR(SOLID!X48,0)</f>
        <v>-4.3579999999999997</v>
      </c>
      <c r="U37" s="16">
        <f ca="1">IFERROR(SOLID!Y48,0)</f>
        <v>-4.399</v>
      </c>
      <c r="V37" s="16">
        <f ca="1">IFERROR(SOLID!Z48,0)</f>
        <v>-4.4400000000000004</v>
      </c>
      <c r="W37" s="16">
        <f ca="1">IFERROR(SOLID!AA48,0)</f>
        <v>-4.4809999999999999</v>
      </c>
      <c r="X37" s="16">
        <f ca="1">IFERROR(SOLID!AB48,0)</f>
        <v>-4.6429999999999998</v>
      </c>
      <c r="Y37" s="16">
        <f ca="1">IFERROR(SOLID!AC48,0)</f>
        <v>-4.6829999999999998</v>
      </c>
      <c r="Z37" s="16">
        <f ca="1">IFERROR(SOLID!AD48,0)</f>
        <v>-4.7220000000000004</v>
      </c>
      <c r="AA37" s="16">
        <f ca="1">IFERROR(SOLID!AE48,0)</f>
        <v>-4.7619999999999996</v>
      </c>
      <c r="AB37" s="16">
        <f ca="1">IFERROR(SOLID!AF48,0)</f>
        <v>-4.8010000000000002</v>
      </c>
      <c r="AC37" s="16">
        <f ca="1">IFERROR(SOLID!AG48,0)</f>
        <v>-4.84</v>
      </c>
      <c r="AD37" s="16">
        <f ca="1">IFERROR(SOLID!AH48,0)</f>
        <v>-4.8780000000000001</v>
      </c>
      <c r="AE37" s="16">
        <f ca="1">IFERROR(SOLID!AI48,0)</f>
        <v>-4.9169999999999998</v>
      </c>
      <c r="AF37" s="16">
        <f ca="1">IFERROR(SOLID!AJ48,0)</f>
        <v>-4.9550000000000001</v>
      </c>
      <c r="AG37" s="16">
        <f ca="1">IFERROR(SOLID!AK48,0)</f>
        <v>-5.1040000000000001</v>
      </c>
      <c r="AH37" s="16">
        <f ca="1">IFERROR(SOLID!AL48,0)</f>
        <v>-5.2489999999999997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*Ga2Se3</v>
      </c>
      <c r="B38" s="16">
        <f ca="1">IFERROR(SOLID!F49,0)</f>
        <v>-201.69</v>
      </c>
      <c r="C38" s="16">
        <f ca="1">IFERROR(SOLID!G49,0)</f>
        <v>-191.39</v>
      </c>
      <c r="D38" s="16">
        <f ca="1">IFERROR(SOLID!H49,0)</f>
        <v>-182.20999999999998</v>
      </c>
      <c r="E38" s="16">
        <f ca="1">IFERROR(SOLID!I49,0)</f>
        <v>-174.05</v>
      </c>
      <c r="F38" s="16">
        <f ca="1">IFERROR(SOLID!J49,0)</f>
        <v>-166.68</v>
      </c>
      <c r="G38" s="16">
        <f ca="1">IFERROR(SOLID!K49,0)</f>
        <v>-160.06</v>
      </c>
      <c r="H38" s="16">
        <f ca="1">IFERROR(SOLID!L49,0)</f>
        <v>-154.04</v>
      </c>
      <c r="I38" s="16">
        <f ca="1">IFERROR(SOLID!M49,0)</f>
        <v>-148.56</v>
      </c>
      <c r="J38" s="16">
        <f ca="1">IFERROR(SOLID!N49,0)</f>
        <v>-143.55000000000001</v>
      </c>
      <c r="K38" s="16">
        <f ca="1">IFERROR(SOLID!O49,0)</f>
        <v>-127.23</v>
      </c>
      <c r="L38" s="16">
        <f ca="1">IFERROR(SOLID!P49,0)</f>
        <v>-123.9</v>
      </c>
      <c r="M38" s="16">
        <f ca="1">IFERROR(SOLID!Q49,0)</f>
        <v>-120.76</v>
      </c>
      <c r="N38" s="16">
        <f ca="1">IFERROR(SOLID!R49,0)</f>
        <v>-117.87</v>
      </c>
      <c r="O38" s="16">
        <f ca="1">IFERROR(SOLID!S49,0)</f>
        <v>-115.18</v>
      </c>
      <c r="P38" s="16">
        <f ca="1">IFERROR(SOLID!T49,0)</f>
        <v>-112.64</v>
      </c>
      <c r="Q38" s="16">
        <f ca="1">IFERROR(SOLID!U49,0)</f>
        <v>-110.25999999999999</v>
      </c>
      <c r="R38" s="16">
        <f ca="1">IFERROR(SOLID!V49,0)</f>
        <v>-108.03999999999999</v>
      </c>
      <c r="S38" s="16">
        <f ca="1">IFERROR(SOLID!W49,0)</f>
        <v>-106.14</v>
      </c>
      <c r="T38" s="16">
        <f ca="1">IFERROR(SOLID!X49,0)</f>
        <v>-104.86</v>
      </c>
      <c r="U38" s="16">
        <f ca="1">IFERROR(SOLID!Y49,0)</f>
        <v>-103.64999999999999</v>
      </c>
      <c r="V38" s="16">
        <f ca="1">IFERROR(SOLID!Z49,0)</f>
        <v>-102.53999999999999</v>
      </c>
      <c r="W38" s="16">
        <f ca="1">IFERROR(SOLID!AA49,0)</f>
        <v>-101.49000000000001</v>
      </c>
      <c r="X38" s="16">
        <f ca="1">IFERROR(SOLID!AB49,0)</f>
        <v>-97.929999999999993</v>
      </c>
      <c r="Y38" s="16">
        <f ca="1">IFERROR(SOLID!AC49,0)</f>
        <v>-97.17</v>
      </c>
      <c r="Z38" s="16">
        <f ca="1">IFERROR(SOLID!AD49,0)</f>
        <v>-96.462000000000003</v>
      </c>
      <c r="AA38" s="16">
        <f ca="1">IFERROR(SOLID!AE49,0)</f>
        <v>-95.805999999999997</v>
      </c>
      <c r="AB38" s="16">
        <f ca="1">IFERROR(SOLID!AF49,0)</f>
        <v>-95.165999999999997</v>
      </c>
      <c r="AC38" s="16">
        <f ca="1">IFERROR(SOLID!AG49,0)</f>
        <v>-94.597999999999999</v>
      </c>
      <c r="AD38" s="16">
        <f ca="1">IFERROR(SOLID!AH49,0)</f>
        <v>-95.394000000000005</v>
      </c>
      <c r="AE38" s="16">
        <f ca="1">IFERROR(SOLID!AI49,0)</f>
        <v>-96.187999999999988</v>
      </c>
      <c r="AF38" s="16">
        <f ca="1">IFERROR(SOLID!AJ49,0)</f>
        <v>-96.986000000000004</v>
      </c>
      <c r="AG38" s="16">
        <f ca="1">IFERROR(SOLID!AK49,0)</f>
        <v>-100.128</v>
      </c>
      <c r="AH38" s="16">
        <f ca="1">IFERROR(SOLID!AL49,0)</f>
        <v>-103.312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*Ga[l]</v>
      </c>
      <c r="B39" s="16">
        <f ca="1">IFERROR(SOLID!F50,0)</f>
        <v>-66.569999999999993</v>
      </c>
      <c r="C39" s="16">
        <f ca="1">IFERROR(SOLID!G50,0)</f>
        <v>-63.1</v>
      </c>
      <c r="D39" s="16">
        <f ca="1">IFERROR(SOLID!H50,0)</f>
        <v>-60.01</v>
      </c>
      <c r="E39" s="16">
        <f ca="1">IFERROR(SOLID!I50,0)</f>
        <v>-57.25</v>
      </c>
      <c r="F39" s="16">
        <f ca="1">IFERROR(SOLID!J50,0)</f>
        <v>-54</v>
      </c>
      <c r="G39" s="16">
        <f ca="1">IFERROR(SOLID!K50,0)</f>
        <v>-49.67</v>
      </c>
      <c r="H39" s="16">
        <f ca="1">IFERROR(SOLID!L50,0)</f>
        <v>-46.96</v>
      </c>
      <c r="I39" s="16">
        <f ca="1">IFERROR(SOLID!M50,0)</f>
        <v>-43.86</v>
      </c>
      <c r="J39" s="16">
        <f ca="1">IFERROR(SOLID!N50,0)</f>
        <v>-40.98</v>
      </c>
      <c r="K39" s="16">
        <f ca="1">IFERROR(SOLID!O50,0)</f>
        <v>-31.32</v>
      </c>
      <c r="L39" s="16">
        <f ca="1">IFERROR(SOLID!P50,0)</f>
        <v>-29.28</v>
      </c>
      <c r="M39" s="16">
        <f ca="1">IFERROR(SOLID!Q50,0)</f>
        <v>-27.35</v>
      </c>
      <c r="N39" s="16">
        <f ca="1">IFERROR(SOLID!R50,0)</f>
        <v>-25.53</v>
      </c>
      <c r="O39" s="16">
        <f ca="1">IFERROR(SOLID!S50,0)</f>
        <v>-23.81</v>
      </c>
      <c r="P39" s="16">
        <f ca="1">IFERROR(SOLID!T50,0)</f>
        <v>-22.18</v>
      </c>
      <c r="Q39" s="16">
        <f ca="1">IFERROR(SOLID!U50,0)</f>
        <v>-20.63</v>
      </c>
      <c r="R39" s="16">
        <f ca="1">IFERROR(SOLID!V50,0)</f>
        <v>-19.16</v>
      </c>
      <c r="S39" s="16">
        <f ca="1">IFERROR(SOLID!W50,0)</f>
        <v>-17.850000000000001</v>
      </c>
      <c r="T39" s="16">
        <f ca="1">IFERROR(SOLID!X50,0)</f>
        <v>-16.850000000000001</v>
      </c>
      <c r="U39" s="16">
        <f ca="1">IFERROR(SOLID!Y50,0)</f>
        <v>-15.9</v>
      </c>
      <c r="V39" s="16">
        <f ca="1">IFERROR(SOLID!Z50,0)</f>
        <v>-15</v>
      </c>
      <c r="W39" s="16">
        <f ca="1">IFERROR(SOLID!AA50,0)</f>
        <v>-14.13</v>
      </c>
      <c r="X39" s="16">
        <f ca="1">IFERROR(SOLID!AB50,0)</f>
        <v>-11</v>
      </c>
      <c r="Y39" s="16">
        <f ca="1">IFERROR(SOLID!AC50,0)</f>
        <v>-10.29</v>
      </c>
      <c r="Z39" s="16">
        <f ca="1">IFERROR(SOLID!AD50,0)</f>
        <v>-9.6059999999999999</v>
      </c>
      <c r="AA39" s="16">
        <f ca="1">IFERROR(SOLID!AE50,0)</f>
        <v>-8.9480000000000004</v>
      </c>
      <c r="AB39" s="16">
        <f ca="1">IFERROR(SOLID!AF50,0)</f>
        <v>-8.3130000000000006</v>
      </c>
      <c r="AC39" s="16">
        <f ca="1">IFERROR(SOLID!AG50,0)</f>
        <v>-7.7140000000000004</v>
      </c>
      <c r="AD39" s="16">
        <f ca="1">IFERROR(SOLID!AH50,0)</f>
        <v>-7.7969999999999997</v>
      </c>
      <c r="AE39" s="16">
        <f ca="1">IFERROR(SOLID!AI50,0)</f>
        <v>-7.8789999999999996</v>
      </c>
      <c r="AF39" s="16">
        <f ca="1">IFERROR(SOLID!AJ50,0)</f>
        <v>-7.9630000000000001</v>
      </c>
      <c r="AG39" s="16">
        <f ca="1">IFERROR(SOLID!AK50,0)</f>
        <v>-8.3190000000000008</v>
      </c>
      <c r="AH39" s="16">
        <f ca="1">IFERROR(SOLID!AL50,0)</f>
        <v>-8.7260000000000009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*Ge[l]</v>
      </c>
      <c r="B40" s="16">
        <f ca="1">IFERROR(SOLID!F51,0)</f>
        <v>-18.059999999999999</v>
      </c>
      <c r="C40" s="16">
        <f ca="1">IFERROR(SOLID!G51,0)</f>
        <v>-17.43</v>
      </c>
      <c r="D40" s="16">
        <f ca="1">IFERROR(SOLID!H51,0)</f>
        <v>-16.88</v>
      </c>
      <c r="E40" s="16">
        <f ca="1">IFERROR(SOLID!I51,0)</f>
        <v>-16.39</v>
      </c>
      <c r="F40" s="16">
        <f ca="1">IFERROR(SOLID!J51,0)</f>
        <v>-15.05</v>
      </c>
      <c r="G40" s="16">
        <f ca="1">IFERROR(SOLID!K51,0)</f>
        <v>-13.68</v>
      </c>
      <c r="H40" s="16">
        <f ca="1">IFERROR(SOLID!L51,0)</f>
        <v>-12.49</v>
      </c>
      <c r="I40" s="16">
        <f ca="1">IFERROR(SOLID!M51,0)</f>
        <v>-11.36</v>
      </c>
      <c r="J40" s="16">
        <f ca="1">IFERROR(SOLID!N51,0)</f>
        <v>-10.31</v>
      </c>
      <c r="K40" s="16">
        <f ca="1">IFERROR(SOLID!O51,0)</f>
        <v>-6.7309999999999999</v>
      </c>
      <c r="L40" s="16">
        <f ca="1">IFERROR(SOLID!P51,0)</f>
        <v>-5.9660000000000002</v>
      </c>
      <c r="M40" s="16">
        <f ca="1">IFERROR(SOLID!Q51,0)</f>
        <v>-5.2430000000000003</v>
      </c>
      <c r="N40" s="16">
        <f ca="1">IFERROR(SOLID!R51,0)</f>
        <v>-4.5579999999999998</v>
      </c>
      <c r="O40" s="16">
        <f ca="1">IFERROR(SOLID!S51,0)</f>
        <v>-4.1550000000000002</v>
      </c>
      <c r="P40" s="16">
        <f ca="1">IFERROR(SOLID!T51,0)</f>
        <v>-4.1950000000000003</v>
      </c>
      <c r="Q40" s="16">
        <f ca="1">IFERROR(SOLID!U51,0)</f>
        <v>-4.2359999999999998</v>
      </c>
      <c r="R40" s="16">
        <f ca="1">IFERROR(SOLID!V51,0)</f>
        <v>-4.2759999999999998</v>
      </c>
      <c r="S40" s="16">
        <f ca="1">IFERROR(SOLID!W51,0)</f>
        <v>-4.3170000000000002</v>
      </c>
      <c r="T40" s="16">
        <f ca="1">IFERROR(SOLID!X51,0)</f>
        <v>-4.3579999999999997</v>
      </c>
      <c r="U40" s="16">
        <f ca="1">IFERROR(SOLID!Y51,0)</f>
        <v>-4.399</v>
      </c>
      <c r="V40" s="16">
        <f ca="1">IFERROR(SOLID!Z51,0)</f>
        <v>-4.4400000000000004</v>
      </c>
      <c r="W40" s="16">
        <f ca="1">IFERROR(SOLID!AA51,0)</f>
        <v>-4.4809999999999999</v>
      </c>
      <c r="X40" s="16">
        <f ca="1">IFERROR(SOLID!AB51,0)</f>
        <v>-4.6429999999999998</v>
      </c>
      <c r="Y40" s="16">
        <f ca="1">IFERROR(SOLID!AC51,0)</f>
        <v>-4.6829999999999998</v>
      </c>
      <c r="Z40" s="16">
        <f ca="1">IFERROR(SOLID!AD51,0)</f>
        <v>-4.7220000000000004</v>
      </c>
      <c r="AA40" s="16">
        <f ca="1">IFERROR(SOLID!AE51,0)</f>
        <v>-4.7619999999999996</v>
      </c>
      <c r="AB40" s="16">
        <f ca="1">IFERROR(SOLID!AF51,0)</f>
        <v>-4.8010000000000002</v>
      </c>
      <c r="AC40" s="16">
        <f ca="1">IFERROR(SOLID!AG51,0)</f>
        <v>-4.84</v>
      </c>
      <c r="AD40" s="16">
        <f ca="1">IFERROR(SOLID!AH51,0)</f>
        <v>-4.8780000000000001</v>
      </c>
      <c r="AE40" s="16">
        <f ca="1">IFERROR(SOLID!AI51,0)</f>
        <v>-4.9169999999999998</v>
      </c>
      <c r="AF40" s="16">
        <f ca="1">IFERROR(SOLID!AJ51,0)</f>
        <v>-4.9550000000000001</v>
      </c>
      <c r="AG40" s="16">
        <f ca="1">IFERROR(SOLID!AK51,0)</f>
        <v>-5.1040000000000001</v>
      </c>
      <c r="AH40" s="16">
        <f ca="1">IFERROR(SOLID!AL51,0)</f>
        <v>-5.2489999999999997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*GaSe</v>
      </c>
      <c r="B41" s="16">
        <f ca="1">IFERROR(SOLID!F52,0)</f>
        <v>-89.419999999999987</v>
      </c>
      <c r="C41" s="16">
        <f ca="1">IFERROR(SOLID!G52,0)</f>
        <v>-84.83</v>
      </c>
      <c r="D41" s="16">
        <f ca="1">IFERROR(SOLID!H52,0)</f>
        <v>-80.739999999999995</v>
      </c>
      <c r="E41" s="16">
        <f ca="1">IFERROR(SOLID!I52,0)</f>
        <v>-77.099999999999994</v>
      </c>
      <c r="F41" s="16">
        <f ca="1">IFERROR(SOLID!J52,0)</f>
        <v>-73.56</v>
      </c>
      <c r="G41" s="16">
        <f ca="1">IFERROR(SOLID!K52,0)</f>
        <v>-69.91</v>
      </c>
      <c r="H41" s="16">
        <f ca="1">IFERROR(SOLID!L52,0)</f>
        <v>-67</v>
      </c>
      <c r="I41" s="16">
        <f ca="1">IFERROR(SOLID!M52,0)</f>
        <v>-64.14</v>
      </c>
      <c r="J41" s="16">
        <f ca="1">IFERROR(SOLID!N52,0)</f>
        <v>-61.51</v>
      </c>
      <c r="K41" s="16">
        <f ca="1">IFERROR(SOLID!O52,0)</f>
        <v>-52.85</v>
      </c>
      <c r="L41" s="16">
        <f ca="1">IFERROR(SOLID!P52,0)</f>
        <v>-51.06</v>
      </c>
      <c r="M41" s="16">
        <f ca="1">IFERROR(SOLID!Q52,0)</f>
        <v>-49.370000000000005</v>
      </c>
      <c r="N41" s="16">
        <f ca="1">IFERROR(SOLID!R52,0)</f>
        <v>-47.8</v>
      </c>
      <c r="O41" s="16">
        <f ca="1">IFERROR(SOLID!S52,0)</f>
        <v>-46.33</v>
      </c>
      <c r="P41" s="16">
        <f ca="1">IFERROR(SOLID!T52,0)</f>
        <v>-44.94</v>
      </c>
      <c r="Q41" s="16">
        <f ca="1">IFERROR(SOLID!U52,0)</f>
        <v>-43.629999999999995</v>
      </c>
      <c r="R41" s="16">
        <f ca="1">IFERROR(SOLID!V52,0)</f>
        <v>-42.4</v>
      </c>
      <c r="S41" s="16">
        <f ca="1">IFERROR(SOLID!W52,0)</f>
        <v>-41.33</v>
      </c>
      <c r="T41" s="16">
        <f ca="1">IFERROR(SOLID!X52,0)</f>
        <v>-40.57</v>
      </c>
      <c r="U41" s="16">
        <f ca="1">IFERROR(SOLID!Y52,0)</f>
        <v>-39.85</v>
      </c>
      <c r="V41" s="16">
        <f ca="1">IFERROR(SOLID!Z52,0)</f>
        <v>-39.18</v>
      </c>
      <c r="W41" s="16">
        <f ca="1">IFERROR(SOLID!AA52,0)</f>
        <v>-38.54</v>
      </c>
      <c r="X41" s="16">
        <f ca="1">IFERROR(SOLID!AB52,0)</f>
        <v>-36.31</v>
      </c>
      <c r="Y41" s="16">
        <f ca="1">IFERROR(SOLID!AC52,0)</f>
        <v>-35.82</v>
      </c>
      <c r="Z41" s="16">
        <f ca="1">IFERROR(SOLID!AD52,0)</f>
        <v>-35.356000000000002</v>
      </c>
      <c r="AA41" s="16">
        <f ca="1">IFERROR(SOLID!AE52,0)</f>
        <v>-34.917999999999999</v>
      </c>
      <c r="AB41" s="16">
        <f ca="1">IFERROR(SOLID!AF52,0)</f>
        <v>-34.493000000000002</v>
      </c>
      <c r="AC41" s="16">
        <f ca="1">IFERROR(SOLID!AG52,0)</f>
        <v>-34.103999999999999</v>
      </c>
      <c r="AD41" s="16">
        <f ca="1">IFERROR(SOLID!AH52,0)</f>
        <v>-34.396999999999998</v>
      </c>
      <c r="AE41" s="16">
        <f ca="1">IFERROR(SOLID!AI52,0)</f>
        <v>-34.689</v>
      </c>
      <c r="AF41" s="16">
        <f ca="1">IFERROR(SOLID!AJ52,0)</f>
        <v>-34.982999999999997</v>
      </c>
      <c r="AG41" s="16">
        <f ca="1">IFERROR(SOLID!AK52,0)</f>
        <v>-36.149000000000001</v>
      </c>
      <c r="AH41" s="16">
        <f ca="1">IFERROR(SOLID!AL52,0)</f>
        <v>-37.346000000000004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GeSe</v>
      </c>
      <c r="B42" s="16">
        <f ca="1">IFERROR(SOLID!F53,0)</f>
        <v>-40.909999999999997</v>
      </c>
      <c r="C42" s="16">
        <f ca="1">IFERROR(SOLID!G53,0)</f>
        <v>-39.159999999999997</v>
      </c>
      <c r="D42" s="16">
        <f ca="1">IFERROR(SOLID!H53,0)</f>
        <v>-37.61</v>
      </c>
      <c r="E42" s="16">
        <f ca="1">IFERROR(SOLID!I53,0)</f>
        <v>-36.24</v>
      </c>
      <c r="F42" s="16">
        <f ca="1">IFERROR(SOLID!J53,0)</f>
        <v>-34.61</v>
      </c>
      <c r="G42" s="16">
        <f ca="1">IFERROR(SOLID!K53,0)</f>
        <v>-33.92</v>
      </c>
      <c r="H42" s="16">
        <f ca="1">IFERROR(SOLID!L53,0)</f>
        <v>-32.53</v>
      </c>
      <c r="I42" s="16">
        <f ca="1">IFERROR(SOLID!M53,0)</f>
        <v>-31.64</v>
      </c>
      <c r="J42" s="16">
        <f ca="1">IFERROR(SOLID!N53,0)</f>
        <v>-30.840000000000003</v>
      </c>
      <c r="K42" s="16">
        <f ca="1">IFERROR(SOLID!O53,0)</f>
        <v>-28.261000000000003</v>
      </c>
      <c r="L42" s="16">
        <f ca="1">IFERROR(SOLID!P53,0)</f>
        <v>-27.746000000000002</v>
      </c>
      <c r="M42" s="16">
        <f ca="1">IFERROR(SOLID!Q53,0)</f>
        <v>-27.262999999999998</v>
      </c>
      <c r="N42" s="16">
        <f ca="1">IFERROR(SOLID!R53,0)</f>
        <v>-26.827999999999999</v>
      </c>
      <c r="O42" s="16">
        <f ca="1">IFERROR(SOLID!S53,0)</f>
        <v>-26.675000000000001</v>
      </c>
      <c r="P42" s="16">
        <f ca="1">IFERROR(SOLID!T53,0)</f>
        <v>-26.955000000000002</v>
      </c>
      <c r="Q42" s="16">
        <f ca="1">IFERROR(SOLID!U53,0)</f>
        <v>-27.236000000000001</v>
      </c>
      <c r="R42" s="16">
        <f ca="1">IFERROR(SOLID!V53,0)</f>
        <v>-27.515999999999998</v>
      </c>
      <c r="S42" s="16">
        <f ca="1">IFERROR(SOLID!W53,0)</f>
        <v>-27.797000000000001</v>
      </c>
      <c r="T42" s="16">
        <f ca="1">IFERROR(SOLID!X53,0)</f>
        <v>-28.077999999999999</v>
      </c>
      <c r="U42" s="16">
        <f ca="1">IFERROR(SOLID!Y53,0)</f>
        <v>-28.349</v>
      </c>
      <c r="V42" s="16">
        <f ca="1">IFERROR(SOLID!Z53,0)</f>
        <v>-28.62</v>
      </c>
      <c r="W42" s="16">
        <f ca="1">IFERROR(SOLID!AA53,0)</f>
        <v>-28.890999999999998</v>
      </c>
      <c r="X42" s="16">
        <f ca="1">IFERROR(SOLID!AB53,0)</f>
        <v>-29.952999999999999</v>
      </c>
      <c r="Y42" s="16">
        <f ca="1">IFERROR(SOLID!AC53,0)</f>
        <v>-30.213000000000001</v>
      </c>
      <c r="Z42" s="16">
        <f ca="1">IFERROR(SOLID!AD53,0)</f>
        <v>-30.472000000000001</v>
      </c>
      <c r="AA42" s="16">
        <f ca="1">IFERROR(SOLID!AE53,0)</f>
        <v>-30.731999999999999</v>
      </c>
      <c r="AB42" s="16">
        <f ca="1">IFERROR(SOLID!AF53,0)</f>
        <v>-30.981000000000002</v>
      </c>
      <c r="AC42" s="16">
        <f ca="1">IFERROR(SOLID!AG53,0)</f>
        <v>-31.23</v>
      </c>
      <c r="AD42" s="16">
        <f ca="1">IFERROR(SOLID!AH53,0)</f>
        <v>-31.478000000000002</v>
      </c>
      <c r="AE42" s="16">
        <f ca="1">IFERROR(SOLID!AI53,0)</f>
        <v>-31.726999999999997</v>
      </c>
      <c r="AF42" s="16">
        <f ca="1">IFERROR(SOLID!AJ53,0)</f>
        <v>-31.975000000000001</v>
      </c>
      <c r="AG42" s="16">
        <f ca="1">IFERROR(SOLID!AK53,0)</f>
        <v>-32.933999999999997</v>
      </c>
      <c r="AH42" s="16">
        <f ca="1">IFERROR(SOLID!AL53,0)</f>
        <v>-33.869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Ga2Se</v>
      </c>
      <c r="B43" s="16">
        <f ca="1">IFERROR(SOLID!F54,0)</f>
        <v>-155.98999999999998</v>
      </c>
      <c r="C43" s="16">
        <f ca="1">IFERROR(SOLID!G54,0)</f>
        <v>-147.93</v>
      </c>
      <c r="D43" s="16">
        <f ca="1">IFERROR(SOLID!H54,0)</f>
        <v>-140.75</v>
      </c>
      <c r="E43" s="16">
        <f ca="1">IFERROR(SOLID!I54,0)</f>
        <v>-134.35</v>
      </c>
      <c r="F43" s="16">
        <f ca="1">IFERROR(SOLID!J54,0)</f>
        <v>-127.56</v>
      </c>
      <c r="G43" s="16">
        <f ca="1">IFERROR(SOLID!K54,0)</f>
        <v>-119.58</v>
      </c>
      <c r="H43" s="16">
        <f ca="1">IFERROR(SOLID!L54,0)</f>
        <v>-113.96000000000001</v>
      </c>
      <c r="I43" s="16">
        <f ca="1">IFERROR(SOLID!M54,0)</f>
        <v>-108</v>
      </c>
      <c r="J43" s="16">
        <f ca="1">IFERROR(SOLID!N54,0)</f>
        <v>-102.49</v>
      </c>
      <c r="K43" s="16">
        <f ca="1">IFERROR(SOLID!O54,0)</f>
        <v>-84.17</v>
      </c>
      <c r="L43" s="16">
        <f ca="1">IFERROR(SOLID!P54,0)</f>
        <v>-80.34</v>
      </c>
      <c r="M43" s="16">
        <f ca="1">IFERROR(SOLID!Q54,0)</f>
        <v>-76.72</v>
      </c>
      <c r="N43" s="16">
        <f ca="1">IFERROR(SOLID!R54,0)</f>
        <v>-73.33</v>
      </c>
      <c r="O43" s="16">
        <f ca="1">IFERROR(SOLID!S54,0)</f>
        <v>-70.14</v>
      </c>
      <c r="P43" s="16">
        <f ca="1">IFERROR(SOLID!T54,0)</f>
        <v>-67.12</v>
      </c>
      <c r="Q43" s="16">
        <f ca="1">IFERROR(SOLID!U54,0)</f>
        <v>-64.259999999999991</v>
      </c>
      <c r="R43" s="16">
        <f ca="1">IFERROR(SOLID!V54,0)</f>
        <v>-61.56</v>
      </c>
      <c r="S43" s="16">
        <f ca="1">IFERROR(SOLID!W54,0)</f>
        <v>-59.180000000000007</v>
      </c>
      <c r="T43" s="16">
        <f ca="1">IFERROR(SOLID!X54,0)</f>
        <v>-57.42</v>
      </c>
      <c r="U43" s="16">
        <f ca="1">IFERROR(SOLID!Y54,0)</f>
        <v>-55.75</v>
      </c>
      <c r="V43" s="16">
        <f ca="1">IFERROR(SOLID!Z54,0)</f>
        <v>-54.18</v>
      </c>
      <c r="W43" s="16">
        <f ca="1">IFERROR(SOLID!AA54,0)</f>
        <v>-52.67</v>
      </c>
      <c r="X43" s="16">
        <f ca="1">IFERROR(SOLID!AB54,0)</f>
        <v>-47.31</v>
      </c>
      <c r="Y43" s="16">
        <f ca="1">IFERROR(SOLID!AC54,0)</f>
        <v>-46.11</v>
      </c>
      <c r="Z43" s="16">
        <f ca="1">IFERROR(SOLID!AD54,0)</f>
        <v>-44.962000000000003</v>
      </c>
      <c r="AA43" s="16">
        <f ca="1">IFERROR(SOLID!AE54,0)</f>
        <v>-43.866</v>
      </c>
      <c r="AB43" s="16">
        <f ca="1">IFERROR(SOLID!AF54,0)</f>
        <v>-42.805999999999997</v>
      </c>
      <c r="AC43" s="16">
        <f ca="1">IFERROR(SOLID!AG54,0)</f>
        <v>-41.817999999999998</v>
      </c>
      <c r="AD43" s="16">
        <f ca="1">IFERROR(SOLID!AH54,0)</f>
        <v>-42.194000000000003</v>
      </c>
      <c r="AE43" s="16">
        <f ca="1">IFERROR(SOLID!AI54,0)</f>
        <v>-42.567999999999998</v>
      </c>
      <c r="AF43" s="16">
        <f ca="1">IFERROR(SOLID!AJ54,0)</f>
        <v>-42.945999999999998</v>
      </c>
      <c r="AG43" s="16">
        <f ca="1">IFERROR(SOLID!AK54,0)</f>
        <v>-44.468000000000004</v>
      </c>
      <c r="AH43" s="16">
        <f ca="1">IFERROR(SOLID!AL54,0)</f>
        <v>-46.072000000000003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Ar</v>
      </c>
      <c r="B44" s="16">
        <f ca="1">IFERROR(SOLID!F55,0)</f>
        <v>-19.03</v>
      </c>
      <c r="C44" s="16">
        <f ca="1">IFERROR(SOLID!G55,0)</f>
        <v>-19.02</v>
      </c>
      <c r="D44" s="16">
        <f ca="1">IFERROR(SOLID!H55,0)</f>
        <v>-19.02</v>
      </c>
      <c r="E44" s="16">
        <f ca="1">IFERROR(SOLID!I55,0)</f>
        <v>-19.02</v>
      </c>
      <c r="F44" s="16">
        <f ca="1">IFERROR(SOLID!J55,0)</f>
        <v>-19.32</v>
      </c>
      <c r="G44" s="16">
        <f ca="1">IFERROR(SOLID!K55,0)</f>
        <v>-19.05</v>
      </c>
      <c r="H44" s="16">
        <f ca="1">IFERROR(SOLID!L55,0)</f>
        <v>-19.36</v>
      </c>
      <c r="I44" s="16">
        <f ca="1">IFERROR(SOLID!M55,0)</f>
        <v>-19.38</v>
      </c>
      <c r="J44" s="16">
        <f ca="1">IFERROR(SOLID!N55,0)</f>
        <v>-19.41</v>
      </c>
      <c r="K44" s="16">
        <f ca="1">IFERROR(SOLID!O55,0)</f>
        <v>-19.53</v>
      </c>
      <c r="L44" s="16">
        <f ca="1">IFERROR(SOLID!P55,0)</f>
        <v>-19.559999999999999</v>
      </c>
      <c r="M44" s="16">
        <f ca="1">IFERROR(SOLID!Q55,0)</f>
        <v>-19.600000000000001</v>
      </c>
      <c r="N44" s="16">
        <f ca="1">IFERROR(SOLID!R55,0)</f>
        <v>-19.63</v>
      </c>
      <c r="O44" s="16">
        <f ca="1">IFERROR(SOLID!S55,0)</f>
        <v>-19.47</v>
      </c>
      <c r="P44" s="16">
        <f ca="1">IFERROR(SOLID!T55,0)</f>
        <v>-19.23</v>
      </c>
      <c r="Q44" s="16">
        <f ca="1">IFERROR(SOLID!U55,0)</f>
        <v>-19.149999999999999</v>
      </c>
      <c r="R44" s="16">
        <f ca="1">IFERROR(SOLID!V55,0)</f>
        <v>-19.14</v>
      </c>
      <c r="S44" s="16">
        <f ca="1">IFERROR(SOLID!W55,0)</f>
        <v>-19.14</v>
      </c>
      <c r="T44" s="16">
        <f ca="1">IFERROR(SOLID!X55,0)</f>
        <v>-19.16</v>
      </c>
      <c r="U44" s="16">
        <f ca="1">IFERROR(SOLID!Y55,0)</f>
        <v>-19.190000000000001</v>
      </c>
      <c r="V44" s="16">
        <f ca="1">IFERROR(SOLID!Z55,0)</f>
        <v>-19.22</v>
      </c>
      <c r="W44" s="16">
        <f ca="1">IFERROR(SOLID!AA55,0)</f>
        <v>-19.25</v>
      </c>
      <c r="X44" s="16">
        <f ca="1">IFERROR(SOLID!AB55,0)</f>
        <v>-19.38</v>
      </c>
      <c r="Y44" s="16">
        <f ca="1">IFERROR(SOLID!AC55,0)</f>
        <v>-19.420000000000002</v>
      </c>
      <c r="Z44" s="16">
        <f ca="1">IFERROR(SOLID!AD55,0)</f>
        <v>-19.45</v>
      </c>
      <c r="AA44" s="16">
        <f ca="1">IFERROR(SOLID!AE55,0)</f>
        <v>-19.48</v>
      </c>
      <c r="AB44" s="16">
        <f ca="1">IFERROR(SOLID!AF55,0)</f>
        <v>-19.510000000000002</v>
      </c>
      <c r="AC44" s="16">
        <f ca="1">IFERROR(SOLID!AG55,0)</f>
        <v>-19.55</v>
      </c>
      <c r="AD44" s="16">
        <f ca="1">IFERROR(SOLID!AH55,0)</f>
        <v>-19.579999999999998</v>
      </c>
      <c r="AE44" s="16">
        <f ca="1">IFERROR(SOLID!AI55,0)</f>
        <v>-19.61</v>
      </c>
      <c r="AF44" s="16">
        <f ca="1">IFERROR(SOLID!AJ55,0)</f>
        <v>-19.64</v>
      </c>
      <c r="AG44" s="16">
        <f ca="1">IFERROR(SOLID!AK55,0)</f>
        <v>-19.760000000000002</v>
      </c>
      <c r="AH44" s="16">
        <f ca="1">IFERROR(SOLID!AL55,0)</f>
        <v>-19.88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(1)Ga[l]</v>
      </c>
      <c r="B45" s="16">
        <f ca="1">IFERROR(SOLID!F56,0)</f>
        <v>-66.569999999999993</v>
      </c>
      <c r="C45" s="16">
        <f ca="1">IFERROR(SOLID!G56,0)</f>
        <v>-63.1</v>
      </c>
      <c r="D45" s="16">
        <f ca="1">IFERROR(SOLID!H56,0)</f>
        <v>-60.01</v>
      </c>
      <c r="E45" s="16">
        <f ca="1">IFERROR(SOLID!I56,0)</f>
        <v>-57.25</v>
      </c>
      <c r="F45" s="16">
        <f ca="1">IFERROR(SOLID!J56,0)</f>
        <v>-54</v>
      </c>
      <c r="G45" s="16">
        <f ca="1">IFERROR(SOLID!K56,0)</f>
        <v>-49.67</v>
      </c>
      <c r="H45" s="16">
        <f ca="1">IFERROR(SOLID!L56,0)</f>
        <v>-46.96</v>
      </c>
      <c r="I45" s="16">
        <f ca="1">IFERROR(SOLID!M56,0)</f>
        <v>-43.86</v>
      </c>
      <c r="J45" s="16">
        <f ca="1">IFERROR(SOLID!N56,0)</f>
        <v>-40.98</v>
      </c>
      <c r="K45" s="16">
        <f ca="1">IFERROR(SOLID!O56,0)</f>
        <v>-31.32</v>
      </c>
      <c r="L45" s="16">
        <f ca="1">IFERROR(SOLID!P56,0)</f>
        <v>-29.28</v>
      </c>
      <c r="M45" s="16">
        <f ca="1">IFERROR(SOLID!Q56,0)</f>
        <v>-27.35</v>
      </c>
      <c r="N45" s="16">
        <f ca="1">IFERROR(SOLID!R56,0)</f>
        <v>-25.53</v>
      </c>
      <c r="O45" s="16">
        <f ca="1">IFERROR(SOLID!S56,0)</f>
        <v>-23.81</v>
      </c>
      <c r="P45" s="16">
        <f ca="1">IFERROR(SOLID!T56,0)</f>
        <v>-22.18</v>
      </c>
      <c r="Q45" s="16">
        <f ca="1">IFERROR(SOLID!U56,0)</f>
        <v>-20.63</v>
      </c>
      <c r="R45" s="16">
        <f ca="1">IFERROR(SOLID!V56,0)</f>
        <v>-19.16</v>
      </c>
      <c r="S45" s="16">
        <f ca="1">IFERROR(SOLID!W56,0)</f>
        <v>-17.850000000000001</v>
      </c>
      <c r="T45" s="16">
        <f ca="1">IFERROR(SOLID!X56,0)</f>
        <v>-16.850000000000001</v>
      </c>
      <c r="U45" s="16">
        <f ca="1">IFERROR(SOLID!Y56,0)</f>
        <v>-15.9</v>
      </c>
      <c r="V45" s="16">
        <f ca="1">IFERROR(SOLID!Z56,0)</f>
        <v>-15</v>
      </c>
      <c r="W45" s="16">
        <f ca="1">IFERROR(SOLID!AA56,0)</f>
        <v>-14.13</v>
      </c>
      <c r="X45" s="16">
        <f ca="1">IFERROR(SOLID!AB56,0)</f>
        <v>-11</v>
      </c>
      <c r="Y45" s="16">
        <f ca="1">IFERROR(SOLID!AC56,0)</f>
        <v>-10.29</v>
      </c>
      <c r="Z45" s="16">
        <f ca="1">IFERROR(SOLID!AD56,0)</f>
        <v>-9.6059999999999999</v>
      </c>
      <c r="AA45" s="16">
        <f ca="1">IFERROR(SOLID!AE56,0)</f>
        <v>-8.9480000000000004</v>
      </c>
      <c r="AB45" s="16">
        <f ca="1">IFERROR(SOLID!AF56,0)</f>
        <v>-8.3130000000000006</v>
      </c>
      <c r="AC45" s="16">
        <f ca="1">IFERROR(SOLID!AG56,0)</f>
        <v>-7.7140000000000004</v>
      </c>
      <c r="AD45" s="16">
        <f ca="1">IFERROR(SOLID!AH56,0)</f>
        <v>-7.7969999999999997</v>
      </c>
      <c r="AE45" s="16">
        <f ca="1">IFERROR(SOLID!AI56,0)</f>
        <v>-7.8789999999999996</v>
      </c>
      <c r="AF45" s="16">
        <f ca="1">IFERROR(SOLID!AJ56,0)</f>
        <v>-7.9630000000000001</v>
      </c>
      <c r="AG45" s="16">
        <f ca="1">IFERROR(SOLID!AK56,0)</f>
        <v>-8.3190000000000008</v>
      </c>
      <c r="AH45" s="16">
        <f ca="1">IFERROR(SOLID!AL56,0)</f>
        <v>-8.7260000000000009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(1)GeSe[l]</v>
      </c>
      <c r="B46" s="16">
        <f ca="1">IFERROR(SOLID!F57,0)</f>
        <v>-40.909999999999997</v>
      </c>
      <c r="C46" s="16">
        <f ca="1">IFERROR(SOLID!G57,0)</f>
        <v>-39.159999999999997</v>
      </c>
      <c r="D46" s="16">
        <f ca="1">IFERROR(SOLID!H57,0)</f>
        <v>-37.61</v>
      </c>
      <c r="E46" s="16">
        <f ca="1">IFERROR(SOLID!I57,0)</f>
        <v>-36.24</v>
      </c>
      <c r="F46" s="16">
        <f ca="1">IFERROR(SOLID!J57,0)</f>
        <v>-34.61</v>
      </c>
      <c r="G46" s="16">
        <f ca="1">IFERROR(SOLID!K57,0)</f>
        <v>-33.92</v>
      </c>
      <c r="H46" s="16">
        <f ca="1">IFERROR(SOLID!L57,0)</f>
        <v>-32.53</v>
      </c>
      <c r="I46" s="16">
        <f ca="1">IFERROR(SOLID!M57,0)</f>
        <v>-31.64</v>
      </c>
      <c r="J46" s="16">
        <f ca="1">IFERROR(SOLID!N57,0)</f>
        <v>-30.840000000000003</v>
      </c>
      <c r="K46" s="16">
        <f ca="1">IFERROR(SOLID!O57,0)</f>
        <v>-28.261000000000003</v>
      </c>
      <c r="L46" s="16">
        <f ca="1">IFERROR(SOLID!P57,0)</f>
        <v>-27.746000000000002</v>
      </c>
      <c r="M46" s="16">
        <f ca="1">IFERROR(SOLID!Q57,0)</f>
        <v>-27.262999999999998</v>
      </c>
      <c r="N46" s="16">
        <f ca="1">IFERROR(SOLID!R57,0)</f>
        <v>-26.827999999999999</v>
      </c>
      <c r="O46" s="16">
        <f ca="1">IFERROR(SOLID!S57,0)</f>
        <v>-26.675000000000001</v>
      </c>
      <c r="P46" s="16">
        <f ca="1">IFERROR(SOLID!T57,0)</f>
        <v>-26.955000000000002</v>
      </c>
      <c r="Q46" s="16">
        <f ca="1">IFERROR(SOLID!U57,0)</f>
        <v>-27.236000000000001</v>
      </c>
      <c r="R46" s="16">
        <f ca="1">IFERROR(SOLID!V57,0)</f>
        <v>-27.515999999999998</v>
      </c>
      <c r="S46" s="16">
        <f ca="1">IFERROR(SOLID!W57,0)</f>
        <v>-27.797000000000001</v>
      </c>
      <c r="T46" s="16">
        <f ca="1">IFERROR(SOLID!X57,0)</f>
        <v>-28.077999999999999</v>
      </c>
      <c r="U46" s="16">
        <f ca="1">IFERROR(SOLID!Y57,0)</f>
        <v>-28.349</v>
      </c>
      <c r="V46" s="16">
        <f ca="1">IFERROR(SOLID!Z57,0)</f>
        <v>-28.62</v>
      </c>
      <c r="W46" s="16">
        <f ca="1">IFERROR(SOLID!AA57,0)</f>
        <v>-28.890999999999998</v>
      </c>
      <c r="X46" s="16">
        <f ca="1">IFERROR(SOLID!AB57,0)</f>
        <v>-29.952999999999999</v>
      </c>
      <c r="Y46" s="16">
        <f ca="1">IFERROR(SOLID!AC57,0)</f>
        <v>-30.213000000000001</v>
      </c>
      <c r="Z46" s="16">
        <f ca="1">IFERROR(SOLID!AD57,0)</f>
        <v>-30.472000000000001</v>
      </c>
      <c r="AA46" s="16">
        <f ca="1">IFERROR(SOLID!AE57,0)</f>
        <v>-30.731999999999999</v>
      </c>
      <c r="AB46" s="16">
        <f ca="1">IFERROR(SOLID!AF57,0)</f>
        <v>-30.981000000000002</v>
      </c>
      <c r="AC46" s="16">
        <f ca="1">IFERROR(SOLID!AG57,0)</f>
        <v>-31.23</v>
      </c>
      <c r="AD46" s="16">
        <f ca="1">IFERROR(SOLID!AH57,0)</f>
        <v>-31.478000000000002</v>
      </c>
      <c r="AE46" s="16">
        <f ca="1">IFERROR(SOLID!AI57,0)</f>
        <v>-31.726999999999997</v>
      </c>
      <c r="AF46" s="16">
        <f ca="1">IFERROR(SOLID!AJ57,0)</f>
        <v>-31.975000000000001</v>
      </c>
      <c r="AG46" s="16">
        <f ca="1">IFERROR(SOLID!AK57,0)</f>
        <v>-32.933999999999997</v>
      </c>
      <c r="AH46" s="16">
        <f ca="1">IFERROR(SOLID!AL57,0)</f>
        <v>-33.869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(l)Ge[l]</v>
      </c>
      <c r="B47" s="16">
        <f ca="1">IFERROR(SOLID!F58,0)</f>
        <v>-18.059999999999999</v>
      </c>
      <c r="C47" s="16">
        <f ca="1">IFERROR(SOLID!G58,0)</f>
        <v>-17.43</v>
      </c>
      <c r="D47" s="16">
        <f ca="1">IFERROR(SOLID!H58,0)</f>
        <v>-16.88</v>
      </c>
      <c r="E47" s="16">
        <f ca="1">IFERROR(SOLID!I58,0)</f>
        <v>-16.39</v>
      </c>
      <c r="F47" s="16">
        <f ca="1">IFERROR(SOLID!J58,0)</f>
        <v>-15.05</v>
      </c>
      <c r="G47" s="16">
        <f ca="1">IFERROR(SOLID!K58,0)</f>
        <v>-13.68</v>
      </c>
      <c r="H47" s="16">
        <f ca="1">IFERROR(SOLID!L58,0)</f>
        <v>-12.49</v>
      </c>
      <c r="I47" s="16">
        <f ca="1">IFERROR(SOLID!M58,0)</f>
        <v>-11.36</v>
      </c>
      <c r="J47" s="16">
        <f ca="1">IFERROR(SOLID!N58,0)</f>
        <v>-10.31</v>
      </c>
      <c r="K47" s="16">
        <f ca="1">IFERROR(SOLID!O58,0)</f>
        <v>-6.7309999999999999</v>
      </c>
      <c r="L47" s="16">
        <f ca="1">IFERROR(SOLID!P58,0)</f>
        <v>-5.9660000000000002</v>
      </c>
      <c r="M47" s="16">
        <f ca="1">IFERROR(SOLID!Q58,0)</f>
        <v>-5.2430000000000003</v>
      </c>
      <c r="N47" s="16">
        <f ca="1">IFERROR(SOLID!R58,0)</f>
        <v>-4.5579999999999998</v>
      </c>
      <c r="O47" s="16">
        <f ca="1">IFERROR(SOLID!S58,0)</f>
        <v>-4.1550000000000002</v>
      </c>
      <c r="P47" s="16">
        <f ca="1">IFERROR(SOLID!T58,0)</f>
        <v>-4.1950000000000003</v>
      </c>
      <c r="Q47" s="16">
        <f ca="1">IFERROR(SOLID!U58,0)</f>
        <v>-4.2359999999999998</v>
      </c>
      <c r="R47" s="16">
        <f ca="1">IFERROR(SOLID!V58,0)</f>
        <v>-4.2759999999999998</v>
      </c>
      <c r="S47" s="16">
        <f ca="1">IFERROR(SOLID!W58,0)</f>
        <v>-4.3170000000000002</v>
      </c>
      <c r="T47" s="16">
        <f ca="1">IFERROR(SOLID!X58,0)</f>
        <v>-4.3579999999999997</v>
      </c>
      <c r="U47" s="16">
        <f ca="1">IFERROR(SOLID!Y58,0)</f>
        <v>-4.399</v>
      </c>
      <c r="V47" s="16">
        <f ca="1">IFERROR(SOLID!Z58,0)</f>
        <v>-4.4400000000000004</v>
      </c>
      <c r="W47" s="16">
        <f ca="1">IFERROR(SOLID!AA58,0)</f>
        <v>-4.4809999999999999</v>
      </c>
      <c r="X47" s="16">
        <f ca="1">IFERROR(SOLID!AB58,0)</f>
        <v>-4.6429999999999998</v>
      </c>
      <c r="Y47" s="16">
        <f ca="1">IFERROR(SOLID!AC58,0)</f>
        <v>-4.6829999999999998</v>
      </c>
      <c r="Z47" s="16">
        <f ca="1">IFERROR(SOLID!AD58,0)</f>
        <v>-4.7220000000000004</v>
      </c>
      <c r="AA47" s="16">
        <f ca="1">IFERROR(SOLID!AE58,0)</f>
        <v>-4.7619999999999996</v>
      </c>
      <c r="AB47" s="16">
        <f ca="1">IFERROR(SOLID!AF58,0)</f>
        <v>-4.8010000000000002</v>
      </c>
      <c r="AC47" s="16">
        <f ca="1">IFERROR(SOLID!AG58,0)</f>
        <v>-4.84</v>
      </c>
      <c r="AD47" s="16">
        <f ca="1">IFERROR(SOLID!AH58,0)</f>
        <v>-4.8780000000000001</v>
      </c>
      <c r="AE47" s="16">
        <f ca="1">IFERROR(SOLID!AI58,0)</f>
        <v>-4.9169999999999998</v>
      </c>
      <c r="AF47" s="16">
        <f ca="1">IFERROR(SOLID!AJ58,0)</f>
        <v>-4.9550000000000001</v>
      </c>
      <c r="AG47" s="16">
        <f ca="1">IFERROR(SOLID!AK58,0)</f>
        <v>-5.1040000000000001</v>
      </c>
      <c r="AH47" s="16">
        <f ca="1">IFERROR(SOLID!AL58,0)</f>
        <v>-5.2489999999999997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H (Ar)</v>
      </c>
      <c r="B48" s="16">
        <f ca="1">IFERROR(SOLID!F59,0)</f>
        <v>-19.03</v>
      </c>
      <c r="C48" s="16">
        <f ca="1">IFERROR(SOLID!G59,0)</f>
        <v>-19.02</v>
      </c>
      <c r="D48" s="16">
        <f ca="1">IFERROR(SOLID!H59,0)</f>
        <v>-19.02</v>
      </c>
      <c r="E48" s="16">
        <f ca="1">IFERROR(SOLID!I59,0)</f>
        <v>-19.02</v>
      </c>
      <c r="F48" s="16">
        <f ca="1">IFERROR(SOLID!J59,0)</f>
        <v>-19.32</v>
      </c>
      <c r="G48" s="16">
        <f ca="1">IFERROR(SOLID!K59,0)</f>
        <v>-19.05</v>
      </c>
      <c r="H48" s="16">
        <f ca="1">IFERROR(SOLID!L59,0)</f>
        <v>-19.36</v>
      </c>
      <c r="I48" s="16">
        <f ca="1">IFERROR(SOLID!M59,0)</f>
        <v>-19.38</v>
      </c>
      <c r="J48" s="16">
        <f ca="1">IFERROR(SOLID!N59,0)</f>
        <v>-19.41</v>
      </c>
      <c r="K48" s="16">
        <f ca="1">IFERROR(SOLID!O59,0)</f>
        <v>-19.53</v>
      </c>
      <c r="L48" s="16">
        <f ca="1">IFERROR(SOLID!P59,0)</f>
        <v>-19.559999999999999</v>
      </c>
      <c r="M48" s="16">
        <f ca="1">IFERROR(SOLID!Q59,0)</f>
        <v>-19.600000000000001</v>
      </c>
      <c r="N48" s="16">
        <f ca="1">IFERROR(SOLID!R59,0)</f>
        <v>-19.63</v>
      </c>
      <c r="O48" s="16">
        <f ca="1">IFERROR(SOLID!S59,0)</f>
        <v>-19.47</v>
      </c>
      <c r="P48" s="16">
        <f ca="1">IFERROR(SOLID!T59,0)</f>
        <v>-19.23</v>
      </c>
      <c r="Q48" s="16">
        <f ca="1">IFERROR(SOLID!U59,0)</f>
        <v>-19.149999999999999</v>
      </c>
      <c r="R48" s="16">
        <f ca="1">IFERROR(SOLID!V59,0)</f>
        <v>-19.14</v>
      </c>
      <c r="S48" s="16">
        <f ca="1">IFERROR(SOLID!W59,0)</f>
        <v>-19.14</v>
      </c>
      <c r="T48" s="16">
        <f ca="1">IFERROR(SOLID!X59,0)</f>
        <v>-19.16</v>
      </c>
      <c r="U48" s="16">
        <f ca="1">IFERROR(SOLID!Y59,0)</f>
        <v>-19.190000000000001</v>
      </c>
      <c r="V48" s="16">
        <f ca="1">IFERROR(SOLID!Z59,0)</f>
        <v>-19.22</v>
      </c>
      <c r="W48" s="16">
        <f ca="1">IFERROR(SOLID!AA59,0)</f>
        <v>-19.25</v>
      </c>
      <c r="X48" s="16">
        <f ca="1">IFERROR(SOLID!AB59,0)</f>
        <v>-19.38</v>
      </c>
      <c r="Y48" s="16">
        <f ca="1">IFERROR(SOLID!AC59,0)</f>
        <v>-19.420000000000002</v>
      </c>
      <c r="Z48" s="16">
        <f ca="1">IFERROR(SOLID!AD59,0)</f>
        <v>-19.45</v>
      </c>
      <c r="AA48" s="16">
        <f ca="1">IFERROR(SOLID!AE59,0)</f>
        <v>-19.48</v>
      </c>
      <c r="AB48" s="16">
        <f ca="1">IFERROR(SOLID!AF59,0)</f>
        <v>-19.510000000000002</v>
      </c>
      <c r="AC48" s="16">
        <f ca="1">IFERROR(SOLID!AG59,0)</f>
        <v>-19.55</v>
      </c>
      <c r="AD48" s="16">
        <f ca="1">IFERROR(SOLID!AH59,0)</f>
        <v>-19.579999999999998</v>
      </c>
      <c r="AE48" s="16">
        <f ca="1">IFERROR(SOLID!AI59,0)</f>
        <v>-19.61</v>
      </c>
      <c r="AF48" s="16">
        <f ca="1">IFERROR(SOLID!AJ59,0)</f>
        <v>-19.64</v>
      </c>
      <c r="AG48" s="16">
        <f ca="1">IFERROR(SOLID!AK59,0)</f>
        <v>-19.760000000000002</v>
      </c>
      <c r="AH48" s="16">
        <f ca="1">IFERROR(SOLID!AL59,0)</f>
        <v>-19.88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H (Ga)</v>
      </c>
      <c r="B49" s="16">
        <f ca="1">IFERROR(SOLID!F60,0)</f>
        <v>-66.569999999999993</v>
      </c>
      <c r="C49" s="16">
        <f ca="1">IFERROR(SOLID!G60,0)</f>
        <v>-63.1</v>
      </c>
      <c r="D49" s="16">
        <f ca="1">IFERROR(SOLID!H60,0)</f>
        <v>-60.01</v>
      </c>
      <c r="E49" s="16">
        <f ca="1">IFERROR(SOLID!I60,0)</f>
        <v>-57.25</v>
      </c>
      <c r="F49" s="16">
        <f ca="1">IFERROR(SOLID!J60,0)</f>
        <v>-54</v>
      </c>
      <c r="G49" s="16">
        <f ca="1">IFERROR(SOLID!K60,0)</f>
        <v>-49.67</v>
      </c>
      <c r="H49" s="16">
        <f ca="1">IFERROR(SOLID!L60,0)</f>
        <v>-46.96</v>
      </c>
      <c r="I49" s="16">
        <f ca="1">IFERROR(SOLID!M60,0)</f>
        <v>-43.86</v>
      </c>
      <c r="J49" s="16">
        <f ca="1">IFERROR(SOLID!N60,0)</f>
        <v>-40.98</v>
      </c>
      <c r="K49" s="16">
        <f ca="1">IFERROR(SOLID!O60,0)</f>
        <v>-31.32</v>
      </c>
      <c r="L49" s="16">
        <f ca="1">IFERROR(SOLID!P60,0)</f>
        <v>-29.28</v>
      </c>
      <c r="M49" s="16">
        <f ca="1">IFERROR(SOLID!Q60,0)</f>
        <v>-27.35</v>
      </c>
      <c r="N49" s="16">
        <f ca="1">IFERROR(SOLID!R60,0)</f>
        <v>-25.53</v>
      </c>
      <c r="O49" s="16">
        <f ca="1">IFERROR(SOLID!S60,0)</f>
        <v>-23.81</v>
      </c>
      <c r="P49" s="16">
        <f ca="1">IFERROR(SOLID!T60,0)</f>
        <v>-22.18</v>
      </c>
      <c r="Q49" s="16">
        <f ca="1">IFERROR(SOLID!U60,0)</f>
        <v>-20.63</v>
      </c>
      <c r="R49" s="16">
        <f ca="1">IFERROR(SOLID!V60,0)</f>
        <v>-19.16</v>
      </c>
      <c r="S49" s="16">
        <f ca="1">IFERROR(SOLID!W60,0)</f>
        <v>-17.850000000000001</v>
      </c>
      <c r="T49" s="16">
        <f ca="1">IFERROR(SOLID!X60,0)</f>
        <v>-16.850000000000001</v>
      </c>
      <c r="U49" s="16">
        <f ca="1">IFERROR(SOLID!Y60,0)</f>
        <v>-15.9</v>
      </c>
      <c r="V49" s="16">
        <f ca="1">IFERROR(SOLID!Z60,0)</f>
        <v>-15</v>
      </c>
      <c r="W49" s="16">
        <f ca="1">IFERROR(SOLID!AA60,0)</f>
        <v>-14.13</v>
      </c>
      <c r="X49" s="16">
        <f ca="1">IFERROR(SOLID!AB60,0)</f>
        <v>-11</v>
      </c>
      <c r="Y49" s="16">
        <f ca="1">IFERROR(SOLID!AC60,0)</f>
        <v>-10.29</v>
      </c>
      <c r="Z49" s="16">
        <f ca="1">IFERROR(SOLID!AD60,0)</f>
        <v>-9.6059999999999999</v>
      </c>
      <c r="AA49" s="16">
        <f ca="1">IFERROR(SOLID!AE60,0)</f>
        <v>-8.9480000000000004</v>
      </c>
      <c r="AB49" s="16">
        <f ca="1">IFERROR(SOLID!AF60,0)</f>
        <v>-8.3130000000000006</v>
      </c>
      <c r="AC49" s="16">
        <f ca="1">IFERROR(SOLID!AG60,0)</f>
        <v>-7.7140000000000004</v>
      </c>
      <c r="AD49" s="16">
        <f ca="1">IFERROR(SOLID!AH60,0)</f>
        <v>-7.7969999999999997</v>
      </c>
      <c r="AE49" s="16">
        <f ca="1">IFERROR(SOLID!AI60,0)</f>
        <v>-7.8789999999999996</v>
      </c>
      <c r="AF49" s="16">
        <f ca="1">IFERROR(SOLID!AJ60,0)</f>
        <v>-7.9630000000000001</v>
      </c>
      <c r="AG49" s="16">
        <f ca="1">IFERROR(SOLID!AK60,0)</f>
        <v>-8.3190000000000008</v>
      </c>
      <c r="AH49" s="16">
        <f ca="1">IFERROR(SOLID!AL60,0)</f>
        <v>-8.7260000000000009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H (Ge)</v>
      </c>
      <c r="B50" s="16">
        <f ca="1">IFERROR(SOLID!F61,0)</f>
        <v>-18.059999999999999</v>
      </c>
      <c r="C50" s="16">
        <f ca="1">IFERROR(SOLID!G61,0)</f>
        <v>-17.43</v>
      </c>
      <c r="D50" s="16">
        <f ca="1">IFERROR(SOLID!H61,0)</f>
        <v>-16.88</v>
      </c>
      <c r="E50" s="16">
        <f ca="1">IFERROR(SOLID!I61,0)</f>
        <v>-16.39</v>
      </c>
      <c r="F50" s="16">
        <f ca="1">IFERROR(SOLID!J61,0)</f>
        <v>-15.05</v>
      </c>
      <c r="G50" s="16">
        <f ca="1">IFERROR(SOLID!K61,0)</f>
        <v>-13.68</v>
      </c>
      <c r="H50" s="16">
        <f ca="1">IFERROR(SOLID!L61,0)</f>
        <v>-12.49</v>
      </c>
      <c r="I50" s="16">
        <f ca="1">IFERROR(SOLID!M61,0)</f>
        <v>-11.36</v>
      </c>
      <c r="J50" s="16">
        <f ca="1">IFERROR(SOLID!N61,0)</f>
        <v>-10.31</v>
      </c>
      <c r="K50" s="16">
        <f ca="1">IFERROR(SOLID!O61,0)</f>
        <v>-6.7309999999999999</v>
      </c>
      <c r="L50" s="16">
        <f ca="1">IFERROR(SOLID!P61,0)</f>
        <v>-5.9660000000000002</v>
      </c>
      <c r="M50" s="16">
        <f ca="1">IFERROR(SOLID!Q61,0)</f>
        <v>-5.2430000000000003</v>
      </c>
      <c r="N50" s="16">
        <f ca="1">IFERROR(SOLID!R61,0)</f>
        <v>-4.5579999999999998</v>
      </c>
      <c r="O50" s="16">
        <f ca="1">IFERROR(SOLID!S61,0)</f>
        <v>-4.1550000000000002</v>
      </c>
      <c r="P50" s="16">
        <f ca="1">IFERROR(SOLID!T61,0)</f>
        <v>-4.1950000000000003</v>
      </c>
      <c r="Q50" s="16">
        <f ca="1">IFERROR(SOLID!U61,0)</f>
        <v>-4.2359999999999998</v>
      </c>
      <c r="R50" s="16">
        <f ca="1">IFERROR(SOLID!V61,0)</f>
        <v>-4.2759999999999998</v>
      </c>
      <c r="S50" s="16">
        <f ca="1">IFERROR(SOLID!W61,0)</f>
        <v>-4.3170000000000002</v>
      </c>
      <c r="T50" s="16">
        <f ca="1">IFERROR(SOLID!X61,0)</f>
        <v>-4.3579999999999997</v>
      </c>
      <c r="U50" s="16">
        <f ca="1">IFERROR(SOLID!Y61,0)</f>
        <v>-4.399</v>
      </c>
      <c r="V50" s="16">
        <f ca="1">IFERROR(SOLID!Z61,0)</f>
        <v>-4.4400000000000004</v>
      </c>
      <c r="W50" s="16">
        <f ca="1">IFERROR(SOLID!AA61,0)</f>
        <v>-4.4809999999999999</v>
      </c>
      <c r="X50" s="16">
        <f ca="1">IFERROR(SOLID!AB61,0)</f>
        <v>-4.6429999999999998</v>
      </c>
      <c r="Y50" s="16">
        <f ca="1">IFERROR(SOLID!AC61,0)</f>
        <v>-4.6829999999999998</v>
      </c>
      <c r="Z50" s="16">
        <f ca="1">IFERROR(SOLID!AD61,0)</f>
        <v>-4.7220000000000004</v>
      </c>
      <c r="AA50" s="16">
        <f ca="1">IFERROR(SOLID!AE61,0)</f>
        <v>-4.7619999999999996</v>
      </c>
      <c r="AB50" s="16">
        <f ca="1">IFERROR(SOLID!AF61,0)</f>
        <v>-4.8010000000000002</v>
      </c>
      <c r="AC50" s="16">
        <f ca="1">IFERROR(SOLID!AG61,0)</f>
        <v>-4.84</v>
      </c>
      <c r="AD50" s="16">
        <f ca="1">IFERROR(SOLID!AH61,0)</f>
        <v>-4.8780000000000001</v>
      </c>
      <c r="AE50" s="16">
        <f ca="1">IFERROR(SOLID!AI61,0)</f>
        <v>-4.9169999999999998</v>
      </c>
      <c r="AF50" s="16">
        <f ca="1">IFERROR(SOLID!AJ61,0)</f>
        <v>-4.9550000000000001</v>
      </c>
      <c r="AG50" s="16">
        <f ca="1">IFERROR(SOLID!AK61,0)</f>
        <v>-5.1040000000000001</v>
      </c>
      <c r="AH50" s="16">
        <f ca="1">IFERROR(SOLID!AL61,0)</f>
        <v>-5.2489999999999997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 t="str">
        <f>IFERROR(SOLID!E62,0)</f>
        <v>H (Se)</v>
      </c>
      <c r="B51" s="16">
        <f ca="1">IFERROR(SOLID!F62,0)</f>
        <v>-22.85</v>
      </c>
      <c r="C51" s="16">
        <f ca="1">IFERROR(SOLID!G62,0)</f>
        <v>-21.73</v>
      </c>
      <c r="D51" s="16">
        <f ca="1">IFERROR(SOLID!H62,0)</f>
        <v>-20.73</v>
      </c>
      <c r="E51" s="16">
        <f ca="1">IFERROR(SOLID!I62,0)</f>
        <v>-19.850000000000001</v>
      </c>
      <c r="F51" s="16">
        <f ca="1">IFERROR(SOLID!J62,0)</f>
        <v>-19.559999999999999</v>
      </c>
      <c r="G51" s="16">
        <f ca="1">IFERROR(SOLID!K62,0)</f>
        <v>-20.239999999999998</v>
      </c>
      <c r="H51" s="16">
        <f ca="1">IFERROR(SOLID!L62,0)</f>
        <v>-20.04</v>
      </c>
      <c r="I51" s="16">
        <f ca="1">IFERROR(SOLID!M62,0)</f>
        <v>-20.28</v>
      </c>
      <c r="J51" s="16">
        <f ca="1">IFERROR(SOLID!N62,0)</f>
        <v>-20.53</v>
      </c>
      <c r="K51" s="16">
        <f ca="1">IFERROR(SOLID!O62,0)</f>
        <v>-21.53</v>
      </c>
      <c r="L51" s="16">
        <f ca="1">IFERROR(SOLID!P62,0)</f>
        <v>-21.78</v>
      </c>
      <c r="M51" s="16">
        <f ca="1">IFERROR(SOLID!Q62,0)</f>
        <v>-22.02</v>
      </c>
      <c r="N51" s="16">
        <f ca="1">IFERROR(SOLID!R62,0)</f>
        <v>-22.27</v>
      </c>
      <c r="O51" s="16">
        <f ca="1">IFERROR(SOLID!S62,0)</f>
        <v>-22.52</v>
      </c>
      <c r="P51" s="16">
        <f ca="1">IFERROR(SOLID!T62,0)</f>
        <v>-22.76</v>
      </c>
      <c r="Q51" s="16">
        <f ca="1">IFERROR(SOLID!U62,0)</f>
        <v>-23</v>
      </c>
      <c r="R51" s="16">
        <f ca="1">IFERROR(SOLID!V62,0)</f>
        <v>-23.24</v>
      </c>
      <c r="S51" s="16">
        <f ca="1">IFERROR(SOLID!W62,0)</f>
        <v>-23.48</v>
      </c>
      <c r="T51" s="16">
        <f ca="1">IFERROR(SOLID!X62,0)</f>
        <v>-23.72</v>
      </c>
      <c r="U51" s="16">
        <f ca="1">IFERROR(SOLID!Y62,0)</f>
        <v>-23.95</v>
      </c>
      <c r="V51" s="16">
        <f ca="1">IFERROR(SOLID!Z62,0)</f>
        <v>-24.18</v>
      </c>
      <c r="W51" s="16">
        <f ca="1">IFERROR(SOLID!AA62,0)</f>
        <v>-24.41</v>
      </c>
      <c r="X51" s="16">
        <f ca="1">IFERROR(SOLID!AB62,0)</f>
        <v>-25.31</v>
      </c>
      <c r="Y51" s="16">
        <f ca="1">IFERROR(SOLID!AC62,0)</f>
        <v>-25.53</v>
      </c>
      <c r="Z51" s="16">
        <f ca="1">IFERROR(SOLID!AD62,0)</f>
        <v>-25.75</v>
      </c>
      <c r="AA51" s="16">
        <f ca="1">IFERROR(SOLID!AE62,0)</f>
        <v>-25.97</v>
      </c>
      <c r="AB51" s="16">
        <f ca="1">IFERROR(SOLID!AF62,0)</f>
        <v>-26.18</v>
      </c>
      <c r="AC51" s="16">
        <f ca="1">IFERROR(SOLID!AG62,0)</f>
        <v>-26.39</v>
      </c>
      <c r="AD51" s="16">
        <f ca="1">IFERROR(SOLID!AH62,0)</f>
        <v>-26.6</v>
      </c>
      <c r="AE51" s="16">
        <f ca="1">IFERROR(SOLID!AI62,0)</f>
        <v>-26.81</v>
      </c>
      <c r="AF51" s="16">
        <f ca="1">IFERROR(SOLID!AJ62,0)</f>
        <v>-27.02</v>
      </c>
      <c r="AG51" s="16">
        <f ca="1">IFERROR(SOLID!AK62,0)</f>
        <v>-27.83</v>
      </c>
      <c r="AH51" s="16">
        <f ca="1">IFERROR(SOLID!AL62,0)</f>
        <v>-28.62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>
        <f>IFERROR(SOLID!E63,0)</f>
        <v>0</v>
      </c>
      <c r="B52" s="16">
        <f ca="1">IFERROR(SOLID!F63,0)</f>
        <v>0</v>
      </c>
      <c r="C52" s="16">
        <f ca="1">IFERROR(SOLID!G63,0)</f>
        <v>0</v>
      </c>
      <c r="D52" s="16">
        <f ca="1">IFERROR(SOLID!H63,0)</f>
        <v>0</v>
      </c>
      <c r="E52" s="16">
        <f ca="1">IFERROR(SOLID!I63,0)</f>
        <v>0</v>
      </c>
      <c r="F52" s="16">
        <f ca="1">IFERROR(SOLID!J63,0)</f>
        <v>0</v>
      </c>
      <c r="G52" s="16">
        <f ca="1">IFERROR(SOLID!K63,0)</f>
        <v>0</v>
      </c>
      <c r="H52" s="16">
        <f ca="1">IFERROR(SOLID!L63,0)</f>
        <v>0</v>
      </c>
      <c r="I52" s="16">
        <f ca="1">IFERROR(SOLID!M63,0)</f>
        <v>0</v>
      </c>
      <c r="J52" s="16">
        <f ca="1">IFERROR(SOLID!N63,0)</f>
        <v>0</v>
      </c>
      <c r="K52" s="16">
        <f ca="1">IFERROR(SOLID!O63,0)</f>
        <v>0</v>
      </c>
      <c r="L52" s="16">
        <f ca="1">IFERROR(SOLID!P63,0)</f>
        <v>0</v>
      </c>
      <c r="M52" s="16">
        <f ca="1">IFERROR(SOLID!Q63,0)</f>
        <v>0</v>
      </c>
      <c r="N52" s="16">
        <f ca="1">IFERROR(SOLID!R63,0)</f>
        <v>0</v>
      </c>
      <c r="O52" s="16">
        <f ca="1">IFERROR(SOLID!S63,0)</f>
        <v>0</v>
      </c>
      <c r="P52" s="16">
        <f ca="1">IFERROR(SOLID!T63,0)</f>
        <v>0</v>
      </c>
      <c r="Q52" s="16">
        <f ca="1">IFERROR(SOLID!U63,0)</f>
        <v>0</v>
      </c>
      <c r="R52" s="16">
        <f ca="1">IFERROR(SOLID!V63,0)</f>
        <v>0</v>
      </c>
      <c r="S52" s="16">
        <f ca="1">IFERROR(SOLID!W63,0)</f>
        <v>0</v>
      </c>
      <c r="T52" s="16">
        <f ca="1">IFERROR(SOLID!X63,0)</f>
        <v>0</v>
      </c>
      <c r="U52" s="16">
        <f ca="1">IFERROR(SOLID!Y63,0)</f>
        <v>0</v>
      </c>
      <c r="V52" s="16">
        <f ca="1">IFERROR(SOLID!Z63,0)</f>
        <v>0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355.7</v>
      </c>
      <c r="H66" s="4">
        <f>IFERROR(ALL!L45,0)</f>
        <v>372.3</v>
      </c>
      <c r="I66" s="4">
        <f>IFERROR(ALL!M45,0)</f>
        <v>388.8</v>
      </c>
      <c r="J66" s="4">
        <f>IFERROR(ALL!N45,0)</f>
        <v>405.3</v>
      </c>
      <c r="K66" s="4">
        <f>IFERROR(ALL!O45,0)</f>
        <v>471.4</v>
      </c>
      <c r="L66" s="4">
        <f>IFERROR(ALL!P45,0)</f>
        <v>487.9</v>
      </c>
      <c r="M66" s="4">
        <f>IFERROR(ALL!Q45,0)</f>
        <v>504.4</v>
      </c>
      <c r="N66" s="4">
        <f>IFERROR(ALL!R45,0)</f>
        <v>520.9</v>
      </c>
      <c r="O66" s="4">
        <f>IFERROR(ALL!S45,0)</f>
        <v>537.5</v>
      </c>
      <c r="P66" s="4">
        <f>IFERROR(ALL!T45,0)</f>
        <v>554</v>
      </c>
      <c r="Q66" s="4">
        <f>IFERROR(ALL!U45,0)</f>
        <v>570.5</v>
      </c>
      <c r="R66" s="4">
        <f>IFERROR(ALL!V45,0)</f>
        <v>587</v>
      </c>
      <c r="S66" s="4">
        <f>IFERROR(ALL!W45,0)</f>
        <v>603.5</v>
      </c>
      <c r="T66" s="4">
        <f>IFERROR(ALL!X45,0)</f>
        <v>669.6</v>
      </c>
      <c r="U66" s="4">
        <f>IFERROR(ALL!Y45,0)</f>
        <v>735.7</v>
      </c>
      <c r="V66" s="4">
        <f>IFERROR(ALL!Z45,0)</f>
        <v>801.8</v>
      </c>
      <c r="W66" s="4">
        <f>IFERROR(ALL!AA45,0)</f>
        <v>867.8</v>
      </c>
      <c r="X66" s="4">
        <f>IFERROR(ALL!AB45,0)</f>
        <v>884.4</v>
      </c>
      <c r="Y66" s="4">
        <f>IFERROR(ALL!AC45,0)</f>
        <v>900.9</v>
      </c>
      <c r="Z66" s="4">
        <f>IFERROR(ALL!AD45,0)</f>
        <v>917.4</v>
      </c>
      <c r="AA66" s="4">
        <f>IFERROR(ALL!AE45,0)</f>
        <v>933.9</v>
      </c>
      <c r="AB66" s="4">
        <f>IFERROR(ALL!AF45,0)</f>
        <v>1000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 t="str">
        <f>IFERROR(ALL!E46,0)</f>
        <v>*GeSe2</v>
      </c>
      <c r="B67" s="16">
        <f ca="1">IFERROR(ALL!F46,0)</f>
        <v>-64.510000000000005</v>
      </c>
      <c r="C67" s="16">
        <f ca="1">IFERROR(ALL!G46,0)</f>
        <v>-61.71</v>
      </c>
      <c r="D67" s="16">
        <f ca="1">IFERROR(ALL!H46,0)</f>
        <v>-59.349999999999994</v>
      </c>
      <c r="E67" s="16">
        <f ca="1">IFERROR(ALL!I46,0)</f>
        <v>-57.43</v>
      </c>
      <c r="F67" s="16">
        <f ca="1">IFERROR(ALL!J46,0)</f>
        <v>-55.94</v>
      </c>
      <c r="G67" s="16">
        <f ca="1">IFERROR(ALL!K46,0)</f>
        <v>-55.52</v>
      </c>
      <c r="H67" s="16">
        <f ca="1">IFERROR(ALL!L46,0)</f>
        <v>-54.34</v>
      </c>
      <c r="I67" s="16">
        <f ca="1">IFERROR(ALL!M46,0)</f>
        <v>-53.44</v>
      </c>
      <c r="J67" s="16">
        <f ca="1">IFERROR(ALL!N46,0)</f>
        <v>-52.756999999999998</v>
      </c>
      <c r="K67" s="16">
        <f ca="1">IFERROR(ALL!O46,0)</f>
        <v>-51.211999999999996</v>
      </c>
      <c r="L67" s="16">
        <f ca="1">IFERROR(ALL!P46,0)</f>
        <v>-51.125</v>
      </c>
      <c r="M67" s="16">
        <f ca="1">IFERROR(ALL!Q46,0)</f>
        <v>-51.204000000000001</v>
      </c>
      <c r="N67" s="16">
        <f ca="1">IFERROR(ALL!R46,0)</f>
        <v>-51.43</v>
      </c>
      <c r="O67" s="16">
        <f ca="1">IFERROR(ALL!S46,0)</f>
        <v>-51.793000000000006</v>
      </c>
      <c r="P67" s="16">
        <f ca="1">IFERROR(ALL!T46,0)</f>
        <v>-52.254000000000005</v>
      </c>
      <c r="Q67" s="16">
        <f ca="1">IFERROR(ALL!U46,0)</f>
        <v>-52.744999999999997</v>
      </c>
      <c r="R67" s="16">
        <f ca="1">IFERROR(ALL!V46,0)</f>
        <v>-53.247999999999998</v>
      </c>
      <c r="S67" s="16">
        <f ca="1">IFERROR(ALL!W46,0)</f>
        <v>-53.773000000000003</v>
      </c>
      <c r="T67" s="16">
        <f ca="1">IFERROR(ALL!X46,0)</f>
        <v>-55.805</v>
      </c>
      <c r="U67" s="16">
        <f ca="1">IFERROR(ALL!Y46,0)</f>
        <v>-57.748000000000005</v>
      </c>
      <c r="V67" s="16">
        <f ca="1">IFERROR(ALL!Z46,0)</f>
        <v>-59.611000000000004</v>
      </c>
      <c r="W67" s="16">
        <f ca="1">IFERROR(ALL!AA46,0)</f>
        <v>-61.406999999999996</v>
      </c>
      <c r="X67" s="16">
        <f ca="1">IFERROR(ALL!AB46,0)</f>
        <v>-61.863</v>
      </c>
      <c r="Y67" s="16">
        <f ca="1">IFERROR(ALL!AC46,0)</f>
        <v>-62.293999999999997</v>
      </c>
      <c r="Z67" s="16">
        <f ca="1">IFERROR(ALL!AD46,0)</f>
        <v>-62.739999999999995</v>
      </c>
      <c r="AA67" s="16">
        <f ca="1">IFERROR(ALL!AE46,0)</f>
        <v>-63.182000000000002</v>
      </c>
      <c r="AB67" s="16">
        <f ca="1">IFERROR(ALL!AF46,0)</f>
        <v>-64.894000000000005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 x14ac:dyDescent="0.4">
      <c r="A68" s="87" t="str">
        <f>IFERROR(ALL!E47,0)</f>
        <v>*Se[M]</v>
      </c>
      <c r="B68" s="16">
        <f ca="1">IFERROR(ALL!F47,0)</f>
        <v>-23.19</v>
      </c>
      <c r="C68" s="16">
        <f ca="1">IFERROR(ALL!G47,0)</f>
        <v>-22.18</v>
      </c>
      <c r="D68" s="16">
        <f ca="1">IFERROR(ALL!H47,0)</f>
        <v>-21.45</v>
      </c>
      <c r="E68" s="16">
        <f ca="1">IFERROR(ALL!I47,0)</f>
        <v>-21.02</v>
      </c>
      <c r="F68" s="16">
        <f ca="1">IFERROR(ALL!J47,0)</f>
        <v>-20.86</v>
      </c>
      <c r="G68" s="16">
        <f ca="1">IFERROR(ALL!K47,0)</f>
        <v>-21.44</v>
      </c>
      <c r="H68" s="16">
        <f ca="1">IFERROR(ALL!L47,0)</f>
        <v>-21.34</v>
      </c>
      <c r="I68" s="16">
        <f ca="1">IFERROR(ALL!M47,0)</f>
        <v>-21.39</v>
      </c>
      <c r="J68" s="16">
        <f ca="1">IFERROR(ALL!N47,0)</f>
        <v>-21.54</v>
      </c>
      <c r="K68" s="16">
        <f ca="1">IFERROR(ALL!O47,0)</f>
        <v>-22.4</v>
      </c>
      <c r="L68" s="16">
        <f ca="1">IFERROR(ALL!P47,0)</f>
        <v>-22.6</v>
      </c>
      <c r="M68" s="16">
        <f ca="1">IFERROR(ALL!Q47,0)</f>
        <v>-22.79</v>
      </c>
      <c r="N68" s="16">
        <f ca="1">IFERROR(ALL!R47,0)</f>
        <v>-22.98</v>
      </c>
      <c r="O68" s="16">
        <f ca="1">IFERROR(ALL!S47,0)</f>
        <v>-23.19</v>
      </c>
      <c r="P68" s="16">
        <f ca="1">IFERROR(ALL!T47,0)</f>
        <v>-23.42</v>
      </c>
      <c r="Q68" s="16">
        <f ca="1">IFERROR(ALL!U47,0)</f>
        <v>-23.65</v>
      </c>
      <c r="R68" s="16">
        <f ca="1">IFERROR(ALL!V47,0)</f>
        <v>-23.88</v>
      </c>
      <c r="S68" s="16">
        <f ca="1">IFERROR(ALL!W47,0)</f>
        <v>-24.12</v>
      </c>
      <c r="T68" s="16">
        <f ca="1">IFERROR(ALL!X47,0)</f>
        <v>-25.05</v>
      </c>
      <c r="U68" s="16">
        <f ca="1">IFERROR(ALL!Y47,0)</f>
        <v>-25.94</v>
      </c>
      <c r="V68" s="16">
        <f ca="1">IFERROR(ALL!Z47,0)</f>
        <v>-26.78</v>
      </c>
      <c r="W68" s="16">
        <f ca="1">IFERROR(ALL!AA47,0)</f>
        <v>-27.56</v>
      </c>
      <c r="X68" s="16">
        <f ca="1">IFERROR(ALL!AB47,0)</f>
        <v>-27.76</v>
      </c>
      <c r="Y68" s="16">
        <f ca="1">IFERROR(ALL!AC47,0)</f>
        <v>-27.95</v>
      </c>
      <c r="Z68" s="16">
        <f ca="1">IFERROR(ALL!AD47,0)</f>
        <v>-28.15</v>
      </c>
      <c r="AA68" s="16">
        <f ca="1">IFERROR(ALL!AE47,0)</f>
        <v>-28.35</v>
      </c>
      <c r="AB68" s="16">
        <f ca="1">IFERROR(ALL!AF47,0)</f>
        <v>-29.13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 x14ac:dyDescent="0.4">
      <c r="A69" s="87" t="str">
        <f>IFERROR(ALL!E48,0)</f>
        <v>GeSe</v>
      </c>
      <c r="B69" s="16">
        <f ca="1">IFERROR(ALL!F48,0)</f>
        <v>-41.32</v>
      </c>
      <c r="C69" s="16">
        <f ca="1">IFERROR(ALL!G48,0)</f>
        <v>-39.53</v>
      </c>
      <c r="D69" s="16">
        <f ca="1">IFERROR(ALL!H48,0)</f>
        <v>-37.9</v>
      </c>
      <c r="E69" s="16">
        <f ca="1">IFERROR(ALL!I48,0)</f>
        <v>-36.409999999999997</v>
      </c>
      <c r="F69" s="16">
        <f ca="1">IFERROR(ALL!J48,0)</f>
        <v>-35.08</v>
      </c>
      <c r="G69" s="16">
        <f ca="1">IFERROR(ALL!K48,0)</f>
        <v>-34.08</v>
      </c>
      <c r="H69" s="16">
        <f ca="1">IFERROR(ALL!L48,0)</f>
        <v>-33</v>
      </c>
      <c r="I69" s="16">
        <f ca="1">IFERROR(ALL!M48,0)</f>
        <v>-32.049999999999997</v>
      </c>
      <c r="J69" s="16">
        <f ca="1">IFERROR(ALL!N48,0)</f>
        <v>-31.216999999999999</v>
      </c>
      <c r="K69" s="16">
        <f ca="1">IFERROR(ALL!O48,0)</f>
        <v>-28.811999999999998</v>
      </c>
      <c r="L69" s="16">
        <f ca="1">IFERROR(ALL!P48,0)</f>
        <v>-28.525000000000002</v>
      </c>
      <c r="M69" s="16">
        <f ca="1">IFERROR(ALL!Q48,0)</f>
        <v>-28.413999999999998</v>
      </c>
      <c r="N69" s="16">
        <f ca="1">IFERROR(ALL!R48,0)</f>
        <v>-28.45</v>
      </c>
      <c r="O69" s="16">
        <f ca="1">IFERROR(ALL!S48,0)</f>
        <v>-28.603000000000002</v>
      </c>
      <c r="P69" s="16">
        <f ca="1">IFERROR(ALL!T48,0)</f>
        <v>-28.834000000000003</v>
      </c>
      <c r="Q69" s="16">
        <f ca="1">IFERROR(ALL!U48,0)</f>
        <v>-29.094999999999999</v>
      </c>
      <c r="R69" s="16">
        <f ca="1">IFERROR(ALL!V48,0)</f>
        <v>-29.367999999999999</v>
      </c>
      <c r="S69" s="16">
        <f ca="1">IFERROR(ALL!W48,0)</f>
        <v>-29.653000000000002</v>
      </c>
      <c r="T69" s="16">
        <f ca="1">IFERROR(ALL!X48,0)</f>
        <v>-30.755000000000003</v>
      </c>
      <c r="U69" s="16">
        <f ca="1">IFERROR(ALL!Y48,0)</f>
        <v>-31.808</v>
      </c>
      <c r="V69" s="16">
        <f ca="1">IFERROR(ALL!Z48,0)</f>
        <v>-32.831000000000003</v>
      </c>
      <c r="W69" s="16">
        <f ca="1">IFERROR(ALL!AA48,0)</f>
        <v>-33.847000000000001</v>
      </c>
      <c r="X69" s="16">
        <f ca="1">IFERROR(ALL!AB48,0)</f>
        <v>-34.103000000000002</v>
      </c>
      <c r="Y69" s="16">
        <f ca="1">IFERROR(ALL!AC48,0)</f>
        <v>-34.344000000000001</v>
      </c>
      <c r="Z69" s="16">
        <f ca="1">IFERROR(ALL!AD48,0)</f>
        <v>-34.589999999999996</v>
      </c>
      <c r="AA69" s="16">
        <f ca="1">IFERROR(ALL!AE48,0)</f>
        <v>-34.832000000000001</v>
      </c>
      <c r="AB69" s="16">
        <f ca="1">IFERROR(ALL!AF48,0)</f>
        <v>-35.763999999999996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 x14ac:dyDescent="0.4">
      <c r="A70" s="87" t="str">
        <f>IFERROR(ALL!E49,0)</f>
        <v>Ga2Se</v>
      </c>
      <c r="B70" s="16">
        <f ca="1">IFERROR(ALL!F49,0)</f>
        <v>-156.55000000000001</v>
      </c>
      <c r="C70" s="16">
        <f ca="1">IFERROR(ALL!G49,0)</f>
        <v>-148.28</v>
      </c>
      <c r="D70" s="16">
        <f ca="1">IFERROR(ALL!H49,0)</f>
        <v>-140.60999999999999</v>
      </c>
      <c r="E70" s="16">
        <f ca="1">IFERROR(ALL!I49,0)</f>
        <v>-133.32</v>
      </c>
      <c r="F70" s="16">
        <f ca="1">IFERROR(ALL!J49,0)</f>
        <v>-126.34</v>
      </c>
      <c r="G70" s="16">
        <f ca="1">IFERROR(ALL!K49,0)</f>
        <v>-118.48</v>
      </c>
      <c r="H70" s="16">
        <f ca="1">IFERROR(ALL!L49,0)</f>
        <v>-112.7</v>
      </c>
      <c r="I70" s="16">
        <f ca="1">IFERROR(ALL!M49,0)</f>
        <v>-107.17</v>
      </c>
      <c r="J70" s="16">
        <f ca="1">IFERROR(ALL!N49,0)</f>
        <v>-101.9</v>
      </c>
      <c r="K70" s="16">
        <f ca="1">IFERROR(ALL!O49,0)</f>
        <v>-84.16</v>
      </c>
      <c r="L70" s="16">
        <f ca="1">IFERROR(ALL!P49,0)</f>
        <v>-80.62</v>
      </c>
      <c r="M70" s="16">
        <f ca="1">IFERROR(ALL!Q49,0)</f>
        <v>-77.39</v>
      </c>
      <c r="N70" s="16">
        <f ca="1">IFERROR(ALL!R49,0)</f>
        <v>-74.34</v>
      </c>
      <c r="O70" s="16">
        <f ca="1">IFERROR(ALL!S49,0)</f>
        <v>-71.510000000000005</v>
      </c>
      <c r="P70" s="16">
        <f ca="1">IFERROR(ALL!T49,0)</f>
        <v>-68.86</v>
      </c>
      <c r="Q70" s="16">
        <f ca="1">IFERROR(ALL!U49,0)</f>
        <v>-66.430000000000007</v>
      </c>
      <c r="R70" s="16">
        <f ca="1">IFERROR(ALL!V49,0)</f>
        <v>-64.22</v>
      </c>
      <c r="S70" s="16">
        <f ca="1">IFERROR(ALL!W49,0)</f>
        <v>-62.22</v>
      </c>
      <c r="T70" s="16">
        <f ca="1">IFERROR(ALL!X49,0)</f>
        <v>-55.53</v>
      </c>
      <c r="U70" s="16">
        <f ca="1">IFERROR(ALL!Y49,0)</f>
        <v>-50.2</v>
      </c>
      <c r="V70" s="16">
        <f ca="1">IFERROR(ALL!Z49,0)</f>
        <v>-46.21</v>
      </c>
      <c r="W70" s="16">
        <f ca="1">IFERROR(ALL!AA49,0)</f>
        <v>-44.519999999999996</v>
      </c>
      <c r="X70" s="16">
        <f ca="1">IFERROR(ALL!AB49,0)</f>
        <v>-44.504000000000005</v>
      </c>
      <c r="Y70" s="16">
        <f ca="1">IFERROR(ALL!AC49,0)</f>
        <v>-44.585999999999999</v>
      </c>
      <c r="Z70" s="16">
        <f ca="1">IFERROR(ALL!AD49,0)</f>
        <v>-44.75</v>
      </c>
      <c r="AA70" s="16">
        <f ca="1">IFERROR(ALL!AE49,0)</f>
        <v>-44.96</v>
      </c>
      <c r="AB70" s="16">
        <f ca="1">IFERROR(ALL!AF49,0)</f>
        <v>-45.954000000000001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 x14ac:dyDescent="0.4">
      <c r="A71" s="87" t="str">
        <f>IFERROR(ALL!E50,0)</f>
        <v>Ar</v>
      </c>
      <c r="B71" s="16">
        <f ca="1">IFERROR(ALL!F50,0)</f>
        <v>-18.87</v>
      </c>
      <c r="C71" s="16">
        <f ca="1">IFERROR(ALL!G50,0)</f>
        <v>-18.87</v>
      </c>
      <c r="D71" s="16">
        <f ca="1">IFERROR(ALL!H50,0)</f>
        <v>-18.899999999999999</v>
      </c>
      <c r="E71" s="16">
        <f ca="1">IFERROR(ALL!I50,0)</f>
        <v>-18.95</v>
      </c>
      <c r="F71" s="16">
        <f ca="1">IFERROR(ALL!J50,0)</f>
        <v>-19.010000000000002</v>
      </c>
      <c r="G71" s="16">
        <f ca="1">IFERROR(ALL!K50,0)</f>
        <v>-18.98</v>
      </c>
      <c r="H71" s="16">
        <f ca="1">IFERROR(ALL!L50,0)</f>
        <v>-19.04</v>
      </c>
      <c r="I71" s="16">
        <f ca="1">IFERROR(ALL!M50,0)</f>
        <v>-19.09</v>
      </c>
      <c r="J71" s="16">
        <f ca="1">IFERROR(ALL!N50,0)</f>
        <v>-19.14</v>
      </c>
      <c r="K71" s="16">
        <f ca="1">IFERROR(ALL!O50,0)</f>
        <v>-19.18</v>
      </c>
      <c r="L71" s="16">
        <f ca="1">IFERROR(ALL!P50,0)</f>
        <v>-19.13</v>
      </c>
      <c r="M71" s="16">
        <f ca="1">IFERROR(ALL!Q50,0)</f>
        <v>-19.079999999999998</v>
      </c>
      <c r="N71" s="16">
        <f ca="1">IFERROR(ALL!R50,0)</f>
        <v>-19.04</v>
      </c>
      <c r="O71" s="16">
        <f ca="1">IFERROR(ALL!S50,0)</f>
        <v>-19.03</v>
      </c>
      <c r="P71" s="16">
        <f ca="1">IFERROR(ALL!T50,0)</f>
        <v>-19.04</v>
      </c>
      <c r="Q71" s="16">
        <f ca="1">IFERROR(ALL!U50,0)</f>
        <v>-19.059999999999999</v>
      </c>
      <c r="R71" s="16">
        <f ca="1">IFERROR(ALL!V50,0)</f>
        <v>-19.079999999999998</v>
      </c>
      <c r="S71" s="16">
        <f ca="1">IFERROR(ALL!W50,0)</f>
        <v>-19.11</v>
      </c>
      <c r="T71" s="16">
        <f ca="1">IFERROR(ALL!X50,0)</f>
        <v>-19.25</v>
      </c>
      <c r="U71" s="16">
        <f ca="1">IFERROR(ALL!Y50,0)</f>
        <v>-19.38</v>
      </c>
      <c r="V71" s="16">
        <f ca="1">IFERROR(ALL!Z50,0)</f>
        <v>-19.510000000000002</v>
      </c>
      <c r="W71" s="16">
        <f ca="1">IFERROR(ALL!AA50,0)</f>
        <v>-19.64</v>
      </c>
      <c r="X71" s="16">
        <f ca="1">IFERROR(ALL!AB50,0)</f>
        <v>-19.670000000000002</v>
      </c>
      <c r="Y71" s="16">
        <f ca="1">IFERROR(ALL!AC50,0)</f>
        <v>-19.7</v>
      </c>
      <c r="Z71" s="16">
        <f ca="1">IFERROR(ALL!AD50,0)</f>
        <v>-19.73</v>
      </c>
      <c r="AA71" s="16">
        <f ca="1">IFERROR(ALL!AE50,0)</f>
        <v>-19.760000000000002</v>
      </c>
      <c r="AB71" s="16">
        <f ca="1">IFERROR(ALL!AF50,0)</f>
        <v>-19.88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 x14ac:dyDescent="0.4">
      <c r="A72" s="87" t="str">
        <f>IFERROR(ALL!E51,0)</f>
        <v>(l)GeSe2</v>
      </c>
      <c r="B72" s="16">
        <f ca="1">IFERROR(ALL!F51,0)</f>
        <v>-64.510000000000005</v>
      </c>
      <c r="C72" s="16">
        <f ca="1">IFERROR(ALL!G51,0)</f>
        <v>-61.71</v>
      </c>
      <c r="D72" s="16">
        <f ca="1">IFERROR(ALL!H51,0)</f>
        <v>-59.349999999999994</v>
      </c>
      <c r="E72" s="16">
        <f ca="1">IFERROR(ALL!I51,0)</f>
        <v>-57.43</v>
      </c>
      <c r="F72" s="16">
        <f ca="1">IFERROR(ALL!J51,0)</f>
        <v>-55.94</v>
      </c>
      <c r="G72" s="16">
        <f ca="1">IFERROR(ALL!K51,0)</f>
        <v>-55.52</v>
      </c>
      <c r="H72" s="16">
        <f ca="1">IFERROR(ALL!L51,0)</f>
        <v>-54.34</v>
      </c>
      <c r="I72" s="16">
        <f ca="1">IFERROR(ALL!M51,0)</f>
        <v>-53.44</v>
      </c>
      <c r="J72" s="16">
        <f ca="1">IFERROR(ALL!N51,0)</f>
        <v>-52.756999999999998</v>
      </c>
      <c r="K72" s="16">
        <f ca="1">IFERROR(ALL!O51,0)</f>
        <v>-51.211999999999996</v>
      </c>
      <c r="L72" s="16">
        <f ca="1">IFERROR(ALL!P51,0)</f>
        <v>-51.125</v>
      </c>
      <c r="M72" s="16">
        <f ca="1">IFERROR(ALL!Q51,0)</f>
        <v>-51.204000000000001</v>
      </c>
      <c r="N72" s="16">
        <f ca="1">IFERROR(ALL!R51,0)</f>
        <v>-51.43</v>
      </c>
      <c r="O72" s="16">
        <f ca="1">IFERROR(ALL!S51,0)</f>
        <v>-51.793000000000006</v>
      </c>
      <c r="P72" s="16">
        <f ca="1">IFERROR(ALL!T51,0)</f>
        <v>-52.254000000000005</v>
      </c>
      <c r="Q72" s="16">
        <f ca="1">IFERROR(ALL!U51,0)</f>
        <v>-52.744999999999997</v>
      </c>
      <c r="R72" s="16">
        <f ca="1">IFERROR(ALL!V51,0)</f>
        <v>-53.247999999999998</v>
      </c>
      <c r="S72" s="16">
        <f ca="1">IFERROR(ALL!W51,0)</f>
        <v>-53.773000000000003</v>
      </c>
      <c r="T72" s="16">
        <f ca="1">IFERROR(ALL!X51,0)</f>
        <v>-55.805</v>
      </c>
      <c r="U72" s="16">
        <f ca="1">IFERROR(ALL!Y51,0)</f>
        <v>-57.748000000000005</v>
      </c>
      <c r="V72" s="16">
        <f ca="1">IFERROR(ALL!Z51,0)</f>
        <v>-59.611000000000004</v>
      </c>
      <c r="W72" s="16">
        <f ca="1">IFERROR(ALL!AA51,0)</f>
        <v>-61.406999999999996</v>
      </c>
      <c r="X72" s="16">
        <f ca="1">IFERROR(ALL!AB51,0)</f>
        <v>-61.863</v>
      </c>
      <c r="Y72" s="16">
        <f ca="1">IFERROR(ALL!AC51,0)</f>
        <v>-62.293999999999997</v>
      </c>
      <c r="Z72" s="16">
        <f ca="1">IFERROR(ALL!AD51,0)</f>
        <v>-62.739999999999995</v>
      </c>
      <c r="AA72" s="16">
        <f ca="1">IFERROR(ALL!AE51,0)</f>
        <v>-63.182000000000002</v>
      </c>
      <c r="AB72" s="16">
        <f ca="1">IFERROR(ALL!AF51,0)</f>
        <v>-64.894000000000005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 x14ac:dyDescent="0.4">
      <c r="A73" s="87" t="str">
        <f>IFERROR(ALL!E52,0)</f>
        <v>(l)GeSe</v>
      </c>
      <c r="B73" s="16">
        <f ca="1">IFERROR(ALL!F52,0)</f>
        <v>-41.32</v>
      </c>
      <c r="C73" s="16">
        <f ca="1">IFERROR(ALL!G52,0)</f>
        <v>-39.53</v>
      </c>
      <c r="D73" s="16">
        <f ca="1">IFERROR(ALL!H52,0)</f>
        <v>-37.9</v>
      </c>
      <c r="E73" s="16">
        <f ca="1">IFERROR(ALL!I52,0)</f>
        <v>-36.409999999999997</v>
      </c>
      <c r="F73" s="16">
        <f ca="1">IFERROR(ALL!J52,0)</f>
        <v>-35.08</v>
      </c>
      <c r="G73" s="16">
        <f ca="1">IFERROR(ALL!K52,0)</f>
        <v>-34.08</v>
      </c>
      <c r="H73" s="16">
        <f ca="1">IFERROR(ALL!L52,0)</f>
        <v>-33</v>
      </c>
      <c r="I73" s="16">
        <f ca="1">IFERROR(ALL!M52,0)</f>
        <v>-32.049999999999997</v>
      </c>
      <c r="J73" s="16">
        <f ca="1">IFERROR(ALL!N52,0)</f>
        <v>-31.216999999999999</v>
      </c>
      <c r="K73" s="16">
        <f ca="1">IFERROR(ALL!O52,0)</f>
        <v>-28.811999999999998</v>
      </c>
      <c r="L73" s="16">
        <f ca="1">IFERROR(ALL!P52,0)</f>
        <v>-28.525000000000002</v>
      </c>
      <c r="M73" s="16">
        <f ca="1">IFERROR(ALL!Q52,0)</f>
        <v>-28.413999999999998</v>
      </c>
      <c r="N73" s="16">
        <f ca="1">IFERROR(ALL!R52,0)</f>
        <v>-28.45</v>
      </c>
      <c r="O73" s="16">
        <f ca="1">IFERROR(ALL!S52,0)</f>
        <v>-28.603000000000002</v>
      </c>
      <c r="P73" s="16">
        <f ca="1">IFERROR(ALL!T52,0)</f>
        <v>-28.834000000000003</v>
      </c>
      <c r="Q73" s="16">
        <f ca="1">IFERROR(ALL!U52,0)</f>
        <v>-29.094999999999999</v>
      </c>
      <c r="R73" s="16">
        <f ca="1">IFERROR(ALL!V52,0)</f>
        <v>-29.367999999999999</v>
      </c>
      <c r="S73" s="16">
        <f ca="1">IFERROR(ALL!W52,0)</f>
        <v>-29.653000000000002</v>
      </c>
      <c r="T73" s="16">
        <f ca="1">IFERROR(ALL!X52,0)</f>
        <v>-30.755000000000003</v>
      </c>
      <c r="U73" s="16">
        <f ca="1">IFERROR(ALL!Y52,0)</f>
        <v>-31.808</v>
      </c>
      <c r="V73" s="16">
        <f ca="1">IFERROR(ALL!Z52,0)</f>
        <v>-32.831000000000003</v>
      </c>
      <c r="W73" s="16">
        <f ca="1">IFERROR(ALL!AA52,0)</f>
        <v>-33.847000000000001</v>
      </c>
      <c r="X73" s="16">
        <f ca="1">IFERROR(ALL!AB52,0)</f>
        <v>-34.103000000000002</v>
      </c>
      <c r="Y73" s="16">
        <f ca="1">IFERROR(ALL!AC52,0)</f>
        <v>-34.344000000000001</v>
      </c>
      <c r="Z73" s="16">
        <f ca="1">IFERROR(ALL!AD52,0)</f>
        <v>-34.589999999999996</v>
      </c>
      <c r="AA73" s="16">
        <f ca="1">IFERROR(ALL!AE52,0)</f>
        <v>-34.832000000000001</v>
      </c>
      <c r="AB73" s="16">
        <f ca="1">IFERROR(ALL!AF52,0)</f>
        <v>-35.763999999999996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 x14ac:dyDescent="0.4">
      <c r="A74" s="87" t="str">
        <f>IFERROR(ALL!E53,0)</f>
        <v>(l)Ge</v>
      </c>
      <c r="B74" s="16">
        <f ca="1">IFERROR(ALL!F53,0)</f>
        <v>-18.13</v>
      </c>
      <c r="C74" s="16">
        <f ca="1">IFERROR(ALL!G53,0)</f>
        <v>-17.350000000000001</v>
      </c>
      <c r="D74" s="16">
        <f ca="1">IFERROR(ALL!H53,0)</f>
        <v>-16.45</v>
      </c>
      <c r="E74" s="16">
        <f ca="1">IFERROR(ALL!I53,0)</f>
        <v>-15.39</v>
      </c>
      <c r="F74" s="16">
        <f ca="1">IFERROR(ALL!J53,0)</f>
        <v>-14.22</v>
      </c>
      <c r="G74" s="16">
        <f ca="1">IFERROR(ALL!K53,0)</f>
        <v>-12.64</v>
      </c>
      <c r="H74" s="16">
        <f ca="1">IFERROR(ALL!L53,0)</f>
        <v>-11.66</v>
      </c>
      <c r="I74" s="16">
        <f ca="1">IFERROR(ALL!M53,0)</f>
        <v>-10.66</v>
      </c>
      <c r="J74" s="16">
        <f ca="1">IFERROR(ALL!N53,0)</f>
        <v>-9.6769999999999996</v>
      </c>
      <c r="K74" s="16">
        <f ca="1">IFERROR(ALL!O53,0)</f>
        <v>-6.4119999999999999</v>
      </c>
      <c r="L74" s="16">
        <f ca="1">IFERROR(ALL!P53,0)</f>
        <v>-5.9249999999999998</v>
      </c>
      <c r="M74" s="16">
        <f ca="1">IFERROR(ALL!Q53,0)</f>
        <v>-5.6239999999999997</v>
      </c>
      <c r="N74" s="16">
        <f ca="1">IFERROR(ALL!R53,0)</f>
        <v>-5.47</v>
      </c>
      <c r="O74" s="16">
        <f ca="1">IFERROR(ALL!S53,0)</f>
        <v>-5.4130000000000003</v>
      </c>
      <c r="P74" s="16">
        <f ca="1">IFERROR(ALL!T53,0)</f>
        <v>-5.4139999999999997</v>
      </c>
      <c r="Q74" s="16">
        <f ca="1">IFERROR(ALL!U53,0)</f>
        <v>-5.4450000000000003</v>
      </c>
      <c r="R74" s="16">
        <f ca="1">IFERROR(ALL!V53,0)</f>
        <v>-5.4880000000000004</v>
      </c>
      <c r="S74" s="16">
        <f ca="1">IFERROR(ALL!W53,0)</f>
        <v>-5.5330000000000004</v>
      </c>
      <c r="T74" s="16">
        <f ca="1">IFERROR(ALL!X53,0)</f>
        <v>-5.7050000000000001</v>
      </c>
      <c r="U74" s="16">
        <f ca="1">IFERROR(ALL!Y53,0)</f>
        <v>-5.8680000000000003</v>
      </c>
      <c r="V74" s="16">
        <f ca="1">IFERROR(ALL!Z53,0)</f>
        <v>-6.0510000000000002</v>
      </c>
      <c r="W74" s="16">
        <f ca="1">IFERROR(ALL!AA53,0)</f>
        <v>-6.2869999999999999</v>
      </c>
      <c r="X74" s="16">
        <f ca="1">IFERROR(ALL!AB53,0)</f>
        <v>-6.343</v>
      </c>
      <c r="Y74" s="16">
        <f ca="1">IFERROR(ALL!AC53,0)</f>
        <v>-6.3940000000000001</v>
      </c>
      <c r="Z74" s="16">
        <f ca="1">IFERROR(ALL!AD53,0)</f>
        <v>-6.44</v>
      </c>
      <c r="AA74" s="16">
        <f ca="1">IFERROR(ALL!AE53,0)</f>
        <v>-6.4820000000000002</v>
      </c>
      <c r="AB74" s="16">
        <f ca="1">IFERROR(ALL!AF53,0)</f>
        <v>-6.6340000000000003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 x14ac:dyDescent="0.4">
      <c r="A75" s="87" t="str">
        <f>IFERROR(ALL!E54,0)</f>
        <v>(l)Ga2Se3</v>
      </c>
      <c r="B75" s="16">
        <f ca="1">IFERROR(ALL!F54,0)</f>
        <v>-202.93</v>
      </c>
      <c r="C75" s="16">
        <f ca="1">IFERROR(ALL!G54,0)</f>
        <v>-192.64</v>
      </c>
      <c r="D75" s="16">
        <f ca="1">IFERROR(ALL!H54,0)</f>
        <v>-183.51</v>
      </c>
      <c r="E75" s="16">
        <f ca="1">IFERROR(ALL!I54,0)</f>
        <v>-175.36</v>
      </c>
      <c r="F75" s="16">
        <f ca="1">IFERROR(ALL!J54,0)</f>
        <v>-168.06</v>
      </c>
      <c r="G75" s="16">
        <f ca="1">IFERROR(ALL!K54,0)</f>
        <v>-161.36000000000001</v>
      </c>
      <c r="H75" s="16">
        <f ca="1">IFERROR(ALL!L54,0)</f>
        <v>-155.38</v>
      </c>
      <c r="I75" s="16">
        <f ca="1">IFERROR(ALL!M54,0)</f>
        <v>-149.94999999999999</v>
      </c>
      <c r="J75" s="16">
        <f ca="1">IFERROR(ALL!N54,0)</f>
        <v>-144.98000000000002</v>
      </c>
      <c r="K75" s="16">
        <f ca="1">IFERROR(ALL!O54,0)</f>
        <v>-128.95999999999998</v>
      </c>
      <c r="L75" s="16">
        <f ca="1">IFERROR(ALL!P54,0)</f>
        <v>-125.82000000000002</v>
      </c>
      <c r="M75" s="16">
        <f ca="1">IFERROR(ALL!Q54,0)</f>
        <v>-122.97</v>
      </c>
      <c r="N75" s="16">
        <f ca="1">IFERROR(ALL!R54,0)</f>
        <v>-120.3</v>
      </c>
      <c r="O75" s="16">
        <f ca="1">IFERROR(ALL!S54,0)</f>
        <v>-117.89000000000001</v>
      </c>
      <c r="P75" s="16">
        <f ca="1">IFERROR(ALL!T54,0)</f>
        <v>-115.7</v>
      </c>
      <c r="Q75" s="16">
        <f ca="1">IFERROR(ALL!U54,0)</f>
        <v>-113.72999999999999</v>
      </c>
      <c r="R75" s="16">
        <f ca="1">IFERROR(ALL!V54,0)</f>
        <v>-111.98</v>
      </c>
      <c r="S75" s="16">
        <f ca="1">IFERROR(ALL!W54,0)</f>
        <v>-110.46000000000001</v>
      </c>
      <c r="T75" s="16">
        <f ca="1">IFERROR(ALL!X54,0)</f>
        <v>-105.63000000000001</v>
      </c>
      <c r="U75" s="16">
        <f ca="1">IFERROR(ALL!Y54,0)</f>
        <v>-102.08000000000001</v>
      </c>
      <c r="V75" s="16">
        <f ca="1">IFERROR(ALL!Z54,0)</f>
        <v>-99.77000000000001</v>
      </c>
      <c r="W75" s="16">
        <f ca="1">IFERROR(ALL!AA54,0)</f>
        <v>-99.639999999999986</v>
      </c>
      <c r="X75" s="16">
        <f ca="1">IFERROR(ALL!AB54,0)</f>
        <v>-100.024</v>
      </c>
      <c r="Y75" s="16">
        <f ca="1">IFERROR(ALL!AC54,0)</f>
        <v>-100.48599999999999</v>
      </c>
      <c r="Z75" s="16">
        <f ca="1">IFERROR(ALL!AD54,0)</f>
        <v>-101.04999999999998</v>
      </c>
      <c r="AA75" s="16">
        <f ca="1">IFERROR(ALL!AE54,0)</f>
        <v>-101.66000000000001</v>
      </c>
      <c r="AB75" s="16">
        <f ca="1">IFERROR(ALL!AF54,0)</f>
        <v>-104.214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 x14ac:dyDescent="0.4">
      <c r="A76" s="87" t="str">
        <f>IFERROR(ALL!E55,0)</f>
        <v>(l)GaSe</v>
      </c>
      <c r="B76" s="16">
        <f ca="1">IFERROR(ALL!F55,0)</f>
        <v>-89.87</v>
      </c>
      <c r="C76" s="16">
        <f ca="1">IFERROR(ALL!G55,0)</f>
        <v>-85.22999999999999</v>
      </c>
      <c r="D76" s="16">
        <f ca="1">IFERROR(ALL!H55,0)</f>
        <v>-81.03</v>
      </c>
      <c r="E76" s="16">
        <f ca="1">IFERROR(ALL!I55,0)</f>
        <v>-77.17</v>
      </c>
      <c r="F76" s="16">
        <f ca="1">IFERROR(ALL!J55,0)</f>
        <v>-73.599999999999994</v>
      </c>
      <c r="G76" s="16">
        <f ca="1">IFERROR(ALL!K55,0)</f>
        <v>-69.960000000000008</v>
      </c>
      <c r="H76" s="16">
        <f ca="1">IFERROR(ALL!L55,0)</f>
        <v>-67.02</v>
      </c>
      <c r="I76" s="16">
        <f ca="1">IFERROR(ALL!M55,0)</f>
        <v>-64.28</v>
      </c>
      <c r="J76" s="16">
        <f ca="1">IFERROR(ALL!N55,0)</f>
        <v>-61.72</v>
      </c>
      <c r="K76" s="16">
        <f ca="1">IFERROR(ALL!O55,0)</f>
        <v>-53.28</v>
      </c>
      <c r="L76" s="16">
        <f ca="1">IFERROR(ALL!P55,0)</f>
        <v>-51.61</v>
      </c>
      <c r="M76" s="16">
        <f ca="1">IFERROR(ALL!Q55,0)</f>
        <v>-50.09</v>
      </c>
      <c r="N76" s="16">
        <f ca="1">IFERROR(ALL!R55,0)</f>
        <v>-48.66</v>
      </c>
      <c r="O76" s="16">
        <f ca="1">IFERROR(ALL!S55,0)</f>
        <v>-47.35</v>
      </c>
      <c r="P76" s="16">
        <f ca="1">IFERROR(ALL!T55,0)</f>
        <v>-46.14</v>
      </c>
      <c r="Q76" s="16">
        <f ca="1">IFERROR(ALL!U55,0)</f>
        <v>-45.04</v>
      </c>
      <c r="R76" s="16">
        <f ca="1">IFERROR(ALL!V55,0)</f>
        <v>-44.05</v>
      </c>
      <c r="S76" s="16">
        <f ca="1">IFERROR(ALL!W55,0)</f>
        <v>-43.17</v>
      </c>
      <c r="T76" s="16">
        <f ca="1">IFERROR(ALL!X55,0)</f>
        <v>-40.29</v>
      </c>
      <c r="U76" s="16">
        <f ca="1">IFERROR(ALL!Y55,0)</f>
        <v>-38.07</v>
      </c>
      <c r="V76" s="16">
        <f ca="1">IFERROR(ALL!Z55,0)</f>
        <v>-36.495000000000005</v>
      </c>
      <c r="W76" s="16">
        <f ca="1">IFERROR(ALL!AA55,0)</f>
        <v>-36.04</v>
      </c>
      <c r="X76" s="16">
        <f ca="1">IFERROR(ALL!AB55,0)</f>
        <v>-36.132000000000005</v>
      </c>
      <c r="Y76" s="16">
        <f ca="1">IFERROR(ALL!AC55,0)</f>
        <v>-36.268000000000001</v>
      </c>
      <c r="Z76" s="16">
        <f ca="1">IFERROR(ALL!AD55,0)</f>
        <v>-36.450000000000003</v>
      </c>
      <c r="AA76" s="16">
        <f ca="1">IFERROR(ALL!AE55,0)</f>
        <v>-36.655000000000001</v>
      </c>
      <c r="AB76" s="16">
        <f ca="1">IFERROR(ALL!AF55,0)</f>
        <v>-37.542000000000002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 x14ac:dyDescent="0.4">
      <c r="A77" s="87" t="str">
        <f>IFERROR(ALL!E56,0)</f>
        <v>(l)Ga2Se</v>
      </c>
      <c r="B77" s="16">
        <f ca="1">IFERROR(ALL!F56,0)</f>
        <v>-156.55000000000001</v>
      </c>
      <c r="C77" s="16">
        <f ca="1">IFERROR(ALL!G56,0)</f>
        <v>-148.28</v>
      </c>
      <c r="D77" s="16">
        <f ca="1">IFERROR(ALL!H56,0)</f>
        <v>-140.60999999999999</v>
      </c>
      <c r="E77" s="16">
        <f ca="1">IFERROR(ALL!I56,0)</f>
        <v>-133.32</v>
      </c>
      <c r="F77" s="16">
        <f ca="1">IFERROR(ALL!J56,0)</f>
        <v>-126.34</v>
      </c>
      <c r="G77" s="16">
        <f ca="1">IFERROR(ALL!K56,0)</f>
        <v>-118.48</v>
      </c>
      <c r="H77" s="16">
        <f ca="1">IFERROR(ALL!L56,0)</f>
        <v>-112.7</v>
      </c>
      <c r="I77" s="16">
        <f ca="1">IFERROR(ALL!M56,0)</f>
        <v>-107.17</v>
      </c>
      <c r="J77" s="16">
        <f ca="1">IFERROR(ALL!N56,0)</f>
        <v>-101.9</v>
      </c>
      <c r="K77" s="16">
        <f ca="1">IFERROR(ALL!O56,0)</f>
        <v>-84.16</v>
      </c>
      <c r="L77" s="16">
        <f ca="1">IFERROR(ALL!P56,0)</f>
        <v>-80.62</v>
      </c>
      <c r="M77" s="16">
        <f ca="1">IFERROR(ALL!Q56,0)</f>
        <v>-77.39</v>
      </c>
      <c r="N77" s="16">
        <f ca="1">IFERROR(ALL!R56,0)</f>
        <v>-74.34</v>
      </c>
      <c r="O77" s="16">
        <f ca="1">IFERROR(ALL!S56,0)</f>
        <v>-71.510000000000005</v>
      </c>
      <c r="P77" s="16">
        <f ca="1">IFERROR(ALL!T56,0)</f>
        <v>-68.86</v>
      </c>
      <c r="Q77" s="16">
        <f ca="1">IFERROR(ALL!U56,0)</f>
        <v>-66.430000000000007</v>
      </c>
      <c r="R77" s="16">
        <f ca="1">IFERROR(ALL!V56,0)</f>
        <v>-64.22</v>
      </c>
      <c r="S77" s="16">
        <f ca="1">IFERROR(ALL!W56,0)</f>
        <v>-62.22</v>
      </c>
      <c r="T77" s="16">
        <f ca="1">IFERROR(ALL!X56,0)</f>
        <v>-55.53</v>
      </c>
      <c r="U77" s="16">
        <f ca="1">IFERROR(ALL!Y56,0)</f>
        <v>-50.2</v>
      </c>
      <c r="V77" s="16">
        <f ca="1">IFERROR(ALL!Z56,0)</f>
        <v>-46.21</v>
      </c>
      <c r="W77" s="16">
        <f ca="1">IFERROR(ALL!AA56,0)</f>
        <v>-44.519999999999996</v>
      </c>
      <c r="X77" s="16">
        <f ca="1">IFERROR(ALL!AB56,0)</f>
        <v>-44.504000000000005</v>
      </c>
      <c r="Y77" s="16">
        <f ca="1">IFERROR(ALL!AC56,0)</f>
        <v>-44.585999999999999</v>
      </c>
      <c r="Z77" s="16">
        <f ca="1">IFERROR(ALL!AD56,0)</f>
        <v>-44.75</v>
      </c>
      <c r="AA77" s="16">
        <f ca="1">IFERROR(ALL!AE56,0)</f>
        <v>-44.96</v>
      </c>
      <c r="AB77" s="16">
        <f ca="1">IFERROR(ALL!AF56,0)</f>
        <v>-45.954000000000001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 x14ac:dyDescent="0.4">
      <c r="A78" s="87" t="str">
        <f>IFERROR(ALL!E57,0)</f>
        <v>(l)Ga</v>
      </c>
      <c r="B78" s="16">
        <f ca="1">IFERROR(ALL!F57,0)</f>
        <v>-66.680000000000007</v>
      </c>
      <c r="C78" s="16">
        <f ca="1">IFERROR(ALL!G57,0)</f>
        <v>-63.05</v>
      </c>
      <c r="D78" s="16">
        <f ca="1">IFERROR(ALL!H57,0)</f>
        <v>-59.58</v>
      </c>
      <c r="E78" s="16">
        <f ca="1">IFERROR(ALL!I57,0)</f>
        <v>-56.15</v>
      </c>
      <c r="F78" s="16">
        <f ca="1">IFERROR(ALL!J57,0)</f>
        <v>-52.74</v>
      </c>
      <c r="G78" s="16">
        <f ca="1">IFERROR(ALL!K57,0)</f>
        <v>-48.52</v>
      </c>
      <c r="H78" s="16">
        <f ca="1">IFERROR(ALL!L57,0)</f>
        <v>-45.68</v>
      </c>
      <c r="I78" s="16">
        <f ca="1">IFERROR(ALL!M57,0)</f>
        <v>-42.89</v>
      </c>
      <c r="J78" s="16">
        <f ca="1">IFERROR(ALL!N57,0)</f>
        <v>-40.18</v>
      </c>
      <c r="K78" s="16">
        <f ca="1">IFERROR(ALL!O57,0)</f>
        <v>-30.88</v>
      </c>
      <c r="L78" s="16">
        <f ca="1">IFERROR(ALL!P57,0)</f>
        <v>-29.01</v>
      </c>
      <c r="M78" s="16">
        <f ca="1">IFERROR(ALL!Q57,0)</f>
        <v>-27.3</v>
      </c>
      <c r="N78" s="16">
        <f ca="1">IFERROR(ALL!R57,0)</f>
        <v>-25.68</v>
      </c>
      <c r="O78" s="16">
        <f ca="1">IFERROR(ALL!S57,0)</f>
        <v>-24.16</v>
      </c>
      <c r="P78" s="16">
        <f ca="1">IFERROR(ALL!T57,0)</f>
        <v>-22.72</v>
      </c>
      <c r="Q78" s="16">
        <f ca="1">IFERROR(ALL!U57,0)</f>
        <v>-21.39</v>
      </c>
      <c r="R78" s="16">
        <f ca="1">IFERROR(ALL!V57,0)</f>
        <v>-20.170000000000002</v>
      </c>
      <c r="S78" s="16">
        <f ca="1">IFERROR(ALL!W57,0)</f>
        <v>-19.05</v>
      </c>
      <c r="T78" s="16">
        <f ca="1">IFERROR(ALL!X57,0)</f>
        <v>-15.24</v>
      </c>
      <c r="U78" s="16">
        <f ca="1">IFERROR(ALL!Y57,0)</f>
        <v>-12.13</v>
      </c>
      <c r="V78" s="16">
        <f ca="1">IFERROR(ALL!Z57,0)</f>
        <v>-9.7149999999999999</v>
      </c>
      <c r="W78" s="16">
        <f ca="1">IFERROR(ALL!AA57,0)</f>
        <v>-8.48</v>
      </c>
      <c r="X78" s="16">
        <f ca="1">IFERROR(ALL!AB57,0)</f>
        <v>-8.3719999999999999</v>
      </c>
      <c r="Y78" s="16">
        <f ca="1">IFERROR(ALL!AC57,0)</f>
        <v>-8.3179999999999996</v>
      </c>
      <c r="Z78" s="16">
        <f ca="1">IFERROR(ALL!AD57,0)</f>
        <v>-8.3000000000000007</v>
      </c>
      <c r="AA78" s="16">
        <f ca="1">IFERROR(ALL!AE57,0)</f>
        <v>-8.3049999999999997</v>
      </c>
      <c r="AB78" s="16">
        <f ca="1">IFERROR(ALL!AF57,0)</f>
        <v>-8.4120000000000008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 x14ac:dyDescent="0.4">
      <c r="A79" s="87" t="str">
        <f>IFERROR(ALL!E58,0)</f>
        <v>(l)Se[A]</v>
      </c>
      <c r="B79" s="16">
        <f ca="1">IFERROR(ALL!F58,0)</f>
        <v>-23.19</v>
      </c>
      <c r="C79" s="16">
        <f ca="1">IFERROR(ALL!G58,0)</f>
        <v>-22.18</v>
      </c>
      <c r="D79" s="16">
        <f ca="1">IFERROR(ALL!H58,0)</f>
        <v>-21.45</v>
      </c>
      <c r="E79" s="16">
        <f ca="1">IFERROR(ALL!I58,0)</f>
        <v>-21.02</v>
      </c>
      <c r="F79" s="16">
        <f ca="1">IFERROR(ALL!J58,0)</f>
        <v>-20.86</v>
      </c>
      <c r="G79" s="16">
        <f ca="1">IFERROR(ALL!K58,0)</f>
        <v>-21.44</v>
      </c>
      <c r="H79" s="16">
        <f ca="1">IFERROR(ALL!L58,0)</f>
        <v>-21.34</v>
      </c>
      <c r="I79" s="16">
        <f ca="1">IFERROR(ALL!M58,0)</f>
        <v>-21.39</v>
      </c>
      <c r="J79" s="16">
        <f ca="1">IFERROR(ALL!N58,0)</f>
        <v>-21.54</v>
      </c>
      <c r="K79" s="16">
        <f ca="1">IFERROR(ALL!O58,0)</f>
        <v>-22.4</v>
      </c>
      <c r="L79" s="16">
        <f ca="1">IFERROR(ALL!P58,0)</f>
        <v>-22.6</v>
      </c>
      <c r="M79" s="16">
        <f ca="1">IFERROR(ALL!Q58,0)</f>
        <v>-22.79</v>
      </c>
      <c r="N79" s="16">
        <f ca="1">IFERROR(ALL!R58,0)</f>
        <v>-22.98</v>
      </c>
      <c r="O79" s="16">
        <f ca="1">IFERROR(ALL!S58,0)</f>
        <v>-23.19</v>
      </c>
      <c r="P79" s="16">
        <f ca="1">IFERROR(ALL!T58,0)</f>
        <v>-23.42</v>
      </c>
      <c r="Q79" s="16">
        <f ca="1">IFERROR(ALL!U58,0)</f>
        <v>-23.65</v>
      </c>
      <c r="R79" s="16">
        <f ca="1">IFERROR(ALL!V58,0)</f>
        <v>-23.88</v>
      </c>
      <c r="S79" s="16">
        <f ca="1">IFERROR(ALL!W58,0)</f>
        <v>-24.12</v>
      </c>
      <c r="T79" s="16">
        <f ca="1">IFERROR(ALL!X58,0)</f>
        <v>-25.05</v>
      </c>
      <c r="U79" s="16">
        <f ca="1">IFERROR(ALL!Y58,0)</f>
        <v>-25.94</v>
      </c>
      <c r="V79" s="16">
        <f ca="1">IFERROR(ALL!Z58,0)</f>
        <v>-26.78</v>
      </c>
      <c r="W79" s="16">
        <f ca="1">IFERROR(ALL!AA58,0)</f>
        <v>-27.56</v>
      </c>
      <c r="X79" s="16">
        <f ca="1">IFERROR(ALL!AB58,0)</f>
        <v>-27.76</v>
      </c>
      <c r="Y79" s="16">
        <f ca="1">IFERROR(ALL!AC58,0)</f>
        <v>-27.95</v>
      </c>
      <c r="Z79" s="16">
        <f ca="1">IFERROR(ALL!AD58,0)</f>
        <v>-28.15</v>
      </c>
      <c r="AA79" s="16">
        <f ca="1">IFERROR(ALL!AE58,0)</f>
        <v>-28.35</v>
      </c>
      <c r="AB79" s="16">
        <f ca="1">IFERROR(ALL!AF58,0)</f>
        <v>-29.13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 x14ac:dyDescent="0.4">
      <c r="A80" s="87" t="str">
        <f>IFERROR(ALL!E59,0)</f>
        <v>(l)Se[M]</v>
      </c>
      <c r="B80" s="16">
        <f ca="1">IFERROR(ALL!F59,0)</f>
        <v>-23.19</v>
      </c>
      <c r="C80" s="16">
        <f ca="1">IFERROR(ALL!G59,0)</f>
        <v>-22.18</v>
      </c>
      <c r="D80" s="16">
        <f ca="1">IFERROR(ALL!H59,0)</f>
        <v>-21.45</v>
      </c>
      <c r="E80" s="16">
        <f ca="1">IFERROR(ALL!I59,0)</f>
        <v>-21.02</v>
      </c>
      <c r="F80" s="16">
        <f ca="1">IFERROR(ALL!J59,0)</f>
        <v>-20.86</v>
      </c>
      <c r="G80" s="16">
        <f ca="1">IFERROR(ALL!K59,0)</f>
        <v>-21.44</v>
      </c>
      <c r="H80" s="16">
        <f ca="1">IFERROR(ALL!L59,0)</f>
        <v>-21.34</v>
      </c>
      <c r="I80" s="16">
        <f ca="1">IFERROR(ALL!M59,0)</f>
        <v>-21.39</v>
      </c>
      <c r="J80" s="16">
        <f ca="1">IFERROR(ALL!N59,0)</f>
        <v>-21.54</v>
      </c>
      <c r="K80" s="16">
        <f ca="1">IFERROR(ALL!O59,0)</f>
        <v>-22.4</v>
      </c>
      <c r="L80" s="16">
        <f ca="1">IFERROR(ALL!P59,0)</f>
        <v>-22.6</v>
      </c>
      <c r="M80" s="16">
        <f ca="1">IFERROR(ALL!Q59,0)</f>
        <v>-22.79</v>
      </c>
      <c r="N80" s="16">
        <f ca="1">IFERROR(ALL!R59,0)</f>
        <v>-22.98</v>
      </c>
      <c r="O80" s="16">
        <f ca="1">IFERROR(ALL!S59,0)</f>
        <v>-23.19</v>
      </c>
      <c r="P80" s="16">
        <f ca="1">IFERROR(ALL!T59,0)</f>
        <v>-23.42</v>
      </c>
      <c r="Q80" s="16">
        <f ca="1">IFERROR(ALL!U59,0)</f>
        <v>-23.65</v>
      </c>
      <c r="R80" s="16">
        <f ca="1">IFERROR(ALL!V59,0)</f>
        <v>-23.88</v>
      </c>
      <c r="S80" s="16">
        <f ca="1">IFERROR(ALL!W59,0)</f>
        <v>-24.12</v>
      </c>
      <c r="T80" s="16">
        <f ca="1">IFERROR(ALL!X59,0)</f>
        <v>-25.05</v>
      </c>
      <c r="U80" s="16">
        <f ca="1">IFERROR(ALL!Y59,0)</f>
        <v>-25.94</v>
      </c>
      <c r="V80" s="16">
        <f ca="1">IFERROR(ALL!Z59,0)</f>
        <v>-26.78</v>
      </c>
      <c r="W80" s="16">
        <f ca="1">IFERROR(ALL!AA59,0)</f>
        <v>-27.56</v>
      </c>
      <c r="X80" s="16">
        <f ca="1">IFERROR(ALL!AB59,0)</f>
        <v>-27.76</v>
      </c>
      <c r="Y80" s="16">
        <f ca="1">IFERROR(ALL!AC59,0)</f>
        <v>-27.95</v>
      </c>
      <c r="Z80" s="16">
        <f ca="1">IFERROR(ALL!AD59,0)</f>
        <v>-28.15</v>
      </c>
      <c r="AA80" s="16">
        <f ca="1">IFERROR(ALL!AE59,0)</f>
        <v>-28.35</v>
      </c>
      <c r="AB80" s="16">
        <f ca="1">IFERROR(ALL!AF59,0)</f>
        <v>-29.13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 x14ac:dyDescent="0.4">
      <c r="A81" s="87" t="str">
        <f>IFERROR(ALL!E60,0)</f>
        <v>(l)Se[R]</v>
      </c>
      <c r="B81" s="16">
        <f ca="1">IFERROR(ALL!F60,0)</f>
        <v>-23.19</v>
      </c>
      <c r="C81" s="16">
        <f ca="1">IFERROR(ALL!G60,0)</f>
        <v>-22.18</v>
      </c>
      <c r="D81" s="16">
        <f ca="1">IFERROR(ALL!H60,0)</f>
        <v>-21.45</v>
      </c>
      <c r="E81" s="16">
        <f ca="1">IFERROR(ALL!I60,0)</f>
        <v>-21.02</v>
      </c>
      <c r="F81" s="16">
        <f ca="1">IFERROR(ALL!J60,0)</f>
        <v>-20.86</v>
      </c>
      <c r="G81" s="16">
        <f ca="1">IFERROR(ALL!K60,0)</f>
        <v>-21.44</v>
      </c>
      <c r="H81" s="16">
        <f ca="1">IFERROR(ALL!L60,0)</f>
        <v>-21.34</v>
      </c>
      <c r="I81" s="16">
        <f ca="1">IFERROR(ALL!M60,0)</f>
        <v>-21.39</v>
      </c>
      <c r="J81" s="16">
        <f ca="1">IFERROR(ALL!N60,0)</f>
        <v>-21.54</v>
      </c>
      <c r="K81" s="16">
        <f ca="1">IFERROR(ALL!O60,0)</f>
        <v>-22.4</v>
      </c>
      <c r="L81" s="16">
        <f ca="1">IFERROR(ALL!P60,0)</f>
        <v>-22.6</v>
      </c>
      <c r="M81" s="16">
        <f ca="1">IFERROR(ALL!Q60,0)</f>
        <v>-22.79</v>
      </c>
      <c r="N81" s="16">
        <f ca="1">IFERROR(ALL!R60,0)</f>
        <v>-22.98</v>
      </c>
      <c r="O81" s="16">
        <f ca="1">IFERROR(ALL!S60,0)</f>
        <v>-23.19</v>
      </c>
      <c r="P81" s="16">
        <f ca="1">IFERROR(ALL!T60,0)</f>
        <v>-23.42</v>
      </c>
      <c r="Q81" s="16">
        <f ca="1">IFERROR(ALL!U60,0)</f>
        <v>-23.65</v>
      </c>
      <c r="R81" s="16">
        <f ca="1">IFERROR(ALL!V60,0)</f>
        <v>-23.88</v>
      </c>
      <c r="S81" s="16">
        <f ca="1">IFERROR(ALL!W60,0)</f>
        <v>-24.12</v>
      </c>
      <c r="T81" s="16">
        <f ca="1">IFERROR(ALL!X60,0)</f>
        <v>-25.05</v>
      </c>
      <c r="U81" s="16">
        <f ca="1">IFERROR(ALL!Y60,0)</f>
        <v>-25.94</v>
      </c>
      <c r="V81" s="16">
        <f ca="1">IFERROR(ALL!Z60,0)</f>
        <v>-26.78</v>
      </c>
      <c r="W81" s="16">
        <f ca="1">IFERROR(ALL!AA60,0)</f>
        <v>-27.56</v>
      </c>
      <c r="X81" s="16">
        <f ca="1">IFERROR(ALL!AB60,0)</f>
        <v>-27.76</v>
      </c>
      <c r="Y81" s="16">
        <f ca="1">IFERROR(ALL!AC60,0)</f>
        <v>-27.95</v>
      </c>
      <c r="Z81" s="16">
        <f ca="1">IFERROR(ALL!AD60,0)</f>
        <v>-28.15</v>
      </c>
      <c r="AA81" s="16">
        <f ca="1">IFERROR(ALL!AE60,0)</f>
        <v>-28.35</v>
      </c>
      <c r="AB81" s="16">
        <f ca="1">IFERROR(ALL!AF60,0)</f>
        <v>-29.13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 x14ac:dyDescent="0.4">
      <c r="A82" s="87" t="str">
        <f>IFERROR(ALL!E61,0)</f>
        <v>(l)Se</v>
      </c>
      <c r="B82" s="16">
        <f ca="1">IFERROR(ALL!F61,0)</f>
        <v>-23.19</v>
      </c>
      <c r="C82" s="16">
        <f ca="1">IFERROR(ALL!G61,0)</f>
        <v>-22.18</v>
      </c>
      <c r="D82" s="16">
        <f ca="1">IFERROR(ALL!H61,0)</f>
        <v>-21.45</v>
      </c>
      <c r="E82" s="16">
        <f ca="1">IFERROR(ALL!I61,0)</f>
        <v>-21.02</v>
      </c>
      <c r="F82" s="16">
        <f ca="1">IFERROR(ALL!J61,0)</f>
        <v>-20.86</v>
      </c>
      <c r="G82" s="16">
        <f ca="1">IFERROR(ALL!K61,0)</f>
        <v>-21.44</v>
      </c>
      <c r="H82" s="16">
        <f ca="1">IFERROR(ALL!L61,0)</f>
        <v>-21.34</v>
      </c>
      <c r="I82" s="16">
        <f ca="1">IFERROR(ALL!M61,0)</f>
        <v>-21.39</v>
      </c>
      <c r="J82" s="16">
        <f ca="1">IFERROR(ALL!N61,0)</f>
        <v>-21.54</v>
      </c>
      <c r="K82" s="16">
        <f ca="1">IFERROR(ALL!O61,0)</f>
        <v>-22.4</v>
      </c>
      <c r="L82" s="16">
        <f ca="1">IFERROR(ALL!P61,0)</f>
        <v>-22.6</v>
      </c>
      <c r="M82" s="16">
        <f ca="1">IFERROR(ALL!Q61,0)</f>
        <v>-22.79</v>
      </c>
      <c r="N82" s="16">
        <f ca="1">IFERROR(ALL!R61,0)</f>
        <v>-22.98</v>
      </c>
      <c r="O82" s="16">
        <f ca="1">IFERROR(ALL!S61,0)</f>
        <v>-23.19</v>
      </c>
      <c r="P82" s="16">
        <f ca="1">IFERROR(ALL!T61,0)</f>
        <v>-23.42</v>
      </c>
      <c r="Q82" s="16">
        <f ca="1">IFERROR(ALL!U61,0)</f>
        <v>-23.65</v>
      </c>
      <c r="R82" s="16">
        <f ca="1">IFERROR(ALL!V61,0)</f>
        <v>-23.88</v>
      </c>
      <c r="S82" s="16">
        <f ca="1">IFERROR(ALL!W61,0)</f>
        <v>-24.12</v>
      </c>
      <c r="T82" s="16">
        <f ca="1">IFERROR(ALL!X61,0)</f>
        <v>-25.05</v>
      </c>
      <c r="U82" s="16">
        <f ca="1">IFERROR(ALL!Y61,0)</f>
        <v>-25.94</v>
      </c>
      <c r="V82" s="16">
        <f ca="1">IFERROR(ALL!Z61,0)</f>
        <v>-26.78</v>
      </c>
      <c r="W82" s="16">
        <f ca="1">IFERROR(ALL!AA61,0)</f>
        <v>-27.56</v>
      </c>
      <c r="X82" s="16">
        <f ca="1">IFERROR(ALL!AB61,0)</f>
        <v>-27.76</v>
      </c>
      <c r="Y82" s="16">
        <f ca="1">IFERROR(ALL!AC61,0)</f>
        <v>-27.95</v>
      </c>
      <c r="Z82" s="16">
        <f ca="1">IFERROR(ALL!AD61,0)</f>
        <v>-28.15</v>
      </c>
      <c r="AA82" s="16">
        <f ca="1">IFERROR(ALL!AE61,0)</f>
        <v>-28.35</v>
      </c>
      <c r="AB82" s="16">
        <f ca="1">IFERROR(ALL!AF61,0)</f>
        <v>-29.13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 x14ac:dyDescent="0.4">
      <c r="A83" s="87" t="str">
        <f>IFERROR(ALL!E62,0)</f>
        <v>(2)Ga[l]</v>
      </c>
      <c r="B83" s="16">
        <f ca="1">IFERROR(ALL!F62,0)</f>
        <v>-66.680000000000007</v>
      </c>
      <c r="C83" s="16">
        <f ca="1">IFERROR(ALL!G62,0)</f>
        <v>-63.05</v>
      </c>
      <c r="D83" s="16">
        <f ca="1">IFERROR(ALL!H62,0)</f>
        <v>-59.58</v>
      </c>
      <c r="E83" s="16">
        <f ca="1">IFERROR(ALL!I62,0)</f>
        <v>-56.15</v>
      </c>
      <c r="F83" s="16">
        <f ca="1">IFERROR(ALL!J62,0)</f>
        <v>-52.74</v>
      </c>
      <c r="G83" s="16">
        <f ca="1">IFERROR(ALL!K62,0)</f>
        <v>-48.52</v>
      </c>
      <c r="H83" s="16">
        <f ca="1">IFERROR(ALL!L62,0)</f>
        <v>-45.68</v>
      </c>
      <c r="I83" s="16">
        <f ca="1">IFERROR(ALL!M62,0)</f>
        <v>-42.89</v>
      </c>
      <c r="J83" s="16">
        <f ca="1">IFERROR(ALL!N62,0)</f>
        <v>-40.18</v>
      </c>
      <c r="K83" s="16">
        <f ca="1">IFERROR(ALL!O62,0)</f>
        <v>-30.88</v>
      </c>
      <c r="L83" s="16">
        <f ca="1">IFERROR(ALL!P62,0)</f>
        <v>-29.01</v>
      </c>
      <c r="M83" s="16">
        <f ca="1">IFERROR(ALL!Q62,0)</f>
        <v>-27.3</v>
      </c>
      <c r="N83" s="16">
        <f ca="1">IFERROR(ALL!R62,0)</f>
        <v>-25.68</v>
      </c>
      <c r="O83" s="16">
        <f ca="1">IFERROR(ALL!S62,0)</f>
        <v>-24.16</v>
      </c>
      <c r="P83" s="16">
        <f ca="1">IFERROR(ALL!T62,0)</f>
        <v>-22.72</v>
      </c>
      <c r="Q83" s="16">
        <f ca="1">IFERROR(ALL!U62,0)</f>
        <v>-21.39</v>
      </c>
      <c r="R83" s="16">
        <f ca="1">IFERROR(ALL!V62,0)</f>
        <v>-20.170000000000002</v>
      </c>
      <c r="S83" s="16">
        <f ca="1">IFERROR(ALL!W62,0)</f>
        <v>-19.05</v>
      </c>
      <c r="T83" s="16">
        <f ca="1">IFERROR(ALL!X62,0)</f>
        <v>-15.24</v>
      </c>
      <c r="U83" s="16">
        <f ca="1">IFERROR(ALL!Y62,0)</f>
        <v>-12.13</v>
      </c>
      <c r="V83" s="16">
        <f ca="1">IFERROR(ALL!Z62,0)</f>
        <v>-9.7149999999999999</v>
      </c>
      <c r="W83" s="16">
        <f ca="1">IFERROR(ALL!AA62,0)</f>
        <v>-8.48</v>
      </c>
      <c r="X83" s="16">
        <f ca="1">IFERROR(ALL!AB62,0)</f>
        <v>-8.3719999999999999</v>
      </c>
      <c r="Y83" s="16">
        <f ca="1">IFERROR(ALL!AC62,0)</f>
        <v>-8.3179999999999996</v>
      </c>
      <c r="Z83" s="16">
        <f ca="1">IFERROR(ALL!AD62,0)</f>
        <v>-8.3000000000000007</v>
      </c>
      <c r="AA83" s="16">
        <f ca="1">IFERROR(ALL!AE62,0)</f>
        <v>-8.3049999999999997</v>
      </c>
      <c r="AB83" s="16">
        <f ca="1">IFERROR(ALL!AF62,0)</f>
        <v>-8.4120000000000008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 x14ac:dyDescent="0.4">
      <c r="A84" s="87" t="str">
        <f>IFERROR(ALL!E63,0)</f>
        <v>(2)Ge[l]</v>
      </c>
      <c r="B84" s="16">
        <f ca="1">IFERROR(ALL!F63,0)</f>
        <v>-18.13</v>
      </c>
      <c r="C84" s="16">
        <f ca="1">IFERROR(ALL!G63,0)</f>
        <v>-17.350000000000001</v>
      </c>
      <c r="D84" s="16">
        <f ca="1">IFERROR(ALL!H63,0)</f>
        <v>-16.45</v>
      </c>
      <c r="E84" s="16">
        <f ca="1">IFERROR(ALL!I63,0)</f>
        <v>-15.39</v>
      </c>
      <c r="F84" s="16">
        <f ca="1">IFERROR(ALL!J63,0)</f>
        <v>-14.22</v>
      </c>
      <c r="G84" s="16">
        <f ca="1">IFERROR(ALL!K63,0)</f>
        <v>-12.64</v>
      </c>
      <c r="H84" s="16">
        <f ca="1">IFERROR(ALL!L63,0)</f>
        <v>-11.66</v>
      </c>
      <c r="I84" s="16">
        <f ca="1">IFERROR(ALL!M63,0)</f>
        <v>-10.66</v>
      </c>
      <c r="J84" s="16">
        <f ca="1">IFERROR(ALL!N63,0)</f>
        <v>-9.6769999999999996</v>
      </c>
      <c r="K84" s="16">
        <f ca="1">IFERROR(ALL!O63,0)</f>
        <v>-6.4119999999999999</v>
      </c>
      <c r="L84" s="16">
        <f ca="1">IFERROR(ALL!P63,0)</f>
        <v>-5.9249999999999998</v>
      </c>
      <c r="M84" s="16">
        <f ca="1">IFERROR(ALL!Q63,0)</f>
        <v>-5.6239999999999997</v>
      </c>
      <c r="N84" s="16">
        <f ca="1">IFERROR(ALL!R63,0)</f>
        <v>-5.47</v>
      </c>
      <c r="O84" s="16">
        <f ca="1">IFERROR(ALL!S63,0)</f>
        <v>-5.4130000000000003</v>
      </c>
      <c r="P84" s="16">
        <f ca="1">IFERROR(ALL!T63,0)</f>
        <v>-5.4139999999999997</v>
      </c>
      <c r="Q84" s="16">
        <f ca="1">IFERROR(ALL!U63,0)</f>
        <v>-5.4450000000000003</v>
      </c>
      <c r="R84" s="16">
        <f ca="1">IFERROR(ALL!V63,0)</f>
        <v>-5.4880000000000004</v>
      </c>
      <c r="S84" s="16">
        <f ca="1">IFERROR(ALL!W63,0)</f>
        <v>-5.5330000000000004</v>
      </c>
      <c r="T84" s="16">
        <f ca="1">IFERROR(ALL!X63,0)</f>
        <v>-5.7050000000000001</v>
      </c>
      <c r="U84" s="16">
        <f ca="1">IFERROR(ALL!Y63,0)</f>
        <v>-5.8680000000000003</v>
      </c>
      <c r="V84" s="16">
        <f ca="1">IFERROR(ALL!Z63,0)</f>
        <v>-6.0510000000000002</v>
      </c>
      <c r="W84" s="16">
        <f ca="1">IFERROR(ALL!AA63,0)</f>
        <v>-6.2869999999999999</v>
      </c>
      <c r="X84" s="16">
        <f ca="1">IFERROR(ALL!AB63,0)</f>
        <v>-6.343</v>
      </c>
      <c r="Y84" s="16">
        <f ca="1">IFERROR(ALL!AC63,0)</f>
        <v>-6.3940000000000001</v>
      </c>
      <c r="Z84" s="16">
        <f ca="1">IFERROR(ALL!AD63,0)</f>
        <v>-6.44</v>
      </c>
      <c r="AA84" s="16">
        <f ca="1">IFERROR(ALL!AE63,0)</f>
        <v>-6.4820000000000002</v>
      </c>
      <c r="AB84" s="16">
        <f ca="1">IFERROR(ALL!AF63,0)</f>
        <v>-6.6340000000000003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 x14ac:dyDescent="0.4">
      <c r="A85" s="87" t="str">
        <f>IFERROR(ALL!E64,0)</f>
        <v>H (Ar)</v>
      </c>
      <c r="B85" s="16">
        <f ca="1">IFERROR(ALL!F64,0)</f>
        <v>-18.87</v>
      </c>
      <c r="C85" s="16">
        <f ca="1">IFERROR(ALL!G64,0)</f>
        <v>-18.87</v>
      </c>
      <c r="D85" s="16">
        <f ca="1">IFERROR(ALL!H64,0)</f>
        <v>-18.899999999999999</v>
      </c>
      <c r="E85" s="16">
        <f ca="1">IFERROR(ALL!I64,0)</f>
        <v>-18.95</v>
      </c>
      <c r="F85" s="16">
        <f ca="1">IFERROR(ALL!J64,0)</f>
        <v>-19.010000000000002</v>
      </c>
      <c r="G85" s="16">
        <f ca="1">IFERROR(ALL!K64,0)</f>
        <v>-18.98</v>
      </c>
      <c r="H85" s="16">
        <f ca="1">IFERROR(ALL!L64,0)</f>
        <v>-19.04</v>
      </c>
      <c r="I85" s="16">
        <f ca="1">IFERROR(ALL!M64,0)</f>
        <v>-19.09</v>
      </c>
      <c r="J85" s="16">
        <f ca="1">IFERROR(ALL!N64,0)</f>
        <v>-19.14</v>
      </c>
      <c r="K85" s="16">
        <f ca="1">IFERROR(ALL!O64,0)</f>
        <v>-19.18</v>
      </c>
      <c r="L85" s="16">
        <f ca="1">IFERROR(ALL!P64,0)</f>
        <v>-19.13</v>
      </c>
      <c r="M85" s="16">
        <f ca="1">IFERROR(ALL!Q64,0)</f>
        <v>-19.079999999999998</v>
      </c>
      <c r="N85" s="16">
        <f ca="1">IFERROR(ALL!R64,0)</f>
        <v>-19.04</v>
      </c>
      <c r="O85" s="16">
        <f ca="1">IFERROR(ALL!S64,0)</f>
        <v>-19.03</v>
      </c>
      <c r="P85" s="16">
        <f ca="1">IFERROR(ALL!T64,0)</f>
        <v>-19.04</v>
      </c>
      <c r="Q85" s="16">
        <f ca="1">IFERROR(ALL!U64,0)</f>
        <v>-19.059999999999999</v>
      </c>
      <c r="R85" s="16">
        <f ca="1">IFERROR(ALL!V64,0)</f>
        <v>-19.079999999999998</v>
      </c>
      <c r="S85" s="16">
        <f ca="1">IFERROR(ALL!W64,0)</f>
        <v>-19.11</v>
      </c>
      <c r="T85" s="16">
        <f ca="1">IFERROR(ALL!X64,0)</f>
        <v>-19.25</v>
      </c>
      <c r="U85" s="16">
        <f ca="1">IFERROR(ALL!Y64,0)</f>
        <v>-19.38</v>
      </c>
      <c r="V85" s="16">
        <f ca="1">IFERROR(ALL!Z64,0)</f>
        <v>-19.510000000000002</v>
      </c>
      <c r="W85" s="16">
        <f ca="1">IFERROR(ALL!AA64,0)</f>
        <v>-19.64</v>
      </c>
      <c r="X85" s="16">
        <f ca="1">IFERROR(ALL!AB64,0)</f>
        <v>-19.670000000000002</v>
      </c>
      <c r="Y85" s="16">
        <f ca="1">IFERROR(ALL!AC64,0)</f>
        <v>-19.7</v>
      </c>
      <c r="Z85" s="16">
        <f ca="1">IFERROR(ALL!AD64,0)</f>
        <v>-19.73</v>
      </c>
      <c r="AA85" s="16">
        <f ca="1">IFERROR(ALL!AE64,0)</f>
        <v>-19.760000000000002</v>
      </c>
      <c r="AB85" s="16">
        <f ca="1">IFERROR(ALL!AF64,0)</f>
        <v>-19.88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 x14ac:dyDescent="0.4">
      <c r="A86" s="87" t="str">
        <f>IFERROR(ALL!E65,0)</f>
        <v>H (Ga)</v>
      </c>
      <c r="B86" s="16">
        <f ca="1">IFERROR(ALL!F65,0)</f>
        <v>-66.680000000000007</v>
      </c>
      <c r="C86" s="16">
        <f ca="1">IFERROR(ALL!G65,0)</f>
        <v>-63.05</v>
      </c>
      <c r="D86" s="16">
        <f ca="1">IFERROR(ALL!H65,0)</f>
        <v>-59.58</v>
      </c>
      <c r="E86" s="16">
        <f ca="1">IFERROR(ALL!I65,0)</f>
        <v>-56.15</v>
      </c>
      <c r="F86" s="16">
        <f ca="1">IFERROR(ALL!J65,0)</f>
        <v>-52.74</v>
      </c>
      <c r="G86" s="16">
        <f ca="1">IFERROR(ALL!K65,0)</f>
        <v>-48.52</v>
      </c>
      <c r="H86" s="16">
        <f ca="1">IFERROR(ALL!L65,0)</f>
        <v>-45.68</v>
      </c>
      <c r="I86" s="16">
        <f ca="1">IFERROR(ALL!M65,0)</f>
        <v>-42.89</v>
      </c>
      <c r="J86" s="16">
        <f ca="1">IFERROR(ALL!N65,0)</f>
        <v>-40.18</v>
      </c>
      <c r="K86" s="16">
        <f ca="1">IFERROR(ALL!O65,0)</f>
        <v>-30.88</v>
      </c>
      <c r="L86" s="16">
        <f ca="1">IFERROR(ALL!P65,0)</f>
        <v>-29.01</v>
      </c>
      <c r="M86" s="16">
        <f ca="1">IFERROR(ALL!Q65,0)</f>
        <v>-27.3</v>
      </c>
      <c r="N86" s="16">
        <f ca="1">IFERROR(ALL!R65,0)</f>
        <v>-25.68</v>
      </c>
      <c r="O86" s="16">
        <f ca="1">IFERROR(ALL!S65,0)</f>
        <v>-24.16</v>
      </c>
      <c r="P86" s="16">
        <f ca="1">IFERROR(ALL!T65,0)</f>
        <v>-22.72</v>
      </c>
      <c r="Q86" s="16">
        <f ca="1">IFERROR(ALL!U65,0)</f>
        <v>-21.39</v>
      </c>
      <c r="R86" s="16">
        <f ca="1">IFERROR(ALL!V65,0)</f>
        <v>-20.170000000000002</v>
      </c>
      <c r="S86" s="16">
        <f ca="1">IFERROR(ALL!W65,0)</f>
        <v>-19.05</v>
      </c>
      <c r="T86" s="16">
        <f ca="1">IFERROR(ALL!X65,0)</f>
        <v>-15.24</v>
      </c>
      <c r="U86" s="16">
        <f ca="1">IFERROR(ALL!Y65,0)</f>
        <v>-12.13</v>
      </c>
      <c r="V86" s="16">
        <f ca="1">IFERROR(ALL!Z65,0)</f>
        <v>-9.7149999999999999</v>
      </c>
      <c r="W86" s="16">
        <f ca="1">IFERROR(ALL!AA65,0)</f>
        <v>-8.48</v>
      </c>
      <c r="X86" s="16">
        <f ca="1">IFERROR(ALL!AB65,0)</f>
        <v>-8.3719999999999999</v>
      </c>
      <c r="Y86" s="16">
        <f ca="1">IFERROR(ALL!AC65,0)</f>
        <v>-8.3179999999999996</v>
      </c>
      <c r="Z86" s="16">
        <f ca="1">IFERROR(ALL!AD65,0)</f>
        <v>-8.3000000000000007</v>
      </c>
      <c r="AA86" s="16">
        <f ca="1">IFERROR(ALL!AE65,0)</f>
        <v>-8.3049999999999997</v>
      </c>
      <c r="AB86" s="16">
        <f ca="1">IFERROR(ALL!AF65,0)</f>
        <v>-8.4120000000000008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 x14ac:dyDescent="0.4">
      <c r="A87" s="87" t="str">
        <f>IFERROR(ALL!E66,0)</f>
        <v>H (Ge)</v>
      </c>
      <c r="B87" s="16">
        <f ca="1">IFERROR(ALL!F66,0)</f>
        <v>-18.13</v>
      </c>
      <c r="C87" s="16">
        <f ca="1">IFERROR(ALL!G66,0)</f>
        <v>-17.350000000000001</v>
      </c>
      <c r="D87" s="16">
        <f ca="1">IFERROR(ALL!H66,0)</f>
        <v>-16.45</v>
      </c>
      <c r="E87" s="16">
        <f ca="1">IFERROR(ALL!I66,0)</f>
        <v>-15.39</v>
      </c>
      <c r="F87" s="16">
        <f ca="1">IFERROR(ALL!J66,0)</f>
        <v>-14.22</v>
      </c>
      <c r="G87" s="16">
        <f ca="1">IFERROR(ALL!K66,0)</f>
        <v>-12.64</v>
      </c>
      <c r="H87" s="16">
        <f ca="1">IFERROR(ALL!L66,0)</f>
        <v>-11.66</v>
      </c>
      <c r="I87" s="16">
        <f ca="1">IFERROR(ALL!M66,0)</f>
        <v>-10.66</v>
      </c>
      <c r="J87" s="16">
        <f ca="1">IFERROR(ALL!N66,0)</f>
        <v>-9.6769999999999996</v>
      </c>
      <c r="K87" s="16">
        <f ca="1">IFERROR(ALL!O66,0)</f>
        <v>-6.4119999999999999</v>
      </c>
      <c r="L87" s="16">
        <f ca="1">IFERROR(ALL!P66,0)</f>
        <v>-5.9249999999999998</v>
      </c>
      <c r="M87" s="16">
        <f ca="1">IFERROR(ALL!Q66,0)</f>
        <v>-5.6239999999999997</v>
      </c>
      <c r="N87" s="16">
        <f ca="1">IFERROR(ALL!R66,0)</f>
        <v>-5.47</v>
      </c>
      <c r="O87" s="16">
        <f ca="1">IFERROR(ALL!S66,0)</f>
        <v>-5.4130000000000003</v>
      </c>
      <c r="P87" s="16">
        <f ca="1">IFERROR(ALL!T66,0)</f>
        <v>-5.4139999999999997</v>
      </c>
      <c r="Q87" s="16">
        <f ca="1">IFERROR(ALL!U66,0)</f>
        <v>-5.4450000000000003</v>
      </c>
      <c r="R87" s="16">
        <f ca="1">IFERROR(ALL!V66,0)</f>
        <v>-5.4880000000000004</v>
      </c>
      <c r="S87" s="16">
        <f ca="1">IFERROR(ALL!W66,0)</f>
        <v>-5.5330000000000004</v>
      </c>
      <c r="T87" s="16">
        <f ca="1">IFERROR(ALL!X66,0)</f>
        <v>-5.7050000000000001</v>
      </c>
      <c r="U87" s="16">
        <f ca="1">IFERROR(ALL!Y66,0)</f>
        <v>-5.8680000000000003</v>
      </c>
      <c r="V87" s="16">
        <f ca="1">IFERROR(ALL!Z66,0)</f>
        <v>-6.0510000000000002</v>
      </c>
      <c r="W87" s="16">
        <f ca="1">IFERROR(ALL!AA66,0)</f>
        <v>-6.2869999999999999</v>
      </c>
      <c r="X87" s="16">
        <f ca="1">IFERROR(ALL!AB66,0)</f>
        <v>-6.343</v>
      </c>
      <c r="Y87" s="16">
        <f ca="1">IFERROR(ALL!AC66,0)</f>
        <v>-6.3940000000000001</v>
      </c>
      <c r="Z87" s="16">
        <f ca="1">IFERROR(ALL!AD66,0)</f>
        <v>-6.44</v>
      </c>
      <c r="AA87" s="16">
        <f ca="1">IFERROR(ALL!AE66,0)</f>
        <v>-6.4820000000000002</v>
      </c>
      <c r="AB87" s="16">
        <f ca="1">IFERROR(ALL!AF66,0)</f>
        <v>-6.6340000000000003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 x14ac:dyDescent="0.4">
      <c r="A88" s="87" t="str">
        <f>IFERROR(ALL!E67,0)</f>
        <v>H (Se)</v>
      </c>
      <c r="B88" s="16">
        <f ca="1">IFERROR(ALL!F67,0)</f>
        <v>-23.19</v>
      </c>
      <c r="C88" s="16">
        <f ca="1">IFERROR(ALL!G67,0)</f>
        <v>-22.18</v>
      </c>
      <c r="D88" s="16">
        <f ca="1">IFERROR(ALL!H67,0)</f>
        <v>-21.45</v>
      </c>
      <c r="E88" s="16">
        <f ca="1">IFERROR(ALL!I67,0)</f>
        <v>-21.02</v>
      </c>
      <c r="F88" s="16">
        <f ca="1">IFERROR(ALL!J67,0)</f>
        <v>-20.86</v>
      </c>
      <c r="G88" s="16">
        <f ca="1">IFERROR(ALL!K67,0)</f>
        <v>-21.44</v>
      </c>
      <c r="H88" s="16">
        <f ca="1">IFERROR(ALL!L67,0)</f>
        <v>-21.34</v>
      </c>
      <c r="I88" s="16">
        <f ca="1">IFERROR(ALL!M67,0)</f>
        <v>-21.39</v>
      </c>
      <c r="J88" s="16">
        <f ca="1">IFERROR(ALL!N67,0)</f>
        <v>-21.54</v>
      </c>
      <c r="K88" s="16">
        <f ca="1">IFERROR(ALL!O67,0)</f>
        <v>-22.4</v>
      </c>
      <c r="L88" s="16">
        <f ca="1">IFERROR(ALL!P67,0)</f>
        <v>-22.6</v>
      </c>
      <c r="M88" s="16">
        <f ca="1">IFERROR(ALL!Q67,0)</f>
        <v>-22.79</v>
      </c>
      <c r="N88" s="16">
        <f ca="1">IFERROR(ALL!R67,0)</f>
        <v>-22.98</v>
      </c>
      <c r="O88" s="16">
        <f ca="1">IFERROR(ALL!S67,0)</f>
        <v>-23.19</v>
      </c>
      <c r="P88" s="16">
        <f ca="1">IFERROR(ALL!T67,0)</f>
        <v>-23.42</v>
      </c>
      <c r="Q88" s="16">
        <f ca="1">IFERROR(ALL!U67,0)</f>
        <v>-23.65</v>
      </c>
      <c r="R88" s="16">
        <f ca="1">IFERROR(ALL!V67,0)</f>
        <v>-23.88</v>
      </c>
      <c r="S88" s="16">
        <f ca="1">IFERROR(ALL!W67,0)</f>
        <v>-24.12</v>
      </c>
      <c r="T88" s="16">
        <f ca="1">IFERROR(ALL!X67,0)</f>
        <v>-25.05</v>
      </c>
      <c r="U88" s="16">
        <f ca="1">IFERROR(ALL!Y67,0)</f>
        <v>-25.94</v>
      </c>
      <c r="V88" s="16">
        <f ca="1">IFERROR(ALL!Z67,0)</f>
        <v>-26.78</v>
      </c>
      <c r="W88" s="16">
        <f ca="1">IFERROR(ALL!AA67,0)</f>
        <v>-27.56</v>
      </c>
      <c r="X88" s="16">
        <f ca="1">IFERROR(ALL!AB67,0)</f>
        <v>-27.76</v>
      </c>
      <c r="Y88" s="16">
        <f ca="1">IFERROR(ALL!AC67,0)</f>
        <v>-27.95</v>
      </c>
      <c r="Z88" s="16">
        <f ca="1">IFERROR(ALL!AD67,0)</f>
        <v>-28.15</v>
      </c>
      <c r="AA88" s="16">
        <f ca="1">IFERROR(ALL!AE67,0)</f>
        <v>-28.35</v>
      </c>
      <c r="AB88" s="16">
        <f ca="1">IFERROR(ALL!AF67,0)</f>
        <v>-29.13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 x14ac:dyDescent="0.4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 x14ac:dyDescent="0.35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9.9499999999999993" customHeight="1" thickTop="1" thickBot="1" x14ac:dyDescent="0.4">
      <c r="A101" s="45" t="s">
        <v>102</v>
      </c>
      <c r="B101" s="35">
        <v>-15.28274886535552</v>
      </c>
      <c r="C101" s="35">
        <v>-15.442506807866867</v>
      </c>
      <c r="D101" s="47">
        <v>-15.602264750378213</v>
      </c>
      <c r="E101" s="47">
        <v>-15.762022692889561</v>
      </c>
      <c r="F101" s="47">
        <v>-15.923124054462933</v>
      </c>
      <c r="G101" s="47">
        <v>-16.099674735249621</v>
      </c>
      <c r="H101" s="47">
        <v>-16.276225416036308</v>
      </c>
      <c r="I101" s="47">
        <v>-16.452776096822994</v>
      </c>
      <c r="J101" s="47">
        <v>-16.629326777609684</v>
      </c>
      <c r="K101" s="47">
        <v>-16.80587745839637</v>
      </c>
      <c r="L101" s="47">
        <v>-16.982428139183057</v>
      </c>
      <c r="M101" s="47">
        <v>-17.157698940998486</v>
      </c>
      <c r="N101" s="47">
        <v>-17.331526475037823</v>
      </c>
      <c r="O101" s="47">
        <v>-17.505354009077156</v>
      </c>
      <c r="P101" s="47">
        <v>-17.679181543116492</v>
      </c>
      <c r="Q101" s="47">
        <v>-17.853009077155825</v>
      </c>
      <c r="R101" s="47">
        <v>-18.026836611195161</v>
      </c>
      <c r="S101" s="47">
        <v>-18.200664145234494</v>
      </c>
      <c r="T101" s="47">
        <v>-18.366685325264751</v>
      </c>
      <c r="U101" s="47">
        <v>-18.531435703479577</v>
      </c>
      <c r="V101" s="47">
        <v>-18.696186081694403</v>
      </c>
      <c r="W101" s="47">
        <v>-18.86093645990923</v>
      </c>
      <c r="X101" s="47">
        <v>-19.025686838124056</v>
      </c>
      <c r="Y101" s="47">
        <v>-19.190437216338882</v>
      </c>
      <c r="Z101" s="47">
        <v>-19.353545454545454</v>
      </c>
      <c r="AA101" s="47">
        <v>-19.511727272727274</v>
      </c>
      <c r="AB101" s="47">
        <v>-19.667727272727276</v>
      </c>
      <c r="AC101" s="47">
        <v>-19.822272727272729</v>
      </c>
      <c r="AD101" s="47">
        <v>-19.971636363636364</v>
      </c>
      <c r="AE101" s="47">
        <v>-20.119636363636364</v>
      </c>
      <c r="AF101" s="47">
        <v>-20.265090909090912</v>
      </c>
      <c r="AG101" s="47">
        <v>-20.404207261724661</v>
      </c>
      <c r="AH101" s="47">
        <v>-20.53991074130106</v>
      </c>
      <c r="AI101" s="47">
        <v>-20.67561422087746</v>
      </c>
      <c r="AJ101" s="47">
        <v>-20.811317700453859</v>
      </c>
      <c r="AK101" s="47">
        <v>-20.947021180030259</v>
      </c>
      <c r="AL101" s="47">
        <v>-21.082724659606658</v>
      </c>
      <c r="AM101" s="47">
        <v>-21.217992435703479</v>
      </c>
      <c r="AN101" s="47">
        <v>-21.342803328290469</v>
      </c>
      <c r="AO101" s="47">
        <v>-21.467614220877458</v>
      </c>
      <c r="AP101" s="47">
        <v>-21.592425113464447</v>
      </c>
      <c r="AQ101" s="47">
        <v>-21.717236006051436</v>
      </c>
      <c r="AR101" s="47">
        <v>-21.842046898638426</v>
      </c>
      <c r="AS101" s="47">
        <v>-21.966857791225415</v>
      </c>
      <c r="AT101" s="47">
        <v>-22.090107413010589</v>
      </c>
      <c r="AU101" s="47">
        <v>-22.211287443267775</v>
      </c>
      <c r="AV101" s="47">
        <v>-22.332467473524964</v>
      </c>
      <c r="AW101" s="47">
        <v>-22.45364750378215</v>
      </c>
      <c r="AX101" s="47">
        <v>-22.574827534039336</v>
      </c>
      <c r="AY101" s="47">
        <v>-22.696007564296522</v>
      </c>
      <c r="AZ101" s="47">
        <v>-22.817187594553708</v>
      </c>
      <c r="BA101" s="47">
        <v>-22.940754545454549</v>
      </c>
      <c r="BB101" s="47">
        <v>-23.064845454545456</v>
      </c>
      <c r="BC101" s="47">
        <v>-23.188936363636365</v>
      </c>
      <c r="BD101" s="47">
        <v>-23.313027272727275</v>
      </c>
      <c r="BE101" s="47">
        <v>-23.437118181818185</v>
      </c>
      <c r="BF101" s="47">
        <v>-23.561209090909092</v>
      </c>
      <c r="BG101" s="47">
        <v>-23.68805446293495</v>
      </c>
      <c r="BH101" s="47">
        <v>-23.824665658093799</v>
      </c>
      <c r="BI101" s="47">
        <v>-23.961276853252649</v>
      </c>
      <c r="BJ101" s="47">
        <v>-24.097888048411498</v>
      </c>
      <c r="BK101" s="47">
        <v>-24.234499243570347</v>
      </c>
      <c r="BL101" s="47">
        <v>-24.3711104387292</v>
      </c>
      <c r="BM101" s="47">
        <v>-24.50772163388805</v>
      </c>
      <c r="BN101" s="47">
        <v>-24.653054545454545</v>
      </c>
      <c r="BO101" s="47">
        <v>-24.803963636363637</v>
      </c>
      <c r="BP101" s="47">
        <v>-24.960939759036144</v>
      </c>
      <c r="BQ101" s="47">
        <v>-25.121181818181817</v>
      </c>
      <c r="BR101" s="47">
        <v>-25.288454545454545</v>
      </c>
      <c r="BS101" s="47">
        <v>-25.461636363636362</v>
      </c>
      <c r="BT101" s="47">
        <v>-25.637999999999998</v>
      </c>
    </row>
    <row r="102" spans="1:72" ht="9.9499999999999993" customHeight="1" thickBot="1" x14ac:dyDescent="0.4">
      <c r="A102" s="45" t="s">
        <v>103</v>
      </c>
      <c r="B102" s="35">
        <v>-20.376998487140696</v>
      </c>
      <c r="C102" s="35">
        <v>-20.590009077155823</v>
      </c>
      <c r="D102" s="47">
        <v>-20.803019667170954</v>
      </c>
      <c r="E102" s="47">
        <v>-21.016030257186081</v>
      </c>
      <c r="F102" s="47">
        <v>-21.230832072617247</v>
      </c>
      <c r="G102" s="47">
        <v>-21.46623298033283</v>
      </c>
      <c r="H102" s="47">
        <v>-21.701633888048413</v>
      </c>
      <c r="I102" s="47">
        <v>-21.937034795763996</v>
      </c>
      <c r="J102" s="47">
        <v>-22.172435703479575</v>
      </c>
      <c r="K102" s="47">
        <v>-22.407836611195158</v>
      </c>
      <c r="L102" s="47">
        <v>-22.643237518910741</v>
      </c>
      <c r="M102" s="47">
        <v>-22.876931921331316</v>
      </c>
      <c r="N102" s="47">
        <v>-23.108701966717096</v>
      </c>
      <c r="O102" s="47">
        <v>-23.340472012102875</v>
      </c>
      <c r="P102" s="47">
        <v>-23.572242057488655</v>
      </c>
      <c r="Q102" s="47">
        <v>-23.804012102874434</v>
      </c>
      <c r="R102" s="47">
        <v>-24.035782148260214</v>
      </c>
      <c r="S102" s="47">
        <v>-24.267552193645994</v>
      </c>
      <c r="T102" s="47">
        <v>-24.488913767019667</v>
      </c>
      <c r="U102" s="47">
        <v>-24.708580937972769</v>
      </c>
      <c r="V102" s="47">
        <v>-24.928248108925871</v>
      </c>
      <c r="W102" s="47">
        <v>-25.147915279878973</v>
      </c>
      <c r="X102" s="47">
        <v>-25.367582450832071</v>
      </c>
      <c r="Y102" s="47">
        <v>-25.587249621785173</v>
      </c>
      <c r="Z102" s="47">
        <v>-25.804727272727273</v>
      </c>
      <c r="AA102" s="47">
        <v>-26.015636363636364</v>
      </c>
      <c r="AB102" s="47">
        <v>-26.223636363636366</v>
      </c>
      <c r="AC102" s="47">
        <v>-26.42969696969697</v>
      </c>
      <c r="AD102" s="47">
        <v>-26.628848484848486</v>
      </c>
      <c r="AE102" s="47">
        <v>-26.826181818181819</v>
      </c>
      <c r="AF102" s="47">
        <v>-27.020121212121214</v>
      </c>
      <c r="AG102" s="47">
        <v>-27.205609682299546</v>
      </c>
      <c r="AH102" s="47">
        <v>-27.386547655068078</v>
      </c>
      <c r="AI102" s="47">
        <v>-27.567485627836611</v>
      </c>
      <c r="AJ102" s="47">
        <v>-27.748423600605143</v>
      </c>
      <c r="AK102" s="47">
        <v>-27.929361573373676</v>
      </c>
      <c r="AL102" s="47">
        <v>-28.110299546142208</v>
      </c>
      <c r="AM102" s="47">
        <v>-28.29065658093797</v>
      </c>
      <c r="AN102" s="47">
        <v>-28.457071104387289</v>
      </c>
      <c r="AO102" s="47">
        <v>-28.623485627836612</v>
      </c>
      <c r="AP102" s="47">
        <v>-28.789900151285931</v>
      </c>
      <c r="AQ102" s="47">
        <v>-28.95631467473525</v>
      </c>
      <c r="AR102" s="47">
        <v>-29.122729198184569</v>
      </c>
      <c r="AS102" s="47">
        <v>-29.289143721633888</v>
      </c>
      <c r="AT102" s="47">
        <v>-29.453476550680787</v>
      </c>
      <c r="AU102" s="47">
        <v>-29.615049924357034</v>
      </c>
      <c r="AV102" s="47">
        <v>-29.776623298033282</v>
      </c>
      <c r="AW102" s="47">
        <v>-29.938196671709534</v>
      </c>
      <c r="AX102" s="47">
        <v>-30.099770045385782</v>
      </c>
      <c r="AY102" s="47">
        <v>-30.26134341906203</v>
      </c>
      <c r="AZ102" s="47">
        <v>-30.422916792738278</v>
      </c>
      <c r="BA102" s="47">
        <v>-30.587672727272729</v>
      </c>
      <c r="BB102" s="47">
        <v>-30.753127272727276</v>
      </c>
      <c r="BC102" s="47">
        <v>-30.918581818181821</v>
      </c>
      <c r="BD102" s="47">
        <v>-31.084036363636365</v>
      </c>
      <c r="BE102" s="47">
        <v>-31.249490909090909</v>
      </c>
      <c r="BF102" s="47">
        <v>-31.414945454545457</v>
      </c>
      <c r="BG102" s="47">
        <v>-31.584072617246598</v>
      </c>
      <c r="BH102" s="47">
        <v>-31.766220877458398</v>
      </c>
      <c r="BI102" s="47">
        <v>-31.948369137670198</v>
      </c>
      <c r="BJ102" s="47">
        <v>-32.130517397881995</v>
      </c>
      <c r="BK102" s="47">
        <v>-32.312665658093799</v>
      </c>
      <c r="BL102" s="47">
        <v>-32.494813918305596</v>
      </c>
      <c r="BM102" s="47">
        <v>-32.6769621785174</v>
      </c>
      <c r="BN102" s="47">
        <v>-32.870739393939395</v>
      </c>
      <c r="BO102" s="47">
        <v>-33.071951515151511</v>
      </c>
      <c r="BP102" s="47">
        <v>-33.28125301204819</v>
      </c>
      <c r="BQ102" s="47">
        <v>-33.49490909090909</v>
      </c>
      <c r="BR102" s="47">
        <v>-33.717939393939396</v>
      </c>
      <c r="BS102" s="47">
        <v>-33.948848484848483</v>
      </c>
      <c r="BT102" s="47">
        <v>-34.183999999999997</v>
      </c>
    </row>
    <row r="103" spans="1:72" ht="9.9499999999999993" customHeight="1" thickBot="1" x14ac:dyDescent="0.4">
      <c r="A103" s="45" t="s">
        <v>104</v>
      </c>
      <c r="B103" s="35">
        <v>-25.47124810892587</v>
      </c>
      <c r="C103" s="35">
        <v>-25.73751134644478</v>
      </c>
      <c r="D103" s="47">
        <v>-26.00377458396369</v>
      </c>
      <c r="E103" s="47">
        <v>-26.270037821482603</v>
      </c>
      <c r="F103" s="47">
        <v>-26.538540090771559</v>
      </c>
      <c r="G103" s="47">
        <v>-26.832791225416038</v>
      </c>
      <c r="H103" s="47">
        <v>-27.127042360060514</v>
      </c>
      <c r="I103" s="47">
        <v>-27.421293494704994</v>
      </c>
      <c r="J103" s="47">
        <v>-27.71554462934947</v>
      </c>
      <c r="K103" s="47">
        <v>-28.009795763993949</v>
      </c>
      <c r="L103" s="47">
        <v>-28.304046898638425</v>
      </c>
      <c r="M103" s="47">
        <v>-28.596164901664146</v>
      </c>
      <c r="N103" s="47">
        <v>-28.885877458396369</v>
      </c>
      <c r="O103" s="47">
        <v>-29.175590015128595</v>
      </c>
      <c r="P103" s="47">
        <v>-29.465302571860818</v>
      </c>
      <c r="Q103" s="47">
        <v>-29.75501512859304</v>
      </c>
      <c r="R103" s="47">
        <v>-30.044727685325267</v>
      </c>
      <c r="S103" s="47">
        <v>-30.334440242057489</v>
      </c>
      <c r="T103" s="47">
        <v>-30.611142208774584</v>
      </c>
      <c r="U103" s="47">
        <v>-30.885726172465962</v>
      </c>
      <c r="V103" s="47">
        <v>-31.160310136157335</v>
      </c>
      <c r="W103" s="47">
        <v>-31.434894099848712</v>
      </c>
      <c r="X103" s="47">
        <v>-31.709478063540089</v>
      </c>
      <c r="Y103" s="47">
        <v>-31.984062027231467</v>
      </c>
      <c r="Z103" s="47">
        <v>-32.255909090909086</v>
      </c>
      <c r="AA103" s="47">
        <v>-32.519545454545451</v>
      </c>
      <c r="AB103" s="47">
        <v>-32.779545454545456</v>
      </c>
      <c r="AC103" s="47">
        <v>-33.037121212121214</v>
      </c>
      <c r="AD103" s="47">
        <v>-33.286060606060609</v>
      </c>
      <c r="AE103" s="47">
        <v>-33.532727272727271</v>
      </c>
      <c r="AF103" s="47">
        <v>-33.775151515151514</v>
      </c>
      <c r="AG103" s="47">
        <v>-34.007012102874434</v>
      </c>
      <c r="AH103" s="47">
        <v>-34.2331845688351</v>
      </c>
      <c r="AI103" s="47">
        <v>-34.459357034795765</v>
      </c>
      <c r="AJ103" s="47">
        <v>-34.685529500756431</v>
      </c>
      <c r="AK103" s="47">
        <v>-34.911701966717089</v>
      </c>
      <c r="AL103" s="47">
        <v>-35.137874432677755</v>
      </c>
      <c r="AM103" s="47">
        <v>-35.363320726172461</v>
      </c>
      <c r="AN103" s="47">
        <v>-35.571338880484113</v>
      </c>
      <c r="AO103" s="47">
        <v>-35.779357034795765</v>
      </c>
      <c r="AP103" s="47">
        <v>-35.987375189107411</v>
      </c>
      <c r="AQ103" s="47">
        <v>-36.195393343419063</v>
      </c>
      <c r="AR103" s="47">
        <v>-36.403411497730715</v>
      </c>
      <c r="AS103" s="47">
        <v>-36.611429652042361</v>
      </c>
      <c r="AT103" s="47">
        <v>-36.816845688350988</v>
      </c>
      <c r="AU103" s="47">
        <v>-37.018812405446297</v>
      </c>
      <c r="AV103" s="47">
        <v>-37.220779122541607</v>
      </c>
      <c r="AW103" s="47">
        <v>-37.422745839636917</v>
      </c>
      <c r="AX103" s="47">
        <v>-37.624712556732227</v>
      </c>
      <c r="AY103" s="47">
        <v>-37.826679273827537</v>
      </c>
      <c r="AZ103" s="47">
        <v>-38.028645990922847</v>
      </c>
      <c r="BA103" s="47">
        <v>-38.234590909090912</v>
      </c>
      <c r="BB103" s="47">
        <v>-38.441409090909097</v>
      </c>
      <c r="BC103" s="47">
        <v>-38.648227272727276</v>
      </c>
      <c r="BD103" s="47">
        <v>-38.855045454545454</v>
      </c>
      <c r="BE103" s="47">
        <v>-39.06186363636364</v>
      </c>
      <c r="BF103" s="47">
        <v>-39.268681818181818</v>
      </c>
      <c r="BG103" s="47">
        <v>-39.480090771558245</v>
      </c>
      <c r="BH103" s="47">
        <v>-39.707776096822997</v>
      </c>
      <c r="BI103" s="47">
        <v>-39.935461422087748</v>
      </c>
      <c r="BJ103" s="47">
        <v>-40.163146747352492</v>
      </c>
      <c r="BK103" s="47">
        <v>-40.390832072617243</v>
      </c>
      <c r="BL103" s="47">
        <v>-40.618517397881995</v>
      </c>
      <c r="BM103" s="47">
        <v>-40.846202723146746</v>
      </c>
      <c r="BN103" s="47">
        <v>-41.088424242424239</v>
      </c>
      <c r="BO103" s="47">
        <v>-41.339939393939389</v>
      </c>
      <c r="BP103" s="47">
        <v>-41.601566265060235</v>
      </c>
      <c r="BQ103" s="47">
        <v>-41.868636363636362</v>
      </c>
      <c r="BR103" s="47">
        <v>-42.147424242424236</v>
      </c>
      <c r="BS103" s="47">
        <v>-42.4360606060606</v>
      </c>
      <c r="BT103" s="47">
        <v>-42.73</v>
      </c>
    </row>
    <row r="104" spans="1:72" ht="9.9499999999999993" customHeight="1" thickBot="1" x14ac:dyDescent="0.4">
      <c r="A104" s="45" t="s">
        <v>105</v>
      </c>
      <c r="B104" s="35">
        <v>-5.094249621785174</v>
      </c>
      <c r="C104" s="35">
        <v>-5.1475022692889558</v>
      </c>
      <c r="D104" s="47">
        <v>-5.2007549167927385</v>
      </c>
      <c r="E104" s="47">
        <v>-5.2540075642965203</v>
      </c>
      <c r="F104" s="47">
        <v>-5.3077080181543117</v>
      </c>
      <c r="G104" s="47">
        <v>-5.3665582450832074</v>
      </c>
      <c r="H104" s="47">
        <v>-5.4254084720121032</v>
      </c>
      <c r="I104" s="47">
        <v>-5.4842586989409989</v>
      </c>
      <c r="J104" s="47">
        <v>-5.5431089258698938</v>
      </c>
      <c r="K104" s="47">
        <v>-5.6019591527987895</v>
      </c>
      <c r="L104" s="47">
        <v>-5.6608093797276853</v>
      </c>
      <c r="M104" s="47">
        <v>-5.719232980332829</v>
      </c>
      <c r="N104" s="47">
        <v>-5.7771754916792739</v>
      </c>
      <c r="O104" s="47">
        <v>-5.8351180030257188</v>
      </c>
      <c r="P104" s="47">
        <v>-5.8930605143721637</v>
      </c>
      <c r="Q104" s="47">
        <v>-5.9510030257186086</v>
      </c>
      <c r="R104" s="47">
        <v>-6.0089455370650535</v>
      </c>
      <c r="S104" s="47">
        <v>-6.0668880484114984</v>
      </c>
      <c r="T104" s="47">
        <v>-6.1222284417549169</v>
      </c>
      <c r="U104" s="47">
        <v>-6.1771452344931923</v>
      </c>
      <c r="V104" s="47">
        <v>-6.2320620272314677</v>
      </c>
      <c r="W104" s="47">
        <v>-6.2869788199697432</v>
      </c>
      <c r="X104" s="47">
        <v>-6.3418956127080177</v>
      </c>
      <c r="Y104" s="47">
        <v>-6.3968124054462931</v>
      </c>
      <c r="Z104" s="47">
        <v>-6.4511818181818184</v>
      </c>
      <c r="AA104" s="47">
        <v>-6.5039090909090911</v>
      </c>
      <c r="AB104" s="47">
        <v>-6.5559090909090916</v>
      </c>
      <c r="AC104" s="47">
        <v>-6.6074242424242424</v>
      </c>
      <c r="AD104" s="47">
        <v>-6.6572121212121216</v>
      </c>
      <c r="AE104" s="47">
        <v>-6.7065454545454548</v>
      </c>
      <c r="AF104" s="47">
        <v>-6.7550303030303036</v>
      </c>
      <c r="AG104" s="47">
        <v>-6.8014024205748864</v>
      </c>
      <c r="AH104" s="47">
        <v>-6.8466369137670195</v>
      </c>
      <c r="AI104" s="47">
        <v>-6.8918714069591527</v>
      </c>
      <c r="AJ104" s="47">
        <v>-6.9371059001512858</v>
      </c>
      <c r="AK104" s="47">
        <v>-6.9823403933434189</v>
      </c>
      <c r="AL104" s="47">
        <v>-7.0275748865355521</v>
      </c>
      <c r="AM104" s="47">
        <v>-7.0726641452344925</v>
      </c>
      <c r="AN104" s="47">
        <v>-7.1142677760968223</v>
      </c>
      <c r="AO104" s="47">
        <v>-7.1558714069591529</v>
      </c>
      <c r="AP104" s="47">
        <v>-7.1974750378214827</v>
      </c>
      <c r="AQ104" s="47">
        <v>-7.2390786686838124</v>
      </c>
      <c r="AR104" s="47">
        <v>-7.2806822995461422</v>
      </c>
      <c r="AS104" s="47">
        <v>-7.322285930408472</v>
      </c>
      <c r="AT104" s="47">
        <v>-7.3633691376701966</v>
      </c>
      <c r="AU104" s="47">
        <v>-7.4037624810892586</v>
      </c>
      <c r="AV104" s="47">
        <v>-7.4441558245083206</v>
      </c>
      <c r="AW104" s="47">
        <v>-7.4845491679273835</v>
      </c>
      <c r="AX104" s="47">
        <v>-7.5249425113464454</v>
      </c>
      <c r="AY104" s="47">
        <v>-7.5653358547655074</v>
      </c>
      <c r="AZ104" s="47">
        <v>-7.6057291981845694</v>
      </c>
      <c r="BA104" s="47">
        <v>-7.6469181818181822</v>
      </c>
      <c r="BB104" s="47">
        <v>-7.6882818181818191</v>
      </c>
      <c r="BC104" s="47">
        <v>-7.7296454545454552</v>
      </c>
      <c r="BD104" s="47">
        <v>-7.7710090909090912</v>
      </c>
      <c r="BE104" s="47">
        <v>-7.8123727272727272</v>
      </c>
      <c r="BF104" s="47">
        <v>-7.8537363636363642</v>
      </c>
      <c r="BG104" s="47">
        <v>-7.8960181543116494</v>
      </c>
      <c r="BH104" s="47">
        <v>-7.9415552193645995</v>
      </c>
      <c r="BI104" s="47">
        <v>-7.9870922844175496</v>
      </c>
      <c r="BJ104" s="47">
        <v>-8.0326293494704988</v>
      </c>
      <c r="BK104" s="47">
        <v>-8.0781664145234497</v>
      </c>
      <c r="BL104" s="47">
        <v>-8.1237034795763989</v>
      </c>
      <c r="BM104" s="47">
        <v>-8.1692405446293499</v>
      </c>
      <c r="BN104" s="47">
        <v>-8.2176848484848488</v>
      </c>
      <c r="BO104" s="47">
        <v>-8.2679878787878778</v>
      </c>
      <c r="BP104" s="47">
        <v>-8.3203132530120474</v>
      </c>
      <c r="BQ104" s="47">
        <v>-8.3737272727272725</v>
      </c>
      <c r="BR104" s="47">
        <v>-8.429484848484849</v>
      </c>
      <c r="BS104" s="47">
        <v>-8.4872121212121208</v>
      </c>
      <c r="BT104" s="47">
        <v>-8.5459999999999994</v>
      </c>
    </row>
    <row r="105" spans="1:72" ht="9.9499999999999993" customHeight="1" thickBot="1" x14ac:dyDescent="0.4">
      <c r="A105" s="45" t="s">
        <v>95</v>
      </c>
      <c r="B105" s="35">
        <v>-5.094249621785174</v>
      </c>
      <c r="C105" s="35">
        <v>-5.1475022692889558</v>
      </c>
      <c r="D105" s="47">
        <v>-5.2007549167927385</v>
      </c>
      <c r="E105" s="47">
        <v>-5.2540075642965203</v>
      </c>
      <c r="F105" s="47">
        <v>-5.3077080181543117</v>
      </c>
      <c r="G105" s="47">
        <v>-5.3665582450832074</v>
      </c>
      <c r="H105" s="47">
        <v>-5.4254084720121032</v>
      </c>
      <c r="I105" s="47">
        <v>-5.4842586989409989</v>
      </c>
      <c r="J105" s="47">
        <v>-5.5431089258698938</v>
      </c>
      <c r="K105" s="47">
        <v>-5.6019591527987895</v>
      </c>
      <c r="L105" s="47">
        <v>-5.6608093797276853</v>
      </c>
      <c r="M105" s="47">
        <v>-5.719232980332829</v>
      </c>
      <c r="N105" s="47">
        <v>-5.7771754916792739</v>
      </c>
      <c r="O105" s="47">
        <v>-5.8351180030257188</v>
      </c>
      <c r="P105" s="47">
        <v>-5.8930605143721637</v>
      </c>
      <c r="Q105" s="47">
        <v>-5.9510030257186086</v>
      </c>
      <c r="R105" s="47">
        <v>-6.0089455370650535</v>
      </c>
      <c r="S105" s="47">
        <v>-6.0668880484114984</v>
      </c>
      <c r="T105" s="47">
        <v>-6.1222284417549169</v>
      </c>
      <c r="U105" s="47">
        <v>-6.1771452344931923</v>
      </c>
      <c r="V105" s="47">
        <v>-6.2320620272314677</v>
      </c>
      <c r="W105" s="47">
        <v>-6.2869788199697432</v>
      </c>
      <c r="X105" s="47">
        <v>-6.3418956127080177</v>
      </c>
      <c r="Y105" s="47">
        <v>-6.3968124054462931</v>
      </c>
      <c r="Z105" s="47">
        <v>-6.4511818181818184</v>
      </c>
      <c r="AA105" s="47">
        <v>-6.5039090909090911</v>
      </c>
      <c r="AB105" s="47">
        <v>-6.5559090909090916</v>
      </c>
      <c r="AC105" s="47">
        <v>-6.6074242424242424</v>
      </c>
      <c r="AD105" s="47">
        <v>-6.6572121212121216</v>
      </c>
      <c r="AE105" s="47">
        <v>-6.7065454545454548</v>
      </c>
      <c r="AF105" s="47">
        <v>-6.7550303030303036</v>
      </c>
      <c r="AG105" s="47">
        <v>-6.8014024205748864</v>
      </c>
      <c r="AH105" s="47">
        <v>-6.8466369137670195</v>
      </c>
      <c r="AI105" s="47">
        <v>-6.8918714069591527</v>
      </c>
      <c r="AJ105" s="47">
        <v>-6.9371059001512858</v>
      </c>
      <c r="AK105" s="47">
        <v>-6.9823403933434189</v>
      </c>
      <c r="AL105" s="47">
        <v>-7.0275748865355521</v>
      </c>
      <c r="AM105" s="47">
        <v>-7.0726641452344925</v>
      </c>
      <c r="AN105" s="47">
        <v>-7.1142677760968223</v>
      </c>
      <c r="AO105" s="47">
        <v>-7.1558714069591529</v>
      </c>
      <c r="AP105" s="47">
        <v>-7.1974750378214827</v>
      </c>
      <c r="AQ105" s="47">
        <v>-7.2390786686838124</v>
      </c>
      <c r="AR105" s="47">
        <v>-7.2806822995461422</v>
      </c>
      <c r="AS105" s="47">
        <v>-7.322285930408472</v>
      </c>
      <c r="AT105" s="47">
        <v>-7.3633691376701966</v>
      </c>
      <c r="AU105" s="47">
        <v>-7.4037624810892586</v>
      </c>
      <c r="AV105" s="47">
        <v>-7.4441558245083206</v>
      </c>
      <c r="AW105" s="47">
        <v>-7.4845491679273835</v>
      </c>
      <c r="AX105" s="47">
        <v>-7.5249425113464454</v>
      </c>
      <c r="AY105" s="47">
        <v>-7.5653358547655074</v>
      </c>
      <c r="AZ105" s="47">
        <v>-7.6057291981845694</v>
      </c>
      <c r="BA105" s="47">
        <v>-7.6469181818181822</v>
      </c>
      <c r="BB105" s="47">
        <v>-7.6882818181818191</v>
      </c>
      <c r="BC105" s="47">
        <v>-7.7296454545454552</v>
      </c>
      <c r="BD105" s="47">
        <v>-7.7710090909090912</v>
      </c>
      <c r="BE105" s="47">
        <v>-7.8123727272727272</v>
      </c>
      <c r="BF105" s="47">
        <v>-7.8537363636363642</v>
      </c>
      <c r="BG105" s="47">
        <v>-7.8960181543116494</v>
      </c>
      <c r="BH105" s="47">
        <v>-7.9415552193645995</v>
      </c>
      <c r="BI105" s="47">
        <v>-7.9870922844175496</v>
      </c>
      <c r="BJ105" s="47">
        <v>-8.0326293494704988</v>
      </c>
      <c r="BK105" s="47">
        <v>-8.0781664145234497</v>
      </c>
      <c r="BL105" s="47">
        <v>-8.1237034795763989</v>
      </c>
      <c r="BM105" s="47">
        <v>-8.1692405446293499</v>
      </c>
      <c r="BN105" s="47">
        <v>-8.2176848484848488</v>
      </c>
      <c r="BO105" s="47">
        <v>-8.2679878787878778</v>
      </c>
      <c r="BP105" s="47">
        <v>-8.3203132530120474</v>
      </c>
      <c r="BQ105" s="47">
        <v>-8.3737272727272725</v>
      </c>
      <c r="BR105" s="47">
        <v>-8.429484848484849</v>
      </c>
      <c r="BS105" s="47">
        <v>-8.4872121212121208</v>
      </c>
      <c r="BT105" s="47">
        <v>-8.5459999999999994</v>
      </c>
    </row>
    <row r="106" spans="1:72" ht="9.9499999999999993" customHeight="1" thickBot="1" x14ac:dyDescent="0.4">
      <c r="A106" s="45" t="s">
        <v>106</v>
      </c>
      <c r="B106" s="35">
        <v>-40.753996974281392</v>
      </c>
      <c r="C106" s="35">
        <v>-41.180018154311647</v>
      </c>
      <c r="D106" s="47">
        <v>-41.606039334341908</v>
      </c>
      <c r="E106" s="47">
        <v>-42.032060514372162</v>
      </c>
      <c r="F106" s="47">
        <v>-42.461664145234494</v>
      </c>
      <c r="G106" s="47">
        <v>-42.93246596066566</v>
      </c>
      <c r="H106" s="47">
        <v>-43.403267776096826</v>
      </c>
      <c r="I106" s="47">
        <v>-43.874069591527991</v>
      </c>
      <c r="J106" s="47">
        <v>-44.34487140695915</v>
      </c>
      <c r="K106" s="47">
        <v>-44.815673222390316</v>
      </c>
      <c r="L106" s="47">
        <v>-45.286475037821482</v>
      </c>
      <c r="M106" s="47">
        <v>-45.753863842662632</v>
      </c>
      <c r="N106" s="47">
        <v>-46.217403933434191</v>
      </c>
      <c r="O106" s="47">
        <v>-46.680944024205751</v>
      </c>
      <c r="P106" s="47">
        <v>-47.14448411497731</v>
      </c>
      <c r="Q106" s="47">
        <v>-47.608024205748869</v>
      </c>
      <c r="R106" s="47">
        <v>-48.071564296520428</v>
      </c>
      <c r="S106" s="47">
        <v>-48.535104387291987</v>
      </c>
      <c r="T106" s="47">
        <v>-48.977827534039335</v>
      </c>
      <c r="U106" s="47">
        <v>-49.417161875945538</v>
      </c>
      <c r="V106" s="47">
        <v>-49.856496217851742</v>
      </c>
      <c r="W106" s="47">
        <v>-50.295830559757945</v>
      </c>
      <c r="X106" s="47">
        <v>-50.735164901664142</v>
      </c>
      <c r="Y106" s="47">
        <v>-51.174499243570345</v>
      </c>
      <c r="Z106" s="47">
        <v>-51.609454545454547</v>
      </c>
      <c r="AA106" s="47">
        <v>-52.031272727272729</v>
      </c>
      <c r="AB106" s="47">
        <v>-52.447272727272733</v>
      </c>
      <c r="AC106" s="47">
        <v>-52.859393939393939</v>
      </c>
      <c r="AD106" s="47">
        <v>-53.257696969696973</v>
      </c>
      <c r="AE106" s="47">
        <v>-53.652363636363638</v>
      </c>
      <c r="AF106" s="47">
        <v>-54.040242424242429</v>
      </c>
      <c r="AG106" s="47">
        <v>-54.411219364599091</v>
      </c>
      <c r="AH106" s="47">
        <v>-54.773095310136156</v>
      </c>
      <c r="AI106" s="47">
        <v>-55.134971255673221</v>
      </c>
      <c r="AJ106" s="47">
        <v>-55.496847201210286</v>
      </c>
      <c r="AK106" s="47">
        <v>-55.858723146747352</v>
      </c>
      <c r="AL106" s="47">
        <v>-56.220599092284417</v>
      </c>
      <c r="AM106" s="47">
        <v>-56.58131316187594</v>
      </c>
      <c r="AN106" s="47">
        <v>-56.914142208774578</v>
      </c>
      <c r="AO106" s="47">
        <v>-57.246971255673223</v>
      </c>
      <c r="AP106" s="47">
        <v>-57.579800302571861</v>
      </c>
      <c r="AQ106" s="47">
        <v>-57.9126293494705</v>
      </c>
      <c r="AR106" s="47">
        <v>-58.245458396369138</v>
      </c>
      <c r="AS106" s="47">
        <v>-58.578287443267776</v>
      </c>
      <c r="AT106" s="47">
        <v>-58.906953101361573</v>
      </c>
      <c r="AU106" s="47">
        <v>-59.230099848714069</v>
      </c>
      <c r="AV106" s="47">
        <v>-59.553246596066565</v>
      </c>
      <c r="AW106" s="47">
        <v>-59.876393343419068</v>
      </c>
      <c r="AX106" s="47">
        <v>-60.199540090771563</v>
      </c>
      <c r="AY106" s="47">
        <v>-60.522686838124059</v>
      </c>
      <c r="AZ106" s="47">
        <v>-60.845833585476555</v>
      </c>
      <c r="BA106" s="47">
        <v>-61.175345454545457</v>
      </c>
      <c r="BB106" s="47">
        <v>-61.506254545454553</v>
      </c>
      <c r="BC106" s="47">
        <v>-61.837163636363641</v>
      </c>
      <c r="BD106" s="47">
        <v>-62.16807272727273</v>
      </c>
      <c r="BE106" s="47">
        <v>-62.498981818181818</v>
      </c>
      <c r="BF106" s="47">
        <v>-62.829890909090913</v>
      </c>
      <c r="BG106" s="47">
        <v>-63.168145234493196</v>
      </c>
      <c r="BH106" s="47">
        <v>-63.532441754916796</v>
      </c>
      <c r="BI106" s="47">
        <v>-63.896738275340397</v>
      </c>
      <c r="BJ106" s="47">
        <v>-64.26103479576399</v>
      </c>
      <c r="BK106" s="47">
        <v>-64.625331316187598</v>
      </c>
      <c r="BL106" s="47">
        <v>-64.989627836611191</v>
      </c>
      <c r="BM106" s="47">
        <v>-65.353924357034799</v>
      </c>
      <c r="BN106" s="47">
        <v>-65.741478787878791</v>
      </c>
      <c r="BO106" s="47">
        <v>-66.143903030303022</v>
      </c>
      <c r="BP106" s="47">
        <v>-66.562506024096379</v>
      </c>
      <c r="BQ106" s="47">
        <v>-66.98981818181818</v>
      </c>
      <c r="BR106" s="47">
        <v>-67.435878787878792</v>
      </c>
      <c r="BS106" s="47">
        <v>-67.897696969696966</v>
      </c>
      <c r="BT106" s="47">
        <v>-68.367999999999995</v>
      </c>
    </row>
    <row r="107" spans="1:72" ht="9.9499999999999993" customHeight="1" thickBot="1" x14ac:dyDescent="0.4">
      <c r="A107" s="45" t="s">
        <v>107</v>
      </c>
      <c r="B107" s="35">
        <v>-10.188499243570348</v>
      </c>
      <c r="C107" s="35">
        <v>-10.295004538577912</v>
      </c>
      <c r="D107" s="47">
        <v>-10.401509833585477</v>
      </c>
      <c r="E107" s="47">
        <v>-10.508015128593041</v>
      </c>
      <c r="F107" s="47">
        <v>-10.615416036308623</v>
      </c>
      <c r="G107" s="47">
        <v>-10.733116490166415</v>
      </c>
      <c r="H107" s="47">
        <v>-10.850816944024206</v>
      </c>
      <c r="I107" s="47">
        <v>-10.968517397881998</v>
      </c>
      <c r="J107" s="47">
        <v>-11.086217851739788</v>
      </c>
      <c r="K107" s="47">
        <v>-11.203918305597579</v>
      </c>
      <c r="L107" s="47">
        <v>-11.321618759455371</v>
      </c>
      <c r="M107" s="47">
        <v>-11.438465960665658</v>
      </c>
      <c r="N107" s="47">
        <v>-11.554350983358548</v>
      </c>
      <c r="O107" s="47">
        <v>-11.670236006051438</v>
      </c>
      <c r="P107" s="47">
        <v>-11.786121028744327</v>
      </c>
      <c r="Q107" s="47">
        <v>-11.902006051437217</v>
      </c>
      <c r="R107" s="47">
        <v>-12.017891074130107</v>
      </c>
      <c r="S107" s="47">
        <v>-12.133776096822997</v>
      </c>
      <c r="T107" s="47">
        <v>-12.244456883509834</v>
      </c>
      <c r="U107" s="47">
        <v>-12.354290468986385</v>
      </c>
      <c r="V107" s="47">
        <v>-12.464124054462935</v>
      </c>
      <c r="W107" s="47">
        <v>-12.573957639939486</v>
      </c>
      <c r="X107" s="47">
        <v>-12.683791225416035</v>
      </c>
      <c r="Y107" s="47">
        <v>-12.793624810892586</v>
      </c>
      <c r="Z107" s="47">
        <v>-12.902363636363637</v>
      </c>
      <c r="AA107" s="47">
        <v>-13.007818181818182</v>
      </c>
      <c r="AB107" s="47">
        <v>-13.111818181818183</v>
      </c>
      <c r="AC107" s="47">
        <v>-13.214848484848485</v>
      </c>
      <c r="AD107" s="47">
        <v>-13.314424242424243</v>
      </c>
      <c r="AE107" s="47">
        <v>-13.41309090909091</v>
      </c>
      <c r="AF107" s="47">
        <v>-13.510060606060607</v>
      </c>
      <c r="AG107" s="47">
        <v>-13.602804841149773</v>
      </c>
      <c r="AH107" s="47">
        <v>-13.693273827534039</v>
      </c>
      <c r="AI107" s="47">
        <v>-13.783742813918305</v>
      </c>
      <c r="AJ107" s="47">
        <v>-13.874211800302572</v>
      </c>
      <c r="AK107" s="47">
        <v>-13.964680786686838</v>
      </c>
      <c r="AL107" s="47">
        <v>-14.055149773071104</v>
      </c>
      <c r="AM107" s="47">
        <v>-14.145328290468985</v>
      </c>
      <c r="AN107" s="47">
        <v>-14.228535552193645</v>
      </c>
      <c r="AO107" s="47">
        <v>-14.311742813918306</v>
      </c>
      <c r="AP107" s="47">
        <v>-14.394950075642965</v>
      </c>
      <c r="AQ107" s="47">
        <v>-14.478157337367625</v>
      </c>
      <c r="AR107" s="47">
        <v>-14.561364599092284</v>
      </c>
      <c r="AS107" s="47">
        <v>-14.644571860816944</v>
      </c>
      <c r="AT107" s="47">
        <v>-14.726738275340393</v>
      </c>
      <c r="AU107" s="47">
        <v>-14.807524962178517</v>
      </c>
      <c r="AV107" s="47">
        <v>-14.888311649016641</v>
      </c>
      <c r="AW107" s="47">
        <v>-14.969098335854767</v>
      </c>
      <c r="AX107" s="47">
        <v>-15.049885022692891</v>
      </c>
      <c r="AY107" s="47">
        <v>-15.130671709531015</v>
      </c>
      <c r="AZ107" s="47">
        <v>-15.211458396369139</v>
      </c>
      <c r="BA107" s="47">
        <v>-15.293836363636364</v>
      </c>
      <c r="BB107" s="47">
        <v>-15.376563636363638</v>
      </c>
      <c r="BC107" s="47">
        <v>-15.45929090909091</v>
      </c>
      <c r="BD107" s="47">
        <v>-15.542018181818182</v>
      </c>
      <c r="BE107" s="47">
        <v>-15.624745454545454</v>
      </c>
      <c r="BF107" s="47">
        <v>-15.707472727272728</v>
      </c>
      <c r="BG107" s="47">
        <v>-15.792036308623299</v>
      </c>
      <c r="BH107" s="47">
        <v>-15.883110438729199</v>
      </c>
      <c r="BI107" s="47">
        <v>-15.974184568835099</v>
      </c>
      <c r="BJ107" s="47">
        <v>-16.065258698940998</v>
      </c>
      <c r="BK107" s="47">
        <v>-16.156332829046899</v>
      </c>
      <c r="BL107" s="47">
        <v>-16.247406959152798</v>
      </c>
      <c r="BM107" s="47">
        <v>-16.3384810892587</v>
      </c>
      <c r="BN107" s="47">
        <v>-16.435369696969698</v>
      </c>
      <c r="BO107" s="47">
        <v>-16.535975757575756</v>
      </c>
      <c r="BP107" s="47">
        <v>-16.640626506024095</v>
      </c>
      <c r="BQ107" s="47">
        <v>-16.747454545454545</v>
      </c>
      <c r="BR107" s="47">
        <v>-16.858969696969698</v>
      </c>
      <c r="BS107" s="47">
        <v>-16.974424242424242</v>
      </c>
      <c r="BT107" s="47">
        <v>-17.091999999999999</v>
      </c>
    </row>
    <row r="108" spans="1:72" ht="9.9499999999999993" customHeight="1" thickBot="1" x14ac:dyDescent="0.4">
      <c r="A108" s="45" t="s">
        <v>2</v>
      </c>
      <c r="B108" s="35">
        <v>-5.094249621785174</v>
      </c>
      <c r="C108" s="35">
        <v>-5.1475022692889558</v>
      </c>
      <c r="D108" s="47">
        <v>-5.2007549167927385</v>
      </c>
      <c r="E108" s="47">
        <v>-5.2540075642965203</v>
      </c>
      <c r="F108" s="47">
        <v>-5.3077080181543117</v>
      </c>
      <c r="G108" s="47">
        <v>-5.3665582450832074</v>
      </c>
      <c r="H108" s="47">
        <v>-5.4254084720121032</v>
      </c>
      <c r="I108" s="47">
        <v>-5.4842586989409989</v>
      </c>
      <c r="J108" s="47">
        <v>-5.5431089258698938</v>
      </c>
      <c r="K108" s="47">
        <v>-5.6019591527987895</v>
      </c>
      <c r="L108" s="47">
        <v>-5.6608093797276853</v>
      </c>
      <c r="M108" s="47">
        <v>-5.719232980332829</v>
      </c>
      <c r="N108" s="47">
        <v>-5.7771754916792739</v>
      </c>
      <c r="O108" s="47">
        <v>-5.8351180030257188</v>
      </c>
      <c r="P108" s="47">
        <v>-5.8930605143721637</v>
      </c>
      <c r="Q108" s="47">
        <v>-5.9510030257186086</v>
      </c>
      <c r="R108" s="47">
        <v>-6.0089455370650535</v>
      </c>
      <c r="S108" s="47">
        <v>-6.0668880484114984</v>
      </c>
      <c r="T108" s="47">
        <v>-6.1222284417549169</v>
      </c>
      <c r="U108" s="47">
        <v>-6.1771452344931923</v>
      </c>
      <c r="V108" s="47">
        <v>-6.2320620272314677</v>
      </c>
      <c r="W108" s="47">
        <v>-6.2869788199697432</v>
      </c>
      <c r="X108" s="47">
        <v>-6.3418956127080177</v>
      </c>
      <c r="Y108" s="47">
        <v>-6.3968124054462931</v>
      </c>
      <c r="Z108" s="47">
        <v>-6.4511818181818184</v>
      </c>
      <c r="AA108" s="47">
        <v>-6.5039090909090911</v>
      </c>
      <c r="AB108" s="47">
        <v>-6.5559090909090916</v>
      </c>
      <c r="AC108" s="47">
        <v>-6.6074242424242424</v>
      </c>
      <c r="AD108" s="47">
        <v>-6.6572121212121216</v>
      </c>
      <c r="AE108" s="47">
        <v>-6.7065454545454548</v>
      </c>
      <c r="AF108" s="47">
        <v>-6.7550303030303036</v>
      </c>
      <c r="AG108" s="47">
        <v>-6.8014024205748864</v>
      </c>
      <c r="AH108" s="47">
        <v>-6.8466369137670195</v>
      </c>
      <c r="AI108" s="47">
        <v>-6.8918714069591527</v>
      </c>
      <c r="AJ108" s="47">
        <v>-6.9371059001512858</v>
      </c>
      <c r="AK108" s="47">
        <v>-6.9823403933434189</v>
      </c>
      <c r="AL108" s="47">
        <v>-7.0275748865355521</v>
      </c>
      <c r="AM108" s="47">
        <v>-7.0726641452344925</v>
      </c>
      <c r="AN108" s="47">
        <v>-7.1142677760968223</v>
      </c>
      <c r="AO108" s="47">
        <v>-7.1558714069591529</v>
      </c>
      <c r="AP108" s="47">
        <v>-7.1974750378214827</v>
      </c>
      <c r="AQ108" s="47">
        <v>-7.2390786686838124</v>
      </c>
      <c r="AR108" s="47">
        <v>-7.2806822995461422</v>
      </c>
      <c r="AS108" s="47">
        <v>-7.322285930408472</v>
      </c>
      <c r="AT108" s="47">
        <v>-7.3633691376701966</v>
      </c>
      <c r="AU108" s="47">
        <v>-7.4037624810892586</v>
      </c>
      <c r="AV108" s="47">
        <v>-7.4441558245083206</v>
      </c>
      <c r="AW108" s="47">
        <v>-7.4845491679273835</v>
      </c>
      <c r="AX108" s="47">
        <v>-7.5249425113464454</v>
      </c>
      <c r="AY108" s="47">
        <v>-7.5653358547655074</v>
      </c>
      <c r="AZ108" s="47">
        <v>-7.6057291981845694</v>
      </c>
      <c r="BA108" s="47">
        <v>-7.6469181818181822</v>
      </c>
      <c r="BB108" s="47">
        <v>-7.6882818181818191</v>
      </c>
      <c r="BC108" s="47">
        <v>-7.7296454545454552</v>
      </c>
      <c r="BD108" s="47">
        <v>-7.7710090909090912</v>
      </c>
      <c r="BE108" s="47">
        <v>-7.8123727272727272</v>
      </c>
      <c r="BF108" s="47">
        <v>-7.8537363636363642</v>
      </c>
      <c r="BG108" s="47">
        <v>-7.8960181543116494</v>
      </c>
      <c r="BH108" s="47">
        <v>-7.9415552193645995</v>
      </c>
      <c r="BI108" s="47">
        <v>-7.9870922844175496</v>
      </c>
      <c r="BJ108" s="47">
        <v>-8.0326293494704988</v>
      </c>
      <c r="BK108" s="47">
        <v>-8.0781664145234497</v>
      </c>
      <c r="BL108" s="47">
        <v>-8.1237034795763989</v>
      </c>
      <c r="BM108" s="47">
        <v>-8.1692405446293499</v>
      </c>
      <c r="BN108" s="47">
        <v>-8.2176848484848488</v>
      </c>
      <c r="BO108" s="47">
        <v>-8.2679878787878778</v>
      </c>
      <c r="BP108" s="47">
        <v>-8.3203132530120474</v>
      </c>
      <c r="BQ108" s="47">
        <v>-8.3737272727272725</v>
      </c>
      <c r="BR108" s="47">
        <v>-8.429484848484849</v>
      </c>
      <c r="BS108" s="47">
        <v>-8.4872121212121208</v>
      </c>
      <c r="BT108" s="47">
        <v>-8.5459999999999994</v>
      </c>
    </row>
    <row r="109" spans="1:72" ht="9.9499999999999993" customHeight="1" thickBot="1" x14ac:dyDescent="0.4">
      <c r="A109" s="45" t="s">
        <v>1</v>
      </c>
      <c r="B109" s="35">
        <v>-18.624069591527988</v>
      </c>
      <c r="C109" s="35">
        <v>-18.625582450832074</v>
      </c>
      <c r="D109" s="47">
        <v>-18.627095310136156</v>
      </c>
      <c r="E109" s="47">
        <v>-18.628608169440241</v>
      </c>
      <c r="F109" s="47">
        <v>-18.631089258698939</v>
      </c>
      <c r="G109" s="47">
        <v>-18.644704992435702</v>
      </c>
      <c r="H109" s="47">
        <v>-18.658320726172466</v>
      </c>
      <c r="I109" s="47">
        <v>-18.671936459909226</v>
      </c>
      <c r="J109" s="47">
        <v>-18.685552193645989</v>
      </c>
      <c r="K109" s="47">
        <v>-18.699167927382753</v>
      </c>
      <c r="L109" s="47">
        <v>-18.712783661119516</v>
      </c>
      <c r="M109" s="47">
        <v>-18.728532526475036</v>
      </c>
      <c r="N109" s="47">
        <v>-18.746686838124052</v>
      </c>
      <c r="O109" s="47">
        <v>-18.764841149773069</v>
      </c>
      <c r="P109" s="47">
        <v>-18.782995461422086</v>
      </c>
      <c r="Q109" s="47">
        <v>-18.801149773071103</v>
      </c>
      <c r="R109" s="47">
        <v>-18.81930408472012</v>
      </c>
      <c r="S109" s="47">
        <v>-18.837458396369136</v>
      </c>
      <c r="T109" s="47">
        <v>-18.858214826021179</v>
      </c>
      <c r="U109" s="47">
        <v>-18.879394856278367</v>
      </c>
      <c r="V109" s="47">
        <v>-18.900574886535551</v>
      </c>
      <c r="W109" s="47">
        <v>-18.921754916792739</v>
      </c>
      <c r="X109" s="47">
        <v>-18.942934947049924</v>
      </c>
      <c r="Y109" s="47">
        <v>-18.964114977307112</v>
      </c>
      <c r="Z109" s="47">
        <v>-18.986060606060608</v>
      </c>
      <c r="AA109" s="47">
        <v>-19.010303030303032</v>
      </c>
      <c r="AB109" s="47">
        <v>-19.034545454545455</v>
      </c>
      <c r="AC109" s="47">
        <v>-19.058787878787879</v>
      </c>
      <c r="AD109" s="47">
        <v>-19.083030303030302</v>
      </c>
      <c r="AE109" s="47">
        <v>-19.107272727272729</v>
      </c>
      <c r="AF109" s="47">
        <v>-19.131515151515153</v>
      </c>
      <c r="AG109" s="47">
        <v>-19.159667170953103</v>
      </c>
      <c r="AH109" s="47">
        <v>-19.189924357034798</v>
      </c>
      <c r="AI109" s="47">
        <v>-19.220181543116489</v>
      </c>
      <c r="AJ109" s="47">
        <v>-19.250438729198184</v>
      </c>
      <c r="AK109" s="47">
        <v>-19.280695915279878</v>
      </c>
      <c r="AL109" s="47">
        <v>-19.310953101361573</v>
      </c>
      <c r="AM109" s="47">
        <v>-19.341210287443268</v>
      </c>
      <c r="AN109" s="47">
        <v>-19.371467473524962</v>
      </c>
      <c r="AO109" s="47">
        <v>-19.401724659606657</v>
      </c>
      <c r="AP109" s="47">
        <v>-19.431981845688352</v>
      </c>
      <c r="AQ109" s="47">
        <v>-19.462239031770046</v>
      </c>
      <c r="AR109" s="47">
        <v>-19.492496217851738</v>
      </c>
      <c r="AS109" s="47">
        <v>-19.522753403933432</v>
      </c>
      <c r="AT109" s="47">
        <v>-19.551059001512858</v>
      </c>
      <c r="AU109" s="47">
        <v>-19.576777609682299</v>
      </c>
      <c r="AV109" s="47">
        <v>-19.602496217851741</v>
      </c>
      <c r="AW109" s="47">
        <v>-19.628214826021178</v>
      </c>
      <c r="AX109" s="47">
        <v>-19.65393343419062</v>
      </c>
      <c r="AY109" s="47">
        <v>-19.679652042360061</v>
      </c>
      <c r="AZ109" s="47">
        <v>-19.705370650529503</v>
      </c>
      <c r="BA109" s="47">
        <v>-19.731121212121213</v>
      </c>
      <c r="BB109" s="47">
        <v>-19.756878787878787</v>
      </c>
      <c r="BC109" s="47">
        <v>-19.782636363636364</v>
      </c>
      <c r="BD109" s="47">
        <v>-19.808393939393941</v>
      </c>
      <c r="BE109" s="47">
        <v>-19.834151515151515</v>
      </c>
      <c r="BF109" s="47">
        <v>-19.859909090909092</v>
      </c>
      <c r="BG109" s="47">
        <v>-19.885990922844176</v>
      </c>
      <c r="BH109" s="47">
        <v>-19.913222390317699</v>
      </c>
      <c r="BI109" s="47">
        <v>-19.940453857791223</v>
      </c>
      <c r="BJ109" s="47">
        <v>-19.96768532526475</v>
      </c>
      <c r="BK109" s="47">
        <v>-19.994916792738273</v>
      </c>
      <c r="BL109" s="47">
        <v>-20.0221482602118</v>
      </c>
      <c r="BM109" s="47">
        <v>-20.049379727685324</v>
      </c>
      <c r="BN109" s="47">
        <v>-20.074787878787877</v>
      </c>
      <c r="BO109" s="47">
        <v>-20.099030303030304</v>
      </c>
      <c r="BP109" s="47">
        <v>-20.128915662650602</v>
      </c>
      <c r="BQ109" s="47">
        <v>-20.159090909090907</v>
      </c>
      <c r="BR109" s="47">
        <v>-20.189393939393938</v>
      </c>
      <c r="BS109" s="47">
        <v>-20.219696969696969</v>
      </c>
      <c r="BT109" s="47">
        <v>-20.25</v>
      </c>
    </row>
    <row r="110" spans="1:72" ht="9.9499999999999993" customHeight="1" thickBot="1" x14ac:dyDescent="0.4">
      <c r="A110" s="45" t="s">
        <v>90</v>
      </c>
      <c r="B110" s="35">
        <v>-18.054697428139182</v>
      </c>
      <c r="C110" s="35">
        <v>-18.256815431164902</v>
      </c>
      <c r="D110" s="47">
        <v>-18.458933434190619</v>
      </c>
      <c r="E110" s="47">
        <v>-18.66105143721634</v>
      </c>
      <c r="F110" s="47">
        <v>-18.86235854765507</v>
      </c>
      <c r="G110" s="47">
        <v>-19.05434039334342</v>
      </c>
      <c r="H110" s="47">
        <v>-19.24632223903177</v>
      </c>
      <c r="I110" s="47">
        <v>-19.438304084720123</v>
      </c>
      <c r="J110" s="47">
        <v>-19.630285930408473</v>
      </c>
      <c r="K110" s="47">
        <v>-19.822267776096822</v>
      </c>
      <c r="L110" s="47">
        <v>-20.014249621785172</v>
      </c>
      <c r="M110" s="47">
        <v>-20.19926323751891</v>
      </c>
      <c r="N110" s="47">
        <v>-20.376419062027232</v>
      </c>
      <c r="O110" s="47">
        <v>-20.55357488653555</v>
      </c>
      <c r="P110" s="47">
        <v>-20.730730711043872</v>
      </c>
      <c r="Q110" s="47">
        <v>-20.907886535552194</v>
      </c>
      <c r="R110" s="47">
        <v>-21.085042360060513</v>
      </c>
      <c r="S110" s="47">
        <v>-21.262198184568835</v>
      </c>
      <c r="T110" s="47">
        <v>-21.429465960665659</v>
      </c>
      <c r="U110" s="47">
        <v>-21.595124054462936</v>
      </c>
      <c r="V110" s="47">
        <v>-21.760782148260212</v>
      </c>
      <c r="W110" s="47">
        <v>-21.926440242057488</v>
      </c>
      <c r="X110" s="47">
        <v>-22.092098335854768</v>
      </c>
      <c r="Y110" s="47">
        <v>-22.257756429652044</v>
      </c>
      <c r="Z110" s="47">
        <v>-22.423363636363639</v>
      </c>
      <c r="AA110" s="47">
        <v>-22.588818181818183</v>
      </c>
      <c r="AB110" s="47">
        <v>-22.754999999999999</v>
      </c>
      <c r="AC110" s="47">
        <v>-22.921666666666667</v>
      </c>
      <c r="AD110" s="47">
        <v>-23.09121212121212</v>
      </c>
      <c r="AE110" s="47">
        <v>-23.262727272727272</v>
      </c>
      <c r="AF110" s="47">
        <v>-23.438484848484848</v>
      </c>
      <c r="AG110" s="47">
        <v>-23.627148260211801</v>
      </c>
      <c r="AH110" s="47">
        <v>-23.822760968229954</v>
      </c>
      <c r="AI110" s="47">
        <v>-24.018373676248107</v>
      </c>
      <c r="AJ110" s="47">
        <v>-24.213986384266263</v>
      </c>
      <c r="AK110" s="47">
        <v>-24.409599092284417</v>
      </c>
      <c r="AL110" s="47">
        <v>-24.60521180030257</v>
      </c>
      <c r="AM110" s="47">
        <v>-24.801853252647504</v>
      </c>
      <c r="AN110" s="47">
        <v>-25.023184568835099</v>
      </c>
      <c r="AO110" s="47">
        <v>-25.244515885022693</v>
      </c>
      <c r="AP110" s="47">
        <v>-25.465847201210288</v>
      </c>
      <c r="AQ110" s="47">
        <v>-25.687178517397882</v>
      </c>
      <c r="AR110" s="47">
        <v>-25.908509833585477</v>
      </c>
      <c r="AS110" s="47">
        <v>-26.129841149773071</v>
      </c>
      <c r="AT110" s="47">
        <v>-26.350782148260212</v>
      </c>
      <c r="AU110" s="47">
        <v>-26.571205748865356</v>
      </c>
      <c r="AV110" s="47">
        <v>-26.791629349470501</v>
      </c>
      <c r="AW110" s="47">
        <v>-27.012052950075642</v>
      </c>
      <c r="AX110" s="47">
        <v>-27.232476550680786</v>
      </c>
      <c r="AY110" s="47">
        <v>-27.452900151285931</v>
      </c>
      <c r="AZ110" s="47">
        <v>-27.673323751891076</v>
      </c>
      <c r="BA110" s="47">
        <v>-27.883584848484851</v>
      </c>
      <c r="BB110" s="47">
        <v>-28.091615151515153</v>
      </c>
      <c r="BC110" s="47">
        <v>-28.299645454545455</v>
      </c>
      <c r="BD110" s="47">
        <v>-28.507675757575758</v>
      </c>
      <c r="BE110" s="47">
        <v>-28.71570606060606</v>
      </c>
      <c r="BF110" s="47">
        <v>-28.923736363636365</v>
      </c>
      <c r="BG110" s="47">
        <v>-29.127969742813917</v>
      </c>
      <c r="BH110" s="47">
        <v>-29.318741301059003</v>
      </c>
      <c r="BI110" s="47">
        <v>-29.509512859304085</v>
      </c>
      <c r="BJ110" s="47">
        <v>-29.70028441754917</v>
      </c>
      <c r="BK110" s="47">
        <v>-29.891055975794252</v>
      </c>
      <c r="BL110" s="47">
        <v>-30.081827534039334</v>
      </c>
      <c r="BM110" s="47">
        <v>-30.27259909228442</v>
      </c>
      <c r="BN110" s="47">
        <v>-30.459018181818184</v>
      </c>
      <c r="BO110" s="47">
        <v>-30.642654545454544</v>
      </c>
      <c r="BP110" s="47">
        <v>-30.815975903614454</v>
      </c>
      <c r="BQ110" s="47">
        <v>-30.990090909090906</v>
      </c>
      <c r="BR110" s="47">
        <v>-31.167060606060605</v>
      </c>
      <c r="BS110" s="47">
        <v>-31.338121212121212</v>
      </c>
      <c r="BT110" s="47">
        <v>-31.506</v>
      </c>
    </row>
    <row r="111" spans="1:72" ht="9.9499999999999993" customHeight="1" thickBot="1" x14ac:dyDescent="0.4">
      <c r="A111" s="45" t="s">
        <v>96</v>
      </c>
      <c r="B111" s="35">
        <v>-6.4802239031770048</v>
      </c>
      <c r="C111" s="35">
        <v>-6.5546565809379729</v>
      </c>
      <c r="D111" s="47">
        <v>-6.6290892586989409</v>
      </c>
      <c r="E111" s="47">
        <v>-6.7035219364599099</v>
      </c>
      <c r="F111" s="47">
        <v>-6.7773252647503783</v>
      </c>
      <c r="G111" s="47">
        <v>-6.8438910741301058</v>
      </c>
      <c r="H111" s="47">
        <v>-6.9104568835098341</v>
      </c>
      <c r="I111" s="47">
        <v>-6.9770226928895616</v>
      </c>
      <c r="J111" s="47">
        <v>-7.043588502269289</v>
      </c>
      <c r="K111" s="47">
        <v>-7.1101543116490165</v>
      </c>
      <c r="L111" s="47">
        <v>-7.1767201210287439</v>
      </c>
      <c r="M111" s="47">
        <v>-7.2400151285930407</v>
      </c>
      <c r="N111" s="47">
        <v>-7.2996217851739784</v>
      </c>
      <c r="O111" s="47">
        <v>-7.359228441754917</v>
      </c>
      <c r="P111" s="47">
        <v>-7.4188350983358546</v>
      </c>
      <c r="Q111" s="47">
        <v>-7.4784417549167923</v>
      </c>
      <c r="R111" s="47">
        <v>-7.5380484114977309</v>
      </c>
      <c r="S111" s="47">
        <v>-7.5976550680786685</v>
      </c>
      <c r="T111" s="47">
        <v>-7.6536187594553704</v>
      </c>
      <c r="U111" s="47">
        <v>-7.7089894099848717</v>
      </c>
      <c r="V111" s="47">
        <v>-7.7643600605143721</v>
      </c>
      <c r="W111" s="47">
        <v>-7.8197307110438734</v>
      </c>
      <c r="X111" s="47">
        <v>-7.8751013615733738</v>
      </c>
      <c r="Y111" s="47">
        <v>-7.9304720121028751</v>
      </c>
      <c r="Z111" s="47">
        <v>-7.9860909090909091</v>
      </c>
      <c r="AA111" s="47">
        <v>-8.0424545454545449</v>
      </c>
      <c r="AB111" s="47">
        <v>-8.0995454545454546</v>
      </c>
      <c r="AC111" s="47">
        <v>-8.1571212121212131</v>
      </c>
      <c r="AD111" s="47">
        <v>-8.2170000000000005</v>
      </c>
      <c r="AE111" s="47">
        <v>-8.2780909090909098</v>
      </c>
      <c r="AF111" s="47">
        <v>-8.3417272727272742</v>
      </c>
      <c r="AG111" s="47">
        <v>-8.412872919818458</v>
      </c>
      <c r="AH111" s="47">
        <v>-8.488062027231468</v>
      </c>
      <c r="AI111" s="47">
        <v>-8.563251134644478</v>
      </c>
      <c r="AJ111" s="47">
        <v>-8.6384402420574897</v>
      </c>
      <c r="AK111" s="47">
        <v>-8.7136293494704997</v>
      </c>
      <c r="AL111" s="47">
        <v>-8.7888184568835097</v>
      </c>
      <c r="AM111" s="47">
        <v>-8.864594553706505</v>
      </c>
      <c r="AN111" s="47">
        <v>-8.9544583963691373</v>
      </c>
      <c r="AO111" s="47">
        <v>-9.0443222390317697</v>
      </c>
      <c r="AP111" s="47">
        <v>-9.134186081694402</v>
      </c>
      <c r="AQ111" s="47">
        <v>-9.2240499243570344</v>
      </c>
      <c r="AR111" s="47">
        <v>-9.3139137670196668</v>
      </c>
      <c r="AS111" s="47">
        <v>-9.4037776096822991</v>
      </c>
      <c r="AT111" s="47">
        <v>-9.4937065052950071</v>
      </c>
      <c r="AU111" s="47">
        <v>-9.5837216338880484</v>
      </c>
      <c r="AV111" s="47">
        <v>-9.6737367624810897</v>
      </c>
      <c r="AW111" s="47">
        <v>-9.763751891074131</v>
      </c>
      <c r="AX111" s="47">
        <v>-9.8537670196671723</v>
      </c>
      <c r="AY111" s="47">
        <v>-9.9437821482602118</v>
      </c>
      <c r="AZ111" s="47">
        <v>-10.033797276853253</v>
      </c>
      <c r="BA111" s="47">
        <v>-10.118333333333334</v>
      </c>
      <c r="BB111" s="47">
        <v>-10.201666666666668</v>
      </c>
      <c r="BC111" s="47">
        <v>-10.285</v>
      </c>
      <c r="BD111" s="47">
        <v>-10.368333333333334</v>
      </c>
      <c r="BE111" s="47">
        <v>-10.451666666666666</v>
      </c>
      <c r="BF111" s="47">
        <v>-10.535</v>
      </c>
      <c r="BG111" s="47">
        <v>-10.615975794251135</v>
      </c>
      <c r="BH111" s="47">
        <v>-10.688593040847202</v>
      </c>
      <c r="BI111" s="47">
        <v>-10.761210287443268</v>
      </c>
      <c r="BJ111" s="47">
        <v>-10.833827534039335</v>
      </c>
      <c r="BK111" s="47">
        <v>-10.9064447806354</v>
      </c>
      <c r="BL111" s="47">
        <v>-10.979062027231468</v>
      </c>
      <c r="BM111" s="47">
        <v>-11.051679273827535</v>
      </c>
      <c r="BN111" s="47">
        <v>-11.120666666666667</v>
      </c>
      <c r="BO111" s="47">
        <v>-11.187333333333333</v>
      </c>
      <c r="BP111" s="47">
        <v>-11.247831325301204</v>
      </c>
      <c r="BQ111" s="47">
        <v>-11.308181818181817</v>
      </c>
      <c r="BR111" s="47">
        <v>-11.368787878787879</v>
      </c>
      <c r="BS111" s="47">
        <v>-11.425454545454546</v>
      </c>
      <c r="BT111" s="47">
        <v>-11.48</v>
      </c>
    </row>
    <row r="112" spans="1:72" ht="9.9499999999999993" customHeight="1" thickBot="1" x14ac:dyDescent="0.4">
      <c r="A112" s="45" t="s">
        <v>97</v>
      </c>
      <c r="B112" s="35">
        <v>-27.456127080181542</v>
      </c>
      <c r="C112" s="35">
        <v>-26.763237518910742</v>
      </c>
      <c r="D112" s="47">
        <v>-26.070347957639939</v>
      </c>
      <c r="E112" s="47">
        <v>-25.377458396369136</v>
      </c>
      <c r="F112" s="47">
        <v>-24.703691376701965</v>
      </c>
      <c r="G112" s="47">
        <v>-24.249833585476548</v>
      </c>
      <c r="H112" s="47">
        <v>-23.795975794251135</v>
      </c>
      <c r="I112" s="47">
        <v>-23.342118003025718</v>
      </c>
      <c r="J112" s="47">
        <v>-22.888260211800301</v>
      </c>
      <c r="K112" s="47">
        <v>-22.434402420574884</v>
      </c>
      <c r="L112" s="47">
        <v>-21.98054462934947</v>
      </c>
      <c r="M112" s="47">
        <v>-21.591391830559758</v>
      </c>
      <c r="N112" s="47">
        <v>-21.275204236006051</v>
      </c>
      <c r="O112" s="47">
        <v>-20.959016641452344</v>
      </c>
      <c r="P112" s="47">
        <v>-20.642829046898637</v>
      </c>
      <c r="Q112" s="47">
        <v>-20.32664145234493</v>
      </c>
      <c r="R112" s="47">
        <v>-20.010453857791223</v>
      </c>
      <c r="S112" s="47">
        <v>-19.694266263237516</v>
      </c>
      <c r="T112" s="47">
        <v>-19.452239031770045</v>
      </c>
      <c r="U112" s="47">
        <v>-19.222284417549165</v>
      </c>
      <c r="V112" s="47">
        <v>-18.992329803328289</v>
      </c>
      <c r="W112" s="47">
        <v>-18.762375189107413</v>
      </c>
      <c r="X112" s="47">
        <v>-18.532420574886533</v>
      </c>
      <c r="Y112" s="47">
        <v>-18.302465960665657</v>
      </c>
      <c r="Z112" s="47">
        <v>-18.083030303030302</v>
      </c>
      <c r="AA112" s="47">
        <v>-17.895151515151515</v>
      </c>
      <c r="AB112" s="47">
        <v>-17.710909090909091</v>
      </c>
      <c r="AC112" s="47">
        <v>-17.529090909090908</v>
      </c>
      <c r="AD112" s="47">
        <v>-17.358787878787879</v>
      </c>
      <c r="AE112" s="47">
        <v>-17.190909090909088</v>
      </c>
      <c r="AF112" s="47">
        <v>-17.027272727272727</v>
      </c>
      <c r="AG112" s="47">
        <v>-16.879531013615733</v>
      </c>
      <c r="AH112" s="47">
        <v>-16.740347957639941</v>
      </c>
      <c r="AI112" s="47">
        <v>-16.601164901664145</v>
      </c>
      <c r="AJ112" s="47">
        <v>-16.461981845688349</v>
      </c>
      <c r="AK112" s="47">
        <v>-16.322798789712557</v>
      </c>
      <c r="AL112" s="47">
        <v>-16.183615733736762</v>
      </c>
      <c r="AM112" s="47">
        <v>-16.04552193645991</v>
      </c>
      <c r="AN112" s="47">
        <v>-15.933570347957641</v>
      </c>
      <c r="AO112" s="47">
        <v>-15.821618759455372</v>
      </c>
      <c r="AP112" s="47">
        <v>-15.709667170953102</v>
      </c>
      <c r="AQ112" s="47">
        <v>-15.597715582450833</v>
      </c>
      <c r="AR112" s="47">
        <v>-15.485763993948563</v>
      </c>
      <c r="AS112" s="47">
        <v>-15.373812405446294</v>
      </c>
      <c r="AT112" s="47">
        <v>-15.270968229954615</v>
      </c>
      <c r="AU112" s="47">
        <v>-15.180196671709531</v>
      </c>
      <c r="AV112" s="47">
        <v>-15.089425113464449</v>
      </c>
      <c r="AW112" s="47">
        <v>-14.998653555219365</v>
      </c>
      <c r="AX112" s="47">
        <v>-14.907881996974282</v>
      </c>
      <c r="AY112" s="47">
        <v>-14.817110438729198</v>
      </c>
      <c r="AZ112" s="47">
        <v>-14.726338880484116</v>
      </c>
      <c r="BA112" s="47">
        <v>-14.646636363636365</v>
      </c>
      <c r="BB112" s="47">
        <v>-14.569363636363637</v>
      </c>
      <c r="BC112" s="47">
        <v>-14.492090909090908</v>
      </c>
      <c r="BD112" s="47">
        <v>-14.414818181818182</v>
      </c>
      <c r="BE112" s="47">
        <v>-14.337545454545454</v>
      </c>
      <c r="BF112" s="47">
        <v>-14.260272727272726</v>
      </c>
      <c r="BG112" s="47">
        <v>-14.183358547655066</v>
      </c>
      <c r="BH112" s="47">
        <v>-14.107715582450831</v>
      </c>
      <c r="BI112" s="47">
        <v>-14.032072617246595</v>
      </c>
      <c r="BJ112" s="47">
        <v>-13.95642965204236</v>
      </c>
      <c r="BK112" s="47">
        <v>-13.880786686838123</v>
      </c>
      <c r="BL112" s="47">
        <v>-13.805143721633888</v>
      </c>
      <c r="BM112" s="47">
        <v>-13.729500756429651</v>
      </c>
      <c r="BN112" s="47">
        <v>-13.651939393939394</v>
      </c>
      <c r="BO112" s="47">
        <v>-13.573151515151515</v>
      </c>
      <c r="BP112" s="47">
        <v>-13.494819277108434</v>
      </c>
      <c r="BQ112" s="47">
        <v>-13.414545454545454</v>
      </c>
      <c r="BR112" s="47">
        <v>-13.32969696969697</v>
      </c>
      <c r="BS112" s="47">
        <v>-13.244848484848486</v>
      </c>
      <c r="BT112" s="47">
        <v>-13.16</v>
      </c>
    </row>
    <row r="113" spans="1:72" ht="9.9499999999999993" customHeight="1" thickBot="1" x14ac:dyDescent="0.4">
      <c r="A113" s="45" t="s">
        <v>61</v>
      </c>
      <c r="B113" s="35">
        <v>-5.094249621785174</v>
      </c>
      <c r="C113" s="35">
        <v>-5.1475022692889558</v>
      </c>
      <c r="D113" s="47">
        <v>-5.2007549167927385</v>
      </c>
      <c r="E113" s="47">
        <v>-5.2540075642965203</v>
      </c>
      <c r="F113" s="47">
        <v>-5.3077080181543117</v>
      </c>
      <c r="G113" s="47">
        <v>-5.3665582450832074</v>
      </c>
      <c r="H113" s="47">
        <v>-5.4254084720121032</v>
      </c>
      <c r="I113" s="47">
        <v>-5.4842586989409989</v>
      </c>
      <c r="J113" s="47">
        <v>-5.5431089258698938</v>
      </c>
      <c r="K113" s="47">
        <v>-5.6019591527987895</v>
      </c>
      <c r="L113" s="47">
        <v>-5.6608093797276853</v>
      </c>
      <c r="M113" s="47">
        <v>-5.719232980332829</v>
      </c>
      <c r="N113" s="47">
        <v>-5.7771754916792739</v>
      </c>
      <c r="O113" s="47">
        <v>-5.8351180030257188</v>
      </c>
      <c r="P113" s="47">
        <v>-5.8930605143721637</v>
      </c>
      <c r="Q113" s="47">
        <v>-5.9510030257186086</v>
      </c>
      <c r="R113" s="47">
        <v>-6.0089455370650535</v>
      </c>
      <c r="S113" s="47">
        <v>-6.0668880484114984</v>
      </c>
      <c r="T113" s="47">
        <v>-6.1222284417549169</v>
      </c>
      <c r="U113" s="47">
        <v>-6.1771452344931923</v>
      </c>
      <c r="V113" s="47">
        <v>-6.2320620272314677</v>
      </c>
      <c r="W113" s="47">
        <v>-6.2869788199697432</v>
      </c>
      <c r="X113" s="47">
        <v>-6.3418956127080177</v>
      </c>
      <c r="Y113" s="47">
        <v>-6.3968124054462931</v>
      </c>
      <c r="Z113" s="47">
        <v>-6.4511818181818184</v>
      </c>
      <c r="AA113" s="47">
        <v>-6.5039090909090911</v>
      </c>
      <c r="AB113" s="47">
        <v>-6.5559090909090916</v>
      </c>
      <c r="AC113" s="47">
        <v>-6.6074242424242424</v>
      </c>
      <c r="AD113" s="47">
        <v>-6.6572121212121216</v>
      </c>
      <c r="AE113" s="47">
        <v>-6.7065454545454548</v>
      </c>
      <c r="AF113" s="47">
        <v>-6.7550303030303036</v>
      </c>
      <c r="AG113" s="47">
        <v>-6.8014024205748864</v>
      </c>
      <c r="AH113" s="47">
        <v>-6.8466369137670195</v>
      </c>
      <c r="AI113" s="47">
        <v>-6.8918714069591527</v>
      </c>
      <c r="AJ113" s="47">
        <v>-6.9371059001512858</v>
      </c>
      <c r="AK113" s="47">
        <v>-6.9823403933434189</v>
      </c>
      <c r="AL113" s="47">
        <v>-7.0275748865355521</v>
      </c>
      <c r="AM113" s="47">
        <v>-7.0726641452344925</v>
      </c>
      <c r="AN113" s="47">
        <v>-7.1142677760968223</v>
      </c>
      <c r="AO113" s="47">
        <v>-7.1558714069591529</v>
      </c>
      <c r="AP113" s="47">
        <v>-7.1974750378214827</v>
      </c>
      <c r="AQ113" s="47">
        <v>-7.2390786686838124</v>
      </c>
      <c r="AR113" s="47">
        <v>-7.2806822995461422</v>
      </c>
      <c r="AS113" s="47">
        <v>-7.322285930408472</v>
      </c>
      <c r="AT113" s="47">
        <v>-7.3633691376701966</v>
      </c>
      <c r="AU113" s="47">
        <v>-7.4037624810892586</v>
      </c>
      <c r="AV113" s="47">
        <v>-7.4441558245083206</v>
      </c>
      <c r="AW113" s="47">
        <v>-7.4845491679273835</v>
      </c>
      <c r="AX113" s="47">
        <v>-7.5249425113464454</v>
      </c>
      <c r="AY113" s="47">
        <v>-7.5653358547655074</v>
      </c>
      <c r="AZ113" s="47">
        <v>-7.6057291981845694</v>
      </c>
      <c r="BA113" s="47">
        <v>-7.6469181818181822</v>
      </c>
      <c r="BB113" s="47">
        <v>-7.6882818181818191</v>
      </c>
      <c r="BC113" s="47">
        <v>-7.7296454545454552</v>
      </c>
      <c r="BD113" s="47">
        <v>-7.7710090909090912</v>
      </c>
      <c r="BE113" s="47">
        <v>-7.8123727272727272</v>
      </c>
      <c r="BF113" s="47">
        <v>-7.8537363636363642</v>
      </c>
      <c r="BG113" s="47">
        <v>-7.8960181543116494</v>
      </c>
      <c r="BH113" s="47">
        <v>-7.9415552193645995</v>
      </c>
      <c r="BI113" s="47">
        <v>-7.9870922844175496</v>
      </c>
      <c r="BJ113" s="47">
        <v>-8.0326293494704988</v>
      </c>
      <c r="BK113" s="47">
        <v>-8.0781664145234497</v>
      </c>
      <c r="BL113" s="47">
        <v>-8.1237034795763989</v>
      </c>
      <c r="BM113" s="47">
        <v>-8.1692405446293499</v>
      </c>
      <c r="BN113" s="47">
        <v>-8.2176848484848488</v>
      </c>
      <c r="BO113" s="47">
        <v>-8.2679878787878778</v>
      </c>
      <c r="BP113" s="47">
        <v>-8.3203132530120474</v>
      </c>
      <c r="BQ113" s="47">
        <v>-8.3737272727272725</v>
      </c>
      <c r="BR113" s="47">
        <v>-8.429484848484849</v>
      </c>
      <c r="BS113" s="47">
        <v>-8.4872121212121208</v>
      </c>
      <c r="BT113" s="47">
        <v>-8.5459999999999994</v>
      </c>
    </row>
    <row r="114" spans="1:72" ht="9.9499999999999993" customHeight="1" thickBot="1" x14ac:dyDescent="0.4">
      <c r="A114" s="45" t="s">
        <v>108</v>
      </c>
      <c r="B114" s="35">
        <v>-32.550376701966719</v>
      </c>
      <c r="C114" s="35">
        <v>-31.910739788199699</v>
      </c>
      <c r="D114" s="47">
        <v>-31.271102874432678</v>
      </c>
      <c r="E114" s="47">
        <v>-30.631465960665658</v>
      </c>
      <c r="F114" s="47">
        <v>-30.011399394856277</v>
      </c>
      <c r="G114" s="47">
        <v>-29.616391830559756</v>
      </c>
      <c r="H114" s="47">
        <v>-29.221384266263236</v>
      </c>
      <c r="I114" s="47">
        <v>-28.826376701966716</v>
      </c>
      <c r="J114" s="47">
        <v>-28.431369137670195</v>
      </c>
      <c r="K114" s="47">
        <v>-28.036361573373675</v>
      </c>
      <c r="L114" s="47">
        <v>-27.641354009077155</v>
      </c>
      <c r="M114" s="47">
        <v>-27.310624810892588</v>
      </c>
      <c r="N114" s="47">
        <v>-27.052379727685324</v>
      </c>
      <c r="O114" s="47">
        <v>-26.794134644478063</v>
      </c>
      <c r="P114" s="47">
        <v>-26.5358895612708</v>
      </c>
      <c r="Q114" s="47">
        <v>-26.277644478063539</v>
      </c>
      <c r="R114" s="47">
        <v>-26.019399394856276</v>
      </c>
      <c r="S114" s="47">
        <v>-25.761154311649015</v>
      </c>
      <c r="T114" s="47">
        <v>-25.574467473524958</v>
      </c>
      <c r="U114" s="47">
        <v>-25.399429652042357</v>
      </c>
      <c r="V114" s="47">
        <v>-25.224391830559757</v>
      </c>
      <c r="W114" s="47">
        <v>-25.049354009077152</v>
      </c>
      <c r="X114" s="47">
        <v>-24.874316187594552</v>
      </c>
      <c r="Y114" s="47">
        <v>-24.699278366111951</v>
      </c>
      <c r="Z114" s="47">
        <v>-24.534212121212118</v>
      </c>
      <c r="AA114" s="47">
        <v>-24.399060606060605</v>
      </c>
      <c r="AB114" s="47">
        <v>-24.266818181818181</v>
      </c>
      <c r="AC114" s="47">
        <v>-24.136515151515152</v>
      </c>
      <c r="AD114" s="47">
        <v>-24.015999999999998</v>
      </c>
      <c r="AE114" s="47">
        <v>-23.897454545454544</v>
      </c>
      <c r="AF114" s="47">
        <v>-23.782303030303027</v>
      </c>
      <c r="AG114" s="47">
        <v>-23.680933434190617</v>
      </c>
      <c r="AH114" s="47">
        <v>-23.586984871406958</v>
      </c>
      <c r="AI114" s="47">
        <v>-23.493036308623296</v>
      </c>
      <c r="AJ114" s="47">
        <v>-23.399087745839637</v>
      </c>
      <c r="AK114" s="47">
        <v>-23.305139183055978</v>
      </c>
      <c r="AL114" s="47">
        <v>-23.211190620272315</v>
      </c>
      <c r="AM114" s="47">
        <v>-23.118186081694404</v>
      </c>
      <c r="AN114" s="47">
        <v>-23.047838124054465</v>
      </c>
      <c r="AO114" s="47">
        <v>-22.977490166414526</v>
      </c>
      <c r="AP114" s="47">
        <v>-22.907142208774584</v>
      </c>
      <c r="AQ114" s="47">
        <v>-22.836794251134645</v>
      </c>
      <c r="AR114" s="47">
        <v>-22.766446293494706</v>
      </c>
      <c r="AS114" s="47">
        <v>-22.696098335854764</v>
      </c>
      <c r="AT114" s="47">
        <v>-22.634337367624809</v>
      </c>
      <c r="AU114" s="47">
        <v>-22.583959152798791</v>
      </c>
      <c r="AV114" s="47">
        <v>-22.533580937972769</v>
      </c>
      <c r="AW114" s="47">
        <v>-22.483202723146746</v>
      </c>
      <c r="AX114" s="47">
        <v>-22.432824508320724</v>
      </c>
      <c r="AY114" s="47">
        <v>-22.382446293494706</v>
      </c>
      <c r="AZ114" s="47">
        <v>-22.332068078668684</v>
      </c>
      <c r="BA114" s="47">
        <v>-22.293554545454544</v>
      </c>
      <c r="BB114" s="47">
        <v>-22.257645454545454</v>
      </c>
      <c r="BC114" s="47">
        <v>-22.221736363636364</v>
      </c>
      <c r="BD114" s="47">
        <v>-22.185827272727273</v>
      </c>
      <c r="BE114" s="47">
        <v>-22.14991818181818</v>
      </c>
      <c r="BF114" s="47">
        <v>-22.114009090909089</v>
      </c>
      <c r="BG114" s="47">
        <v>-22.079376701966716</v>
      </c>
      <c r="BH114" s="47">
        <v>-22.049270801815428</v>
      </c>
      <c r="BI114" s="47">
        <v>-22.019164901664144</v>
      </c>
      <c r="BJ114" s="47">
        <v>-21.98905900151286</v>
      </c>
      <c r="BK114" s="47">
        <v>-21.958953101361573</v>
      </c>
      <c r="BL114" s="47">
        <v>-21.928847201210289</v>
      </c>
      <c r="BM114" s="47">
        <v>-21.898741301059001</v>
      </c>
      <c r="BN114" s="47">
        <v>-21.869624242424244</v>
      </c>
      <c r="BO114" s="47">
        <v>-21.841139393939393</v>
      </c>
      <c r="BP114" s="47">
        <v>-21.815132530120479</v>
      </c>
      <c r="BQ114" s="47">
        <v>-21.788272727272727</v>
      </c>
      <c r="BR114" s="47">
        <v>-21.759181818181819</v>
      </c>
      <c r="BS114" s="47">
        <v>-21.732060606060607</v>
      </c>
      <c r="BT114" s="47">
        <v>-21.706</v>
      </c>
    </row>
    <row r="115" spans="1:72" ht="9.9499999999999993" customHeight="1" thickBot="1" x14ac:dyDescent="0.4">
      <c r="A115" s="45" t="s">
        <v>26</v>
      </c>
      <c r="B115" s="35">
        <v>-18.624069591527988</v>
      </c>
      <c r="C115" s="35">
        <v>-18.625582450832074</v>
      </c>
      <c r="D115" s="47">
        <v>-18.627095310136156</v>
      </c>
      <c r="E115" s="47">
        <v>-18.628608169440241</v>
      </c>
      <c r="F115" s="47">
        <v>-18.631089258698939</v>
      </c>
      <c r="G115" s="47">
        <v>-18.644704992435702</v>
      </c>
      <c r="H115" s="47">
        <v>-18.658320726172466</v>
      </c>
      <c r="I115" s="47">
        <v>-18.671936459909226</v>
      </c>
      <c r="J115" s="47">
        <v>-18.685552193645989</v>
      </c>
      <c r="K115" s="47">
        <v>-18.699167927382753</v>
      </c>
      <c r="L115" s="47">
        <v>-18.712783661119516</v>
      </c>
      <c r="M115" s="47">
        <v>-18.728532526475036</v>
      </c>
      <c r="N115" s="47">
        <v>-18.746686838124052</v>
      </c>
      <c r="O115" s="47">
        <v>-18.764841149773069</v>
      </c>
      <c r="P115" s="47">
        <v>-18.782995461422086</v>
      </c>
      <c r="Q115" s="47">
        <v>-18.801149773071103</v>
      </c>
      <c r="R115" s="47">
        <v>-18.81930408472012</v>
      </c>
      <c r="S115" s="47">
        <v>-18.837458396369136</v>
      </c>
      <c r="T115" s="47">
        <v>-18.858214826021179</v>
      </c>
      <c r="U115" s="47">
        <v>-18.879394856278367</v>
      </c>
      <c r="V115" s="47">
        <v>-18.900574886535551</v>
      </c>
      <c r="W115" s="47">
        <v>-18.921754916792739</v>
      </c>
      <c r="X115" s="47">
        <v>-18.942934947049924</v>
      </c>
      <c r="Y115" s="47">
        <v>-18.964114977307112</v>
      </c>
      <c r="Z115" s="47">
        <v>-18.986060606060608</v>
      </c>
      <c r="AA115" s="47">
        <v>-19.010303030303032</v>
      </c>
      <c r="AB115" s="47">
        <v>-19.034545454545455</v>
      </c>
      <c r="AC115" s="47">
        <v>-19.058787878787879</v>
      </c>
      <c r="AD115" s="47">
        <v>-19.083030303030302</v>
      </c>
      <c r="AE115" s="47">
        <v>-19.107272727272729</v>
      </c>
      <c r="AF115" s="47">
        <v>-19.131515151515153</v>
      </c>
      <c r="AG115" s="47">
        <v>-19.159667170953103</v>
      </c>
      <c r="AH115" s="47">
        <v>-19.189924357034798</v>
      </c>
      <c r="AI115" s="47">
        <v>-19.220181543116489</v>
      </c>
      <c r="AJ115" s="47">
        <v>-19.250438729198184</v>
      </c>
      <c r="AK115" s="47">
        <v>-19.280695915279878</v>
      </c>
      <c r="AL115" s="47">
        <v>-19.310953101361573</v>
      </c>
      <c r="AM115" s="47">
        <v>-19.341210287443268</v>
      </c>
      <c r="AN115" s="47">
        <v>-19.371467473524962</v>
      </c>
      <c r="AO115" s="47">
        <v>-19.401724659606657</v>
      </c>
      <c r="AP115" s="47">
        <v>-19.431981845688352</v>
      </c>
      <c r="AQ115" s="47">
        <v>-19.462239031770046</v>
      </c>
      <c r="AR115" s="47">
        <v>-19.492496217851738</v>
      </c>
      <c r="AS115" s="47">
        <v>-19.522753403933432</v>
      </c>
      <c r="AT115" s="47">
        <v>-19.551059001512858</v>
      </c>
      <c r="AU115" s="47">
        <v>-19.576777609682299</v>
      </c>
      <c r="AV115" s="47">
        <v>-19.602496217851741</v>
      </c>
      <c r="AW115" s="47">
        <v>-19.628214826021178</v>
      </c>
      <c r="AX115" s="47">
        <v>-19.65393343419062</v>
      </c>
      <c r="AY115" s="47">
        <v>-19.679652042360061</v>
      </c>
      <c r="AZ115" s="47">
        <v>-19.705370650529503</v>
      </c>
      <c r="BA115" s="47">
        <v>-19.731121212121213</v>
      </c>
      <c r="BB115" s="47">
        <v>-19.756878787878787</v>
      </c>
      <c r="BC115" s="47">
        <v>-19.782636363636364</v>
      </c>
      <c r="BD115" s="47">
        <v>-19.808393939393941</v>
      </c>
      <c r="BE115" s="47">
        <v>-19.834151515151515</v>
      </c>
      <c r="BF115" s="47">
        <v>-19.859909090909092</v>
      </c>
      <c r="BG115" s="47">
        <v>-19.885990922844176</v>
      </c>
      <c r="BH115" s="47">
        <v>-19.913222390317699</v>
      </c>
      <c r="BI115" s="47">
        <v>-19.940453857791223</v>
      </c>
      <c r="BJ115" s="47">
        <v>-19.96768532526475</v>
      </c>
      <c r="BK115" s="47">
        <v>-19.994916792738273</v>
      </c>
      <c r="BL115" s="47">
        <v>-20.0221482602118</v>
      </c>
      <c r="BM115" s="47">
        <v>-20.049379727685324</v>
      </c>
      <c r="BN115" s="47">
        <v>-20.074787878787877</v>
      </c>
      <c r="BO115" s="47">
        <v>-20.099030303030304</v>
      </c>
      <c r="BP115" s="47">
        <v>-20.128915662650602</v>
      </c>
      <c r="BQ115" s="47">
        <v>-20.159090909090907</v>
      </c>
      <c r="BR115" s="47">
        <v>-20.189393939393938</v>
      </c>
      <c r="BS115" s="47">
        <v>-20.219696969696969</v>
      </c>
      <c r="BT115" s="47">
        <v>-20.25</v>
      </c>
    </row>
    <row r="116" spans="1:72" ht="9.9499999999999993" customHeight="1" thickBot="1" x14ac:dyDescent="0.4">
      <c r="A116" s="45" t="s">
        <v>5</v>
      </c>
      <c r="B116" s="35">
        <v>-6.4802239031770048</v>
      </c>
      <c r="C116" s="35">
        <v>-6.5546565809379729</v>
      </c>
      <c r="D116" s="47">
        <v>-6.6290892586989409</v>
      </c>
      <c r="E116" s="47">
        <v>-6.7035219364599099</v>
      </c>
      <c r="F116" s="47">
        <v>-6.7773252647503783</v>
      </c>
      <c r="G116" s="47">
        <v>-6.8438910741301058</v>
      </c>
      <c r="H116" s="47">
        <v>-6.9104568835098341</v>
      </c>
      <c r="I116" s="47">
        <v>-6.9770226928895616</v>
      </c>
      <c r="J116" s="47">
        <v>-7.043588502269289</v>
      </c>
      <c r="K116" s="47">
        <v>-7.1101543116490165</v>
      </c>
      <c r="L116" s="47">
        <v>-7.1767201210287439</v>
      </c>
      <c r="M116" s="47">
        <v>-7.2400151285930407</v>
      </c>
      <c r="N116" s="47">
        <v>-7.2996217851739784</v>
      </c>
      <c r="O116" s="47">
        <v>-7.359228441754917</v>
      </c>
      <c r="P116" s="47">
        <v>-7.4188350983358546</v>
      </c>
      <c r="Q116" s="47">
        <v>-7.4784417549167923</v>
      </c>
      <c r="R116" s="47">
        <v>-7.5380484114977309</v>
      </c>
      <c r="S116" s="47">
        <v>-7.5976550680786685</v>
      </c>
      <c r="T116" s="47">
        <v>-7.6536187594553704</v>
      </c>
      <c r="U116" s="47">
        <v>-7.7089894099848717</v>
      </c>
      <c r="V116" s="47">
        <v>-7.7643600605143721</v>
      </c>
      <c r="W116" s="47">
        <v>-7.8197307110438734</v>
      </c>
      <c r="X116" s="47">
        <v>-7.8751013615733738</v>
      </c>
      <c r="Y116" s="47">
        <v>-7.9304720121028751</v>
      </c>
      <c r="Z116" s="47">
        <v>-7.9860909090909091</v>
      </c>
      <c r="AA116" s="47">
        <v>-8.0424545454545449</v>
      </c>
      <c r="AB116" s="47">
        <v>-8.0995454545454546</v>
      </c>
      <c r="AC116" s="47">
        <v>-8.1571212121212131</v>
      </c>
      <c r="AD116" s="47">
        <v>-8.2170000000000005</v>
      </c>
      <c r="AE116" s="47">
        <v>-8.2780909090909098</v>
      </c>
      <c r="AF116" s="47">
        <v>-8.3417272727272742</v>
      </c>
      <c r="AG116" s="47">
        <v>-8.412872919818458</v>
      </c>
      <c r="AH116" s="47">
        <v>-8.488062027231468</v>
      </c>
      <c r="AI116" s="47">
        <v>-8.563251134644478</v>
      </c>
      <c r="AJ116" s="47">
        <v>-8.6384402420574897</v>
      </c>
      <c r="AK116" s="47">
        <v>-8.7136293494704997</v>
      </c>
      <c r="AL116" s="47">
        <v>-8.7888184568835097</v>
      </c>
      <c r="AM116" s="47">
        <v>-8.864594553706505</v>
      </c>
      <c r="AN116" s="47">
        <v>-8.9544583963691373</v>
      </c>
      <c r="AO116" s="47">
        <v>-9.0443222390317697</v>
      </c>
      <c r="AP116" s="47">
        <v>-9.134186081694402</v>
      </c>
      <c r="AQ116" s="47">
        <v>-9.2240499243570344</v>
      </c>
      <c r="AR116" s="47">
        <v>-9.3139137670196668</v>
      </c>
      <c r="AS116" s="47">
        <v>-9.4037776096822991</v>
      </c>
      <c r="AT116" s="47">
        <v>-9.4937065052950071</v>
      </c>
      <c r="AU116" s="47">
        <v>-9.5837216338880484</v>
      </c>
      <c r="AV116" s="47">
        <v>-9.6737367624810897</v>
      </c>
      <c r="AW116" s="47">
        <v>-9.763751891074131</v>
      </c>
      <c r="AX116" s="47">
        <v>-9.8537670196671723</v>
      </c>
      <c r="AY116" s="47">
        <v>-9.9437821482602118</v>
      </c>
      <c r="AZ116" s="47">
        <v>-10.033797276853253</v>
      </c>
      <c r="BA116" s="47">
        <v>-10.118333333333334</v>
      </c>
      <c r="BB116" s="47">
        <v>-10.201666666666668</v>
      </c>
      <c r="BC116" s="47">
        <v>-10.285</v>
      </c>
      <c r="BD116" s="47">
        <v>-10.368333333333334</v>
      </c>
      <c r="BE116" s="47">
        <v>-10.451666666666666</v>
      </c>
      <c r="BF116" s="47">
        <v>-10.535</v>
      </c>
      <c r="BG116" s="47">
        <v>-10.615975794251135</v>
      </c>
      <c r="BH116" s="47">
        <v>-10.688593040847202</v>
      </c>
      <c r="BI116" s="47">
        <v>-10.761210287443268</v>
      </c>
      <c r="BJ116" s="47">
        <v>-10.833827534039335</v>
      </c>
      <c r="BK116" s="47">
        <v>-10.9064447806354</v>
      </c>
      <c r="BL116" s="47">
        <v>-10.979062027231468</v>
      </c>
      <c r="BM116" s="47">
        <v>-11.051679273827535</v>
      </c>
      <c r="BN116" s="47">
        <v>-11.120666666666667</v>
      </c>
      <c r="BO116" s="47">
        <v>-11.187333333333333</v>
      </c>
      <c r="BP116" s="47">
        <v>-11.247831325301204</v>
      </c>
      <c r="BQ116" s="47">
        <v>-11.308181818181817</v>
      </c>
      <c r="BR116" s="47">
        <v>-11.368787878787879</v>
      </c>
      <c r="BS116" s="47">
        <v>-11.425454545454546</v>
      </c>
      <c r="BT116" s="47">
        <v>-11.48</v>
      </c>
    </row>
    <row r="117" spans="1:72" ht="9.9499999999999993" customHeight="1" thickBot="1" x14ac:dyDescent="0.4">
      <c r="A117" s="45" t="s">
        <v>6</v>
      </c>
      <c r="B117" s="35">
        <v>-27.456127080181542</v>
      </c>
      <c r="C117" s="35">
        <v>-26.763237518910742</v>
      </c>
      <c r="D117" s="47">
        <v>-26.070347957639939</v>
      </c>
      <c r="E117" s="47">
        <v>-25.377458396369136</v>
      </c>
      <c r="F117" s="47">
        <v>-24.703691376701965</v>
      </c>
      <c r="G117" s="47">
        <v>-24.249833585476548</v>
      </c>
      <c r="H117" s="47">
        <v>-23.795975794251135</v>
      </c>
      <c r="I117" s="47">
        <v>-23.342118003025718</v>
      </c>
      <c r="J117" s="47">
        <v>-22.888260211800301</v>
      </c>
      <c r="K117" s="47">
        <v>-22.434402420574884</v>
      </c>
      <c r="L117" s="47">
        <v>-21.98054462934947</v>
      </c>
      <c r="M117" s="47">
        <v>-21.591391830559758</v>
      </c>
      <c r="N117" s="47">
        <v>-21.275204236006051</v>
      </c>
      <c r="O117" s="47">
        <v>-20.959016641452344</v>
      </c>
      <c r="P117" s="47">
        <v>-20.642829046898637</v>
      </c>
      <c r="Q117" s="47">
        <v>-20.32664145234493</v>
      </c>
      <c r="R117" s="47">
        <v>-20.010453857791223</v>
      </c>
      <c r="S117" s="47">
        <v>-19.694266263237516</v>
      </c>
      <c r="T117" s="47">
        <v>-19.452239031770045</v>
      </c>
      <c r="U117" s="47">
        <v>-19.222284417549165</v>
      </c>
      <c r="V117" s="47">
        <v>-18.992329803328289</v>
      </c>
      <c r="W117" s="47">
        <v>-18.762375189107413</v>
      </c>
      <c r="X117" s="47">
        <v>-18.532420574886533</v>
      </c>
      <c r="Y117" s="47">
        <v>-18.302465960665657</v>
      </c>
      <c r="Z117" s="47">
        <v>-18.083030303030302</v>
      </c>
      <c r="AA117" s="47">
        <v>-17.895151515151515</v>
      </c>
      <c r="AB117" s="47">
        <v>-17.710909090909091</v>
      </c>
      <c r="AC117" s="47">
        <v>-17.529090909090908</v>
      </c>
      <c r="AD117" s="47">
        <v>-17.358787878787879</v>
      </c>
      <c r="AE117" s="47">
        <v>-17.190909090909088</v>
      </c>
      <c r="AF117" s="47">
        <v>-17.027272727272727</v>
      </c>
      <c r="AG117" s="47">
        <v>-16.879531013615733</v>
      </c>
      <c r="AH117" s="47">
        <v>-16.740347957639941</v>
      </c>
      <c r="AI117" s="47">
        <v>-16.601164901664145</v>
      </c>
      <c r="AJ117" s="47">
        <v>-16.461981845688349</v>
      </c>
      <c r="AK117" s="47">
        <v>-16.322798789712557</v>
      </c>
      <c r="AL117" s="47">
        <v>-16.183615733736762</v>
      </c>
      <c r="AM117" s="47">
        <v>-16.04552193645991</v>
      </c>
      <c r="AN117" s="47">
        <v>-15.933570347957641</v>
      </c>
      <c r="AO117" s="47">
        <v>-15.821618759455372</v>
      </c>
      <c r="AP117" s="47">
        <v>-15.709667170953102</v>
      </c>
      <c r="AQ117" s="47">
        <v>-15.597715582450833</v>
      </c>
      <c r="AR117" s="47">
        <v>-15.485763993948563</v>
      </c>
      <c r="AS117" s="47">
        <v>-15.373812405446294</v>
      </c>
      <c r="AT117" s="47">
        <v>-15.270968229954615</v>
      </c>
      <c r="AU117" s="47">
        <v>-15.180196671709531</v>
      </c>
      <c r="AV117" s="47">
        <v>-15.089425113464449</v>
      </c>
      <c r="AW117" s="47">
        <v>-14.998653555219365</v>
      </c>
      <c r="AX117" s="47">
        <v>-14.907881996974282</v>
      </c>
      <c r="AY117" s="47">
        <v>-14.817110438729198</v>
      </c>
      <c r="AZ117" s="47">
        <v>-14.726338880484116</v>
      </c>
      <c r="BA117" s="47">
        <v>-14.646636363636365</v>
      </c>
      <c r="BB117" s="47">
        <v>-14.569363636363637</v>
      </c>
      <c r="BC117" s="47">
        <v>-14.492090909090908</v>
      </c>
      <c r="BD117" s="47">
        <v>-14.414818181818182</v>
      </c>
      <c r="BE117" s="47">
        <v>-14.337545454545454</v>
      </c>
      <c r="BF117" s="47">
        <v>-14.260272727272726</v>
      </c>
      <c r="BG117" s="47">
        <v>-14.183358547655066</v>
      </c>
      <c r="BH117" s="47">
        <v>-14.107715582450831</v>
      </c>
      <c r="BI117" s="47">
        <v>-14.032072617246595</v>
      </c>
      <c r="BJ117" s="47">
        <v>-13.95642965204236</v>
      </c>
      <c r="BK117" s="47">
        <v>-13.880786686838123</v>
      </c>
      <c r="BL117" s="47">
        <v>-13.805143721633888</v>
      </c>
      <c r="BM117" s="47">
        <v>-13.729500756429651</v>
      </c>
      <c r="BN117" s="47">
        <v>-13.651939393939394</v>
      </c>
      <c r="BO117" s="47">
        <v>-13.573151515151515</v>
      </c>
      <c r="BP117" s="47">
        <v>-13.494819277108434</v>
      </c>
      <c r="BQ117" s="47">
        <v>-13.414545454545454</v>
      </c>
      <c r="BR117" s="47">
        <v>-13.32969696969697</v>
      </c>
      <c r="BS117" s="47">
        <v>-13.244848484848486</v>
      </c>
      <c r="BT117" s="47">
        <v>-13.16</v>
      </c>
    </row>
    <row r="118" spans="1:72" ht="9.9499999999999993" customHeight="1" thickBot="1" x14ac:dyDescent="0.4">
      <c r="A118" s="45" t="s">
        <v>7</v>
      </c>
      <c r="B118" s="35">
        <v>-5.094249621785174</v>
      </c>
      <c r="C118" s="35">
        <v>-5.1475022692889558</v>
      </c>
      <c r="D118" s="47">
        <v>-5.2007549167927385</v>
      </c>
      <c r="E118" s="47">
        <v>-5.2540075642965203</v>
      </c>
      <c r="F118" s="47">
        <v>-5.3077080181543117</v>
      </c>
      <c r="G118" s="47">
        <v>-5.3665582450832074</v>
      </c>
      <c r="H118" s="47">
        <v>-5.4254084720121032</v>
      </c>
      <c r="I118" s="47">
        <v>-5.4842586989409989</v>
      </c>
      <c r="J118" s="47">
        <v>-5.5431089258698938</v>
      </c>
      <c r="K118" s="47">
        <v>-5.6019591527987895</v>
      </c>
      <c r="L118" s="47">
        <v>-5.6608093797276853</v>
      </c>
      <c r="M118" s="47">
        <v>-5.719232980332829</v>
      </c>
      <c r="N118" s="47">
        <v>-5.7771754916792739</v>
      </c>
      <c r="O118" s="47">
        <v>-5.8351180030257188</v>
      </c>
      <c r="P118" s="47">
        <v>-5.8930605143721637</v>
      </c>
      <c r="Q118" s="47">
        <v>-5.9510030257186086</v>
      </c>
      <c r="R118" s="47">
        <v>-6.0089455370650535</v>
      </c>
      <c r="S118" s="47">
        <v>-6.0668880484114984</v>
      </c>
      <c r="T118" s="47">
        <v>-6.1222284417549169</v>
      </c>
      <c r="U118" s="47">
        <v>-6.1771452344931923</v>
      </c>
      <c r="V118" s="47">
        <v>-6.2320620272314677</v>
      </c>
      <c r="W118" s="47">
        <v>-6.2869788199697432</v>
      </c>
      <c r="X118" s="47">
        <v>-6.3418956127080177</v>
      </c>
      <c r="Y118" s="47">
        <v>-6.3968124054462931</v>
      </c>
      <c r="Z118" s="47">
        <v>-6.4511818181818184</v>
      </c>
      <c r="AA118" s="47">
        <v>-6.5039090909090911</v>
      </c>
      <c r="AB118" s="47">
        <v>-6.5559090909090916</v>
      </c>
      <c r="AC118" s="47">
        <v>-6.6074242424242424</v>
      </c>
      <c r="AD118" s="47">
        <v>-6.6572121212121216</v>
      </c>
      <c r="AE118" s="47">
        <v>-6.7065454545454548</v>
      </c>
      <c r="AF118" s="47">
        <v>-6.7550303030303036</v>
      </c>
      <c r="AG118" s="47">
        <v>-6.8014024205748864</v>
      </c>
      <c r="AH118" s="47">
        <v>-6.8466369137670195</v>
      </c>
      <c r="AI118" s="47">
        <v>-6.8918714069591527</v>
      </c>
      <c r="AJ118" s="47">
        <v>-6.9371059001512858</v>
      </c>
      <c r="AK118" s="47">
        <v>-6.9823403933434189</v>
      </c>
      <c r="AL118" s="47">
        <v>-7.0275748865355521</v>
      </c>
      <c r="AM118" s="47">
        <v>-7.0726641452344925</v>
      </c>
      <c r="AN118" s="47">
        <v>-7.1142677760968223</v>
      </c>
      <c r="AO118" s="47">
        <v>-7.1558714069591529</v>
      </c>
      <c r="AP118" s="47">
        <v>-7.1974750378214827</v>
      </c>
      <c r="AQ118" s="47">
        <v>-7.2390786686838124</v>
      </c>
      <c r="AR118" s="47">
        <v>-7.2806822995461422</v>
      </c>
      <c r="AS118" s="47">
        <v>-7.322285930408472</v>
      </c>
      <c r="AT118" s="47">
        <v>-7.3633691376701966</v>
      </c>
      <c r="AU118" s="47">
        <v>-7.4037624810892586</v>
      </c>
      <c r="AV118" s="47">
        <v>-7.4441558245083206</v>
      </c>
      <c r="AW118" s="47">
        <v>-7.4845491679273835</v>
      </c>
      <c r="AX118" s="47">
        <v>-7.5249425113464454</v>
      </c>
      <c r="AY118" s="47">
        <v>-7.5653358547655074</v>
      </c>
      <c r="AZ118" s="47">
        <v>-7.6057291981845694</v>
      </c>
      <c r="BA118" s="47">
        <v>-7.6469181818181822</v>
      </c>
      <c r="BB118" s="47">
        <v>-7.6882818181818191</v>
      </c>
      <c r="BC118" s="47">
        <v>-7.7296454545454552</v>
      </c>
      <c r="BD118" s="47">
        <v>-7.7710090909090912</v>
      </c>
      <c r="BE118" s="47">
        <v>-7.8123727272727272</v>
      </c>
      <c r="BF118" s="47">
        <v>-7.8537363636363642</v>
      </c>
      <c r="BG118" s="47">
        <v>-7.8960181543116494</v>
      </c>
      <c r="BH118" s="47">
        <v>-7.9415552193645995</v>
      </c>
      <c r="BI118" s="47">
        <v>-7.9870922844175496</v>
      </c>
      <c r="BJ118" s="47">
        <v>-8.0326293494704988</v>
      </c>
      <c r="BK118" s="47">
        <v>-8.0781664145234497</v>
      </c>
      <c r="BL118" s="47">
        <v>-8.1237034795763989</v>
      </c>
      <c r="BM118" s="47">
        <v>-8.1692405446293499</v>
      </c>
      <c r="BN118" s="47">
        <v>-8.2176848484848488</v>
      </c>
      <c r="BO118" s="47">
        <v>-8.2679878787878778</v>
      </c>
      <c r="BP118" s="47">
        <v>-8.3203132530120474</v>
      </c>
      <c r="BQ118" s="47">
        <v>-8.3737272727272725</v>
      </c>
      <c r="BR118" s="47">
        <v>-8.429484848484849</v>
      </c>
      <c r="BS118" s="47">
        <v>-8.4872121212121208</v>
      </c>
      <c r="BT118" s="47">
        <v>-8.5459999999999994</v>
      </c>
    </row>
    <row r="119" spans="1:72" ht="9.9499999999999993" customHeight="1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9.9499999999999993" customHeight="1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9.9499999999999993" customHeight="1" thickTop="1" thickBot="1" x14ac:dyDescent="0.4">
      <c r="A133" s="45" t="s">
        <v>89</v>
      </c>
      <c r="B133" s="35">
        <v>-59.298181818181817</v>
      </c>
      <c r="C133" s="35">
        <v>-57.82181818181818</v>
      </c>
      <c r="D133" s="107">
        <v>-56.458181818181821</v>
      </c>
      <c r="E133" s="107">
        <v>-55.240545454545455</v>
      </c>
      <c r="F133" s="107">
        <v>-54.169515151515157</v>
      </c>
      <c r="G133" s="107">
        <v>-54.163454545454542</v>
      </c>
      <c r="H133" s="107">
        <v>-53.748132530120479</v>
      </c>
      <c r="I133" s="107">
        <v>-52.790301204819279</v>
      </c>
      <c r="J133" s="107">
        <v>-52.266666666666666</v>
      </c>
      <c r="K133" s="107">
        <v>-51.88</v>
      </c>
      <c r="L133" s="107">
        <v>-51.546666666666674</v>
      </c>
      <c r="M133" s="107">
        <v>-51.257726172465965</v>
      </c>
      <c r="N133" s="107">
        <v>-51.018845688350986</v>
      </c>
      <c r="O133" s="107">
        <v>-50.779965204236014</v>
      </c>
      <c r="P133" s="107">
        <v>-50.541084720121034</v>
      </c>
      <c r="Q133" s="107">
        <v>-50.302204236006055</v>
      </c>
      <c r="R133" s="107">
        <v>-50.063323751891076</v>
      </c>
      <c r="S133" s="107">
        <v>-49.824443267776097</v>
      </c>
      <c r="T133" s="107">
        <v>-49.652878787878791</v>
      </c>
      <c r="U133" s="107">
        <v>-49.495072727272728</v>
      </c>
      <c r="V133" s="107">
        <v>-49.347799999999999</v>
      </c>
      <c r="W133" s="107">
        <v>-49.220212121212121</v>
      </c>
      <c r="X133" s="107">
        <v>-49.108090909090905</v>
      </c>
      <c r="Y133" s="107">
        <v>-49.151174698795181</v>
      </c>
      <c r="Z133" s="107">
        <v>-49.273787878787878</v>
      </c>
      <c r="AA133" s="107">
        <v>-49.588939393939398</v>
      </c>
      <c r="AB133" s="107">
        <v>-49.904454545454549</v>
      </c>
      <c r="AC133" s="107">
        <v>-50.220212121212121</v>
      </c>
      <c r="AD133" s="107">
        <v>-50.535393939393941</v>
      </c>
      <c r="AE133" s="107">
        <v>-50.850727272727276</v>
      </c>
      <c r="AF133" s="107">
        <v>-51.166484848484849</v>
      </c>
      <c r="AG133" s="107">
        <v>-51.481006024096381</v>
      </c>
      <c r="AH133" s="107">
        <v>-51.794861445783127</v>
      </c>
      <c r="AI133" s="107">
        <v>-52.098599999999998</v>
      </c>
      <c r="AJ133" s="107">
        <v>-52.402236363636362</v>
      </c>
      <c r="AK133" s="107">
        <v>-52.705872727272727</v>
      </c>
      <c r="AL133" s="107">
        <v>-53.009509090909091</v>
      </c>
      <c r="AM133" s="107">
        <v>-53.31287291981846</v>
      </c>
      <c r="AN133" s="107">
        <v>-53.609695915279879</v>
      </c>
      <c r="AO133" s="107">
        <v>-53.906518910741298</v>
      </c>
      <c r="AP133" s="107">
        <v>-54.203341906202724</v>
      </c>
      <c r="AQ133" s="107">
        <v>-54.500164901664142</v>
      </c>
      <c r="AR133" s="107">
        <v>-54.796987897125568</v>
      </c>
      <c r="AS133" s="107">
        <v>-55.093810892586987</v>
      </c>
      <c r="AT133" s="107">
        <v>-55.388090909090906</v>
      </c>
      <c r="AU133" s="107">
        <v>-55.679000000000002</v>
      </c>
      <c r="AV133" s="107">
        <v>-55.969436363636362</v>
      </c>
      <c r="AW133" s="107">
        <v>-56.259818181818183</v>
      </c>
      <c r="AX133" s="107">
        <v>-56.550727272727272</v>
      </c>
      <c r="AY133" s="107">
        <v>-56.834722891566265</v>
      </c>
      <c r="AZ133" s="107">
        <v>-57.11122891566265</v>
      </c>
      <c r="BA133" s="107">
        <v>-57.389109090909095</v>
      </c>
      <c r="BB133" s="107">
        <v>-57.667187878787885</v>
      </c>
      <c r="BC133" s="107">
        <v>-57.944763636363639</v>
      </c>
      <c r="BD133" s="107">
        <v>-58.222654545454546</v>
      </c>
      <c r="BE133" s="107">
        <v>-58.500836363636367</v>
      </c>
      <c r="BF133" s="107">
        <v>-58.778490909090905</v>
      </c>
      <c r="BG133" s="107">
        <v>-59.053877458396364</v>
      </c>
      <c r="BH133" s="107">
        <v>-59.321502269288956</v>
      </c>
      <c r="BI133" s="107">
        <v>-59.589127080181541</v>
      </c>
      <c r="BJ133" s="107">
        <v>-59.856751891074126</v>
      </c>
      <c r="BK133" s="107">
        <v>-60.124376701966717</v>
      </c>
      <c r="BL133" s="107">
        <v>-60.392001512859302</v>
      </c>
      <c r="BM133" s="107">
        <v>-60.659626323751887</v>
      </c>
      <c r="BN133" s="107">
        <v>-60.923190620272315</v>
      </c>
      <c r="BO133" s="107">
        <v>-61.184158850226929</v>
      </c>
      <c r="BP133" s="107">
        <v>-61.445127080181543</v>
      </c>
      <c r="BQ133" s="107">
        <v>-61.706095310136156</v>
      </c>
      <c r="BR133" s="107">
        <v>-61.967063540090777</v>
      </c>
      <c r="BS133" s="107">
        <v>-62.228031770045391</v>
      </c>
      <c r="BT133" s="107">
        <v>-62.489000000000004</v>
      </c>
    </row>
    <row r="134" spans="1:72" ht="9.9499999999999993" customHeight="1" thickBot="1" x14ac:dyDescent="0.4">
      <c r="A134" s="45" t="s">
        <v>49</v>
      </c>
      <c r="B134" s="35">
        <v>-21.105757575757575</v>
      </c>
      <c r="C134" s="35">
        <v>-20.527333333333335</v>
      </c>
      <c r="D134" s="107">
        <v>-19.994</v>
      </c>
      <c r="E134" s="107">
        <v>-19.721696969696971</v>
      </c>
      <c r="F134" s="107">
        <v>-19.592969696969696</v>
      </c>
      <c r="G134" s="107">
        <v>-20.005090909090907</v>
      </c>
      <c r="H134" s="107">
        <v>-20.188192771084335</v>
      </c>
      <c r="I134" s="107">
        <v>-20.067710843373494</v>
      </c>
      <c r="J134" s="107">
        <v>-20.152000000000001</v>
      </c>
      <c r="K134" s="107">
        <v>-20.298181818181821</v>
      </c>
      <c r="L134" s="107">
        <v>-20.449696969696969</v>
      </c>
      <c r="M134" s="107">
        <v>-20.601104387291983</v>
      </c>
      <c r="N134" s="107">
        <v>-20.752390317700456</v>
      </c>
      <c r="O134" s="107">
        <v>-20.903676248108926</v>
      </c>
      <c r="P134" s="107">
        <v>-21.0549621785174</v>
      </c>
      <c r="Q134" s="107">
        <v>-21.20624810892587</v>
      </c>
      <c r="R134" s="107">
        <v>-21.357534039334343</v>
      </c>
      <c r="S134" s="107">
        <v>-21.508819969742817</v>
      </c>
      <c r="T134" s="107">
        <v>-21.66030303030303</v>
      </c>
      <c r="U134" s="107">
        <v>-21.810545454545455</v>
      </c>
      <c r="V134" s="107">
        <v>-21.956</v>
      </c>
      <c r="W134" s="107">
        <v>-22.104848484848485</v>
      </c>
      <c r="X134" s="107">
        <v>-22.256363636363638</v>
      </c>
      <c r="Y134" s="107">
        <v>-22.407048192771086</v>
      </c>
      <c r="Z134" s="107">
        <v>-22.556363636363635</v>
      </c>
      <c r="AA134" s="107">
        <v>-22.701818181818183</v>
      </c>
      <c r="AB134" s="107">
        <v>-22.847272727272728</v>
      </c>
      <c r="AC134" s="107">
        <v>-22.992727272727272</v>
      </c>
      <c r="AD134" s="107">
        <v>-23.138181818181817</v>
      </c>
      <c r="AE134" s="107">
        <v>-23.283636363636361</v>
      </c>
      <c r="AF134" s="107">
        <v>-23.42909090909091</v>
      </c>
      <c r="AG134" s="107">
        <v>-23.573975903614457</v>
      </c>
      <c r="AH134" s="107">
        <v>-23.718554216867467</v>
      </c>
      <c r="AI134" s="107">
        <v>-23.858000000000001</v>
      </c>
      <c r="AJ134" s="107">
        <v>-23.997393939393938</v>
      </c>
      <c r="AK134" s="107">
        <v>-24.136787878787878</v>
      </c>
      <c r="AL134" s="107">
        <v>-24.276181818181819</v>
      </c>
      <c r="AM134" s="107">
        <v>-24.415446293494703</v>
      </c>
      <c r="AN134" s="107">
        <v>-24.551603630862328</v>
      </c>
      <c r="AO134" s="107">
        <v>-24.687760968229952</v>
      </c>
      <c r="AP134" s="107">
        <v>-24.82391830559758</v>
      </c>
      <c r="AQ134" s="107">
        <v>-24.960075642965204</v>
      </c>
      <c r="AR134" s="107">
        <v>-25.096232980332829</v>
      </c>
      <c r="AS134" s="107">
        <v>-25.232390317700453</v>
      </c>
      <c r="AT134" s="107">
        <v>-25.367333333333331</v>
      </c>
      <c r="AU134" s="107">
        <v>-25.500666666666667</v>
      </c>
      <c r="AV134" s="107">
        <v>-25.634</v>
      </c>
      <c r="AW134" s="107">
        <v>-25.767333333333333</v>
      </c>
      <c r="AX134" s="107">
        <v>-25.900666666666666</v>
      </c>
      <c r="AY134" s="107">
        <v>-26.030722891566263</v>
      </c>
      <c r="AZ134" s="107">
        <v>-26.15722891566265</v>
      </c>
      <c r="BA134" s="107">
        <v>-26.284363636363636</v>
      </c>
      <c r="BB134" s="107">
        <v>-26.411636363636365</v>
      </c>
      <c r="BC134" s="107">
        <v>-26.538909090909094</v>
      </c>
      <c r="BD134" s="107">
        <v>-26.666181818181819</v>
      </c>
      <c r="BE134" s="107">
        <v>-26.793454545454544</v>
      </c>
      <c r="BF134" s="107">
        <v>-26.920727272727273</v>
      </c>
      <c r="BG134" s="107">
        <v>-27.046959152798788</v>
      </c>
      <c r="BH134" s="107">
        <v>-27.169500756429652</v>
      </c>
      <c r="BI134" s="107">
        <v>-27.292042360060513</v>
      </c>
      <c r="BJ134" s="107">
        <v>-27.414583963691378</v>
      </c>
      <c r="BK134" s="107">
        <v>-27.537125567322239</v>
      </c>
      <c r="BL134" s="107">
        <v>-27.659667170953099</v>
      </c>
      <c r="BM134" s="107">
        <v>-27.782208774583964</v>
      </c>
      <c r="BN134" s="107">
        <v>-27.902904689863842</v>
      </c>
      <c r="BO134" s="107">
        <v>-28.022420574886535</v>
      </c>
      <c r="BP134" s="107">
        <v>-28.141936459909228</v>
      </c>
      <c r="BQ134" s="107">
        <v>-28.261452344931921</v>
      </c>
      <c r="BR134" s="107">
        <v>-28.380968229954615</v>
      </c>
      <c r="BS134" s="107">
        <v>-28.500484114977308</v>
      </c>
      <c r="BT134" s="107">
        <v>-28.62</v>
      </c>
    </row>
    <row r="135" spans="1:72" ht="9.9499999999999993" customHeight="1" thickBot="1" x14ac:dyDescent="0.4">
      <c r="A135" s="45" t="s">
        <v>50</v>
      </c>
      <c r="B135" s="35">
        <v>-17.086666666666666</v>
      </c>
      <c r="C135" s="35">
        <v>-16.767151515151514</v>
      </c>
      <c r="D135" s="107">
        <v>-16.470181818181818</v>
      </c>
      <c r="E135" s="107">
        <v>-15.797151515151516</v>
      </c>
      <c r="F135" s="107">
        <v>-14.983575757575757</v>
      </c>
      <c r="G135" s="107">
        <v>-14.153272727272727</v>
      </c>
      <c r="H135" s="107">
        <v>-13.371746987951807</v>
      </c>
      <c r="I135" s="107">
        <v>-12.65487951807229</v>
      </c>
      <c r="J135" s="107">
        <v>-11.962666666666667</v>
      </c>
      <c r="K135" s="107">
        <v>-11.283636363636363</v>
      </c>
      <c r="L135" s="107">
        <v>-10.647272727272728</v>
      </c>
      <c r="M135" s="107">
        <v>-10.055517397881998</v>
      </c>
      <c r="N135" s="107">
        <v>-9.5140650529500768</v>
      </c>
      <c r="O135" s="107">
        <v>-8.9726127080181541</v>
      </c>
      <c r="P135" s="107">
        <v>-8.4311603630862333</v>
      </c>
      <c r="Q135" s="107">
        <v>-7.8897080181543107</v>
      </c>
      <c r="R135" s="107">
        <v>-7.3482556732223898</v>
      </c>
      <c r="S135" s="107">
        <v>-6.8068033282904672</v>
      </c>
      <c r="T135" s="107">
        <v>-6.3322727272727262</v>
      </c>
      <c r="U135" s="107">
        <v>-5.8739818181818171</v>
      </c>
      <c r="V135" s="107">
        <v>-5.4357999999999995</v>
      </c>
      <c r="W135" s="107">
        <v>-5.0105151515151505</v>
      </c>
      <c r="X135" s="107">
        <v>-4.5953636363636354</v>
      </c>
      <c r="Y135" s="107">
        <v>-4.337078313253012</v>
      </c>
      <c r="Z135" s="107">
        <v>-4.1610606060606061</v>
      </c>
      <c r="AA135" s="107">
        <v>-4.1853030303030305</v>
      </c>
      <c r="AB135" s="107">
        <v>-4.2099090909090906</v>
      </c>
      <c r="AC135" s="107">
        <v>-4.2347575757575759</v>
      </c>
      <c r="AD135" s="107">
        <v>-4.2590303030303032</v>
      </c>
      <c r="AE135" s="107">
        <v>-4.2834545454545454</v>
      </c>
      <c r="AF135" s="107">
        <v>-4.3083030303030307</v>
      </c>
      <c r="AG135" s="107">
        <v>-4.3330542168674695</v>
      </c>
      <c r="AH135" s="107">
        <v>-4.3577530120481924</v>
      </c>
      <c r="AI135" s="107">
        <v>-4.3826000000000001</v>
      </c>
      <c r="AJ135" s="107">
        <v>-4.4074484848484845</v>
      </c>
      <c r="AK135" s="107">
        <v>-4.4322969696969698</v>
      </c>
      <c r="AL135" s="107">
        <v>-4.4571454545454543</v>
      </c>
      <c r="AM135" s="107">
        <v>-4.4819803328290471</v>
      </c>
      <c r="AN135" s="107">
        <v>-4.5064886535552189</v>
      </c>
      <c r="AO135" s="107">
        <v>-4.5309969742813916</v>
      </c>
      <c r="AP135" s="107">
        <v>-4.5555052950075643</v>
      </c>
      <c r="AQ135" s="107">
        <v>-4.5800136157337361</v>
      </c>
      <c r="AR135" s="107">
        <v>-4.6045219364599088</v>
      </c>
      <c r="AS135" s="107">
        <v>-4.6290302571860815</v>
      </c>
      <c r="AT135" s="107">
        <v>-4.6534242424242418</v>
      </c>
      <c r="AU135" s="107">
        <v>-4.6776666666666662</v>
      </c>
      <c r="AV135" s="107">
        <v>-4.7014363636363639</v>
      </c>
      <c r="AW135" s="107">
        <v>-4.7251515151515155</v>
      </c>
      <c r="AX135" s="107">
        <v>-4.7493939393939391</v>
      </c>
      <c r="AY135" s="107">
        <v>-4.7732771084337342</v>
      </c>
      <c r="AZ135" s="107">
        <v>-4.7967710843373492</v>
      </c>
      <c r="BA135" s="107">
        <v>-4.8203818181818185</v>
      </c>
      <c r="BB135" s="107">
        <v>-4.8439151515151515</v>
      </c>
      <c r="BC135" s="107">
        <v>-4.8669454545454549</v>
      </c>
      <c r="BD135" s="107">
        <v>-4.8902909090909095</v>
      </c>
      <c r="BE135" s="107">
        <v>-4.9139272727272729</v>
      </c>
      <c r="BF135" s="107">
        <v>-4.9370363636363637</v>
      </c>
      <c r="BG135" s="107">
        <v>-4.9599591527987901</v>
      </c>
      <c r="BH135" s="107">
        <v>-4.9825007564296522</v>
      </c>
      <c r="BI135" s="107">
        <v>-5.0050423600605143</v>
      </c>
      <c r="BJ135" s="107">
        <v>-5.0275839636913773</v>
      </c>
      <c r="BK135" s="107">
        <v>-5.0501255673222394</v>
      </c>
      <c r="BL135" s="107">
        <v>-5.0726671709531015</v>
      </c>
      <c r="BM135" s="107">
        <v>-5.0952087745839636</v>
      </c>
      <c r="BN135" s="107">
        <v>-5.1173812405446295</v>
      </c>
      <c r="BO135" s="107">
        <v>-5.1393177004538577</v>
      </c>
      <c r="BP135" s="107">
        <v>-5.1612541603630859</v>
      </c>
      <c r="BQ135" s="107">
        <v>-5.1831906202723141</v>
      </c>
      <c r="BR135" s="107">
        <v>-5.2051270801815432</v>
      </c>
      <c r="BS135" s="107">
        <v>-5.2270635400907715</v>
      </c>
      <c r="BT135" s="107">
        <v>-5.2489999999999997</v>
      </c>
    </row>
    <row r="136" spans="1:72" ht="9.9499999999999993" customHeight="1" thickBot="1" x14ac:dyDescent="0.4">
      <c r="A136" s="45" t="s">
        <v>114</v>
      </c>
      <c r="B136" s="35">
        <v>-185.65945454545451</v>
      </c>
      <c r="C136" s="35">
        <v>-180.33072727272724</v>
      </c>
      <c r="D136" s="107">
        <v>-175.38527272727273</v>
      </c>
      <c r="E136" s="107">
        <v>-170.78933333333333</v>
      </c>
      <c r="F136" s="107">
        <v>-166.35903030303029</v>
      </c>
      <c r="G136" s="107">
        <v>-162.34690909090909</v>
      </c>
      <c r="H136" s="107">
        <v>-158.50060240963856</v>
      </c>
      <c r="I136" s="107">
        <v>-154.87409638554217</v>
      </c>
      <c r="J136" s="107">
        <v>-151.48266666666666</v>
      </c>
      <c r="K136" s="107">
        <v>-148.19563636363637</v>
      </c>
      <c r="L136" s="107">
        <v>-145.15927272727274</v>
      </c>
      <c r="M136" s="107">
        <v>-142.38957639939488</v>
      </c>
      <c r="N136" s="107">
        <v>-139.9205900151286</v>
      </c>
      <c r="O136" s="107">
        <v>-137.45160363086234</v>
      </c>
      <c r="P136" s="107">
        <v>-134.98261724659608</v>
      </c>
      <c r="Q136" s="107">
        <v>-132.51363086232982</v>
      </c>
      <c r="R136" s="107">
        <v>-130.04464447806353</v>
      </c>
      <c r="S136" s="107">
        <v>-127.57565809379727</v>
      </c>
      <c r="T136" s="107">
        <v>-125.49436363636363</v>
      </c>
      <c r="U136" s="107">
        <v>-123.50036363636364</v>
      </c>
      <c r="V136" s="107">
        <v>-121.59733333333334</v>
      </c>
      <c r="W136" s="107">
        <v>-119.77915151515151</v>
      </c>
      <c r="X136" s="107">
        <v>-118.02763636363636</v>
      </c>
      <c r="Y136" s="107">
        <v>-116.39536144578314</v>
      </c>
      <c r="Z136" s="107">
        <v>-114.79515151515152</v>
      </c>
      <c r="AA136" s="107">
        <v>-113.25575757575758</v>
      </c>
      <c r="AB136" s="107">
        <v>-111.77454545454545</v>
      </c>
      <c r="AC136" s="107">
        <v>-110.33212121212121</v>
      </c>
      <c r="AD136" s="107">
        <v>-108.98181818181817</v>
      </c>
      <c r="AE136" s="107">
        <v>-107.69454545454545</v>
      </c>
      <c r="AF136" s="107">
        <v>-106.54303030303031</v>
      </c>
      <c r="AG136" s="107">
        <v>-105.63879518072289</v>
      </c>
      <c r="AH136" s="107">
        <v>-104.8677108433735</v>
      </c>
      <c r="AI136" s="107">
        <v>-104.134</v>
      </c>
      <c r="AJ136" s="107">
        <v>-103.42127272727272</v>
      </c>
      <c r="AK136" s="107">
        <v>-102.74854545454545</v>
      </c>
      <c r="AL136" s="107">
        <v>-102.10090909090908</v>
      </c>
      <c r="AM136" s="107">
        <v>-101.46845688350984</v>
      </c>
      <c r="AN136" s="107">
        <v>-100.92987897125568</v>
      </c>
      <c r="AO136" s="107">
        <v>-100.39130105900152</v>
      </c>
      <c r="AP136" s="107">
        <v>-99.852723146747351</v>
      </c>
      <c r="AQ136" s="107">
        <v>-99.314145234493196</v>
      </c>
      <c r="AR136" s="107">
        <v>-98.775567322239027</v>
      </c>
      <c r="AS136" s="107">
        <v>-98.236989409984872</v>
      </c>
      <c r="AT136" s="107">
        <v>-97.731939393939385</v>
      </c>
      <c r="AU136" s="107">
        <v>-97.271333333333331</v>
      </c>
      <c r="AV136" s="107">
        <v>-96.835309090909092</v>
      </c>
      <c r="AW136" s="107">
        <v>-96.41031515151515</v>
      </c>
      <c r="AX136" s="107">
        <v>-96.012739393939398</v>
      </c>
      <c r="AY136" s="107">
        <v>-95.620939759036148</v>
      </c>
      <c r="AZ136" s="107">
        <v>-95.235397590361444</v>
      </c>
      <c r="BA136" s="107">
        <v>-94.883721212121202</v>
      </c>
      <c r="BB136" s="107">
        <v>-94.68001212121213</v>
      </c>
      <c r="BC136" s="107">
        <v>-95.162436363636374</v>
      </c>
      <c r="BD136" s="107">
        <v>-95.644230303030312</v>
      </c>
      <c r="BE136" s="107">
        <v>-96.125442424242422</v>
      </c>
      <c r="BF136" s="107">
        <v>-96.608763636363634</v>
      </c>
      <c r="BG136" s="107">
        <v>-97.090574886535563</v>
      </c>
      <c r="BH136" s="107">
        <v>-97.565915279878979</v>
      </c>
      <c r="BI136" s="107">
        <v>-98.041255673222395</v>
      </c>
      <c r="BJ136" s="107">
        <v>-98.51659606656581</v>
      </c>
      <c r="BK136" s="107">
        <v>-98.991936459909226</v>
      </c>
      <c r="BL136" s="107">
        <v>-99.467276853252656</v>
      </c>
      <c r="BM136" s="107">
        <v>-99.942617246596072</v>
      </c>
      <c r="BN136" s="107">
        <v>-100.42183358547655</v>
      </c>
      <c r="BO136" s="107">
        <v>-100.90352798789712</v>
      </c>
      <c r="BP136" s="107">
        <v>-101.38522239031769</v>
      </c>
      <c r="BQ136" s="107">
        <v>-101.86691679273828</v>
      </c>
      <c r="BR136" s="107">
        <v>-102.34861119515885</v>
      </c>
      <c r="BS136" s="107">
        <v>-102.83030559757943</v>
      </c>
      <c r="BT136" s="107">
        <v>-103.312</v>
      </c>
    </row>
    <row r="137" spans="1:72" ht="9.9499999999999993" customHeight="1" thickBot="1" x14ac:dyDescent="0.4">
      <c r="A137" s="45" t="s">
        <v>69</v>
      </c>
      <c r="B137" s="35">
        <v>-61.171090909090907</v>
      </c>
      <c r="C137" s="35">
        <v>-59.374363636363633</v>
      </c>
      <c r="D137" s="107">
        <v>-57.701636363636361</v>
      </c>
      <c r="E137" s="107">
        <v>-55.812121212121212</v>
      </c>
      <c r="F137" s="107">
        <v>-53.790060606060607</v>
      </c>
      <c r="G137" s="107">
        <v>-51.165818181818182</v>
      </c>
      <c r="H137" s="107">
        <v>-48.968012048192769</v>
      </c>
      <c r="I137" s="107">
        <v>-47.335481927710845</v>
      </c>
      <c r="J137" s="107">
        <v>-45.513333333333335</v>
      </c>
      <c r="K137" s="107">
        <v>-43.650545454545458</v>
      </c>
      <c r="L137" s="107">
        <v>-41.905090909090909</v>
      </c>
      <c r="M137" s="107">
        <v>-40.293131618759453</v>
      </c>
      <c r="N137" s="107">
        <v>-38.831709531013615</v>
      </c>
      <c r="O137" s="107">
        <v>-37.370287443267777</v>
      </c>
      <c r="P137" s="107">
        <v>-35.908865355521932</v>
      </c>
      <c r="Q137" s="107">
        <v>-34.447443267776094</v>
      </c>
      <c r="R137" s="107">
        <v>-32.986021180030257</v>
      </c>
      <c r="S137" s="107">
        <v>-31.524599092284415</v>
      </c>
      <c r="T137" s="107">
        <v>-30.256727272727272</v>
      </c>
      <c r="U137" s="107">
        <v>-29.034363636363636</v>
      </c>
      <c r="V137" s="107">
        <v>-27.864666666666665</v>
      </c>
      <c r="W137" s="107">
        <v>-26.732303030303029</v>
      </c>
      <c r="X137" s="107">
        <v>-25.629272727272728</v>
      </c>
      <c r="Y137" s="107">
        <v>-24.58710843373494</v>
      </c>
      <c r="Z137" s="107">
        <v>-23.563030303030303</v>
      </c>
      <c r="AA137" s="107">
        <v>-22.575151515151514</v>
      </c>
      <c r="AB137" s="107">
        <v>-21.616363636363637</v>
      </c>
      <c r="AC137" s="107">
        <v>-20.676969696969696</v>
      </c>
      <c r="AD137" s="107">
        <v>-19.783636363636361</v>
      </c>
      <c r="AE137" s="107">
        <v>-18.921818181818182</v>
      </c>
      <c r="AF137" s="107">
        <v>-18.127878787878789</v>
      </c>
      <c r="AG137" s="107">
        <v>-17.45843373493976</v>
      </c>
      <c r="AH137" s="107">
        <v>-16.856024096385546</v>
      </c>
      <c r="AI137" s="107">
        <v>-16.28</v>
      </c>
      <c r="AJ137" s="107">
        <v>-15.714545454545457</v>
      </c>
      <c r="AK137" s="107">
        <v>-15.16909090909091</v>
      </c>
      <c r="AL137" s="107">
        <v>-14.63618181818182</v>
      </c>
      <c r="AM137" s="107">
        <v>-14.111059001512862</v>
      </c>
      <c r="AN137" s="107">
        <v>-13.637534039334344</v>
      </c>
      <c r="AO137" s="107">
        <v>-13.164009077155827</v>
      </c>
      <c r="AP137" s="107">
        <v>-12.690484114977309</v>
      </c>
      <c r="AQ137" s="107">
        <v>-12.216959152798792</v>
      </c>
      <c r="AR137" s="107">
        <v>-11.743434190620274</v>
      </c>
      <c r="AS137" s="107">
        <v>-11.269909228441756</v>
      </c>
      <c r="AT137" s="107">
        <v>-10.814969696969699</v>
      </c>
      <c r="AU137" s="107">
        <v>-10.384666666666668</v>
      </c>
      <c r="AV137" s="107">
        <v>-9.9666545454545474</v>
      </c>
      <c r="AW137" s="107">
        <v>-9.5541575757575767</v>
      </c>
      <c r="AX137" s="107">
        <v>-9.1553696969696983</v>
      </c>
      <c r="AY137" s="107">
        <v>-8.7643855421686752</v>
      </c>
      <c r="AZ137" s="107">
        <v>-8.3818554216867458</v>
      </c>
      <c r="BA137" s="107">
        <v>-8.0153151515151499</v>
      </c>
      <c r="BB137" s="107">
        <v>-7.7225515151515154</v>
      </c>
      <c r="BC137" s="107">
        <v>-7.7728545454545452</v>
      </c>
      <c r="BD137" s="107">
        <v>-7.8228424242424239</v>
      </c>
      <c r="BE137" s="107">
        <v>-7.8725393939393937</v>
      </c>
      <c r="BF137" s="107">
        <v>-7.9232909090909089</v>
      </c>
      <c r="BG137" s="107">
        <v>-7.9748487140695916</v>
      </c>
      <c r="BH137" s="107">
        <v>-8.0287065052950073</v>
      </c>
      <c r="BI137" s="107">
        <v>-8.0825642965204239</v>
      </c>
      <c r="BJ137" s="107">
        <v>-8.1364220877458404</v>
      </c>
      <c r="BK137" s="107">
        <v>-8.190279878971257</v>
      </c>
      <c r="BL137" s="107">
        <v>-8.2441376701966718</v>
      </c>
      <c r="BM137" s="107">
        <v>-8.2979954614220883</v>
      </c>
      <c r="BN137" s="107">
        <v>-8.356559757942513</v>
      </c>
      <c r="BO137" s="107">
        <v>-8.4181331316187595</v>
      </c>
      <c r="BP137" s="107">
        <v>-8.4797065052950078</v>
      </c>
      <c r="BQ137" s="107">
        <v>-8.5412798789712561</v>
      </c>
      <c r="BR137" s="107">
        <v>-8.6028532526475043</v>
      </c>
      <c r="BS137" s="107">
        <v>-8.6644266263237526</v>
      </c>
      <c r="BT137" s="107">
        <v>-8.7260000000000009</v>
      </c>
    </row>
    <row r="138" spans="1:72" ht="9.9499999999999993" customHeight="1" thickBot="1" x14ac:dyDescent="0.4">
      <c r="A138" s="45" t="s">
        <v>109</v>
      </c>
      <c r="B138" s="35">
        <v>-17.086666666666666</v>
      </c>
      <c r="C138" s="35">
        <v>-16.767151515151514</v>
      </c>
      <c r="D138" s="107">
        <v>-16.470181818181818</v>
      </c>
      <c r="E138" s="107">
        <v>-15.797151515151516</v>
      </c>
      <c r="F138" s="107">
        <v>-14.983575757575757</v>
      </c>
      <c r="G138" s="107">
        <v>-14.153272727272727</v>
      </c>
      <c r="H138" s="107">
        <v>-13.371746987951807</v>
      </c>
      <c r="I138" s="107">
        <v>-12.65487951807229</v>
      </c>
      <c r="J138" s="107">
        <v>-11.962666666666667</v>
      </c>
      <c r="K138" s="107">
        <v>-11.283636363636363</v>
      </c>
      <c r="L138" s="107">
        <v>-10.647272727272728</v>
      </c>
      <c r="M138" s="107">
        <v>-10.055517397881998</v>
      </c>
      <c r="N138" s="107">
        <v>-9.5140650529500768</v>
      </c>
      <c r="O138" s="107">
        <v>-8.9726127080181541</v>
      </c>
      <c r="P138" s="107">
        <v>-8.4311603630862333</v>
      </c>
      <c r="Q138" s="107">
        <v>-7.8897080181543107</v>
      </c>
      <c r="R138" s="107">
        <v>-7.3482556732223898</v>
      </c>
      <c r="S138" s="107">
        <v>-6.8068033282904672</v>
      </c>
      <c r="T138" s="107">
        <v>-6.3322727272727262</v>
      </c>
      <c r="U138" s="107">
        <v>-5.8739818181818171</v>
      </c>
      <c r="V138" s="107">
        <v>-5.4357999999999995</v>
      </c>
      <c r="W138" s="107">
        <v>-5.0105151515151505</v>
      </c>
      <c r="X138" s="107">
        <v>-4.5953636363636354</v>
      </c>
      <c r="Y138" s="107">
        <v>-4.337078313253012</v>
      </c>
      <c r="Z138" s="107">
        <v>-4.1610606060606061</v>
      </c>
      <c r="AA138" s="107">
        <v>-4.1853030303030305</v>
      </c>
      <c r="AB138" s="107">
        <v>-4.2099090909090906</v>
      </c>
      <c r="AC138" s="107">
        <v>-4.2347575757575759</v>
      </c>
      <c r="AD138" s="107">
        <v>-4.2590303030303032</v>
      </c>
      <c r="AE138" s="107">
        <v>-4.2834545454545454</v>
      </c>
      <c r="AF138" s="107">
        <v>-4.3083030303030307</v>
      </c>
      <c r="AG138" s="107">
        <v>-4.3330542168674695</v>
      </c>
      <c r="AH138" s="107">
        <v>-4.3577530120481924</v>
      </c>
      <c r="AI138" s="107">
        <v>-4.3826000000000001</v>
      </c>
      <c r="AJ138" s="107">
        <v>-4.4074484848484845</v>
      </c>
      <c r="AK138" s="107">
        <v>-4.4322969696969698</v>
      </c>
      <c r="AL138" s="107">
        <v>-4.4571454545454543</v>
      </c>
      <c r="AM138" s="107">
        <v>-4.4819803328290471</v>
      </c>
      <c r="AN138" s="107">
        <v>-4.5064886535552189</v>
      </c>
      <c r="AO138" s="107">
        <v>-4.5309969742813916</v>
      </c>
      <c r="AP138" s="107">
        <v>-4.5555052950075643</v>
      </c>
      <c r="AQ138" s="107">
        <v>-4.5800136157337361</v>
      </c>
      <c r="AR138" s="107">
        <v>-4.6045219364599088</v>
      </c>
      <c r="AS138" s="107">
        <v>-4.6290302571860815</v>
      </c>
      <c r="AT138" s="107">
        <v>-4.6534242424242418</v>
      </c>
      <c r="AU138" s="107">
        <v>-4.6776666666666662</v>
      </c>
      <c r="AV138" s="107">
        <v>-4.7014363636363639</v>
      </c>
      <c r="AW138" s="107">
        <v>-4.7251515151515155</v>
      </c>
      <c r="AX138" s="107">
        <v>-4.7493939393939391</v>
      </c>
      <c r="AY138" s="107">
        <v>-4.7732771084337342</v>
      </c>
      <c r="AZ138" s="107">
        <v>-4.7967710843373492</v>
      </c>
      <c r="BA138" s="107">
        <v>-4.8203818181818185</v>
      </c>
      <c r="BB138" s="107">
        <v>-4.8439151515151515</v>
      </c>
      <c r="BC138" s="107">
        <v>-4.8669454545454549</v>
      </c>
      <c r="BD138" s="107">
        <v>-4.8902909090909095</v>
      </c>
      <c r="BE138" s="107">
        <v>-4.9139272727272729</v>
      </c>
      <c r="BF138" s="107">
        <v>-4.9370363636363637</v>
      </c>
      <c r="BG138" s="107">
        <v>-4.9599591527987901</v>
      </c>
      <c r="BH138" s="107">
        <v>-4.9825007564296522</v>
      </c>
      <c r="BI138" s="107">
        <v>-5.0050423600605143</v>
      </c>
      <c r="BJ138" s="107">
        <v>-5.0275839636913773</v>
      </c>
      <c r="BK138" s="107">
        <v>-5.0501255673222394</v>
      </c>
      <c r="BL138" s="107">
        <v>-5.0726671709531015</v>
      </c>
      <c r="BM138" s="107">
        <v>-5.0952087745839636</v>
      </c>
      <c r="BN138" s="107">
        <v>-5.1173812405446295</v>
      </c>
      <c r="BO138" s="107">
        <v>-5.1393177004538577</v>
      </c>
      <c r="BP138" s="107">
        <v>-5.1612541603630859</v>
      </c>
      <c r="BQ138" s="107">
        <v>-5.1831906202723141</v>
      </c>
      <c r="BR138" s="107">
        <v>-5.2051270801815432</v>
      </c>
      <c r="BS138" s="107">
        <v>-5.2270635400907715</v>
      </c>
      <c r="BT138" s="107">
        <v>-5.2489999999999997</v>
      </c>
    </row>
    <row r="139" spans="1:72" ht="9.9499999999999993" customHeight="1" thickBot="1" x14ac:dyDescent="0.4">
      <c r="A139" s="45" t="s">
        <v>51</v>
      </c>
      <c r="B139" s="35">
        <v>-82.276848484848472</v>
      </c>
      <c r="C139" s="35">
        <v>-79.901696969696957</v>
      </c>
      <c r="D139" s="107">
        <v>-77.695636363636353</v>
      </c>
      <c r="E139" s="107">
        <v>-75.533818181818177</v>
      </c>
      <c r="F139" s="107">
        <v>-73.383030303030296</v>
      </c>
      <c r="G139" s="107">
        <v>-71.170909090909092</v>
      </c>
      <c r="H139" s="107">
        <v>-69.156204819277107</v>
      </c>
      <c r="I139" s="107">
        <v>-67.403192771084335</v>
      </c>
      <c r="J139" s="107">
        <v>-65.665333333333336</v>
      </c>
      <c r="K139" s="107">
        <v>-63.948727272727275</v>
      </c>
      <c r="L139" s="107">
        <v>-62.354787878787882</v>
      </c>
      <c r="M139" s="107">
        <v>-60.894236006051436</v>
      </c>
      <c r="N139" s="107">
        <v>-59.584099848714068</v>
      </c>
      <c r="O139" s="107">
        <v>-58.2739636913767</v>
      </c>
      <c r="P139" s="107">
        <v>-56.963827534039332</v>
      </c>
      <c r="Q139" s="107">
        <v>-55.653691376701964</v>
      </c>
      <c r="R139" s="107">
        <v>-54.343555219364596</v>
      </c>
      <c r="S139" s="107">
        <v>-53.033419062027228</v>
      </c>
      <c r="T139" s="107">
        <v>-51.917030303030302</v>
      </c>
      <c r="U139" s="107">
        <v>-50.844909090909091</v>
      </c>
      <c r="V139" s="107">
        <v>-49.820666666666668</v>
      </c>
      <c r="W139" s="107">
        <v>-48.837151515151518</v>
      </c>
      <c r="X139" s="107">
        <v>-47.885636363636358</v>
      </c>
      <c r="Y139" s="107">
        <v>-46.994156626506019</v>
      </c>
      <c r="Z139" s="107">
        <v>-46.119393939393937</v>
      </c>
      <c r="AA139" s="107">
        <v>-45.276969696969694</v>
      </c>
      <c r="AB139" s="107">
        <v>-44.463636363636361</v>
      </c>
      <c r="AC139" s="107">
        <v>-43.669696969696965</v>
      </c>
      <c r="AD139" s="107">
        <v>-42.921818181818182</v>
      </c>
      <c r="AE139" s="107">
        <v>-42.205454545454543</v>
      </c>
      <c r="AF139" s="107">
        <v>-41.556969696969695</v>
      </c>
      <c r="AG139" s="107">
        <v>-41.032409638554213</v>
      </c>
      <c r="AH139" s="107">
        <v>-40.574578313253014</v>
      </c>
      <c r="AI139" s="107">
        <v>-40.138000000000005</v>
      </c>
      <c r="AJ139" s="107">
        <v>-39.711939393939396</v>
      </c>
      <c r="AK139" s="107">
        <v>-39.30587878787879</v>
      </c>
      <c r="AL139" s="107">
        <v>-38.912363636363636</v>
      </c>
      <c r="AM139" s="107">
        <v>-38.526505295007567</v>
      </c>
      <c r="AN139" s="107">
        <v>-38.189137670196672</v>
      </c>
      <c r="AO139" s="107">
        <v>-37.851770045385777</v>
      </c>
      <c r="AP139" s="107">
        <v>-37.514402420574889</v>
      </c>
      <c r="AQ139" s="107">
        <v>-37.177034795763994</v>
      </c>
      <c r="AR139" s="107">
        <v>-36.839667170953106</v>
      </c>
      <c r="AS139" s="107">
        <v>-36.502299546142211</v>
      </c>
      <c r="AT139" s="107">
        <v>-36.182303030303032</v>
      </c>
      <c r="AU139" s="107">
        <v>-35.885333333333335</v>
      </c>
      <c r="AV139" s="107">
        <v>-35.600654545454546</v>
      </c>
      <c r="AW139" s="107">
        <v>-35.321490909090912</v>
      </c>
      <c r="AX139" s="107">
        <v>-35.056036363636366</v>
      </c>
      <c r="AY139" s="107">
        <v>-34.795108433734939</v>
      </c>
      <c r="AZ139" s="107">
        <v>-34.539084337349401</v>
      </c>
      <c r="BA139" s="107">
        <v>-34.29967878787879</v>
      </c>
      <c r="BB139" s="107">
        <v>-34.134187878787877</v>
      </c>
      <c r="BC139" s="107">
        <v>-34.311763636363636</v>
      </c>
      <c r="BD139" s="107">
        <v>-34.489024242424243</v>
      </c>
      <c r="BE139" s="107">
        <v>-34.665993939393942</v>
      </c>
      <c r="BF139" s="107">
        <v>-34.844018181818178</v>
      </c>
      <c r="BG139" s="107">
        <v>-35.021807866868379</v>
      </c>
      <c r="BH139" s="107">
        <v>-35.198207261724662</v>
      </c>
      <c r="BI139" s="107">
        <v>-35.374606656580937</v>
      </c>
      <c r="BJ139" s="107">
        <v>-35.551006051437213</v>
      </c>
      <c r="BK139" s="107">
        <v>-35.727405446293496</v>
      </c>
      <c r="BL139" s="107">
        <v>-35.903804841149771</v>
      </c>
      <c r="BM139" s="107">
        <v>-36.080204236006054</v>
      </c>
      <c r="BN139" s="107">
        <v>-36.259464447806359</v>
      </c>
      <c r="BO139" s="107">
        <v>-36.440553706505298</v>
      </c>
      <c r="BP139" s="107">
        <v>-36.621642965204238</v>
      </c>
      <c r="BQ139" s="107">
        <v>-36.802732223903178</v>
      </c>
      <c r="BR139" s="107">
        <v>-36.983821482602124</v>
      </c>
      <c r="BS139" s="107">
        <v>-37.164910741301064</v>
      </c>
      <c r="BT139" s="107">
        <v>-37.346000000000004</v>
      </c>
    </row>
    <row r="140" spans="1:72" ht="9.9499999999999993" customHeight="1" thickBot="1" x14ac:dyDescent="0.4">
      <c r="A140" s="45" t="s">
        <v>78</v>
      </c>
      <c r="B140" s="35">
        <v>-38.192424242424238</v>
      </c>
      <c r="C140" s="35">
        <v>-37.294484848484849</v>
      </c>
      <c r="D140" s="107">
        <v>-36.464181818181821</v>
      </c>
      <c r="E140" s="107">
        <v>-35.518848484848483</v>
      </c>
      <c r="F140" s="107">
        <v>-34.576545454545453</v>
      </c>
      <c r="G140" s="107">
        <v>-34.158363636363639</v>
      </c>
      <c r="H140" s="107">
        <v>-33.559939759036148</v>
      </c>
      <c r="I140" s="107">
        <v>-32.722590361445782</v>
      </c>
      <c r="J140" s="107">
        <v>-32.114666666666665</v>
      </c>
      <c r="K140" s="107">
        <v>-31.581818181818182</v>
      </c>
      <c r="L140" s="107">
        <v>-31.096969696969701</v>
      </c>
      <c r="M140" s="107">
        <v>-30.656621785173982</v>
      </c>
      <c r="N140" s="107">
        <v>-30.266455370650533</v>
      </c>
      <c r="O140" s="107">
        <v>-29.876288956127084</v>
      </c>
      <c r="P140" s="107">
        <v>-29.486122541603635</v>
      </c>
      <c r="Q140" s="107">
        <v>-29.095956127080186</v>
      </c>
      <c r="R140" s="107">
        <v>-28.705789712556733</v>
      </c>
      <c r="S140" s="107">
        <v>-28.315623298033284</v>
      </c>
      <c r="T140" s="107">
        <v>-27.992575757575761</v>
      </c>
      <c r="U140" s="107">
        <v>-27.684527272727273</v>
      </c>
      <c r="V140" s="107">
        <v>-27.3918</v>
      </c>
      <c r="W140" s="107">
        <v>-27.115363636363636</v>
      </c>
      <c r="X140" s="107">
        <v>-26.85172727272727</v>
      </c>
      <c r="Y140" s="107">
        <v>-26.744126506024095</v>
      </c>
      <c r="Z140" s="107">
        <v>-26.717424242424244</v>
      </c>
      <c r="AA140" s="107">
        <v>-26.887121212121215</v>
      </c>
      <c r="AB140" s="107">
        <v>-27.057181818181821</v>
      </c>
      <c r="AC140" s="107">
        <v>-27.227484848484849</v>
      </c>
      <c r="AD140" s="107">
        <v>-27.397212121212121</v>
      </c>
      <c r="AE140" s="107">
        <v>-27.567090909090908</v>
      </c>
      <c r="AF140" s="107">
        <v>-27.737393939393939</v>
      </c>
      <c r="AG140" s="107">
        <v>-27.907030120481927</v>
      </c>
      <c r="AH140" s="107">
        <v>-28.076307228915663</v>
      </c>
      <c r="AI140" s="107">
        <v>-28.240600000000001</v>
      </c>
      <c r="AJ140" s="107">
        <v>-28.404842424242425</v>
      </c>
      <c r="AK140" s="107">
        <v>-28.569084848484849</v>
      </c>
      <c r="AL140" s="107">
        <v>-28.733327272727273</v>
      </c>
      <c r="AM140" s="107">
        <v>-28.89742662632375</v>
      </c>
      <c r="AN140" s="107">
        <v>-29.058092284417548</v>
      </c>
      <c r="AO140" s="107">
        <v>-29.218757942511346</v>
      </c>
      <c r="AP140" s="107">
        <v>-29.379423600605143</v>
      </c>
      <c r="AQ140" s="107">
        <v>-29.540089258698938</v>
      </c>
      <c r="AR140" s="107">
        <v>-29.700754916792736</v>
      </c>
      <c r="AS140" s="107">
        <v>-29.861420574886534</v>
      </c>
      <c r="AT140" s="107">
        <v>-30.020757575757575</v>
      </c>
      <c r="AU140" s="107">
        <v>-30.178333333333335</v>
      </c>
      <c r="AV140" s="107">
        <v>-30.335436363636365</v>
      </c>
      <c r="AW140" s="107">
        <v>-30.49248484848485</v>
      </c>
      <c r="AX140" s="107">
        <v>-30.650060606060606</v>
      </c>
      <c r="AY140" s="107">
        <v>-30.803999999999998</v>
      </c>
      <c r="AZ140" s="107">
        <v>-30.954000000000001</v>
      </c>
      <c r="BA140" s="107">
        <v>-31.104745454545455</v>
      </c>
      <c r="BB140" s="107">
        <v>-31.255551515151517</v>
      </c>
      <c r="BC140" s="107">
        <v>-31.405854545454549</v>
      </c>
      <c r="BD140" s="107">
        <v>-31.556472727272727</v>
      </c>
      <c r="BE140" s="107">
        <v>-31.707381818181815</v>
      </c>
      <c r="BF140" s="107">
        <v>-31.857763636363636</v>
      </c>
      <c r="BG140" s="107">
        <v>-32.00691830559758</v>
      </c>
      <c r="BH140" s="107">
        <v>-32.152001512859307</v>
      </c>
      <c r="BI140" s="107">
        <v>-32.297084720121028</v>
      </c>
      <c r="BJ140" s="107">
        <v>-32.442167927382755</v>
      </c>
      <c r="BK140" s="107">
        <v>-32.587251134644475</v>
      </c>
      <c r="BL140" s="107">
        <v>-32.732334341906203</v>
      </c>
      <c r="BM140" s="107">
        <v>-32.877417549167923</v>
      </c>
      <c r="BN140" s="107">
        <v>-33.02028593040847</v>
      </c>
      <c r="BO140" s="107">
        <v>-33.16173827534039</v>
      </c>
      <c r="BP140" s="107">
        <v>-33.303190620272311</v>
      </c>
      <c r="BQ140" s="107">
        <v>-33.444642965204238</v>
      </c>
      <c r="BR140" s="107">
        <v>-33.586095310136159</v>
      </c>
      <c r="BS140" s="107">
        <v>-33.727547655068079</v>
      </c>
      <c r="BT140" s="107">
        <v>-33.869</v>
      </c>
    </row>
    <row r="141" spans="1:72" ht="9.9499999999999993" customHeight="1" thickBot="1" x14ac:dyDescent="0.4">
      <c r="A141" s="45" t="s">
        <v>90</v>
      </c>
      <c r="B141" s="35">
        <v>-143.44793939393938</v>
      </c>
      <c r="C141" s="35">
        <v>-139.27606060606061</v>
      </c>
      <c r="D141" s="107">
        <v>-135.39727272727271</v>
      </c>
      <c r="E141" s="107">
        <v>-131.34593939393937</v>
      </c>
      <c r="F141" s="107">
        <v>-127.1730909090909</v>
      </c>
      <c r="G141" s="107">
        <v>-122.33672727272727</v>
      </c>
      <c r="H141" s="107">
        <v>-118.12421686746988</v>
      </c>
      <c r="I141" s="107">
        <v>-114.73867469879519</v>
      </c>
      <c r="J141" s="107">
        <v>-111.17866666666667</v>
      </c>
      <c r="K141" s="107">
        <v>-107.59927272727273</v>
      </c>
      <c r="L141" s="107">
        <v>-104.25987878787879</v>
      </c>
      <c r="M141" s="107">
        <v>-101.18736762481089</v>
      </c>
      <c r="N141" s="107">
        <v>-98.415809379727676</v>
      </c>
      <c r="O141" s="107">
        <v>-95.644251134644477</v>
      </c>
      <c r="P141" s="107">
        <v>-92.872692889561264</v>
      </c>
      <c r="Q141" s="107">
        <v>-90.101134644478066</v>
      </c>
      <c r="R141" s="107">
        <v>-87.329576399394853</v>
      </c>
      <c r="S141" s="107">
        <v>-84.55801815431164</v>
      </c>
      <c r="T141" s="107">
        <v>-82.173757575757577</v>
      </c>
      <c r="U141" s="107">
        <v>-79.879272727272721</v>
      </c>
      <c r="V141" s="107">
        <v>-77.685333333333332</v>
      </c>
      <c r="W141" s="107">
        <v>-75.569454545454533</v>
      </c>
      <c r="X141" s="107">
        <v>-73.514909090909086</v>
      </c>
      <c r="Y141" s="107">
        <v>-71.581265060240966</v>
      </c>
      <c r="Z141" s="107">
        <v>-69.682424242424247</v>
      </c>
      <c r="AA141" s="107">
        <v>-67.852121212121219</v>
      </c>
      <c r="AB141" s="107">
        <v>-66.08</v>
      </c>
      <c r="AC141" s="107">
        <v>-64.346666666666664</v>
      </c>
      <c r="AD141" s="107">
        <v>-62.705454545454543</v>
      </c>
      <c r="AE141" s="107">
        <v>-61.127272727272732</v>
      </c>
      <c r="AF141" s="107">
        <v>-59.684848484848487</v>
      </c>
      <c r="AG141" s="107">
        <v>-58.490843373493981</v>
      </c>
      <c r="AH141" s="107">
        <v>-57.43060240963856</v>
      </c>
      <c r="AI141" s="107">
        <v>-56.418000000000006</v>
      </c>
      <c r="AJ141" s="107">
        <v>-55.426484848484847</v>
      </c>
      <c r="AK141" s="107">
        <v>-54.474969696969701</v>
      </c>
      <c r="AL141" s="107">
        <v>-53.548545454545454</v>
      </c>
      <c r="AM141" s="107">
        <v>-52.637564296520431</v>
      </c>
      <c r="AN141" s="107">
        <v>-51.82667170953102</v>
      </c>
      <c r="AO141" s="107">
        <v>-51.015779122541609</v>
      </c>
      <c r="AP141" s="107">
        <v>-50.204886535552198</v>
      </c>
      <c r="AQ141" s="107">
        <v>-49.393993948562787</v>
      </c>
      <c r="AR141" s="107">
        <v>-48.583101361573377</v>
      </c>
      <c r="AS141" s="107">
        <v>-47.772208774583973</v>
      </c>
      <c r="AT141" s="107">
        <v>-46.99727272727273</v>
      </c>
      <c r="AU141" s="107">
        <v>-46.27</v>
      </c>
      <c r="AV141" s="107">
        <v>-45.567309090909099</v>
      </c>
      <c r="AW141" s="107">
        <v>-44.87564848484849</v>
      </c>
      <c r="AX141" s="107">
        <v>-44.211406060606066</v>
      </c>
      <c r="AY141" s="107">
        <v>-43.559493975903614</v>
      </c>
      <c r="AZ141" s="107">
        <v>-42.920939759036138</v>
      </c>
      <c r="BA141" s="107">
        <v>-42.314993939393936</v>
      </c>
      <c r="BB141" s="107">
        <v>-41.856739393939392</v>
      </c>
      <c r="BC141" s="107">
        <v>-42.084618181818186</v>
      </c>
      <c r="BD141" s="107">
        <v>-42.311866666666667</v>
      </c>
      <c r="BE141" s="107">
        <v>-42.538533333333334</v>
      </c>
      <c r="BF141" s="107">
        <v>-42.767309090909087</v>
      </c>
      <c r="BG141" s="107">
        <v>-42.996656580937973</v>
      </c>
      <c r="BH141" s="107">
        <v>-43.226913767019667</v>
      </c>
      <c r="BI141" s="107">
        <v>-43.457170953101361</v>
      </c>
      <c r="BJ141" s="107">
        <v>-43.687428139183055</v>
      </c>
      <c r="BK141" s="107">
        <v>-43.917685325264756</v>
      </c>
      <c r="BL141" s="107">
        <v>-44.14794251134645</v>
      </c>
      <c r="BM141" s="107">
        <v>-44.378199697428144</v>
      </c>
      <c r="BN141" s="107">
        <v>-44.616024205748872</v>
      </c>
      <c r="BO141" s="107">
        <v>-44.858686838124058</v>
      </c>
      <c r="BP141" s="107">
        <v>-45.101349470499244</v>
      </c>
      <c r="BQ141" s="107">
        <v>-45.344012102874437</v>
      </c>
      <c r="BR141" s="107">
        <v>-45.586674735249623</v>
      </c>
      <c r="BS141" s="107">
        <v>-45.829337367624817</v>
      </c>
      <c r="BT141" s="107">
        <v>-46.072000000000003</v>
      </c>
    </row>
    <row r="142" spans="1:72" ht="9.9499999999999993" customHeight="1" thickBot="1" x14ac:dyDescent="0.4">
      <c r="A142" s="45" t="s">
        <v>1</v>
      </c>
      <c r="B142" s="35">
        <v>-19.02</v>
      </c>
      <c r="C142" s="35">
        <v>-19.02</v>
      </c>
      <c r="D142" s="107">
        <v>-19.02</v>
      </c>
      <c r="E142" s="107">
        <v>-19.152727272727272</v>
      </c>
      <c r="F142" s="107">
        <v>-19.306909090909091</v>
      </c>
      <c r="G142" s="107">
        <v>-19.143272727272727</v>
      </c>
      <c r="H142" s="107">
        <v>-19.130301204819279</v>
      </c>
      <c r="I142" s="107">
        <v>-19.317048192771082</v>
      </c>
      <c r="J142" s="107">
        <v>-19.369333333333334</v>
      </c>
      <c r="K142" s="107">
        <v>-19.382181818181817</v>
      </c>
      <c r="L142" s="107">
        <v>-19.400363636363636</v>
      </c>
      <c r="M142" s="107">
        <v>-19.418532526475037</v>
      </c>
      <c r="N142" s="107">
        <v>-19.436686838124054</v>
      </c>
      <c r="O142" s="107">
        <v>-19.45484114977307</v>
      </c>
      <c r="P142" s="107">
        <v>-19.472995461422087</v>
      </c>
      <c r="Q142" s="107">
        <v>-19.491149773071104</v>
      </c>
      <c r="R142" s="107">
        <v>-19.509304084720121</v>
      </c>
      <c r="S142" s="107">
        <v>-19.527458396369138</v>
      </c>
      <c r="T142" s="107">
        <v>-19.545636363636362</v>
      </c>
      <c r="U142" s="107">
        <v>-19.565090909090909</v>
      </c>
      <c r="V142" s="107">
        <v>-19.589333333333332</v>
      </c>
      <c r="W142" s="107">
        <v>-19.610181818181818</v>
      </c>
      <c r="X142" s="107">
        <v>-19.628363636363634</v>
      </c>
      <c r="Y142" s="107">
        <v>-19.542289156626506</v>
      </c>
      <c r="Z142" s="107">
        <v>-19.433636363636364</v>
      </c>
      <c r="AA142" s="107">
        <v>-19.288181818181819</v>
      </c>
      <c r="AB142" s="107">
        <v>-19.200909090909089</v>
      </c>
      <c r="AC142" s="107">
        <v>-19.152424242424242</v>
      </c>
      <c r="AD142" s="107">
        <v>-19.144242424242425</v>
      </c>
      <c r="AE142" s="107">
        <v>-19.14</v>
      </c>
      <c r="AF142" s="107">
        <v>-19.14</v>
      </c>
      <c r="AG142" s="107">
        <v>-19.147831325301205</v>
      </c>
      <c r="AH142" s="107">
        <v>-19.159879518072291</v>
      </c>
      <c r="AI142" s="107">
        <v>-19.178000000000001</v>
      </c>
      <c r="AJ142" s="107">
        <v>-19.19618181818182</v>
      </c>
      <c r="AK142" s="107">
        <v>-19.214363636363636</v>
      </c>
      <c r="AL142" s="107">
        <v>-19.232545454545455</v>
      </c>
      <c r="AM142" s="107">
        <v>-19.250786686838126</v>
      </c>
      <c r="AN142" s="107">
        <v>-19.270453857791225</v>
      </c>
      <c r="AO142" s="107">
        <v>-19.290121028744327</v>
      </c>
      <c r="AP142" s="107">
        <v>-19.309788199697426</v>
      </c>
      <c r="AQ142" s="107">
        <v>-19.329455370650528</v>
      </c>
      <c r="AR142" s="107">
        <v>-19.349122541603631</v>
      </c>
      <c r="AS142" s="107">
        <v>-19.36878971255673</v>
      </c>
      <c r="AT142" s="107">
        <v>-19.390424242424242</v>
      </c>
      <c r="AU142" s="107">
        <v>-19.414666666666669</v>
      </c>
      <c r="AV142" s="107">
        <v>-19.43418181818182</v>
      </c>
      <c r="AW142" s="107">
        <v>-19.452363636363636</v>
      </c>
      <c r="AX142" s="107">
        <v>-19.470545454545455</v>
      </c>
      <c r="AY142" s="107">
        <v>-19.488674698795183</v>
      </c>
      <c r="AZ142" s="107">
        <v>-19.506746987951807</v>
      </c>
      <c r="BA142" s="107">
        <v>-19.52987878787879</v>
      </c>
      <c r="BB142" s="107">
        <v>-19.553090909090908</v>
      </c>
      <c r="BC142" s="107">
        <v>-19.571272727272728</v>
      </c>
      <c r="BD142" s="107">
        <v>-19.589454545454544</v>
      </c>
      <c r="BE142" s="107">
        <v>-19.607636363636363</v>
      </c>
      <c r="BF142" s="107">
        <v>-19.625818181818182</v>
      </c>
      <c r="BG142" s="107">
        <v>-19.643993948562784</v>
      </c>
      <c r="BH142" s="107">
        <v>-19.662148260211801</v>
      </c>
      <c r="BI142" s="107">
        <v>-19.680302571860818</v>
      </c>
      <c r="BJ142" s="107">
        <v>-19.698456883509834</v>
      </c>
      <c r="BK142" s="107">
        <v>-19.716611195158851</v>
      </c>
      <c r="BL142" s="107">
        <v>-19.734765506807868</v>
      </c>
      <c r="BM142" s="107">
        <v>-19.752919818456885</v>
      </c>
      <c r="BN142" s="107">
        <v>-19.771074130105902</v>
      </c>
      <c r="BO142" s="107">
        <v>-19.789228441754918</v>
      </c>
      <c r="BP142" s="107">
        <v>-19.807382753403935</v>
      </c>
      <c r="BQ142" s="107">
        <v>-19.825537065052949</v>
      </c>
      <c r="BR142" s="107">
        <v>-19.843691376701965</v>
      </c>
      <c r="BS142" s="107">
        <v>-19.861845688350982</v>
      </c>
      <c r="BT142" s="107">
        <v>-19.88</v>
      </c>
    </row>
    <row r="143" spans="1:72" ht="9.9499999999999993" customHeight="1" thickBot="1" x14ac:dyDescent="0.4">
      <c r="A143" s="45" t="s">
        <v>115</v>
      </c>
      <c r="B143" s="35">
        <v>-61.171090909090907</v>
      </c>
      <c r="C143" s="35">
        <v>-59.374363636363633</v>
      </c>
      <c r="D143" s="107">
        <v>-57.701636363636361</v>
      </c>
      <c r="E143" s="107">
        <v>-55.812121212121212</v>
      </c>
      <c r="F143" s="107">
        <v>-53.790060606060607</v>
      </c>
      <c r="G143" s="107">
        <v>-51.165818181818182</v>
      </c>
      <c r="H143" s="107">
        <v>-48.968012048192769</v>
      </c>
      <c r="I143" s="107">
        <v>-47.335481927710845</v>
      </c>
      <c r="J143" s="107">
        <v>-45.513333333333335</v>
      </c>
      <c r="K143" s="107">
        <v>-43.650545454545458</v>
      </c>
      <c r="L143" s="107">
        <v>-41.905090909090909</v>
      </c>
      <c r="M143" s="107">
        <v>-40.293131618759453</v>
      </c>
      <c r="N143" s="107">
        <v>-38.831709531013615</v>
      </c>
      <c r="O143" s="107">
        <v>-37.370287443267777</v>
      </c>
      <c r="P143" s="107">
        <v>-35.908865355521932</v>
      </c>
      <c r="Q143" s="107">
        <v>-34.447443267776094</v>
      </c>
      <c r="R143" s="107">
        <v>-32.986021180030257</v>
      </c>
      <c r="S143" s="107">
        <v>-31.524599092284415</v>
      </c>
      <c r="T143" s="107">
        <v>-30.256727272727272</v>
      </c>
      <c r="U143" s="107">
        <v>-29.034363636363636</v>
      </c>
      <c r="V143" s="107">
        <v>-27.864666666666665</v>
      </c>
      <c r="W143" s="107">
        <v>-26.732303030303029</v>
      </c>
      <c r="X143" s="107">
        <v>-25.629272727272728</v>
      </c>
      <c r="Y143" s="107">
        <v>-24.58710843373494</v>
      </c>
      <c r="Z143" s="107">
        <v>-23.563030303030303</v>
      </c>
      <c r="AA143" s="107">
        <v>-22.575151515151514</v>
      </c>
      <c r="AB143" s="107">
        <v>-21.616363636363637</v>
      </c>
      <c r="AC143" s="107">
        <v>-20.676969696969696</v>
      </c>
      <c r="AD143" s="107">
        <v>-19.783636363636361</v>
      </c>
      <c r="AE143" s="107">
        <v>-18.921818181818182</v>
      </c>
      <c r="AF143" s="107">
        <v>-18.127878787878789</v>
      </c>
      <c r="AG143" s="107">
        <v>-17.45843373493976</v>
      </c>
      <c r="AH143" s="107">
        <v>-16.856024096385546</v>
      </c>
      <c r="AI143" s="107">
        <v>-16.28</v>
      </c>
      <c r="AJ143" s="107">
        <v>-15.714545454545457</v>
      </c>
      <c r="AK143" s="107">
        <v>-15.16909090909091</v>
      </c>
      <c r="AL143" s="107">
        <v>-14.63618181818182</v>
      </c>
      <c r="AM143" s="107">
        <v>-14.111059001512862</v>
      </c>
      <c r="AN143" s="107">
        <v>-13.637534039334344</v>
      </c>
      <c r="AO143" s="107">
        <v>-13.164009077155827</v>
      </c>
      <c r="AP143" s="107">
        <v>-12.690484114977309</v>
      </c>
      <c r="AQ143" s="107">
        <v>-12.216959152798792</v>
      </c>
      <c r="AR143" s="107">
        <v>-11.743434190620274</v>
      </c>
      <c r="AS143" s="107">
        <v>-11.269909228441756</v>
      </c>
      <c r="AT143" s="107">
        <v>-10.814969696969699</v>
      </c>
      <c r="AU143" s="107">
        <v>-10.384666666666668</v>
      </c>
      <c r="AV143" s="107">
        <v>-9.9666545454545474</v>
      </c>
      <c r="AW143" s="107">
        <v>-9.5541575757575767</v>
      </c>
      <c r="AX143" s="107">
        <v>-9.1553696969696983</v>
      </c>
      <c r="AY143" s="107">
        <v>-8.7643855421686752</v>
      </c>
      <c r="AZ143" s="107">
        <v>-8.3818554216867458</v>
      </c>
      <c r="BA143" s="107">
        <v>-8.0153151515151499</v>
      </c>
      <c r="BB143" s="107">
        <v>-7.7225515151515154</v>
      </c>
      <c r="BC143" s="107">
        <v>-7.7728545454545452</v>
      </c>
      <c r="BD143" s="107">
        <v>-7.8228424242424239</v>
      </c>
      <c r="BE143" s="107">
        <v>-7.8725393939393937</v>
      </c>
      <c r="BF143" s="107">
        <v>-7.9232909090909089</v>
      </c>
      <c r="BG143" s="107">
        <v>-7.9748487140695916</v>
      </c>
      <c r="BH143" s="107">
        <v>-8.0287065052950073</v>
      </c>
      <c r="BI143" s="107">
        <v>-8.0825642965204239</v>
      </c>
      <c r="BJ143" s="107">
        <v>-8.1364220877458404</v>
      </c>
      <c r="BK143" s="107">
        <v>-8.190279878971257</v>
      </c>
      <c r="BL143" s="107">
        <v>-8.2441376701966718</v>
      </c>
      <c r="BM143" s="107">
        <v>-8.2979954614220883</v>
      </c>
      <c r="BN143" s="107">
        <v>-8.356559757942513</v>
      </c>
      <c r="BO143" s="107">
        <v>-8.4181331316187595</v>
      </c>
      <c r="BP143" s="107">
        <v>-8.4797065052950078</v>
      </c>
      <c r="BQ143" s="107">
        <v>-8.5412798789712561</v>
      </c>
      <c r="BR143" s="107">
        <v>-8.6028532526475043</v>
      </c>
      <c r="BS143" s="107">
        <v>-8.6644266263237526</v>
      </c>
      <c r="BT143" s="107">
        <v>-8.7260000000000009</v>
      </c>
    </row>
    <row r="144" spans="1:72" ht="9.9499999999999993" customHeight="1" thickBot="1" x14ac:dyDescent="0.4">
      <c r="A144" s="45" t="s">
        <v>108</v>
      </c>
      <c r="B144" s="35">
        <v>-38.192424242424238</v>
      </c>
      <c r="C144" s="35">
        <v>-37.294484848484849</v>
      </c>
      <c r="D144" s="107">
        <v>-36.464181818181821</v>
      </c>
      <c r="E144" s="107">
        <v>-35.518848484848483</v>
      </c>
      <c r="F144" s="107">
        <v>-34.576545454545453</v>
      </c>
      <c r="G144" s="107">
        <v>-34.158363636363639</v>
      </c>
      <c r="H144" s="107">
        <v>-33.559939759036148</v>
      </c>
      <c r="I144" s="107">
        <v>-32.722590361445782</v>
      </c>
      <c r="J144" s="107">
        <v>-32.114666666666665</v>
      </c>
      <c r="K144" s="107">
        <v>-31.581818181818182</v>
      </c>
      <c r="L144" s="107">
        <v>-31.096969696969701</v>
      </c>
      <c r="M144" s="107">
        <v>-30.656621785173982</v>
      </c>
      <c r="N144" s="107">
        <v>-30.266455370650533</v>
      </c>
      <c r="O144" s="107">
        <v>-29.876288956127084</v>
      </c>
      <c r="P144" s="107">
        <v>-29.486122541603635</v>
      </c>
      <c r="Q144" s="107">
        <v>-29.095956127080186</v>
      </c>
      <c r="R144" s="107">
        <v>-28.705789712556733</v>
      </c>
      <c r="S144" s="107">
        <v>-28.315623298033284</v>
      </c>
      <c r="T144" s="107">
        <v>-27.992575757575761</v>
      </c>
      <c r="U144" s="107">
        <v>-27.684527272727273</v>
      </c>
      <c r="V144" s="107">
        <v>-27.3918</v>
      </c>
      <c r="W144" s="107">
        <v>-27.115363636363636</v>
      </c>
      <c r="X144" s="107">
        <v>-26.85172727272727</v>
      </c>
      <c r="Y144" s="107">
        <v>-26.744126506024095</v>
      </c>
      <c r="Z144" s="107">
        <v>-26.717424242424244</v>
      </c>
      <c r="AA144" s="107">
        <v>-26.887121212121215</v>
      </c>
      <c r="AB144" s="107">
        <v>-27.057181818181821</v>
      </c>
      <c r="AC144" s="107">
        <v>-27.227484848484849</v>
      </c>
      <c r="AD144" s="107">
        <v>-27.397212121212121</v>
      </c>
      <c r="AE144" s="107">
        <v>-27.567090909090908</v>
      </c>
      <c r="AF144" s="107">
        <v>-27.737393939393939</v>
      </c>
      <c r="AG144" s="107">
        <v>-27.907030120481927</v>
      </c>
      <c r="AH144" s="107">
        <v>-28.076307228915663</v>
      </c>
      <c r="AI144" s="107">
        <v>-28.240600000000001</v>
      </c>
      <c r="AJ144" s="107">
        <v>-28.404842424242425</v>
      </c>
      <c r="AK144" s="107">
        <v>-28.569084848484849</v>
      </c>
      <c r="AL144" s="107">
        <v>-28.733327272727273</v>
      </c>
      <c r="AM144" s="107">
        <v>-28.89742662632375</v>
      </c>
      <c r="AN144" s="107">
        <v>-29.058092284417548</v>
      </c>
      <c r="AO144" s="107">
        <v>-29.218757942511346</v>
      </c>
      <c r="AP144" s="107">
        <v>-29.379423600605143</v>
      </c>
      <c r="AQ144" s="107">
        <v>-29.540089258698938</v>
      </c>
      <c r="AR144" s="107">
        <v>-29.700754916792736</v>
      </c>
      <c r="AS144" s="107">
        <v>-29.861420574886534</v>
      </c>
      <c r="AT144" s="107">
        <v>-30.020757575757575</v>
      </c>
      <c r="AU144" s="107">
        <v>-30.178333333333335</v>
      </c>
      <c r="AV144" s="107">
        <v>-30.335436363636365</v>
      </c>
      <c r="AW144" s="107">
        <v>-30.49248484848485</v>
      </c>
      <c r="AX144" s="107">
        <v>-30.650060606060606</v>
      </c>
      <c r="AY144" s="107">
        <v>-30.803999999999998</v>
      </c>
      <c r="AZ144" s="107">
        <v>-30.954000000000001</v>
      </c>
      <c r="BA144" s="107">
        <v>-31.104745454545455</v>
      </c>
      <c r="BB144" s="107">
        <v>-31.255551515151517</v>
      </c>
      <c r="BC144" s="107">
        <v>-31.405854545454549</v>
      </c>
      <c r="BD144" s="107">
        <v>-31.556472727272727</v>
      </c>
      <c r="BE144" s="107">
        <v>-31.707381818181815</v>
      </c>
      <c r="BF144" s="107">
        <v>-31.857763636363636</v>
      </c>
      <c r="BG144" s="107">
        <v>-32.00691830559758</v>
      </c>
      <c r="BH144" s="107">
        <v>-32.152001512859307</v>
      </c>
      <c r="BI144" s="107">
        <v>-32.297084720121028</v>
      </c>
      <c r="BJ144" s="107">
        <v>-32.442167927382755</v>
      </c>
      <c r="BK144" s="107">
        <v>-32.587251134644475</v>
      </c>
      <c r="BL144" s="107">
        <v>-32.732334341906203</v>
      </c>
      <c r="BM144" s="107">
        <v>-32.877417549167923</v>
      </c>
      <c r="BN144" s="107">
        <v>-33.02028593040847</v>
      </c>
      <c r="BO144" s="107">
        <v>-33.16173827534039</v>
      </c>
      <c r="BP144" s="107">
        <v>-33.303190620272311</v>
      </c>
      <c r="BQ144" s="107">
        <v>-33.444642965204238</v>
      </c>
      <c r="BR144" s="107">
        <v>-33.586095310136159</v>
      </c>
      <c r="BS144" s="107">
        <v>-33.727547655068079</v>
      </c>
      <c r="BT144" s="107">
        <v>-33.869</v>
      </c>
    </row>
    <row r="145" spans="1:72" ht="9.9499999999999993" customHeight="1" thickBot="1" x14ac:dyDescent="0.4">
      <c r="A145" s="45" t="s">
        <v>97</v>
      </c>
      <c r="B145" s="35">
        <v>-17.086666666666666</v>
      </c>
      <c r="C145" s="35">
        <v>-16.767151515151514</v>
      </c>
      <c r="D145" s="107">
        <v>-16.470181818181818</v>
      </c>
      <c r="E145" s="107">
        <v>-15.797151515151516</v>
      </c>
      <c r="F145" s="107">
        <v>-14.983575757575757</v>
      </c>
      <c r="G145" s="107">
        <v>-14.153272727272727</v>
      </c>
      <c r="H145" s="107">
        <v>-13.371746987951807</v>
      </c>
      <c r="I145" s="107">
        <v>-12.65487951807229</v>
      </c>
      <c r="J145" s="107">
        <v>-11.962666666666667</v>
      </c>
      <c r="K145" s="107">
        <v>-11.283636363636363</v>
      </c>
      <c r="L145" s="107">
        <v>-10.647272727272728</v>
      </c>
      <c r="M145" s="107">
        <v>-10.055517397881998</v>
      </c>
      <c r="N145" s="107">
        <v>-9.5140650529500768</v>
      </c>
      <c r="O145" s="107">
        <v>-8.9726127080181541</v>
      </c>
      <c r="P145" s="107">
        <v>-8.4311603630862333</v>
      </c>
      <c r="Q145" s="107">
        <v>-7.8897080181543107</v>
      </c>
      <c r="R145" s="107">
        <v>-7.3482556732223898</v>
      </c>
      <c r="S145" s="107">
        <v>-6.8068033282904672</v>
      </c>
      <c r="T145" s="107">
        <v>-6.3322727272727262</v>
      </c>
      <c r="U145" s="107">
        <v>-5.8739818181818171</v>
      </c>
      <c r="V145" s="107">
        <v>-5.4357999999999995</v>
      </c>
      <c r="W145" s="107">
        <v>-5.0105151515151505</v>
      </c>
      <c r="X145" s="107">
        <v>-4.5953636363636354</v>
      </c>
      <c r="Y145" s="107">
        <v>-4.337078313253012</v>
      </c>
      <c r="Z145" s="107">
        <v>-4.1610606060606061</v>
      </c>
      <c r="AA145" s="107">
        <v>-4.1853030303030305</v>
      </c>
      <c r="AB145" s="107">
        <v>-4.2099090909090906</v>
      </c>
      <c r="AC145" s="107">
        <v>-4.2347575757575759</v>
      </c>
      <c r="AD145" s="107">
        <v>-4.2590303030303032</v>
      </c>
      <c r="AE145" s="107">
        <v>-4.2834545454545454</v>
      </c>
      <c r="AF145" s="107">
        <v>-4.3083030303030307</v>
      </c>
      <c r="AG145" s="107">
        <v>-4.3330542168674695</v>
      </c>
      <c r="AH145" s="107">
        <v>-4.3577530120481924</v>
      </c>
      <c r="AI145" s="107">
        <v>-4.3826000000000001</v>
      </c>
      <c r="AJ145" s="107">
        <v>-4.4074484848484845</v>
      </c>
      <c r="AK145" s="107">
        <v>-4.4322969696969698</v>
      </c>
      <c r="AL145" s="107">
        <v>-4.4571454545454543</v>
      </c>
      <c r="AM145" s="107">
        <v>-4.4819803328290471</v>
      </c>
      <c r="AN145" s="107">
        <v>-4.5064886535552189</v>
      </c>
      <c r="AO145" s="107">
        <v>-4.5309969742813916</v>
      </c>
      <c r="AP145" s="107">
        <v>-4.5555052950075643</v>
      </c>
      <c r="AQ145" s="107">
        <v>-4.5800136157337361</v>
      </c>
      <c r="AR145" s="107">
        <v>-4.6045219364599088</v>
      </c>
      <c r="AS145" s="107">
        <v>-4.6290302571860815</v>
      </c>
      <c r="AT145" s="107">
        <v>-4.6534242424242418</v>
      </c>
      <c r="AU145" s="107">
        <v>-4.6776666666666662</v>
      </c>
      <c r="AV145" s="107">
        <v>-4.7014363636363639</v>
      </c>
      <c r="AW145" s="107">
        <v>-4.7251515151515155</v>
      </c>
      <c r="AX145" s="107">
        <v>-4.7493939393939391</v>
      </c>
      <c r="AY145" s="107">
        <v>-4.7732771084337342</v>
      </c>
      <c r="AZ145" s="107">
        <v>-4.7967710843373492</v>
      </c>
      <c r="BA145" s="107">
        <v>-4.8203818181818185</v>
      </c>
      <c r="BB145" s="107">
        <v>-4.8439151515151515</v>
      </c>
      <c r="BC145" s="107">
        <v>-4.8669454545454549</v>
      </c>
      <c r="BD145" s="107">
        <v>-4.8902909090909095</v>
      </c>
      <c r="BE145" s="107">
        <v>-4.9139272727272729</v>
      </c>
      <c r="BF145" s="107">
        <v>-4.9370363636363637</v>
      </c>
      <c r="BG145" s="107">
        <v>-4.9599591527987901</v>
      </c>
      <c r="BH145" s="107">
        <v>-4.9825007564296522</v>
      </c>
      <c r="BI145" s="107">
        <v>-5.0050423600605143</v>
      </c>
      <c r="BJ145" s="107">
        <v>-5.0275839636913773</v>
      </c>
      <c r="BK145" s="107">
        <v>-5.0501255673222394</v>
      </c>
      <c r="BL145" s="107">
        <v>-5.0726671709531015</v>
      </c>
      <c r="BM145" s="107">
        <v>-5.0952087745839636</v>
      </c>
      <c r="BN145" s="107">
        <v>-5.1173812405446295</v>
      </c>
      <c r="BO145" s="107">
        <v>-5.1393177004538577</v>
      </c>
      <c r="BP145" s="107">
        <v>-5.1612541603630859</v>
      </c>
      <c r="BQ145" s="107">
        <v>-5.1831906202723141</v>
      </c>
      <c r="BR145" s="107">
        <v>-5.2051270801815432</v>
      </c>
      <c r="BS145" s="107">
        <v>-5.2270635400907715</v>
      </c>
      <c r="BT145" s="107">
        <v>-5.2489999999999997</v>
      </c>
    </row>
    <row r="146" spans="1:72" ht="9.9499999999999993" customHeight="1" thickBot="1" x14ac:dyDescent="0.4">
      <c r="A146" s="45" t="s">
        <v>26</v>
      </c>
      <c r="B146" s="35">
        <v>-19.02</v>
      </c>
      <c r="C146" s="35">
        <v>-19.02</v>
      </c>
      <c r="D146" s="107">
        <v>-19.02</v>
      </c>
      <c r="E146" s="107">
        <v>-19.152727272727272</v>
      </c>
      <c r="F146" s="107">
        <v>-19.306909090909091</v>
      </c>
      <c r="G146" s="107">
        <v>-19.143272727272727</v>
      </c>
      <c r="H146" s="107">
        <v>-19.130301204819279</v>
      </c>
      <c r="I146" s="107">
        <v>-19.317048192771082</v>
      </c>
      <c r="J146" s="107">
        <v>-19.369333333333334</v>
      </c>
      <c r="K146" s="107">
        <v>-19.382181818181817</v>
      </c>
      <c r="L146" s="107">
        <v>-19.400363636363636</v>
      </c>
      <c r="M146" s="107">
        <v>-19.418532526475037</v>
      </c>
      <c r="N146" s="107">
        <v>-19.436686838124054</v>
      </c>
      <c r="O146" s="107">
        <v>-19.45484114977307</v>
      </c>
      <c r="P146" s="107">
        <v>-19.472995461422087</v>
      </c>
      <c r="Q146" s="107">
        <v>-19.491149773071104</v>
      </c>
      <c r="R146" s="107">
        <v>-19.509304084720121</v>
      </c>
      <c r="S146" s="107">
        <v>-19.527458396369138</v>
      </c>
      <c r="T146" s="107">
        <v>-19.545636363636362</v>
      </c>
      <c r="U146" s="107">
        <v>-19.565090909090909</v>
      </c>
      <c r="V146" s="107">
        <v>-19.589333333333332</v>
      </c>
      <c r="W146" s="107">
        <v>-19.610181818181818</v>
      </c>
      <c r="X146" s="107">
        <v>-19.628363636363634</v>
      </c>
      <c r="Y146" s="107">
        <v>-19.542289156626506</v>
      </c>
      <c r="Z146" s="107">
        <v>-19.433636363636364</v>
      </c>
      <c r="AA146" s="107">
        <v>-19.288181818181819</v>
      </c>
      <c r="AB146" s="107">
        <v>-19.200909090909089</v>
      </c>
      <c r="AC146" s="107">
        <v>-19.152424242424242</v>
      </c>
      <c r="AD146" s="107">
        <v>-19.144242424242425</v>
      </c>
      <c r="AE146" s="107">
        <v>-19.14</v>
      </c>
      <c r="AF146" s="107">
        <v>-19.14</v>
      </c>
      <c r="AG146" s="107">
        <v>-19.147831325301205</v>
      </c>
      <c r="AH146" s="107">
        <v>-19.159879518072291</v>
      </c>
      <c r="AI146" s="107">
        <v>-19.178000000000001</v>
      </c>
      <c r="AJ146" s="107">
        <v>-19.19618181818182</v>
      </c>
      <c r="AK146" s="107">
        <v>-19.214363636363636</v>
      </c>
      <c r="AL146" s="107">
        <v>-19.232545454545455</v>
      </c>
      <c r="AM146" s="107">
        <v>-19.250786686838126</v>
      </c>
      <c r="AN146" s="107">
        <v>-19.270453857791225</v>
      </c>
      <c r="AO146" s="107">
        <v>-19.290121028744327</v>
      </c>
      <c r="AP146" s="107">
        <v>-19.309788199697426</v>
      </c>
      <c r="AQ146" s="107">
        <v>-19.329455370650528</v>
      </c>
      <c r="AR146" s="107">
        <v>-19.349122541603631</v>
      </c>
      <c r="AS146" s="107">
        <v>-19.36878971255673</v>
      </c>
      <c r="AT146" s="107">
        <v>-19.390424242424242</v>
      </c>
      <c r="AU146" s="107">
        <v>-19.414666666666669</v>
      </c>
      <c r="AV146" s="107">
        <v>-19.43418181818182</v>
      </c>
      <c r="AW146" s="107">
        <v>-19.452363636363636</v>
      </c>
      <c r="AX146" s="107">
        <v>-19.470545454545455</v>
      </c>
      <c r="AY146" s="107">
        <v>-19.488674698795183</v>
      </c>
      <c r="AZ146" s="107">
        <v>-19.506746987951807</v>
      </c>
      <c r="BA146" s="107">
        <v>-19.52987878787879</v>
      </c>
      <c r="BB146" s="107">
        <v>-19.553090909090908</v>
      </c>
      <c r="BC146" s="107">
        <v>-19.571272727272728</v>
      </c>
      <c r="BD146" s="107">
        <v>-19.589454545454544</v>
      </c>
      <c r="BE146" s="107">
        <v>-19.607636363636363</v>
      </c>
      <c r="BF146" s="107">
        <v>-19.625818181818182</v>
      </c>
      <c r="BG146" s="107">
        <v>-19.643993948562784</v>
      </c>
      <c r="BH146" s="107">
        <v>-19.662148260211801</v>
      </c>
      <c r="BI146" s="107">
        <v>-19.680302571860818</v>
      </c>
      <c r="BJ146" s="107">
        <v>-19.698456883509834</v>
      </c>
      <c r="BK146" s="107">
        <v>-19.716611195158851</v>
      </c>
      <c r="BL146" s="107">
        <v>-19.734765506807868</v>
      </c>
      <c r="BM146" s="107">
        <v>-19.752919818456885</v>
      </c>
      <c r="BN146" s="107">
        <v>-19.771074130105902</v>
      </c>
      <c r="BO146" s="107">
        <v>-19.789228441754918</v>
      </c>
      <c r="BP146" s="107">
        <v>-19.807382753403935</v>
      </c>
      <c r="BQ146" s="107">
        <v>-19.825537065052949</v>
      </c>
      <c r="BR146" s="107">
        <v>-19.843691376701965</v>
      </c>
      <c r="BS146" s="107">
        <v>-19.861845688350982</v>
      </c>
      <c r="BT146" s="107">
        <v>-19.88</v>
      </c>
    </row>
    <row r="147" spans="1:72" ht="9.9499999999999993" customHeight="1" thickBot="1" x14ac:dyDescent="0.4">
      <c r="A147" s="45" t="s">
        <v>5</v>
      </c>
      <c r="B147" s="35">
        <v>-61.171090909090907</v>
      </c>
      <c r="C147" s="35">
        <v>-59.374363636363633</v>
      </c>
      <c r="D147" s="107">
        <v>-57.701636363636361</v>
      </c>
      <c r="E147" s="107">
        <v>-55.812121212121212</v>
      </c>
      <c r="F147" s="107">
        <v>-53.790060606060607</v>
      </c>
      <c r="G147" s="107">
        <v>-51.165818181818182</v>
      </c>
      <c r="H147" s="107">
        <v>-48.968012048192769</v>
      </c>
      <c r="I147" s="107">
        <v>-47.335481927710845</v>
      </c>
      <c r="J147" s="107">
        <v>-45.513333333333335</v>
      </c>
      <c r="K147" s="107">
        <v>-43.650545454545458</v>
      </c>
      <c r="L147" s="107">
        <v>-41.905090909090909</v>
      </c>
      <c r="M147" s="107">
        <v>-40.293131618759453</v>
      </c>
      <c r="N147" s="107">
        <v>-38.831709531013615</v>
      </c>
      <c r="O147" s="107">
        <v>-37.370287443267777</v>
      </c>
      <c r="P147" s="107">
        <v>-35.908865355521932</v>
      </c>
      <c r="Q147" s="107">
        <v>-34.447443267776094</v>
      </c>
      <c r="R147" s="107">
        <v>-32.986021180030257</v>
      </c>
      <c r="S147" s="107">
        <v>-31.524599092284415</v>
      </c>
      <c r="T147" s="107">
        <v>-30.256727272727272</v>
      </c>
      <c r="U147" s="107">
        <v>-29.034363636363636</v>
      </c>
      <c r="V147" s="107">
        <v>-27.864666666666665</v>
      </c>
      <c r="W147" s="107">
        <v>-26.732303030303029</v>
      </c>
      <c r="X147" s="107">
        <v>-25.629272727272728</v>
      </c>
      <c r="Y147" s="107">
        <v>-24.58710843373494</v>
      </c>
      <c r="Z147" s="107">
        <v>-23.563030303030303</v>
      </c>
      <c r="AA147" s="107">
        <v>-22.575151515151514</v>
      </c>
      <c r="AB147" s="107">
        <v>-21.616363636363637</v>
      </c>
      <c r="AC147" s="107">
        <v>-20.676969696969696</v>
      </c>
      <c r="AD147" s="107">
        <v>-19.783636363636361</v>
      </c>
      <c r="AE147" s="107">
        <v>-18.921818181818182</v>
      </c>
      <c r="AF147" s="107">
        <v>-18.127878787878789</v>
      </c>
      <c r="AG147" s="107">
        <v>-17.45843373493976</v>
      </c>
      <c r="AH147" s="107">
        <v>-16.856024096385546</v>
      </c>
      <c r="AI147" s="107">
        <v>-16.28</v>
      </c>
      <c r="AJ147" s="107">
        <v>-15.714545454545457</v>
      </c>
      <c r="AK147" s="107">
        <v>-15.16909090909091</v>
      </c>
      <c r="AL147" s="107">
        <v>-14.63618181818182</v>
      </c>
      <c r="AM147" s="107">
        <v>-14.111059001512862</v>
      </c>
      <c r="AN147" s="107">
        <v>-13.637534039334344</v>
      </c>
      <c r="AO147" s="107">
        <v>-13.164009077155827</v>
      </c>
      <c r="AP147" s="107">
        <v>-12.690484114977309</v>
      </c>
      <c r="AQ147" s="107">
        <v>-12.216959152798792</v>
      </c>
      <c r="AR147" s="107">
        <v>-11.743434190620274</v>
      </c>
      <c r="AS147" s="107">
        <v>-11.269909228441756</v>
      </c>
      <c r="AT147" s="107">
        <v>-10.814969696969699</v>
      </c>
      <c r="AU147" s="107">
        <v>-10.384666666666668</v>
      </c>
      <c r="AV147" s="107">
        <v>-9.9666545454545474</v>
      </c>
      <c r="AW147" s="107">
        <v>-9.5541575757575767</v>
      </c>
      <c r="AX147" s="107">
        <v>-9.1553696969696983</v>
      </c>
      <c r="AY147" s="107">
        <v>-8.7643855421686752</v>
      </c>
      <c r="AZ147" s="107">
        <v>-8.3818554216867458</v>
      </c>
      <c r="BA147" s="107">
        <v>-8.0153151515151499</v>
      </c>
      <c r="BB147" s="107">
        <v>-7.7225515151515154</v>
      </c>
      <c r="BC147" s="107">
        <v>-7.7728545454545452</v>
      </c>
      <c r="BD147" s="107">
        <v>-7.8228424242424239</v>
      </c>
      <c r="BE147" s="107">
        <v>-7.8725393939393937</v>
      </c>
      <c r="BF147" s="107">
        <v>-7.9232909090909089</v>
      </c>
      <c r="BG147" s="107">
        <v>-7.9748487140695916</v>
      </c>
      <c r="BH147" s="107">
        <v>-8.0287065052950073</v>
      </c>
      <c r="BI147" s="107">
        <v>-8.0825642965204239</v>
      </c>
      <c r="BJ147" s="107">
        <v>-8.1364220877458404</v>
      </c>
      <c r="BK147" s="107">
        <v>-8.190279878971257</v>
      </c>
      <c r="BL147" s="107">
        <v>-8.2441376701966718</v>
      </c>
      <c r="BM147" s="107">
        <v>-8.2979954614220883</v>
      </c>
      <c r="BN147" s="107">
        <v>-8.356559757942513</v>
      </c>
      <c r="BO147" s="107">
        <v>-8.4181331316187595</v>
      </c>
      <c r="BP147" s="107">
        <v>-8.4797065052950078</v>
      </c>
      <c r="BQ147" s="107">
        <v>-8.5412798789712561</v>
      </c>
      <c r="BR147" s="107">
        <v>-8.6028532526475043</v>
      </c>
      <c r="BS147" s="107">
        <v>-8.6644266263237526</v>
      </c>
      <c r="BT147" s="107">
        <v>-8.7260000000000009</v>
      </c>
    </row>
    <row r="148" spans="1:72" ht="9.9499999999999993" customHeight="1" thickBot="1" x14ac:dyDescent="0.4">
      <c r="A148" s="45" t="s">
        <v>6</v>
      </c>
      <c r="B148" s="35">
        <v>-17.086666666666666</v>
      </c>
      <c r="C148" s="35">
        <v>-16.767151515151514</v>
      </c>
      <c r="D148" s="107">
        <v>-16.470181818181818</v>
      </c>
      <c r="E148" s="107">
        <v>-15.797151515151516</v>
      </c>
      <c r="F148" s="107">
        <v>-14.983575757575757</v>
      </c>
      <c r="G148" s="107">
        <v>-14.153272727272727</v>
      </c>
      <c r="H148" s="107">
        <v>-13.371746987951807</v>
      </c>
      <c r="I148" s="107">
        <v>-12.65487951807229</v>
      </c>
      <c r="J148" s="107">
        <v>-11.962666666666667</v>
      </c>
      <c r="K148" s="107">
        <v>-11.283636363636363</v>
      </c>
      <c r="L148" s="107">
        <v>-10.647272727272728</v>
      </c>
      <c r="M148" s="107">
        <v>-10.055517397881998</v>
      </c>
      <c r="N148" s="107">
        <v>-9.5140650529500768</v>
      </c>
      <c r="O148" s="107">
        <v>-8.9726127080181541</v>
      </c>
      <c r="P148" s="107">
        <v>-8.4311603630862333</v>
      </c>
      <c r="Q148" s="107">
        <v>-7.8897080181543107</v>
      </c>
      <c r="R148" s="107">
        <v>-7.3482556732223898</v>
      </c>
      <c r="S148" s="107">
        <v>-6.8068033282904672</v>
      </c>
      <c r="T148" s="107">
        <v>-6.3322727272727262</v>
      </c>
      <c r="U148" s="107">
        <v>-5.8739818181818171</v>
      </c>
      <c r="V148" s="107">
        <v>-5.4357999999999995</v>
      </c>
      <c r="W148" s="107">
        <v>-5.0105151515151505</v>
      </c>
      <c r="X148" s="107">
        <v>-4.5953636363636354</v>
      </c>
      <c r="Y148" s="107">
        <v>-4.337078313253012</v>
      </c>
      <c r="Z148" s="107">
        <v>-4.1610606060606061</v>
      </c>
      <c r="AA148" s="107">
        <v>-4.1853030303030305</v>
      </c>
      <c r="AB148" s="107">
        <v>-4.2099090909090906</v>
      </c>
      <c r="AC148" s="107">
        <v>-4.2347575757575759</v>
      </c>
      <c r="AD148" s="107">
        <v>-4.2590303030303032</v>
      </c>
      <c r="AE148" s="107">
        <v>-4.2834545454545454</v>
      </c>
      <c r="AF148" s="107">
        <v>-4.3083030303030307</v>
      </c>
      <c r="AG148" s="107">
        <v>-4.3330542168674695</v>
      </c>
      <c r="AH148" s="107">
        <v>-4.3577530120481924</v>
      </c>
      <c r="AI148" s="107">
        <v>-4.3826000000000001</v>
      </c>
      <c r="AJ148" s="107">
        <v>-4.4074484848484845</v>
      </c>
      <c r="AK148" s="107">
        <v>-4.4322969696969698</v>
      </c>
      <c r="AL148" s="107">
        <v>-4.4571454545454543</v>
      </c>
      <c r="AM148" s="107">
        <v>-4.4819803328290471</v>
      </c>
      <c r="AN148" s="107">
        <v>-4.5064886535552189</v>
      </c>
      <c r="AO148" s="107">
        <v>-4.5309969742813916</v>
      </c>
      <c r="AP148" s="107">
        <v>-4.5555052950075643</v>
      </c>
      <c r="AQ148" s="107">
        <v>-4.5800136157337361</v>
      </c>
      <c r="AR148" s="107">
        <v>-4.6045219364599088</v>
      </c>
      <c r="AS148" s="107">
        <v>-4.6290302571860815</v>
      </c>
      <c r="AT148" s="107">
        <v>-4.6534242424242418</v>
      </c>
      <c r="AU148" s="107">
        <v>-4.6776666666666662</v>
      </c>
      <c r="AV148" s="107">
        <v>-4.7014363636363639</v>
      </c>
      <c r="AW148" s="107">
        <v>-4.7251515151515155</v>
      </c>
      <c r="AX148" s="107">
        <v>-4.7493939393939391</v>
      </c>
      <c r="AY148" s="107">
        <v>-4.7732771084337342</v>
      </c>
      <c r="AZ148" s="107">
        <v>-4.7967710843373492</v>
      </c>
      <c r="BA148" s="107">
        <v>-4.8203818181818185</v>
      </c>
      <c r="BB148" s="107">
        <v>-4.8439151515151515</v>
      </c>
      <c r="BC148" s="107">
        <v>-4.8669454545454549</v>
      </c>
      <c r="BD148" s="107">
        <v>-4.8902909090909095</v>
      </c>
      <c r="BE148" s="107">
        <v>-4.9139272727272729</v>
      </c>
      <c r="BF148" s="107">
        <v>-4.9370363636363637</v>
      </c>
      <c r="BG148" s="107">
        <v>-4.9599591527987901</v>
      </c>
      <c r="BH148" s="107">
        <v>-4.9825007564296522</v>
      </c>
      <c r="BI148" s="107">
        <v>-5.0050423600605143</v>
      </c>
      <c r="BJ148" s="107">
        <v>-5.0275839636913773</v>
      </c>
      <c r="BK148" s="107">
        <v>-5.0501255673222394</v>
      </c>
      <c r="BL148" s="107">
        <v>-5.0726671709531015</v>
      </c>
      <c r="BM148" s="107">
        <v>-5.0952087745839636</v>
      </c>
      <c r="BN148" s="107">
        <v>-5.1173812405446295</v>
      </c>
      <c r="BO148" s="107">
        <v>-5.1393177004538577</v>
      </c>
      <c r="BP148" s="107">
        <v>-5.1612541603630859</v>
      </c>
      <c r="BQ148" s="107">
        <v>-5.1831906202723141</v>
      </c>
      <c r="BR148" s="107">
        <v>-5.2051270801815432</v>
      </c>
      <c r="BS148" s="107">
        <v>-5.2270635400907715</v>
      </c>
      <c r="BT148" s="107">
        <v>-5.2489999999999997</v>
      </c>
    </row>
    <row r="149" spans="1:72" ht="9.9499999999999993" customHeight="1" thickBot="1" x14ac:dyDescent="0.4">
      <c r="A149" s="45" t="s">
        <v>7</v>
      </c>
      <c r="B149" s="35">
        <v>-21.105757575757575</v>
      </c>
      <c r="C149" s="35">
        <v>-20.527333333333335</v>
      </c>
      <c r="D149" s="107">
        <v>-19.994</v>
      </c>
      <c r="E149" s="107">
        <v>-19.721696969696971</v>
      </c>
      <c r="F149" s="107">
        <v>-19.592969696969696</v>
      </c>
      <c r="G149" s="107">
        <v>-20.005090909090907</v>
      </c>
      <c r="H149" s="107">
        <v>-20.188192771084335</v>
      </c>
      <c r="I149" s="107">
        <v>-20.067710843373494</v>
      </c>
      <c r="J149" s="107">
        <v>-20.152000000000001</v>
      </c>
      <c r="K149" s="107">
        <v>-20.298181818181821</v>
      </c>
      <c r="L149" s="107">
        <v>-20.449696969696969</v>
      </c>
      <c r="M149" s="107">
        <v>-20.601104387291983</v>
      </c>
      <c r="N149" s="107">
        <v>-20.752390317700456</v>
      </c>
      <c r="O149" s="107">
        <v>-20.903676248108926</v>
      </c>
      <c r="P149" s="107">
        <v>-21.0549621785174</v>
      </c>
      <c r="Q149" s="107">
        <v>-21.20624810892587</v>
      </c>
      <c r="R149" s="107">
        <v>-21.357534039334343</v>
      </c>
      <c r="S149" s="107">
        <v>-21.508819969742817</v>
      </c>
      <c r="T149" s="107">
        <v>-21.66030303030303</v>
      </c>
      <c r="U149" s="107">
        <v>-21.810545454545455</v>
      </c>
      <c r="V149" s="107">
        <v>-21.956</v>
      </c>
      <c r="W149" s="107">
        <v>-22.104848484848485</v>
      </c>
      <c r="X149" s="107">
        <v>-22.256363636363638</v>
      </c>
      <c r="Y149" s="107">
        <v>-22.407048192771086</v>
      </c>
      <c r="Z149" s="107">
        <v>-22.556363636363635</v>
      </c>
      <c r="AA149" s="107">
        <v>-22.701818181818183</v>
      </c>
      <c r="AB149" s="107">
        <v>-22.847272727272728</v>
      </c>
      <c r="AC149" s="107">
        <v>-22.992727272727272</v>
      </c>
      <c r="AD149" s="107">
        <v>-23.138181818181817</v>
      </c>
      <c r="AE149" s="107">
        <v>-23.283636363636361</v>
      </c>
      <c r="AF149" s="107">
        <v>-23.42909090909091</v>
      </c>
      <c r="AG149" s="107">
        <v>-23.573975903614457</v>
      </c>
      <c r="AH149" s="107">
        <v>-23.718554216867467</v>
      </c>
      <c r="AI149" s="107">
        <v>-23.858000000000001</v>
      </c>
      <c r="AJ149" s="107">
        <v>-23.997393939393938</v>
      </c>
      <c r="AK149" s="107">
        <v>-24.136787878787878</v>
      </c>
      <c r="AL149" s="107">
        <v>-24.276181818181819</v>
      </c>
      <c r="AM149" s="107">
        <v>-24.415446293494703</v>
      </c>
      <c r="AN149" s="107">
        <v>-24.551603630862328</v>
      </c>
      <c r="AO149" s="107">
        <v>-24.687760968229952</v>
      </c>
      <c r="AP149" s="107">
        <v>-24.82391830559758</v>
      </c>
      <c r="AQ149" s="107">
        <v>-24.960075642965204</v>
      </c>
      <c r="AR149" s="107">
        <v>-25.096232980332829</v>
      </c>
      <c r="AS149" s="107">
        <v>-25.232390317700453</v>
      </c>
      <c r="AT149" s="107">
        <v>-25.367333333333331</v>
      </c>
      <c r="AU149" s="107">
        <v>-25.500666666666667</v>
      </c>
      <c r="AV149" s="107">
        <v>-25.634</v>
      </c>
      <c r="AW149" s="107">
        <v>-25.767333333333333</v>
      </c>
      <c r="AX149" s="107">
        <v>-25.900666666666666</v>
      </c>
      <c r="AY149" s="107">
        <v>-26.030722891566263</v>
      </c>
      <c r="AZ149" s="107">
        <v>-26.15722891566265</v>
      </c>
      <c r="BA149" s="107">
        <v>-26.284363636363636</v>
      </c>
      <c r="BB149" s="107">
        <v>-26.411636363636365</v>
      </c>
      <c r="BC149" s="107">
        <v>-26.538909090909094</v>
      </c>
      <c r="BD149" s="107">
        <v>-26.666181818181819</v>
      </c>
      <c r="BE149" s="107">
        <v>-26.793454545454544</v>
      </c>
      <c r="BF149" s="107">
        <v>-26.920727272727273</v>
      </c>
      <c r="BG149" s="107">
        <v>-27.046959152798788</v>
      </c>
      <c r="BH149" s="107">
        <v>-27.169500756429652</v>
      </c>
      <c r="BI149" s="107">
        <v>-27.292042360060513</v>
      </c>
      <c r="BJ149" s="107">
        <v>-27.414583963691378</v>
      </c>
      <c r="BK149" s="107">
        <v>-27.537125567322239</v>
      </c>
      <c r="BL149" s="107">
        <v>-27.659667170953099</v>
      </c>
      <c r="BM149" s="107">
        <v>-27.782208774583964</v>
      </c>
      <c r="BN149" s="107">
        <v>-27.902904689863842</v>
      </c>
      <c r="BO149" s="107">
        <v>-28.022420574886535</v>
      </c>
      <c r="BP149" s="107">
        <v>-28.141936459909228</v>
      </c>
      <c r="BQ149" s="107">
        <v>-28.261452344931921</v>
      </c>
      <c r="BR149" s="107">
        <v>-28.380968229954615</v>
      </c>
      <c r="BS149" s="107">
        <v>-28.500484114977308</v>
      </c>
      <c r="BT149" s="107">
        <v>-28.62</v>
      </c>
    </row>
    <row r="150" spans="1:72" ht="9.9499999999999993" customHeight="1" thickBot="1" x14ac:dyDescent="0.4">
      <c r="A150" s="45"/>
      <c r="D150" s="107"/>
      <c r="E150" s="107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</row>
    <row r="151" spans="1:72" ht="9.9499999999999993" customHeight="1" thickBot="1" x14ac:dyDescent="0.4">
      <c r="A151" s="45"/>
      <c r="D151" s="107"/>
      <c r="E151" s="107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107"/>
      <c r="BH151" s="107"/>
      <c r="BI151" s="107"/>
      <c r="BJ151" s="107"/>
      <c r="BK151" s="107"/>
      <c r="BL151" s="107"/>
      <c r="BM151" s="107"/>
      <c r="BN151" s="107"/>
      <c r="BO151" s="107"/>
      <c r="BP151" s="107"/>
      <c r="BQ151" s="107"/>
      <c r="BR151" s="107"/>
      <c r="BS151" s="107"/>
      <c r="BT151" s="107"/>
    </row>
    <row r="152" spans="1:72" ht="9.9499999999999993" customHeight="1" thickBot="1" x14ac:dyDescent="0.4">
      <c r="A152" s="38"/>
      <c r="D152" s="107"/>
      <c r="E152" s="107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  <c r="AY152" s="107"/>
      <c r="AZ152" s="107"/>
      <c r="BA152" s="107"/>
      <c r="BB152" s="107"/>
      <c r="BC152" s="107"/>
      <c r="BD152" s="107"/>
      <c r="BE152" s="107"/>
      <c r="BF152" s="107"/>
      <c r="BG152" s="107"/>
      <c r="BH152" s="107"/>
      <c r="BI152" s="107"/>
      <c r="BJ152" s="107"/>
      <c r="BK152" s="107"/>
      <c r="BL152" s="107"/>
      <c r="BM152" s="107"/>
      <c r="BN152" s="107"/>
      <c r="BO152" s="107"/>
      <c r="BP152" s="107"/>
      <c r="BQ152" s="107"/>
      <c r="BR152" s="107"/>
      <c r="BS152" s="107"/>
      <c r="BT152" s="107"/>
    </row>
    <row r="153" spans="1:72" ht="9.9499999999999993" customHeight="1" thickBot="1" x14ac:dyDescent="0.4">
      <c r="A153" s="38"/>
      <c r="D153" s="107"/>
      <c r="E153" s="107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X153" s="107"/>
      <c r="AY153" s="107"/>
      <c r="AZ153" s="107"/>
      <c r="BA153" s="107"/>
      <c r="BB153" s="107"/>
      <c r="BC153" s="107"/>
      <c r="BD153" s="107"/>
      <c r="BE153" s="107"/>
      <c r="BF153" s="107"/>
      <c r="BG153" s="107"/>
      <c r="BH153" s="107"/>
      <c r="BI153" s="107"/>
      <c r="BJ153" s="107"/>
      <c r="BK153" s="107"/>
      <c r="BL153" s="107"/>
      <c r="BM153" s="107"/>
      <c r="BN153" s="107"/>
      <c r="BO153" s="107"/>
      <c r="BP153" s="107"/>
      <c r="BQ153" s="107"/>
      <c r="BR153" s="107"/>
      <c r="BS153" s="107"/>
      <c r="BT153" s="107"/>
    </row>
    <row r="154" spans="1:72" ht="9.9499999999999993" customHeight="1" thickBot="1" x14ac:dyDescent="0.4">
      <c r="A154" s="38"/>
      <c r="D154" s="107"/>
      <c r="E154" s="107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  <c r="BN154" s="107"/>
      <c r="BO154" s="107"/>
      <c r="BP154" s="107"/>
      <c r="BQ154" s="107"/>
      <c r="BR154" s="107"/>
      <c r="BS154" s="107"/>
      <c r="BT154" s="107"/>
    </row>
    <row r="155" spans="1:72" ht="9.9499999999999993" customHeight="1" thickBot="1" x14ac:dyDescent="0.4">
      <c r="A155" s="38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  <c r="BN155" s="107"/>
      <c r="BO155" s="107"/>
      <c r="BP155" s="107"/>
      <c r="BQ155" s="107"/>
      <c r="BR155" s="107"/>
      <c r="BS155" s="107"/>
      <c r="BT155" s="107"/>
    </row>
    <row r="156" spans="1:72" ht="9.9499999999999993" customHeight="1" thickBot="1" x14ac:dyDescent="0.4">
      <c r="A156" s="38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</row>
    <row r="157" spans="1:72" ht="9.9499999999999993" customHeight="1" thickBot="1" x14ac:dyDescent="0.4">
      <c r="A157" s="38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</row>
    <row r="158" spans="1:72" ht="9.9499999999999993" customHeight="1" thickBot="1" x14ac:dyDescent="0.4">
      <c r="A158" s="38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</row>
    <row r="159" spans="1:72" ht="9.9499999999999993" customHeight="1" thickBot="1" x14ac:dyDescent="0.4">
      <c r="A159" s="38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</row>
    <row r="160" spans="1:72" ht="9.9499999999999993" customHeight="1" thickBot="1" x14ac:dyDescent="0.4">
      <c r="A160" s="38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</row>
    <row r="161" spans="1:72" ht="9.9499999999999993" customHeight="1" thickBot="1" x14ac:dyDescent="0.4">
      <c r="A161" s="38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</row>
    <row r="162" spans="1:72" ht="9.9499999999999993" hidden="1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 x14ac:dyDescent="0.4"/>
    <row r="164" spans="1:72" ht="30" customHeight="1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9.9499999999999993" customHeight="1" thickTop="1" thickBot="1" x14ac:dyDescent="0.4">
      <c r="A165" s="45" t="s">
        <v>89</v>
      </c>
      <c r="B165" s="35">
        <v>-60.236787878787872</v>
      </c>
      <c r="C165" s="35">
        <v>-58.907818181818179</v>
      </c>
      <c r="D165" s="107">
        <v>-57.744181818181815</v>
      </c>
      <c r="E165" s="107">
        <v>-56.770787878787878</v>
      </c>
      <c r="F165" s="107">
        <v>-55.919636363636364</v>
      </c>
      <c r="G165" s="107">
        <v>-55.665090909090907</v>
      </c>
      <c r="H165" s="107">
        <v>-55.214337349397596</v>
      </c>
      <c r="I165" s="107">
        <v>-54.503493975903616</v>
      </c>
      <c r="J165" s="107">
        <v>-53.92</v>
      </c>
      <c r="K165" s="107">
        <v>-53.390327272727269</v>
      </c>
      <c r="L165" s="107">
        <v>-52.976387878787875</v>
      </c>
      <c r="M165" s="107">
        <v>-52.647143721633888</v>
      </c>
      <c r="N165" s="107">
        <v>-52.413406959152795</v>
      </c>
      <c r="O165" s="107">
        <v>-52.179670196671708</v>
      </c>
      <c r="P165" s="107">
        <v>-51.945933434190614</v>
      </c>
      <c r="Q165" s="107">
        <v>-51.712196671709528</v>
      </c>
      <c r="R165" s="107">
        <v>-51.478459909228441</v>
      </c>
      <c r="S165" s="107">
        <v>-51.244723146747347</v>
      </c>
      <c r="T165" s="107">
        <v>-51.166654545454541</v>
      </c>
      <c r="U165" s="107">
        <v>-51.135054545454544</v>
      </c>
      <c r="V165" s="107">
        <v>-51.182933333333331</v>
      </c>
      <c r="W165" s="107">
        <v>-51.28070303030303</v>
      </c>
      <c r="X165" s="107">
        <v>-51.417672727272731</v>
      </c>
      <c r="Y165" s="107">
        <v>-51.628993975903619</v>
      </c>
      <c r="Z165" s="107">
        <v>-51.862848484848492</v>
      </c>
      <c r="AA165" s="107">
        <v>-52.142242424242433</v>
      </c>
      <c r="AB165" s="107">
        <v>-52.432545454545455</v>
      </c>
      <c r="AC165" s="107">
        <v>-52.730121212121212</v>
      </c>
      <c r="AD165" s="107">
        <v>-53.034606060606059</v>
      </c>
      <c r="AE165" s="107">
        <v>-53.343454545454541</v>
      </c>
      <c r="AF165" s="107">
        <v>-53.661636363636369</v>
      </c>
      <c r="AG165" s="107">
        <v>-53.972818456883516</v>
      </c>
      <c r="AH165" s="107">
        <v>-54.280231467473527</v>
      </c>
      <c r="AI165" s="107">
        <v>-54.587644478063538</v>
      </c>
      <c r="AJ165" s="107">
        <v>-54.895057488653556</v>
      </c>
      <c r="AK165" s="107">
        <v>-55.202470499243567</v>
      </c>
      <c r="AL165" s="107">
        <v>-55.509883509833585</v>
      </c>
      <c r="AM165" s="107">
        <v>-55.816757942511344</v>
      </c>
      <c r="AN165" s="107">
        <v>-56.110706505295006</v>
      </c>
      <c r="AO165" s="107">
        <v>-56.404655068078668</v>
      </c>
      <c r="AP165" s="107">
        <v>-56.69860363086233</v>
      </c>
      <c r="AQ165" s="107">
        <v>-56.992552193645992</v>
      </c>
      <c r="AR165" s="107">
        <v>-57.286500756429653</v>
      </c>
      <c r="AS165" s="107">
        <v>-57.580449319213315</v>
      </c>
      <c r="AT165" s="107">
        <v>-57.869193645990926</v>
      </c>
      <c r="AU165" s="107">
        <v>-58.15103933434191</v>
      </c>
      <c r="AV165" s="107">
        <v>-58.432885022692894</v>
      </c>
      <c r="AW165" s="107">
        <v>-58.714730711043877</v>
      </c>
      <c r="AX165" s="107">
        <v>-58.996576399394861</v>
      </c>
      <c r="AY165" s="107">
        <v>-59.278422087745845</v>
      </c>
      <c r="AZ165" s="107">
        <v>-59.560267776096829</v>
      </c>
      <c r="BA165" s="107">
        <v>-59.834139393939395</v>
      </c>
      <c r="BB165" s="107">
        <v>-60.106260606060609</v>
      </c>
      <c r="BC165" s="107">
        <v>-60.378381818181822</v>
      </c>
      <c r="BD165" s="107">
        <v>-60.650503030303028</v>
      </c>
      <c r="BE165" s="107">
        <v>-60.922624242424241</v>
      </c>
      <c r="BF165" s="107">
        <v>-61.194745454545455</v>
      </c>
      <c r="BG165" s="107">
        <v>-61.46743373493976</v>
      </c>
      <c r="BH165" s="107">
        <v>-61.742132530120479</v>
      </c>
      <c r="BI165" s="107">
        <v>-62.009278787878785</v>
      </c>
      <c r="BJ165" s="107">
        <v>-62.27049090909091</v>
      </c>
      <c r="BK165" s="107">
        <v>-62.539975757575753</v>
      </c>
      <c r="BL165" s="107">
        <v>-62.809648484848481</v>
      </c>
      <c r="BM165" s="107">
        <v>-63.077527272727274</v>
      </c>
      <c r="BN165" s="107">
        <v>-63.33999092284418</v>
      </c>
      <c r="BO165" s="107">
        <v>-63.598992435703479</v>
      </c>
      <c r="BP165" s="107">
        <v>-63.857993948562786</v>
      </c>
      <c r="BQ165" s="107">
        <v>-64.116995461422093</v>
      </c>
      <c r="BR165" s="107">
        <v>-64.375996974281392</v>
      </c>
      <c r="BS165" s="107">
        <v>-64.634998487140706</v>
      </c>
      <c r="BT165" s="107">
        <v>-64.894000000000005</v>
      </c>
    </row>
    <row r="166" spans="1:72" ht="9.9499999999999993" customHeight="1" thickBot="1" x14ac:dyDescent="0.4">
      <c r="A166" s="45" t="s">
        <v>49</v>
      </c>
      <c r="B166" s="35">
        <v>-21.72430303030303</v>
      </c>
      <c r="C166" s="35">
        <v>-21.350969696969695</v>
      </c>
      <c r="D166" s="107">
        <v>-21.090363636363637</v>
      </c>
      <c r="E166" s="107">
        <v>-20.949212121212121</v>
      </c>
      <c r="F166" s="107">
        <v>-20.888121212121213</v>
      </c>
      <c r="G166" s="107">
        <v>-21.239636363636365</v>
      </c>
      <c r="H166" s="107">
        <v>-21.41409638554217</v>
      </c>
      <c r="I166" s="107">
        <v>-21.353855421686745</v>
      </c>
      <c r="J166" s="107">
        <v>-21.363333333333333</v>
      </c>
      <c r="K166" s="107">
        <v>-21.400909090909092</v>
      </c>
      <c r="L166" s="107">
        <v>-21.491818181818182</v>
      </c>
      <c r="M166" s="107">
        <v>-21.601149773071104</v>
      </c>
      <c r="N166" s="107">
        <v>-21.731255673222389</v>
      </c>
      <c r="O166" s="107">
        <v>-21.861361573373674</v>
      </c>
      <c r="P166" s="107">
        <v>-21.99146747352496</v>
      </c>
      <c r="Q166" s="107">
        <v>-22.121573373676249</v>
      </c>
      <c r="R166" s="107">
        <v>-22.251679273827534</v>
      </c>
      <c r="S166" s="107">
        <v>-22.38178517397882</v>
      </c>
      <c r="T166" s="107">
        <v>-22.504242424242424</v>
      </c>
      <c r="U166" s="107">
        <v>-22.624181818181821</v>
      </c>
      <c r="V166" s="107">
        <v>-22.739333333333335</v>
      </c>
      <c r="W166" s="107">
        <v>-22.854484848484848</v>
      </c>
      <c r="X166" s="107">
        <v>-22.969636363636365</v>
      </c>
      <c r="Y166" s="107">
        <v>-23.095120481927712</v>
      </c>
      <c r="Z166" s="107">
        <v>-23.224848484848486</v>
      </c>
      <c r="AA166" s="107">
        <v>-23.364242424242427</v>
      </c>
      <c r="AB166" s="107">
        <v>-23.503636363636364</v>
      </c>
      <c r="AC166" s="107">
        <v>-23.643030303030301</v>
      </c>
      <c r="AD166" s="107">
        <v>-23.782424242424241</v>
      </c>
      <c r="AE166" s="107">
        <v>-23.923636363636362</v>
      </c>
      <c r="AF166" s="107">
        <v>-24.06909090909091</v>
      </c>
      <c r="AG166" s="107">
        <v>-24.211452344931921</v>
      </c>
      <c r="AH166" s="107">
        <v>-24.352148260211802</v>
      </c>
      <c r="AI166" s="107">
        <v>-24.49284417549168</v>
      </c>
      <c r="AJ166" s="107">
        <v>-24.633540090771557</v>
      </c>
      <c r="AK166" s="107">
        <v>-24.774236006051439</v>
      </c>
      <c r="AL166" s="107">
        <v>-24.914931921331316</v>
      </c>
      <c r="AM166" s="107">
        <v>-25.055385779122542</v>
      </c>
      <c r="AN166" s="107">
        <v>-25.190030257186081</v>
      </c>
      <c r="AO166" s="107">
        <v>-25.324674735249623</v>
      </c>
      <c r="AP166" s="107">
        <v>-25.459319213313162</v>
      </c>
      <c r="AQ166" s="107">
        <v>-25.593963691376704</v>
      </c>
      <c r="AR166" s="107">
        <v>-25.728608169440243</v>
      </c>
      <c r="AS166" s="107">
        <v>-25.863252647503781</v>
      </c>
      <c r="AT166" s="107">
        <v>-25.994644478063542</v>
      </c>
      <c r="AU166" s="107">
        <v>-26.121724659606656</v>
      </c>
      <c r="AV166" s="107">
        <v>-26.248804841149774</v>
      </c>
      <c r="AW166" s="107">
        <v>-26.375885022692891</v>
      </c>
      <c r="AX166" s="107">
        <v>-26.502965204236009</v>
      </c>
      <c r="AY166" s="107">
        <v>-26.630045385779123</v>
      </c>
      <c r="AZ166" s="107">
        <v>-26.757125567322241</v>
      </c>
      <c r="BA166" s="107">
        <v>-26.876909090909091</v>
      </c>
      <c r="BB166" s="107">
        <v>-26.995090909090909</v>
      </c>
      <c r="BC166" s="107">
        <v>-27.113272727272729</v>
      </c>
      <c r="BD166" s="107">
        <v>-27.231454545454547</v>
      </c>
      <c r="BE166" s="107">
        <v>-27.349636363636364</v>
      </c>
      <c r="BF166" s="107">
        <v>-27.467818181818181</v>
      </c>
      <c r="BG166" s="107">
        <v>-27.586506024096384</v>
      </c>
      <c r="BH166" s="107">
        <v>-27.706987951807228</v>
      </c>
      <c r="BI166" s="107">
        <v>-27.82448484848485</v>
      </c>
      <c r="BJ166" s="107">
        <v>-27.939636363636364</v>
      </c>
      <c r="BK166" s="107">
        <v>-28.060303030303029</v>
      </c>
      <c r="BL166" s="107">
        <v>-28.18151515151515</v>
      </c>
      <c r="BM166" s="107">
        <v>-28.302727272727275</v>
      </c>
      <c r="BN166" s="107">
        <v>-28.421981845688354</v>
      </c>
      <c r="BO166" s="107">
        <v>-28.539984871406961</v>
      </c>
      <c r="BP166" s="107">
        <v>-28.657987897125569</v>
      </c>
      <c r="BQ166" s="107">
        <v>-28.775990922844176</v>
      </c>
      <c r="BR166" s="107">
        <v>-28.893993948562784</v>
      </c>
      <c r="BS166" s="107">
        <v>-29.011996974281391</v>
      </c>
      <c r="BT166" s="107">
        <v>-29.13</v>
      </c>
    </row>
    <row r="167" spans="1:72" ht="9.9499999999999993" customHeight="1" thickBot="1" x14ac:dyDescent="0.4">
      <c r="A167" s="45" t="s">
        <v>78</v>
      </c>
      <c r="B167" s="35">
        <v>-38.512484848484846</v>
      </c>
      <c r="C167" s="35">
        <v>-37.55684848484848</v>
      </c>
      <c r="D167" s="107">
        <v>-36.653818181818181</v>
      </c>
      <c r="E167" s="107">
        <v>-35.821575757575751</v>
      </c>
      <c r="F167" s="107">
        <v>-35.031515151515151</v>
      </c>
      <c r="G167" s="107">
        <v>-34.425454545454542</v>
      </c>
      <c r="H167" s="107">
        <v>-33.800240963855423</v>
      </c>
      <c r="I167" s="107">
        <v>-33.149638554216871</v>
      </c>
      <c r="J167" s="107">
        <v>-32.556666666666665</v>
      </c>
      <c r="K167" s="107">
        <v>-31.989418181818181</v>
      </c>
      <c r="L167" s="107">
        <v>-31.484569696969697</v>
      </c>
      <c r="M167" s="107">
        <v>-31.045993948562781</v>
      </c>
      <c r="N167" s="107">
        <v>-30.682151285930406</v>
      </c>
      <c r="O167" s="107">
        <v>-30.31830862329803</v>
      </c>
      <c r="P167" s="107">
        <v>-29.954465960665654</v>
      </c>
      <c r="Q167" s="107">
        <v>-29.590623298033279</v>
      </c>
      <c r="R167" s="107">
        <v>-29.226780635400907</v>
      </c>
      <c r="S167" s="107">
        <v>-28.862937972768528</v>
      </c>
      <c r="T167" s="107">
        <v>-28.662412121212121</v>
      </c>
      <c r="U167" s="107">
        <v>-28.51087272727273</v>
      </c>
      <c r="V167" s="107">
        <v>-28.4436</v>
      </c>
      <c r="W167" s="107">
        <v>-28.426218181818179</v>
      </c>
      <c r="X167" s="107">
        <v>-28.448036363636362</v>
      </c>
      <c r="Y167" s="107">
        <v>-28.533873493975904</v>
      </c>
      <c r="Z167" s="107">
        <v>-28.638000000000002</v>
      </c>
      <c r="AA167" s="107">
        <v>-28.778000000000002</v>
      </c>
      <c r="AB167" s="107">
        <v>-28.928909090909091</v>
      </c>
      <c r="AC167" s="107">
        <v>-29.087090909090907</v>
      </c>
      <c r="AD167" s="107">
        <v>-29.252181818181818</v>
      </c>
      <c r="AE167" s="107">
        <v>-29.419818181818179</v>
      </c>
      <c r="AF167" s="107">
        <v>-29.592545454545455</v>
      </c>
      <c r="AG167" s="107">
        <v>-29.761366111951592</v>
      </c>
      <c r="AH167" s="107">
        <v>-29.928083207261729</v>
      </c>
      <c r="AI167" s="107">
        <v>-30.094800302571862</v>
      </c>
      <c r="AJ167" s="107">
        <v>-30.261517397881999</v>
      </c>
      <c r="AK167" s="107">
        <v>-30.428234493192136</v>
      </c>
      <c r="AL167" s="107">
        <v>-30.594951588502273</v>
      </c>
      <c r="AM167" s="107">
        <v>-30.761372163388806</v>
      </c>
      <c r="AN167" s="107">
        <v>-30.920676248108929</v>
      </c>
      <c r="AO167" s="107">
        <v>-31.079980332829049</v>
      </c>
      <c r="AP167" s="107">
        <v>-31.239284417549168</v>
      </c>
      <c r="AQ167" s="107">
        <v>-31.398588502269288</v>
      </c>
      <c r="AR167" s="107">
        <v>-31.557892586989411</v>
      </c>
      <c r="AS167" s="107">
        <v>-31.71719667170953</v>
      </c>
      <c r="AT167" s="107">
        <v>-31.87454916792738</v>
      </c>
      <c r="AU167" s="107">
        <v>-32.029314674735247</v>
      </c>
      <c r="AV167" s="107">
        <v>-32.184080181543116</v>
      </c>
      <c r="AW167" s="107">
        <v>-32.338845688350986</v>
      </c>
      <c r="AX167" s="107">
        <v>-32.493611195158856</v>
      </c>
      <c r="AY167" s="107">
        <v>-32.648376701966718</v>
      </c>
      <c r="AZ167" s="107">
        <v>-32.803142208774588</v>
      </c>
      <c r="BA167" s="107">
        <v>-32.957230303030308</v>
      </c>
      <c r="BB167" s="107">
        <v>-33.111169696969704</v>
      </c>
      <c r="BC167" s="107">
        <v>-33.265109090909093</v>
      </c>
      <c r="BD167" s="107">
        <v>-33.419048484848489</v>
      </c>
      <c r="BE167" s="107">
        <v>-33.572987878787885</v>
      </c>
      <c r="BF167" s="107">
        <v>-33.726927272727274</v>
      </c>
      <c r="BG167" s="107">
        <v>-33.880927710843373</v>
      </c>
      <c r="BH167" s="107">
        <v>-34.035144578313258</v>
      </c>
      <c r="BI167" s="107">
        <v>-34.184793939393941</v>
      </c>
      <c r="BJ167" s="107">
        <v>-34.33085454545455</v>
      </c>
      <c r="BK167" s="107">
        <v>-34.479672727272728</v>
      </c>
      <c r="BL167" s="107">
        <v>-34.628133333333331</v>
      </c>
      <c r="BM167" s="107">
        <v>-34.774799999999999</v>
      </c>
      <c r="BN167" s="107">
        <v>-34.918009077155823</v>
      </c>
      <c r="BO167" s="107">
        <v>-35.059007564296522</v>
      </c>
      <c r="BP167" s="107">
        <v>-35.200006051437214</v>
      </c>
      <c r="BQ167" s="107">
        <v>-35.341004538577913</v>
      </c>
      <c r="BR167" s="107">
        <v>-35.482003025718605</v>
      </c>
      <c r="BS167" s="107">
        <v>-35.623001512859304</v>
      </c>
      <c r="BT167" s="107">
        <v>-35.763999999999996</v>
      </c>
    </row>
    <row r="168" spans="1:72" ht="9.9499999999999993" customHeight="1" thickBot="1" x14ac:dyDescent="0.4">
      <c r="A168" s="45" t="s">
        <v>90</v>
      </c>
      <c r="B168" s="35">
        <v>-143.49206060606059</v>
      </c>
      <c r="C168" s="35">
        <v>-138.9310909090909</v>
      </c>
      <c r="D168" s="107">
        <v>-134.51290909090909</v>
      </c>
      <c r="E168" s="107">
        <v>-130.23187878787877</v>
      </c>
      <c r="F168" s="107">
        <v>-125.95890909090909</v>
      </c>
      <c r="G168" s="107">
        <v>-121.19527272727272</v>
      </c>
      <c r="H168" s="107">
        <v>-116.98277108433736</v>
      </c>
      <c r="I168" s="107">
        <v>-113.50084337349398</v>
      </c>
      <c r="J168" s="107">
        <v>-110.11933333333334</v>
      </c>
      <c r="K168" s="107">
        <v>-106.78672727272728</v>
      </c>
      <c r="L168" s="107">
        <v>-103.59278787878789</v>
      </c>
      <c r="M168" s="107">
        <v>-100.63860816944025</v>
      </c>
      <c r="N168" s="107">
        <v>-97.954795763993957</v>
      </c>
      <c r="O168" s="107">
        <v>-95.270983358547653</v>
      </c>
      <c r="P168" s="107">
        <v>-92.587170953101364</v>
      </c>
      <c r="Q168" s="107">
        <v>-89.90335854765506</v>
      </c>
      <c r="R168" s="107">
        <v>-87.21954614220877</v>
      </c>
      <c r="S168" s="107">
        <v>-84.535733736762467</v>
      </c>
      <c r="T168" s="107">
        <v>-82.314909090909083</v>
      </c>
      <c r="U168" s="107">
        <v>-80.208909090909088</v>
      </c>
      <c r="V168" s="107">
        <v>-78.251333333333335</v>
      </c>
      <c r="W168" s="107">
        <v>-76.354848484848489</v>
      </c>
      <c r="X168" s="107">
        <v>-74.506363636363631</v>
      </c>
      <c r="Y168" s="107">
        <v>-72.788614457831329</v>
      </c>
      <c r="Z168" s="107">
        <v>-71.108484848484849</v>
      </c>
      <c r="AA168" s="107">
        <v>-69.50242424242424</v>
      </c>
      <c r="AB168" s="107">
        <v>-67.976363636363644</v>
      </c>
      <c r="AC168" s="107">
        <v>-66.503636363636375</v>
      </c>
      <c r="AD168" s="107">
        <v>-65.157575757575756</v>
      </c>
      <c r="AE168" s="107">
        <v>-63.856363636363632</v>
      </c>
      <c r="AF168" s="107">
        <v>-62.644242424242421</v>
      </c>
      <c r="AG168" s="107">
        <v>-61.562133131618758</v>
      </c>
      <c r="AH168" s="107">
        <v>-60.55003025718608</v>
      </c>
      <c r="AI168" s="107">
        <v>-59.537927382753402</v>
      </c>
      <c r="AJ168" s="107">
        <v>-58.525824508320724</v>
      </c>
      <c r="AK168" s="107">
        <v>-57.513721633888053</v>
      </c>
      <c r="AL168" s="107">
        <v>-56.501618759455376</v>
      </c>
      <c r="AM168" s="107">
        <v>-55.49774583963692</v>
      </c>
      <c r="AN168" s="107">
        <v>-54.691391830559759</v>
      </c>
      <c r="AO168" s="107">
        <v>-53.885037821482605</v>
      </c>
      <c r="AP168" s="107">
        <v>-53.078683812405451</v>
      </c>
      <c r="AQ168" s="107">
        <v>-52.272329803328297</v>
      </c>
      <c r="AR168" s="107">
        <v>-51.465975794251143</v>
      </c>
      <c r="AS168" s="107">
        <v>-50.659621785173982</v>
      </c>
      <c r="AT168" s="107">
        <v>-49.940438729198192</v>
      </c>
      <c r="AU168" s="107">
        <v>-49.336807866868384</v>
      </c>
      <c r="AV168" s="107">
        <v>-48.733177004538582</v>
      </c>
      <c r="AW168" s="107">
        <v>-48.129546142208774</v>
      </c>
      <c r="AX168" s="107">
        <v>-47.525915279878973</v>
      </c>
      <c r="AY168" s="107">
        <v>-46.922284417549164</v>
      </c>
      <c r="AZ168" s="107">
        <v>-46.318653555219363</v>
      </c>
      <c r="BA168" s="107">
        <v>-46.0000303030303</v>
      </c>
      <c r="BB168" s="107">
        <v>-45.743969696969693</v>
      </c>
      <c r="BC168" s="107">
        <v>-45.487909090909092</v>
      </c>
      <c r="BD168" s="107">
        <v>-45.231848484848484</v>
      </c>
      <c r="BE168" s="107">
        <v>-44.975787878787877</v>
      </c>
      <c r="BF168" s="107">
        <v>-44.719727272727269</v>
      </c>
      <c r="BG168" s="107">
        <v>-44.517879518072284</v>
      </c>
      <c r="BH168" s="107">
        <v>-44.508240963855421</v>
      </c>
      <c r="BI168" s="107">
        <v>-44.531830303030304</v>
      </c>
      <c r="BJ168" s="107">
        <v>-44.581527272727271</v>
      </c>
      <c r="BK168" s="107">
        <v>-44.676448484848486</v>
      </c>
      <c r="BL168" s="107">
        <v>-44.783090909090909</v>
      </c>
      <c r="BM168" s="107">
        <v>-44.910363636363634</v>
      </c>
      <c r="BN168" s="107">
        <v>-45.051730711043874</v>
      </c>
      <c r="BO168" s="107">
        <v>-45.202108925869894</v>
      </c>
      <c r="BP168" s="107">
        <v>-45.352487140695914</v>
      </c>
      <c r="BQ168" s="107">
        <v>-45.502865355521941</v>
      </c>
      <c r="BR168" s="107">
        <v>-45.653243570347961</v>
      </c>
      <c r="BS168" s="107">
        <v>-45.803621785173981</v>
      </c>
      <c r="BT168" s="107">
        <v>-45.954000000000001</v>
      </c>
    </row>
    <row r="169" spans="1:72" ht="9.9499999999999993" customHeight="1" thickBot="1" x14ac:dyDescent="0.4">
      <c r="A169" s="45" t="s">
        <v>1</v>
      </c>
      <c r="B169" s="35">
        <v>-18.888727272727273</v>
      </c>
      <c r="C169" s="35">
        <v>-18.91151515151515</v>
      </c>
      <c r="D169" s="107">
        <v>-18.941818181818181</v>
      </c>
      <c r="E169" s="107">
        <v>-18.976545454545455</v>
      </c>
      <c r="F169" s="107">
        <v>-19.008545454545455</v>
      </c>
      <c r="G169" s="107">
        <v>-18.990363636363636</v>
      </c>
      <c r="H169" s="107">
        <v>-18.995542168674699</v>
      </c>
      <c r="I169" s="107">
        <v>-19.031686746987951</v>
      </c>
      <c r="J169" s="107">
        <v>-19.063333333333333</v>
      </c>
      <c r="K169" s="107">
        <v>-19.093636363636364</v>
      </c>
      <c r="L169" s="107">
        <v>-19.123939393939395</v>
      </c>
      <c r="M169" s="107">
        <v>-19.142844175491678</v>
      </c>
      <c r="N169" s="107">
        <v>-19.148895612708017</v>
      </c>
      <c r="O169" s="107">
        <v>-19.154947049924356</v>
      </c>
      <c r="P169" s="107">
        <v>-19.160998487140695</v>
      </c>
      <c r="Q169" s="107">
        <v>-19.167049924357034</v>
      </c>
      <c r="R169" s="107">
        <v>-19.173101361573373</v>
      </c>
      <c r="S169" s="107">
        <v>-19.179152798789712</v>
      </c>
      <c r="T169" s="107">
        <v>-19.153939393939392</v>
      </c>
      <c r="U169" s="107">
        <v>-19.123636363636361</v>
      </c>
      <c r="V169" s="107">
        <v>-19.09333333333333</v>
      </c>
      <c r="W169" s="107">
        <v>-19.06642424242424</v>
      </c>
      <c r="X169" s="107">
        <v>-19.042181818181817</v>
      </c>
      <c r="Y169" s="107">
        <v>-19.034518072289156</v>
      </c>
      <c r="Z169" s="107">
        <v>-19.031515151515151</v>
      </c>
      <c r="AA169" s="107">
        <v>-19.037575757575759</v>
      </c>
      <c r="AB169" s="107">
        <v>-19.047272727272727</v>
      </c>
      <c r="AC169" s="107">
        <v>-19.059393939393939</v>
      </c>
      <c r="AD169" s="107">
        <v>-19.07151515151515</v>
      </c>
      <c r="AE169" s="107">
        <v>-19.085454545454542</v>
      </c>
      <c r="AF169" s="107">
        <v>-19.103636363636362</v>
      </c>
      <c r="AG169" s="107">
        <v>-19.12376701966717</v>
      </c>
      <c r="AH169" s="107">
        <v>-19.144947049924358</v>
      </c>
      <c r="AI169" s="107">
        <v>-19.166127080181543</v>
      </c>
      <c r="AJ169" s="107">
        <v>-19.187307110438727</v>
      </c>
      <c r="AK169" s="107">
        <v>-19.208487140695915</v>
      </c>
      <c r="AL169" s="107">
        <v>-19.2296671709531</v>
      </c>
      <c r="AM169" s="107">
        <v>-19.250786686838126</v>
      </c>
      <c r="AN169" s="107">
        <v>-19.270453857791225</v>
      </c>
      <c r="AO169" s="107">
        <v>-19.290121028744327</v>
      </c>
      <c r="AP169" s="107">
        <v>-19.309788199697426</v>
      </c>
      <c r="AQ169" s="107">
        <v>-19.329455370650528</v>
      </c>
      <c r="AR169" s="107">
        <v>-19.349122541603631</v>
      </c>
      <c r="AS169" s="107">
        <v>-19.36878971255673</v>
      </c>
      <c r="AT169" s="107">
        <v>-19.388456883509832</v>
      </c>
      <c r="AU169" s="107">
        <v>-19.408124054462935</v>
      </c>
      <c r="AV169" s="107">
        <v>-19.427791225416037</v>
      </c>
      <c r="AW169" s="107">
        <v>-19.447458396369139</v>
      </c>
      <c r="AX169" s="107">
        <v>-19.467125567322238</v>
      </c>
      <c r="AY169" s="107">
        <v>-19.486792738275341</v>
      </c>
      <c r="AZ169" s="107">
        <v>-19.506459909228443</v>
      </c>
      <c r="BA169" s="107">
        <v>-19.526151515151518</v>
      </c>
      <c r="BB169" s="107">
        <v>-19.545848484848488</v>
      </c>
      <c r="BC169" s="107">
        <v>-19.565545454545457</v>
      </c>
      <c r="BD169" s="107">
        <v>-19.585242424242427</v>
      </c>
      <c r="BE169" s="107">
        <v>-19.604939393939397</v>
      </c>
      <c r="BF169" s="107">
        <v>-19.624636363636366</v>
      </c>
      <c r="BG169" s="107">
        <v>-19.643975903614457</v>
      </c>
      <c r="BH169" s="107">
        <v>-19.662048192771085</v>
      </c>
      <c r="BI169" s="107">
        <v>-19.680181818181818</v>
      </c>
      <c r="BJ169" s="107">
        <v>-19.698363636363634</v>
      </c>
      <c r="BK169" s="107">
        <v>-19.716545454545454</v>
      </c>
      <c r="BL169" s="107">
        <v>-19.734727272727273</v>
      </c>
      <c r="BM169" s="107">
        <v>-19.752909090909093</v>
      </c>
      <c r="BN169" s="107">
        <v>-19.771074130105902</v>
      </c>
      <c r="BO169" s="107">
        <v>-19.789228441754918</v>
      </c>
      <c r="BP169" s="107">
        <v>-19.807382753403935</v>
      </c>
      <c r="BQ169" s="107">
        <v>-19.825537065052949</v>
      </c>
      <c r="BR169" s="107">
        <v>-19.843691376701965</v>
      </c>
      <c r="BS169" s="107">
        <v>-19.861845688350982</v>
      </c>
      <c r="BT169" s="107">
        <v>-19.88</v>
      </c>
    </row>
    <row r="170" spans="1:72" ht="9.9499999999999993" customHeight="1" thickBot="1" x14ac:dyDescent="0.4">
      <c r="A170" s="45" t="s">
        <v>91</v>
      </c>
      <c r="B170" s="35">
        <v>-60.236787878787872</v>
      </c>
      <c r="C170" s="35">
        <v>-58.907818181818179</v>
      </c>
      <c r="D170" s="107">
        <v>-57.744181818181815</v>
      </c>
      <c r="E170" s="107">
        <v>-56.770787878787878</v>
      </c>
      <c r="F170" s="107">
        <v>-55.919636363636364</v>
      </c>
      <c r="G170" s="107">
        <v>-55.665090909090907</v>
      </c>
      <c r="H170" s="107">
        <v>-55.214337349397596</v>
      </c>
      <c r="I170" s="107">
        <v>-54.503493975903616</v>
      </c>
      <c r="J170" s="107">
        <v>-53.92</v>
      </c>
      <c r="K170" s="107">
        <v>-53.390327272727269</v>
      </c>
      <c r="L170" s="107">
        <v>-52.976387878787875</v>
      </c>
      <c r="M170" s="107">
        <v>-52.647143721633888</v>
      </c>
      <c r="N170" s="107">
        <v>-52.413406959152795</v>
      </c>
      <c r="O170" s="107">
        <v>-52.179670196671708</v>
      </c>
      <c r="P170" s="107">
        <v>-51.945933434190614</v>
      </c>
      <c r="Q170" s="107">
        <v>-51.712196671709528</v>
      </c>
      <c r="R170" s="107">
        <v>-51.478459909228441</v>
      </c>
      <c r="S170" s="107">
        <v>-51.244723146747347</v>
      </c>
      <c r="T170" s="107">
        <v>-51.166654545454541</v>
      </c>
      <c r="U170" s="107">
        <v>-51.135054545454544</v>
      </c>
      <c r="V170" s="107">
        <v>-51.182933333333331</v>
      </c>
      <c r="W170" s="107">
        <v>-51.28070303030303</v>
      </c>
      <c r="X170" s="107">
        <v>-51.417672727272731</v>
      </c>
      <c r="Y170" s="107">
        <v>-51.628993975903619</v>
      </c>
      <c r="Z170" s="107">
        <v>-51.862848484848492</v>
      </c>
      <c r="AA170" s="107">
        <v>-52.142242424242433</v>
      </c>
      <c r="AB170" s="107">
        <v>-52.432545454545455</v>
      </c>
      <c r="AC170" s="107">
        <v>-52.730121212121212</v>
      </c>
      <c r="AD170" s="107">
        <v>-53.034606060606059</v>
      </c>
      <c r="AE170" s="107">
        <v>-53.343454545454541</v>
      </c>
      <c r="AF170" s="107">
        <v>-53.661636363636369</v>
      </c>
      <c r="AG170" s="107">
        <v>-53.972818456883516</v>
      </c>
      <c r="AH170" s="107">
        <v>-54.280231467473527</v>
      </c>
      <c r="AI170" s="107">
        <v>-54.587644478063538</v>
      </c>
      <c r="AJ170" s="107">
        <v>-54.895057488653556</v>
      </c>
      <c r="AK170" s="107">
        <v>-55.202470499243567</v>
      </c>
      <c r="AL170" s="107">
        <v>-55.509883509833585</v>
      </c>
      <c r="AM170" s="107">
        <v>-55.816757942511344</v>
      </c>
      <c r="AN170" s="107">
        <v>-56.110706505295006</v>
      </c>
      <c r="AO170" s="107">
        <v>-56.404655068078668</v>
      </c>
      <c r="AP170" s="107">
        <v>-56.69860363086233</v>
      </c>
      <c r="AQ170" s="107">
        <v>-56.992552193645992</v>
      </c>
      <c r="AR170" s="107">
        <v>-57.286500756429653</v>
      </c>
      <c r="AS170" s="107">
        <v>-57.580449319213315</v>
      </c>
      <c r="AT170" s="107">
        <v>-57.869193645990926</v>
      </c>
      <c r="AU170" s="107">
        <v>-58.15103933434191</v>
      </c>
      <c r="AV170" s="107">
        <v>-58.432885022692894</v>
      </c>
      <c r="AW170" s="107">
        <v>-58.714730711043877</v>
      </c>
      <c r="AX170" s="107">
        <v>-58.996576399394861</v>
      </c>
      <c r="AY170" s="107">
        <v>-59.278422087745845</v>
      </c>
      <c r="AZ170" s="107">
        <v>-59.560267776096829</v>
      </c>
      <c r="BA170" s="107">
        <v>-59.834139393939395</v>
      </c>
      <c r="BB170" s="107">
        <v>-60.106260606060609</v>
      </c>
      <c r="BC170" s="107">
        <v>-60.378381818181822</v>
      </c>
      <c r="BD170" s="107">
        <v>-60.650503030303028</v>
      </c>
      <c r="BE170" s="107">
        <v>-60.922624242424241</v>
      </c>
      <c r="BF170" s="107">
        <v>-61.194745454545455</v>
      </c>
      <c r="BG170" s="107">
        <v>-61.46743373493976</v>
      </c>
      <c r="BH170" s="107">
        <v>-61.742132530120479</v>
      </c>
      <c r="BI170" s="107">
        <v>-62.009278787878785</v>
      </c>
      <c r="BJ170" s="107">
        <v>-62.27049090909091</v>
      </c>
      <c r="BK170" s="107">
        <v>-62.539975757575753</v>
      </c>
      <c r="BL170" s="107">
        <v>-62.809648484848481</v>
      </c>
      <c r="BM170" s="107">
        <v>-63.077527272727274</v>
      </c>
      <c r="BN170" s="107">
        <v>-63.33999092284418</v>
      </c>
      <c r="BO170" s="107">
        <v>-63.598992435703479</v>
      </c>
      <c r="BP170" s="107">
        <v>-63.857993948562786</v>
      </c>
      <c r="BQ170" s="107">
        <v>-64.116995461422093</v>
      </c>
      <c r="BR170" s="107">
        <v>-64.375996974281392</v>
      </c>
      <c r="BS170" s="107">
        <v>-64.634998487140706</v>
      </c>
      <c r="BT170" s="107">
        <v>-64.894000000000005</v>
      </c>
    </row>
    <row r="171" spans="1:72" ht="9.9499999999999993" customHeight="1" thickBot="1" x14ac:dyDescent="0.4">
      <c r="A171" s="45" t="s">
        <v>79</v>
      </c>
      <c r="B171" s="35">
        <v>-38.512484848484846</v>
      </c>
      <c r="C171" s="35">
        <v>-37.55684848484848</v>
      </c>
      <c r="D171" s="107">
        <v>-36.653818181818181</v>
      </c>
      <c r="E171" s="107">
        <v>-35.821575757575751</v>
      </c>
      <c r="F171" s="107">
        <v>-35.031515151515151</v>
      </c>
      <c r="G171" s="107">
        <v>-34.425454545454542</v>
      </c>
      <c r="H171" s="107">
        <v>-33.800240963855423</v>
      </c>
      <c r="I171" s="107">
        <v>-33.149638554216871</v>
      </c>
      <c r="J171" s="107">
        <v>-32.556666666666665</v>
      </c>
      <c r="K171" s="107">
        <v>-31.989418181818181</v>
      </c>
      <c r="L171" s="107">
        <v>-31.484569696969697</v>
      </c>
      <c r="M171" s="107">
        <v>-31.045993948562781</v>
      </c>
      <c r="N171" s="107">
        <v>-30.682151285930406</v>
      </c>
      <c r="O171" s="107">
        <v>-30.31830862329803</v>
      </c>
      <c r="P171" s="107">
        <v>-29.954465960665654</v>
      </c>
      <c r="Q171" s="107">
        <v>-29.590623298033279</v>
      </c>
      <c r="R171" s="107">
        <v>-29.226780635400907</v>
      </c>
      <c r="S171" s="107">
        <v>-28.862937972768528</v>
      </c>
      <c r="T171" s="107">
        <v>-28.662412121212121</v>
      </c>
      <c r="U171" s="107">
        <v>-28.51087272727273</v>
      </c>
      <c r="V171" s="107">
        <v>-28.4436</v>
      </c>
      <c r="W171" s="107">
        <v>-28.426218181818179</v>
      </c>
      <c r="X171" s="107">
        <v>-28.448036363636362</v>
      </c>
      <c r="Y171" s="107">
        <v>-28.533873493975904</v>
      </c>
      <c r="Z171" s="107">
        <v>-28.638000000000002</v>
      </c>
      <c r="AA171" s="107">
        <v>-28.778000000000002</v>
      </c>
      <c r="AB171" s="107">
        <v>-28.928909090909091</v>
      </c>
      <c r="AC171" s="107">
        <v>-29.087090909090907</v>
      </c>
      <c r="AD171" s="107">
        <v>-29.252181818181818</v>
      </c>
      <c r="AE171" s="107">
        <v>-29.419818181818179</v>
      </c>
      <c r="AF171" s="107">
        <v>-29.592545454545455</v>
      </c>
      <c r="AG171" s="107">
        <v>-29.761366111951592</v>
      </c>
      <c r="AH171" s="107">
        <v>-29.928083207261729</v>
      </c>
      <c r="AI171" s="107">
        <v>-30.094800302571862</v>
      </c>
      <c r="AJ171" s="107">
        <v>-30.261517397881999</v>
      </c>
      <c r="AK171" s="107">
        <v>-30.428234493192136</v>
      </c>
      <c r="AL171" s="107">
        <v>-30.594951588502273</v>
      </c>
      <c r="AM171" s="107">
        <v>-30.761372163388806</v>
      </c>
      <c r="AN171" s="107">
        <v>-30.920676248108929</v>
      </c>
      <c r="AO171" s="107">
        <v>-31.079980332829049</v>
      </c>
      <c r="AP171" s="107">
        <v>-31.239284417549168</v>
      </c>
      <c r="AQ171" s="107">
        <v>-31.398588502269288</v>
      </c>
      <c r="AR171" s="107">
        <v>-31.557892586989411</v>
      </c>
      <c r="AS171" s="107">
        <v>-31.71719667170953</v>
      </c>
      <c r="AT171" s="107">
        <v>-31.87454916792738</v>
      </c>
      <c r="AU171" s="107">
        <v>-32.029314674735247</v>
      </c>
      <c r="AV171" s="107">
        <v>-32.184080181543116</v>
      </c>
      <c r="AW171" s="107">
        <v>-32.338845688350986</v>
      </c>
      <c r="AX171" s="107">
        <v>-32.493611195158856</v>
      </c>
      <c r="AY171" s="107">
        <v>-32.648376701966718</v>
      </c>
      <c r="AZ171" s="107">
        <v>-32.803142208774588</v>
      </c>
      <c r="BA171" s="107">
        <v>-32.957230303030308</v>
      </c>
      <c r="BB171" s="107">
        <v>-33.111169696969704</v>
      </c>
      <c r="BC171" s="107">
        <v>-33.265109090909093</v>
      </c>
      <c r="BD171" s="107">
        <v>-33.419048484848489</v>
      </c>
      <c r="BE171" s="107">
        <v>-33.572987878787885</v>
      </c>
      <c r="BF171" s="107">
        <v>-33.726927272727274</v>
      </c>
      <c r="BG171" s="107">
        <v>-33.880927710843373</v>
      </c>
      <c r="BH171" s="107">
        <v>-34.035144578313258</v>
      </c>
      <c r="BI171" s="107">
        <v>-34.184793939393941</v>
      </c>
      <c r="BJ171" s="107">
        <v>-34.33085454545455</v>
      </c>
      <c r="BK171" s="107">
        <v>-34.479672727272728</v>
      </c>
      <c r="BL171" s="107">
        <v>-34.628133333333331</v>
      </c>
      <c r="BM171" s="107">
        <v>-34.774799999999999</v>
      </c>
      <c r="BN171" s="107">
        <v>-34.918009077155823</v>
      </c>
      <c r="BO171" s="107">
        <v>-35.059007564296522</v>
      </c>
      <c r="BP171" s="107">
        <v>-35.200006051437214</v>
      </c>
      <c r="BQ171" s="107">
        <v>-35.341004538577913</v>
      </c>
      <c r="BR171" s="107">
        <v>-35.482003025718605</v>
      </c>
      <c r="BS171" s="107">
        <v>-35.623001512859304</v>
      </c>
      <c r="BT171" s="107">
        <v>-35.763999999999996</v>
      </c>
    </row>
    <row r="172" spans="1:72" ht="9.9499999999999993" customHeight="1" thickBot="1" x14ac:dyDescent="0.4">
      <c r="A172" s="45" t="s">
        <v>57</v>
      </c>
      <c r="B172" s="35">
        <v>-16.788181818181819</v>
      </c>
      <c r="C172" s="35">
        <v>-16.205878787878788</v>
      </c>
      <c r="D172" s="107">
        <v>-15.563454545454546</v>
      </c>
      <c r="E172" s="107">
        <v>-14.872363636363636</v>
      </c>
      <c r="F172" s="107">
        <v>-14.143393939393938</v>
      </c>
      <c r="G172" s="107">
        <v>-13.185818181818181</v>
      </c>
      <c r="H172" s="107">
        <v>-12.386144578313253</v>
      </c>
      <c r="I172" s="107">
        <v>-11.795783132530122</v>
      </c>
      <c r="J172" s="107">
        <v>-11.193333333333333</v>
      </c>
      <c r="K172" s="107">
        <v>-10.588509090909092</v>
      </c>
      <c r="L172" s="107">
        <v>-9.9927515151515163</v>
      </c>
      <c r="M172" s="107">
        <v>-9.4448441754916796</v>
      </c>
      <c r="N172" s="107">
        <v>-8.9508956127080186</v>
      </c>
      <c r="O172" s="107">
        <v>-8.4569470499243575</v>
      </c>
      <c r="P172" s="107">
        <v>-7.9629984871406956</v>
      </c>
      <c r="Q172" s="107">
        <v>-7.4690499243570336</v>
      </c>
      <c r="R172" s="107">
        <v>-6.9751013615733726</v>
      </c>
      <c r="S172" s="107">
        <v>-6.4811527987897115</v>
      </c>
      <c r="T172" s="107">
        <v>-6.1581696969696962</v>
      </c>
      <c r="U172" s="107">
        <v>-5.8866909090909081</v>
      </c>
      <c r="V172" s="107">
        <v>-5.7042666666666664</v>
      </c>
      <c r="W172" s="107">
        <v>-5.5717333333333325</v>
      </c>
      <c r="X172" s="107">
        <v>-5.4783999999999997</v>
      </c>
      <c r="Y172" s="107">
        <v>-5.4387530120481928</v>
      </c>
      <c r="Z172" s="107">
        <v>-5.4131515151515153</v>
      </c>
      <c r="AA172" s="107">
        <v>-5.4137575757575753</v>
      </c>
      <c r="AB172" s="107">
        <v>-5.425272727272727</v>
      </c>
      <c r="AC172" s="107">
        <v>-5.4440606060606065</v>
      </c>
      <c r="AD172" s="107">
        <v>-5.4697575757575763</v>
      </c>
      <c r="AE172" s="107">
        <v>-5.4961818181818183</v>
      </c>
      <c r="AF172" s="107">
        <v>-5.5234545454545456</v>
      </c>
      <c r="AG172" s="107">
        <v>-5.5499137670196674</v>
      </c>
      <c r="AH172" s="107">
        <v>-5.5759349470499249</v>
      </c>
      <c r="AI172" s="107">
        <v>-5.6019561270801814</v>
      </c>
      <c r="AJ172" s="107">
        <v>-5.6279773071104389</v>
      </c>
      <c r="AK172" s="107">
        <v>-5.6539984871406963</v>
      </c>
      <c r="AL172" s="107">
        <v>-5.6800196671709529</v>
      </c>
      <c r="AM172" s="107">
        <v>-5.7059863842662635</v>
      </c>
      <c r="AN172" s="107">
        <v>-5.7306459909228442</v>
      </c>
      <c r="AO172" s="107">
        <v>-5.7553055975794249</v>
      </c>
      <c r="AP172" s="107">
        <v>-5.7799652042360066</v>
      </c>
      <c r="AQ172" s="107">
        <v>-5.8046248108925873</v>
      </c>
      <c r="AR172" s="107">
        <v>-5.829284417549168</v>
      </c>
      <c r="AS172" s="107">
        <v>-5.8539440242057488</v>
      </c>
      <c r="AT172" s="107">
        <v>-5.8799046898638432</v>
      </c>
      <c r="AU172" s="107">
        <v>-5.9075900151285934</v>
      </c>
      <c r="AV172" s="107">
        <v>-5.9352753403933436</v>
      </c>
      <c r="AW172" s="107">
        <v>-5.9629606656580938</v>
      </c>
      <c r="AX172" s="107">
        <v>-5.990645990922844</v>
      </c>
      <c r="AY172" s="107">
        <v>-6.0183313161875951</v>
      </c>
      <c r="AZ172" s="107">
        <v>-6.0460166414523453</v>
      </c>
      <c r="BA172" s="107">
        <v>-6.0803212121212127</v>
      </c>
      <c r="BB172" s="107">
        <v>-6.1160787878787879</v>
      </c>
      <c r="BC172" s="107">
        <v>-6.151836363636364</v>
      </c>
      <c r="BD172" s="107">
        <v>-6.1875939393939392</v>
      </c>
      <c r="BE172" s="107">
        <v>-6.2233515151515153</v>
      </c>
      <c r="BF172" s="107">
        <v>-6.2591090909090914</v>
      </c>
      <c r="BG172" s="107">
        <v>-6.294421686746988</v>
      </c>
      <c r="BH172" s="107">
        <v>-6.3281566265060238</v>
      </c>
      <c r="BI172" s="107">
        <v>-6.3603090909090909</v>
      </c>
      <c r="BJ172" s="107">
        <v>-6.3912181818181821</v>
      </c>
      <c r="BK172" s="107">
        <v>-6.4193696969696976</v>
      </c>
      <c r="BL172" s="107">
        <v>-6.4466181818181818</v>
      </c>
      <c r="BM172" s="107">
        <v>-6.4720727272727272</v>
      </c>
      <c r="BN172" s="107">
        <v>-6.4960272314674734</v>
      </c>
      <c r="BO172" s="107">
        <v>-6.5190226928895614</v>
      </c>
      <c r="BP172" s="107">
        <v>-6.5420181543116493</v>
      </c>
      <c r="BQ172" s="107">
        <v>-6.5650136157337373</v>
      </c>
      <c r="BR172" s="107">
        <v>-6.5880090771558244</v>
      </c>
      <c r="BS172" s="107">
        <v>-6.6110045385779124</v>
      </c>
      <c r="BT172" s="107">
        <v>-6.6340000000000003</v>
      </c>
    </row>
    <row r="173" spans="1:72" ht="9.9499999999999993" customHeight="1" thickBot="1" x14ac:dyDescent="0.4">
      <c r="A173" s="45" t="s">
        <v>92</v>
      </c>
      <c r="B173" s="35">
        <v>-186.94066666666666</v>
      </c>
      <c r="C173" s="35">
        <v>-181.6330303030303</v>
      </c>
      <c r="D173" s="107">
        <v>-176.69363636363636</v>
      </c>
      <c r="E173" s="107">
        <v>-172.13030303030303</v>
      </c>
      <c r="F173" s="107">
        <v>-167.7351515151515</v>
      </c>
      <c r="G173" s="107">
        <v>-163.67454545454547</v>
      </c>
      <c r="H173" s="107">
        <v>-159.8109638554217</v>
      </c>
      <c r="I173" s="107">
        <v>-156.20855421686747</v>
      </c>
      <c r="J173" s="107">
        <v>-152.846</v>
      </c>
      <c r="K173" s="107">
        <v>-149.58854545454545</v>
      </c>
      <c r="L173" s="107">
        <v>-146.57642424242425</v>
      </c>
      <c r="M173" s="107">
        <v>-143.84090771558246</v>
      </c>
      <c r="N173" s="107">
        <v>-141.41730711043874</v>
      </c>
      <c r="O173" s="107">
        <v>-138.99370650529502</v>
      </c>
      <c r="P173" s="107">
        <v>-136.57010590015128</v>
      </c>
      <c r="Q173" s="107">
        <v>-134.14650529500756</v>
      </c>
      <c r="R173" s="107">
        <v>-131.72290468986381</v>
      </c>
      <c r="S173" s="107">
        <v>-129.29930408472009</v>
      </c>
      <c r="T173" s="107">
        <v>-127.32339393939394</v>
      </c>
      <c r="U173" s="107">
        <v>-125.45727272727274</v>
      </c>
      <c r="V173" s="107">
        <v>-123.73</v>
      </c>
      <c r="W173" s="107">
        <v>-122.06381818181818</v>
      </c>
      <c r="X173" s="107">
        <v>-120.44563636363635</v>
      </c>
      <c r="Y173" s="107">
        <v>-118.97885542168675</v>
      </c>
      <c r="Z173" s="107">
        <v>-117.55818181818184</v>
      </c>
      <c r="AA173" s="107">
        <v>-116.23090909090909</v>
      </c>
      <c r="AB173" s="107">
        <v>-114.98363636363636</v>
      </c>
      <c r="AC173" s="107">
        <v>-113.78969696969696</v>
      </c>
      <c r="AD173" s="107">
        <v>-112.72242424242424</v>
      </c>
      <c r="AE173" s="107">
        <v>-111.70363636363636</v>
      </c>
      <c r="AF173" s="107">
        <v>-110.78242424242426</v>
      </c>
      <c r="AG173" s="107">
        <v>-109.98503782148261</v>
      </c>
      <c r="AH173" s="107">
        <v>-109.25432677760969</v>
      </c>
      <c r="AI173" s="107">
        <v>-108.52361573373678</v>
      </c>
      <c r="AJ173" s="107">
        <v>-107.79290468986385</v>
      </c>
      <c r="AK173" s="107">
        <v>-107.06219364599093</v>
      </c>
      <c r="AL173" s="107">
        <v>-106.33148260211802</v>
      </c>
      <c r="AM173" s="107">
        <v>-105.60851739788201</v>
      </c>
      <c r="AN173" s="107">
        <v>-105.07145234493193</v>
      </c>
      <c r="AO173" s="107">
        <v>-104.53438729198186</v>
      </c>
      <c r="AP173" s="107">
        <v>-103.99732223903179</v>
      </c>
      <c r="AQ173" s="107">
        <v>-103.46025718608171</v>
      </c>
      <c r="AR173" s="107">
        <v>-102.92319213313164</v>
      </c>
      <c r="AS173" s="107">
        <v>-102.38612708018155</v>
      </c>
      <c r="AT173" s="107">
        <v>-101.92972768532528</v>
      </c>
      <c r="AU173" s="107">
        <v>-101.58025718608171</v>
      </c>
      <c r="AV173" s="107">
        <v>-101.23078668683813</v>
      </c>
      <c r="AW173" s="107">
        <v>-100.88131618759456</v>
      </c>
      <c r="AX173" s="107">
        <v>-100.531845688351</v>
      </c>
      <c r="AY173" s="107">
        <v>-100.18237518910742</v>
      </c>
      <c r="AZ173" s="107">
        <v>-99.832904689863852</v>
      </c>
      <c r="BA173" s="107">
        <v>-99.75384848484849</v>
      </c>
      <c r="BB173" s="107">
        <v>-99.734151515151524</v>
      </c>
      <c r="BC173" s="107">
        <v>-99.714454545454544</v>
      </c>
      <c r="BD173" s="107">
        <v>-99.694757575757578</v>
      </c>
      <c r="BE173" s="107">
        <v>-99.675060606060597</v>
      </c>
      <c r="BF173" s="107">
        <v>-99.655363636363631</v>
      </c>
      <c r="BG173" s="107">
        <v>-99.690891566265051</v>
      </c>
      <c r="BH173" s="107">
        <v>-99.922216867469871</v>
      </c>
      <c r="BI173" s="107">
        <v>-100.1808</v>
      </c>
      <c r="BJ173" s="107">
        <v>-100.46079999999999</v>
      </c>
      <c r="BK173" s="107">
        <v>-100.79705454545453</v>
      </c>
      <c r="BL173" s="107">
        <v>-101.1461212121212</v>
      </c>
      <c r="BM173" s="107">
        <v>-101.51581818181819</v>
      </c>
      <c r="BN173" s="107">
        <v>-101.89569440242059</v>
      </c>
      <c r="BO173" s="107">
        <v>-102.28207866868382</v>
      </c>
      <c r="BP173" s="107">
        <v>-102.66846293494706</v>
      </c>
      <c r="BQ173" s="107">
        <v>-103.05484720121029</v>
      </c>
      <c r="BR173" s="107">
        <v>-103.44123146747353</v>
      </c>
      <c r="BS173" s="107">
        <v>-103.82761573373676</v>
      </c>
      <c r="BT173" s="107">
        <v>-104.214</v>
      </c>
    </row>
    <row r="174" spans="1:72" ht="9.9499999999999993" customHeight="1" thickBot="1" x14ac:dyDescent="0.4">
      <c r="A174" s="45" t="s">
        <v>70</v>
      </c>
      <c r="B174" s="35">
        <v>-82.608181818181805</v>
      </c>
      <c r="C174" s="35">
        <v>-80.141030303030306</v>
      </c>
      <c r="D174" s="107">
        <v>-77.801636363636362</v>
      </c>
      <c r="E174" s="107">
        <v>-75.590545454545449</v>
      </c>
      <c r="F174" s="107">
        <v>-73.423515151515147</v>
      </c>
      <c r="G174" s="107">
        <v>-71.217454545454544</v>
      </c>
      <c r="H174" s="107">
        <v>-69.198433734939769</v>
      </c>
      <c r="I174" s="107">
        <v>-67.427349397590362</v>
      </c>
      <c r="J174" s="107">
        <v>-65.74133333333333</v>
      </c>
      <c r="K174" s="107">
        <v>-64.093818181818179</v>
      </c>
      <c r="L174" s="107">
        <v>-62.542303030303032</v>
      </c>
      <c r="M174" s="107">
        <v>-61.119878971255673</v>
      </c>
      <c r="N174" s="107">
        <v>-59.843025718608168</v>
      </c>
      <c r="O174" s="107">
        <v>-58.566172465960662</v>
      </c>
      <c r="P174" s="107">
        <v>-57.289319213313163</v>
      </c>
      <c r="Q174" s="107">
        <v>-56.012465960665658</v>
      </c>
      <c r="R174" s="107">
        <v>-54.735612708018152</v>
      </c>
      <c r="S174" s="107">
        <v>-53.458759455370647</v>
      </c>
      <c r="T174" s="107">
        <v>-52.409575757575759</v>
      </c>
      <c r="U174" s="107">
        <v>-51.416545454545449</v>
      </c>
      <c r="V174" s="107">
        <v>-50.495333333333335</v>
      </c>
      <c r="W174" s="107">
        <v>-49.604666666666667</v>
      </c>
      <c r="X174" s="107">
        <v>-48.737999999999992</v>
      </c>
      <c r="Y174" s="107">
        <v>-47.941867469879519</v>
      </c>
      <c r="Z174" s="107">
        <v>-47.166666666666671</v>
      </c>
      <c r="AA174" s="107">
        <v>-46.433333333333337</v>
      </c>
      <c r="AB174" s="107">
        <v>-45.74</v>
      </c>
      <c r="AC174" s="107">
        <v>-45.073333333333331</v>
      </c>
      <c r="AD174" s="107">
        <v>-44.47</v>
      </c>
      <c r="AE174" s="107">
        <v>-43.89</v>
      </c>
      <c r="AF174" s="107">
        <v>-43.356666666666669</v>
      </c>
      <c r="AG174" s="107">
        <v>-42.886792738275339</v>
      </c>
      <c r="AH174" s="107">
        <v>-42.451089258698943</v>
      </c>
      <c r="AI174" s="107">
        <v>-42.015385779122539</v>
      </c>
      <c r="AJ174" s="107">
        <v>-41.579682299546143</v>
      </c>
      <c r="AK174" s="107">
        <v>-41.143978819969746</v>
      </c>
      <c r="AL174" s="107">
        <v>-40.708275340393342</v>
      </c>
      <c r="AM174" s="107">
        <v>-40.276565809379726</v>
      </c>
      <c r="AN174" s="107">
        <v>-39.940711043872923</v>
      </c>
      <c r="AO174" s="107">
        <v>-39.604856278366114</v>
      </c>
      <c r="AP174" s="107">
        <v>-39.269001512859305</v>
      </c>
      <c r="AQ174" s="107">
        <v>-38.933146747352495</v>
      </c>
      <c r="AR174" s="107">
        <v>-38.597291981845693</v>
      </c>
      <c r="AS174" s="107">
        <v>-38.261437216338884</v>
      </c>
      <c r="AT174" s="107">
        <v>-37.967541603630863</v>
      </c>
      <c r="AU174" s="107">
        <v>-37.72926626323752</v>
      </c>
      <c r="AV174" s="107">
        <v>-37.490990922844176</v>
      </c>
      <c r="AW174" s="107">
        <v>-37.252715582450833</v>
      </c>
      <c r="AX174" s="107">
        <v>-37.014440242057489</v>
      </c>
      <c r="AY174" s="107">
        <v>-36.776164901664146</v>
      </c>
      <c r="AZ174" s="107">
        <v>-36.537889561270802</v>
      </c>
      <c r="BA174" s="107">
        <v>-36.438469696969698</v>
      </c>
      <c r="BB174" s="107">
        <v>-36.369530303030302</v>
      </c>
      <c r="BC174" s="107">
        <v>-36.300590909090914</v>
      </c>
      <c r="BD174" s="107">
        <v>-36.231651515151519</v>
      </c>
      <c r="BE174" s="107">
        <v>-36.162712121212124</v>
      </c>
      <c r="BF174" s="107">
        <v>-36.093772727272729</v>
      </c>
      <c r="BG174" s="107">
        <v>-36.052192771084336</v>
      </c>
      <c r="BH174" s="107">
        <v>-36.107614457831332</v>
      </c>
      <c r="BI174" s="107">
        <v>-36.178157575757581</v>
      </c>
      <c r="BJ174" s="107">
        <v>-36.260581818181819</v>
      </c>
      <c r="BK174" s="107">
        <v>-36.368375757575762</v>
      </c>
      <c r="BL174" s="107">
        <v>-36.482303030303036</v>
      </c>
      <c r="BM174" s="107">
        <v>-36.606545454545454</v>
      </c>
      <c r="BN174" s="107">
        <v>-36.736856278366112</v>
      </c>
      <c r="BO174" s="107">
        <v>-36.871046898638426</v>
      </c>
      <c r="BP174" s="107">
        <v>-37.005237518910739</v>
      </c>
      <c r="BQ174" s="107">
        <v>-37.13942813918306</v>
      </c>
      <c r="BR174" s="107">
        <v>-37.273618759455374</v>
      </c>
      <c r="BS174" s="107">
        <v>-37.407809379727688</v>
      </c>
      <c r="BT174" s="107">
        <v>-37.542000000000002</v>
      </c>
    </row>
    <row r="175" spans="1:72" ht="9.9499999999999993" customHeight="1" thickBot="1" x14ac:dyDescent="0.4">
      <c r="A175" s="45" t="s">
        <v>93</v>
      </c>
      <c r="B175" s="35">
        <v>-143.49206060606059</v>
      </c>
      <c r="C175" s="35">
        <v>-138.9310909090909</v>
      </c>
      <c r="D175" s="107">
        <v>-134.51290909090909</v>
      </c>
      <c r="E175" s="107">
        <v>-130.23187878787877</v>
      </c>
      <c r="F175" s="107">
        <v>-125.95890909090909</v>
      </c>
      <c r="G175" s="107">
        <v>-121.19527272727272</v>
      </c>
      <c r="H175" s="107">
        <v>-116.98277108433736</v>
      </c>
      <c r="I175" s="107">
        <v>-113.50084337349398</v>
      </c>
      <c r="J175" s="107">
        <v>-110.11933333333334</v>
      </c>
      <c r="K175" s="107">
        <v>-106.78672727272728</v>
      </c>
      <c r="L175" s="107">
        <v>-103.59278787878789</v>
      </c>
      <c r="M175" s="107">
        <v>-100.63860816944025</v>
      </c>
      <c r="N175" s="107">
        <v>-97.954795763993957</v>
      </c>
      <c r="O175" s="107">
        <v>-95.270983358547653</v>
      </c>
      <c r="P175" s="107">
        <v>-92.587170953101364</v>
      </c>
      <c r="Q175" s="107">
        <v>-89.90335854765506</v>
      </c>
      <c r="R175" s="107">
        <v>-87.21954614220877</v>
      </c>
      <c r="S175" s="107">
        <v>-84.535733736762467</v>
      </c>
      <c r="T175" s="107">
        <v>-82.314909090909083</v>
      </c>
      <c r="U175" s="107">
        <v>-80.208909090909088</v>
      </c>
      <c r="V175" s="107">
        <v>-78.251333333333335</v>
      </c>
      <c r="W175" s="107">
        <v>-76.354848484848489</v>
      </c>
      <c r="X175" s="107">
        <v>-74.506363636363631</v>
      </c>
      <c r="Y175" s="107">
        <v>-72.788614457831329</v>
      </c>
      <c r="Z175" s="107">
        <v>-71.108484848484849</v>
      </c>
      <c r="AA175" s="107">
        <v>-69.50242424242424</v>
      </c>
      <c r="AB175" s="107">
        <v>-67.976363636363644</v>
      </c>
      <c r="AC175" s="107">
        <v>-66.503636363636375</v>
      </c>
      <c r="AD175" s="107">
        <v>-65.157575757575756</v>
      </c>
      <c r="AE175" s="107">
        <v>-63.856363636363632</v>
      </c>
      <c r="AF175" s="107">
        <v>-62.644242424242421</v>
      </c>
      <c r="AG175" s="107">
        <v>-61.562133131618758</v>
      </c>
      <c r="AH175" s="107">
        <v>-60.55003025718608</v>
      </c>
      <c r="AI175" s="107">
        <v>-59.537927382753402</v>
      </c>
      <c r="AJ175" s="107">
        <v>-58.525824508320724</v>
      </c>
      <c r="AK175" s="107">
        <v>-57.513721633888053</v>
      </c>
      <c r="AL175" s="107">
        <v>-56.501618759455376</v>
      </c>
      <c r="AM175" s="107">
        <v>-55.49774583963692</v>
      </c>
      <c r="AN175" s="107">
        <v>-54.691391830559759</v>
      </c>
      <c r="AO175" s="107">
        <v>-53.885037821482605</v>
      </c>
      <c r="AP175" s="107">
        <v>-53.078683812405451</v>
      </c>
      <c r="AQ175" s="107">
        <v>-52.272329803328297</v>
      </c>
      <c r="AR175" s="107">
        <v>-51.465975794251143</v>
      </c>
      <c r="AS175" s="107">
        <v>-50.659621785173982</v>
      </c>
      <c r="AT175" s="107">
        <v>-49.940438729198192</v>
      </c>
      <c r="AU175" s="107">
        <v>-49.336807866868384</v>
      </c>
      <c r="AV175" s="107">
        <v>-48.733177004538582</v>
      </c>
      <c r="AW175" s="107">
        <v>-48.129546142208774</v>
      </c>
      <c r="AX175" s="107">
        <v>-47.525915279878973</v>
      </c>
      <c r="AY175" s="107">
        <v>-46.922284417549164</v>
      </c>
      <c r="AZ175" s="107">
        <v>-46.318653555219363</v>
      </c>
      <c r="BA175" s="107">
        <v>-46.0000303030303</v>
      </c>
      <c r="BB175" s="107">
        <v>-45.743969696969693</v>
      </c>
      <c r="BC175" s="107">
        <v>-45.487909090909092</v>
      </c>
      <c r="BD175" s="107">
        <v>-45.231848484848484</v>
      </c>
      <c r="BE175" s="107">
        <v>-44.975787878787877</v>
      </c>
      <c r="BF175" s="107">
        <v>-44.719727272727269</v>
      </c>
      <c r="BG175" s="107">
        <v>-44.517879518072284</v>
      </c>
      <c r="BH175" s="107">
        <v>-44.508240963855421</v>
      </c>
      <c r="BI175" s="107">
        <v>-44.531830303030304</v>
      </c>
      <c r="BJ175" s="107">
        <v>-44.581527272727271</v>
      </c>
      <c r="BK175" s="107">
        <v>-44.676448484848486</v>
      </c>
      <c r="BL175" s="107">
        <v>-44.783090909090909</v>
      </c>
      <c r="BM175" s="107">
        <v>-44.910363636363634</v>
      </c>
      <c r="BN175" s="107">
        <v>-45.051730711043874</v>
      </c>
      <c r="BO175" s="107">
        <v>-45.202108925869894</v>
      </c>
      <c r="BP175" s="107">
        <v>-45.352487140695914</v>
      </c>
      <c r="BQ175" s="107">
        <v>-45.502865355521941</v>
      </c>
      <c r="BR175" s="107">
        <v>-45.653243570347961</v>
      </c>
      <c r="BS175" s="107">
        <v>-45.803621785173981</v>
      </c>
      <c r="BT175" s="107">
        <v>-45.954000000000001</v>
      </c>
    </row>
    <row r="176" spans="1:72" ht="9.9499999999999993" customHeight="1" thickBot="1" x14ac:dyDescent="0.4">
      <c r="A176" s="45" t="s">
        <v>58</v>
      </c>
      <c r="B176" s="35">
        <v>-60.883878787878785</v>
      </c>
      <c r="C176" s="35">
        <v>-58.790060606060599</v>
      </c>
      <c r="D176" s="107">
        <v>-56.711272727272721</v>
      </c>
      <c r="E176" s="107">
        <v>-54.641333333333328</v>
      </c>
      <c r="F176" s="107">
        <v>-52.535393939393941</v>
      </c>
      <c r="G176" s="107">
        <v>-49.977818181818179</v>
      </c>
      <c r="H176" s="107">
        <v>-47.784337349397589</v>
      </c>
      <c r="I176" s="107">
        <v>-46.073493975903617</v>
      </c>
      <c r="J176" s="107">
        <v>-44.378</v>
      </c>
      <c r="K176" s="107">
        <v>-42.69290909090909</v>
      </c>
      <c r="L176" s="107">
        <v>-41.050484848484849</v>
      </c>
      <c r="M176" s="107">
        <v>-39.518729198184573</v>
      </c>
      <c r="N176" s="107">
        <v>-38.111770045385782</v>
      </c>
      <c r="O176" s="107">
        <v>-36.704810892586991</v>
      </c>
      <c r="P176" s="107">
        <v>-35.2978517397882</v>
      </c>
      <c r="Q176" s="107">
        <v>-33.890892586989409</v>
      </c>
      <c r="R176" s="107">
        <v>-32.483933434190618</v>
      </c>
      <c r="S176" s="107">
        <v>-31.076974281391827</v>
      </c>
      <c r="T176" s="107">
        <v>-29.905333333333331</v>
      </c>
      <c r="U176" s="107">
        <v>-28.792363636363635</v>
      </c>
      <c r="V176" s="107">
        <v>-27.756</v>
      </c>
      <c r="W176" s="107">
        <v>-26.750181818181815</v>
      </c>
      <c r="X176" s="107">
        <v>-25.768363636363635</v>
      </c>
      <c r="Y176" s="107">
        <v>-24.846746987951807</v>
      </c>
      <c r="Z176" s="107">
        <v>-23.941818181818181</v>
      </c>
      <c r="AA176" s="107">
        <v>-23.069090909090907</v>
      </c>
      <c r="AB176" s="107">
        <v>-22.236363636363635</v>
      </c>
      <c r="AC176" s="107">
        <v>-21.43030303030303</v>
      </c>
      <c r="AD176" s="107">
        <v>-20.687575757575758</v>
      </c>
      <c r="AE176" s="107">
        <v>-19.966363636363639</v>
      </c>
      <c r="AF176" s="107">
        <v>-19.287575757575759</v>
      </c>
      <c r="AG176" s="107">
        <v>-18.675340393343419</v>
      </c>
      <c r="AH176" s="107">
        <v>-18.098940998487141</v>
      </c>
      <c r="AI176" s="107">
        <v>-17.522541603630863</v>
      </c>
      <c r="AJ176" s="107">
        <v>-16.946142208774585</v>
      </c>
      <c r="AK176" s="107">
        <v>-16.369742813918307</v>
      </c>
      <c r="AL176" s="107">
        <v>-15.79334341906203</v>
      </c>
      <c r="AM176" s="107">
        <v>-15.221180030257187</v>
      </c>
      <c r="AN176" s="107">
        <v>-14.750680786686839</v>
      </c>
      <c r="AO176" s="107">
        <v>-14.280181543116491</v>
      </c>
      <c r="AP176" s="107">
        <v>-13.809682299546145</v>
      </c>
      <c r="AQ176" s="107">
        <v>-13.339183055975797</v>
      </c>
      <c r="AR176" s="107">
        <v>-12.868683812405449</v>
      </c>
      <c r="AS176" s="107">
        <v>-12.398184568835102</v>
      </c>
      <c r="AT176" s="107">
        <v>-11.972897125567325</v>
      </c>
      <c r="AU176" s="107">
        <v>-11.607541603630864</v>
      </c>
      <c r="AV176" s="107">
        <v>-11.242186081694403</v>
      </c>
      <c r="AW176" s="107">
        <v>-10.876830559757943</v>
      </c>
      <c r="AX176" s="107">
        <v>-10.511475037821482</v>
      </c>
      <c r="AY176" s="107">
        <v>-10.146119515885022</v>
      </c>
      <c r="AZ176" s="107">
        <v>-9.7807639939485611</v>
      </c>
      <c r="BA176" s="107">
        <v>-9.5615606060606044</v>
      </c>
      <c r="BB176" s="107">
        <v>-9.3744393939393937</v>
      </c>
      <c r="BC176" s="107">
        <v>-9.1873181818181813</v>
      </c>
      <c r="BD176" s="107">
        <v>-9.0001969696969688</v>
      </c>
      <c r="BE176" s="107">
        <v>-8.8130757575757563</v>
      </c>
      <c r="BF176" s="107">
        <v>-8.6259545454545457</v>
      </c>
      <c r="BG176" s="107">
        <v>-8.4656867469879522</v>
      </c>
      <c r="BH176" s="107">
        <v>-8.4006265060240963</v>
      </c>
      <c r="BI176" s="107">
        <v>-8.3536727272727269</v>
      </c>
      <c r="BJ176" s="107">
        <v>-8.3209454545454538</v>
      </c>
      <c r="BK176" s="107">
        <v>-8.3080727272727266</v>
      </c>
      <c r="BL176" s="107">
        <v>-8.3007878787878795</v>
      </c>
      <c r="BM176" s="107">
        <v>-8.3038181818181815</v>
      </c>
      <c r="BN176" s="107">
        <v>-8.3148744326777599</v>
      </c>
      <c r="BO176" s="107">
        <v>-8.3310620272314679</v>
      </c>
      <c r="BP176" s="107">
        <v>-8.3472496217851742</v>
      </c>
      <c r="BQ176" s="107">
        <v>-8.3634372163388804</v>
      </c>
      <c r="BR176" s="107">
        <v>-8.3796248108925866</v>
      </c>
      <c r="BS176" s="107">
        <v>-8.3958124054462946</v>
      </c>
      <c r="BT176" s="107">
        <v>-8.4120000000000008</v>
      </c>
    </row>
    <row r="177" spans="1:72" ht="9.9499999999999993" customHeight="1" thickBot="1" x14ac:dyDescent="0.4">
      <c r="A177" s="45" t="s">
        <v>80</v>
      </c>
      <c r="B177" s="35">
        <v>-21.72430303030303</v>
      </c>
      <c r="C177" s="35">
        <v>-21.350969696969695</v>
      </c>
      <c r="D177" s="107">
        <v>-21.090363636363637</v>
      </c>
      <c r="E177" s="107">
        <v>-20.949212121212121</v>
      </c>
      <c r="F177" s="107">
        <v>-20.888121212121213</v>
      </c>
      <c r="G177" s="107">
        <v>-21.239636363636365</v>
      </c>
      <c r="H177" s="107">
        <v>-21.41409638554217</v>
      </c>
      <c r="I177" s="107">
        <v>-21.353855421686745</v>
      </c>
      <c r="J177" s="107">
        <v>-21.363333333333333</v>
      </c>
      <c r="K177" s="107">
        <v>-21.400909090909092</v>
      </c>
      <c r="L177" s="107">
        <v>-21.491818181818182</v>
      </c>
      <c r="M177" s="107">
        <v>-21.601149773071104</v>
      </c>
      <c r="N177" s="107">
        <v>-21.731255673222389</v>
      </c>
      <c r="O177" s="107">
        <v>-21.861361573373674</v>
      </c>
      <c r="P177" s="107">
        <v>-21.99146747352496</v>
      </c>
      <c r="Q177" s="107">
        <v>-22.121573373676249</v>
      </c>
      <c r="R177" s="107">
        <v>-22.251679273827534</v>
      </c>
      <c r="S177" s="107">
        <v>-22.38178517397882</v>
      </c>
      <c r="T177" s="107">
        <v>-22.504242424242424</v>
      </c>
      <c r="U177" s="107">
        <v>-22.624181818181821</v>
      </c>
      <c r="V177" s="107">
        <v>-22.739333333333335</v>
      </c>
      <c r="W177" s="107">
        <v>-22.854484848484848</v>
      </c>
      <c r="X177" s="107">
        <v>-22.969636363636365</v>
      </c>
      <c r="Y177" s="107">
        <v>-23.095120481927712</v>
      </c>
      <c r="Z177" s="107">
        <v>-23.224848484848486</v>
      </c>
      <c r="AA177" s="107">
        <v>-23.364242424242427</v>
      </c>
      <c r="AB177" s="107">
        <v>-23.503636363636364</v>
      </c>
      <c r="AC177" s="107">
        <v>-23.643030303030301</v>
      </c>
      <c r="AD177" s="107">
        <v>-23.782424242424241</v>
      </c>
      <c r="AE177" s="107">
        <v>-23.923636363636362</v>
      </c>
      <c r="AF177" s="107">
        <v>-24.06909090909091</v>
      </c>
      <c r="AG177" s="107">
        <v>-24.211452344931921</v>
      </c>
      <c r="AH177" s="107">
        <v>-24.352148260211802</v>
      </c>
      <c r="AI177" s="107">
        <v>-24.49284417549168</v>
      </c>
      <c r="AJ177" s="107">
        <v>-24.633540090771557</v>
      </c>
      <c r="AK177" s="107">
        <v>-24.774236006051439</v>
      </c>
      <c r="AL177" s="107">
        <v>-24.914931921331316</v>
      </c>
      <c r="AM177" s="107">
        <v>-25.055385779122542</v>
      </c>
      <c r="AN177" s="107">
        <v>-25.190030257186081</v>
      </c>
      <c r="AO177" s="107">
        <v>-25.324674735249623</v>
      </c>
      <c r="AP177" s="107">
        <v>-25.459319213313162</v>
      </c>
      <c r="AQ177" s="107">
        <v>-25.593963691376704</v>
      </c>
      <c r="AR177" s="107">
        <v>-25.728608169440243</v>
      </c>
      <c r="AS177" s="107">
        <v>-25.863252647503781</v>
      </c>
      <c r="AT177" s="107">
        <v>-25.994644478063542</v>
      </c>
      <c r="AU177" s="107">
        <v>-26.121724659606656</v>
      </c>
      <c r="AV177" s="107">
        <v>-26.248804841149774</v>
      </c>
      <c r="AW177" s="107">
        <v>-26.375885022692891</v>
      </c>
      <c r="AX177" s="107">
        <v>-26.502965204236009</v>
      </c>
      <c r="AY177" s="107">
        <v>-26.630045385779123</v>
      </c>
      <c r="AZ177" s="107">
        <v>-26.757125567322241</v>
      </c>
      <c r="BA177" s="107">
        <v>-26.876909090909091</v>
      </c>
      <c r="BB177" s="107">
        <v>-26.995090909090909</v>
      </c>
      <c r="BC177" s="107">
        <v>-27.113272727272729</v>
      </c>
      <c r="BD177" s="107">
        <v>-27.231454545454547</v>
      </c>
      <c r="BE177" s="107">
        <v>-27.349636363636364</v>
      </c>
      <c r="BF177" s="107">
        <v>-27.467818181818181</v>
      </c>
      <c r="BG177" s="107">
        <v>-27.586506024096384</v>
      </c>
      <c r="BH177" s="107">
        <v>-27.706987951807228</v>
      </c>
      <c r="BI177" s="107">
        <v>-27.82448484848485</v>
      </c>
      <c r="BJ177" s="107">
        <v>-27.939636363636364</v>
      </c>
      <c r="BK177" s="107">
        <v>-28.060303030303029</v>
      </c>
      <c r="BL177" s="107">
        <v>-28.18151515151515</v>
      </c>
      <c r="BM177" s="107">
        <v>-28.302727272727275</v>
      </c>
      <c r="BN177" s="107">
        <v>-28.421981845688354</v>
      </c>
      <c r="BO177" s="107">
        <v>-28.539984871406961</v>
      </c>
      <c r="BP177" s="107">
        <v>-28.657987897125569</v>
      </c>
      <c r="BQ177" s="107">
        <v>-28.775990922844176</v>
      </c>
      <c r="BR177" s="107">
        <v>-28.893993948562784</v>
      </c>
      <c r="BS177" s="107">
        <v>-29.011996974281391</v>
      </c>
      <c r="BT177" s="107">
        <v>-29.13</v>
      </c>
    </row>
    <row r="178" spans="1:72" ht="9.9499999999999993" customHeight="1" thickBot="1" x14ac:dyDescent="0.4">
      <c r="A178" s="45" t="s">
        <v>94</v>
      </c>
      <c r="B178" s="35">
        <v>-21.72430303030303</v>
      </c>
      <c r="C178" s="35">
        <v>-21.350969696969695</v>
      </c>
      <c r="D178" s="107">
        <v>-21.090363636363637</v>
      </c>
      <c r="E178" s="107">
        <v>-20.949212121212121</v>
      </c>
      <c r="F178" s="107">
        <v>-20.888121212121213</v>
      </c>
      <c r="G178" s="107">
        <v>-21.239636363636365</v>
      </c>
      <c r="H178" s="107">
        <v>-21.41409638554217</v>
      </c>
      <c r="I178" s="107">
        <v>-21.353855421686745</v>
      </c>
      <c r="J178" s="107">
        <v>-21.363333333333333</v>
      </c>
      <c r="K178" s="107">
        <v>-21.400909090909092</v>
      </c>
      <c r="L178" s="107">
        <v>-21.491818181818182</v>
      </c>
      <c r="M178" s="107">
        <v>-21.601149773071104</v>
      </c>
      <c r="N178" s="107">
        <v>-21.731255673222389</v>
      </c>
      <c r="O178" s="107">
        <v>-21.861361573373674</v>
      </c>
      <c r="P178" s="107">
        <v>-21.99146747352496</v>
      </c>
      <c r="Q178" s="107">
        <v>-22.121573373676249</v>
      </c>
      <c r="R178" s="107">
        <v>-22.251679273827534</v>
      </c>
      <c r="S178" s="107">
        <v>-22.38178517397882</v>
      </c>
      <c r="T178" s="107">
        <v>-22.504242424242424</v>
      </c>
      <c r="U178" s="107">
        <v>-22.624181818181821</v>
      </c>
      <c r="V178" s="107">
        <v>-22.739333333333335</v>
      </c>
      <c r="W178" s="107">
        <v>-22.854484848484848</v>
      </c>
      <c r="X178" s="107">
        <v>-22.969636363636365</v>
      </c>
      <c r="Y178" s="107">
        <v>-23.095120481927712</v>
      </c>
      <c r="Z178" s="107">
        <v>-23.224848484848486</v>
      </c>
      <c r="AA178" s="107">
        <v>-23.364242424242427</v>
      </c>
      <c r="AB178" s="107">
        <v>-23.503636363636364</v>
      </c>
      <c r="AC178" s="107">
        <v>-23.643030303030301</v>
      </c>
      <c r="AD178" s="107">
        <v>-23.782424242424241</v>
      </c>
      <c r="AE178" s="107">
        <v>-23.923636363636362</v>
      </c>
      <c r="AF178" s="107">
        <v>-24.06909090909091</v>
      </c>
      <c r="AG178" s="107">
        <v>-24.211452344931921</v>
      </c>
      <c r="AH178" s="107">
        <v>-24.352148260211802</v>
      </c>
      <c r="AI178" s="107">
        <v>-24.49284417549168</v>
      </c>
      <c r="AJ178" s="107">
        <v>-24.633540090771557</v>
      </c>
      <c r="AK178" s="107">
        <v>-24.774236006051439</v>
      </c>
      <c r="AL178" s="107">
        <v>-24.914931921331316</v>
      </c>
      <c r="AM178" s="107">
        <v>-25.055385779122542</v>
      </c>
      <c r="AN178" s="107">
        <v>-25.190030257186081</v>
      </c>
      <c r="AO178" s="107">
        <v>-25.324674735249623</v>
      </c>
      <c r="AP178" s="107">
        <v>-25.459319213313162</v>
      </c>
      <c r="AQ178" s="107">
        <v>-25.593963691376704</v>
      </c>
      <c r="AR178" s="107">
        <v>-25.728608169440243</v>
      </c>
      <c r="AS178" s="107">
        <v>-25.863252647503781</v>
      </c>
      <c r="AT178" s="107">
        <v>-25.994644478063542</v>
      </c>
      <c r="AU178" s="107">
        <v>-26.121724659606656</v>
      </c>
      <c r="AV178" s="107">
        <v>-26.248804841149774</v>
      </c>
      <c r="AW178" s="107">
        <v>-26.375885022692891</v>
      </c>
      <c r="AX178" s="107">
        <v>-26.502965204236009</v>
      </c>
      <c r="AY178" s="107">
        <v>-26.630045385779123</v>
      </c>
      <c r="AZ178" s="107">
        <v>-26.757125567322241</v>
      </c>
      <c r="BA178" s="107">
        <v>-26.876909090909091</v>
      </c>
      <c r="BB178" s="107">
        <v>-26.995090909090909</v>
      </c>
      <c r="BC178" s="107">
        <v>-27.113272727272729</v>
      </c>
      <c r="BD178" s="107">
        <v>-27.231454545454547</v>
      </c>
      <c r="BE178" s="107">
        <v>-27.349636363636364</v>
      </c>
      <c r="BF178" s="107">
        <v>-27.467818181818181</v>
      </c>
      <c r="BG178" s="107">
        <v>-27.586506024096384</v>
      </c>
      <c r="BH178" s="107">
        <v>-27.706987951807228</v>
      </c>
      <c r="BI178" s="107">
        <v>-27.82448484848485</v>
      </c>
      <c r="BJ178" s="107">
        <v>-27.939636363636364</v>
      </c>
      <c r="BK178" s="107">
        <v>-28.060303030303029</v>
      </c>
      <c r="BL178" s="107">
        <v>-28.18151515151515</v>
      </c>
      <c r="BM178" s="107">
        <v>-28.302727272727275</v>
      </c>
      <c r="BN178" s="107">
        <v>-28.421981845688354</v>
      </c>
      <c r="BO178" s="107">
        <v>-28.539984871406961</v>
      </c>
      <c r="BP178" s="107">
        <v>-28.657987897125569</v>
      </c>
      <c r="BQ178" s="107">
        <v>-28.775990922844176</v>
      </c>
      <c r="BR178" s="107">
        <v>-28.893993948562784</v>
      </c>
      <c r="BS178" s="107">
        <v>-29.011996974281391</v>
      </c>
      <c r="BT178" s="107">
        <v>-29.13</v>
      </c>
    </row>
    <row r="179" spans="1:72" ht="9.9499999999999993" customHeight="1" thickBot="1" x14ac:dyDescent="0.4">
      <c r="A179" s="45" t="s">
        <v>82</v>
      </c>
      <c r="B179" s="35">
        <v>-21.72430303030303</v>
      </c>
      <c r="C179" s="35">
        <v>-21.350969696969695</v>
      </c>
      <c r="D179" s="107">
        <v>-21.090363636363637</v>
      </c>
      <c r="E179" s="107">
        <v>-20.949212121212121</v>
      </c>
      <c r="F179" s="107">
        <v>-20.888121212121213</v>
      </c>
      <c r="G179" s="107">
        <v>-21.239636363636365</v>
      </c>
      <c r="H179" s="107">
        <v>-21.41409638554217</v>
      </c>
      <c r="I179" s="107">
        <v>-21.353855421686745</v>
      </c>
      <c r="J179" s="107">
        <v>-21.363333333333333</v>
      </c>
      <c r="K179" s="107">
        <v>-21.400909090909092</v>
      </c>
      <c r="L179" s="107">
        <v>-21.491818181818182</v>
      </c>
      <c r="M179" s="107">
        <v>-21.601149773071104</v>
      </c>
      <c r="N179" s="107">
        <v>-21.731255673222389</v>
      </c>
      <c r="O179" s="107">
        <v>-21.861361573373674</v>
      </c>
      <c r="P179" s="107">
        <v>-21.99146747352496</v>
      </c>
      <c r="Q179" s="107">
        <v>-22.121573373676249</v>
      </c>
      <c r="R179" s="107">
        <v>-22.251679273827534</v>
      </c>
      <c r="S179" s="107">
        <v>-22.38178517397882</v>
      </c>
      <c r="T179" s="107">
        <v>-22.504242424242424</v>
      </c>
      <c r="U179" s="107">
        <v>-22.624181818181821</v>
      </c>
      <c r="V179" s="107">
        <v>-22.739333333333335</v>
      </c>
      <c r="W179" s="107">
        <v>-22.854484848484848</v>
      </c>
      <c r="X179" s="107">
        <v>-22.969636363636365</v>
      </c>
      <c r="Y179" s="107">
        <v>-23.095120481927712</v>
      </c>
      <c r="Z179" s="107">
        <v>-23.224848484848486</v>
      </c>
      <c r="AA179" s="107">
        <v>-23.364242424242427</v>
      </c>
      <c r="AB179" s="107">
        <v>-23.503636363636364</v>
      </c>
      <c r="AC179" s="107">
        <v>-23.643030303030301</v>
      </c>
      <c r="AD179" s="107">
        <v>-23.782424242424241</v>
      </c>
      <c r="AE179" s="107">
        <v>-23.923636363636362</v>
      </c>
      <c r="AF179" s="107">
        <v>-24.06909090909091</v>
      </c>
      <c r="AG179" s="107">
        <v>-24.211452344931921</v>
      </c>
      <c r="AH179" s="107">
        <v>-24.352148260211802</v>
      </c>
      <c r="AI179" s="107">
        <v>-24.49284417549168</v>
      </c>
      <c r="AJ179" s="107">
        <v>-24.633540090771557</v>
      </c>
      <c r="AK179" s="107">
        <v>-24.774236006051439</v>
      </c>
      <c r="AL179" s="107">
        <v>-24.914931921331316</v>
      </c>
      <c r="AM179" s="107">
        <v>-25.055385779122542</v>
      </c>
      <c r="AN179" s="107">
        <v>-25.190030257186081</v>
      </c>
      <c r="AO179" s="107">
        <v>-25.324674735249623</v>
      </c>
      <c r="AP179" s="107">
        <v>-25.459319213313162</v>
      </c>
      <c r="AQ179" s="107">
        <v>-25.593963691376704</v>
      </c>
      <c r="AR179" s="107">
        <v>-25.728608169440243</v>
      </c>
      <c r="AS179" s="107">
        <v>-25.863252647503781</v>
      </c>
      <c r="AT179" s="107">
        <v>-25.994644478063542</v>
      </c>
      <c r="AU179" s="107">
        <v>-26.121724659606656</v>
      </c>
      <c r="AV179" s="107">
        <v>-26.248804841149774</v>
      </c>
      <c r="AW179" s="107">
        <v>-26.375885022692891</v>
      </c>
      <c r="AX179" s="107">
        <v>-26.502965204236009</v>
      </c>
      <c r="AY179" s="107">
        <v>-26.630045385779123</v>
      </c>
      <c r="AZ179" s="107">
        <v>-26.757125567322241</v>
      </c>
      <c r="BA179" s="107">
        <v>-26.876909090909091</v>
      </c>
      <c r="BB179" s="107">
        <v>-26.995090909090909</v>
      </c>
      <c r="BC179" s="107">
        <v>-27.113272727272729</v>
      </c>
      <c r="BD179" s="107">
        <v>-27.231454545454547</v>
      </c>
      <c r="BE179" s="107">
        <v>-27.349636363636364</v>
      </c>
      <c r="BF179" s="107">
        <v>-27.467818181818181</v>
      </c>
      <c r="BG179" s="107">
        <v>-27.586506024096384</v>
      </c>
      <c r="BH179" s="107">
        <v>-27.706987951807228</v>
      </c>
      <c r="BI179" s="107">
        <v>-27.82448484848485</v>
      </c>
      <c r="BJ179" s="107">
        <v>-27.939636363636364</v>
      </c>
      <c r="BK179" s="107">
        <v>-28.060303030303029</v>
      </c>
      <c r="BL179" s="107">
        <v>-28.18151515151515</v>
      </c>
      <c r="BM179" s="107">
        <v>-28.302727272727275</v>
      </c>
      <c r="BN179" s="107">
        <v>-28.421981845688354</v>
      </c>
      <c r="BO179" s="107">
        <v>-28.539984871406961</v>
      </c>
      <c r="BP179" s="107">
        <v>-28.657987897125569</v>
      </c>
      <c r="BQ179" s="107">
        <v>-28.775990922844176</v>
      </c>
      <c r="BR179" s="107">
        <v>-28.893993948562784</v>
      </c>
      <c r="BS179" s="107">
        <v>-29.011996974281391</v>
      </c>
      <c r="BT179" s="107">
        <v>-29.13</v>
      </c>
    </row>
    <row r="180" spans="1:72" ht="9.9499999999999993" customHeight="1" thickBot="1" x14ac:dyDescent="0.4">
      <c r="A180" s="45" t="s">
        <v>83</v>
      </c>
      <c r="B180" s="35">
        <v>-21.72430303030303</v>
      </c>
      <c r="C180" s="35">
        <v>-21.350969696969695</v>
      </c>
      <c r="D180" s="107">
        <v>-21.090363636363637</v>
      </c>
      <c r="E180" s="107">
        <v>-20.949212121212121</v>
      </c>
      <c r="F180" s="107">
        <v>-20.888121212121213</v>
      </c>
      <c r="G180" s="107">
        <v>-21.239636363636365</v>
      </c>
      <c r="H180" s="107">
        <v>-21.41409638554217</v>
      </c>
      <c r="I180" s="107">
        <v>-21.353855421686745</v>
      </c>
      <c r="J180" s="107">
        <v>-21.363333333333333</v>
      </c>
      <c r="K180" s="107">
        <v>-21.400909090909092</v>
      </c>
      <c r="L180" s="107">
        <v>-21.491818181818182</v>
      </c>
      <c r="M180" s="107">
        <v>-21.601149773071104</v>
      </c>
      <c r="N180" s="107">
        <v>-21.731255673222389</v>
      </c>
      <c r="O180" s="107">
        <v>-21.861361573373674</v>
      </c>
      <c r="P180" s="107">
        <v>-21.99146747352496</v>
      </c>
      <c r="Q180" s="107">
        <v>-22.121573373676249</v>
      </c>
      <c r="R180" s="107">
        <v>-22.251679273827534</v>
      </c>
      <c r="S180" s="107">
        <v>-22.38178517397882</v>
      </c>
      <c r="T180" s="107">
        <v>-22.504242424242424</v>
      </c>
      <c r="U180" s="107">
        <v>-22.624181818181821</v>
      </c>
      <c r="V180" s="107">
        <v>-22.739333333333335</v>
      </c>
      <c r="W180" s="107">
        <v>-22.854484848484848</v>
      </c>
      <c r="X180" s="107">
        <v>-22.969636363636365</v>
      </c>
      <c r="Y180" s="107">
        <v>-23.095120481927712</v>
      </c>
      <c r="Z180" s="107">
        <v>-23.224848484848486</v>
      </c>
      <c r="AA180" s="107">
        <v>-23.364242424242427</v>
      </c>
      <c r="AB180" s="107">
        <v>-23.503636363636364</v>
      </c>
      <c r="AC180" s="107">
        <v>-23.643030303030301</v>
      </c>
      <c r="AD180" s="107">
        <v>-23.782424242424241</v>
      </c>
      <c r="AE180" s="107">
        <v>-23.923636363636362</v>
      </c>
      <c r="AF180" s="107">
        <v>-24.06909090909091</v>
      </c>
      <c r="AG180" s="107">
        <v>-24.211452344931921</v>
      </c>
      <c r="AH180" s="107">
        <v>-24.352148260211802</v>
      </c>
      <c r="AI180" s="107">
        <v>-24.49284417549168</v>
      </c>
      <c r="AJ180" s="107">
        <v>-24.633540090771557</v>
      </c>
      <c r="AK180" s="107">
        <v>-24.774236006051439</v>
      </c>
      <c r="AL180" s="107">
        <v>-24.914931921331316</v>
      </c>
      <c r="AM180" s="107">
        <v>-25.055385779122542</v>
      </c>
      <c r="AN180" s="107">
        <v>-25.190030257186081</v>
      </c>
      <c r="AO180" s="107">
        <v>-25.324674735249623</v>
      </c>
      <c r="AP180" s="107">
        <v>-25.459319213313162</v>
      </c>
      <c r="AQ180" s="107">
        <v>-25.593963691376704</v>
      </c>
      <c r="AR180" s="107">
        <v>-25.728608169440243</v>
      </c>
      <c r="AS180" s="107">
        <v>-25.863252647503781</v>
      </c>
      <c r="AT180" s="107">
        <v>-25.994644478063542</v>
      </c>
      <c r="AU180" s="107">
        <v>-26.121724659606656</v>
      </c>
      <c r="AV180" s="107">
        <v>-26.248804841149774</v>
      </c>
      <c r="AW180" s="107">
        <v>-26.375885022692891</v>
      </c>
      <c r="AX180" s="107">
        <v>-26.502965204236009</v>
      </c>
      <c r="AY180" s="107">
        <v>-26.630045385779123</v>
      </c>
      <c r="AZ180" s="107">
        <v>-26.757125567322241</v>
      </c>
      <c r="BA180" s="107">
        <v>-26.876909090909091</v>
      </c>
      <c r="BB180" s="107">
        <v>-26.995090909090909</v>
      </c>
      <c r="BC180" s="107">
        <v>-27.113272727272729</v>
      </c>
      <c r="BD180" s="107">
        <v>-27.231454545454547</v>
      </c>
      <c r="BE180" s="107">
        <v>-27.349636363636364</v>
      </c>
      <c r="BF180" s="107">
        <v>-27.467818181818181</v>
      </c>
      <c r="BG180" s="107">
        <v>-27.586506024096384</v>
      </c>
      <c r="BH180" s="107">
        <v>-27.706987951807228</v>
      </c>
      <c r="BI180" s="107">
        <v>-27.82448484848485</v>
      </c>
      <c r="BJ180" s="107">
        <v>-27.939636363636364</v>
      </c>
      <c r="BK180" s="107">
        <v>-28.060303030303029</v>
      </c>
      <c r="BL180" s="107">
        <v>-28.18151515151515</v>
      </c>
      <c r="BM180" s="107">
        <v>-28.302727272727275</v>
      </c>
      <c r="BN180" s="107">
        <v>-28.421981845688354</v>
      </c>
      <c r="BO180" s="107">
        <v>-28.539984871406961</v>
      </c>
      <c r="BP180" s="107">
        <v>-28.657987897125569</v>
      </c>
      <c r="BQ180" s="107">
        <v>-28.775990922844176</v>
      </c>
      <c r="BR180" s="107">
        <v>-28.893993948562784</v>
      </c>
      <c r="BS180" s="107">
        <v>-29.011996974281391</v>
      </c>
      <c r="BT180" s="107">
        <v>-29.13</v>
      </c>
    </row>
    <row r="181" spans="1:72" ht="9.9499999999999993" customHeight="1" thickBot="1" x14ac:dyDescent="0.4">
      <c r="A181" s="45" t="s">
        <v>56</v>
      </c>
      <c r="B181" s="35">
        <v>-60.883878787878785</v>
      </c>
      <c r="C181" s="35">
        <v>-58.790060606060599</v>
      </c>
      <c r="D181" s="107">
        <v>-56.711272727272721</v>
      </c>
      <c r="E181" s="107">
        <v>-54.641333333333328</v>
      </c>
      <c r="F181" s="107">
        <v>-52.535393939393941</v>
      </c>
      <c r="G181" s="107">
        <v>-49.977818181818179</v>
      </c>
      <c r="H181" s="107">
        <v>-47.784337349397589</v>
      </c>
      <c r="I181" s="107">
        <v>-46.073493975903617</v>
      </c>
      <c r="J181" s="107">
        <v>-44.378</v>
      </c>
      <c r="K181" s="107">
        <v>-42.69290909090909</v>
      </c>
      <c r="L181" s="107">
        <v>-41.050484848484849</v>
      </c>
      <c r="M181" s="107">
        <v>-39.518729198184573</v>
      </c>
      <c r="N181" s="107">
        <v>-38.111770045385782</v>
      </c>
      <c r="O181" s="107">
        <v>-36.704810892586991</v>
      </c>
      <c r="P181" s="107">
        <v>-35.2978517397882</v>
      </c>
      <c r="Q181" s="107">
        <v>-33.890892586989409</v>
      </c>
      <c r="R181" s="107">
        <v>-32.483933434190618</v>
      </c>
      <c r="S181" s="107">
        <v>-31.076974281391827</v>
      </c>
      <c r="T181" s="107">
        <v>-29.905333333333331</v>
      </c>
      <c r="U181" s="107">
        <v>-28.792363636363635</v>
      </c>
      <c r="V181" s="107">
        <v>-27.756</v>
      </c>
      <c r="W181" s="107">
        <v>-26.750181818181815</v>
      </c>
      <c r="X181" s="107">
        <v>-25.768363636363635</v>
      </c>
      <c r="Y181" s="107">
        <v>-24.846746987951807</v>
      </c>
      <c r="Z181" s="107">
        <v>-23.941818181818181</v>
      </c>
      <c r="AA181" s="107">
        <v>-23.069090909090907</v>
      </c>
      <c r="AB181" s="107">
        <v>-22.236363636363635</v>
      </c>
      <c r="AC181" s="107">
        <v>-21.43030303030303</v>
      </c>
      <c r="AD181" s="107">
        <v>-20.687575757575758</v>
      </c>
      <c r="AE181" s="107">
        <v>-19.966363636363639</v>
      </c>
      <c r="AF181" s="107">
        <v>-19.287575757575759</v>
      </c>
      <c r="AG181" s="107">
        <v>-18.675340393343419</v>
      </c>
      <c r="AH181" s="107">
        <v>-18.098940998487141</v>
      </c>
      <c r="AI181" s="107">
        <v>-17.522541603630863</v>
      </c>
      <c r="AJ181" s="107">
        <v>-16.946142208774585</v>
      </c>
      <c r="AK181" s="107">
        <v>-16.369742813918307</v>
      </c>
      <c r="AL181" s="107">
        <v>-15.79334341906203</v>
      </c>
      <c r="AM181" s="107">
        <v>-15.221180030257187</v>
      </c>
      <c r="AN181" s="107">
        <v>-14.750680786686839</v>
      </c>
      <c r="AO181" s="107">
        <v>-14.280181543116491</v>
      </c>
      <c r="AP181" s="107">
        <v>-13.809682299546145</v>
      </c>
      <c r="AQ181" s="107">
        <v>-13.339183055975797</v>
      </c>
      <c r="AR181" s="107">
        <v>-12.868683812405449</v>
      </c>
      <c r="AS181" s="107">
        <v>-12.398184568835102</v>
      </c>
      <c r="AT181" s="107">
        <v>-11.972897125567325</v>
      </c>
      <c r="AU181" s="107">
        <v>-11.607541603630864</v>
      </c>
      <c r="AV181" s="107">
        <v>-11.242186081694403</v>
      </c>
      <c r="AW181" s="107">
        <v>-10.876830559757943</v>
      </c>
      <c r="AX181" s="107">
        <v>-10.511475037821482</v>
      </c>
      <c r="AY181" s="107">
        <v>-10.146119515885022</v>
      </c>
      <c r="AZ181" s="107">
        <v>-9.7807639939485611</v>
      </c>
      <c r="BA181" s="107">
        <v>-9.5615606060606044</v>
      </c>
      <c r="BB181" s="107">
        <v>-9.3744393939393937</v>
      </c>
      <c r="BC181" s="107">
        <v>-9.1873181818181813</v>
      </c>
      <c r="BD181" s="107">
        <v>-9.0001969696969688</v>
      </c>
      <c r="BE181" s="107">
        <v>-8.8130757575757563</v>
      </c>
      <c r="BF181" s="107">
        <v>-8.6259545454545457</v>
      </c>
      <c r="BG181" s="107">
        <v>-8.4656867469879522</v>
      </c>
      <c r="BH181" s="107">
        <v>-8.4006265060240963</v>
      </c>
      <c r="BI181" s="107">
        <v>-8.3536727272727269</v>
      </c>
      <c r="BJ181" s="107">
        <v>-8.3209454545454538</v>
      </c>
      <c r="BK181" s="107">
        <v>-8.3080727272727266</v>
      </c>
      <c r="BL181" s="107">
        <v>-8.3007878787878795</v>
      </c>
      <c r="BM181" s="107">
        <v>-8.3038181818181815</v>
      </c>
      <c r="BN181" s="107">
        <v>-8.3148744326777599</v>
      </c>
      <c r="BO181" s="107">
        <v>-8.3310620272314679</v>
      </c>
      <c r="BP181" s="107">
        <v>-8.3472496217851742</v>
      </c>
      <c r="BQ181" s="107">
        <v>-8.3634372163388804</v>
      </c>
      <c r="BR181" s="107">
        <v>-8.3796248108925866</v>
      </c>
      <c r="BS181" s="107">
        <v>-8.3958124054462946</v>
      </c>
      <c r="BT181" s="107">
        <v>-8.4120000000000008</v>
      </c>
    </row>
    <row r="182" spans="1:72" ht="9.9499999999999993" customHeight="1" thickBot="1" x14ac:dyDescent="0.4">
      <c r="A182" s="45" t="s">
        <v>59</v>
      </c>
      <c r="B182" s="35">
        <v>-16.788181818181819</v>
      </c>
      <c r="C182" s="35">
        <v>-16.205878787878788</v>
      </c>
      <c r="D182" s="107">
        <v>-15.563454545454546</v>
      </c>
      <c r="E182" s="107">
        <v>-14.872363636363636</v>
      </c>
      <c r="F182" s="107">
        <v>-14.143393939393938</v>
      </c>
      <c r="G182" s="107">
        <v>-13.185818181818181</v>
      </c>
      <c r="H182" s="107">
        <v>-12.386144578313253</v>
      </c>
      <c r="I182" s="107">
        <v>-11.795783132530122</v>
      </c>
      <c r="J182" s="107">
        <v>-11.193333333333333</v>
      </c>
      <c r="K182" s="107">
        <v>-10.588509090909092</v>
      </c>
      <c r="L182" s="107">
        <v>-9.9927515151515163</v>
      </c>
      <c r="M182" s="107">
        <v>-9.4448441754916796</v>
      </c>
      <c r="N182" s="107">
        <v>-8.9508956127080186</v>
      </c>
      <c r="O182" s="107">
        <v>-8.4569470499243575</v>
      </c>
      <c r="P182" s="107">
        <v>-7.9629984871406956</v>
      </c>
      <c r="Q182" s="107">
        <v>-7.4690499243570336</v>
      </c>
      <c r="R182" s="107">
        <v>-6.9751013615733726</v>
      </c>
      <c r="S182" s="107">
        <v>-6.4811527987897115</v>
      </c>
      <c r="T182" s="107">
        <v>-6.1581696969696962</v>
      </c>
      <c r="U182" s="107">
        <v>-5.8866909090909081</v>
      </c>
      <c r="V182" s="107">
        <v>-5.7042666666666664</v>
      </c>
      <c r="W182" s="107">
        <v>-5.5717333333333325</v>
      </c>
      <c r="X182" s="107">
        <v>-5.4783999999999997</v>
      </c>
      <c r="Y182" s="107">
        <v>-5.4387530120481928</v>
      </c>
      <c r="Z182" s="107">
        <v>-5.4131515151515153</v>
      </c>
      <c r="AA182" s="107">
        <v>-5.4137575757575753</v>
      </c>
      <c r="AB182" s="107">
        <v>-5.425272727272727</v>
      </c>
      <c r="AC182" s="107">
        <v>-5.4440606060606065</v>
      </c>
      <c r="AD182" s="107">
        <v>-5.4697575757575763</v>
      </c>
      <c r="AE182" s="107">
        <v>-5.4961818181818183</v>
      </c>
      <c r="AF182" s="107">
        <v>-5.5234545454545456</v>
      </c>
      <c r="AG182" s="107">
        <v>-5.5499137670196674</v>
      </c>
      <c r="AH182" s="107">
        <v>-5.5759349470499249</v>
      </c>
      <c r="AI182" s="107">
        <v>-5.6019561270801814</v>
      </c>
      <c r="AJ182" s="107">
        <v>-5.6279773071104389</v>
      </c>
      <c r="AK182" s="107">
        <v>-5.6539984871406963</v>
      </c>
      <c r="AL182" s="107">
        <v>-5.6800196671709529</v>
      </c>
      <c r="AM182" s="107">
        <v>-5.7059863842662635</v>
      </c>
      <c r="AN182" s="107">
        <v>-5.7306459909228442</v>
      </c>
      <c r="AO182" s="107">
        <v>-5.7553055975794249</v>
      </c>
      <c r="AP182" s="107">
        <v>-5.7799652042360066</v>
      </c>
      <c r="AQ182" s="107">
        <v>-5.8046248108925873</v>
      </c>
      <c r="AR182" s="107">
        <v>-5.829284417549168</v>
      </c>
      <c r="AS182" s="107">
        <v>-5.8539440242057488</v>
      </c>
      <c r="AT182" s="107">
        <v>-5.8799046898638432</v>
      </c>
      <c r="AU182" s="107">
        <v>-5.9075900151285934</v>
      </c>
      <c r="AV182" s="107">
        <v>-5.9352753403933436</v>
      </c>
      <c r="AW182" s="107">
        <v>-5.9629606656580938</v>
      </c>
      <c r="AX182" s="107">
        <v>-5.990645990922844</v>
      </c>
      <c r="AY182" s="107">
        <v>-6.0183313161875951</v>
      </c>
      <c r="AZ182" s="107">
        <v>-6.0460166414523453</v>
      </c>
      <c r="BA182" s="107">
        <v>-6.0803212121212127</v>
      </c>
      <c r="BB182" s="107">
        <v>-6.1160787878787879</v>
      </c>
      <c r="BC182" s="107">
        <v>-6.151836363636364</v>
      </c>
      <c r="BD182" s="107">
        <v>-6.1875939393939392</v>
      </c>
      <c r="BE182" s="107">
        <v>-6.2233515151515153</v>
      </c>
      <c r="BF182" s="107">
        <v>-6.2591090909090914</v>
      </c>
      <c r="BG182" s="107">
        <v>-6.294421686746988</v>
      </c>
      <c r="BH182" s="107">
        <v>-6.3281566265060238</v>
      </c>
      <c r="BI182" s="107">
        <v>-6.3603090909090909</v>
      </c>
      <c r="BJ182" s="107">
        <v>-6.3912181818181821</v>
      </c>
      <c r="BK182" s="107">
        <v>-6.4193696969696976</v>
      </c>
      <c r="BL182" s="107">
        <v>-6.4466181818181818</v>
      </c>
      <c r="BM182" s="107">
        <v>-6.4720727272727272</v>
      </c>
      <c r="BN182" s="107">
        <v>-6.4960272314674734</v>
      </c>
      <c r="BO182" s="107">
        <v>-6.5190226928895614</v>
      </c>
      <c r="BP182" s="107">
        <v>-6.5420181543116493</v>
      </c>
      <c r="BQ182" s="107">
        <v>-6.5650136157337373</v>
      </c>
      <c r="BR182" s="107">
        <v>-6.5880090771558244</v>
      </c>
      <c r="BS182" s="107">
        <v>-6.6110045385779124</v>
      </c>
      <c r="BT182" s="107">
        <v>-6.6340000000000003</v>
      </c>
    </row>
    <row r="183" spans="1:72" ht="9.9499999999999993" customHeight="1" thickBot="1" x14ac:dyDescent="0.4">
      <c r="A183" s="45" t="s">
        <v>26</v>
      </c>
      <c r="B183" s="35">
        <v>-18.888727272727273</v>
      </c>
      <c r="C183" s="35">
        <v>-18.91151515151515</v>
      </c>
      <c r="D183" s="107">
        <v>-18.941818181818181</v>
      </c>
      <c r="E183" s="107">
        <v>-18.976545454545455</v>
      </c>
      <c r="F183" s="107">
        <v>-19.008545454545455</v>
      </c>
      <c r="G183" s="107">
        <v>-18.990363636363636</v>
      </c>
      <c r="H183" s="107">
        <v>-18.995542168674699</v>
      </c>
      <c r="I183" s="107">
        <v>-19.031686746987951</v>
      </c>
      <c r="J183" s="107">
        <v>-19.063333333333333</v>
      </c>
      <c r="K183" s="107">
        <v>-19.093636363636364</v>
      </c>
      <c r="L183" s="107">
        <v>-19.123939393939395</v>
      </c>
      <c r="M183" s="107">
        <v>-19.142844175491678</v>
      </c>
      <c r="N183" s="107">
        <v>-19.148895612708017</v>
      </c>
      <c r="O183" s="107">
        <v>-19.154947049924356</v>
      </c>
      <c r="P183" s="107">
        <v>-19.160998487140695</v>
      </c>
      <c r="Q183" s="107">
        <v>-19.167049924357034</v>
      </c>
      <c r="R183" s="107">
        <v>-19.173101361573373</v>
      </c>
      <c r="S183" s="107">
        <v>-19.179152798789712</v>
      </c>
      <c r="T183" s="107">
        <v>-19.153939393939392</v>
      </c>
      <c r="U183" s="107">
        <v>-19.123636363636361</v>
      </c>
      <c r="V183" s="107">
        <v>-19.09333333333333</v>
      </c>
      <c r="W183" s="107">
        <v>-19.06642424242424</v>
      </c>
      <c r="X183" s="107">
        <v>-19.042181818181817</v>
      </c>
      <c r="Y183" s="107">
        <v>-19.034518072289156</v>
      </c>
      <c r="Z183" s="107">
        <v>-19.031515151515151</v>
      </c>
      <c r="AA183" s="107">
        <v>-19.037575757575759</v>
      </c>
      <c r="AB183" s="107">
        <v>-19.047272727272727</v>
      </c>
      <c r="AC183" s="107">
        <v>-19.059393939393939</v>
      </c>
      <c r="AD183" s="107">
        <v>-19.07151515151515</v>
      </c>
      <c r="AE183" s="107">
        <v>-19.085454545454542</v>
      </c>
      <c r="AF183" s="107">
        <v>-19.103636363636362</v>
      </c>
      <c r="AG183" s="107">
        <v>-19.12376701966717</v>
      </c>
      <c r="AH183" s="107">
        <v>-19.144947049924358</v>
      </c>
      <c r="AI183" s="107">
        <v>-19.166127080181543</v>
      </c>
      <c r="AJ183" s="107">
        <v>-19.187307110438727</v>
      </c>
      <c r="AK183" s="107">
        <v>-19.208487140695915</v>
      </c>
      <c r="AL183" s="107">
        <v>-19.2296671709531</v>
      </c>
      <c r="AM183" s="107">
        <v>-19.250786686838126</v>
      </c>
      <c r="AN183" s="107">
        <v>-19.270453857791225</v>
      </c>
      <c r="AO183" s="107">
        <v>-19.290121028744327</v>
      </c>
      <c r="AP183" s="107">
        <v>-19.309788199697426</v>
      </c>
      <c r="AQ183" s="107">
        <v>-19.329455370650528</v>
      </c>
      <c r="AR183" s="107">
        <v>-19.349122541603631</v>
      </c>
      <c r="AS183" s="107">
        <v>-19.36878971255673</v>
      </c>
      <c r="AT183" s="107">
        <v>-19.388456883509832</v>
      </c>
      <c r="AU183" s="107">
        <v>-19.408124054462935</v>
      </c>
      <c r="AV183" s="107">
        <v>-19.427791225416037</v>
      </c>
      <c r="AW183" s="107">
        <v>-19.447458396369139</v>
      </c>
      <c r="AX183" s="107">
        <v>-19.467125567322238</v>
      </c>
      <c r="AY183" s="107">
        <v>-19.486792738275341</v>
      </c>
      <c r="AZ183" s="107">
        <v>-19.506459909228443</v>
      </c>
      <c r="BA183" s="107">
        <v>-19.526151515151518</v>
      </c>
      <c r="BB183" s="107">
        <v>-19.545848484848488</v>
      </c>
      <c r="BC183" s="107">
        <v>-19.565545454545457</v>
      </c>
      <c r="BD183" s="107">
        <v>-19.585242424242427</v>
      </c>
      <c r="BE183" s="107">
        <v>-19.604939393939397</v>
      </c>
      <c r="BF183" s="107">
        <v>-19.624636363636366</v>
      </c>
      <c r="BG183" s="107">
        <v>-19.643975903614457</v>
      </c>
      <c r="BH183" s="107">
        <v>-19.662048192771085</v>
      </c>
      <c r="BI183" s="107">
        <v>-19.680181818181818</v>
      </c>
      <c r="BJ183" s="107">
        <v>-19.698363636363634</v>
      </c>
      <c r="BK183" s="107">
        <v>-19.716545454545454</v>
      </c>
      <c r="BL183" s="107">
        <v>-19.734727272727273</v>
      </c>
      <c r="BM183" s="107">
        <v>-19.752909090909093</v>
      </c>
      <c r="BN183" s="107">
        <v>-19.771074130105902</v>
      </c>
      <c r="BO183" s="107">
        <v>-19.789228441754918</v>
      </c>
      <c r="BP183" s="107">
        <v>-19.807382753403935</v>
      </c>
      <c r="BQ183" s="107">
        <v>-19.825537065052949</v>
      </c>
      <c r="BR183" s="107">
        <v>-19.843691376701965</v>
      </c>
      <c r="BS183" s="107">
        <v>-19.861845688350982</v>
      </c>
      <c r="BT183" s="107">
        <v>-19.88</v>
      </c>
    </row>
    <row r="184" spans="1:72" ht="9.9499999999999993" customHeight="1" thickBot="1" x14ac:dyDescent="0.4">
      <c r="A184" s="38" t="s">
        <v>5</v>
      </c>
      <c r="B184" s="35">
        <v>-60.883878787878785</v>
      </c>
      <c r="C184" s="35">
        <v>-58.790060606060599</v>
      </c>
      <c r="D184" s="107">
        <v>-56.711272727272721</v>
      </c>
      <c r="E184" s="107">
        <v>-54.641333333333328</v>
      </c>
      <c r="F184" s="107">
        <v>-52.535393939393941</v>
      </c>
      <c r="G184" s="107">
        <v>-49.977818181818179</v>
      </c>
      <c r="H184" s="107">
        <v>-47.784337349397589</v>
      </c>
      <c r="I184" s="107">
        <v>-46.073493975903617</v>
      </c>
      <c r="J184" s="107">
        <v>-44.378</v>
      </c>
      <c r="K184" s="107">
        <v>-42.69290909090909</v>
      </c>
      <c r="L184" s="107">
        <v>-41.050484848484849</v>
      </c>
      <c r="M184" s="107">
        <v>-39.518729198184573</v>
      </c>
      <c r="N184" s="107">
        <v>-38.111770045385782</v>
      </c>
      <c r="O184" s="107">
        <v>-36.704810892586991</v>
      </c>
      <c r="P184" s="107">
        <v>-35.2978517397882</v>
      </c>
      <c r="Q184" s="107">
        <v>-33.890892586989409</v>
      </c>
      <c r="R184" s="107">
        <v>-32.483933434190618</v>
      </c>
      <c r="S184" s="107">
        <v>-31.076974281391827</v>
      </c>
      <c r="T184" s="107">
        <v>-29.905333333333331</v>
      </c>
      <c r="U184" s="107">
        <v>-28.792363636363635</v>
      </c>
      <c r="V184" s="107">
        <v>-27.756</v>
      </c>
      <c r="W184" s="107">
        <v>-26.750181818181815</v>
      </c>
      <c r="X184" s="107">
        <v>-25.768363636363635</v>
      </c>
      <c r="Y184" s="107">
        <v>-24.846746987951807</v>
      </c>
      <c r="Z184" s="107">
        <v>-23.941818181818181</v>
      </c>
      <c r="AA184" s="107">
        <v>-23.069090909090907</v>
      </c>
      <c r="AB184" s="107">
        <v>-22.236363636363635</v>
      </c>
      <c r="AC184" s="107">
        <v>-21.43030303030303</v>
      </c>
      <c r="AD184" s="107">
        <v>-20.687575757575758</v>
      </c>
      <c r="AE184" s="107">
        <v>-19.966363636363639</v>
      </c>
      <c r="AF184" s="107">
        <v>-19.287575757575759</v>
      </c>
      <c r="AG184" s="107">
        <v>-18.675340393343419</v>
      </c>
      <c r="AH184" s="107">
        <v>-18.098940998487141</v>
      </c>
      <c r="AI184" s="107">
        <v>-17.522541603630863</v>
      </c>
      <c r="AJ184" s="107">
        <v>-16.946142208774585</v>
      </c>
      <c r="AK184" s="107">
        <v>-16.369742813918307</v>
      </c>
      <c r="AL184" s="107">
        <v>-15.79334341906203</v>
      </c>
      <c r="AM184" s="107">
        <v>-15.221180030257187</v>
      </c>
      <c r="AN184" s="107">
        <v>-14.750680786686839</v>
      </c>
      <c r="AO184" s="107">
        <v>-14.280181543116491</v>
      </c>
      <c r="AP184" s="107">
        <v>-13.809682299546145</v>
      </c>
      <c r="AQ184" s="107">
        <v>-13.339183055975797</v>
      </c>
      <c r="AR184" s="107">
        <v>-12.868683812405449</v>
      </c>
      <c r="AS184" s="107">
        <v>-12.398184568835102</v>
      </c>
      <c r="AT184" s="107">
        <v>-11.972897125567325</v>
      </c>
      <c r="AU184" s="107">
        <v>-11.607541603630864</v>
      </c>
      <c r="AV184" s="107">
        <v>-11.242186081694403</v>
      </c>
      <c r="AW184" s="107">
        <v>-10.876830559757943</v>
      </c>
      <c r="AX184" s="107">
        <v>-10.511475037821482</v>
      </c>
      <c r="AY184" s="107">
        <v>-10.146119515885022</v>
      </c>
      <c r="AZ184" s="107">
        <v>-9.7807639939485611</v>
      </c>
      <c r="BA184" s="107">
        <v>-9.5615606060606044</v>
      </c>
      <c r="BB184" s="107">
        <v>-9.3744393939393937</v>
      </c>
      <c r="BC184" s="107">
        <v>-9.1873181818181813</v>
      </c>
      <c r="BD184" s="107">
        <v>-9.0001969696969688</v>
      </c>
      <c r="BE184" s="107">
        <v>-8.8130757575757563</v>
      </c>
      <c r="BF184" s="107">
        <v>-8.6259545454545457</v>
      </c>
      <c r="BG184" s="107">
        <v>-8.4656867469879522</v>
      </c>
      <c r="BH184" s="107">
        <v>-8.4006265060240963</v>
      </c>
      <c r="BI184" s="107">
        <v>-8.3536727272727269</v>
      </c>
      <c r="BJ184" s="107">
        <v>-8.3209454545454538</v>
      </c>
      <c r="BK184" s="107">
        <v>-8.3080727272727266</v>
      </c>
      <c r="BL184" s="107">
        <v>-8.3007878787878795</v>
      </c>
      <c r="BM184" s="107">
        <v>-8.3038181818181815</v>
      </c>
      <c r="BN184" s="107">
        <v>-8.3148744326777599</v>
      </c>
      <c r="BO184" s="107">
        <v>-8.3310620272314679</v>
      </c>
      <c r="BP184" s="107">
        <v>-8.3472496217851742</v>
      </c>
      <c r="BQ184" s="107">
        <v>-8.3634372163388804</v>
      </c>
      <c r="BR184" s="107">
        <v>-8.3796248108925866</v>
      </c>
      <c r="BS184" s="107">
        <v>-8.3958124054462946</v>
      </c>
      <c r="BT184" s="107">
        <v>-8.4120000000000008</v>
      </c>
    </row>
    <row r="185" spans="1:72" ht="9.9499999999999993" customHeight="1" thickBot="1" x14ac:dyDescent="0.4">
      <c r="A185" s="38" t="s">
        <v>6</v>
      </c>
      <c r="B185" s="35">
        <v>-16.788181818181819</v>
      </c>
      <c r="C185" s="35">
        <v>-16.205878787878788</v>
      </c>
      <c r="D185" s="107">
        <v>-15.563454545454546</v>
      </c>
      <c r="E185" s="107">
        <v>-14.872363636363636</v>
      </c>
      <c r="F185" s="107">
        <v>-14.143393939393938</v>
      </c>
      <c r="G185" s="107">
        <v>-13.185818181818181</v>
      </c>
      <c r="H185" s="107">
        <v>-12.386144578313253</v>
      </c>
      <c r="I185" s="107">
        <v>-11.795783132530122</v>
      </c>
      <c r="J185" s="107">
        <v>-11.193333333333333</v>
      </c>
      <c r="K185" s="107">
        <v>-10.588509090909092</v>
      </c>
      <c r="L185" s="107">
        <v>-9.9927515151515163</v>
      </c>
      <c r="M185" s="107">
        <v>-9.4448441754916796</v>
      </c>
      <c r="N185" s="107">
        <v>-8.9508956127080186</v>
      </c>
      <c r="O185" s="107">
        <v>-8.4569470499243575</v>
      </c>
      <c r="P185" s="107">
        <v>-7.9629984871406956</v>
      </c>
      <c r="Q185" s="107">
        <v>-7.4690499243570336</v>
      </c>
      <c r="R185" s="107">
        <v>-6.9751013615733726</v>
      </c>
      <c r="S185" s="107">
        <v>-6.4811527987897115</v>
      </c>
      <c r="T185" s="107">
        <v>-6.1581696969696962</v>
      </c>
      <c r="U185" s="107">
        <v>-5.8866909090909081</v>
      </c>
      <c r="V185" s="107">
        <v>-5.7042666666666664</v>
      </c>
      <c r="W185" s="107">
        <v>-5.5717333333333325</v>
      </c>
      <c r="X185" s="107">
        <v>-5.4783999999999997</v>
      </c>
      <c r="Y185" s="107">
        <v>-5.4387530120481928</v>
      </c>
      <c r="Z185" s="107">
        <v>-5.4131515151515153</v>
      </c>
      <c r="AA185" s="107">
        <v>-5.4137575757575753</v>
      </c>
      <c r="AB185" s="107">
        <v>-5.425272727272727</v>
      </c>
      <c r="AC185" s="107">
        <v>-5.4440606060606065</v>
      </c>
      <c r="AD185" s="107">
        <v>-5.4697575757575763</v>
      </c>
      <c r="AE185" s="107">
        <v>-5.4961818181818183</v>
      </c>
      <c r="AF185" s="107">
        <v>-5.5234545454545456</v>
      </c>
      <c r="AG185" s="107">
        <v>-5.5499137670196674</v>
      </c>
      <c r="AH185" s="107">
        <v>-5.5759349470499249</v>
      </c>
      <c r="AI185" s="107">
        <v>-5.6019561270801814</v>
      </c>
      <c r="AJ185" s="107">
        <v>-5.6279773071104389</v>
      </c>
      <c r="AK185" s="107">
        <v>-5.6539984871406963</v>
      </c>
      <c r="AL185" s="107">
        <v>-5.6800196671709529</v>
      </c>
      <c r="AM185" s="107">
        <v>-5.7059863842662635</v>
      </c>
      <c r="AN185" s="107">
        <v>-5.7306459909228442</v>
      </c>
      <c r="AO185" s="107">
        <v>-5.7553055975794249</v>
      </c>
      <c r="AP185" s="107">
        <v>-5.7799652042360066</v>
      </c>
      <c r="AQ185" s="107">
        <v>-5.8046248108925873</v>
      </c>
      <c r="AR185" s="107">
        <v>-5.829284417549168</v>
      </c>
      <c r="AS185" s="107">
        <v>-5.8539440242057488</v>
      </c>
      <c r="AT185" s="107">
        <v>-5.8799046898638432</v>
      </c>
      <c r="AU185" s="107">
        <v>-5.9075900151285934</v>
      </c>
      <c r="AV185" s="107">
        <v>-5.9352753403933436</v>
      </c>
      <c r="AW185" s="107">
        <v>-5.9629606656580938</v>
      </c>
      <c r="AX185" s="107">
        <v>-5.990645990922844</v>
      </c>
      <c r="AY185" s="107">
        <v>-6.0183313161875951</v>
      </c>
      <c r="AZ185" s="107">
        <v>-6.0460166414523453</v>
      </c>
      <c r="BA185" s="107">
        <v>-6.0803212121212127</v>
      </c>
      <c r="BB185" s="107">
        <v>-6.1160787878787879</v>
      </c>
      <c r="BC185" s="107">
        <v>-6.151836363636364</v>
      </c>
      <c r="BD185" s="107">
        <v>-6.1875939393939392</v>
      </c>
      <c r="BE185" s="107">
        <v>-6.2233515151515153</v>
      </c>
      <c r="BF185" s="107">
        <v>-6.2591090909090914</v>
      </c>
      <c r="BG185" s="107">
        <v>-6.294421686746988</v>
      </c>
      <c r="BH185" s="107">
        <v>-6.3281566265060238</v>
      </c>
      <c r="BI185" s="107">
        <v>-6.3603090909090909</v>
      </c>
      <c r="BJ185" s="107">
        <v>-6.3912181818181821</v>
      </c>
      <c r="BK185" s="107">
        <v>-6.4193696969696976</v>
      </c>
      <c r="BL185" s="107">
        <v>-6.4466181818181818</v>
      </c>
      <c r="BM185" s="107">
        <v>-6.4720727272727272</v>
      </c>
      <c r="BN185" s="107">
        <v>-6.4960272314674734</v>
      </c>
      <c r="BO185" s="107">
        <v>-6.5190226928895614</v>
      </c>
      <c r="BP185" s="107">
        <v>-6.5420181543116493</v>
      </c>
      <c r="BQ185" s="107">
        <v>-6.5650136157337373</v>
      </c>
      <c r="BR185" s="107">
        <v>-6.5880090771558244</v>
      </c>
      <c r="BS185" s="107">
        <v>-6.6110045385779124</v>
      </c>
      <c r="BT185" s="107">
        <v>-6.6340000000000003</v>
      </c>
    </row>
    <row r="186" spans="1:72" ht="9.9499999999999993" customHeight="1" thickBot="1" x14ac:dyDescent="0.4">
      <c r="A186" s="38" t="s">
        <v>7</v>
      </c>
      <c r="B186" s="35">
        <v>-21.72430303030303</v>
      </c>
      <c r="C186" s="35">
        <v>-21.350969696969695</v>
      </c>
      <c r="D186" s="107">
        <v>-21.090363636363637</v>
      </c>
      <c r="E186" s="107">
        <v>-20.949212121212121</v>
      </c>
      <c r="F186" s="107">
        <v>-20.888121212121213</v>
      </c>
      <c r="G186" s="107">
        <v>-21.239636363636365</v>
      </c>
      <c r="H186" s="107">
        <v>-21.41409638554217</v>
      </c>
      <c r="I186" s="107">
        <v>-21.353855421686745</v>
      </c>
      <c r="J186" s="107">
        <v>-21.363333333333333</v>
      </c>
      <c r="K186" s="107">
        <v>-21.400909090909092</v>
      </c>
      <c r="L186" s="107">
        <v>-21.491818181818182</v>
      </c>
      <c r="M186" s="107">
        <v>-21.601149773071104</v>
      </c>
      <c r="N186" s="107">
        <v>-21.731255673222389</v>
      </c>
      <c r="O186" s="107">
        <v>-21.861361573373674</v>
      </c>
      <c r="P186" s="107">
        <v>-21.99146747352496</v>
      </c>
      <c r="Q186" s="107">
        <v>-22.121573373676249</v>
      </c>
      <c r="R186" s="107">
        <v>-22.251679273827534</v>
      </c>
      <c r="S186" s="107">
        <v>-22.38178517397882</v>
      </c>
      <c r="T186" s="107">
        <v>-22.504242424242424</v>
      </c>
      <c r="U186" s="107">
        <v>-22.624181818181821</v>
      </c>
      <c r="V186" s="107">
        <v>-22.739333333333335</v>
      </c>
      <c r="W186" s="107">
        <v>-22.854484848484848</v>
      </c>
      <c r="X186" s="107">
        <v>-22.969636363636365</v>
      </c>
      <c r="Y186" s="107">
        <v>-23.095120481927712</v>
      </c>
      <c r="Z186" s="107">
        <v>-23.224848484848486</v>
      </c>
      <c r="AA186" s="107">
        <v>-23.364242424242427</v>
      </c>
      <c r="AB186" s="107">
        <v>-23.503636363636364</v>
      </c>
      <c r="AC186" s="107">
        <v>-23.643030303030301</v>
      </c>
      <c r="AD186" s="107">
        <v>-23.782424242424241</v>
      </c>
      <c r="AE186" s="107">
        <v>-23.923636363636362</v>
      </c>
      <c r="AF186" s="107">
        <v>-24.06909090909091</v>
      </c>
      <c r="AG186" s="107">
        <v>-24.211452344931921</v>
      </c>
      <c r="AH186" s="107">
        <v>-24.352148260211802</v>
      </c>
      <c r="AI186" s="107">
        <v>-24.49284417549168</v>
      </c>
      <c r="AJ186" s="107">
        <v>-24.633540090771557</v>
      </c>
      <c r="AK186" s="107">
        <v>-24.774236006051439</v>
      </c>
      <c r="AL186" s="107">
        <v>-24.914931921331316</v>
      </c>
      <c r="AM186" s="107">
        <v>-25.055385779122542</v>
      </c>
      <c r="AN186" s="107">
        <v>-25.190030257186081</v>
      </c>
      <c r="AO186" s="107">
        <v>-25.324674735249623</v>
      </c>
      <c r="AP186" s="107">
        <v>-25.459319213313162</v>
      </c>
      <c r="AQ186" s="107">
        <v>-25.593963691376704</v>
      </c>
      <c r="AR186" s="107">
        <v>-25.728608169440243</v>
      </c>
      <c r="AS186" s="107">
        <v>-25.863252647503781</v>
      </c>
      <c r="AT186" s="107">
        <v>-25.994644478063542</v>
      </c>
      <c r="AU186" s="107">
        <v>-26.121724659606656</v>
      </c>
      <c r="AV186" s="107">
        <v>-26.248804841149774</v>
      </c>
      <c r="AW186" s="107">
        <v>-26.375885022692891</v>
      </c>
      <c r="AX186" s="107">
        <v>-26.502965204236009</v>
      </c>
      <c r="AY186" s="107">
        <v>-26.630045385779123</v>
      </c>
      <c r="AZ186" s="107">
        <v>-26.757125567322241</v>
      </c>
      <c r="BA186" s="107">
        <v>-26.876909090909091</v>
      </c>
      <c r="BB186" s="107">
        <v>-26.995090909090909</v>
      </c>
      <c r="BC186" s="107">
        <v>-27.113272727272729</v>
      </c>
      <c r="BD186" s="107">
        <v>-27.231454545454547</v>
      </c>
      <c r="BE186" s="107">
        <v>-27.349636363636364</v>
      </c>
      <c r="BF186" s="107">
        <v>-27.467818181818181</v>
      </c>
      <c r="BG186" s="107">
        <v>-27.586506024096384</v>
      </c>
      <c r="BH186" s="107">
        <v>-27.706987951807228</v>
      </c>
      <c r="BI186" s="107">
        <v>-27.82448484848485</v>
      </c>
      <c r="BJ186" s="107">
        <v>-27.939636363636364</v>
      </c>
      <c r="BK186" s="107">
        <v>-28.060303030303029</v>
      </c>
      <c r="BL186" s="107">
        <v>-28.18151515151515</v>
      </c>
      <c r="BM186" s="107">
        <v>-28.302727272727275</v>
      </c>
      <c r="BN186" s="107">
        <v>-28.421981845688354</v>
      </c>
      <c r="BO186" s="107">
        <v>-28.539984871406961</v>
      </c>
      <c r="BP186" s="107">
        <v>-28.657987897125569</v>
      </c>
      <c r="BQ186" s="107">
        <v>-28.775990922844176</v>
      </c>
      <c r="BR186" s="107">
        <v>-28.893993948562784</v>
      </c>
      <c r="BS186" s="107">
        <v>-29.011996974281391</v>
      </c>
      <c r="BT186" s="107">
        <v>-29.13</v>
      </c>
    </row>
    <row r="187" spans="1:72" ht="9.9499999999999993" customHeight="1" thickBot="1" x14ac:dyDescent="0.4">
      <c r="A187" s="38"/>
      <c r="D187" s="107"/>
      <c r="E187" s="107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  <c r="AY187" s="107"/>
      <c r="AZ187" s="107"/>
      <c r="BA187" s="107"/>
      <c r="BB187" s="107"/>
      <c r="BC187" s="107"/>
      <c r="BD187" s="107"/>
      <c r="BE187" s="107"/>
      <c r="BF187" s="107"/>
      <c r="BG187" s="107"/>
      <c r="BH187" s="107"/>
      <c r="BI187" s="107"/>
      <c r="BJ187" s="107"/>
      <c r="BK187" s="107"/>
      <c r="BL187" s="107"/>
      <c r="BM187" s="107"/>
      <c r="BN187" s="107"/>
      <c r="BO187" s="107"/>
      <c r="BP187" s="107"/>
      <c r="BQ187" s="107"/>
      <c r="BR187" s="107"/>
      <c r="BS187" s="107"/>
      <c r="BT187" s="107"/>
    </row>
    <row r="188" spans="1:72" ht="9.9499999999999993" customHeight="1" thickBot="1" x14ac:dyDescent="0.4">
      <c r="A188" s="38"/>
      <c r="D188" s="107"/>
      <c r="E188" s="107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</row>
    <row r="189" spans="1:72" ht="9.9499999999999993" customHeight="1" thickBot="1" x14ac:dyDescent="0.4">
      <c r="A189" s="38"/>
      <c r="D189" s="107"/>
      <c r="E189" s="107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</row>
    <row r="190" spans="1:72" ht="9.9499999999999993" customHeight="1" thickBot="1" x14ac:dyDescent="0.4">
      <c r="A190" s="38"/>
      <c r="D190" s="107"/>
      <c r="E190" s="107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  <c r="BI190" s="107"/>
      <c r="BJ190" s="107"/>
      <c r="BK190" s="107"/>
      <c r="BL190" s="107"/>
      <c r="BM190" s="107"/>
      <c r="BN190" s="107"/>
      <c r="BO190" s="107"/>
      <c r="BP190" s="107"/>
      <c r="BQ190" s="107"/>
      <c r="BR190" s="107"/>
      <c r="BS190" s="107"/>
      <c r="BT190" s="107"/>
    </row>
    <row r="191" spans="1:72" ht="9.9499999999999993" customHeight="1" thickBot="1" x14ac:dyDescent="0.4">
      <c r="A191" s="38"/>
      <c r="D191" s="107"/>
      <c r="E191" s="107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</row>
    <row r="192" spans="1:72" ht="9.9499999999999993" customHeight="1" thickBot="1" x14ac:dyDescent="0.4">
      <c r="A192" s="38"/>
      <c r="D192" s="107"/>
      <c r="E192" s="107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</row>
    <row r="193" spans="1:72" ht="9.9499999999999993" customHeight="1" thickBot="1" x14ac:dyDescent="0.4">
      <c r="A193" s="38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</row>
    <row r="194" spans="1:72" ht="30" customHeight="1" thickTop="1" thickBot="1" x14ac:dyDescent="0.4">
      <c r="A194" s="4" t="s">
        <v>77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95"/>
  <sheetViews>
    <sheetView tabSelected="1" zoomScale="70" zoomScaleNormal="70" workbookViewId="0">
      <pane ySplit="1" topLeftCell="A65" activePane="bottomLeft" state="frozen"/>
      <selection pane="bottomLeft" activeCell="CG152" sqref="CG152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339.2</v>
      </c>
      <c r="D2" s="62">
        <f>FLUID!H3</f>
        <v>405.3</v>
      </c>
      <c r="E2" s="62">
        <f>FLUID!I3</f>
        <v>471.4</v>
      </c>
      <c r="F2" s="62">
        <f>FLUID!J3</f>
        <v>537.5</v>
      </c>
      <c r="G2" s="62">
        <f>FLUID!K3</f>
        <v>554</v>
      </c>
      <c r="H2" s="62">
        <f>FLUID!L3</f>
        <v>570.5</v>
      </c>
      <c r="I2" s="62">
        <f>FLUID!M3</f>
        <v>587</v>
      </c>
      <c r="J2" s="62">
        <f>FLUID!N3</f>
        <v>603.5</v>
      </c>
      <c r="K2" s="62">
        <f>FLUID!O3</f>
        <v>669.6</v>
      </c>
      <c r="L2" s="62">
        <f>FLUID!P3</f>
        <v>735.7</v>
      </c>
      <c r="M2" s="62">
        <f>FLUID!Q3</f>
        <v>801.8</v>
      </c>
      <c r="N2" s="62">
        <f>FLUID!R3</f>
        <v>867.8</v>
      </c>
      <c r="O2" s="62">
        <f>FLUID!S3</f>
        <v>933.9</v>
      </c>
      <c r="P2" s="62">
        <f>FLUID!T3</f>
        <v>950.4</v>
      </c>
      <c r="Q2" s="62">
        <f>FLUID!U3</f>
        <v>967</v>
      </c>
      <c r="R2" s="62">
        <f>FLUID!V3</f>
        <v>983.5</v>
      </c>
      <c r="S2" s="62">
        <f>FLUID!W3</f>
        <v>1000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Se3</v>
      </c>
      <c r="B3" s="16">
        <f>FLUID!F4</f>
        <v>1.2831999999999999E-25</v>
      </c>
      <c r="C3" s="16">
        <f>FLUID!G4</f>
        <v>1.9425E-19</v>
      </c>
      <c r="D3" s="16">
        <f>FLUID!H4</f>
        <v>2.2298999999999998E-15</v>
      </c>
      <c r="E3" s="16">
        <f>FLUID!I4</f>
        <v>1.5929E-12</v>
      </c>
      <c r="F3" s="16">
        <f>FLUID!J4</f>
        <v>2.0498E-10</v>
      </c>
      <c r="G3" s="16">
        <f>FLUID!K4</f>
        <v>5.7095999999999996E-10</v>
      </c>
      <c r="H3" s="16">
        <f>FLUID!L4</f>
        <v>1.4969999999999999E-9</v>
      </c>
      <c r="I3" s="16">
        <f>FLUID!M4</f>
        <v>3.7180000000000002E-9</v>
      </c>
      <c r="J3" s="16">
        <f>FLUID!N4</f>
        <v>8.7965000000000004E-9</v>
      </c>
      <c r="K3" s="16">
        <f>FLUID!O4</f>
        <v>1.8316999999999999E-7</v>
      </c>
      <c r="L3" s="16">
        <f>FLUID!P4</f>
        <v>2.1741999999999999E-6</v>
      </c>
      <c r="M3" s="16">
        <f>FLUID!Q4</f>
        <v>1.6022E-5</v>
      </c>
      <c r="N3" s="16">
        <f>FLUID!R4</f>
        <v>7.9373000000000001E-5</v>
      </c>
      <c r="O3" s="16">
        <f>FLUID!S4</f>
        <v>2.7228000000000002E-4</v>
      </c>
      <c r="P3" s="16">
        <f>FLUID!T4</f>
        <v>3.4900000000000003E-4</v>
      </c>
      <c r="Q3" s="16">
        <f>FLUID!U4</f>
        <v>4.3608999999999998E-4</v>
      </c>
      <c r="R3" s="16">
        <f>FLUID!V4</f>
        <v>5.3089999999999995E-4</v>
      </c>
      <c r="S3" s="16">
        <f>FLUID!W4</f>
        <v>6.2951999999999995E-4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Se4</v>
      </c>
      <c r="B4" s="16">
        <f>FLUID!F5</f>
        <v>1.0488E-23</v>
      </c>
      <c r="C4" s="16">
        <f>FLUID!G5</f>
        <v>3.9577999999999998E-18</v>
      </c>
      <c r="D4" s="16">
        <f>FLUID!H5</f>
        <v>1.6717000000000001E-14</v>
      </c>
      <c r="E4" s="16">
        <f>FLUID!I5</f>
        <v>5.5917000000000001E-12</v>
      </c>
      <c r="F4" s="16">
        <f>FLUID!J5</f>
        <v>3.9631999999999998E-10</v>
      </c>
      <c r="G4" s="16">
        <f>FLUID!K5</f>
        <v>9.7003000000000001E-10</v>
      </c>
      <c r="H4" s="16">
        <f>FLUID!L5</f>
        <v>2.2504E-9</v>
      </c>
      <c r="I4" s="16">
        <f>FLUID!M5</f>
        <v>4.9784999999999997E-9</v>
      </c>
      <c r="J4" s="16">
        <f>FLUID!N5</f>
        <v>1.0557999999999999E-8</v>
      </c>
      <c r="K4" s="16">
        <f>FLUID!O5</f>
        <v>1.4999999999999999E-7</v>
      </c>
      <c r="L4" s="16">
        <f>FLUID!P5</f>
        <v>1.2964E-6</v>
      </c>
      <c r="M4" s="16">
        <f>FLUID!Q5</f>
        <v>7.2142000000000003E-6</v>
      </c>
      <c r="N4" s="16">
        <f>FLUID!R5</f>
        <v>2.7393E-5</v>
      </c>
      <c r="O4" s="16">
        <f>FLUID!S5</f>
        <v>7.1099999999999994E-5</v>
      </c>
      <c r="P4" s="16">
        <f>FLUID!T5</f>
        <v>8.4475999999999996E-5</v>
      </c>
      <c r="Q4" s="16">
        <f>FLUID!U5</f>
        <v>9.7503999999999993E-5</v>
      </c>
      <c r="R4" s="16">
        <f>FLUID!V5</f>
        <v>1.0922E-4</v>
      </c>
      <c r="S4" s="16">
        <f>FLUID!W5</f>
        <v>1.1868E-4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Se5</v>
      </c>
      <c r="B5" s="16">
        <f>FLUID!F6</f>
        <v>2.3519999999999999E-20</v>
      </c>
      <c r="C5" s="16">
        <f>FLUID!G6</f>
        <v>2.9041E-15</v>
      </c>
      <c r="D5" s="16">
        <f>FLUID!H6</f>
        <v>5.4777999999999999E-12</v>
      </c>
      <c r="E5" s="16">
        <f>FLUID!I6</f>
        <v>9.9176999999999998E-10</v>
      </c>
      <c r="F5" s="16">
        <f>FLUID!J6</f>
        <v>4.3318999999999999E-8</v>
      </c>
      <c r="G5" s="16">
        <f>FLUID!K6</f>
        <v>9.5450999999999999E-8</v>
      </c>
      <c r="H5" s="16">
        <f>FLUID!L6</f>
        <v>2.0048999999999999E-7</v>
      </c>
      <c r="I5" s="16">
        <f>FLUID!M6</f>
        <v>4.0376000000000001E-7</v>
      </c>
      <c r="J5" s="16">
        <f>FLUID!N6</f>
        <v>7.8352000000000002E-7</v>
      </c>
      <c r="K5" s="16">
        <f>FLUID!O6</f>
        <v>8.1723999999999999E-6</v>
      </c>
      <c r="L5" s="16">
        <f>FLUID!P6</f>
        <v>5.4653E-5</v>
      </c>
      <c r="M5" s="16">
        <f>FLUID!Q6</f>
        <v>2.4179E-4</v>
      </c>
      <c r="N5" s="16">
        <f>FLUID!R6</f>
        <v>7.3530999999999998E-4</v>
      </c>
      <c r="O5" s="16">
        <f>FLUID!S6</f>
        <v>1.5001000000000001E-3</v>
      </c>
      <c r="P5" s="16">
        <f>FLUID!T6</f>
        <v>1.6666000000000001E-3</v>
      </c>
      <c r="Q5" s="16">
        <f>FLUID!U6</f>
        <v>1.792E-3</v>
      </c>
      <c r="R5" s="16">
        <f>FLUID!V6</f>
        <v>1.8621E-3</v>
      </c>
      <c r="S5" s="16">
        <f>FLUID!W6</f>
        <v>1.869E-3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See</v>
      </c>
      <c r="B6" s="16">
        <f>FLUID!F7</f>
        <v>7.0142999999999997E-18</v>
      </c>
      <c r="C6" s="16">
        <f>FLUID!G7</f>
        <v>1.2472999999999999E-13</v>
      </c>
      <c r="D6" s="16">
        <f>FLUID!H7</f>
        <v>6.0163000000000002E-11</v>
      </c>
      <c r="E6" s="16">
        <f>FLUID!I7</f>
        <v>3.9376999999999998E-9</v>
      </c>
      <c r="F6" s="16">
        <f>FLUID!J7</f>
        <v>7.8069999999999997E-8</v>
      </c>
      <c r="G6" s="16">
        <f>FLUID!K7</f>
        <v>1.451E-7</v>
      </c>
      <c r="H6" s="16">
        <f>FLUID!L7</f>
        <v>2.5949E-7</v>
      </c>
      <c r="I6" s="16">
        <f>FLUID!M7</f>
        <v>4.4887999999999998E-7</v>
      </c>
      <c r="J6" s="16">
        <f>FLUID!N7</f>
        <v>7.5448999999999998E-7</v>
      </c>
      <c r="K6" s="16">
        <f>FLUID!O7</f>
        <v>4.7639000000000002E-6</v>
      </c>
      <c r="L6" s="16">
        <f>FLUID!P7</f>
        <v>2.1036999999999999E-5</v>
      </c>
      <c r="M6" s="16">
        <f>FLUID!Q7</f>
        <v>6.4795999999999994E-5</v>
      </c>
      <c r="N6" s="16">
        <f>FLUID!R7</f>
        <v>1.4101000000000001E-4</v>
      </c>
      <c r="O6" s="16">
        <f>FLUID!S7</f>
        <v>2.0523000000000001E-4</v>
      </c>
      <c r="P6" s="16">
        <f>FLUID!T7</f>
        <v>2.0854000000000001E-4</v>
      </c>
      <c r="Q6" s="16">
        <f>FLUID!U7</f>
        <v>2.0446E-4</v>
      </c>
      <c r="R6" s="16">
        <f>FLUID!V7</f>
        <v>1.9307999999999999E-4</v>
      </c>
      <c r="S6" s="16">
        <f>FLUID!W7</f>
        <v>1.7545000000000001E-4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Se?</v>
      </c>
      <c r="B7" s="16">
        <f>FLUID!F8</f>
        <v>4.6750000000000002E-19</v>
      </c>
      <c r="C7" s="16">
        <f>FLUID!G8</f>
        <v>1.4544E-14</v>
      </c>
      <c r="D7" s="16">
        <f>FLUID!H8</f>
        <v>9.6277999999999998E-12</v>
      </c>
      <c r="E7" s="16">
        <f>FLUID!I8</f>
        <v>7.6236000000000004E-10</v>
      </c>
      <c r="F7" s="16">
        <f>FLUID!J8</f>
        <v>1.7047E-8</v>
      </c>
      <c r="G7" s="16">
        <f>FLUID!K8</f>
        <v>3.2428999999999999E-8</v>
      </c>
      <c r="H7" s="16">
        <f>FLUID!L8</f>
        <v>5.9252E-8</v>
      </c>
      <c r="I7" s="16">
        <f>FLUID!M8</f>
        <v>1.0457E-7</v>
      </c>
      <c r="J7" s="16">
        <f>FLUID!N8</f>
        <v>1.7912000000000001E-7</v>
      </c>
      <c r="K7" s="16">
        <f>FLUID!O8</f>
        <v>1.2105000000000001E-6</v>
      </c>
      <c r="L7" s="16">
        <f>FLUID!P8</f>
        <v>5.6323999999999996E-6</v>
      </c>
      <c r="M7" s="16">
        <f>FLUID!Q8</f>
        <v>1.7842E-5</v>
      </c>
      <c r="N7" s="16">
        <f>FLUID!R8</f>
        <v>3.8671999999999998E-5</v>
      </c>
      <c r="O7" s="16">
        <f>FLUID!S8</f>
        <v>5.3331999999999997E-5</v>
      </c>
      <c r="P7" s="16">
        <f>FLUID!T8</f>
        <v>5.2883999999999997E-5</v>
      </c>
      <c r="Q7" s="16">
        <f>FLUID!U8</f>
        <v>5.0330000000000001E-5</v>
      </c>
      <c r="R7" s="16">
        <f>FLUID!V8</f>
        <v>4.5880000000000001E-5</v>
      </c>
      <c r="S7" s="16">
        <f>FLUID!W8</f>
        <v>4.002E-5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Se8</v>
      </c>
      <c r="B8" s="16">
        <f>FLUID!F9</f>
        <v>6.5274000000000001E-21</v>
      </c>
      <c r="C8" s="16">
        <f>FLUID!G9</f>
        <v>3.1763E-16</v>
      </c>
      <c r="D8" s="16">
        <f>FLUID!H9</f>
        <v>2.6788999999999998E-13</v>
      </c>
      <c r="E8" s="16">
        <f>FLUID!I9</f>
        <v>2.4334E-11</v>
      </c>
      <c r="F8" s="16">
        <f>FLUID!J9</f>
        <v>5.8974999999999995E-10</v>
      </c>
      <c r="G8" s="16">
        <f>FLUID!K9</f>
        <v>1.1386E-9</v>
      </c>
      <c r="H8" s="16">
        <f>FLUID!L9</f>
        <v>2.1087E-9</v>
      </c>
      <c r="I8" s="16">
        <f>FLUID!M9</f>
        <v>3.7684000000000003E-9</v>
      </c>
      <c r="J8" s="16">
        <f>FLUID!N9</f>
        <v>6.5316000000000001E-9</v>
      </c>
      <c r="K8" s="16">
        <f>FLUID!O9</f>
        <v>4.6090999999999999E-8</v>
      </c>
      <c r="L8" s="16">
        <f>FLUID!P9</f>
        <v>2.2144E-7</v>
      </c>
      <c r="M8" s="16">
        <f>FLUID!Q9</f>
        <v>7.0938000000000002E-7</v>
      </c>
      <c r="N8" s="16">
        <f>FLUID!R9</f>
        <v>1.5096999999999999E-6</v>
      </c>
      <c r="O8" s="16">
        <f>FLUID!S9</f>
        <v>1.9487999999999999E-6</v>
      </c>
      <c r="P8" s="16">
        <f>FLUID!T9</f>
        <v>1.8805E-6</v>
      </c>
      <c r="Q8" s="16">
        <f>FLUID!U9</f>
        <v>1.7325999999999999E-6</v>
      </c>
      <c r="R8" s="16">
        <f>FLUID!V9</f>
        <v>1.5206999999999999E-6</v>
      </c>
      <c r="S8" s="16">
        <f>FLUID!W9</f>
        <v>1.2700999999999999E-6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Se2</v>
      </c>
      <c r="B9" s="16">
        <f>FLUID!F10</f>
        <v>2.2998000000000001E-20</v>
      </c>
      <c r="C9" s="16">
        <f>FLUID!G10</f>
        <v>2.7161000000000001E-15</v>
      </c>
      <c r="D9" s="16">
        <f>FLUID!H10</f>
        <v>6.1727000000000001E-12</v>
      </c>
      <c r="E9" s="16">
        <f>FLUID!I10</f>
        <v>1.4644E-9</v>
      </c>
      <c r="F9" s="16">
        <f>FLUID!J10</f>
        <v>8.5529999999999999E-8</v>
      </c>
      <c r="G9" s="16">
        <f>FLUID!K10</f>
        <v>2.0232E-7</v>
      </c>
      <c r="H9" s="16">
        <f>FLUID!L10</f>
        <v>4.5535000000000001E-7</v>
      </c>
      <c r="I9" s="16">
        <f>FLUID!M10</f>
        <v>9.8015000000000005E-7</v>
      </c>
      <c r="J9" s="16">
        <f>FLUID!N10</f>
        <v>2.0269999999999998E-6</v>
      </c>
      <c r="K9" s="16">
        <f>FLUID!O10</f>
        <v>2.6438E-5</v>
      </c>
      <c r="L9" s="16">
        <f>FLUID!P10</f>
        <v>2.1613000000000001E-4</v>
      </c>
      <c r="M9" s="16">
        <f>FLUID!Q10</f>
        <v>1.1918E-3</v>
      </c>
      <c r="N9" s="16">
        <f>FLUID!R10</f>
        <v>4.7704999999999996E-3</v>
      </c>
      <c r="O9" s="16">
        <f>FLUID!S10</f>
        <v>1.439E-2</v>
      </c>
      <c r="P9" s="16">
        <f>FLUID!T10</f>
        <v>1.814E-2</v>
      </c>
      <c r="Q9" s="16">
        <f>FLUID!U10</f>
        <v>2.2447999999999999E-2</v>
      </c>
      <c r="R9" s="16">
        <f>FLUID!V10</f>
        <v>2.7255000000000001E-2</v>
      </c>
      <c r="S9" s="16">
        <f>FLUID!W10</f>
        <v>3.2462999999999999E-2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Se</v>
      </c>
      <c r="B10" s="16">
        <f>FLUID!F11</f>
        <v>0</v>
      </c>
      <c r="C10" s="16">
        <f>FLUID!G11</f>
        <v>4.4399E-31</v>
      </c>
      <c r="D10" s="16">
        <f>FLUID!H11</f>
        <v>3.0258999999999999E-25</v>
      </c>
      <c r="E10" s="16">
        <f>FLUID!I11</f>
        <v>4.5625999999999999E-21</v>
      </c>
      <c r="F10" s="16">
        <f>FLUID!J11</f>
        <v>6.3055999999999998E-18</v>
      </c>
      <c r="G10" s="16">
        <f>FLUID!K11</f>
        <v>2.9350999999999997E-17</v>
      </c>
      <c r="H10" s="16">
        <f>FLUID!L11</f>
        <v>1.2512E-16</v>
      </c>
      <c r="I10" s="16">
        <f>FLUID!M11</f>
        <v>4.9255999999999996E-16</v>
      </c>
      <c r="J10" s="16">
        <f>FLUID!N11</f>
        <v>1.8034000000000001E-15</v>
      </c>
      <c r="K10" s="16">
        <f>FLUID!O11</f>
        <v>1.7494000000000001E-13</v>
      </c>
      <c r="L10" s="16">
        <f>FLUID!P11</f>
        <v>7.5006000000000006E-12</v>
      </c>
      <c r="M10" s="16">
        <f>FLUID!Q11</f>
        <v>1.6884000000000001E-10</v>
      </c>
      <c r="N10" s="16">
        <f>FLUID!R11</f>
        <v>2.3039999999999999E-9</v>
      </c>
      <c r="O10" s="16">
        <f>FLUID!S11</f>
        <v>2.1068E-8</v>
      </c>
      <c r="P10" s="16">
        <f>FLUID!T11</f>
        <v>3.4657999999999998E-8</v>
      </c>
      <c r="Q10" s="16">
        <f>FLUID!U11</f>
        <v>5.5816000000000002E-8</v>
      </c>
      <c r="R10" s="16">
        <f>FLUID!V11</f>
        <v>8.8024999999999996E-8</v>
      </c>
      <c r="S10" s="16">
        <f>FLUID!W11</f>
        <v>1.3596999999999999E-7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Ar</v>
      </c>
      <c r="B11" s="16">
        <f>FLUID!F12</f>
        <v>0.2</v>
      </c>
      <c r="C11" s="16">
        <f>FLUID!G12</f>
        <v>0.2</v>
      </c>
      <c r="D11" s="16">
        <f>FLUID!H12</f>
        <v>0.2</v>
      </c>
      <c r="E11" s="16">
        <f>FLUID!I12</f>
        <v>0.2</v>
      </c>
      <c r="F11" s="16">
        <f>FLUID!J12</f>
        <v>0.2</v>
      </c>
      <c r="G11" s="16">
        <f>FLUID!K12</f>
        <v>0.2</v>
      </c>
      <c r="H11" s="16">
        <f>FLUID!L12</f>
        <v>0.2</v>
      </c>
      <c r="I11" s="16">
        <f>FLUID!M12</f>
        <v>0.2</v>
      </c>
      <c r="J11" s="16">
        <f>FLUID!N12</f>
        <v>0.2</v>
      </c>
      <c r="K11" s="16">
        <f>FLUID!O12</f>
        <v>0.2</v>
      </c>
      <c r="L11" s="16">
        <f>FLUID!P12</f>
        <v>0.2</v>
      </c>
      <c r="M11" s="16">
        <f>FLUID!Q12</f>
        <v>0.2</v>
      </c>
      <c r="N11" s="16">
        <f>FLUID!R12</f>
        <v>0.2</v>
      </c>
      <c r="O11" s="16">
        <f>FLUID!S12</f>
        <v>0.2</v>
      </c>
      <c r="P11" s="16">
        <f>FLUID!T12</f>
        <v>0.2</v>
      </c>
      <c r="Q11" s="16">
        <f>FLUID!U12</f>
        <v>0.2</v>
      </c>
      <c r="R11" s="16">
        <f>FLUID!V12</f>
        <v>0.2</v>
      </c>
      <c r="S11" s="16">
        <f>FLUID!W12</f>
        <v>0.2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Ga2Se</v>
      </c>
      <c r="B12" s="16">
        <f>FLUID!F13</f>
        <v>6.1817999999999995E-11</v>
      </c>
      <c r="C12" s="16">
        <f>FLUID!G13</f>
        <v>6.3934999999999996E-8</v>
      </c>
      <c r="D12" s="16">
        <f>FLUID!H13</f>
        <v>5.8937E-6</v>
      </c>
      <c r="E12" s="16">
        <f>FLUID!I13</f>
        <v>1.3797000000000001E-4</v>
      </c>
      <c r="F12" s="16">
        <f>FLUID!J13</f>
        <v>1.3603000000000001E-3</v>
      </c>
      <c r="G12" s="16">
        <f>FLUID!K13</f>
        <v>2.1714999999999998E-3</v>
      </c>
      <c r="H12" s="16">
        <f>FLUID!L13</f>
        <v>3.3368E-3</v>
      </c>
      <c r="I12" s="16">
        <f>FLUID!M13</f>
        <v>4.9376000000000003E-3</v>
      </c>
      <c r="J12" s="16">
        <f>FLUID!N13</f>
        <v>7.0346999999999996E-3</v>
      </c>
      <c r="K12" s="16">
        <f>FLUID!O13</f>
        <v>1.9782000000000001E-2</v>
      </c>
      <c r="L12" s="16">
        <f>FLUID!P13</f>
        <v>3.3222000000000002E-2</v>
      </c>
      <c r="M12" s="16">
        <f>FLUID!Q13</f>
        <v>4.2268E-2</v>
      </c>
      <c r="N12" s="16">
        <f>FLUID!R13</f>
        <v>4.7828000000000002E-2</v>
      </c>
      <c r="O12" s="16">
        <f>FLUID!S13</f>
        <v>5.1423999999999997E-2</v>
      </c>
      <c r="P12" s="16">
        <f>FLUID!T13</f>
        <v>5.2121000000000001E-2</v>
      </c>
      <c r="Q12" s="16">
        <f>FLUID!U13</f>
        <v>5.2750999999999999E-2</v>
      </c>
      <c r="R12" s="16">
        <f>FLUID!V13</f>
        <v>5.3317000000000003E-2</v>
      </c>
      <c r="S12" s="16">
        <f>FLUID!W13</f>
        <v>5.3823000000000003E-2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(l)Ga[l]</v>
      </c>
      <c r="B13" s="16">
        <f>FLUID!F14</f>
        <v>0.12</v>
      </c>
      <c r="C13" s="16">
        <f>FLUID!G14</f>
        <v>0.12</v>
      </c>
      <c r="D13" s="16">
        <f>FLUID!H14</f>
        <v>0.11999</v>
      </c>
      <c r="E13" s="16">
        <f>FLUID!I14</f>
        <v>0.11971999999999999</v>
      </c>
      <c r="F13" s="16">
        <f>FLUID!J14</f>
        <v>0.11728</v>
      </c>
      <c r="G13" s="16">
        <f>FLUID!K14</f>
        <v>0.11566</v>
      </c>
      <c r="H13" s="16">
        <f>FLUID!L14</f>
        <v>0.11333</v>
      </c>
      <c r="I13" s="16">
        <f>FLUID!M14</f>
        <v>0.11012</v>
      </c>
      <c r="J13" s="16">
        <f>FLUID!N14</f>
        <v>0.10593</v>
      </c>
      <c r="K13" s="16">
        <f>FLUID!O14</f>
        <v>8.0435999999999994E-2</v>
      </c>
      <c r="L13" s="16">
        <f>FLUID!P14</f>
        <v>5.3557E-2</v>
      </c>
      <c r="M13" s="16">
        <f>FLUID!Q14</f>
        <v>3.5464000000000002E-2</v>
      </c>
      <c r="N13" s="16">
        <f>FLUID!R14</f>
        <v>2.4344000000000001E-2</v>
      </c>
      <c r="O13" s="16">
        <f>FLUID!S14</f>
        <v>1.7152000000000001E-2</v>
      </c>
      <c r="P13" s="16">
        <f>FLUID!T14</f>
        <v>1.5758000000000001E-2</v>
      </c>
      <c r="Q13" s="16">
        <f>FLUID!U14</f>
        <v>1.4499E-2</v>
      </c>
      <c r="R13" s="16">
        <f>FLUID!V14</f>
        <v>1.3365999999999999E-2</v>
      </c>
      <c r="S13" s="16">
        <f>FLUID!W14</f>
        <v>1.2354E-2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(l)Ge[l]</v>
      </c>
      <c r="B14" s="16">
        <f>FLUID!F15</f>
        <v>2.1116000000000001E-17</v>
      </c>
      <c r="C14" s="16">
        <f>FLUID!G15</f>
        <v>4.4100000000000003E-14</v>
      </c>
      <c r="D14" s="16">
        <f>FLUID!H15</f>
        <v>7.7169000000000008E-12</v>
      </c>
      <c r="E14" s="16">
        <f>FLUID!I15</f>
        <v>3.1881999999999999E-10</v>
      </c>
      <c r="F14" s="16">
        <f>FLUID!J15</f>
        <v>5.2700999999999998E-9</v>
      </c>
      <c r="G14" s="16">
        <f>FLUID!K15</f>
        <v>9.5619999999999999E-9</v>
      </c>
      <c r="H14" s="16">
        <f>FLUID!L15</f>
        <v>1.6749E-8</v>
      </c>
      <c r="I14" s="16">
        <f>FLUID!M15</f>
        <v>2.8401000000000001E-8</v>
      </c>
      <c r="J14" s="16">
        <f>FLUID!N15</f>
        <v>4.6738999999999999E-8</v>
      </c>
      <c r="K14" s="16">
        <f>FLUID!O15</f>
        <v>2.6523E-7</v>
      </c>
      <c r="L14" s="16">
        <f>FLUID!P15</f>
        <v>1.0922999999999999E-6</v>
      </c>
      <c r="M14" s="16">
        <f>FLUID!Q15</f>
        <v>3.5822000000000002E-6</v>
      </c>
      <c r="N14" s="16">
        <f>FLUID!R15</f>
        <v>9.9946999999999994E-6</v>
      </c>
      <c r="O14" s="16">
        <f>FLUID!S15</f>
        <v>2.5179000000000001E-5</v>
      </c>
      <c r="P14" s="16">
        <f>FLUID!T15</f>
        <v>3.1439000000000002E-5</v>
      </c>
      <c r="Q14" s="16">
        <f>FLUID!U15</f>
        <v>3.9180000000000001E-5</v>
      </c>
      <c r="R14" s="16">
        <f>FLUID!V15</f>
        <v>4.8766E-5</v>
      </c>
      <c r="S14" s="16">
        <f>FLUID!W15</f>
        <v>6.0649000000000002E-5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(l)Se[l]</v>
      </c>
      <c r="B15" s="16">
        <f>FLUID!F16</f>
        <v>0.28000000000000003</v>
      </c>
      <c r="C15" s="16">
        <f>FLUID!G16</f>
        <v>0.28000000000000003</v>
      </c>
      <c r="D15" s="16">
        <f>FLUID!H16</f>
        <v>0.27999000000000002</v>
      </c>
      <c r="E15" s="16">
        <f>FLUID!I16</f>
        <v>0.27986</v>
      </c>
      <c r="F15" s="16">
        <f>FLUID!J16</f>
        <v>0.27864</v>
      </c>
      <c r="G15" s="16">
        <f>FLUID!K16</f>
        <v>0.27783000000000002</v>
      </c>
      <c r="H15" s="16">
        <f>FLUID!L16</f>
        <v>0.27666000000000002</v>
      </c>
      <c r="I15" s="16">
        <f>FLUID!M16</f>
        <v>0.27505000000000002</v>
      </c>
      <c r="J15" s="16">
        <f>FLUID!N16</f>
        <v>0.27295000000000003</v>
      </c>
      <c r="K15" s="16">
        <f>FLUID!O16</f>
        <v>0.26008999999999999</v>
      </c>
      <c r="L15" s="16">
        <f>FLUID!P16</f>
        <v>0.24589</v>
      </c>
      <c r="M15" s="16">
        <f>FLUID!Q16</f>
        <v>0.23355000000000001</v>
      </c>
      <c r="N15" s="16">
        <f>FLUID!R16</f>
        <v>0.21748999999999999</v>
      </c>
      <c r="O15" s="16">
        <f>FLUID!S16</f>
        <v>0.18959999999999999</v>
      </c>
      <c r="P15" s="16">
        <f>FLUID!T16</f>
        <v>0.18028</v>
      </c>
      <c r="Q15" s="16">
        <f>FLUID!U16</f>
        <v>0.17014000000000001</v>
      </c>
      <c r="R15" s="16">
        <f>FLUID!V16</f>
        <v>0.15939</v>
      </c>
      <c r="S15" s="16">
        <f>FLUID!W16</f>
        <v>0.14826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(1)GeSe[l]</v>
      </c>
      <c r="B16" s="16">
        <f>FLUID!F17</f>
        <v>0.2</v>
      </c>
      <c r="C16" s="16">
        <f>FLUID!G17</f>
        <v>0.2</v>
      </c>
      <c r="D16" s="16">
        <f>FLUID!H17</f>
        <v>0.2</v>
      </c>
      <c r="E16" s="16">
        <f>FLUID!I17</f>
        <v>0.2</v>
      </c>
      <c r="F16" s="16">
        <f>FLUID!J17</f>
        <v>0.2</v>
      </c>
      <c r="G16" s="16">
        <f>FLUID!K17</f>
        <v>0.2</v>
      </c>
      <c r="H16" s="16">
        <f>FLUID!L17</f>
        <v>0.2</v>
      </c>
      <c r="I16" s="16">
        <f>FLUID!M17</f>
        <v>0.2</v>
      </c>
      <c r="J16" s="16">
        <f>FLUID!N17</f>
        <v>0.2</v>
      </c>
      <c r="K16" s="16">
        <f>FLUID!O17</f>
        <v>0.2</v>
      </c>
      <c r="L16" s="16">
        <f>FLUID!P17</f>
        <v>0.2</v>
      </c>
      <c r="M16" s="16">
        <f>FLUID!Q17</f>
        <v>0.2</v>
      </c>
      <c r="N16" s="16">
        <f>FLUID!R17</f>
        <v>0.19999</v>
      </c>
      <c r="O16" s="16">
        <f>FLUID!S17</f>
        <v>0.19997000000000001</v>
      </c>
      <c r="P16" s="16">
        <f>FLUID!T17</f>
        <v>0.19997000000000001</v>
      </c>
      <c r="Q16" s="16">
        <f>FLUID!U17</f>
        <v>0.19996</v>
      </c>
      <c r="R16" s="16">
        <f>FLUID!V17</f>
        <v>0.19994999999999999</v>
      </c>
      <c r="S16" s="16">
        <f>FLUID!W17</f>
        <v>0.19994000000000001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H (Ar)</v>
      </c>
      <c r="B17" s="16">
        <f>FLUID!F18</f>
        <v>-18.62</v>
      </c>
      <c r="C17" s="16">
        <f>FLUID!G18</f>
        <v>-18.63</v>
      </c>
      <c r="D17" s="16">
        <f>FLUID!H18</f>
        <v>-18.72</v>
      </c>
      <c r="E17" s="16">
        <f>FLUID!I18</f>
        <v>-18.84</v>
      </c>
      <c r="F17" s="16">
        <f>FLUID!J18</f>
        <v>-18.98</v>
      </c>
      <c r="G17" s="16">
        <f>FLUID!K18</f>
        <v>-19.02</v>
      </c>
      <c r="H17" s="16">
        <f>FLUID!L18</f>
        <v>-19.059999999999999</v>
      </c>
      <c r="I17" s="16">
        <f>FLUID!M18</f>
        <v>-19.100000000000001</v>
      </c>
      <c r="J17" s="16">
        <f>FLUID!N18</f>
        <v>-19.14</v>
      </c>
      <c r="K17" s="16">
        <f>FLUID!O18</f>
        <v>-19.34</v>
      </c>
      <c r="L17" s="16">
        <f>FLUID!P18</f>
        <v>-19.54</v>
      </c>
      <c r="M17" s="16">
        <f>FLUID!Q18</f>
        <v>-19.71</v>
      </c>
      <c r="N17" s="16">
        <f>FLUID!R18</f>
        <v>-19.88</v>
      </c>
      <c r="O17" s="16">
        <f>FLUID!S18</f>
        <v>-20.059999999999999</v>
      </c>
      <c r="P17" s="16">
        <f>FLUID!T18</f>
        <v>-20.100000000000001</v>
      </c>
      <c r="Q17" s="16">
        <f>FLUID!U18</f>
        <v>-20.149999999999999</v>
      </c>
      <c r="R17" s="16">
        <f>FLUID!V18</f>
        <v>-20.2</v>
      </c>
      <c r="S17" s="16">
        <f>FLUID!W18</f>
        <v>-20.25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H (Ga)</v>
      </c>
      <c r="B18" s="16">
        <f>FLUID!F19</f>
        <v>-6.28</v>
      </c>
      <c r="C18" s="16">
        <f>FLUID!G19</f>
        <v>-6.7720000000000002</v>
      </c>
      <c r="D18" s="16">
        <f>FLUID!H19</f>
        <v>-7.2119999999999997</v>
      </c>
      <c r="E18" s="16">
        <f>FLUID!I19</f>
        <v>-7.6059999999999999</v>
      </c>
      <c r="F18" s="16">
        <f>FLUID!J19</f>
        <v>-7.9720000000000004</v>
      </c>
      <c r="G18" s="16">
        <f>FLUID!K19</f>
        <v>-8.0649999999999995</v>
      </c>
      <c r="H18" s="16">
        <f>FLUID!L19</f>
        <v>-8.16</v>
      </c>
      <c r="I18" s="16">
        <f>FLUID!M19</f>
        <v>-8.2590000000000003</v>
      </c>
      <c r="J18" s="16">
        <f>FLUID!N19</f>
        <v>-8.3640000000000008</v>
      </c>
      <c r="K18" s="16">
        <f>FLUID!O19</f>
        <v>-8.8610000000000007</v>
      </c>
      <c r="L18" s="16">
        <f>FLUID!P19</f>
        <v>-9.4550000000000001</v>
      </c>
      <c r="M18" s="16">
        <f>FLUID!Q19</f>
        <v>-10.050000000000001</v>
      </c>
      <c r="N18" s="16">
        <f>FLUID!R19</f>
        <v>-10.6</v>
      </c>
      <c r="O18" s="16">
        <f>FLUID!S19</f>
        <v>-11.08</v>
      </c>
      <c r="P18" s="16">
        <f>FLUID!T19</f>
        <v>-11.19</v>
      </c>
      <c r="Q18" s="16">
        <f>FLUID!U19</f>
        <v>-11.29</v>
      </c>
      <c r="R18" s="16">
        <f>FLUID!V19</f>
        <v>-11.39</v>
      </c>
      <c r="S18" s="16">
        <f>FLUID!W19</f>
        <v>-11.48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H (Ge)</v>
      </c>
      <c r="B19" s="16">
        <f>FLUID!F20</f>
        <v>-29.32</v>
      </c>
      <c r="C19" s="16">
        <f>FLUID!G20</f>
        <v>-24.74</v>
      </c>
      <c r="D19" s="16">
        <f>FLUID!H20</f>
        <v>-21.74</v>
      </c>
      <c r="E19" s="16">
        <f>FLUID!I20</f>
        <v>-19.649999999999999</v>
      </c>
      <c r="F19" s="16">
        <f>FLUID!J20</f>
        <v>-18.13</v>
      </c>
      <c r="G19" s="16">
        <f>FLUID!K20</f>
        <v>-17.82</v>
      </c>
      <c r="H19" s="16">
        <f>FLUID!L20</f>
        <v>-17.52</v>
      </c>
      <c r="I19" s="16">
        <f>FLUID!M20</f>
        <v>-17.239999999999998</v>
      </c>
      <c r="J19" s="16">
        <f>FLUID!N20</f>
        <v>-16.97</v>
      </c>
      <c r="K19" s="16">
        <f>FLUID!O20</f>
        <v>-16.05</v>
      </c>
      <c r="L19" s="16">
        <f>FLUID!P20</f>
        <v>-15.31</v>
      </c>
      <c r="M19" s="16">
        <f>FLUID!Q20</f>
        <v>-14.71</v>
      </c>
      <c r="N19" s="16">
        <f>FLUID!R20</f>
        <v>-14.2</v>
      </c>
      <c r="O19" s="16">
        <f>FLUID!S20</f>
        <v>-13.7</v>
      </c>
      <c r="P19" s="16">
        <f>FLUID!T20</f>
        <v>-13.57</v>
      </c>
      <c r="Q19" s="16">
        <f>FLUID!U20</f>
        <v>-13.44</v>
      </c>
      <c r="R19" s="16">
        <f>FLUID!V20</f>
        <v>-13.3</v>
      </c>
      <c r="S19" s="16">
        <f>FLUID!W20</f>
        <v>-13.16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 t="str">
        <f>FLUID!E21</f>
        <v>H (Se)</v>
      </c>
      <c r="B20" s="16">
        <f>FLUID!F21</f>
        <v>-4.9509999999999996</v>
      </c>
      <c r="C20" s="16">
        <f>FLUID!G21</f>
        <v>-5.3029999999999999</v>
      </c>
      <c r="D20" s="16">
        <f>FLUID!H21</f>
        <v>-5.6920000000000002</v>
      </c>
      <c r="E20" s="16">
        <f>FLUID!I21</f>
        <v>-6.0750000000000002</v>
      </c>
      <c r="F20" s="16">
        <f>FLUID!J21</f>
        <v>-6.4379999999999997</v>
      </c>
      <c r="G20" s="16">
        <f>FLUID!K21</f>
        <v>-6.5250000000000004</v>
      </c>
      <c r="H20" s="16">
        <f>FLUID!L21</f>
        <v>-6.61</v>
      </c>
      <c r="I20" s="16">
        <f>FLUID!M21</f>
        <v>-6.6920000000000002</v>
      </c>
      <c r="J20" s="16">
        <f>FLUID!N21</f>
        <v>-6.7720000000000002</v>
      </c>
      <c r="K20" s="16">
        <f>FLUID!O21</f>
        <v>-7.0709999999999997</v>
      </c>
      <c r="L20" s="16">
        <f>FLUID!P21</f>
        <v>-7.3460000000000001</v>
      </c>
      <c r="M20" s="16">
        <f>FLUID!Q21</f>
        <v>-7.6130000000000004</v>
      </c>
      <c r="N20" s="16">
        <f>FLUID!R21</f>
        <v>-7.8860000000000001</v>
      </c>
      <c r="O20" s="16">
        <f>FLUID!S21</f>
        <v>-8.1869999999999994</v>
      </c>
      <c r="P20" s="16">
        <f>FLUID!T21</f>
        <v>-8.27</v>
      </c>
      <c r="Q20" s="16">
        <f>FLUID!U21</f>
        <v>-8.3569999999999993</v>
      </c>
      <c r="R20" s="16">
        <f>FLUID!V21</f>
        <v>-8.4489999999999998</v>
      </c>
      <c r="S20" s="16">
        <f>FLUID!W21</f>
        <v>-8.5459999999999994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289.7</v>
      </c>
      <c r="D34" s="62">
        <f>IFERROR(SOLID!H3,0)</f>
        <v>306.2</v>
      </c>
      <c r="E34" s="62">
        <f>IFERROR(SOLID!I3,0)</f>
        <v>322.7</v>
      </c>
      <c r="F34" s="62">
        <f>IFERROR(SOLID!J3,0)</f>
        <v>339.2</v>
      </c>
      <c r="G34" s="62">
        <f>IFERROR(SOLID!K3,0)</f>
        <v>355.7</v>
      </c>
      <c r="H34" s="62">
        <f>IFERROR(SOLID!L3,0)</f>
        <v>372.3</v>
      </c>
      <c r="I34" s="62">
        <f>IFERROR(SOLID!M3,0)</f>
        <v>388.8</v>
      </c>
      <c r="J34" s="62">
        <f>IFERROR(SOLID!N3,0)</f>
        <v>405.3</v>
      </c>
      <c r="K34" s="62">
        <f>IFERROR(SOLID!O3,0)</f>
        <v>471.4</v>
      </c>
      <c r="L34" s="62">
        <f>IFERROR(SOLID!P3,0)</f>
        <v>487.9</v>
      </c>
      <c r="M34" s="62">
        <f>IFERROR(SOLID!Q3,0)</f>
        <v>504.4</v>
      </c>
      <c r="N34" s="62">
        <f>IFERROR(SOLID!R3,0)</f>
        <v>520.9</v>
      </c>
      <c r="O34" s="62">
        <f>IFERROR(SOLID!S3,0)</f>
        <v>537.5</v>
      </c>
      <c r="P34" s="62">
        <f>IFERROR(SOLID!T3,0)</f>
        <v>554</v>
      </c>
      <c r="Q34" s="62">
        <f>IFERROR(SOLID!U3,0)</f>
        <v>570.5</v>
      </c>
      <c r="R34" s="62">
        <f>IFERROR(SOLID!V3,0)</f>
        <v>587</v>
      </c>
      <c r="S34" s="62">
        <f>IFERROR(SOLID!W3,0)</f>
        <v>603.5</v>
      </c>
      <c r="T34" s="62">
        <f>IFERROR(SOLID!X3,0)</f>
        <v>620.1</v>
      </c>
      <c r="U34" s="62">
        <f>IFERROR(SOLID!Y3,0)</f>
        <v>636.6</v>
      </c>
      <c r="V34" s="62">
        <f>IFERROR(SOLID!Z3,0)</f>
        <v>653.1</v>
      </c>
      <c r="W34" s="62">
        <f>IFERROR(SOLID!AA3,0)</f>
        <v>669.6</v>
      </c>
      <c r="X34" s="62">
        <f>IFERROR(SOLID!AB3,0)</f>
        <v>735.7</v>
      </c>
      <c r="Y34" s="62">
        <f>IFERROR(SOLID!AC3,0)</f>
        <v>752.2</v>
      </c>
      <c r="Z34" s="62">
        <f>IFERROR(SOLID!AD3,0)</f>
        <v>768.7</v>
      </c>
      <c r="AA34" s="62">
        <f>IFERROR(SOLID!AE3,0)</f>
        <v>785.2</v>
      </c>
      <c r="AB34" s="62">
        <f>IFERROR(SOLID!AF3,0)</f>
        <v>801.8</v>
      </c>
      <c r="AC34" s="62">
        <f>IFERROR(SOLID!AG3,0)</f>
        <v>818.3</v>
      </c>
      <c r="AD34" s="62">
        <f>IFERROR(SOLID!AH3,0)</f>
        <v>834.8</v>
      </c>
      <c r="AE34" s="62">
        <f>IFERROR(SOLID!AI3,0)</f>
        <v>851.3</v>
      </c>
      <c r="AF34" s="62">
        <f>IFERROR(SOLID!AJ3,0)</f>
        <v>867.8</v>
      </c>
      <c r="AG34" s="62">
        <f>IFERROR(SOLID!AK3,0)</f>
        <v>933.9</v>
      </c>
      <c r="AH34" s="62">
        <f>IFERROR(SOLID!AL3,0)</f>
        <v>1000</v>
      </c>
      <c r="AI34" s="62">
        <f>IFERROR(SOLID!AM3,0)</f>
        <v>0</v>
      </c>
      <c r="AJ34" s="62">
        <f>IFERROR(SOLID!AN3,0)</f>
        <v>0</v>
      </c>
      <c r="AK34" s="62">
        <f>IFERROR(SOLID!AO3,0)</f>
        <v>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*GeSe2</v>
      </c>
      <c r="B35" s="16">
        <f>IFERROR(SOLID!F4,0)</f>
        <v>0.1</v>
      </c>
      <c r="C35" s="16">
        <f>IFERROR(SOLID!G4,0)</f>
        <v>0.1</v>
      </c>
      <c r="D35" s="16">
        <f>IFERROR(SOLID!H4,0)</f>
        <v>0.1</v>
      </c>
      <c r="E35" s="16">
        <f>IFERROR(SOLID!I4,0)</f>
        <v>0.1</v>
      </c>
      <c r="F35" s="16">
        <f>IFERROR(SOLID!J4,0)</f>
        <v>7.5293999999999996E-7</v>
      </c>
      <c r="G35" s="16">
        <f>IFERROR(SOLID!K4,0)</f>
        <v>0.1</v>
      </c>
      <c r="H35" s="16">
        <f>IFERROR(SOLID!L4,0)</f>
        <v>4.6837999999999999E-6</v>
      </c>
      <c r="I35" s="16">
        <f>IFERROR(SOLID!M4,0)</f>
        <v>1.2526E-9</v>
      </c>
      <c r="J35" s="16">
        <f>IFERROR(SOLID!N4,0)</f>
        <v>1.8983999999999999E-10</v>
      </c>
      <c r="K35" s="16">
        <f>IFERROR(SOLID!O4,0)</f>
        <v>8.6451999999999994E-36</v>
      </c>
      <c r="L35" s="16">
        <f>IFERROR(SOLID!P4,0)</f>
        <v>0</v>
      </c>
      <c r="M35" s="16">
        <f>IFERROR(SOLID!Q4,0)</f>
        <v>0</v>
      </c>
      <c r="N35" s="16">
        <f>IFERROR(SOLID!R4,0)</f>
        <v>0</v>
      </c>
      <c r="O35" s="16">
        <f>IFERROR(SOLID!S4,0)</f>
        <v>0</v>
      </c>
      <c r="P35" s="16">
        <f>IFERROR(SOLID!T4,0)</f>
        <v>0</v>
      </c>
      <c r="Q35" s="16">
        <f>IFERROR(SOLID!U4,0)</f>
        <v>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*Se[M]</v>
      </c>
      <c r="B36" s="16">
        <f>IFERROR(SOLID!F5,0)</f>
        <v>2.4738999999999998E-15</v>
      </c>
      <c r="C36" s="16">
        <f>IFERROR(SOLID!G5,0)</f>
        <v>7.9334000000000001E-12</v>
      </c>
      <c r="D36" s="16">
        <f>IFERROR(SOLID!H5,0)</f>
        <v>2.6738999999999999E-10</v>
      </c>
      <c r="E36" s="16">
        <f>IFERROR(SOLID!I5,0)</f>
        <v>2.4725999999999999E-8</v>
      </c>
      <c r="F36" s="16">
        <f>IFERROR(SOLID!J5,0)</f>
        <v>9.9999000000000005E-2</v>
      </c>
      <c r="G36" s="16">
        <f>IFERROR(SOLID!K5,0)</f>
        <v>3.5023000000000002E-8</v>
      </c>
      <c r="H36" s="16">
        <f>IFERROR(SOLID!L5,0)</f>
        <v>9.9995000000000001E-2</v>
      </c>
      <c r="I36" s="16">
        <f>IFERROR(SOLID!M5,0)</f>
        <v>0.1</v>
      </c>
      <c r="J36" s="16">
        <f>IFERROR(SOLID!N5,0)</f>
        <v>0.1</v>
      </c>
      <c r="K36" s="16">
        <f>IFERROR(SOLID!O5,0)</f>
        <v>0.1</v>
      </c>
      <c r="L36" s="16">
        <f>IFERROR(SOLID!P5,0)</f>
        <v>0.1</v>
      </c>
      <c r="M36" s="16">
        <f>IFERROR(SOLID!Q5,0)</f>
        <v>0.1</v>
      </c>
      <c r="N36" s="16">
        <f>IFERROR(SOLID!R5,0)</f>
        <v>0.1</v>
      </c>
      <c r="O36" s="16">
        <f>IFERROR(SOLID!S5,0)</f>
        <v>0.17163</v>
      </c>
      <c r="P36" s="16">
        <f>IFERROR(SOLID!T5,0)</f>
        <v>0.24929999999999999</v>
      </c>
      <c r="Q36" s="16">
        <f>IFERROR(SOLID!U5,0)</f>
        <v>0.27585999999999999</v>
      </c>
      <c r="R36" s="16">
        <f>IFERROR(SOLID!V5,0)</f>
        <v>0.28748000000000001</v>
      </c>
      <c r="S36" s="16">
        <f>IFERROR(SOLID!W5,0)</f>
        <v>0.35316999999999998</v>
      </c>
      <c r="T36" s="16">
        <f>IFERROR(SOLID!X5,0)</f>
        <v>0.35614000000000001</v>
      </c>
      <c r="U36" s="16">
        <f>IFERROR(SOLID!Y5,0)</f>
        <v>0.35776000000000002</v>
      </c>
      <c r="V36" s="16">
        <f>IFERROR(SOLID!Z5,0)</f>
        <v>0.35866999999999999</v>
      </c>
      <c r="W36" s="16">
        <f>IFERROR(SOLID!AA5,0)</f>
        <v>0.35919000000000001</v>
      </c>
      <c r="X36" s="16">
        <f>IFERROR(SOLID!AB5,0)</f>
        <v>0.35987000000000002</v>
      </c>
      <c r="Y36" s="16">
        <f>IFERROR(SOLID!AC5,0)</f>
        <v>0.35991000000000001</v>
      </c>
      <c r="Z36" s="16">
        <f>IFERROR(SOLID!AD5,0)</f>
        <v>0.35993999999999998</v>
      </c>
      <c r="AA36" s="16">
        <f>IFERROR(SOLID!AE5,0)</f>
        <v>0.35996</v>
      </c>
      <c r="AB36" s="16">
        <f>IFERROR(SOLID!AF5,0)</f>
        <v>0.35997000000000001</v>
      </c>
      <c r="AC36" s="16">
        <f>IFERROR(SOLID!AG5,0)</f>
        <v>0.47395999999999999</v>
      </c>
      <c r="AD36" s="16">
        <f>IFERROR(SOLID!AH5,0)</f>
        <v>0.47998000000000002</v>
      </c>
      <c r="AE36" s="16">
        <f>IFERROR(SOLID!AI5,0)</f>
        <v>0.47999000000000003</v>
      </c>
      <c r="AF36" s="16">
        <f>IFERROR(SOLID!AJ5,0)</f>
        <v>0.47999000000000003</v>
      </c>
      <c r="AG36" s="16">
        <f>IFERROR(SOLID!AK5,0)</f>
        <v>0.48</v>
      </c>
      <c r="AH36" s="16">
        <f>IFERROR(SOLID!AL5,0)</f>
        <v>0.48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*Ge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0</v>
      </c>
      <c r="I37" s="16">
        <f>IFERROR(SOLID!M6,0)</f>
        <v>0</v>
      </c>
      <c r="J37" s="16">
        <f>IFERROR(SOLID!N6,0)</f>
        <v>0</v>
      </c>
      <c r="K37" s="16">
        <f>IFERROR(SOLID!O6,0)</f>
        <v>2.2528E-13</v>
      </c>
      <c r="L37" s="16">
        <f>IFERROR(SOLID!P6,0)</f>
        <v>5.8150000000000001E-11</v>
      </c>
      <c r="M37" s="16">
        <f>IFERROR(SOLID!Q6,0)</f>
        <v>1.4037E-9</v>
      </c>
      <c r="N37" s="16">
        <f>IFERROR(SOLID!R6,0)</f>
        <v>3.4671E-8</v>
      </c>
      <c r="O37" s="16">
        <f>IFERROR(SOLID!S6,0)</f>
        <v>7.1625999999999995E-2</v>
      </c>
      <c r="P37" s="16">
        <f>IFERROR(SOLID!T6,0)</f>
        <v>0.14929999999999999</v>
      </c>
      <c r="Q37" s="16">
        <f>IFERROR(SOLID!U6,0)</f>
        <v>0.17585999999999999</v>
      </c>
      <c r="R37" s="16">
        <f>IFERROR(SOLID!V6,0)</f>
        <v>0.18748000000000001</v>
      </c>
      <c r="S37" s="16">
        <f>IFERROR(SOLID!W6,0)</f>
        <v>0.19317000000000001</v>
      </c>
      <c r="T37" s="16">
        <f>IFERROR(SOLID!X6,0)</f>
        <v>0.19614000000000001</v>
      </c>
      <c r="U37" s="16">
        <f>IFERROR(SOLID!Y6,0)</f>
        <v>0.19775999999999999</v>
      </c>
      <c r="V37" s="16">
        <f>IFERROR(SOLID!Z6,0)</f>
        <v>0.19867000000000001</v>
      </c>
      <c r="W37" s="16">
        <f>IFERROR(SOLID!AA6,0)</f>
        <v>0.19919000000000001</v>
      </c>
      <c r="X37" s="16">
        <f>IFERROR(SOLID!AB6,0)</f>
        <v>0.19986999999999999</v>
      </c>
      <c r="Y37" s="16">
        <f>IFERROR(SOLID!AC6,0)</f>
        <v>0.19991</v>
      </c>
      <c r="Z37" s="16">
        <f>IFERROR(SOLID!AD6,0)</f>
        <v>0.19994000000000001</v>
      </c>
      <c r="AA37" s="16">
        <f>IFERROR(SOLID!AE6,0)</f>
        <v>0.19996</v>
      </c>
      <c r="AB37" s="16">
        <f>IFERROR(SOLID!AF6,0)</f>
        <v>0.19997000000000001</v>
      </c>
      <c r="AC37" s="16">
        <f>IFERROR(SOLID!AG6,0)</f>
        <v>0.17635999999999999</v>
      </c>
      <c r="AD37" s="16">
        <f>IFERROR(SOLID!AH6,0)</f>
        <v>0.17161999999999999</v>
      </c>
      <c r="AE37" s="16">
        <f>IFERROR(SOLID!AI6,0)</f>
        <v>0.16772000000000001</v>
      </c>
      <c r="AF37" s="16">
        <f>IFERROR(SOLID!AJ6,0)</f>
        <v>0.16334000000000001</v>
      </c>
      <c r="AG37" s="16">
        <f>IFERROR(SOLID!AK6,0)</f>
        <v>0.13930999999999999</v>
      </c>
      <c r="AH37" s="16">
        <f>IFERROR(SOLID!AL6,0)</f>
        <v>9.7836999999999993E-2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*Ga2Se3</v>
      </c>
      <c r="B38" s="16">
        <f>IFERROR(SOLID!F7,0)</f>
        <v>0.06</v>
      </c>
      <c r="C38" s="16">
        <f>IFERROR(SOLID!G7,0)</f>
        <v>0.06</v>
      </c>
      <c r="D38" s="16">
        <f>IFERROR(SOLID!H7,0)</f>
        <v>0.06</v>
      </c>
      <c r="E38" s="16">
        <f>IFERROR(SOLID!I7,0)</f>
        <v>0.06</v>
      </c>
      <c r="F38" s="16">
        <f>IFERROR(SOLID!J7,0)</f>
        <v>0.06</v>
      </c>
      <c r="G38" s="16">
        <f>IFERROR(SOLID!K7,0)</f>
        <v>0.06</v>
      </c>
      <c r="H38" s="16">
        <f>IFERROR(SOLID!L7,0)</f>
        <v>0.06</v>
      </c>
      <c r="I38" s="16">
        <f>IFERROR(SOLID!M7,0)</f>
        <v>0.06</v>
      </c>
      <c r="J38" s="16">
        <f>IFERROR(SOLID!N7,0)</f>
        <v>0.06</v>
      </c>
      <c r="K38" s="16">
        <f>IFERROR(SOLID!O7,0)</f>
        <v>0.06</v>
      </c>
      <c r="L38" s="16">
        <f>IFERROR(SOLID!P7,0)</f>
        <v>0.06</v>
      </c>
      <c r="M38" s="16">
        <f>IFERROR(SOLID!Q7,0)</f>
        <v>0.06</v>
      </c>
      <c r="N38" s="16">
        <f>IFERROR(SOLID!R7,0)</f>
        <v>0.06</v>
      </c>
      <c r="O38" s="16">
        <f>IFERROR(SOLID!S7,0)</f>
        <v>0.06</v>
      </c>
      <c r="P38" s="16">
        <f>IFERROR(SOLID!T7,0)</f>
        <v>0.06</v>
      </c>
      <c r="Q38" s="16">
        <f>IFERROR(SOLID!U7,0)</f>
        <v>0.06</v>
      </c>
      <c r="R38" s="16">
        <f>IFERROR(SOLID!V7,0)</f>
        <v>0.06</v>
      </c>
      <c r="S38" s="16">
        <f>IFERROR(SOLID!W7,0)</f>
        <v>1.3082E-7</v>
      </c>
      <c r="T38" s="16">
        <f>IFERROR(SOLID!X7,0)</f>
        <v>1.0444E-9</v>
      </c>
      <c r="U38" s="16">
        <f>IFERROR(SOLID!Y7,0)</f>
        <v>2.0778999999999999E-10</v>
      </c>
      <c r="V38" s="16">
        <f>IFERROR(SOLID!Z7,0)</f>
        <v>1.6176000000000001E-11</v>
      </c>
      <c r="W38" s="16">
        <f>IFERROR(SOLID!AA7,0)</f>
        <v>2.7929999999999998E-13</v>
      </c>
      <c r="X38" s="16">
        <f>IFERROR(SOLID!AB7,0)</f>
        <v>1.1484E-27</v>
      </c>
      <c r="Y38" s="16">
        <f>IFERROR(SOLID!AC7,0)</f>
        <v>6.7723000000000001E-33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*Ga[l]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0</v>
      </c>
      <c r="F39" s="16">
        <f>IFERROR(SOLID!J8,0)</f>
        <v>0</v>
      </c>
      <c r="G39" s="16">
        <f>IFERROR(SOLID!K8,0)</f>
        <v>0</v>
      </c>
      <c r="H39" s="16">
        <f>IFERROR(SOLID!L8,0)</f>
        <v>0</v>
      </c>
      <c r="I39" s="16">
        <f>IFERROR(SOLID!M8,0)</f>
        <v>0</v>
      </c>
      <c r="J39" s="16">
        <f>IFERROR(SOLID!N8,0)</f>
        <v>0</v>
      </c>
      <c r="K39" s="16">
        <f>IFERROR(SOLID!O8,0)</f>
        <v>0</v>
      </c>
      <c r="L39" s="16">
        <f>IFERROR(SOLID!P8,0)</f>
        <v>0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4.5526999999999996E-28</v>
      </c>
      <c r="Y39" s="16">
        <f>IFERROR(SOLID!AC8,0)</f>
        <v>6.1443E-25</v>
      </c>
      <c r="Z39" s="16">
        <f>IFERROR(SOLID!AD8,0)</f>
        <v>2.5233999999999998E-21</v>
      </c>
      <c r="AA39" s="16">
        <f>IFERROR(SOLID!AE8,0)</f>
        <v>2.9531999999999999E-19</v>
      </c>
      <c r="AB39" s="16">
        <f>IFERROR(SOLID!AF8,0)</f>
        <v>3.1565000000000001E-18</v>
      </c>
      <c r="AC39" s="16">
        <f>IFERROR(SOLID!AG8,0)</f>
        <v>9.2837999999999995E-19</v>
      </c>
      <c r="AD39" s="16">
        <f>IFERROR(SOLID!AH8,0)</f>
        <v>1.8903999999999998E-8</v>
      </c>
      <c r="AE39" s="16">
        <f>IFERROR(SOLID!AI8,0)</f>
        <v>1.7457999999999999E-7</v>
      </c>
      <c r="AF39" s="16">
        <f>IFERROR(SOLID!AJ8,0)</f>
        <v>1.4719000000000001E-7</v>
      </c>
      <c r="AG39" s="16">
        <f>IFERROR(SOLID!AK8,0)</f>
        <v>5.5145000000000002E-8</v>
      </c>
      <c r="AH39" s="16">
        <f>IFERROR(SOLID!AL8,0)</f>
        <v>1.03E-8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*Ge[l]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0</v>
      </c>
      <c r="H40" s="16">
        <f>IFERROR(SOLID!L9,0)</f>
        <v>0</v>
      </c>
      <c r="I40" s="16">
        <f>IFERROR(SOLID!M9,0)</f>
        <v>0</v>
      </c>
      <c r="J40" s="16">
        <f>IFERROR(SOLID!N9,0)</f>
        <v>0</v>
      </c>
      <c r="K40" s="16">
        <f>IFERROR(SOLID!O9,0)</f>
        <v>0</v>
      </c>
      <c r="L40" s="16">
        <f>IFERROR(SOLID!P9,0)</f>
        <v>1.0158E-35</v>
      </c>
      <c r="M40" s="16">
        <f>IFERROR(SOLID!Q9,0)</f>
        <v>0</v>
      </c>
      <c r="N40" s="16">
        <f>IFERROR(SOLID!R9,0)</f>
        <v>0</v>
      </c>
      <c r="O40" s="16">
        <f>IFERROR(SOLID!S9,0)</f>
        <v>0</v>
      </c>
      <c r="P40" s="16">
        <f>IFERROR(SOLID!T9,0)</f>
        <v>1.1205000000000001E-32</v>
      </c>
      <c r="Q40" s="16">
        <f>IFERROR(SOLID!U9,0)</f>
        <v>0</v>
      </c>
      <c r="R40" s="16">
        <f>IFERROR(SOLID!V9,0)</f>
        <v>0</v>
      </c>
      <c r="S40" s="16">
        <f>IFERROR(SOLID!W9,0)</f>
        <v>0</v>
      </c>
      <c r="T40" s="16">
        <f>IFERROR(SOLID!X9,0)</f>
        <v>0</v>
      </c>
      <c r="U40" s="16">
        <f>IFERROR(SOLID!Y9,0)</f>
        <v>2.7220000000000002E-22</v>
      </c>
      <c r="V40" s="16">
        <f>IFERROR(SOLID!Z9,0)</f>
        <v>7.6786000000000004E-17</v>
      </c>
      <c r="W40" s="16">
        <f>IFERROR(SOLID!AA9,0)</f>
        <v>1.3577999999999999E-14</v>
      </c>
      <c r="X40" s="16">
        <f>IFERROR(SOLID!AB9,0)</f>
        <v>1.0674E-13</v>
      </c>
      <c r="Y40" s="16">
        <f>IFERROR(SOLID!AC9,0)</f>
        <v>6.7119999999999996E-14</v>
      </c>
      <c r="Z40" s="16">
        <f>IFERROR(SOLID!AD9,0)</f>
        <v>4.7346000000000002E-14</v>
      </c>
      <c r="AA40" s="16">
        <f>IFERROR(SOLID!AE9,0)</f>
        <v>9.4001999999999996E-17</v>
      </c>
      <c r="AB40" s="16">
        <f>IFERROR(SOLID!AF9,0)</f>
        <v>2.0290000000000001E-26</v>
      </c>
      <c r="AC40" s="16">
        <f>IFERROR(SOLID!AG9,0)</f>
        <v>0</v>
      </c>
      <c r="AD40" s="16">
        <f>IFERROR(SOLID!AH9,0)</f>
        <v>1.2541E-17</v>
      </c>
      <c r="AE40" s="16">
        <f>IFERROR(SOLID!AI9,0)</f>
        <v>1.7599E-12</v>
      </c>
      <c r="AF40" s="16">
        <f>IFERROR(SOLID!AJ9,0)</f>
        <v>9.8021000000000005E-14</v>
      </c>
      <c r="AG40" s="16">
        <f>IFERROR(SOLID!AK9,0)</f>
        <v>9.2581999999999999E-13</v>
      </c>
      <c r="AH40" s="16">
        <f>IFERROR(SOLID!AL9,0)</f>
        <v>1.0261E-9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*GaSe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0</v>
      </c>
      <c r="F41" s="16">
        <f>IFERROR(SOLID!J10,0)</f>
        <v>0</v>
      </c>
      <c r="G41" s="16">
        <f>IFERROR(SOLID!K10,0)</f>
        <v>0</v>
      </c>
      <c r="H41" s="16">
        <f>IFERROR(SOLID!L10,0)</f>
        <v>0</v>
      </c>
      <c r="I41" s="16">
        <f>IFERROR(SOLID!M10,0)</f>
        <v>0</v>
      </c>
      <c r="J41" s="16">
        <f>IFERROR(SOLID!N10,0)</f>
        <v>9.4820000000000006E-31</v>
      </c>
      <c r="K41" s="16">
        <f>IFERROR(SOLID!O10,0)</f>
        <v>1.7169000000000001E-14</v>
      </c>
      <c r="L41" s="16">
        <f>IFERROR(SOLID!P10,0)</f>
        <v>8.5510000000000006E-14</v>
      </c>
      <c r="M41" s="16">
        <f>IFERROR(SOLID!Q10,0)</f>
        <v>8.4048E-16</v>
      </c>
      <c r="N41" s="16">
        <f>IFERROR(SOLID!R10,0)</f>
        <v>4.5506999999999999E-26</v>
      </c>
      <c r="O41" s="16">
        <f>IFERROR(SOLID!S10,0)</f>
        <v>1.2055E-25</v>
      </c>
      <c r="P41" s="16">
        <f>IFERROR(SOLID!T10,0)</f>
        <v>3.2555000000000002E-9</v>
      </c>
      <c r="Q41" s="16">
        <f>IFERROR(SOLID!U10,0)</f>
        <v>1.6651999999999999E-8</v>
      </c>
      <c r="R41" s="16">
        <f>IFERROR(SOLID!V10,0)</f>
        <v>1.7648999999999999E-7</v>
      </c>
      <c r="S41" s="16">
        <f>IFERROR(SOLID!W10,0)</f>
        <v>0.12</v>
      </c>
      <c r="T41" s="16">
        <f>IFERROR(SOLID!X10,0)</f>
        <v>0.12</v>
      </c>
      <c r="U41" s="16">
        <f>IFERROR(SOLID!Y10,0)</f>
        <v>0.12</v>
      </c>
      <c r="V41" s="16">
        <f>IFERROR(SOLID!Z10,0)</f>
        <v>0.12</v>
      </c>
      <c r="W41" s="16">
        <f>IFERROR(SOLID!AA10,0)</f>
        <v>0.12</v>
      </c>
      <c r="X41" s="16">
        <f>IFERROR(SOLID!AB10,0)</f>
        <v>0.12</v>
      </c>
      <c r="Y41" s="16">
        <f>IFERROR(SOLID!AC10,0)</f>
        <v>0.12</v>
      </c>
      <c r="Z41" s="16">
        <f>IFERROR(SOLID!AD10,0)</f>
        <v>0.12</v>
      </c>
      <c r="AA41" s="16">
        <f>IFERROR(SOLID!AE10,0)</f>
        <v>0.12</v>
      </c>
      <c r="AB41" s="16">
        <f>IFERROR(SOLID!AF10,0)</f>
        <v>0.12</v>
      </c>
      <c r="AC41" s="16">
        <f>IFERROR(SOLID!AG10,0)</f>
        <v>6.0197000000000002E-3</v>
      </c>
      <c r="AD41" s="16">
        <f>IFERROR(SOLID!AH10,0)</f>
        <v>1.222E-8</v>
      </c>
      <c r="AE41" s="16">
        <f>IFERROR(SOLID!AI10,0)</f>
        <v>2.2326999999999999E-11</v>
      </c>
      <c r="AF41" s="16">
        <f>IFERROR(SOLID!AJ10,0)</f>
        <v>1.7935999999999998E-18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GeSe</v>
      </c>
      <c r="B42" s="16">
        <f>IFERROR(SOLID!F11,0)</f>
        <v>0.1</v>
      </c>
      <c r="C42" s="16">
        <f>IFERROR(SOLID!G11,0)</f>
        <v>0.1</v>
      </c>
      <c r="D42" s="16">
        <f>IFERROR(SOLID!H11,0)</f>
        <v>0.1</v>
      </c>
      <c r="E42" s="16">
        <f>IFERROR(SOLID!I11,0)</f>
        <v>0.1</v>
      </c>
      <c r="F42" s="16">
        <f>IFERROR(SOLID!J11,0)</f>
        <v>0.2</v>
      </c>
      <c r="G42" s="16">
        <f>IFERROR(SOLID!K11,0)</f>
        <v>0.1</v>
      </c>
      <c r="H42" s="16">
        <f>IFERROR(SOLID!L11,0)</f>
        <v>0.2</v>
      </c>
      <c r="I42" s="16">
        <f>IFERROR(SOLID!M11,0)</f>
        <v>0.2</v>
      </c>
      <c r="J42" s="16">
        <f>IFERROR(SOLID!N11,0)</f>
        <v>0.2</v>
      </c>
      <c r="K42" s="16">
        <f>IFERROR(SOLID!O11,0)</f>
        <v>0.2</v>
      </c>
      <c r="L42" s="16">
        <f>IFERROR(SOLID!P11,0)</f>
        <v>0.2</v>
      </c>
      <c r="M42" s="16">
        <f>IFERROR(SOLID!Q11,0)</f>
        <v>0.2</v>
      </c>
      <c r="N42" s="16">
        <f>IFERROR(SOLID!R11,0)</f>
        <v>0.2</v>
      </c>
      <c r="O42" s="16">
        <f>IFERROR(SOLID!S11,0)</f>
        <v>0.12837000000000001</v>
      </c>
      <c r="P42" s="16">
        <f>IFERROR(SOLID!T11,0)</f>
        <v>5.0701000000000003E-2</v>
      </c>
      <c r="Q42" s="16">
        <f>IFERROR(SOLID!U11,0)</f>
        <v>2.4145E-2</v>
      </c>
      <c r="R42" s="16">
        <f>IFERROR(SOLID!V11,0)</f>
        <v>1.2522999999999999E-2</v>
      </c>
      <c r="S42" s="16">
        <f>IFERROR(SOLID!W11,0)</f>
        <v>6.8328E-3</v>
      </c>
      <c r="T42" s="16">
        <f>IFERROR(SOLID!X11,0)</f>
        <v>3.8625999999999999E-3</v>
      </c>
      <c r="U42" s="16">
        <f>IFERROR(SOLID!Y11,0)</f>
        <v>2.2447000000000001E-3</v>
      </c>
      <c r="V42" s="16">
        <f>IFERROR(SOLID!Z11,0)</f>
        <v>1.3349E-3</v>
      </c>
      <c r="W42" s="16">
        <f>IFERROR(SOLID!AA11,0)</f>
        <v>8.1010999999999995E-4</v>
      </c>
      <c r="X42" s="16">
        <f>IFERROR(SOLID!AB11,0)</f>
        <v>1.2987E-4</v>
      </c>
      <c r="Y42" s="16">
        <f>IFERROR(SOLID!AC11,0)</f>
        <v>8.5175999999999999E-5</v>
      </c>
      <c r="Z42" s="16">
        <f>IFERROR(SOLID!AD11,0)</f>
        <v>5.6563E-5</v>
      </c>
      <c r="AA42" s="16">
        <f>IFERROR(SOLID!AE11,0)</f>
        <v>3.8003999999999997E-5</v>
      </c>
      <c r="AB42" s="16">
        <f>IFERROR(SOLID!AF11,0)</f>
        <v>2.5819000000000001E-5</v>
      </c>
      <c r="AC42" s="16">
        <f>IFERROR(SOLID!AG11,0)</f>
        <v>1.7725000000000001E-5</v>
      </c>
      <c r="AD42" s="16">
        <f>IFERROR(SOLID!AH11,0)</f>
        <v>1.2286999999999999E-5</v>
      </c>
      <c r="AE42" s="16">
        <f>IFERROR(SOLID!AI11,0)</f>
        <v>8.5976000000000005E-6</v>
      </c>
      <c r="AF42" s="16">
        <f>IFERROR(SOLID!AJ11,0)</f>
        <v>6.0692000000000003E-6</v>
      </c>
      <c r="AG42" s="16">
        <f>IFERROR(SOLID!AK11,0)</f>
        <v>1.6315E-6</v>
      </c>
      <c r="AH42" s="16">
        <f>IFERROR(SOLID!AL11,0)</f>
        <v>4.8910999999999996E-7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Ga2Se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0</v>
      </c>
      <c r="F43" s="16">
        <f>IFERROR(SOLID!J12,0)</f>
        <v>0</v>
      </c>
      <c r="G43" s="16">
        <f>IFERROR(SOLID!K12,0)</f>
        <v>0</v>
      </c>
      <c r="H43" s="16">
        <f>IFERROR(SOLID!L12,0)</f>
        <v>0</v>
      </c>
      <c r="I43" s="16">
        <f>IFERROR(SOLID!M12,0)</f>
        <v>0</v>
      </c>
      <c r="J43" s="16">
        <f>IFERROR(SOLID!N12,0)</f>
        <v>0</v>
      </c>
      <c r="K43" s="16">
        <f>IFERROR(SOLID!O12,0)</f>
        <v>1.3432E-31</v>
      </c>
      <c r="L43" s="16">
        <f>IFERROR(SOLID!P12,0)</f>
        <v>1.5711999999999999E-29</v>
      </c>
      <c r="M43" s="16">
        <f>IFERROR(SOLID!Q12,0)</f>
        <v>1.3752E-27</v>
      </c>
      <c r="N43" s="16">
        <f>IFERROR(SOLID!R12,0)</f>
        <v>9.2523999999999999E-26</v>
      </c>
      <c r="O43" s="16">
        <f>IFERROR(SOLID!S12,0)</f>
        <v>4.0224000000000004E-24</v>
      </c>
      <c r="P43" s="16">
        <f>IFERROR(SOLID!T12,0)</f>
        <v>1.3078000000000001E-22</v>
      </c>
      <c r="Q43" s="16">
        <f>IFERROR(SOLID!U12,0)</f>
        <v>4.0776E-21</v>
      </c>
      <c r="R43" s="16">
        <f>IFERROR(SOLID!V12,0)</f>
        <v>1.1226E-19</v>
      </c>
      <c r="S43" s="16">
        <f>IFERROR(SOLID!W12,0)</f>
        <v>2.2370999999999998E-18</v>
      </c>
      <c r="T43" s="16">
        <f>IFERROR(SOLID!X12,0)</f>
        <v>2.3373999999999999E-17</v>
      </c>
      <c r="U43" s="16">
        <f>IFERROR(SOLID!Y12,0)</f>
        <v>2.1883E-16</v>
      </c>
      <c r="V43" s="16">
        <f>IFERROR(SOLID!Z12,0)</f>
        <v>1.846E-15</v>
      </c>
      <c r="W43" s="16">
        <f>IFERROR(SOLID!AA12,0)</f>
        <v>1.4121E-14</v>
      </c>
      <c r="X43" s="16">
        <f>IFERROR(SOLID!AB12,0)</f>
        <v>2.0518E-11</v>
      </c>
      <c r="Y43" s="16">
        <f>IFERROR(SOLID!AC12,0)</f>
        <v>1.0504000000000001E-10</v>
      </c>
      <c r="Z43" s="16">
        <f>IFERROR(SOLID!AD12,0)</f>
        <v>5.0361999999999996E-10</v>
      </c>
      <c r="AA43" s="16">
        <f>IFERROR(SOLID!AE12,0)</f>
        <v>2.2708000000000001E-9</v>
      </c>
      <c r="AB43" s="16">
        <f>IFERROR(SOLID!AF12,0)</f>
        <v>9.6646000000000007E-9</v>
      </c>
      <c r="AC43" s="16">
        <f>IFERROR(SOLID!AG12,0)</f>
        <v>3.7832999999999999E-8</v>
      </c>
      <c r="AD43" s="16">
        <f>IFERROR(SOLID!AH12,0)</f>
        <v>3.7532000000000002E-8</v>
      </c>
      <c r="AE43" s="16">
        <f>IFERROR(SOLID!AI12,0)</f>
        <v>3.6856999999999997E-8</v>
      </c>
      <c r="AF43" s="16">
        <f>IFERROR(SOLID!AJ12,0)</f>
        <v>3.5754999999999998E-8</v>
      </c>
      <c r="AG43" s="16">
        <f>IFERROR(SOLID!AK12,0)</f>
        <v>2.8010999999999999E-8</v>
      </c>
      <c r="AH43" s="16">
        <f>IFERROR(SOLID!AL12,0)</f>
        <v>1.7722999999999999E-8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Ar</v>
      </c>
      <c r="B44" s="16">
        <f>IFERROR(SOLID!F13,0)</f>
        <v>0.2</v>
      </c>
      <c r="C44" s="16">
        <f>IFERROR(SOLID!G13,0)</f>
        <v>0.2</v>
      </c>
      <c r="D44" s="16">
        <f>IFERROR(SOLID!H13,0)</f>
        <v>0.2</v>
      </c>
      <c r="E44" s="16">
        <f>IFERROR(SOLID!I13,0)</f>
        <v>0.2</v>
      </c>
      <c r="F44" s="16">
        <f>IFERROR(SOLID!J13,0)</f>
        <v>0.2</v>
      </c>
      <c r="G44" s="16">
        <f>IFERROR(SOLID!K13,0)</f>
        <v>0.2</v>
      </c>
      <c r="H44" s="16">
        <f>IFERROR(SOLID!L13,0)</f>
        <v>0.2</v>
      </c>
      <c r="I44" s="16">
        <f>IFERROR(SOLID!M13,0)</f>
        <v>0.2</v>
      </c>
      <c r="J44" s="16">
        <f>IFERROR(SOLID!N13,0)</f>
        <v>0.2</v>
      </c>
      <c r="K44" s="16">
        <f>IFERROR(SOLID!O13,0)</f>
        <v>0.2</v>
      </c>
      <c r="L44" s="16">
        <f>IFERROR(SOLID!P13,0)</f>
        <v>0.2</v>
      </c>
      <c r="M44" s="16">
        <f>IFERROR(SOLID!Q13,0)</f>
        <v>0.2</v>
      </c>
      <c r="N44" s="16">
        <f>IFERROR(SOLID!R13,0)</f>
        <v>0.2</v>
      </c>
      <c r="O44" s="16">
        <f>IFERROR(SOLID!S13,0)</f>
        <v>0.2</v>
      </c>
      <c r="P44" s="16">
        <f>IFERROR(SOLID!T13,0)</f>
        <v>0.2</v>
      </c>
      <c r="Q44" s="16">
        <f>IFERROR(SOLID!U13,0)</f>
        <v>0.2</v>
      </c>
      <c r="R44" s="16">
        <f>IFERROR(SOLID!V13,0)</f>
        <v>0.2</v>
      </c>
      <c r="S44" s="16">
        <f>IFERROR(SOLID!W13,0)</f>
        <v>0.2</v>
      </c>
      <c r="T44" s="16">
        <f>IFERROR(SOLID!X13,0)</f>
        <v>0.2</v>
      </c>
      <c r="U44" s="16">
        <f>IFERROR(SOLID!Y13,0)</f>
        <v>0.2</v>
      </c>
      <c r="V44" s="16">
        <f>IFERROR(SOLID!Z13,0)</f>
        <v>0.2</v>
      </c>
      <c r="W44" s="16">
        <f>IFERROR(SOLID!AA13,0)</f>
        <v>0.2</v>
      </c>
      <c r="X44" s="16">
        <f>IFERROR(SOLID!AB13,0)</f>
        <v>0.2</v>
      </c>
      <c r="Y44" s="16">
        <f>IFERROR(SOLID!AC13,0)</f>
        <v>0.2</v>
      </c>
      <c r="Z44" s="16">
        <f>IFERROR(SOLID!AD13,0)</f>
        <v>0.2</v>
      </c>
      <c r="AA44" s="16">
        <f>IFERROR(SOLID!AE13,0)</f>
        <v>0.2</v>
      </c>
      <c r="AB44" s="16">
        <f>IFERROR(SOLID!AF13,0)</f>
        <v>0.2</v>
      </c>
      <c r="AC44" s="16">
        <f>IFERROR(SOLID!AG13,0)</f>
        <v>0.2</v>
      </c>
      <c r="AD44" s="16">
        <f>IFERROR(SOLID!AH13,0)</f>
        <v>0.2</v>
      </c>
      <c r="AE44" s="16">
        <f>IFERROR(SOLID!AI13,0)</f>
        <v>0.2</v>
      </c>
      <c r="AF44" s="16">
        <f>IFERROR(SOLID!AJ13,0)</f>
        <v>0.2</v>
      </c>
      <c r="AG44" s="16">
        <f>IFERROR(SOLID!AK13,0)</f>
        <v>0.2</v>
      </c>
      <c r="AH44" s="16">
        <f>IFERROR(SOLID!AL13,0)</f>
        <v>0.2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(1)Ga[l]</v>
      </c>
      <c r="B45" s="16">
        <f>IFERROR(SOLID!F14,0)</f>
        <v>0</v>
      </c>
      <c r="C45" s="16">
        <f>IFERROR(SOLID!G14,0)</f>
        <v>0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0</v>
      </c>
      <c r="H45" s="16">
        <f>IFERROR(SOLID!L14,0)</f>
        <v>0</v>
      </c>
      <c r="I45" s="16">
        <f>IFERROR(SOLID!M14,0)</f>
        <v>0</v>
      </c>
      <c r="J45" s="16">
        <f>IFERROR(SOLID!N14,0)</f>
        <v>0</v>
      </c>
      <c r="K45" s="16">
        <f>IFERROR(SOLID!O14,0)</f>
        <v>2.6205E-24</v>
      </c>
      <c r="L45" s="16">
        <f>IFERROR(SOLID!P14,0)</f>
        <v>4.6451E-24</v>
      </c>
      <c r="M45" s="16">
        <f>IFERROR(SOLID!Q14,0)</f>
        <v>7.3235000000000001E-28</v>
      </c>
      <c r="N45" s="16">
        <f>IFERROR(SOLID!R14,0)</f>
        <v>0</v>
      </c>
      <c r="O45" s="16">
        <f>IFERROR(SOLID!S14,0)</f>
        <v>0</v>
      </c>
      <c r="P45" s="16">
        <f>IFERROR(SOLID!T14,0)</f>
        <v>2.129E-27</v>
      </c>
      <c r="Q45" s="16">
        <f>IFERROR(SOLID!U14,0)</f>
        <v>0</v>
      </c>
      <c r="R45" s="16">
        <f>IFERROR(SOLID!V14,0)</f>
        <v>0</v>
      </c>
      <c r="S45" s="16">
        <f>IFERROR(SOLID!W14,0)</f>
        <v>0</v>
      </c>
      <c r="T45" s="16">
        <f>IFERROR(SOLID!X14,0)</f>
        <v>2.3314E-36</v>
      </c>
      <c r="U45" s="16">
        <f>IFERROR(SOLID!Y14,0)</f>
        <v>5.4937000000000001E-22</v>
      </c>
      <c r="V45" s="16">
        <f>IFERROR(SOLID!Z14,0)</f>
        <v>1.1051E-16</v>
      </c>
      <c r="W45" s="16">
        <f>IFERROR(SOLID!AA14,0)</f>
        <v>2.1310999999999999E-14</v>
      </c>
      <c r="X45" s="16">
        <f>IFERROR(SOLID!AB14,0)</f>
        <v>3.2337999999999998E-12</v>
      </c>
      <c r="Y45" s="16">
        <f>IFERROR(SOLID!AC14,0)</f>
        <v>1.8614E-11</v>
      </c>
      <c r="Z45" s="16">
        <f>IFERROR(SOLID!AD14,0)</f>
        <v>4.4847E-10</v>
      </c>
      <c r="AA45" s="16">
        <f>IFERROR(SOLID!AE14,0)</f>
        <v>2.6244000000000002E-9</v>
      </c>
      <c r="AB45" s="16">
        <f>IFERROR(SOLID!AF14,0)</f>
        <v>1.7035E-8</v>
      </c>
      <c r="AC45" s="16">
        <f>IFERROR(SOLID!AG14,0)</f>
        <v>0.11398</v>
      </c>
      <c r="AD45" s="16">
        <f>IFERROR(SOLID!AH14,0)</f>
        <v>0.12</v>
      </c>
      <c r="AE45" s="16">
        <f>IFERROR(SOLID!AI14,0)</f>
        <v>0.12</v>
      </c>
      <c r="AF45" s="16">
        <f>IFERROR(SOLID!AJ14,0)</f>
        <v>0.12</v>
      </c>
      <c r="AG45" s="16">
        <f>IFERROR(SOLID!AK14,0)</f>
        <v>0.12</v>
      </c>
      <c r="AH45" s="16">
        <f>IFERROR(SOLID!AL14,0)</f>
        <v>0.12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(1)GeSe[l]</v>
      </c>
      <c r="B46" s="16">
        <f>IFERROR(SOLID!F15,0)</f>
        <v>1.4476000000000001E-29</v>
      </c>
      <c r="C46" s="16">
        <f>IFERROR(SOLID!G15,0)</f>
        <v>3.8845000000000001E-31</v>
      </c>
      <c r="D46" s="16">
        <f>IFERROR(SOLID!H15,0)</f>
        <v>0</v>
      </c>
      <c r="E46" s="16">
        <f>IFERROR(SOLID!I15,0)</f>
        <v>0</v>
      </c>
      <c r="F46" s="16">
        <f>IFERROR(SOLID!J15,0)</f>
        <v>0</v>
      </c>
      <c r="G46" s="16">
        <f>IFERROR(SOLID!K15,0)</f>
        <v>0</v>
      </c>
      <c r="H46" s="16">
        <f>IFERROR(SOLID!L15,0)</f>
        <v>0</v>
      </c>
      <c r="I46" s="16">
        <f>IFERROR(SOLID!M15,0)</f>
        <v>0</v>
      </c>
      <c r="J46" s="16">
        <f>IFERROR(SOLID!N15,0)</f>
        <v>2.2695E-25</v>
      </c>
      <c r="K46" s="16">
        <f>IFERROR(SOLID!O15,0)</f>
        <v>6.9787000000000004E-15</v>
      </c>
      <c r="L46" s="16">
        <f>IFERROR(SOLID!P15,0)</f>
        <v>1.7559999999999999E-15</v>
      </c>
      <c r="M46" s="16">
        <f>IFERROR(SOLID!Q15,0)</f>
        <v>4.391E-20</v>
      </c>
      <c r="N46" s="16">
        <f>IFERROR(SOLID!R15,0)</f>
        <v>0</v>
      </c>
      <c r="O46" s="16">
        <f>IFERROR(SOLID!S15,0)</f>
        <v>0</v>
      </c>
      <c r="P46" s="16">
        <f>IFERROR(SOLID!T15,0)</f>
        <v>3.6408999999999998E-22</v>
      </c>
      <c r="Q46" s="16">
        <f>IFERROR(SOLID!U15,0)</f>
        <v>8.2240999999999992E-34</v>
      </c>
      <c r="R46" s="16">
        <f>IFERROR(SOLID!V15,0)</f>
        <v>0</v>
      </c>
      <c r="S46" s="16">
        <f>IFERROR(SOLID!W15,0)</f>
        <v>0</v>
      </c>
      <c r="T46" s="16">
        <f>IFERROR(SOLID!X15,0)</f>
        <v>2.2363E-34</v>
      </c>
      <c r="U46" s="16">
        <f>IFERROR(SOLID!Y15,0)</f>
        <v>1.2444000000000001E-20</v>
      </c>
      <c r="V46" s="16">
        <f>IFERROR(SOLID!Z15,0)</f>
        <v>6.2677000000000003E-16</v>
      </c>
      <c r="W46" s="16">
        <f>IFERROR(SOLID!AA15,0)</f>
        <v>3.1955000000000001E-14</v>
      </c>
      <c r="X46" s="16">
        <f>IFERROR(SOLID!AB15,0)</f>
        <v>3.8063999999999997E-14</v>
      </c>
      <c r="Y46" s="16">
        <f>IFERROR(SOLID!AC15,0)</f>
        <v>7.2335000000000002E-14</v>
      </c>
      <c r="Z46" s="16">
        <f>IFERROR(SOLID!AD15,0)</f>
        <v>5.9667000000000002E-13</v>
      </c>
      <c r="AA46" s="16">
        <f>IFERROR(SOLID!AE15,0)</f>
        <v>1.2370000000000001E-12</v>
      </c>
      <c r="AB46" s="16">
        <f>IFERROR(SOLID!AF15,0)</f>
        <v>2.9372E-12</v>
      </c>
      <c r="AC46" s="16">
        <f>IFERROR(SOLID!AG15,0)</f>
        <v>7.5216000000000001E-6</v>
      </c>
      <c r="AD46" s="16">
        <f>IFERROR(SOLID!AH15,0)</f>
        <v>6.0361999999999999E-6</v>
      </c>
      <c r="AE46" s="16">
        <f>IFERROR(SOLID!AI15,0)</f>
        <v>4.6388999999999997E-6</v>
      </c>
      <c r="AF46" s="16">
        <f>IFERROR(SOLID!AJ15,0)</f>
        <v>3.5966999999999998E-6</v>
      </c>
      <c r="AG46" s="16">
        <f>IFERROR(SOLID!AK15,0)</f>
        <v>1.4179E-6</v>
      </c>
      <c r="AH46" s="16">
        <f>IFERROR(SOLID!AL15,0)</f>
        <v>6.4486000000000002E-7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(l)Ge[l]</v>
      </c>
      <c r="B47" s="16">
        <f>IFERROR(SOLID!F16,0)</f>
        <v>0</v>
      </c>
      <c r="C47" s="16">
        <f>IFERROR(SOLID!G16,0)</f>
        <v>0</v>
      </c>
      <c r="D47" s="16">
        <f>IFERROR(SOLID!H16,0)</f>
        <v>0</v>
      </c>
      <c r="E47" s="16">
        <f>IFERROR(SOLID!I16,0)</f>
        <v>0</v>
      </c>
      <c r="F47" s="16">
        <f>IFERROR(SOLID!J16,0)</f>
        <v>0</v>
      </c>
      <c r="G47" s="16">
        <f>IFERROR(SOLID!K16,0)</f>
        <v>0</v>
      </c>
      <c r="H47" s="16">
        <f>IFERROR(SOLID!L16,0)</f>
        <v>0</v>
      </c>
      <c r="I47" s="16">
        <f>IFERROR(SOLID!M16,0)</f>
        <v>0</v>
      </c>
      <c r="J47" s="16">
        <f>IFERROR(SOLID!N16,0)</f>
        <v>2.4285999999999999E-29</v>
      </c>
      <c r="K47" s="16">
        <f>IFERROR(SOLID!O16,0)</f>
        <v>5.7105999999999998E-17</v>
      </c>
      <c r="L47" s="16">
        <f>IFERROR(SOLID!P16,0)</f>
        <v>3.6389999999999998E-17</v>
      </c>
      <c r="M47" s="16">
        <f>IFERROR(SOLID!Q16,0)</f>
        <v>2.1911999999999999E-21</v>
      </c>
      <c r="N47" s="16">
        <f>IFERROR(SOLID!R16,0)</f>
        <v>0</v>
      </c>
      <c r="O47" s="16">
        <f>IFERROR(SOLID!S16,0)</f>
        <v>0</v>
      </c>
      <c r="P47" s="16">
        <f>IFERROR(SOLID!T16,0)</f>
        <v>1.9581999999999999E-22</v>
      </c>
      <c r="Q47" s="16">
        <f>IFERROR(SOLID!U16,0)</f>
        <v>9.0699000000000008E-34</v>
      </c>
      <c r="R47" s="16">
        <f>IFERROR(SOLID!V16,0)</f>
        <v>0</v>
      </c>
      <c r="S47" s="16">
        <f>IFERROR(SOLID!W16,0)</f>
        <v>0</v>
      </c>
      <c r="T47" s="16">
        <f>IFERROR(SOLID!X16,0)</f>
        <v>1.7698E-33</v>
      </c>
      <c r="U47" s="16">
        <f>IFERROR(SOLID!Y16,0)</f>
        <v>1.8003E-19</v>
      </c>
      <c r="V47" s="16">
        <f>IFERROR(SOLID!Z16,0)</f>
        <v>1.6190000000000002E-14</v>
      </c>
      <c r="W47" s="16">
        <f>IFERROR(SOLID!AA16,0)</f>
        <v>1.4418E-12</v>
      </c>
      <c r="X47" s="16">
        <f>IFERROR(SOLID!AB16,0)</f>
        <v>1.3207000000000001E-11</v>
      </c>
      <c r="Y47" s="16">
        <f>IFERROR(SOLID!AC16,0)</f>
        <v>4.0084000000000001E-11</v>
      </c>
      <c r="Z47" s="16">
        <f>IFERROR(SOLID!AD16,0)</f>
        <v>5.2038000000000002E-10</v>
      </c>
      <c r="AA47" s="16">
        <f>IFERROR(SOLID!AE16,0)</f>
        <v>1.6747E-9</v>
      </c>
      <c r="AB47" s="16">
        <f>IFERROR(SOLID!AF16,0)</f>
        <v>6.0933999999999997E-9</v>
      </c>
      <c r="AC47" s="16">
        <f>IFERROR(SOLID!AG16,0)</f>
        <v>2.3615000000000001E-2</v>
      </c>
      <c r="AD47" s="16">
        <f>IFERROR(SOLID!AH16,0)</f>
        <v>2.8364E-2</v>
      </c>
      <c r="AE47" s="16">
        <f>IFERROR(SOLID!AI16,0)</f>
        <v>3.2265000000000002E-2</v>
      </c>
      <c r="AF47" s="16">
        <f>IFERROR(SOLID!AJ16,0)</f>
        <v>3.6650000000000002E-2</v>
      </c>
      <c r="AG47" s="16">
        <f>IFERROR(SOLID!AK16,0)</f>
        <v>6.0689E-2</v>
      </c>
      <c r="AH47" s="16">
        <f>IFERROR(SOLID!AL16,0)</f>
        <v>0.10216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H (Ar)</v>
      </c>
      <c r="B48" s="16">
        <f>IFERROR(SOLID!F17,0)</f>
        <v>-19.03</v>
      </c>
      <c r="C48" s="16">
        <f>IFERROR(SOLID!G17,0)</f>
        <v>-19.02</v>
      </c>
      <c r="D48" s="16">
        <f>IFERROR(SOLID!H17,0)</f>
        <v>-19.02</v>
      </c>
      <c r="E48" s="16">
        <f>IFERROR(SOLID!I17,0)</f>
        <v>-19.02</v>
      </c>
      <c r="F48" s="16">
        <f>IFERROR(SOLID!J17,0)</f>
        <v>-19.32</v>
      </c>
      <c r="G48" s="16">
        <f>IFERROR(SOLID!K17,0)</f>
        <v>-19.05</v>
      </c>
      <c r="H48" s="16">
        <f>IFERROR(SOLID!L17,0)</f>
        <v>-19.36</v>
      </c>
      <c r="I48" s="16">
        <f>IFERROR(SOLID!M17,0)</f>
        <v>-19.38</v>
      </c>
      <c r="J48" s="16">
        <f>IFERROR(SOLID!N17,0)</f>
        <v>-19.41</v>
      </c>
      <c r="K48" s="16">
        <f>IFERROR(SOLID!O17,0)</f>
        <v>-19.53</v>
      </c>
      <c r="L48" s="16">
        <f>IFERROR(SOLID!P17,0)</f>
        <v>-19.559999999999999</v>
      </c>
      <c r="M48" s="16">
        <f>IFERROR(SOLID!Q17,0)</f>
        <v>-19.600000000000001</v>
      </c>
      <c r="N48" s="16">
        <f>IFERROR(SOLID!R17,0)</f>
        <v>-19.63</v>
      </c>
      <c r="O48" s="16">
        <f>IFERROR(SOLID!S17,0)</f>
        <v>-19.47</v>
      </c>
      <c r="P48" s="16">
        <f>IFERROR(SOLID!T17,0)</f>
        <v>-19.23</v>
      </c>
      <c r="Q48" s="16">
        <f>IFERROR(SOLID!U17,0)</f>
        <v>-19.149999999999999</v>
      </c>
      <c r="R48" s="16">
        <f>IFERROR(SOLID!V17,0)</f>
        <v>-19.14</v>
      </c>
      <c r="S48" s="16">
        <f>IFERROR(SOLID!W17,0)</f>
        <v>-19.14</v>
      </c>
      <c r="T48" s="16">
        <f>IFERROR(SOLID!X17,0)</f>
        <v>-19.16</v>
      </c>
      <c r="U48" s="16">
        <f>IFERROR(SOLID!Y17,0)</f>
        <v>-19.190000000000001</v>
      </c>
      <c r="V48" s="16">
        <f>IFERROR(SOLID!Z17,0)</f>
        <v>-19.22</v>
      </c>
      <c r="W48" s="16">
        <f>IFERROR(SOLID!AA17,0)</f>
        <v>-19.25</v>
      </c>
      <c r="X48" s="16">
        <f>IFERROR(SOLID!AB17,0)</f>
        <v>-19.38</v>
      </c>
      <c r="Y48" s="16">
        <f>IFERROR(SOLID!AC17,0)</f>
        <v>-19.420000000000002</v>
      </c>
      <c r="Z48" s="16">
        <f>IFERROR(SOLID!AD17,0)</f>
        <v>-19.45</v>
      </c>
      <c r="AA48" s="16">
        <f>IFERROR(SOLID!AE17,0)</f>
        <v>-19.48</v>
      </c>
      <c r="AB48" s="16">
        <f>IFERROR(SOLID!AF17,0)</f>
        <v>-19.510000000000002</v>
      </c>
      <c r="AC48" s="16">
        <f>IFERROR(SOLID!AG17,0)</f>
        <v>-19.55</v>
      </c>
      <c r="AD48" s="16">
        <f>IFERROR(SOLID!AH17,0)</f>
        <v>-19.579999999999998</v>
      </c>
      <c r="AE48" s="16">
        <f>IFERROR(SOLID!AI17,0)</f>
        <v>-19.61</v>
      </c>
      <c r="AF48" s="16">
        <f>IFERROR(SOLID!AJ17,0)</f>
        <v>-19.64</v>
      </c>
      <c r="AG48" s="16">
        <f>IFERROR(SOLID!AK17,0)</f>
        <v>-19.760000000000002</v>
      </c>
      <c r="AH48" s="16">
        <f>IFERROR(SOLID!AL17,0)</f>
        <v>-19.88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H (Ga)</v>
      </c>
      <c r="B49" s="16">
        <f>IFERROR(SOLID!F18,0)</f>
        <v>-66.569999999999993</v>
      </c>
      <c r="C49" s="16">
        <f>IFERROR(SOLID!G18,0)</f>
        <v>-63.1</v>
      </c>
      <c r="D49" s="16">
        <f>IFERROR(SOLID!H18,0)</f>
        <v>-60.01</v>
      </c>
      <c r="E49" s="16">
        <f>IFERROR(SOLID!I18,0)</f>
        <v>-57.25</v>
      </c>
      <c r="F49" s="16">
        <f>IFERROR(SOLID!J18,0)</f>
        <v>-54</v>
      </c>
      <c r="G49" s="16">
        <f>IFERROR(SOLID!K18,0)</f>
        <v>-49.67</v>
      </c>
      <c r="H49" s="16">
        <f>IFERROR(SOLID!L18,0)</f>
        <v>-46.96</v>
      </c>
      <c r="I49" s="16">
        <f>IFERROR(SOLID!M18,0)</f>
        <v>-43.86</v>
      </c>
      <c r="J49" s="16">
        <f>IFERROR(SOLID!N18,0)</f>
        <v>-40.98</v>
      </c>
      <c r="K49" s="16">
        <f>IFERROR(SOLID!O18,0)</f>
        <v>-31.32</v>
      </c>
      <c r="L49" s="16">
        <f>IFERROR(SOLID!P18,0)</f>
        <v>-29.28</v>
      </c>
      <c r="M49" s="16">
        <f>IFERROR(SOLID!Q18,0)</f>
        <v>-27.35</v>
      </c>
      <c r="N49" s="16">
        <f>IFERROR(SOLID!R18,0)</f>
        <v>-25.53</v>
      </c>
      <c r="O49" s="16">
        <f>IFERROR(SOLID!S18,0)</f>
        <v>-23.81</v>
      </c>
      <c r="P49" s="16">
        <f>IFERROR(SOLID!T18,0)</f>
        <v>-22.18</v>
      </c>
      <c r="Q49" s="16">
        <f>IFERROR(SOLID!U18,0)</f>
        <v>-20.63</v>
      </c>
      <c r="R49" s="16">
        <f>IFERROR(SOLID!V18,0)</f>
        <v>-19.16</v>
      </c>
      <c r="S49" s="16">
        <f>IFERROR(SOLID!W18,0)</f>
        <v>-17.850000000000001</v>
      </c>
      <c r="T49" s="16">
        <f>IFERROR(SOLID!X18,0)</f>
        <v>-16.850000000000001</v>
      </c>
      <c r="U49" s="16">
        <f>IFERROR(SOLID!Y18,0)</f>
        <v>-15.9</v>
      </c>
      <c r="V49" s="16">
        <f>IFERROR(SOLID!Z18,0)</f>
        <v>-15</v>
      </c>
      <c r="W49" s="16">
        <f>IFERROR(SOLID!AA18,0)</f>
        <v>-14.13</v>
      </c>
      <c r="X49" s="16">
        <f>IFERROR(SOLID!AB18,0)</f>
        <v>-11</v>
      </c>
      <c r="Y49" s="16">
        <f>IFERROR(SOLID!AC18,0)</f>
        <v>-10.29</v>
      </c>
      <c r="Z49" s="16">
        <f>IFERROR(SOLID!AD18,0)</f>
        <v>-9.6059999999999999</v>
      </c>
      <c r="AA49" s="16">
        <f>IFERROR(SOLID!AE18,0)</f>
        <v>-8.9480000000000004</v>
      </c>
      <c r="AB49" s="16">
        <f>IFERROR(SOLID!AF18,0)</f>
        <v>-8.3130000000000006</v>
      </c>
      <c r="AC49" s="16">
        <f>IFERROR(SOLID!AG18,0)</f>
        <v>-7.7140000000000004</v>
      </c>
      <c r="AD49" s="16">
        <f>IFERROR(SOLID!AH18,0)</f>
        <v>-7.7969999999999997</v>
      </c>
      <c r="AE49" s="16">
        <f>IFERROR(SOLID!AI18,0)</f>
        <v>-7.8789999999999996</v>
      </c>
      <c r="AF49" s="16">
        <f>IFERROR(SOLID!AJ18,0)</f>
        <v>-7.9630000000000001</v>
      </c>
      <c r="AG49" s="16">
        <f>IFERROR(SOLID!AK18,0)</f>
        <v>-8.3190000000000008</v>
      </c>
      <c r="AH49" s="16">
        <f>IFERROR(SOLID!AL18,0)</f>
        <v>-8.7260000000000009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H (Ge)</v>
      </c>
      <c r="B50" s="16">
        <f>IFERROR(SOLID!F19,0)</f>
        <v>-18.059999999999999</v>
      </c>
      <c r="C50" s="16">
        <f>IFERROR(SOLID!G19,0)</f>
        <v>-17.43</v>
      </c>
      <c r="D50" s="16">
        <f>IFERROR(SOLID!H19,0)</f>
        <v>-16.88</v>
      </c>
      <c r="E50" s="16">
        <f>IFERROR(SOLID!I19,0)</f>
        <v>-16.39</v>
      </c>
      <c r="F50" s="16">
        <f>IFERROR(SOLID!J19,0)</f>
        <v>-15.05</v>
      </c>
      <c r="G50" s="16">
        <f>IFERROR(SOLID!K19,0)</f>
        <v>-13.68</v>
      </c>
      <c r="H50" s="16">
        <f>IFERROR(SOLID!L19,0)</f>
        <v>-12.49</v>
      </c>
      <c r="I50" s="16">
        <f>IFERROR(SOLID!M19,0)</f>
        <v>-11.36</v>
      </c>
      <c r="J50" s="16">
        <f>IFERROR(SOLID!N19,0)</f>
        <v>-10.31</v>
      </c>
      <c r="K50" s="16">
        <f>IFERROR(SOLID!O19,0)</f>
        <v>-6.7309999999999999</v>
      </c>
      <c r="L50" s="16">
        <f>IFERROR(SOLID!P19,0)</f>
        <v>-5.9660000000000002</v>
      </c>
      <c r="M50" s="16">
        <f>IFERROR(SOLID!Q19,0)</f>
        <v>-5.2430000000000003</v>
      </c>
      <c r="N50" s="16">
        <f>IFERROR(SOLID!R19,0)</f>
        <v>-4.5579999999999998</v>
      </c>
      <c r="O50" s="16">
        <f>IFERROR(SOLID!S19,0)</f>
        <v>-4.1550000000000002</v>
      </c>
      <c r="P50" s="16">
        <f>IFERROR(SOLID!T19,0)</f>
        <v>-4.1950000000000003</v>
      </c>
      <c r="Q50" s="16">
        <f>IFERROR(SOLID!U19,0)</f>
        <v>-4.2359999999999998</v>
      </c>
      <c r="R50" s="16">
        <f>IFERROR(SOLID!V19,0)</f>
        <v>-4.2759999999999998</v>
      </c>
      <c r="S50" s="16">
        <f>IFERROR(SOLID!W19,0)</f>
        <v>-4.3170000000000002</v>
      </c>
      <c r="T50" s="16">
        <f>IFERROR(SOLID!X19,0)</f>
        <v>-4.3579999999999997</v>
      </c>
      <c r="U50" s="16">
        <f>IFERROR(SOLID!Y19,0)</f>
        <v>-4.399</v>
      </c>
      <c r="V50" s="16">
        <f>IFERROR(SOLID!Z19,0)</f>
        <v>-4.4400000000000004</v>
      </c>
      <c r="W50" s="16">
        <f>IFERROR(SOLID!AA19,0)</f>
        <v>-4.4809999999999999</v>
      </c>
      <c r="X50" s="16">
        <f>IFERROR(SOLID!AB19,0)</f>
        <v>-4.6429999999999998</v>
      </c>
      <c r="Y50" s="16">
        <f>IFERROR(SOLID!AC19,0)</f>
        <v>-4.6829999999999998</v>
      </c>
      <c r="Z50" s="16">
        <f>IFERROR(SOLID!AD19,0)</f>
        <v>-4.7220000000000004</v>
      </c>
      <c r="AA50" s="16">
        <f>IFERROR(SOLID!AE19,0)</f>
        <v>-4.7619999999999996</v>
      </c>
      <c r="AB50" s="16">
        <f>IFERROR(SOLID!AF19,0)</f>
        <v>-4.8010000000000002</v>
      </c>
      <c r="AC50" s="16">
        <f>IFERROR(SOLID!AG19,0)</f>
        <v>-4.84</v>
      </c>
      <c r="AD50" s="16">
        <f>IFERROR(SOLID!AH19,0)</f>
        <v>-4.8780000000000001</v>
      </c>
      <c r="AE50" s="16">
        <f>IFERROR(SOLID!AI19,0)</f>
        <v>-4.9169999999999998</v>
      </c>
      <c r="AF50" s="16">
        <f>IFERROR(SOLID!AJ19,0)</f>
        <v>-4.9550000000000001</v>
      </c>
      <c r="AG50" s="16">
        <f>IFERROR(SOLID!AK19,0)</f>
        <v>-5.1040000000000001</v>
      </c>
      <c r="AH50" s="16">
        <f>IFERROR(SOLID!AL19,0)</f>
        <v>-5.2489999999999997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 t="str">
        <f>IFERROR(SOLID!E20,0)</f>
        <v>H (Se)</v>
      </c>
      <c r="B51" s="16">
        <f>IFERROR(SOLID!F20,0)</f>
        <v>-22.85</v>
      </c>
      <c r="C51" s="16">
        <f>IFERROR(SOLID!G20,0)</f>
        <v>-21.73</v>
      </c>
      <c r="D51" s="16">
        <f>IFERROR(SOLID!H20,0)</f>
        <v>-20.73</v>
      </c>
      <c r="E51" s="16">
        <f>IFERROR(SOLID!I20,0)</f>
        <v>-19.850000000000001</v>
      </c>
      <c r="F51" s="16">
        <f>IFERROR(SOLID!J20,0)</f>
        <v>-19.559999999999999</v>
      </c>
      <c r="G51" s="16">
        <f>IFERROR(SOLID!K20,0)</f>
        <v>-20.239999999999998</v>
      </c>
      <c r="H51" s="16">
        <f>IFERROR(SOLID!L20,0)</f>
        <v>-20.04</v>
      </c>
      <c r="I51" s="16">
        <f>IFERROR(SOLID!M20,0)</f>
        <v>-20.28</v>
      </c>
      <c r="J51" s="16">
        <f>IFERROR(SOLID!N20,0)</f>
        <v>-20.53</v>
      </c>
      <c r="K51" s="16">
        <f>IFERROR(SOLID!O20,0)</f>
        <v>-21.53</v>
      </c>
      <c r="L51" s="16">
        <f>IFERROR(SOLID!P20,0)</f>
        <v>-21.78</v>
      </c>
      <c r="M51" s="16">
        <f>IFERROR(SOLID!Q20,0)</f>
        <v>-22.02</v>
      </c>
      <c r="N51" s="16">
        <f>IFERROR(SOLID!R20,0)</f>
        <v>-22.27</v>
      </c>
      <c r="O51" s="16">
        <f>IFERROR(SOLID!S20,0)</f>
        <v>-22.52</v>
      </c>
      <c r="P51" s="16">
        <f>IFERROR(SOLID!T20,0)</f>
        <v>-22.76</v>
      </c>
      <c r="Q51" s="16">
        <f>IFERROR(SOLID!U20,0)</f>
        <v>-23</v>
      </c>
      <c r="R51" s="16">
        <f>IFERROR(SOLID!V20,0)</f>
        <v>-23.24</v>
      </c>
      <c r="S51" s="16">
        <f>IFERROR(SOLID!W20,0)</f>
        <v>-23.48</v>
      </c>
      <c r="T51" s="16">
        <f>IFERROR(SOLID!X20,0)</f>
        <v>-23.72</v>
      </c>
      <c r="U51" s="16">
        <f>IFERROR(SOLID!Y20,0)</f>
        <v>-23.95</v>
      </c>
      <c r="V51" s="16">
        <f>IFERROR(SOLID!Z20,0)</f>
        <v>-24.18</v>
      </c>
      <c r="W51" s="16">
        <f>IFERROR(SOLID!AA20,0)</f>
        <v>-24.41</v>
      </c>
      <c r="X51" s="16">
        <f>IFERROR(SOLID!AB20,0)</f>
        <v>-25.31</v>
      </c>
      <c r="Y51" s="16">
        <f>IFERROR(SOLID!AC20,0)</f>
        <v>-25.53</v>
      </c>
      <c r="Z51" s="16">
        <f>IFERROR(SOLID!AD20,0)</f>
        <v>-25.75</v>
      </c>
      <c r="AA51" s="16">
        <f>IFERROR(SOLID!AE20,0)</f>
        <v>-25.97</v>
      </c>
      <c r="AB51" s="16">
        <f>IFERROR(SOLID!AF20,0)</f>
        <v>-26.18</v>
      </c>
      <c r="AC51" s="16">
        <f>IFERROR(SOLID!AG20,0)</f>
        <v>-26.39</v>
      </c>
      <c r="AD51" s="16">
        <f>IFERROR(SOLID!AH20,0)</f>
        <v>-26.6</v>
      </c>
      <c r="AE51" s="16">
        <f>IFERROR(SOLID!AI20,0)</f>
        <v>-26.81</v>
      </c>
      <c r="AF51" s="16">
        <f>IFERROR(SOLID!AJ20,0)</f>
        <v>-27.02</v>
      </c>
      <c r="AG51" s="16">
        <f>IFERROR(SOLID!AK20,0)</f>
        <v>-27.83</v>
      </c>
      <c r="AH51" s="16">
        <f>IFERROR(SOLID!AL20,0)</f>
        <v>-28.62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>
        <f>IFERROR(SOLID!E21,0)</f>
        <v>0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0</v>
      </c>
      <c r="G52" s="16">
        <f>IFERROR(SOLID!K21,0)</f>
        <v>0</v>
      </c>
      <c r="H52" s="16">
        <f>IFERROR(SOLID!L21,0)</f>
        <v>0</v>
      </c>
      <c r="I52" s="16">
        <f>IFERROR(SOLID!M21,0)</f>
        <v>0</v>
      </c>
      <c r="J52" s="16">
        <f>IFERROR(SOLID!N21,0)</f>
        <v>0</v>
      </c>
      <c r="K52" s="16">
        <f>IFERROR(SOLID!O21,0)</f>
        <v>0</v>
      </c>
      <c r="L52" s="16">
        <f>IFERROR(SOLID!P21,0)</f>
        <v>0</v>
      </c>
      <c r="M52" s="16">
        <f>IFERROR(SOLID!Q21,0)</f>
        <v>0</v>
      </c>
      <c r="N52" s="16">
        <f>IFERROR(SOLID!R21,0)</f>
        <v>0</v>
      </c>
      <c r="O52" s="16">
        <f>IFERROR(SOLID!S21,0)</f>
        <v>0</v>
      </c>
      <c r="P52" s="16">
        <f>IFERROR(SOLID!T21,0)</f>
        <v>0</v>
      </c>
      <c r="Q52" s="16">
        <f>IFERROR(SOLID!U21,0)</f>
        <v>0</v>
      </c>
      <c r="R52" s="16">
        <f>IFERROR(SOLID!V21,0)</f>
        <v>0</v>
      </c>
      <c r="S52" s="16">
        <f>IFERROR(SOLID!W21,0)</f>
        <v>0</v>
      </c>
      <c r="T52" s="16">
        <f>IFERROR(SOLID!X21,0)</f>
        <v>0</v>
      </c>
      <c r="U52" s="16">
        <f>IFERROR(SOLID!Y21,0)</f>
        <v>0</v>
      </c>
      <c r="V52" s="16">
        <f>IFERROR(SOLID!Z21,0)</f>
        <v>0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1</v>
      </c>
      <c r="AC64" s="16">
        <f>IFERROR(SOLID!AG33,0)</f>
        <v>1</v>
      </c>
      <c r="AD64" s="16">
        <f>IFERROR(SOLID!AH33,0)</f>
        <v>1</v>
      </c>
      <c r="AE64" s="16">
        <f>IFERROR(SOLID!AI33,0)</f>
        <v>1</v>
      </c>
      <c r="AF64" s="16">
        <f>IFERROR(SOLID!AJ33,0)</f>
        <v>1</v>
      </c>
      <c r="AG64" s="16">
        <f>IFERROR(SOLID!AK33,0)</f>
        <v>1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355.7</v>
      </c>
      <c r="H66" s="62">
        <f>IFERROR(ALL!L3,0)</f>
        <v>372.3</v>
      </c>
      <c r="I66" s="62">
        <f>IFERROR(ALL!M3,0)</f>
        <v>388.8</v>
      </c>
      <c r="J66" s="62">
        <f>IFERROR(ALL!N3,0)</f>
        <v>405.3</v>
      </c>
      <c r="K66" s="62">
        <f>IFERROR(ALL!O3,0)</f>
        <v>471.4</v>
      </c>
      <c r="L66" s="62">
        <f>IFERROR(ALL!P3,0)</f>
        <v>487.9</v>
      </c>
      <c r="M66" s="62">
        <f>IFERROR(ALL!Q3,0)</f>
        <v>504.4</v>
      </c>
      <c r="N66" s="62">
        <f>IFERROR(ALL!R3,0)</f>
        <v>520.9</v>
      </c>
      <c r="O66" s="62">
        <f>IFERROR(ALL!S3,0)</f>
        <v>537.5</v>
      </c>
      <c r="P66" s="62">
        <f>IFERROR(ALL!T3,0)</f>
        <v>554</v>
      </c>
      <c r="Q66" s="62">
        <f>IFERROR(ALL!U3,0)</f>
        <v>570.5</v>
      </c>
      <c r="R66" s="62">
        <f>IFERROR(ALL!V3,0)</f>
        <v>587</v>
      </c>
      <c r="S66" s="62">
        <f>IFERROR(ALL!W3,0)</f>
        <v>603.5</v>
      </c>
      <c r="T66" s="62">
        <f>IFERROR(ALL!X3,0)</f>
        <v>669.6</v>
      </c>
      <c r="U66" s="62">
        <f>IFERROR(ALL!Y3,0)</f>
        <v>735.7</v>
      </c>
      <c r="V66" s="62">
        <f>IFERROR(ALL!Z3,0)</f>
        <v>801.8</v>
      </c>
      <c r="W66" s="62">
        <f>IFERROR(ALL!AA3,0)</f>
        <v>867.8</v>
      </c>
      <c r="X66" s="62">
        <f>IFERROR(ALL!AB3,0)</f>
        <v>884.4</v>
      </c>
      <c r="Y66" s="62">
        <f>IFERROR(ALL!AC3,0)</f>
        <v>900.9</v>
      </c>
      <c r="Z66" s="62">
        <f>IFERROR(ALL!AD3,0)</f>
        <v>917.4</v>
      </c>
      <c r="AA66" s="62">
        <f>IFERROR(ALL!AE3,0)</f>
        <v>933.9</v>
      </c>
      <c r="AB66" s="62">
        <f>IFERROR(ALL!AF3,0)</f>
        <v>1000</v>
      </c>
      <c r="AC66" s="62">
        <f>IFERROR(ALL!AG3,0)</f>
        <v>0</v>
      </c>
      <c r="AD66" s="62">
        <f>IFERROR(ALL!AH3,0)</f>
        <v>0</v>
      </c>
      <c r="AE66" s="62">
        <f>IFERROR(ALL!AI3,0)</f>
        <v>0</v>
      </c>
      <c r="AF66" s="62">
        <f>IFERROR(ALL!AJ3,0)</f>
        <v>0</v>
      </c>
      <c r="AG66" s="62">
        <f>IFERROR(ALL!AK3,0)</f>
        <v>0</v>
      </c>
      <c r="AH66" s="62">
        <f>IFERROR(ALL!AL3,0)</f>
        <v>0</v>
      </c>
      <c r="AI66" s="62">
        <f>IFERROR(ALL!AM3,0)</f>
        <v>0</v>
      </c>
      <c r="AJ66" s="62">
        <f>IFERROR(ALL!AN3,0)</f>
        <v>0</v>
      </c>
      <c r="AK66" s="62">
        <f>IFERROR(ALL!AO3,0)</f>
        <v>0</v>
      </c>
      <c r="AL66" s="62">
        <f>IFERROR(ALL!AP3,0)</f>
        <v>0</v>
      </c>
      <c r="AM66" s="62">
        <f>IFERROR(ALL!AQ3,0)</f>
        <v>0</v>
      </c>
      <c r="AN66" s="62">
        <f>IFERROR(ALL!AR3,0)</f>
        <v>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*GeSe2</v>
      </c>
      <c r="B67" s="16">
        <f>IFERROR(ALL!F4,0)</f>
        <v>4.1823000000000003E-9</v>
      </c>
      <c r="C67" s="16">
        <f>IFERROR(ALL!G4,0)</f>
        <v>3.5658999999999999E-9</v>
      </c>
      <c r="D67" s="16">
        <f>IFERROR(ALL!H4,0)</f>
        <v>1.105E-9</v>
      </c>
      <c r="E67" s="16">
        <f>IFERROR(ALL!I4,0)</f>
        <v>9.1435000000000005E-11</v>
      </c>
      <c r="F67" s="16">
        <f>IFERROR(ALL!J4,0)</f>
        <v>3.1193E-14</v>
      </c>
      <c r="G67" s="16">
        <f>IFERROR(ALL!K4,0)</f>
        <v>5.4287000000000001E-11</v>
      </c>
      <c r="H67" s="16">
        <f>IFERROR(ALL!L4,0)</f>
        <v>4.4297000000000002E-14</v>
      </c>
      <c r="I67" s="16">
        <f>IFERROR(ALL!M4,0)</f>
        <v>5.4128000000000001E-20</v>
      </c>
      <c r="J67" s="16">
        <f>IFERROR(ALL!N4,0)</f>
        <v>4.0770000000000003E-26</v>
      </c>
      <c r="K67" s="16">
        <f>IFERROR(ALL!O4,0)</f>
        <v>0</v>
      </c>
      <c r="L67" s="16">
        <f>IFERROR(ALL!P4,0)</f>
        <v>0</v>
      </c>
      <c r="M67" s="16">
        <f>IFERROR(ALL!Q4,0)</f>
        <v>0</v>
      </c>
      <c r="N67" s="16">
        <f>IFERROR(ALL!R4,0)</f>
        <v>0</v>
      </c>
      <c r="O67" s="16">
        <f>IFERROR(ALL!S4,0)</f>
        <v>0</v>
      </c>
      <c r="P67" s="16">
        <f>IFERROR(ALL!T4,0)</f>
        <v>0</v>
      </c>
      <c r="Q67" s="16">
        <f>IFERROR(ALL!U4,0)</f>
        <v>0</v>
      </c>
      <c r="R67" s="16">
        <f>IFERROR(ALL!V4,0)</f>
        <v>0</v>
      </c>
      <c r="S67" s="16">
        <f>IFERROR(ALL!W4,0)</f>
        <v>0</v>
      </c>
      <c r="T67" s="16">
        <f>IFERROR(ALL!X4,0)</f>
        <v>0</v>
      </c>
      <c r="U67" s="16">
        <f>IFERROR(ALL!Y4,0)</f>
        <v>0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*Se[M]</v>
      </c>
      <c r="B68" s="16">
        <f>IFERROR(ALL!F5,0)</f>
        <v>0</v>
      </c>
      <c r="C68" s="16">
        <f>IFERROR(ALL!G5,0)</f>
        <v>9.4120000000000004E-31</v>
      </c>
      <c r="D68" s="16">
        <f>IFERROR(ALL!H5,0)</f>
        <v>3.2174000000000001E-19</v>
      </c>
      <c r="E68" s="16">
        <f>IFERROR(ALL!I5,0)</f>
        <v>3.6182000000000001E-12</v>
      </c>
      <c r="F68" s="16">
        <f>IFERROR(ALL!J5,0)</f>
        <v>7.9805000000000005E-10</v>
      </c>
      <c r="G68" s="16">
        <f>IFERROR(ALL!K5,0)</f>
        <v>6.2844999999999997E-12</v>
      </c>
      <c r="H68" s="16">
        <f>IFERROR(ALL!L5,0)</f>
        <v>7.0559000000000004E-10</v>
      </c>
      <c r="I68" s="16">
        <f>IFERROR(ALL!M5,0)</f>
        <v>1.179E-9</v>
      </c>
      <c r="J68" s="16">
        <f>IFERROR(ALL!N5,0)</f>
        <v>2.4076999999999999E-9</v>
      </c>
      <c r="K68" s="16">
        <f>IFERROR(ALL!O5,0)</f>
        <v>3.8363999999999997E-9</v>
      </c>
      <c r="L68" s="16">
        <f>IFERROR(ALL!P5,0)</f>
        <v>4.3593999999999996E-9</v>
      </c>
      <c r="M68" s="16">
        <f>IFERROR(ALL!Q5,0)</f>
        <v>7.6769999999999999E-9</v>
      </c>
      <c r="N68" s="16">
        <f>IFERROR(ALL!R5,0)</f>
        <v>6.4545E-9</v>
      </c>
      <c r="O68" s="16">
        <f>IFERROR(ALL!S5,0)</f>
        <v>8.5846000000000003E-9</v>
      </c>
      <c r="P68" s="16">
        <f>IFERROR(ALL!T5,0)</f>
        <v>8.3344000000000005E-9</v>
      </c>
      <c r="Q68" s="16">
        <f>IFERROR(ALL!U5,0)</f>
        <v>1.2420999999999999E-8</v>
      </c>
      <c r="R68" s="16">
        <f>IFERROR(ALL!V5,0)</f>
        <v>1.6213999999999999E-8</v>
      </c>
      <c r="S68" s="16">
        <f>IFERROR(ALL!W5,0)</f>
        <v>1.0381E-8</v>
      </c>
      <c r="T68" s="16">
        <f>IFERROR(ALL!X5,0)</f>
        <v>1.5279000000000001E-8</v>
      </c>
      <c r="U68" s="16">
        <f>IFERROR(ALL!Y5,0)</f>
        <v>1.6630999999999999E-8</v>
      </c>
      <c r="V68" s="16">
        <f>IFERROR(ALL!Z5,0)</f>
        <v>1.8374E-8</v>
      </c>
      <c r="W68" s="16">
        <f>IFERROR(ALL!AA5,0)</f>
        <v>2.1967000000000001E-8</v>
      </c>
      <c r="X68" s="16">
        <f>IFERROR(ALL!AB5,0)</f>
        <v>1.8927000000000001E-8</v>
      </c>
      <c r="Y68" s="16">
        <f>IFERROR(ALL!AC5,0)</f>
        <v>1.9089999999999999E-9</v>
      </c>
      <c r="Z68" s="16">
        <f>IFERROR(ALL!AD5,0)</f>
        <v>1.0988E-10</v>
      </c>
      <c r="AA68" s="16">
        <f>IFERROR(ALL!AE5,0)</f>
        <v>1.0156E-11</v>
      </c>
      <c r="AB68" s="16">
        <f>IFERROR(ALL!AF5,0)</f>
        <v>1.9516E-16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GeSe</v>
      </c>
      <c r="B69" s="16">
        <f>IFERROR(ALL!F6,0)</f>
        <v>5.6890999999999997E-2</v>
      </c>
      <c r="C69" s="16">
        <f>IFERROR(ALL!G6,0)</f>
        <v>6.0013999999999998E-2</v>
      </c>
      <c r="D69" s="16">
        <f>IFERROR(ALL!H6,0)</f>
        <v>6.7182000000000006E-2</v>
      </c>
      <c r="E69" s="16">
        <f>IFERROR(ALL!I6,0)</f>
        <v>7.8593999999999997E-2</v>
      </c>
      <c r="F69" s="16">
        <f>IFERROR(ALL!J6,0)</f>
        <v>9.1024999999999995E-2</v>
      </c>
      <c r="G69" s="16">
        <f>IFERROR(ALL!K6,0)</f>
        <v>7.9388E-2</v>
      </c>
      <c r="H69" s="16">
        <f>IFERROR(ALL!L6,0)</f>
        <v>9.0358999999999995E-2</v>
      </c>
      <c r="I69" s="16">
        <f>IFERROR(ALL!M6,0)</f>
        <v>9.8905000000000007E-2</v>
      </c>
      <c r="J69" s="16">
        <f>IFERROR(ALL!N6,0)</f>
        <v>0.10381</v>
      </c>
      <c r="K69" s="16">
        <f>IFERROR(ALL!O6,0)</f>
        <v>8.1042000000000003E-2</v>
      </c>
      <c r="L69" s="16">
        <f>IFERROR(ALL!P6,0)</f>
        <v>5.9419E-2</v>
      </c>
      <c r="M69" s="16">
        <f>IFERROR(ALL!Q6,0)</f>
        <v>3.7888999999999999E-2</v>
      </c>
      <c r="N69" s="16">
        <f>IFERROR(ALL!R6,0)</f>
        <v>2.1876E-2</v>
      </c>
      <c r="O69" s="16">
        <f>IFERROR(ALL!S6,0)</f>
        <v>1.1953999999999999E-2</v>
      </c>
      <c r="P69" s="16">
        <f>IFERROR(ALL!T6,0)</f>
        <v>6.3936000000000002E-3</v>
      </c>
      <c r="Q69" s="16">
        <f>IFERROR(ALL!U6,0)</f>
        <v>3.4253E-3</v>
      </c>
      <c r="R69" s="16">
        <f>IFERROR(ALL!V6,0)</f>
        <v>1.8648E-3</v>
      </c>
      <c r="S69" s="16">
        <f>IFERROR(ALL!W6,0)</f>
        <v>1.0388999999999999E-3</v>
      </c>
      <c r="T69" s="16">
        <f>IFERROR(ALL!X6,0)</f>
        <v>1.2572000000000001E-4</v>
      </c>
      <c r="U69" s="16">
        <f>IFERROR(ALL!Y6,0)</f>
        <v>2.0253000000000001E-5</v>
      </c>
      <c r="V69" s="16">
        <f>IFERROR(ALL!Z6,0)</f>
        <v>4.0493000000000003E-6</v>
      </c>
      <c r="W69" s="16">
        <f>IFERROR(ALL!AA6,0)</f>
        <v>9.3162000000000003E-7</v>
      </c>
      <c r="X69" s="16">
        <f>IFERROR(ALL!AB6,0)</f>
        <v>6.5809000000000004E-7</v>
      </c>
      <c r="Y69" s="16">
        <f>IFERROR(ALL!AC6,0)</f>
        <v>4.6945000000000001E-7</v>
      </c>
      <c r="Z69" s="16">
        <f>IFERROR(ALL!AD6,0)</f>
        <v>3.3807000000000001E-7</v>
      </c>
      <c r="AA69" s="16">
        <f>IFERROR(ALL!AE6,0)</f>
        <v>2.4555999999999998E-7</v>
      </c>
      <c r="AB69" s="16">
        <f>IFERROR(ALL!AF6,0)</f>
        <v>7.3405000000000001E-8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Ga2Se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0</v>
      </c>
      <c r="I70" s="16">
        <f>IFERROR(ALL!M7,0)</f>
        <v>0</v>
      </c>
      <c r="J70" s="16">
        <f>IFERROR(ALL!N7,0)</f>
        <v>0</v>
      </c>
      <c r="K70" s="16">
        <f>IFERROR(ALL!O7,0)</f>
        <v>9.5786000000000003E-32</v>
      </c>
      <c r="L70" s="16">
        <f>IFERROR(ALL!P7,0)</f>
        <v>7.6323999999999999E-30</v>
      </c>
      <c r="M70" s="16">
        <f>IFERROR(ALL!Q7,0)</f>
        <v>4.2617000000000002E-28</v>
      </c>
      <c r="N70" s="16">
        <f>IFERROR(ALL!R7,0)</f>
        <v>1.8622999999999999E-26</v>
      </c>
      <c r="O70" s="16">
        <f>IFERROR(ALL!S7,0)</f>
        <v>6.6245000000000001E-25</v>
      </c>
      <c r="P70" s="16">
        <f>IFERROR(ALL!T7,0)</f>
        <v>1.8928999999999999E-23</v>
      </c>
      <c r="Q70" s="16">
        <f>IFERROR(ALL!U7,0)</f>
        <v>4.2502999999999997E-22</v>
      </c>
      <c r="R70" s="16">
        <f>IFERROR(ALL!V7,0)</f>
        <v>7.4691000000000006E-21</v>
      </c>
      <c r="S70" s="16">
        <f>IFERROR(ALL!W7,0)</f>
        <v>1.0479E-19</v>
      </c>
      <c r="T70" s="16">
        <f>IFERROR(ALL!X7,0)</f>
        <v>8.1084999999999995E-16</v>
      </c>
      <c r="U70" s="16">
        <f>IFERROR(ALL!Y7,0)</f>
        <v>1.1342999999999999E-12</v>
      </c>
      <c r="V70" s="16">
        <f>IFERROR(ALL!Z7,0)</f>
        <v>3.2051000000000001E-10</v>
      </c>
      <c r="W70" s="16">
        <f>IFERROR(ALL!AA7,0)</f>
        <v>7.4021000000000003E-9</v>
      </c>
      <c r="X70" s="16">
        <f>IFERROR(ALL!AB7,0)</f>
        <v>1.0564E-8</v>
      </c>
      <c r="Y70" s="16">
        <f>IFERROR(ALL!AC7,0)</f>
        <v>1.3380999999999999E-8</v>
      </c>
      <c r="Z70" s="16">
        <f>IFERROR(ALL!AD7,0)</f>
        <v>1.5594999999999998E-8</v>
      </c>
      <c r="AA70" s="16">
        <f>IFERROR(ALL!AE7,0)</f>
        <v>1.7211000000000001E-8</v>
      </c>
      <c r="AB70" s="16">
        <f>IFERROR(ALL!AF7,0)</f>
        <v>1.9883E-8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Ar</v>
      </c>
      <c r="B71" s="16">
        <f>IFERROR(ALL!F8,0)</f>
        <v>0.2</v>
      </c>
      <c r="C71" s="16">
        <f>IFERROR(ALL!G8,0)</f>
        <v>0.2</v>
      </c>
      <c r="D71" s="16">
        <f>IFERROR(ALL!H8,0)</f>
        <v>0.2</v>
      </c>
      <c r="E71" s="16">
        <f>IFERROR(ALL!I8,0)</f>
        <v>0.2</v>
      </c>
      <c r="F71" s="16">
        <f>IFERROR(ALL!J8,0)</f>
        <v>0.2</v>
      </c>
      <c r="G71" s="16">
        <f>IFERROR(ALL!K8,0)</f>
        <v>0.2</v>
      </c>
      <c r="H71" s="16">
        <f>IFERROR(ALL!L8,0)</f>
        <v>0.2</v>
      </c>
      <c r="I71" s="16">
        <f>IFERROR(ALL!M8,0)</f>
        <v>0.2</v>
      </c>
      <c r="J71" s="16">
        <f>IFERROR(ALL!N8,0)</f>
        <v>0.2</v>
      </c>
      <c r="K71" s="16">
        <f>IFERROR(ALL!O8,0)</f>
        <v>0.2</v>
      </c>
      <c r="L71" s="16">
        <f>IFERROR(ALL!P8,0)</f>
        <v>0.2</v>
      </c>
      <c r="M71" s="16">
        <f>IFERROR(ALL!Q8,0)</f>
        <v>0.2</v>
      </c>
      <c r="N71" s="16">
        <f>IFERROR(ALL!R8,0)</f>
        <v>0.2</v>
      </c>
      <c r="O71" s="16">
        <f>IFERROR(ALL!S8,0)</f>
        <v>0.2</v>
      </c>
      <c r="P71" s="16">
        <f>IFERROR(ALL!T8,0)</f>
        <v>0.2</v>
      </c>
      <c r="Q71" s="16">
        <f>IFERROR(ALL!U8,0)</f>
        <v>0.2</v>
      </c>
      <c r="R71" s="16">
        <f>IFERROR(ALL!V8,0)</f>
        <v>0.2</v>
      </c>
      <c r="S71" s="16">
        <f>IFERROR(ALL!W8,0)</f>
        <v>0.2</v>
      </c>
      <c r="T71" s="16">
        <f>IFERROR(ALL!X8,0)</f>
        <v>0.2</v>
      </c>
      <c r="U71" s="16">
        <f>IFERROR(ALL!Y8,0)</f>
        <v>0.2</v>
      </c>
      <c r="V71" s="16">
        <f>IFERROR(ALL!Z8,0)</f>
        <v>0.2</v>
      </c>
      <c r="W71" s="16">
        <f>IFERROR(ALL!AA8,0)</f>
        <v>0.2</v>
      </c>
      <c r="X71" s="16">
        <f>IFERROR(ALL!AB8,0)</f>
        <v>0.2</v>
      </c>
      <c r="Y71" s="16">
        <f>IFERROR(ALL!AC8,0)</f>
        <v>0.2</v>
      </c>
      <c r="Z71" s="16">
        <f>IFERROR(ALL!AD8,0)</f>
        <v>0.2</v>
      </c>
      <c r="AA71" s="16">
        <f>IFERROR(ALL!AE8,0)</f>
        <v>0.2</v>
      </c>
      <c r="AB71" s="16">
        <f>IFERROR(ALL!AF8,0)</f>
        <v>0.2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(l)GeSe2</v>
      </c>
      <c r="B72" s="16">
        <f>IFERROR(ALL!F9,0)</f>
        <v>9.7596000000000002E-2</v>
      </c>
      <c r="C72" s="16">
        <f>IFERROR(ALL!G9,0)</f>
        <v>9.1974E-2</v>
      </c>
      <c r="D72" s="16">
        <f>IFERROR(ALL!H9,0)</f>
        <v>7.9069E-2</v>
      </c>
      <c r="E72" s="16">
        <f>IFERROR(ALL!I9,0)</f>
        <v>5.8520000000000003E-2</v>
      </c>
      <c r="F72" s="16">
        <f>IFERROR(ALL!J9,0)</f>
        <v>3.6125999999999998E-2</v>
      </c>
      <c r="G72" s="16">
        <f>IFERROR(ALL!K9,0)</f>
        <v>5.7002999999999998E-2</v>
      </c>
      <c r="H72" s="16">
        <f>IFERROR(ALL!L9,0)</f>
        <v>3.7092E-2</v>
      </c>
      <c r="I72" s="16">
        <f>IFERROR(ALL!M9,0)</f>
        <v>2.1264999999999999E-2</v>
      </c>
      <c r="J72" s="16">
        <f>IFERROR(ALL!N9,0)</f>
        <v>1.1269E-2</v>
      </c>
      <c r="K72" s="16">
        <f>IFERROR(ALL!O9,0)</f>
        <v>9.7707999999999997E-6</v>
      </c>
      <c r="L72" s="16">
        <f>IFERROR(ALL!P9,0)</f>
        <v>4.8648000000000004E-6</v>
      </c>
      <c r="M72" s="16">
        <f>IFERROR(ALL!Q9,0)</f>
        <v>2.2141000000000001E-6</v>
      </c>
      <c r="N72" s="16">
        <f>IFERROR(ALL!R9,0)</f>
        <v>8.8602999999999995E-7</v>
      </c>
      <c r="O72" s="16">
        <f>IFERROR(ALL!S9,0)</f>
        <v>3.178E-7</v>
      </c>
      <c r="P72" s="16">
        <f>IFERROR(ALL!T9,0)</f>
        <v>1.0694E-7</v>
      </c>
      <c r="Q72" s="16">
        <f>IFERROR(ALL!U9,0)</f>
        <v>3.5210999999999997E-8</v>
      </c>
      <c r="R72" s="16">
        <f>IFERROR(ALL!V9,0)</f>
        <v>1.1662E-8</v>
      </c>
      <c r="S72" s="16">
        <f>IFERROR(ALL!W9,0)</f>
        <v>3.9443999999999997E-9</v>
      </c>
      <c r="T72" s="16">
        <f>IFERROR(ALL!X9,0)</f>
        <v>6.8974000000000004E-11</v>
      </c>
      <c r="U72" s="16">
        <f>IFERROR(ALL!Y9,0)</f>
        <v>1.8893E-12</v>
      </c>
      <c r="V72" s="16">
        <f>IFERROR(ALL!Z9,0)</f>
        <v>7.7871999999999994E-14</v>
      </c>
      <c r="W72" s="16">
        <f>IFERROR(ALL!AA9,0)</f>
        <v>4.5578E-15</v>
      </c>
      <c r="X72" s="16">
        <f>IFERROR(ALL!AB9,0)</f>
        <v>2.3075999999999999E-15</v>
      </c>
      <c r="Y72" s="16">
        <f>IFERROR(ALL!AC9,0)</f>
        <v>1.1769000000000001E-15</v>
      </c>
      <c r="Z72" s="16">
        <f>IFERROR(ALL!AD9,0)</f>
        <v>6.0503999999999997E-16</v>
      </c>
      <c r="AA72" s="16">
        <f>IFERROR(ALL!AE9,0)</f>
        <v>3.1379999999999999E-16</v>
      </c>
      <c r="AB72" s="16">
        <f>IFERROR(ALL!AF9,0)</f>
        <v>2.5028E-17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(l)GeSe</v>
      </c>
      <c r="B73" s="16">
        <f>IFERROR(ALL!F10,0)</f>
        <v>4.5512999999999998E-2</v>
      </c>
      <c r="C73" s="16">
        <f>IFERROR(ALL!G10,0)</f>
        <v>4.8011999999999999E-2</v>
      </c>
      <c r="D73" s="16">
        <f>IFERROR(ALL!H10,0)</f>
        <v>5.3748999999999998E-2</v>
      </c>
      <c r="E73" s="16">
        <f>IFERROR(ALL!I10,0)</f>
        <v>6.2883999999999995E-2</v>
      </c>
      <c r="F73" s="16">
        <f>IFERROR(ALL!J10,0)</f>
        <v>7.2843000000000005E-2</v>
      </c>
      <c r="G73" s="16">
        <f>IFERROR(ALL!K10,0)</f>
        <v>6.3576999999999995E-2</v>
      </c>
      <c r="H73" s="16">
        <f>IFERROR(ALL!L10,0)</f>
        <v>7.2458999999999996E-2</v>
      </c>
      <c r="I73" s="16">
        <f>IFERROR(ALL!M10,0)</f>
        <v>7.9570000000000002E-2</v>
      </c>
      <c r="J73" s="16">
        <f>IFERROR(ALL!N10,0)</f>
        <v>8.4186999999999998E-2</v>
      </c>
      <c r="K73" s="16">
        <f>IFERROR(ALL!O10,0)</f>
        <v>9.0769000000000002E-2</v>
      </c>
      <c r="L73" s="16">
        <f>IFERROR(ALL!P10,0)</f>
        <v>8.4641999999999995E-2</v>
      </c>
      <c r="M73" s="16">
        <f>IFERROR(ALL!Q10,0)</f>
        <v>6.9443000000000005E-2</v>
      </c>
      <c r="N73" s="16">
        <f>IFERROR(ALL!R10,0)</f>
        <v>4.9264000000000002E-2</v>
      </c>
      <c r="O73" s="16">
        <f>IFERROR(ALL!S10,0)</f>
        <v>3.1146E-2</v>
      </c>
      <c r="P73" s="16">
        <f>IFERROR(ALL!T10,0)</f>
        <v>1.8366E-2</v>
      </c>
      <c r="Q73" s="16">
        <f>IFERROR(ALL!U10,0)</f>
        <v>1.0496999999999999E-2</v>
      </c>
      <c r="R73" s="16">
        <f>IFERROR(ALL!V10,0)</f>
        <v>5.9607000000000002E-3</v>
      </c>
      <c r="S73" s="16">
        <f>IFERROR(ALL!W10,0)</f>
        <v>3.4093000000000001E-3</v>
      </c>
      <c r="T73" s="16">
        <f>IFERROR(ALL!X10,0)</f>
        <v>4.2591999999999999E-4</v>
      </c>
      <c r="U73" s="16">
        <f>IFERROR(ALL!Y10,0)</f>
        <v>6.8961000000000006E-5</v>
      </c>
      <c r="V73" s="16">
        <f>IFERROR(ALL!Z10,0)</f>
        <v>1.4127E-5</v>
      </c>
      <c r="W73" s="16">
        <f>IFERROR(ALL!AA10,0)</f>
        <v>3.5306000000000001E-6</v>
      </c>
      <c r="X73" s="16">
        <f>IFERROR(ALL!AB10,0)</f>
        <v>2.5401999999999998E-6</v>
      </c>
      <c r="Y73" s="16">
        <f>IFERROR(ALL!AC10,0)</f>
        <v>1.8363000000000001E-6</v>
      </c>
      <c r="Z73" s="16">
        <f>IFERROR(ALL!AD10,0)</f>
        <v>1.3339000000000001E-6</v>
      </c>
      <c r="AA73" s="16">
        <f>IFERROR(ALL!AE10,0)</f>
        <v>9.7419999999999992E-7</v>
      </c>
      <c r="AB73" s="16">
        <f>IFERROR(ALL!AF10,0)</f>
        <v>2.9329E-7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(l)Ge</v>
      </c>
      <c r="B74" s="16">
        <f>IFERROR(ALL!F11,0)</f>
        <v>1.1710999999999999E-7</v>
      </c>
      <c r="C74" s="16">
        <f>IFERROR(ALL!G11,0)</f>
        <v>2.5674000000000001E-7</v>
      </c>
      <c r="D74" s="16">
        <f>IFERROR(ALL!H11,0)</f>
        <v>6.4908000000000004E-7</v>
      </c>
      <c r="E74" s="16">
        <f>IFERROR(ALL!I11,0)</f>
        <v>1.9657999999999999E-6</v>
      </c>
      <c r="F74" s="16">
        <f>IFERROR(ALL!J11,0)</f>
        <v>6.6646999999999999E-6</v>
      </c>
      <c r="G74" s="16">
        <f>IFERROR(ALL!K11,0)</f>
        <v>3.1909999999999998E-5</v>
      </c>
      <c r="H74" s="16">
        <f>IFERROR(ALL!L11,0)</f>
        <v>9.0048000000000002E-5</v>
      </c>
      <c r="I74" s="16">
        <f>IFERROR(ALL!M11,0)</f>
        <v>2.5982000000000002E-4</v>
      </c>
      <c r="J74" s="16">
        <f>IFERROR(ALL!N11,0)</f>
        <v>7.3362999999999998E-4</v>
      </c>
      <c r="K74" s="16">
        <f>IFERROR(ALL!O11,0)</f>
        <v>2.8178999999999999E-2</v>
      </c>
      <c r="L74" s="16">
        <f>IFERROR(ALL!P11,0)</f>
        <v>5.5932999999999997E-2</v>
      </c>
      <c r="M74" s="16">
        <f>IFERROR(ALL!Q11,0)</f>
        <v>9.2665999999999998E-2</v>
      </c>
      <c r="N74" s="16">
        <f>IFERROR(ALL!R11,0)</f>
        <v>0.12886</v>
      </c>
      <c r="O74" s="16">
        <f>IFERROR(ALL!S11,0)</f>
        <v>0.15690000000000001</v>
      </c>
      <c r="P74" s="16">
        <f>IFERROR(ALL!T11,0)</f>
        <v>0.17524000000000001</v>
      </c>
      <c r="Q74" s="16">
        <f>IFERROR(ALL!U11,0)</f>
        <v>0.18608</v>
      </c>
      <c r="R74" s="16">
        <f>IFERROR(ALL!V11,0)</f>
        <v>0.19217000000000001</v>
      </c>
      <c r="S74" s="16">
        <f>IFERROR(ALL!W11,0)</f>
        <v>0.19555</v>
      </c>
      <c r="T74" s="16">
        <f>IFERROR(ALL!X11,0)</f>
        <v>0.19944999999999999</v>
      </c>
      <c r="U74" s="16">
        <f>IFERROR(ALL!Y11,0)</f>
        <v>0.19991</v>
      </c>
      <c r="V74" s="16">
        <f>IFERROR(ALL!Z11,0)</f>
        <v>0.19997999999999999</v>
      </c>
      <c r="W74" s="16">
        <f>IFERROR(ALL!AA11,0)</f>
        <v>0.2</v>
      </c>
      <c r="X74" s="16">
        <f>IFERROR(ALL!AB11,0)</f>
        <v>0.2</v>
      </c>
      <c r="Y74" s="16">
        <f>IFERROR(ALL!AC11,0)</f>
        <v>0.2</v>
      </c>
      <c r="Z74" s="16">
        <f>IFERROR(ALL!AD11,0)</f>
        <v>0.2</v>
      </c>
      <c r="AA74" s="16">
        <f>IFERROR(ALL!AE11,0)</f>
        <v>0.2</v>
      </c>
      <c r="AB74" s="16">
        <f>IFERROR(ALL!AF11,0)</f>
        <v>0.2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(l)Ga2Se3</v>
      </c>
      <c r="B75" s="16">
        <f>IFERROR(ALL!F12,0)</f>
        <v>5.9998999999999997E-2</v>
      </c>
      <c r="C75" s="16">
        <f>IFERROR(ALL!G12,0)</f>
        <v>5.9998000000000003E-2</v>
      </c>
      <c r="D75" s="16">
        <f>IFERROR(ALL!H12,0)</f>
        <v>5.9996000000000001E-2</v>
      </c>
      <c r="E75" s="16">
        <f>IFERROR(ALL!I12,0)</f>
        <v>5.9991000000000003E-2</v>
      </c>
      <c r="F75" s="16">
        <f>IFERROR(ALL!J12,0)</f>
        <v>5.9981E-2</v>
      </c>
      <c r="G75" s="16">
        <f>IFERROR(ALL!K12,0)</f>
        <v>5.9948000000000001E-2</v>
      </c>
      <c r="H75" s="16">
        <f>IFERROR(ALL!L12,0)</f>
        <v>5.9901000000000003E-2</v>
      </c>
      <c r="I75" s="16">
        <f>IFERROR(ALL!M12,0)</f>
        <v>5.9809000000000001E-2</v>
      </c>
      <c r="J75" s="16">
        <f>IFERROR(ALL!N12,0)</f>
        <v>5.9637000000000003E-2</v>
      </c>
      <c r="K75" s="16">
        <f>IFERROR(ALL!O12,0)</f>
        <v>5.6177999999999999E-2</v>
      </c>
      <c r="L75" s="16">
        <f>IFERROR(ALL!P12,0)</f>
        <v>5.3484999999999998E-2</v>
      </c>
      <c r="M75" s="16">
        <f>IFERROR(ALL!Q12,0)</f>
        <v>4.9385999999999999E-2</v>
      </c>
      <c r="N75" s="16">
        <f>IFERROR(ALL!R12,0)</f>
        <v>4.3660999999999998E-2</v>
      </c>
      <c r="O75" s="16">
        <f>IFERROR(ALL!S12,0)</f>
        <v>3.6357E-2</v>
      </c>
      <c r="P75" s="16">
        <f>IFERROR(ALL!T12,0)</f>
        <v>2.7993000000000001E-2</v>
      </c>
      <c r="Q75" s="16">
        <f>IFERROR(ALL!U12,0)</f>
        <v>1.9633999999999999E-2</v>
      </c>
      <c r="R75" s="16">
        <f>IFERROR(ALL!V12,0)</f>
        <v>1.2524E-2</v>
      </c>
      <c r="S75" s="16">
        <f>IFERROR(ALL!W12,0)</f>
        <v>7.3902999999999998E-3</v>
      </c>
      <c r="T75" s="16">
        <f>IFERROR(ALL!X12,0)</f>
        <v>6.9225000000000005E-4</v>
      </c>
      <c r="U75" s="16">
        <f>IFERROR(ALL!Y12,0)</f>
        <v>7.2624000000000001E-5</v>
      </c>
      <c r="V75" s="16">
        <f>IFERROR(ALL!Z12,0)</f>
        <v>6.6896999999999997E-6</v>
      </c>
      <c r="W75" s="16">
        <f>IFERROR(ALL!AA12,0)</f>
        <v>1.6880999999999999E-7</v>
      </c>
      <c r="X75" s="16">
        <f>IFERROR(ALL!AB12,0)</f>
        <v>4.9899999999999997E-8</v>
      </c>
      <c r="Y75" s="16">
        <f>IFERROR(ALL!AC12,0)</f>
        <v>1.3614E-8</v>
      </c>
      <c r="Z75" s="16">
        <f>IFERROR(ALL!AD12,0)</f>
        <v>3.5506000000000001E-9</v>
      </c>
      <c r="AA75" s="16">
        <f>IFERROR(ALL!AE12,0)</f>
        <v>9.1128999999999996E-10</v>
      </c>
      <c r="AB75" s="16">
        <f>IFERROR(ALL!AF12,0)</f>
        <v>4.5008000000000004E-12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(l)GaSe</v>
      </c>
      <c r="B76" s="16">
        <f>IFERROR(ALL!F13,0)</f>
        <v>2.3481999999999998E-6</v>
      </c>
      <c r="C76" s="16">
        <f>IFERROR(ALL!G13,0)</f>
        <v>4.4712999999999999E-6</v>
      </c>
      <c r="D76" s="16">
        <f>IFERROR(ALL!H13,0)</f>
        <v>8.6964000000000003E-6</v>
      </c>
      <c r="E76" s="16">
        <f>IFERROR(ALL!I13,0)</f>
        <v>1.7813E-5</v>
      </c>
      <c r="F76" s="16">
        <f>IFERROR(ALL!J13,0)</f>
        <v>3.8047999999999999E-5</v>
      </c>
      <c r="G76" s="16">
        <f>IFERROR(ALL!K13,0)</f>
        <v>1.0480999999999999E-4</v>
      </c>
      <c r="H76" s="16">
        <f>IFERROR(ALL!L13,0)</f>
        <v>1.9879000000000001E-4</v>
      </c>
      <c r="I76" s="16">
        <f>IFERROR(ALL!M13,0)</f>
        <v>3.8164999999999998E-4</v>
      </c>
      <c r="J76" s="16">
        <f>IFERROR(ALL!N13,0)</f>
        <v>7.2637000000000005E-4</v>
      </c>
      <c r="K76" s="16">
        <f>IFERROR(ALL!O13,0)</f>
        <v>7.6448000000000002E-3</v>
      </c>
      <c r="L76" s="16">
        <f>IFERROR(ALL!P13,0)</f>
        <v>1.303E-2</v>
      </c>
      <c r="M76" s="16">
        <f>IFERROR(ALL!Q13,0)</f>
        <v>2.1228E-2</v>
      </c>
      <c r="N76" s="16">
        <f>IFERROR(ALL!R13,0)</f>
        <v>3.2677999999999999E-2</v>
      </c>
      <c r="O76" s="16">
        <f>IFERROR(ALL!S13,0)</f>
        <v>4.7285000000000001E-2</v>
      </c>
      <c r="P76" s="16">
        <f>IFERROR(ALL!T13,0)</f>
        <v>6.4014000000000001E-2</v>
      </c>
      <c r="Q76" s="16">
        <f>IFERROR(ALL!U13,0)</f>
        <v>8.0731999999999998E-2</v>
      </c>
      <c r="R76" s="16">
        <f>IFERROR(ALL!V13,0)</f>
        <v>9.4950000000000007E-2</v>
      </c>
      <c r="S76" s="16">
        <f>IFERROR(ALL!W13,0)</f>
        <v>0.10521</v>
      </c>
      <c r="T76" s="16">
        <f>IFERROR(ALL!X13,0)</f>
        <v>0.11840000000000001</v>
      </c>
      <c r="U76" s="16">
        <f>IFERROR(ALL!Y13,0)</f>
        <v>0.11679</v>
      </c>
      <c r="V76" s="16">
        <f>IFERROR(ALL!Z13,0)</f>
        <v>9.4005000000000005E-2</v>
      </c>
      <c r="W76" s="16">
        <f>IFERROR(ALL!AA13,0)</f>
        <v>3.6080000000000001E-2</v>
      </c>
      <c r="X76" s="16">
        <f>IFERROR(ALL!AB13,0)</f>
        <v>2.4143999999999999E-2</v>
      </c>
      <c r="Y76" s="16">
        <f>IFERROR(ALL!AC13,0)</f>
        <v>1.5429E-2</v>
      </c>
      <c r="Z76" s="16">
        <f>IFERROR(ALL!AD13,0)</f>
        <v>9.5852000000000003E-3</v>
      </c>
      <c r="AA76" s="16">
        <f>IFERROR(ALL!AE13,0)</f>
        <v>5.8760000000000001E-3</v>
      </c>
      <c r="AB76" s="16">
        <f>IFERROR(ALL!AF13,0)</f>
        <v>8.4699000000000005E-4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(l)Ga2Se</v>
      </c>
      <c r="B77" s="16">
        <f>IFERROR(ALL!F14,0)</f>
        <v>1.8594E-28</v>
      </c>
      <c r="C77" s="16">
        <f>IFERROR(ALL!G14,0)</f>
        <v>7.4295999999999994E-27</v>
      </c>
      <c r="D77" s="16">
        <f>IFERROR(ALL!H14,0)</f>
        <v>2.6945000000000002E-25</v>
      </c>
      <c r="E77" s="16">
        <f>IFERROR(ALL!I14,0)</f>
        <v>1.0285E-23</v>
      </c>
      <c r="F77" s="16">
        <f>IFERROR(ALL!J14,0)</f>
        <v>4.1562999999999998E-22</v>
      </c>
      <c r="G77" s="16">
        <f>IFERROR(ALL!K14,0)</f>
        <v>5.0184999999999998E-20</v>
      </c>
      <c r="H77" s="16">
        <f>IFERROR(ALL!L14,0)</f>
        <v>1.0738E-18</v>
      </c>
      <c r="I77" s="16">
        <f>IFERROR(ALL!M14,0)</f>
        <v>2.2907999999999999E-17</v>
      </c>
      <c r="J77" s="16">
        <f>IFERROR(ALL!N14,0)</f>
        <v>4.5302000000000001E-16</v>
      </c>
      <c r="K77" s="16">
        <f>IFERROR(ALL!O14,0)</f>
        <v>1.4255E-11</v>
      </c>
      <c r="L77" s="16">
        <f>IFERROR(ALL!P14,0)</f>
        <v>1.1835000000000001E-10</v>
      </c>
      <c r="M77" s="16">
        <f>IFERROR(ALL!Q14,0)</f>
        <v>8.1436999999999995E-10</v>
      </c>
      <c r="N77" s="16">
        <f>IFERROR(ALL!R14,0)</f>
        <v>4.8252999999999999E-9</v>
      </c>
      <c r="O77" s="16">
        <f>IFERROR(ALL!S14,0)</f>
        <v>2.4926999999999999E-8</v>
      </c>
      <c r="P77" s="16">
        <f>IFERROR(ALL!T14,0)</f>
        <v>1.1086E-7</v>
      </c>
      <c r="Q77" s="16">
        <f>IFERROR(ALL!U14,0)</f>
        <v>4.1741999999999999E-7</v>
      </c>
      <c r="R77" s="16">
        <f>IFERROR(ALL!V14,0)</f>
        <v>1.3272E-6</v>
      </c>
      <c r="S77" s="16">
        <f>IFERROR(ALL!W14,0)</f>
        <v>3.6302E-6</v>
      </c>
      <c r="T77" s="16">
        <f>IFERROR(ALL!X14,0)</f>
        <v>8.1812999999999997E-5</v>
      </c>
      <c r="U77" s="16">
        <f>IFERROR(ALL!Y14,0)</f>
        <v>8.7615999999999996E-4</v>
      </c>
      <c r="V77" s="16">
        <f>IFERROR(ALL!Z14,0)</f>
        <v>4.1006000000000003E-3</v>
      </c>
      <c r="W77" s="16">
        <f>IFERROR(ALL!AA14,0)</f>
        <v>2.9838999999999998E-3</v>
      </c>
      <c r="X77" s="16">
        <f>IFERROR(ALL!AB14,0)</f>
        <v>1.9321E-3</v>
      </c>
      <c r="Y77" s="16">
        <f>IFERROR(ALL!AC14,0)</f>
        <v>1.1352000000000001E-3</v>
      </c>
      <c r="Z77" s="16">
        <f>IFERROR(ALL!AD14,0)</f>
        <v>6.2693999999999998E-4</v>
      </c>
      <c r="AA77" s="16">
        <f>IFERROR(ALL!AE14,0)</f>
        <v>3.3488000000000002E-4</v>
      </c>
      <c r="AB77" s="16">
        <f>IFERROR(ALL!AF14,0)</f>
        <v>2.6115999999999999E-5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(l)Ga</v>
      </c>
      <c r="B78" s="16">
        <f>IFERROR(ALL!F15,0)</f>
        <v>3.1019999999999999E-28</v>
      </c>
      <c r="C78" s="16">
        <f>IFERROR(ALL!G15,0)</f>
        <v>1.1738E-26</v>
      </c>
      <c r="D78" s="16">
        <f>IFERROR(ALL!H15,0)</f>
        <v>3.8705000000000001E-25</v>
      </c>
      <c r="E78" s="16">
        <f>IFERROR(ALL!I15,0)</f>
        <v>1.2552E-23</v>
      </c>
      <c r="F78" s="16">
        <f>IFERROR(ALL!J15,0)</f>
        <v>4.0285000000000001E-22</v>
      </c>
      <c r="G78" s="16">
        <f>IFERROR(ALL!K15,0)</f>
        <v>2.6877E-20</v>
      </c>
      <c r="H78" s="16">
        <f>IFERROR(ALL!L15,0)</f>
        <v>4.8895000000000001E-19</v>
      </c>
      <c r="I78" s="16">
        <f>IFERROR(ALL!M15,0)</f>
        <v>8.5231000000000005E-18</v>
      </c>
      <c r="J78" s="16">
        <f>IFERROR(ALL!N15,0)</f>
        <v>1.3532E-16</v>
      </c>
      <c r="K78" s="16">
        <f>IFERROR(ALL!O15,0)</f>
        <v>2.1923999999999998E-12</v>
      </c>
      <c r="L78" s="16">
        <f>IFERROR(ALL!P15,0)</f>
        <v>1.7411E-11</v>
      </c>
      <c r="M78" s="16">
        <f>IFERROR(ALL!Q15,0)</f>
        <v>1.1916999999999999E-10</v>
      </c>
      <c r="N78" s="16">
        <f>IFERROR(ALL!R15,0)</f>
        <v>7.1440000000000004E-10</v>
      </c>
      <c r="O78" s="16">
        <f>IFERROR(ALL!S15,0)</f>
        <v>3.7937000000000002E-9</v>
      </c>
      <c r="P78" s="16">
        <f>IFERROR(ALL!T15,0)</f>
        <v>1.7843E-8</v>
      </c>
      <c r="Q78" s="16">
        <f>IFERROR(ALL!U15,0)</f>
        <v>7.4066999999999997E-8</v>
      </c>
      <c r="R78" s="16">
        <f>IFERROR(ALL!V15,0)</f>
        <v>2.7186E-7</v>
      </c>
      <c r="S78" s="16">
        <f>IFERROR(ALL!W15,0)</f>
        <v>8.9314999999999997E-7</v>
      </c>
      <c r="T78" s="16">
        <f>IFERROR(ALL!X15,0)</f>
        <v>4.9323999999999997E-5</v>
      </c>
      <c r="U78" s="16">
        <f>IFERROR(ALL!Y15,0)</f>
        <v>1.3162E-3</v>
      </c>
      <c r="V78" s="16">
        <f>IFERROR(ALL!Z15,0)</f>
        <v>1.7780000000000001E-2</v>
      </c>
      <c r="W78" s="16">
        <f>IFERROR(ALL!AA15,0)</f>
        <v>7.7951999999999994E-2</v>
      </c>
      <c r="X78" s="16">
        <f>IFERROR(ALL!AB15,0)</f>
        <v>9.1992000000000004E-2</v>
      </c>
      <c r="Y78" s="16">
        <f>IFERROR(ALL!AC15,0)</f>
        <v>0.1023</v>
      </c>
      <c r="Z78" s="16">
        <f>IFERROR(ALL!AD15,0)</f>
        <v>0.10915999999999999</v>
      </c>
      <c r="AA78" s="16">
        <f>IFERROR(ALL!AE15,0)</f>
        <v>0.11345</v>
      </c>
      <c r="AB78" s="16">
        <f>IFERROR(ALL!AF15,0)</f>
        <v>0.1191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(l)Se[A]</v>
      </c>
      <c r="B79" s="16">
        <f>IFERROR(ALL!F16,0)</f>
        <v>6.5483999999999998E-10</v>
      </c>
      <c r="C79" s="16">
        <f>IFERROR(ALL!G16,0)</f>
        <v>2.0457000000000001E-9</v>
      </c>
      <c r="D79" s="16">
        <f>IFERROR(ALL!H16,0)</f>
        <v>4.8861999999999999E-9</v>
      </c>
      <c r="E79" s="16">
        <f>IFERROR(ALL!I16,0)</f>
        <v>8.7203999999999998E-9</v>
      </c>
      <c r="F79" s="16">
        <f>IFERROR(ALL!J16,0)</f>
        <v>1.1932000000000001E-8</v>
      </c>
      <c r="G79" s="16">
        <f>IFERROR(ALL!K16,0)</f>
        <v>7.0699999999999998E-9</v>
      </c>
      <c r="H79" s="16">
        <f>IFERROR(ALL!L16,0)</f>
        <v>9.0227999999999999E-9</v>
      </c>
      <c r="I79" s="16">
        <f>IFERROR(ALL!M16,0)</f>
        <v>9.7994999999999995E-9</v>
      </c>
      <c r="J79" s="16">
        <f>IFERROR(ALL!N16,0)</f>
        <v>9.5685000000000006E-9</v>
      </c>
      <c r="K79" s="16">
        <f>IFERROR(ALL!O16,0)</f>
        <v>7.4586999999999995E-9</v>
      </c>
      <c r="L79" s="16">
        <f>IFERROR(ALL!P16,0)</f>
        <v>7.7952000000000005E-9</v>
      </c>
      <c r="M79" s="16">
        <f>IFERROR(ALL!Q16,0)</f>
        <v>8.2755000000000002E-9</v>
      </c>
      <c r="N79" s="16">
        <f>IFERROR(ALL!R16,0)</f>
        <v>8.4629999999999994E-9</v>
      </c>
      <c r="O79" s="16">
        <f>IFERROR(ALL!S16,0)</f>
        <v>8.2064999999999997E-9</v>
      </c>
      <c r="P79" s="16">
        <f>IFERROR(ALL!T16,0)</f>
        <v>7.6165000000000007E-9</v>
      </c>
      <c r="Q79" s="16">
        <f>IFERROR(ALL!U16,0)</f>
        <v>6.8584000000000002E-9</v>
      </c>
      <c r="R79" s="16">
        <f>IFERROR(ALL!V16,0)</f>
        <v>6.0492999999999998E-9</v>
      </c>
      <c r="S79" s="16">
        <f>IFERROR(ALL!W16,0)</f>
        <v>5.2586999999999996E-9</v>
      </c>
      <c r="T79" s="16">
        <f>IFERROR(ALL!X16,0)</f>
        <v>2.8199000000000002E-9</v>
      </c>
      <c r="U79" s="16">
        <f>IFERROR(ALL!Y16,0)</f>
        <v>1.4974E-9</v>
      </c>
      <c r="V79" s="16">
        <f>IFERROR(ALL!Z16,0)</f>
        <v>8.4256000000000004E-10</v>
      </c>
      <c r="W79" s="16">
        <f>IFERROR(ALL!AA16,0)</f>
        <v>5.2595000000000003E-10</v>
      </c>
      <c r="X79" s="16">
        <f>IFERROR(ALL!AB16,0)</f>
        <v>4.6519000000000002E-10</v>
      </c>
      <c r="Y79" s="16">
        <f>IFERROR(ALL!AC16,0)</f>
        <v>4.0837999999999999E-10</v>
      </c>
      <c r="Z79" s="16">
        <f>IFERROR(ALL!AD16,0)</f>
        <v>3.5621999999999999E-10</v>
      </c>
      <c r="AA79" s="16">
        <f>IFERROR(ALL!AE16,0)</f>
        <v>3.0936E-10</v>
      </c>
      <c r="AB79" s="16">
        <f>IFERROR(ALL!AF16,0)</f>
        <v>1.7323000000000001E-10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(l)Se[M]</v>
      </c>
      <c r="B80" s="16">
        <f>IFERROR(ALL!F17,0)</f>
        <v>2.4052000000000001E-3</v>
      </c>
      <c r="C80" s="16">
        <f>IFERROR(ALL!G17,0)</f>
        <v>8.0286000000000003E-3</v>
      </c>
      <c r="D80" s="16">
        <f>IFERROR(ALL!H17,0)</f>
        <v>2.0936E-2</v>
      </c>
      <c r="E80" s="16">
        <f>IFERROR(ALL!I17,0)</f>
        <v>4.1491E-2</v>
      </c>
      <c r="F80" s="16">
        <f>IFERROR(ALL!J17,0)</f>
        <v>6.3899999999999998E-2</v>
      </c>
      <c r="G80" s="16">
        <f>IFERROR(ALL!K17,0)</f>
        <v>4.3081000000000001E-2</v>
      </c>
      <c r="H80" s="16">
        <f>IFERROR(ALL!L17,0)</f>
        <v>6.3097E-2</v>
      </c>
      <c r="I80" s="16">
        <f>IFERROR(ALL!M17,0)</f>
        <v>7.9185000000000005E-2</v>
      </c>
      <c r="J80" s="16">
        <f>IFERROR(ALL!N17,0)</f>
        <v>8.9828000000000005E-2</v>
      </c>
      <c r="K80" s="16">
        <f>IFERROR(ALL!O17,0)</f>
        <v>0.13199</v>
      </c>
      <c r="L80" s="16">
        <f>IFERROR(ALL!P17,0)</f>
        <v>0.16244</v>
      </c>
      <c r="M80" s="16">
        <f>IFERROR(ALL!Q17,0)</f>
        <v>0.20327999999999999</v>
      </c>
      <c r="N80" s="16">
        <f>IFERROR(ALL!R17,0)</f>
        <v>0.2452</v>
      </c>
      <c r="O80" s="16">
        <f>IFERROR(ALL!S17,0)</f>
        <v>0.28054000000000001</v>
      </c>
      <c r="P80" s="16">
        <f>IFERROR(ALL!T17,0)</f>
        <v>0.30725000000000002</v>
      </c>
      <c r="Q80" s="16">
        <f>IFERROR(ALL!U17,0)</f>
        <v>0.32645000000000002</v>
      </c>
      <c r="R80" s="16">
        <f>IFERROR(ALL!V17,0)</f>
        <v>0.33965000000000001</v>
      </c>
      <c r="S80" s="16">
        <f>IFERROR(ALL!W17,0)</f>
        <v>0.34816999999999998</v>
      </c>
      <c r="T80" s="16">
        <f>IFERROR(ALL!X17,0)</f>
        <v>0.35888999999999999</v>
      </c>
      <c r="U80" s="16">
        <f>IFERROR(ALL!Y17,0)</f>
        <v>0.36203000000000002</v>
      </c>
      <c r="V80" s="16">
        <f>IFERROR(ALL!Z17,0)</f>
        <v>0.38185999999999998</v>
      </c>
      <c r="W80" s="16">
        <f>IFERROR(ALL!AA17,0)</f>
        <v>0.44092999999999999</v>
      </c>
      <c r="X80" s="16">
        <f>IFERROR(ALL!AB17,0)</f>
        <v>0.45391999999999999</v>
      </c>
      <c r="Y80" s="16">
        <f>IFERROR(ALL!AC17,0)</f>
        <v>0.46343000000000001</v>
      </c>
      <c r="Z80" s="16">
        <f>IFERROR(ALL!AD17,0)</f>
        <v>0.46978999999999999</v>
      </c>
      <c r="AA80" s="16">
        <f>IFERROR(ALL!AE17,0)</f>
        <v>0.47378999999999999</v>
      </c>
      <c r="AB80" s="16">
        <f>IFERROR(ALL!AF17,0)</f>
        <v>0.47913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(l)Se[R]</v>
      </c>
      <c r="B81" s="16">
        <f>IFERROR(ALL!F18,0)</f>
        <v>7.2503999999999999E-12</v>
      </c>
      <c r="C81" s="16">
        <f>IFERROR(ALL!G18,0)</f>
        <v>2.9913000000000003E-11</v>
      </c>
      <c r="D81" s="16">
        <f>IFERROR(ALL!H18,0)</f>
        <v>9.2025999999999996E-11</v>
      </c>
      <c r="E81" s="16">
        <f>IFERROR(ALL!I18,0)</f>
        <v>2.0705E-10</v>
      </c>
      <c r="F81" s="16">
        <f>IFERROR(ALL!J18,0)</f>
        <v>3.5058999999999998E-10</v>
      </c>
      <c r="G81" s="16">
        <f>IFERROR(ALL!K18,0)</f>
        <v>2.5297000000000001E-10</v>
      </c>
      <c r="H81" s="16">
        <f>IFERROR(ALL!L18,0)</f>
        <v>3.8759999999999999E-10</v>
      </c>
      <c r="I81" s="16">
        <f>IFERROR(ALL!M18,0)</f>
        <v>4.9914999999999998E-10</v>
      </c>
      <c r="J81" s="16">
        <f>IFERROR(ALL!N18,0)</f>
        <v>5.7152999999999999E-10</v>
      </c>
      <c r="K81" s="16">
        <f>IFERROR(ALL!O18,0)</f>
        <v>7.7034000000000005E-10</v>
      </c>
      <c r="L81" s="16">
        <f>IFERROR(ALL!P18,0)</f>
        <v>9.0657E-10</v>
      </c>
      <c r="M81" s="16">
        <f>IFERROR(ALL!Q18,0)</f>
        <v>1.0773E-9</v>
      </c>
      <c r="N81" s="16">
        <f>IFERROR(ALL!R18,0)</f>
        <v>1.2264E-9</v>
      </c>
      <c r="O81" s="16">
        <f>IFERROR(ALL!S18,0)</f>
        <v>1.3172E-9</v>
      </c>
      <c r="P81" s="16">
        <f>IFERROR(ALL!T18,0)</f>
        <v>1.3479000000000001E-9</v>
      </c>
      <c r="Q81" s="16">
        <f>IFERROR(ALL!U18,0)</f>
        <v>1.3325000000000001E-9</v>
      </c>
      <c r="R81" s="16">
        <f>IFERROR(ALL!V18,0)</f>
        <v>1.2852000000000001E-9</v>
      </c>
      <c r="S81" s="16">
        <f>IFERROR(ALL!W18,0)</f>
        <v>1.2172999999999999E-9</v>
      </c>
      <c r="T81" s="16">
        <f>IFERROR(ALL!X18,0)</f>
        <v>8.9125999999999998E-10</v>
      </c>
      <c r="U81" s="16">
        <f>IFERROR(ALL!Y18,0)</f>
        <v>6.1985999999999997E-10</v>
      </c>
      <c r="V81" s="16">
        <f>IFERROR(ALL!Z18,0)</f>
        <v>4.4219E-10</v>
      </c>
      <c r="W81" s="16">
        <f>IFERROR(ALL!AA18,0)</f>
        <v>3.4098E-10</v>
      </c>
      <c r="X81" s="16">
        <f>IFERROR(ALL!AB18,0)</f>
        <v>3.1685E-10</v>
      </c>
      <c r="Y81" s="16">
        <f>IFERROR(ALL!AC18,0)</f>
        <v>2.9186000000000001E-10</v>
      </c>
      <c r="Z81" s="16">
        <f>IFERROR(ALL!AD18,0)</f>
        <v>2.6680999999999998E-10</v>
      </c>
      <c r="AA81" s="16">
        <f>IFERROR(ALL!AE18,0)</f>
        <v>2.4257000000000002E-10</v>
      </c>
      <c r="AB81" s="16">
        <f>IFERROR(ALL!AF18,0)</f>
        <v>1.6140999999999999E-10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(l)Se</v>
      </c>
      <c r="B82" s="16">
        <f>IFERROR(ALL!F19,0)</f>
        <v>2.8497000000000002E-9</v>
      </c>
      <c r="C82" s="16">
        <f>IFERROR(ALL!G19,0)</f>
        <v>7.8554E-9</v>
      </c>
      <c r="D82" s="16">
        <f>IFERROR(ALL!H19,0)</f>
        <v>1.6768000000000002E-8</v>
      </c>
      <c r="E82" s="16">
        <f>IFERROR(ALL!I19,0)</f>
        <v>2.7035E-8</v>
      </c>
      <c r="F82" s="16">
        <f>IFERROR(ALL!J19,0)</f>
        <v>3.3732000000000001E-8</v>
      </c>
      <c r="G82" s="16">
        <f>IFERROR(ALL!K19,0)</f>
        <v>1.8375999999999999E-8</v>
      </c>
      <c r="H82" s="16">
        <f>IFERROR(ALL!L19,0)</f>
        <v>2.1716000000000001E-8</v>
      </c>
      <c r="I82" s="16">
        <f>IFERROR(ALL!M19,0)</f>
        <v>2.1976999999999999E-8</v>
      </c>
      <c r="J82" s="16">
        <f>IFERROR(ALL!N19,0)</f>
        <v>2.0108E-8</v>
      </c>
      <c r="K82" s="16">
        <f>IFERROR(ALL!O19,0)</f>
        <v>1.2638E-8</v>
      </c>
      <c r="L82" s="16">
        <f>IFERROR(ALL!P19,0)</f>
        <v>1.2631000000000001E-8</v>
      </c>
      <c r="M82" s="16">
        <f>IFERROR(ALL!Q19,0)</f>
        <v>1.3356000000000001E-8</v>
      </c>
      <c r="N82" s="16">
        <f>IFERROR(ALL!R19,0)</f>
        <v>1.3774E-8</v>
      </c>
      <c r="O82" s="16">
        <f>IFERROR(ALL!S19,0)</f>
        <v>1.3477000000000001E-8</v>
      </c>
      <c r="P82" s="16">
        <f>IFERROR(ALL!T19,0)</f>
        <v>1.2623999999999999E-8</v>
      </c>
      <c r="Q82" s="16">
        <f>IFERROR(ALL!U19,0)</f>
        <v>1.1476E-8</v>
      </c>
      <c r="R82" s="16">
        <f>IFERROR(ALL!V19,0)</f>
        <v>1.0220999999999999E-8</v>
      </c>
      <c r="S82" s="16">
        <f>IFERROR(ALL!W19,0)</f>
        <v>8.9737000000000001E-9</v>
      </c>
      <c r="T82" s="16">
        <f>IFERROR(ALL!X19,0)</f>
        <v>5.0090000000000004E-9</v>
      </c>
      <c r="U82" s="16">
        <f>IFERROR(ALL!Y19,0)</f>
        <v>2.7683E-9</v>
      </c>
      <c r="V82" s="16">
        <f>IFERROR(ALL!Z19,0)</f>
        <v>1.6196000000000001E-9</v>
      </c>
      <c r="W82" s="16">
        <f>IFERROR(ALL!AA19,0)</f>
        <v>1.0500000000000001E-9</v>
      </c>
      <c r="X82" s="16">
        <f>IFERROR(ALL!AB19,0)</f>
        <v>9.3737999999999992E-10</v>
      </c>
      <c r="Y82" s="16">
        <f>IFERROR(ALL!AC19,0)</f>
        <v>8.3052000000000004E-10</v>
      </c>
      <c r="Z82" s="16">
        <f>IFERROR(ALL!AD19,0)</f>
        <v>7.3111999999999995E-10</v>
      </c>
      <c r="AA82" s="16">
        <f>IFERROR(ALL!AE19,0)</f>
        <v>6.4075999999999997E-10</v>
      </c>
      <c r="AB82" s="16">
        <f>IFERROR(ALL!AF19,0)</f>
        <v>3.7194999999999999E-10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 t="str">
        <f>ALL!E20</f>
        <v>(2)Ga[l]</v>
      </c>
      <c r="B83" s="16">
        <f>IFERROR(ALL!F20,0)</f>
        <v>0</v>
      </c>
      <c r="C83" s="16">
        <f>IFERROR(ALL!G20,0)</f>
        <v>0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0</v>
      </c>
      <c r="J83" s="16">
        <f>IFERROR(ALL!N20,0)</f>
        <v>0</v>
      </c>
      <c r="K83" s="16">
        <f>IFERROR(ALL!O20,0)</f>
        <v>0</v>
      </c>
      <c r="L83" s="16">
        <f>IFERROR(ALL!P20,0)</f>
        <v>0</v>
      </c>
      <c r="M83" s="16">
        <f>IFERROR(ALL!Q20,0)</f>
        <v>0</v>
      </c>
      <c r="N83" s="16">
        <f>IFERROR(ALL!R20,0)</f>
        <v>0</v>
      </c>
      <c r="O83" s="16">
        <f>IFERROR(ALL!S20,0)</f>
        <v>0</v>
      </c>
      <c r="P83" s="16">
        <f>IFERROR(ALL!T20,0)</f>
        <v>0</v>
      </c>
      <c r="Q83" s="16">
        <f>IFERROR(ALL!U20,0)</f>
        <v>0</v>
      </c>
      <c r="R83" s="16">
        <f>IFERROR(ALL!V20,0)</f>
        <v>0</v>
      </c>
      <c r="S83" s="16">
        <f>IFERROR(ALL!W20,0)</f>
        <v>0</v>
      </c>
      <c r="T83" s="16">
        <f>IFERROR(ALL!X20,0)</f>
        <v>0</v>
      </c>
      <c r="U83" s="16">
        <f>IFERROR(ALL!Y20,0)</f>
        <v>0</v>
      </c>
      <c r="V83" s="16">
        <f>IFERROR(ALL!Z20,0)</f>
        <v>5.3633E-24</v>
      </c>
      <c r="W83" s="16">
        <f>IFERROR(ALL!AA20,0)</f>
        <v>4.1780999999999998E-10</v>
      </c>
      <c r="X83" s="16">
        <f>IFERROR(ALL!AB20,0)</f>
        <v>1.8819999999999999E-8</v>
      </c>
      <c r="Y83" s="16">
        <f>IFERROR(ALL!AC20,0)</f>
        <v>5.1797999999999998E-8</v>
      </c>
      <c r="Z83" s="16">
        <f>IFERROR(ALL!AD20,0)</f>
        <v>7.7835999999999996E-8</v>
      </c>
      <c r="AA83" s="16">
        <f>IFERROR(ALL!AE20,0)</f>
        <v>1.3689E-7</v>
      </c>
      <c r="AB83" s="16">
        <f>IFERROR(ALL!AF20,0)</f>
        <v>5.8815000000000004E-7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 t="str">
        <f>ALL!E21</f>
        <v>(2)Ge[l]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0</v>
      </c>
      <c r="K84" s="16">
        <f>IFERROR(ALL!O21,0)</f>
        <v>0</v>
      </c>
      <c r="L84" s="16">
        <f>IFERROR(ALL!P21,0)</f>
        <v>0</v>
      </c>
      <c r="M84" s="16">
        <f>IFERROR(ALL!Q21,0)</f>
        <v>0</v>
      </c>
      <c r="N84" s="16">
        <f>IFERROR(ALL!R21,0)</f>
        <v>0</v>
      </c>
      <c r="O84" s="16">
        <f>IFERROR(ALL!S21,0)</f>
        <v>0</v>
      </c>
      <c r="P84" s="16">
        <f>IFERROR(ALL!T21,0)</f>
        <v>0</v>
      </c>
      <c r="Q84" s="16">
        <f>IFERROR(ALL!U21,0)</f>
        <v>0</v>
      </c>
      <c r="R84" s="16">
        <f>IFERROR(ALL!V21,0)</f>
        <v>0</v>
      </c>
      <c r="S84" s="16">
        <f>IFERROR(ALL!W21,0)</f>
        <v>0</v>
      </c>
      <c r="T84" s="16">
        <f>IFERROR(ALL!X21,0)</f>
        <v>0</v>
      </c>
      <c r="U84" s="16">
        <f>IFERROR(ALL!Y21,0)</f>
        <v>0</v>
      </c>
      <c r="V84" s="16">
        <f>IFERROR(ALL!Z21,0)</f>
        <v>2.2334999999999998E-24</v>
      </c>
      <c r="W84" s="16">
        <f>IFERROR(ALL!AA21,0)</f>
        <v>5.6443000000000001E-11</v>
      </c>
      <c r="X84" s="16">
        <f>IFERROR(ALL!AB21,0)</f>
        <v>2.3336999999999999E-9</v>
      </c>
      <c r="Y84" s="16">
        <f>IFERROR(ALL!AC21,0)</f>
        <v>6.2382999999999999E-9</v>
      </c>
      <c r="Z84" s="16">
        <f>IFERROR(ALL!AD21,0)</f>
        <v>9.4627000000000004E-9</v>
      </c>
      <c r="AA84" s="16">
        <f>IFERROR(ALL!AE21,0)</f>
        <v>1.7202999999999999E-8</v>
      </c>
      <c r="AB84" s="16">
        <f>IFERROR(ALL!AF21,0)</f>
        <v>9.1625000000000002E-8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 t="str">
        <f>ALL!E22</f>
        <v>H (Ar)</v>
      </c>
      <c r="B85" s="16">
        <f>IFERROR(ALL!F22,0)</f>
        <v>-18.87</v>
      </c>
      <c r="C85" s="16">
        <f>IFERROR(ALL!G22,0)</f>
        <v>-18.87</v>
      </c>
      <c r="D85" s="16">
        <f>IFERROR(ALL!H22,0)</f>
        <v>-18.899999999999999</v>
      </c>
      <c r="E85" s="16">
        <f>IFERROR(ALL!I22,0)</f>
        <v>-18.95</v>
      </c>
      <c r="F85" s="16">
        <f>IFERROR(ALL!J22,0)</f>
        <v>-19.010000000000002</v>
      </c>
      <c r="G85" s="16">
        <f>IFERROR(ALL!K22,0)</f>
        <v>-18.98</v>
      </c>
      <c r="H85" s="16">
        <f>IFERROR(ALL!L22,0)</f>
        <v>-19.04</v>
      </c>
      <c r="I85" s="16">
        <f>IFERROR(ALL!M22,0)</f>
        <v>-19.09</v>
      </c>
      <c r="J85" s="16">
        <f>IFERROR(ALL!N22,0)</f>
        <v>-19.14</v>
      </c>
      <c r="K85" s="16">
        <f>IFERROR(ALL!O22,0)</f>
        <v>-19.18</v>
      </c>
      <c r="L85" s="16">
        <f>IFERROR(ALL!P22,0)</f>
        <v>-19.13</v>
      </c>
      <c r="M85" s="16">
        <f>IFERROR(ALL!Q22,0)</f>
        <v>-19.079999999999998</v>
      </c>
      <c r="N85" s="16">
        <f>IFERROR(ALL!R22,0)</f>
        <v>-19.04</v>
      </c>
      <c r="O85" s="16">
        <f>IFERROR(ALL!S22,0)</f>
        <v>-19.03</v>
      </c>
      <c r="P85" s="16">
        <f>IFERROR(ALL!T22,0)</f>
        <v>-19.04</v>
      </c>
      <c r="Q85" s="16">
        <f>IFERROR(ALL!U22,0)</f>
        <v>-19.059999999999999</v>
      </c>
      <c r="R85" s="16">
        <f>IFERROR(ALL!V22,0)</f>
        <v>-19.079999999999998</v>
      </c>
      <c r="S85" s="16">
        <f>IFERROR(ALL!W22,0)</f>
        <v>-19.11</v>
      </c>
      <c r="T85" s="16">
        <f>IFERROR(ALL!X22,0)</f>
        <v>-19.25</v>
      </c>
      <c r="U85" s="16">
        <f>IFERROR(ALL!Y22,0)</f>
        <v>-19.38</v>
      </c>
      <c r="V85" s="16">
        <f>IFERROR(ALL!Z22,0)</f>
        <v>-19.510000000000002</v>
      </c>
      <c r="W85" s="16">
        <f>IFERROR(ALL!AA22,0)</f>
        <v>-19.64</v>
      </c>
      <c r="X85" s="16">
        <f>IFERROR(ALL!AB22,0)</f>
        <v>-19.670000000000002</v>
      </c>
      <c r="Y85" s="16">
        <f>IFERROR(ALL!AC22,0)</f>
        <v>-19.7</v>
      </c>
      <c r="Z85" s="16">
        <f>IFERROR(ALL!AD22,0)</f>
        <v>-19.73</v>
      </c>
      <c r="AA85" s="16">
        <f>IFERROR(ALL!AE22,0)</f>
        <v>-19.760000000000002</v>
      </c>
      <c r="AB85" s="16">
        <f>IFERROR(ALL!AF22,0)</f>
        <v>-19.88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 t="str">
        <f>ALL!E23</f>
        <v>H (Ga)</v>
      </c>
      <c r="B86" s="16">
        <f>IFERROR(ALL!F23,0)</f>
        <v>-66.680000000000007</v>
      </c>
      <c r="C86" s="16">
        <f>IFERROR(ALL!G23,0)</f>
        <v>-63.05</v>
      </c>
      <c r="D86" s="16">
        <f>IFERROR(ALL!H23,0)</f>
        <v>-59.58</v>
      </c>
      <c r="E86" s="16">
        <f>IFERROR(ALL!I23,0)</f>
        <v>-56.15</v>
      </c>
      <c r="F86" s="16">
        <f>IFERROR(ALL!J23,0)</f>
        <v>-52.74</v>
      </c>
      <c r="G86" s="16">
        <f>IFERROR(ALL!K23,0)</f>
        <v>-48.52</v>
      </c>
      <c r="H86" s="16">
        <f>IFERROR(ALL!L23,0)</f>
        <v>-45.68</v>
      </c>
      <c r="I86" s="16">
        <f>IFERROR(ALL!M23,0)</f>
        <v>-42.89</v>
      </c>
      <c r="J86" s="16">
        <f>IFERROR(ALL!N23,0)</f>
        <v>-40.18</v>
      </c>
      <c r="K86" s="16">
        <f>IFERROR(ALL!O23,0)</f>
        <v>-30.88</v>
      </c>
      <c r="L86" s="16">
        <f>IFERROR(ALL!P23,0)</f>
        <v>-29.01</v>
      </c>
      <c r="M86" s="16">
        <f>IFERROR(ALL!Q23,0)</f>
        <v>-27.3</v>
      </c>
      <c r="N86" s="16">
        <f>IFERROR(ALL!R23,0)</f>
        <v>-25.68</v>
      </c>
      <c r="O86" s="16">
        <f>IFERROR(ALL!S23,0)</f>
        <v>-24.16</v>
      </c>
      <c r="P86" s="16">
        <f>IFERROR(ALL!T23,0)</f>
        <v>-22.72</v>
      </c>
      <c r="Q86" s="16">
        <f>IFERROR(ALL!U23,0)</f>
        <v>-21.39</v>
      </c>
      <c r="R86" s="16">
        <f>IFERROR(ALL!V23,0)</f>
        <v>-20.170000000000002</v>
      </c>
      <c r="S86" s="16">
        <f>IFERROR(ALL!W23,0)</f>
        <v>-19.05</v>
      </c>
      <c r="T86" s="16">
        <f>IFERROR(ALL!X23,0)</f>
        <v>-15.24</v>
      </c>
      <c r="U86" s="16">
        <f>IFERROR(ALL!Y23,0)</f>
        <v>-12.13</v>
      </c>
      <c r="V86" s="16">
        <f>IFERROR(ALL!Z23,0)</f>
        <v>-9.7149999999999999</v>
      </c>
      <c r="W86" s="16">
        <f>IFERROR(ALL!AA23,0)</f>
        <v>-8.48</v>
      </c>
      <c r="X86" s="16">
        <f>IFERROR(ALL!AB23,0)</f>
        <v>-8.3719999999999999</v>
      </c>
      <c r="Y86" s="16">
        <f>IFERROR(ALL!AC23,0)</f>
        <v>-8.3179999999999996</v>
      </c>
      <c r="Z86" s="16">
        <f>IFERROR(ALL!AD23,0)</f>
        <v>-8.3000000000000007</v>
      </c>
      <c r="AA86" s="16">
        <f>IFERROR(ALL!AE23,0)</f>
        <v>-8.3049999999999997</v>
      </c>
      <c r="AB86" s="16">
        <f>IFERROR(ALL!AF23,0)</f>
        <v>-8.4120000000000008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 t="str">
        <f>ALL!E24</f>
        <v>H (Ge)</v>
      </c>
      <c r="B87" s="16">
        <f>IFERROR(ALL!F24,0)</f>
        <v>-18.13</v>
      </c>
      <c r="C87" s="16">
        <f>IFERROR(ALL!G24,0)</f>
        <v>-17.350000000000001</v>
      </c>
      <c r="D87" s="16">
        <f>IFERROR(ALL!H24,0)</f>
        <v>-16.45</v>
      </c>
      <c r="E87" s="16">
        <f>IFERROR(ALL!I24,0)</f>
        <v>-15.39</v>
      </c>
      <c r="F87" s="16">
        <f>IFERROR(ALL!J24,0)</f>
        <v>-14.22</v>
      </c>
      <c r="G87" s="16">
        <f>IFERROR(ALL!K24,0)</f>
        <v>-12.64</v>
      </c>
      <c r="H87" s="16">
        <f>IFERROR(ALL!L24,0)</f>
        <v>-11.66</v>
      </c>
      <c r="I87" s="16">
        <f>IFERROR(ALL!M24,0)</f>
        <v>-10.66</v>
      </c>
      <c r="J87" s="16">
        <f>IFERROR(ALL!N24,0)</f>
        <v>-9.6769999999999996</v>
      </c>
      <c r="K87" s="16">
        <f>IFERROR(ALL!O24,0)</f>
        <v>-6.4119999999999999</v>
      </c>
      <c r="L87" s="16">
        <f>IFERROR(ALL!P24,0)</f>
        <v>-5.9249999999999998</v>
      </c>
      <c r="M87" s="16">
        <f>IFERROR(ALL!Q24,0)</f>
        <v>-5.6239999999999997</v>
      </c>
      <c r="N87" s="16">
        <f>IFERROR(ALL!R24,0)</f>
        <v>-5.47</v>
      </c>
      <c r="O87" s="16">
        <f>IFERROR(ALL!S24,0)</f>
        <v>-5.4130000000000003</v>
      </c>
      <c r="P87" s="16">
        <f>IFERROR(ALL!T24,0)</f>
        <v>-5.4139999999999997</v>
      </c>
      <c r="Q87" s="16">
        <f>IFERROR(ALL!U24,0)</f>
        <v>-5.4450000000000003</v>
      </c>
      <c r="R87" s="16">
        <f>IFERROR(ALL!V24,0)</f>
        <v>-5.4880000000000004</v>
      </c>
      <c r="S87" s="16">
        <f>IFERROR(ALL!W24,0)</f>
        <v>-5.5330000000000004</v>
      </c>
      <c r="T87" s="16">
        <f>IFERROR(ALL!X24,0)</f>
        <v>-5.7050000000000001</v>
      </c>
      <c r="U87" s="16">
        <f>IFERROR(ALL!Y24,0)</f>
        <v>-5.8680000000000003</v>
      </c>
      <c r="V87" s="16">
        <f>IFERROR(ALL!Z24,0)</f>
        <v>-6.0510000000000002</v>
      </c>
      <c r="W87" s="16">
        <f>IFERROR(ALL!AA24,0)</f>
        <v>-6.2869999999999999</v>
      </c>
      <c r="X87" s="16">
        <f>IFERROR(ALL!AB24,0)</f>
        <v>-6.343</v>
      </c>
      <c r="Y87" s="16">
        <f>IFERROR(ALL!AC24,0)</f>
        <v>-6.3940000000000001</v>
      </c>
      <c r="Z87" s="16">
        <f>IFERROR(ALL!AD24,0)</f>
        <v>-6.44</v>
      </c>
      <c r="AA87" s="16">
        <f>IFERROR(ALL!AE24,0)</f>
        <v>-6.4820000000000002</v>
      </c>
      <c r="AB87" s="16">
        <f>IFERROR(ALL!AF24,0)</f>
        <v>-6.6340000000000003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 t="str">
        <f>ALL!E25</f>
        <v>H (Se)</v>
      </c>
      <c r="B88" s="16">
        <f>IFERROR(ALL!F25,0)</f>
        <v>-23.19</v>
      </c>
      <c r="C88" s="16">
        <f>IFERROR(ALL!G25,0)</f>
        <v>-22.18</v>
      </c>
      <c r="D88" s="16">
        <f>IFERROR(ALL!H25,0)</f>
        <v>-21.45</v>
      </c>
      <c r="E88" s="16">
        <f>IFERROR(ALL!I25,0)</f>
        <v>-21.02</v>
      </c>
      <c r="F88" s="16">
        <f>IFERROR(ALL!J25,0)</f>
        <v>-20.86</v>
      </c>
      <c r="G88" s="16">
        <f>IFERROR(ALL!K25,0)</f>
        <v>-21.44</v>
      </c>
      <c r="H88" s="16">
        <f>IFERROR(ALL!L25,0)</f>
        <v>-21.34</v>
      </c>
      <c r="I88" s="16">
        <f>IFERROR(ALL!M25,0)</f>
        <v>-21.39</v>
      </c>
      <c r="J88" s="16">
        <f>IFERROR(ALL!N25,0)</f>
        <v>-21.54</v>
      </c>
      <c r="K88" s="16">
        <f>IFERROR(ALL!O25,0)</f>
        <v>-22.4</v>
      </c>
      <c r="L88" s="16">
        <f>IFERROR(ALL!P25,0)</f>
        <v>-22.6</v>
      </c>
      <c r="M88" s="16">
        <f>IFERROR(ALL!Q25,0)</f>
        <v>-22.79</v>
      </c>
      <c r="N88" s="16">
        <f>IFERROR(ALL!R25,0)</f>
        <v>-22.98</v>
      </c>
      <c r="O88" s="16">
        <f>IFERROR(ALL!S25,0)</f>
        <v>-23.19</v>
      </c>
      <c r="P88" s="16">
        <f>IFERROR(ALL!T25,0)</f>
        <v>-23.42</v>
      </c>
      <c r="Q88" s="16">
        <f>IFERROR(ALL!U25,0)</f>
        <v>-23.65</v>
      </c>
      <c r="R88" s="16">
        <f>IFERROR(ALL!V25,0)</f>
        <v>-23.88</v>
      </c>
      <c r="S88" s="16">
        <f>IFERROR(ALL!W25,0)</f>
        <v>-24.12</v>
      </c>
      <c r="T88" s="16">
        <f>IFERROR(ALL!X25,0)</f>
        <v>-25.05</v>
      </c>
      <c r="U88" s="16">
        <f>IFERROR(ALL!Y25,0)</f>
        <v>-25.94</v>
      </c>
      <c r="V88" s="16">
        <f>IFERROR(ALL!Z25,0)</f>
        <v>-26.78</v>
      </c>
      <c r="W88" s="16">
        <f>IFERROR(ALL!AA25,0)</f>
        <v>-27.56</v>
      </c>
      <c r="X88" s="16">
        <f>IFERROR(ALL!AB25,0)</f>
        <v>-27.76</v>
      </c>
      <c r="Y88" s="16">
        <f>IFERROR(ALL!AC25,0)</f>
        <v>-27.95</v>
      </c>
      <c r="Z88" s="16">
        <f>IFERROR(ALL!AD25,0)</f>
        <v>-28.15</v>
      </c>
      <c r="AA88" s="16">
        <f>IFERROR(ALL!AE25,0)</f>
        <v>-28.35</v>
      </c>
      <c r="AB88" s="16">
        <f>IFERROR(ALL!AF25,0)</f>
        <v>-29.13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 x14ac:dyDescent="0.4">
      <c r="A97" s="93"/>
      <c r="B97" s="93"/>
    </row>
    <row r="98" spans="1:72" hidden="1" x14ac:dyDescent="0.35">
      <c r="A98" s="47"/>
      <c r="B98" s="47"/>
    </row>
    <row r="99" spans="1:72" hidden="1" x14ac:dyDescent="0.35">
      <c r="A99" s="47"/>
      <c r="B99" s="47"/>
    </row>
    <row r="100" spans="1:72" ht="22.5" hidden="1" thickTop="1" thickBot="1" x14ac:dyDescent="0.4">
      <c r="A100" s="90" t="s">
        <v>27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hidden="1" thickTop="1" thickBot="1" x14ac:dyDescent="0.4">
      <c r="A101" s="87" t="s">
        <v>102</v>
      </c>
      <c r="B101" s="35">
        <v>7.9051891530166386E-20</v>
      </c>
      <c r="C101" s="35">
        <v>1.084391640990015E-19</v>
      </c>
      <c r="D101" s="35">
        <v>1.3782643666783663E-19</v>
      </c>
      <c r="E101" s="35">
        <v>1.6721370923667174E-19</v>
      </c>
      <c r="F101" s="35">
        <v>2.7180098714069961E-17</v>
      </c>
      <c r="G101" s="35">
        <v>3.6450320763993966E-16</v>
      </c>
      <c r="H101" s="35">
        <v>7.018263165658095E-16</v>
      </c>
      <c r="I101" s="35">
        <v>1.0391494254916791E-15</v>
      </c>
      <c r="J101" s="35">
        <v>1.3764725344175489E-15</v>
      </c>
      <c r="K101" s="35">
        <v>1.7137956433434185E-15</v>
      </c>
      <c r="L101" s="35">
        <v>2.0511187522692885E-15</v>
      </c>
      <c r="M101" s="35">
        <v>1.1533352284417529E-13</v>
      </c>
      <c r="N101" s="35">
        <v>3.5597952889561264E-13</v>
      </c>
      <c r="O101" s="35">
        <v>5.9662553494705002E-13</v>
      </c>
      <c r="P101" s="35">
        <v>8.372715409984874E-13</v>
      </c>
      <c r="Q101" s="35">
        <v>1.0779175470499247E-12</v>
      </c>
      <c r="R101" s="35">
        <v>1.3185635531013621E-12</v>
      </c>
      <c r="S101" s="35">
        <v>1.5592095591527994E-12</v>
      </c>
      <c r="T101" s="35">
        <v>2.8054761724659668E-11</v>
      </c>
      <c r="U101" s="35">
        <v>5.8824368381240589E-11</v>
      </c>
      <c r="V101" s="35">
        <v>8.9593975037821513E-11</v>
      </c>
      <c r="W101" s="35">
        <v>1.2036358169440246E-10</v>
      </c>
      <c r="X101" s="35">
        <v>1.5113318835098339E-10</v>
      </c>
      <c r="Y101" s="35">
        <v>1.8190279500756431E-10</v>
      </c>
      <c r="Z101" s="35">
        <v>2.6043151515151517E-10</v>
      </c>
      <c r="AA101" s="35">
        <v>4.8223757575757567E-10</v>
      </c>
      <c r="AB101" s="35">
        <v>9.0770181818181805E-10</v>
      </c>
      <c r="AC101" s="35">
        <v>1.4689381818181817E-9</v>
      </c>
      <c r="AD101" s="35">
        <v>2.7757575757575762E-9</v>
      </c>
      <c r="AE101" s="35">
        <v>4.6413636363636366E-9</v>
      </c>
      <c r="AF101" s="35">
        <v>7.7192424242424244E-9</v>
      </c>
      <c r="AG101" s="35">
        <v>2.5943667170953093E-8</v>
      </c>
      <c r="AH101" s="35">
        <v>5.2323924357034778E-8</v>
      </c>
      <c r="AI101" s="35">
        <v>7.870418154311645E-8</v>
      </c>
      <c r="AJ101" s="35">
        <v>1.0508443872919813E-7</v>
      </c>
      <c r="AK101" s="35">
        <v>1.3146469591527985E-7</v>
      </c>
      <c r="AL101" s="35">
        <v>1.5784495310136153E-7</v>
      </c>
      <c r="AM101" s="35">
        <v>1.952185930408465E-7</v>
      </c>
      <c r="AN101" s="35">
        <v>4.9643341906202644E-7</v>
      </c>
      <c r="AO101" s="35">
        <v>7.9764824508320636E-7</v>
      </c>
      <c r="AP101" s="35">
        <v>1.0988630711043862E-6</v>
      </c>
      <c r="AQ101" s="35">
        <v>1.4000778971255662E-6</v>
      </c>
      <c r="AR101" s="35">
        <v>1.7012927231467462E-6</v>
      </c>
      <c r="AS101" s="35">
        <v>2.002507549167926E-6</v>
      </c>
      <c r="AT101" s="35">
        <v>3.0750402420574799E-6</v>
      </c>
      <c r="AU101" s="35">
        <v>5.1700175491679222E-6</v>
      </c>
      <c r="AV101" s="35">
        <v>7.2649948562783637E-6</v>
      </c>
      <c r="AW101" s="35">
        <v>9.3599721633888052E-6</v>
      </c>
      <c r="AX101" s="35">
        <v>1.1454949470499247E-5</v>
      </c>
      <c r="AY101" s="35">
        <v>1.3549926777609688E-5</v>
      </c>
      <c r="AZ101" s="35">
        <v>1.5644904084720128E-5</v>
      </c>
      <c r="BA101" s="35">
        <v>2.3892881818181861E-5</v>
      </c>
      <c r="BB101" s="35">
        <v>3.3491518181818223E-5</v>
      </c>
      <c r="BC101" s="35">
        <v>4.3090154545454582E-5</v>
      </c>
      <c r="BD101" s="35">
        <v>5.2688790909090954E-5</v>
      </c>
      <c r="BE101" s="35">
        <v>6.2287427272727312E-5</v>
      </c>
      <c r="BF101" s="35">
        <v>7.1886063636363671E-5</v>
      </c>
      <c r="BG101" s="35">
        <v>8.5793505295007696E-5</v>
      </c>
      <c r="BH101" s="35">
        <v>1.149776202723148E-4</v>
      </c>
      <c r="BI101" s="35">
        <v>1.4416173524962189E-4</v>
      </c>
      <c r="BJ101" s="35">
        <v>1.73345850226929E-4</v>
      </c>
      <c r="BK101" s="35">
        <v>2.025299652042361E-4</v>
      </c>
      <c r="BL101" s="35">
        <v>2.3171408018154321E-4</v>
      </c>
      <c r="BM101" s="35">
        <v>2.6089819515885031E-4</v>
      </c>
      <c r="BN101" s="35">
        <v>3.0064315151515162E-4</v>
      </c>
      <c r="BO101" s="35">
        <v>3.4714012121212135E-4</v>
      </c>
      <c r="BP101" s="35">
        <v>3.9936530120481933E-4</v>
      </c>
      <c r="BQ101" s="35">
        <v>4.5332818181818179E-4</v>
      </c>
      <c r="BR101" s="35">
        <v>5.1078878787878779E-4</v>
      </c>
      <c r="BS101" s="35">
        <v>5.6975030303030294E-4</v>
      </c>
      <c r="BT101" s="35">
        <v>6.2951999999999995E-4</v>
      </c>
    </row>
    <row r="102" spans="1:72" ht="21.75" hidden="1" thickBot="1" x14ac:dyDescent="0.4">
      <c r="A102" s="87" t="s">
        <v>103</v>
      </c>
      <c r="B102" s="35">
        <v>1.6106691547594547E-18</v>
      </c>
      <c r="C102" s="35">
        <v>2.2094270234432673E-18</v>
      </c>
      <c r="D102" s="35">
        <v>2.8081848921270801E-18</v>
      </c>
      <c r="E102" s="35">
        <v>3.4069427608108925E-18</v>
      </c>
      <c r="F102" s="35">
        <v>2.0623365113464727E-16</v>
      </c>
      <c r="G102" s="35">
        <v>2.7346817903177025E-15</v>
      </c>
      <c r="H102" s="35">
        <v>5.2631299295007568E-15</v>
      </c>
      <c r="I102" s="35">
        <v>7.791578068683813E-15</v>
      </c>
      <c r="J102" s="35">
        <v>1.0320026207866869E-14</v>
      </c>
      <c r="K102" s="35">
        <v>1.2848474347049922E-14</v>
      </c>
      <c r="L102" s="35">
        <v>1.5376922486232978E-14</v>
      </c>
      <c r="M102" s="35">
        <v>4.1312275037821403E-13</v>
      </c>
      <c r="N102" s="35">
        <v>1.2565392405446291E-12</v>
      </c>
      <c r="O102" s="35">
        <v>2.0999557307110438E-12</v>
      </c>
      <c r="P102" s="35">
        <v>2.9433722208774585E-12</v>
      </c>
      <c r="Q102" s="35">
        <v>3.7867887110438741E-12</v>
      </c>
      <c r="R102" s="35">
        <v>4.6302052012102888E-12</v>
      </c>
      <c r="S102" s="35">
        <v>5.4736216913767035E-12</v>
      </c>
      <c r="T102" s="35">
        <v>5.6427757186081811E-11</v>
      </c>
      <c r="U102" s="35">
        <v>1.1553945158850236E-10</v>
      </c>
      <c r="V102" s="35">
        <v>1.7465114599092292E-10</v>
      </c>
      <c r="W102" s="35">
        <v>2.3376284039334347E-10</v>
      </c>
      <c r="X102" s="35">
        <v>2.9287453479576402E-10</v>
      </c>
      <c r="Y102" s="35">
        <v>3.5198622919818457E-10</v>
      </c>
      <c r="Z102" s="35">
        <v>4.8324575757575758E-10</v>
      </c>
      <c r="AA102" s="35">
        <v>8.3094878787878796E-10</v>
      </c>
      <c r="AB102" s="35">
        <v>1.4356190909090909E-9</v>
      </c>
      <c r="AC102" s="35">
        <v>2.2116009090909089E-9</v>
      </c>
      <c r="AD102" s="35">
        <v>3.8211242424242422E-9</v>
      </c>
      <c r="AE102" s="35">
        <v>5.9929545454545456E-9</v>
      </c>
      <c r="AF102" s="35">
        <v>9.3744696969696975E-9</v>
      </c>
      <c r="AG102" s="35">
        <v>2.4270148260211796E-8</v>
      </c>
      <c r="AH102" s="35">
        <v>4.5365760968229942E-8</v>
      </c>
      <c r="AI102" s="35">
        <v>6.6461373676248081E-8</v>
      </c>
      <c r="AJ102" s="35">
        <v>8.7556986384266234E-8</v>
      </c>
      <c r="AK102" s="35">
        <v>1.0865259909228437E-7</v>
      </c>
      <c r="AL102" s="35">
        <v>1.2974821180030254E-7</v>
      </c>
      <c r="AM102" s="35">
        <v>1.569373676248105E-7</v>
      </c>
      <c r="AN102" s="35">
        <v>3.3037155824508274E-7</v>
      </c>
      <c r="AO102" s="35">
        <v>5.0380574886535495E-7</v>
      </c>
      <c r="AP102" s="35">
        <v>6.7723993948562727E-7</v>
      </c>
      <c r="AQ102" s="35">
        <v>8.5067413010589937E-7</v>
      </c>
      <c r="AR102" s="35">
        <v>1.0241083207261717E-6</v>
      </c>
      <c r="AS102" s="35">
        <v>1.197542511346444E-6</v>
      </c>
      <c r="AT102" s="35">
        <v>1.6813703479576364E-6</v>
      </c>
      <c r="AU102" s="35">
        <v>2.5766502269288935E-6</v>
      </c>
      <c r="AV102" s="35">
        <v>3.4719301059001504E-6</v>
      </c>
      <c r="AW102" s="35">
        <v>4.3672099848714073E-6</v>
      </c>
      <c r="AX102" s="35">
        <v>5.2624898638426641E-6</v>
      </c>
      <c r="AY102" s="35">
        <v>6.157769742813921E-6</v>
      </c>
      <c r="AZ102" s="35">
        <v>7.0530496217851779E-6</v>
      </c>
      <c r="BA102" s="35">
        <v>9.7212630303030442E-6</v>
      </c>
      <c r="BB102" s="35">
        <v>1.2778656969696984E-5</v>
      </c>
      <c r="BC102" s="35">
        <v>1.5836050909090923E-5</v>
      </c>
      <c r="BD102" s="35">
        <v>1.8893444848484865E-5</v>
      </c>
      <c r="BE102" s="35">
        <v>2.1950838787878803E-5</v>
      </c>
      <c r="BF102" s="35">
        <v>2.5008232727272741E-5</v>
      </c>
      <c r="BG102" s="35">
        <v>2.8847695915279908E-5</v>
      </c>
      <c r="BH102" s="35">
        <v>3.5459950075642989E-5</v>
      </c>
      <c r="BI102" s="35">
        <v>4.2072204236006077E-5</v>
      </c>
      <c r="BJ102" s="35">
        <v>4.8684458396369159E-5</v>
      </c>
      <c r="BK102" s="35">
        <v>5.529671255673224E-5</v>
      </c>
      <c r="BL102" s="35">
        <v>6.1908966717095322E-5</v>
      </c>
      <c r="BM102" s="35">
        <v>6.8521220877458403E-5</v>
      </c>
      <c r="BN102" s="35">
        <v>7.6045066666666675E-5</v>
      </c>
      <c r="BO102" s="35">
        <v>8.415173333333335E-5</v>
      </c>
      <c r="BP102" s="35">
        <v>9.2010265060240963E-5</v>
      </c>
      <c r="BQ102" s="35">
        <v>9.9634181818181809E-5</v>
      </c>
      <c r="BR102" s="35">
        <v>1.0673478787878788E-4</v>
      </c>
      <c r="BS102" s="35">
        <v>1.1294666666666667E-4</v>
      </c>
      <c r="BT102" s="35">
        <v>1.1868E-4</v>
      </c>
    </row>
    <row r="103" spans="1:72" ht="21.75" hidden="1" thickBot="1" x14ac:dyDescent="0.4">
      <c r="A103" s="87" t="s">
        <v>104</v>
      </c>
      <c r="B103" s="35">
        <v>1.1818640239636907E-15</v>
      </c>
      <c r="C103" s="35">
        <v>1.6212099362178513E-15</v>
      </c>
      <c r="D103" s="35">
        <v>2.060555848472012E-15</v>
      </c>
      <c r="E103" s="35">
        <v>2.4999017607261724E-15</v>
      </c>
      <c r="F103" s="35">
        <v>6.916607760968322E-14</v>
      </c>
      <c r="G103" s="35">
        <v>8.974407977307116E-13</v>
      </c>
      <c r="H103" s="35">
        <v>1.7257155178517401E-12</v>
      </c>
      <c r="I103" s="35">
        <v>2.5539902379727683E-12</v>
      </c>
      <c r="J103" s="35">
        <v>3.3822649580937969E-12</v>
      </c>
      <c r="K103" s="35">
        <v>4.2105396782148259E-12</v>
      </c>
      <c r="L103" s="35">
        <v>5.0388143983358541E-12</v>
      </c>
      <c r="M103" s="35">
        <v>7.5607502571860683E-11</v>
      </c>
      <c r="N103" s="35">
        <v>2.2481963570347951E-10</v>
      </c>
      <c r="O103" s="35">
        <v>3.7403176883509832E-10</v>
      </c>
      <c r="P103" s="35">
        <v>5.2324390196671718E-10</v>
      </c>
      <c r="Q103" s="35">
        <v>6.7245603509833594E-10</v>
      </c>
      <c r="R103" s="35">
        <v>8.2166816822995481E-10</v>
      </c>
      <c r="S103" s="35">
        <v>9.7088030136157357E-10</v>
      </c>
      <c r="T103" s="35">
        <v>6.4987923600605271E-9</v>
      </c>
      <c r="U103" s="35">
        <v>1.2902306732223913E-8</v>
      </c>
      <c r="V103" s="35">
        <v>1.9305821104387302E-8</v>
      </c>
      <c r="W103" s="35">
        <v>2.5709335476550688E-8</v>
      </c>
      <c r="X103" s="35">
        <v>3.2112849848714075E-8</v>
      </c>
      <c r="Y103" s="35">
        <v>3.8516364220877462E-8</v>
      </c>
      <c r="Z103" s="35">
        <v>5.1217787878787879E-8</v>
      </c>
      <c r="AA103" s="35">
        <v>8.2812939393939386E-8</v>
      </c>
      <c r="AB103" s="35">
        <v>1.3364700000000001E-7</v>
      </c>
      <c r="AC103" s="35">
        <v>1.9730699999999998E-7</v>
      </c>
      <c r="AD103" s="35">
        <v>3.1752424242424242E-7</v>
      </c>
      <c r="AE103" s="35">
        <v>4.7280727272727272E-7</v>
      </c>
      <c r="AF103" s="35">
        <v>7.0296484848484849E-7</v>
      </c>
      <c r="AG103" s="35">
        <v>1.5101118305597576E-6</v>
      </c>
      <c r="AH103" s="35">
        <v>2.6279454160363079E-6</v>
      </c>
      <c r="AI103" s="35">
        <v>3.7457790015128583E-6</v>
      </c>
      <c r="AJ103" s="35">
        <v>4.8636125869894082E-6</v>
      </c>
      <c r="AK103" s="35">
        <v>5.981446172465959E-6</v>
      </c>
      <c r="AL103" s="35">
        <v>7.0992797579425089E-6</v>
      </c>
      <c r="AM103" s="35">
        <v>8.4536744326777454E-6</v>
      </c>
      <c r="AN103" s="35">
        <v>1.5485535249621767E-5</v>
      </c>
      <c r="AO103" s="35">
        <v>2.251739606656579E-5</v>
      </c>
      <c r="AP103" s="35">
        <v>2.9549256883509813E-5</v>
      </c>
      <c r="AQ103" s="35">
        <v>3.6581117700453836E-5</v>
      </c>
      <c r="AR103" s="35">
        <v>4.3612978517397862E-5</v>
      </c>
      <c r="AS103" s="35">
        <v>5.0644839334341882E-5</v>
      </c>
      <c r="AT103" s="35">
        <v>6.6826813918305489E-5</v>
      </c>
      <c r="AU103" s="35">
        <v>9.5138009077155758E-5</v>
      </c>
      <c r="AV103" s="35">
        <v>1.2344920423600601E-4</v>
      </c>
      <c r="AW103" s="35">
        <v>1.517603993948563E-4</v>
      </c>
      <c r="AX103" s="35">
        <v>1.8007159455370655E-4</v>
      </c>
      <c r="AY103" s="35">
        <v>2.0838278971255681E-4</v>
      </c>
      <c r="AZ103" s="35">
        <v>2.3669398487140709E-4</v>
      </c>
      <c r="BA103" s="35">
        <v>3.0310612121212154E-4</v>
      </c>
      <c r="BB103" s="35">
        <v>3.778818787878791E-4</v>
      </c>
      <c r="BC103" s="35">
        <v>4.5265763636363667E-4</v>
      </c>
      <c r="BD103" s="35">
        <v>5.2743339393939424E-4</v>
      </c>
      <c r="BE103" s="35">
        <v>6.022091515151518E-4</v>
      </c>
      <c r="BF103" s="35">
        <v>6.7698490909090937E-4</v>
      </c>
      <c r="BG103" s="35">
        <v>7.6076443267776149E-4</v>
      </c>
      <c r="BH103" s="35">
        <v>8.7646639939485671E-4</v>
      </c>
      <c r="BI103" s="35">
        <v>9.9216836611195204E-4</v>
      </c>
      <c r="BJ103" s="35">
        <v>1.1078703328290473E-3</v>
      </c>
      <c r="BK103" s="35">
        <v>1.2235722995461427E-3</v>
      </c>
      <c r="BL103" s="35">
        <v>1.3392742662632379E-3</v>
      </c>
      <c r="BM103" s="35">
        <v>1.4549762329803331E-3</v>
      </c>
      <c r="BN103" s="35">
        <v>1.5616545454545457E-3</v>
      </c>
      <c r="BO103" s="35">
        <v>1.6625636363636366E-3</v>
      </c>
      <c r="BP103" s="35">
        <v>1.7391204819277109E-3</v>
      </c>
      <c r="BQ103" s="35">
        <v>1.8047454545454546E-3</v>
      </c>
      <c r="BR103" s="35">
        <v>1.8472303030303029E-3</v>
      </c>
      <c r="BS103" s="35">
        <v>1.8648181818181819E-3</v>
      </c>
      <c r="BT103" s="35">
        <v>1.869E-3</v>
      </c>
    </row>
    <row r="104" spans="1:72" ht="21.75" hidden="1" thickBot="1" x14ac:dyDescent="0.4">
      <c r="A104" s="87" t="s">
        <v>105</v>
      </c>
      <c r="B104" s="35">
        <v>5.0764174895007544E-14</v>
      </c>
      <c r="C104" s="35">
        <v>6.9633007829954598E-14</v>
      </c>
      <c r="D104" s="35">
        <v>8.8501840764901658E-14</v>
      </c>
      <c r="E104" s="35">
        <v>1.0737067369984872E-13</v>
      </c>
      <c r="F104" s="35">
        <v>8.5136564296521436E-13</v>
      </c>
      <c r="G104" s="35">
        <v>9.9343111800302644E-12</v>
      </c>
      <c r="H104" s="35">
        <v>1.9017256717095312E-11</v>
      </c>
      <c r="I104" s="35">
        <v>2.8100202254160364E-11</v>
      </c>
      <c r="J104" s="35">
        <v>3.7183147791225413E-11</v>
      </c>
      <c r="K104" s="35">
        <v>4.6266093328290465E-11</v>
      </c>
      <c r="L104" s="35">
        <v>5.534903886535551E-11</v>
      </c>
      <c r="M104" s="35">
        <v>3.3587289258698886E-10</v>
      </c>
      <c r="N104" s="35">
        <v>9.2248968532526451E-10</v>
      </c>
      <c r="O104" s="35">
        <v>1.50910647806354E-9</v>
      </c>
      <c r="P104" s="35">
        <v>2.0957232708018157E-9</v>
      </c>
      <c r="Q104" s="35">
        <v>2.682340063540091E-9</v>
      </c>
      <c r="R104" s="35">
        <v>3.2689568562783667E-9</v>
      </c>
      <c r="S104" s="35">
        <v>3.8555736490166424E-9</v>
      </c>
      <c r="T104" s="35">
        <v>1.3582749621785194E-8</v>
      </c>
      <c r="U104" s="35">
        <v>2.4797923600605159E-8</v>
      </c>
      <c r="V104" s="35">
        <v>3.6013097579425124E-8</v>
      </c>
      <c r="W104" s="35">
        <v>4.7228271558245092E-8</v>
      </c>
      <c r="X104" s="35">
        <v>5.8443445537065054E-8</v>
      </c>
      <c r="Y104" s="35">
        <v>6.9658619515885016E-8</v>
      </c>
      <c r="Z104" s="35">
        <v>8.8226060606060602E-8</v>
      </c>
      <c r="AA104" s="35">
        <v>1.2885030303030303E-7</v>
      </c>
      <c r="AB104" s="35">
        <v>1.8669636363636364E-7</v>
      </c>
      <c r="AC104" s="35">
        <v>2.5602363636363637E-7</v>
      </c>
      <c r="AD104" s="35">
        <v>3.6853272727272727E-7</v>
      </c>
      <c r="AE104" s="35">
        <v>5.0444545454545451E-7</v>
      </c>
      <c r="AF104" s="35">
        <v>6.8966363636363628E-7</v>
      </c>
      <c r="AG104" s="35">
        <v>1.1487587594553705E-6</v>
      </c>
      <c r="AH104" s="35">
        <v>1.7553260816944023E-6</v>
      </c>
      <c r="AI104" s="35">
        <v>2.3618934039334338E-6</v>
      </c>
      <c r="AJ104" s="35">
        <v>2.9684607261724653E-6</v>
      </c>
      <c r="AK104" s="35">
        <v>3.5750280484114968E-6</v>
      </c>
      <c r="AL104" s="35">
        <v>4.1815953706505288E-6</v>
      </c>
      <c r="AM104" s="35">
        <v>4.8623756429651989E-6</v>
      </c>
      <c r="AN104" s="35">
        <v>7.3242667170953037E-6</v>
      </c>
      <c r="AO104" s="35">
        <v>9.7861577912254076E-6</v>
      </c>
      <c r="AP104" s="35">
        <v>1.2248048865355513E-5</v>
      </c>
      <c r="AQ104" s="35">
        <v>1.4709939939485617E-5</v>
      </c>
      <c r="AR104" s="35">
        <v>1.7171831013615721E-5</v>
      </c>
      <c r="AS104" s="35">
        <v>1.9633722087745825E-5</v>
      </c>
      <c r="AT104" s="35">
        <v>2.3883652042360031E-5</v>
      </c>
      <c r="AU104" s="35">
        <v>3.0503773071104367E-5</v>
      </c>
      <c r="AV104" s="35">
        <v>3.71238940998487E-5</v>
      </c>
      <c r="AW104" s="35">
        <v>4.374401512859304E-5</v>
      </c>
      <c r="AX104" s="35">
        <v>5.0364136157337379E-5</v>
      </c>
      <c r="AY104" s="35">
        <v>5.6984257186081712E-5</v>
      </c>
      <c r="AZ104" s="35">
        <v>6.3604378214826045E-5</v>
      </c>
      <c r="BA104" s="35">
        <v>7.4265012121212164E-5</v>
      </c>
      <c r="BB104" s="35">
        <v>8.5812587878787938E-5</v>
      </c>
      <c r="BC104" s="35">
        <v>9.7360163636363685E-5</v>
      </c>
      <c r="BD104" s="35">
        <v>1.0890773939393946E-4</v>
      </c>
      <c r="BE104" s="35">
        <v>1.2045531515151521E-4</v>
      </c>
      <c r="BF104" s="35">
        <v>1.3200289090909095E-4</v>
      </c>
      <c r="BG104" s="35">
        <v>1.4314742813918311E-4</v>
      </c>
      <c r="BH104" s="35">
        <v>1.5286301059001518E-4</v>
      </c>
      <c r="BI104" s="35">
        <v>1.6257859304084725E-4</v>
      </c>
      <c r="BJ104" s="35">
        <v>1.7229417549167932E-4</v>
      </c>
      <c r="BK104" s="35">
        <v>1.8200975794251139E-4</v>
      </c>
      <c r="BL104" s="35">
        <v>1.9172534039334346E-4</v>
      </c>
      <c r="BM104" s="35">
        <v>2.0144092284417553E-4</v>
      </c>
      <c r="BN104" s="35">
        <v>2.0645369696969699E-4</v>
      </c>
      <c r="BO104" s="35">
        <v>2.0845975757575758E-4</v>
      </c>
      <c r="BP104" s="35">
        <v>2.0618048192771085E-4</v>
      </c>
      <c r="BQ104" s="35">
        <v>2.023909090909091E-4</v>
      </c>
      <c r="BR104" s="35">
        <v>1.9549393939393938E-4</v>
      </c>
      <c r="BS104" s="35">
        <v>1.8613484848484848E-4</v>
      </c>
      <c r="BT104" s="35">
        <v>1.7545000000000001E-4</v>
      </c>
    </row>
    <row r="105" spans="1:72" ht="21.75" hidden="1" thickBot="1" x14ac:dyDescent="0.4">
      <c r="A105" s="87" t="s">
        <v>95</v>
      </c>
      <c r="B105" s="35">
        <v>5.9190911649016617E-15</v>
      </c>
      <c r="C105" s="35">
        <v>8.1193230105900126E-15</v>
      </c>
      <c r="D105" s="35">
        <v>1.0319554856278366E-14</v>
      </c>
      <c r="E105" s="35">
        <v>1.2519786701966717E-14</v>
      </c>
      <c r="F105" s="35">
        <v>1.3089203025718767E-13</v>
      </c>
      <c r="G105" s="35">
        <v>1.5852424084720131E-12</v>
      </c>
      <c r="H105" s="35">
        <v>3.0395927866868386E-12</v>
      </c>
      <c r="I105" s="35">
        <v>4.4939431649016647E-12</v>
      </c>
      <c r="J105" s="35">
        <v>5.9482935431164904E-12</v>
      </c>
      <c r="K105" s="35">
        <v>7.4026439213313153E-12</v>
      </c>
      <c r="L105" s="35">
        <v>8.8569942995461402E-12</v>
      </c>
      <c r="M105" s="35">
        <v>6.3150361875945435E-11</v>
      </c>
      <c r="N105" s="35">
        <v>1.7702815310136152E-10</v>
      </c>
      <c r="O105" s="35">
        <v>2.9090594432677767E-10</v>
      </c>
      <c r="P105" s="35">
        <v>4.0478373555219374E-10</v>
      </c>
      <c r="Q105" s="35">
        <v>5.1866152677760981E-10</v>
      </c>
      <c r="R105" s="35">
        <v>6.3253931800302598E-10</v>
      </c>
      <c r="S105" s="35">
        <v>7.4641710922844205E-10</v>
      </c>
      <c r="T105" s="35">
        <v>2.8810877458396415E-9</v>
      </c>
      <c r="U105" s="35">
        <v>5.3447246596066605E-9</v>
      </c>
      <c r="V105" s="35">
        <v>7.8083615733736787E-9</v>
      </c>
      <c r="W105" s="35">
        <v>1.0271998487140697E-8</v>
      </c>
      <c r="X105" s="35">
        <v>1.2735635400907717E-8</v>
      </c>
      <c r="Y105" s="35">
        <v>1.5199272314674735E-8</v>
      </c>
      <c r="Z105" s="35">
        <v>1.9377606060606061E-8</v>
      </c>
      <c r="AA105" s="35">
        <v>2.87000303030303E-8</v>
      </c>
      <c r="AB105" s="35">
        <v>4.2182818181818179E-8</v>
      </c>
      <c r="AC105" s="35">
        <v>5.843918181818182E-8</v>
      </c>
      <c r="AD105" s="35">
        <v>8.5344181818181822E-8</v>
      </c>
      <c r="AE105" s="35">
        <v>1.1812454545454546E-7</v>
      </c>
      <c r="AF105" s="35">
        <v>1.6330636363636364E-7</v>
      </c>
      <c r="AG105" s="35">
        <v>2.8054163388804839E-7</v>
      </c>
      <c r="AH105" s="35">
        <v>4.3657491679273818E-7</v>
      </c>
      <c r="AI105" s="35">
        <v>5.9260819969742802E-7</v>
      </c>
      <c r="AJ105" s="35">
        <v>7.4864148260211786E-7</v>
      </c>
      <c r="AK105" s="35">
        <v>9.046747655068077E-7</v>
      </c>
      <c r="AL105" s="35">
        <v>1.0607080484114973E-6</v>
      </c>
      <c r="AM105" s="35">
        <v>1.2372588502269276E-6</v>
      </c>
      <c r="AN105" s="35">
        <v>1.9062301059001494E-6</v>
      </c>
      <c r="AO105" s="35">
        <v>2.5752013615733715E-6</v>
      </c>
      <c r="AP105" s="35">
        <v>3.2441726172465936E-6</v>
      </c>
      <c r="AQ105" s="35">
        <v>3.9131438729198157E-6</v>
      </c>
      <c r="AR105" s="35">
        <v>4.5821151285930378E-6</v>
      </c>
      <c r="AS105" s="35">
        <v>5.251086384266259E-6</v>
      </c>
      <c r="AT105" s="35">
        <v>6.4266704992435623E-6</v>
      </c>
      <c r="AU105" s="35">
        <v>8.2738111951588444E-6</v>
      </c>
      <c r="AV105" s="35">
        <v>1.0120951891074127E-5</v>
      </c>
      <c r="AW105" s="35">
        <v>1.1968092586989409E-5</v>
      </c>
      <c r="AX105" s="35">
        <v>1.3815233282904691E-5</v>
      </c>
      <c r="AY105" s="35">
        <v>1.5662373978819975E-5</v>
      </c>
      <c r="AZ105" s="35">
        <v>1.7509514674735255E-5</v>
      </c>
      <c r="BA105" s="35">
        <v>2.0429969696969712E-5</v>
      </c>
      <c r="BB105" s="35">
        <v>2.3586030303030316E-5</v>
      </c>
      <c r="BC105" s="35">
        <v>2.6742090909090923E-5</v>
      </c>
      <c r="BD105" s="35">
        <v>2.9898151515151531E-5</v>
      </c>
      <c r="BE105" s="35">
        <v>3.3054212121212135E-5</v>
      </c>
      <c r="BF105" s="35">
        <v>3.6210272727272739E-5</v>
      </c>
      <c r="BG105" s="35">
        <v>3.9159927382753411E-5</v>
      </c>
      <c r="BH105" s="35">
        <v>4.137777912254161E-5</v>
      </c>
      <c r="BI105" s="35">
        <v>4.3595630862329809E-5</v>
      </c>
      <c r="BJ105" s="35">
        <v>4.5813482602118007E-5</v>
      </c>
      <c r="BK105" s="35">
        <v>4.8031334341906206E-5</v>
      </c>
      <c r="BL105" s="35">
        <v>5.0249186081694405E-5</v>
      </c>
      <c r="BM105" s="35">
        <v>5.2467037821482604E-5</v>
      </c>
      <c r="BN105" s="35">
        <v>5.3166375757575756E-5</v>
      </c>
      <c r="BO105" s="35">
        <v>5.2894860606060603E-5</v>
      </c>
      <c r="BP105" s="35">
        <v>5.1406987951807225E-5</v>
      </c>
      <c r="BQ105" s="35">
        <v>4.9520909090909092E-5</v>
      </c>
      <c r="BR105" s="35">
        <v>4.6823939393939395E-5</v>
      </c>
      <c r="BS105" s="35">
        <v>4.3571515151515155E-5</v>
      </c>
      <c r="BT105" s="35">
        <v>4.002E-5</v>
      </c>
    </row>
    <row r="106" spans="1:72" ht="21.75" hidden="1" thickBot="1" x14ac:dyDescent="0.4">
      <c r="A106" s="87" t="s">
        <v>106</v>
      </c>
      <c r="B106" s="35">
        <v>1.2926630671830555E-16</v>
      </c>
      <c r="C106" s="35">
        <v>1.773182692901664E-16</v>
      </c>
      <c r="D106" s="35">
        <v>2.2537023186202724E-16</v>
      </c>
      <c r="E106" s="35">
        <v>2.7342219443388808E-16</v>
      </c>
      <c r="F106" s="35">
        <v>3.5560247957640391E-15</v>
      </c>
      <c r="G106" s="35">
        <v>4.4035959742813955E-14</v>
      </c>
      <c r="H106" s="35">
        <v>8.4515894689863869E-14</v>
      </c>
      <c r="I106" s="35">
        <v>1.2499582963691378E-13</v>
      </c>
      <c r="J106" s="35">
        <v>1.6547576458396369E-13</v>
      </c>
      <c r="K106" s="35">
        <v>2.0595569953101359E-13</v>
      </c>
      <c r="L106" s="35">
        <v>2.4643563447806347E-13</v>
      </c>
      <c r="M106" s="35">
        <v>1.9790960060514337E-12</v>
      </c>
      <c r="N106" s="35">
        <v>5.6199598487140687E-12</v>
      </c>
      <c r="O106" s="35">
        <v>9.2608236913767013E-12</v>
      </c>
      <c r="P106" s="35">
        <v>1.2901687534039336E-11</v>
      </c>
      <c r="Q106" s="35">
        <v>1.6542551376701971E-11</v>
      </c>
      <c r="R106" s="35">
        <v>2.0183415219364604E-11</v>
      </c>
      <c r="S106" s="35">
        <v>2.382427906202724E-11</v>
      </c>
      <c r="T106" s="35">
        <v>9.7897957639939656E-11</v>
      </c>
      <c r="U106" s="35">
        <v>1.8343744326777622E-10</v>
      </c>
      <c r="V106" s="35">
        <v>2.6897692889561282E-10</v>
      </c>
      <c r="W106" s="35">
        <v>3.545164145234494E-10</v>
      </c>
      <c r="X106" s="35">
        <v>4.4005590015128597E-10</v>
      </c>
      <c r="Y106" s="35">
        <v>5.255953857791226E-10</v>
      </c>
      <c r="Z106" s="35">
        <v>6.7290909090909092E-10</v>
      </c>
      <c r="AA106" s="35">
        <v>1.0055454545454546E-9</v>
      </c>
      <c r="AB106" s="35">
        <v>1.4913636363636365E-9</v>
      </c>
      <c r="AC106" s="35">
        <v>2.0793030303030303E-9</v>
      </c>
      <c r="AD106" s="35">
        <v>3.0642848484848487E-9</v>
      </c>
      <c r="AE106" s="35">
        <v>4.2708000000000006E-9</v>
      </c>
      <c r="AF106" s="35">
        <v>5.9454666666666673E-9</v>
      </c>
      <c r="AG106" s="35">
        <v>1.042170741301059E-8</v>
      </c>
      <c r="AH106" s="35">
        <v>1.6406488048411495E-8</v>
      </c>
      <c r="AI106" s="35">
        <v>2.2391268683812399E-8</v>
      </c>
      <c r="AJ106" s="35">
        <v>2.8376049319213308E-8</v>
      </c>
      <c r="AK106" s="35">
        <v>3.4360829954614212E-8</v>
      </c>
      <c r="AL106" s="35">
        <v>4.0345610590015117E-8</v>
      </c>
      <c r="AM106" s="35">
        <v>4.7152113464447743E-8</v>
      </c>
      <c r="AN106" s="35">
        <v>7.36799500756429E-8</v>
      </c>
      <c r="AO106" s="35">
        <v>1.0020778668683804E-7</v>
      </c>
      <c r="AP106" s="35">
        <v>1.2673562329803319E-7</v>
      </c>
      <c r="AQ106" s="35">
        <v>1.5326345990922834E-7</v>
      </c>
      <c r="AR106" s="35">
        <v>1.7979129652042349E-7</v>
      </c>
      <c r="AS106" s="35">
        <v>2.0631913313161864E-7</v>
      </c>
      <c r="AT106" s="35">
        <v>2.5318193645990896E-7</v>
      </c>
      <c r="AU106" s="35">
        <v>3.2700039334341887E-7</v>
      </c>
      <c r="AV106" s="35">
        <v>4.0081885022692883E-7</v>
      </c>
      <c r="AW106" s="35">
        <v>4.7463730711043879E-7</v>
      </c>
      <c r="AX106" s="35">
        <v>5.4845576399394876E-7</v>
      </c>
      <c r="AY106" s="35">
        <v>6.2227422087745862E-7</v>
      </c>
      <c r="AZ106" s="35">
        <v>6.9609267776096869E-7</v>
      </c>
      <c r="BA106" s="35">
        <v>8.0881369696969752E-7</v>
      </c>
      <c r="BB106" s="35">
        <v>9.3007430303030362E-7</v>
      </c>
      <c r="BC106" s="35">
        <v>1.0513349090909096E-6</v>
      </c>
      <c r="BD106" s="35">
        <v>1.1725955151515157E-6</v>
      </c>
      <c r="BE106" s="35">
        <v>1.2938561212121216E-6</v>
      </c>
      <c r="BF106" s="35">
        <v>1.4151167272727277E-6</v>
      </c>
      <c r="BG106" s="35">
        <v>1.5243145234493194E-6</v>
      </c>
      <c r="BH106" s="35">
        <v>1.5907441754916795E-6</v>
      </c>
      <c r="BI106" s="35">
        <v>1.6571738275340395E-6</v>
      </c>
      <c r="BJ106" s="35">
        <v>1.7236034795763995E-6</v>
      </c>
      <c r="BK106" s="35">
        <v>1.7900331316187595E-6</v>
      </c>
      <c r="BL106" s="35">
        <v>1.8564627836611195E-6</v>
      </c>
      <c r="BM106" s="35">
        <v>1.9228924357034795E-6</v>
      </c>
      <c r="BN106" s="35">
        <v>1.9235496969696966E-6</v>
      </c>
      <c r="BO106" s="35">
        <v>1.8821557575757576E-6</v>
      </c>
      <c r="BP106" s="35">
        <v>1.7949674698795179E-6</v>
      </c>
      <c r="BQ106" s="35">
        <v>1.6940727272727271E-6</v>
      </c>
      <c r="BR106" s="35">
        <v>1.5656484848484848E-6</v>
      </c>
      <c r="BS106" s="35">
        <v>1.4219787878787877E-6</v>
      </c>
      <c r="BT106" s="35">
        <v>1.2700999999999999E-6</v>
      </c>
    </row>
    <row r="107" spans="1:72" ht="21.75" hidden="1" thickBot="1" x14ac:dyDescent="0.4">
      <c r="A107" s="87" t="s">
        <v>107</v>
      </c>
      <c r="B107" s="35">
        <v>1.1053553936701964E-15</v>
      </c>
      <c r="C107" s="35">
        <v>1.5162596299788199E-15</v>
      </c>
      <c r="D107" s="35">
        <v>1.9271638662874435E-15</v>
      </c>
      <c r="E107" s="35">
        <v>2.3380681025960668E-15</v>
      </c>
      <c r="F107" s="35">
        <v>7.7390640393344447E-14</v>
      </c>
      <c r="G107" s="35">
        <v>1.0108223953101368E-12</v>
      </c>
      <c r="H107" s="35">
        <v>1.9442541502269293E-12</v>
      </c>
      <c r="I107" s="35">
        <v>2.8776859051437218E-12</v>
      </c>
      <c r="J107" s="35">
        <v>3.8111176600605138E-12</v>
      </c>
      <c r="K107" s="35">
        <v>4.7445494149773067E-12</v>
      </c>
      <c r="L107" s="35">
        <v>5.6779811698940987E-12</v>
      </c>
      <c r="M107" s="35">
        <v>1.0985905869894079E-10</v>
      </c>
      <c r="N107" s="35">
        <v>3.3046833252647496E-10</v>
      </c>
      <c r="O107" s="35">
        <v>5.5107760635400916E-10</v>
      </c>
      <c r="P107" s="35">
        <v>7.716868801815433E-10</v>
      </c>
      <c r="Q107" s="35">
        <v>9.9229615400907745E-10</v>
      </c>
      <c r="R107" s="35">
        <v>1.2129054278366115E-9</v>
      </c>
      <c r="S107" s="35">
        <v>1.4335147016641457E-9</v>
      </c>
      <c r="T107" s="35">
        <v>1.2401830559757967E-8</v>
      </c>
      <c r="U107" s="35">
        <v>2.5119773071104409E-8</v>
      </c>
      <c r="V107" s="35">
        <v>3.7837715582450847E-8</v>
      </c>
      <c r="W107" s="35">
        <v>5.0555658093797288E-8</v>
      </c>
      <c r="X107" s="35">
        <v>6.327360060514373E-8</v>
      </c>
      <c r="Y107" s="35">
        <v>7.5991543116490171E-8</v>
      </c>
      <c r="Z107" s="35">
        <v>1.0322545454545455E-7</v>
      </c>
      <c r="AA107" s="35">
        <v>1.7400727272727272E-7</v>
      </c>
      <c r="AB107" s="35">
        <v>2.9433090909090911E-7</v>
      </c>
      <c r="AC107" s="35">
        <v>4.4768242424242427E-7</v>
      </c>
      <c r="AD107" s="35">
        <v>7.5750757575757579E-7</v>
      </c>
      <c r="AE107" s="35">
        <v>1.1704863636363636E-6</v>
      </c>
      <c r="AF107" s="35">
        <v>1.804940909090909E-6</v>
      </c>
      <c r="AG107" s="35">
        <v>4.4274765506807852E-6</v>
      </c>
      <c r="AH107" s="35">
        <v>8.120517397881995E-6</v>
      </c>
      <c r="AI107" s="35">
        <v>1.1813558245083203E-5</v>
      </c>
      <c r="AJ107" s="35">
        <v>1.5506599092284411E-5</v>
      </c>
      <c r="AK107" s="35">
        <v>1.9199639939485619E-5</v>
      </c>
      <c r="AL107" s="35">
        <v>2.2892680786686831E-5</v>
      </c>
      <c r="AM107" s="35">
        <v>2.758590922844169E-5</v>
      </c>
      <c r="AN107" s="35">
        <v>5.6283639939485554E-5</v>
      </c>
      <c r="AO107" s="35">
        <v>8.4981370650529425E-5</v>
      </c>
      <c r="AP107" s="35">
        <v>1.1367910136157329E-4</v>
      </c>
      <c r="AQ107" s="35">
        <v>1.4237683207261715E-4</v>
      </c>
      <c r="AR107" s="35">
        <v>1.7107456278366102E-4</v>
      </c>
      <c r="AS107" s="35">
        <v>1.9977229349470488E-4</v>
      </c>
      <c r="AT107" s="35">
        <v>2.7960021180030198E-4</v>
      </c>
      <c r="AU107" s="35">
        <v>4.2720535552193606E-4</v>
      </c>
      <c r="AV107" s="35">
        <v>5.7481049924357013E-4</v>
      </c>
      <c r="AW107" s="35">
        <v>7.2241564296520431E-4</v>
      </c>
      <c r="AX107" s="35">
        <v>8.7002078668683839E-4</v>
      </c>
      <c r="AY107" s="35">
        <v>1.0176259304084724E-3</v>
      </c>
      <c r="AZ107" s="35">
        <v>1.1652310741301064E-3</v>
      </c>
      <c r="BA107" s="35">
        <v>1.6364263636363661E-3</v>
      </c>
      <c r="BB107" s="35">
        <v>2.1786536363636389E-3</v>
      </c>
      <c r="BC107" s="35">
        <v>2.7208809090909112E-3</v>
      </c>
      <c r="BD107" s="35">
        <v>3.2631081818181844E-3</v>
      </c>
      <c r="BE107" s="35">
        <v>3.8053354545454568E-3</v>
      </c>
      <c r="BF107" s="35">
        <v>4.3475627272727291E-3</v>
      </c>
      <c r="BG107" s="35">
        <v>5.0906649016641513E-3</v>
      </c>
      <c r="BH107" s="35">
        <v>6.5459599092284474E-3</v>
      </c>
      <c r="BI107" s="35">
        <v>8.0012549167927435E-3</v>
      </c>
      <c r="BJ107" s="35">
        <v>9.4565499243570404E-3</v>
      </c>
      <c r="BK107" s="35">
        <v>1.0911844931921336E-2</v>
      </c>
      <c r="BL107" s="35">
        <v>1.2367139939485631E-2</v>
      </c>
      <c r="BM107" s="35">
        <v>1.3822434947049926E-2</v>
      </c>
      <c r="BN107" s="35">
        <v>1.577636363636364E-2</v>
      </c>
      <c r="BO107" s="35">
        <v>1.8049090909090914E-2</v>
      </c>
      <c r="BP107" s="35">
        <v>2.0631373493975907E-2</v>
      </c>
      <c r="BQ107" s="35">
        <v>2.3321999999999999E-2</v>
      </c>
      <c r="BR107" s="35">
        <v>2.6235333333333333E-2</v>
      </c>
      <c r="BS107" s="35">
        <v>2.9306636363636365E-2</v>
      </c>
      <c r="BT107" s="35">
        <v>3.2462999999999999E-2</v>
      </c>
    </row>
    <row r="108" spans="1:72" ht="21.75" hidden="1" thickBot="1" x14ac:dyDescent="0.4">
      <c r="A108" s="87" t="s">
        <v>2</v>
      </c>
      <c r="B108" s="35">
        <v>1.8068579425113456E-31</v>
      </c>
      <c r="C108" s="35">
        <v>2.478552344931921E-31</v>
      </c>
      <c r="D108" s="35">
        <v>3.1502467473524961E-31</v>
      </c>
      <c r="E108" s="35">
        <v>3.8219411497730712E-31</v>
      </c>
      <c r="F108" s="35">
        <v>3.6626473910287949E-27</v>
      </c>
      <c r="G108" s="35">
        <v>4.9440189903888085E-26</v>
      </c>
      <c r="H108" s="35">
        <v>9.5217732416747376E-26</v>
      </c>
      <c r="I108" s="35">
        <v>1.4099527492960665E-25</v>
      </c>
      <c r="J108" s="35">
        <v>1.8677281744246593E-25</v>
      </c>
      <c r="K108" s="35">
        <v>2.3255035995532524E-25</v>
      </c>
      <c r="L108" s="35">
        <v>2.7832790246818452E-25</v>
      </c>
      <c r="M108" s="35">
        <v>3.2470195198184504E-22</v>
      </c>
      <c r="N108" s="35">
        <v>1.0149133604538574E-21</v>
      </c>
      <c r="O108" s="35">
        <v>1.7051247689258696E-21</v>
      </c>
      <c r="P108" s="35">
        <v>2.3953361773978821E-21</v>
      </c>
      <c r="Q108" s="35">
        <v>3.0855475858698945E-21</v>
      </c>
      <c r="R108" s="35">
        <v>3.7757589943419073E-21</v>
      </c>
      <c r="S108" s="35">
        <v>4.4659704028139198E-21</v>
      </c>
      <c r="T108" s="35">
        <v>8.2436474281392021E-19</v>
      </c>
      <c r="U108" s="35">
        <v>1.7776230484114994E-18</v>
      </c>
      <c r="V108" s="35">
        <v>2.7308813540090783E-18</v>
      </c>
      <c r="W108" s="35">
        <v>3.6841396596066573E-18</v>
      </c>
      <c r="X108" s="35">
        <v>4.6373979652042367E-18</v>
      </c>
      <c r="Y108" s="35">
        <v>5.590656270801816E-18</v>
      </c>
      <c r="Z108" s="35">
        <v>9.7973272727272726E-18</v>
      </c>
      <c r="AA108" s="35">
        <v>2.3764236363636361E-17</v>
      </c>
      <c r="AB108" s="35">
        <v>6.4176090909090903E-17</v>
      </c>
      <c r="AC108" s="35">
        <v>1.222179090909091E-16</v>
      </c>
      <c r="AD108" s="35">
        <v>3.3667636363636359E-16</v>
      </c>
      <c r="AE108" s="35">
        <v>7.308945454545455E-16</v>
      </c>
      <c r="AF108" s="35">
        <v>1.5253430303030306E-15</v>
      </c>
      <c r="AG108" s="35">
        <v>1.882893555219364E-14</v>
      </c>
      <c r="AH108" s="35">
        <v>4.5022067170953094E-14</v>
      </c>
      <c r="AI108" s="35">
        <v>7.1215198789712539E-14</v>
      </c>
      <c r="AJ108" s="35">
        <v>9.7408330408471984E-14</v>
      </c>
      <c r="AK108" s="35">
        <v>1.2360146202723143E-13</v>
      </c>
      <c r="AL108" s="35">
        <v>1.4979459364599089E-13</v>
      </c>
      <c r="AM108" s="35">
        <v>2.1927077155824256E-13</v>
      </c>
      <c r="AN108" s="35">
        <v>1.3275400605143696E-12</v>
      </c>
      <c r="AO108" s="35">
        <v>2.4358093494704965E-12</v>
      </c>
      <c r="AP108" s="35">
        <v>3.5440786384266232E-12</v>
      </c>
      <c r="AQ108" s="35">
        <v>4.65234792738275E-12</v>
      </c>
      <c r="AR108" s="35">
        <v>5.7606172163388767E-12</v>
      </c>
      <c r="AS108" s="35">
        <v>6.8688865052950035E-12</v>
      </c>
      <c r="AT108" s="35">
        <v>1.7996203933434096E-11</v>
      </c>
      <c r="AU108" s="35">
        <v>4.240458517397876E-11</v>
      </c>
      <c r="AV108" s="35">
        <v>6.6812966414523424E-11</v>
      </c>
      <c r="AW108" s="35">
        <v>9.1221347655068087E-11</v>
      </c>
      <c r="AX108" s="35">
        <v>1.1562972889561275E-10</v>
      </c>
      <c r="AY108" s="35">
        <v>1.4003811013615741E-10</v>
      </c>
      <c r="AZ108" s="35">
        <v>1.6444649137670209E-10</v>
      </c>
      <c r="BA108" s="35">
        <v>4.3411745454545596E-10</v>
      </c>
      <c r="BB108" s="35">
        <v>7.5762654545454682E-10</v>
      </c>
      <c r="BC108" s="35">
        <v>1.0811356363636378E-9</v>
      </c>
      <c r="BD108" s="35">
        <v>1.4046447272727287E-9</v>
      </c>
      <c r="BE108" s="35">
        <v>1.7281538181818195E-9</v>
      </c>
      <c r="BF108" s="35">
        <v>2.0516629090909102E-9</v>
      </c>
      <c r="BG108" s="35">
        <v>2.9285204236006179E-9</v>
      </c>
      <c r="BH108" s="35">
        <v>5.7672496217851859E-9</v>
      </c>
      <c r="BI108" s="35">
        <v>8.6059788199697539E-9</v>
      </c>
      <c r="BJ108" s="35">
        <v>1.1444708018154322E-8</v>
      </c>
      <c r="BK108" s="35">
        <v>1.428343721633889E-8</v>
      </c>
      <c r="BL108" s="35">
        <v>1.7122166414523458E-8</v>
      </c>
      <c r="BM108" s="35">
        <v>1.9960895612708024E-8</v>
      </c>
      <c r="BN108" s="35">
        <v>2.6092181818181835E-8</v>
      </c>
      <c r="BO108" s="35">
        <v>3.4328545454545467E-8</v>
      </c>
      <c r="BP108" s="35">
        <v>4.6893951807228927E-8</v>
      </c>
      <c r="BQ108" s="35">
        <v>6.167218181818182E-8</v>
      </c>
      <c r="BR108" s="35">
        <v>8.1192787878787868E-8</v>
      </c>
      <c r="BS108" s="35">
        <v>1.0691242424242424E-7</v>
      </c>
      <c r="BT108" s="35">
        <v>1.3596999999999999E-7</v>
      </c>
    </row>
    <row r="109" spans="1:72" ht="21.75" hidden="1" thickBot="1" x14ac:dyDescent="0.4">
      <c r="A109" s="87" t="s">
        <v>1</v>
      </c>
      <c r="B109" s="35">
        <v>0.2</v>
      </c>
      <c r="C109" s="35">
        <v>0.2</v>
      </c>
      <c r="D109" s="35">
        <v>0.2</v>
      </c>
      <c r="E109" s="35">
        <v>0.2</v>
      </c>
      <c r="F109" s="35">
        <v>0.2</v>
      </c>
      <c r="G109" s="35">
        <v>0.2</v>
      </c>
      <c r="H109" s="35">
        <v>0.2</v>
      </c>
      <c r="I109" s="35">
        <v>0.2</v>
      </c>
      <c r="J109" s="35">
        <v>0.2</v>
      </c>
      <c r="K109" s="35">
        <v>0.2</v>
      </c>
      <c r="L109" s="35">
        <v>0.2</v>
      </c>
      <c r="M109" s="35">
        <v>0.2</v>
      </c>
      <c r="N109" s="35">
        <v>0.2</v>
      </c>
      <c r="O109" s="35">
        <v>0.2</v>
      </c>
      <c r="P109" s="35">
        <v>0.2</v>
      </c>
      <c r="Q109" s="35">
        <v>0.2</v>
      </c>
      <c r="R109" s="35">
        <v>0.2</v>
      </c>
      <c r="S109" s="35">
        <v>0.2</v>
      </c>
      <c r="T109" s="35">
        <v>0.2</v>
      </c>
      <c r="U109" s="35">
        <v>0.2</v>
      </c>
      <c r="V109" s="35">
        <v>0.2</v>
      </c>
      <c r="W109" s="35">
        <v>0.2</v>
      </c>
      <c r="X109" s="35">
        <v>0.2</v>
      </c>
      <c r="Y109" s="35">
        <v>0.2</v>
      </c>
      <c r="Z109" s="35">
        <v>0.2</v>
      </c>
      <c r="AA109" s="35">
        <v>0.2</v>
      </c>
      <c r="AB109" s="35">
        <v>0.2</v>
      </c>
      <c r="AC109" s="35">
        <v>0.2</v>
      </c>
      <c r="AD109" s="35">
        <v>0.2</v>
      </c>
      <c r="AE109" s="35">
        <v>0.2</v>
      </c>
      <c r="AF109" s="35">
        <v>0.2</v>
      </c>
      <c r="AG109" s="35">
        <v>0.2</v>
      </c>
      <c r="AH109" s="35">
        <v>0.2</v>
      </c>
      <c r="AI109" s="35">
        <v>0.2</v>
      </c>
      <c r="AJ109" s="35">
        <v>0.2</v>
      </c>
      <c r="AK109" s="35">
        <v>0.2</v>
      </c>
      <c r="AL109" s="35">
        <v>0.2</v>
      </c>
      <c r="AM109" s="35">
        <v>0.2</v>
      </c>
      <c r="AN109" s="35">
        <v>0.2</v>
      </c>
      <c r="AO109" s="35">
        <v>0.2</v>
      </c>
      <c r="AP109" s="35">
        <v>0.2</v>
      </c>
      <c r="AQ109" s="35">
        <v>0.2</v>
      </c>
      <c r="AR109" s="35">
        <v>0.2</v>
      </c>
      <c r="AS109" s="35">
        <v>0.2</v>
      </c>
      <c r="AT109" s="35">
        <v>0.2</v>
      </c>
      <c r="AU109" s="35">
        <v>0.2</v>
      </c>
      <c r="AV109" s="35">
        <v>0.2</v>
      </c>
      <c r="AW109" s="35">
        <v>0.2</v>
      </c>
      <c r="AX109" s="35">
        <v>0.2</v>
      </c>
      <c r="AY109" s="35">
        <v>0.2</v>
      </c>
      <c r="AZ109" s="35">
        <v>0.2</v>
      </c>
      <c r="BA109" s="35">
        <v>0.2</v>
      </c>
      <c r="BB109" s="35">
        <v>0.2</v>
      </c>
      <c r="BC109" s="35">
        <v>0.2</v>
      </c>
      <c r="BD109" s="35">
        <v>0.2</v>
      </c>
      <c r="BE109" s="35">
        <v>0.2</v>
      </c>
      <c r="BF109" s="35">
        <v>0.2</v>
      </c>
      <c r="BG109" s="35">
        <v>0.2</v>
      </c>
      <c r="BH109" s="35">
        <v>0.2</v>
      </c>
      <c r="BI109" s="35">
        <v>0.2</v>
      </c>
      <c r="BJ109" s="35">
        <v>0.2</v>
      </c>
      <c r="BK109" s="35">
        <v>0.2</v>
      </c>
      <c r="BL109" s="35">
        <v>0.2</v>
      </c>
      <c r="BM109" s="35">
        <v>0.2</v>
      </c>
      <c r="BN109" s="35">
        <v>0.2</v>
      </c>
      <c r="BO109" s="35">
        <v>0.2</v>
      </c>
      <c r="BP109" s="35">
        <v>0.2</v>
      </c>
      <c r="BQ109" s="35">
        <v>0.2</v>
      </c>
      <c r="BR109" s="35">
        <v>0.2</v>
      </c>
      <c r="BS109" s="35">
        <v>0.2</v>
      </c>
      <c r="BT109" s="35">
        <v>0.2</v>
      </c>
    </row>
    <row r="110" spans="1:72" ht="21.75" hidden="1" thickBot="1" x14ac:dyDescent="0.4">
      <c r="A110" s="87" t="s">
        <v>90</v>
      </c>
      <c r="B110" s="35">
        <v>2.6055594033282891E-8</v>
      </c>
      <c r="C110" s="35">
        <v>3.5718707800302563E-8</v>
      </c>
      <c r="D110" s="35">
        <v>4.5381821567322235E-8</v>
      </c>
      <c r="E110" s="35">
        <v>5.5044935334341907E-8</v>
      </c>
      <c r="F110" s="35">
        <v>1.3449191376702064E-7</v>
      </c>
      <c r="G110" s="35">
        <v>1.0164533358547661E-6</v>
      </c>
      <c r="H110" s="35">
        <v>1.8984147579425117E-6</v>
      </c>
      <c r="I110" s="35">
        <v>2.7803761800302569E-6</v>
      </c>
      <c r="J110" s="35">
        <v>3.6623376021180026E-6</v>
      </c>
      <c r="K110" s="35">
        <v>4.5442990242057482E-6</v>
      </c>
      <c r="L110" s="35">
        <v>5.4262604462934943E-6</v>
      </c>
      <c r="M110" s="35">
        <v>1.5284904387291965E-5</v>
      </c>
      <c r="N110" s="35">
        <v>3.5266190317700446E-5</v>
      </c>
      <c r="O110" s="35">
        <v>5.5247476248108937E-5</v>
      </c>
      <c r="P110" s="35">
        <v>7.5228762178517421E-5</v>
      </c>
      <c r="Q110" s="35">
        <v>9.5210048108925906E-5</v>
      </c>
      <c r="R110" s="35">
        <v>1.1519133403933439E-4</v>
      </c>
      <c r="S110" s="35">
        <v>1.3517261996974286E-4</v>
      </c>
      <c r="T110" s="35">
        <v>2.9700234493192172E-4</v>
      </c>
      <c r="U110" s="35">
        <v>4.8192367624810925E-4</v>
      </c>
      <c r="V110" s="35">
        <v>6.6684500756429674E-4</v>
      </c>
      <c r="W110" s="35">
        <v>8.5176633888048433E-4</v>
      </c>
      <c r="X110" s="35">
        <v>1.0366876701966719E-3</v>
      </c>
      <c r="Y110" s="35">
        <v>1.2216090015128595E-3</v>
      </c>
      <c r="Z110" s="35">
        <v>1.4832090909090909E-3</v>
      </c>
      <c r="AA110" s="35">
        <v>1.9748454545454545E-3</v>
      </c>
      <c r="AB110" s="35">
        <v>2.5952454545454546E-3</v>
      </c>
      <c r="AC110" s="35">
        <v>3.3014878787878789E-3</v>
      </c>
      <c r="AD110" s="35">
        <v>4.2584727272727274E-3</v>
      </c>
      <c r="AE110" s="35">
        <v>5.3188909090909091E-3</v>
      </c>
      <c r="AF110" s="35">
        <v>6.5898606060606057E-3</v>
      </c>
      <c r="AG110" s="35">
        <v>8.2882166414523437E-3</v>
      </c>
      <c r="AH110" s="35">
        <v>1.021670378214826E-2</v>
      </c>
      <c r="AI110" s="35">
        <v>1.2145190922844173E-2</v>
      </c>
      <c r="AJ110" s="35">
        <v>1.4073678063540089E-2</v>
      </c>
      <c r="AK110" s="35">
        <v>1.6002165204236002E-2</v>
      </c>
      <c r="AL110" s="35">
        <v>1.7930652344931918E-2</v>
      </c>
      <c r="AM110" s="35">
        <v>1.9863331316187591E-2</v>
      </c>
      <c r="AN110" s="35">
        <v>2.1896614220877453E-2</v>
      </c>
      <c r="AO110" s="35">
        <v>2.3929897125567319E-2</v>
      </c>
      <c r="AP110" s="35">
        <v>2.5963180030257181E-2</v>
      </c>
      <c r="AQ110" s="35">
        <v>2.7996462934947043E-2</v>
      </c>
      <c r="AR110" s="35">
        <v>3.0029745839636905E-2</v>
      </c>
      <c r="AS110" s="35">
        <v>3.2063028744326774E-2</v>
      </c>
      <c r="AT110" s="35">
        <v>3.3810468986384262E-2</v>
      </c>
      <c r="AU110" s="35">
        <v>3.5179001512859305E-2</v>
      </c>
      <c r="AV110" s="35">
        <v>3.6547534039334341E-2</v>
      </c>
      <c r="AW110" s="35">
        <v>3.7916066565809384E-2</v>
      </c>
      <c r="AX110" s="35">
        <v>3.928459909228442E-2</v>
      </c>
      <c r="AY110" s="35">
        <v>4.0653131618759462E-2</v>
      </c>
      <c r="AZ110" s="35">
        <v>4.2021664145234498E-2</v>
      </c>
      <c r="BA110" s="35">
        <v>4.2958787878787881E-2</v>
      </c>
      <c r="BB110" s="35">
        <v>4.3801212121212123E-2</v>
      </c>
      <c r="BC110" s="35">
        <v>4.4643636363636371E-2</v>
      </c>
      <c r="BD110" s="35">
        <v>4.5486060606060613E-2</v>
      </c>
      <c r="BE110" s="35">
        <v>4.6328484848484855E-2</v>
      </c>
      <c r="BF110" s="35">
        <v>4.7170909090909097E-2</v>
      </c>
      <c r="BG110" s="35">
        <v>4.7947685325264756E-2</v>
      </c>
      <c r="BH110" s="35">
        <v>4.8491709531013623E-2</v>
      </c>
      <c r="BI110" s="35">
        <v>4.9035733736762482E-2</v>
      </c>
      <c r="BJ110" s="35">
        <v>4.9579757942511349E-2</v>
      </c>
      <c r="BK110" s="35">
        <v>5.0123782148260215E-2</v>
      </c>
      <c r="BL110" s="35">
        <v>5.0667806354009075E-2</v>
      </c>
      <c r="BM110" s="35">
        <v>5.1211830559757941E-2</v>
      </c>
      <c r="BN110" s="35">
        <v>5.1681678787878785E-2</v>
      </c>
      <c r="BO110" s="35">
        <v>5.210410303030303E-2</v>
      </c>
      <c r="BP110" s="35">
        <v>5.2485337349397587E-2</v>
      </c>
      <c r="BQ110" s="35">
        <v>5.285390909090909E-2</v>
      </c>
      <c r="BR110" s="35">
        <v>5.3196939393939394E-2</v>
      </c>
      <c r="BS110" s="35">
        <v>5.3516333333333339E-2</v>
      </c>
      <c r="BT110" s="35">
        <v>5.3823000000000003E-2</v>
      </c>
    </row>
    <row r="111" spans="1:72" ht="21.75" hidden="1" thickBot="1" x14ac:dyDescent="0.4">
      <c r="A111" s="87" t="s">
        <v>96</v>
      </c>
      <c r="B111" s="35">
        <v>0.12</v>
      </c>
      <c r="C111" s="35">
        <v>0.12</v>
      </c>
      <c r="D111" s="35">
        <v>0.12</v>
      </c>
      <c r="E111" s="35">
        <v>0.12</v>
      </c>
      <c r="F111" s="35">
        <v>0.11999987897125566</v>
      </c>
      <c r="G111" s="35">
        <v>0.11999836611195158</v>
      </c>
      <c r="H111" s="35">
        <v>0.1199968532526475</v>
      </c>
      <c r="I111" s="35">
        <v>0.11999534039334342</v>
      </c>
      <c r="J111" s="35">
        <v>0.11999382753403934</v>
      </c>
      <c r="K111" s="35">
        <v>0.11999231467473524</v>
      </c>
      <c r="L111" s="35">
        <v>0.11999080181543116</v>
      </c>
      <c r="M111" s="35">
        <v>0.11997080181543117</v>
      </c>
      <c r="N111" s="35">
        <v>0.11992995461422087</v>
      </c>
      <c r="O111" s="35">
        <v>0.11988910741301059</v>
      </c>
      <c r="P111" s="35">
        <v>0.1198482602118003</v>
      </c>
      <c r="Q111" s="35">
        <v>0.11980741301059002</v>
      </c>
      <c r="R111" s="35">
        <v>0.11976656580937972</v>
      </c>
      <c r="S111" s="35">
        <v>0.11972571860816944</v>
      </c>
      <c r="T111" s="35">
        <v>0.11940254160363085</v>
      </c>
      <c r="U111" s="35">
        <v>0.11903340393343419</v>
      </c>
      <c r="V111" s="35">
        <v>0.11866426626323751</v>
      </c>
      <c r="W111" s="35">
        <v>0.11829512859304084</v>
      </c>
      <c r="X111" s="35">
        <v>0.11792599092284417</v>
      </c>
      <c r="Y111" s="35">
        <v>0.1175568532526475</v>
      </c>
      <c r="Z111" s="35">
        <v>0.11703454545454545</v>
      </c>
      <c r="AA111" s="35">
        <v>0.11605272727272727</v>
      </c>
      <c r="AB111" s="35">
        <v>0.11481272727272727</v>
      </c>
      <c r="AC111" s="35">
        <v>0.11340060606060606</v>
      </c>
      <c r="AD111" s="35">
        <v>0.11148181818181818</v>
      </c>
      <c r="AE111" s="35">
        <v>0.10935818181818181</v>
      </c>
      <c r="AF111" s="35">
        <v>0.10681878787878787</v>
      </c>
      <c r="AG111" s="35">
        <v>0.10342302571860816</v>
      </c>
      <c r="AH111" s="35">
        <v>9.9566142208774577E-2</v>
      </c>
      <c r="AI111" s="35">
        <v>9.5709258698940994E-2</v>
      </c>
      <c r="AJ111" s="35">
        <v>9.185237518910741E-2</v>
      </c>
      <c r="AK111" s="35">
        <v>8.7995491679273827E-2</v>
      </c>
      <c r="AL111" s="35">
        <v>8.4138608169440243E-2</v>
      </c>
      <c r="AM111" s="35">
        <v>8.0273343419062032E-2</v>
      </c>
      <c r="AN111" s="35">
        <v>7.6206928895612716E-2</v>
      </c>
      <c r="AO111" s="35">
        <v>7.21405143721634E-2</v>
      </c>
      <c r="AP111" s="35">
        <v>6.8074099848714084E-2</v>
      </c>
      <c r="AQ111" s="35">
        <v>6.4007685325264768E-2</v>
      </c>
      <c r="AR111" s="35">
        <v>5.9941270801815452E-2</v>
      </c>
      <c r="AS111" s="35">
        <v>5.5874856278366136E-2</v>
      </c>
      <c r="AT111" s="35">
        <v>5.2379996974281404E-2</v>
      </c>
      <c r="AU111" s="35">
        <v>4.9642780635400917E-2</v>
      </c>
      <c r="AV111" s="35">
        <v>4.690556429652043E-2</v>
      </c>
      <c r="AW111" s="35">
        <v>4.4168347957639936E-2</v>
      </c>
      <c r="AX111" s="35">
        <v>4.1431131618759456E-2</v>
      </c>
      <c r="AY111" s="35">
        <v>3.8693915279878963E-2</v>
      </c>
      <c r="AZ111" s="35">
        <v>3.5956698940998483E-2</v>
      </c>
      <c r="BA111" s="35">
        <v>3.4082424242424234E-2</v>
      </c>
      <c r="BB111" s="35">
        <v>3.239757575757575E-2</v>
      </c>
      <c r="BC111" s="35">
        <v>3.0712727272727267E-2</v>
      </c>
      <c r="BD111" s="35">
        <v>2.9027878787878783E-2</v>
      </c>
      <c r="BE111" s="35">
        <v>2.7343030303030296E-2</v>
      </c>
      <c r="BF111" s="35">
        <v>2.5658181818181809E-2</v>
      </c>
      <c r="BG111" s="35">
        <v>2.4104629349470497E-2</v>
      </c>
      <c r="BH111" s="35">
        <v>2.3016580937972764E-2</v>
      </c>
      <c r="BI111" s="35">
        <v>2.1928532526475034E-2</v>
      </c>
      <c r="BJ111" s="35">
        <v>2.0840484114977305E-2</v>
      </c>
      <c r="BK111" s="35">
        <v>1.9752435703479572E-2</v>
      </c>
      <c r="BL111" s="35">
        <v>1.8664387291981843E-2</v>
      </c>
      <c r="BM111" s="35">
        <v>1.7576338880484113E-2</v>
      </c>
      <c r="BN111" s="35">
        <v>1.6636642424242423E-2</v>
      </c>
      <c r="BO111" s="35">
        <v>1.579179393939394E-2</v>
      </c>
      <c r="BP111" s="35">
        <v>1.5029903614457831E-2</v>
      </c>
      <c r="BQ111" s="35">
        <v>1.4293E-2</v>
      </c>
      <c r="BR111" s="35">
        <v>1.3606333333333333E-2</v>
      </c>
      <c r="BS111" s="35">
        <v>1.2967333333333332E-2</v>
      </c>
      <c r="BT111" s="35">
        <v>1.2354E-2</v>
      </c>
    </row>
    <row r="112" spans="1:72" ht="21.75" hidden="1" thickBot="1" x14ac:dyDescent="0.4">
      <c r="A112" s="87" t="s">
        <v>97</v>
      </c>
      <c r="B112" s="35">
        <v>1.7959421288956124E-14</v>
      </c>
      <c r="C112" s="35">
        <v>2.4627936266263238E-14</v>
      </c>
      <c r="D112" s="35">
        <v>3.1296451243570351E-14</v>
      </c>
      <c r="E112" s="35">
        <v>3.7964966220877461E-14</v>
      </c>
      <c r="F112" s="35">
        <v>1.3696293494705121E-13</v>
      </c>
      <c r="G112" s="35">
        <v>1.2977496217851749E-12</v>
      </c>
      <c r="H112" s="35">
        <v>2.4585363086232985E-12</v>
      </c>
      <c r="I112" s="35">
        <v>3.619322995461422E-12</v>
      </c>
      <c r="J112" s="35">
        <v>4.7801096822995455E-12</v>
      </c>
      <c r="K112" s="35">
        <v>5.940896369137669E-12</v>
      </c>
      <c r="L112" s="35">
        <v>7.1016830559757925E-12</v>
      </c>
      <c r="M112" s="35">
        <v>2.9837695310136117E-11</v>
      </c>
      <c r="N112" s="35">
        <v>7.6903217246596063E-11</v>
      </c>
      <c r="O112" s="35">
        <v>1.2396873918305599E-10</v>
      </c>
      <c r="P112" s="35">
        <v>1.7103426111951592E-10</v>
      </c>
      <c r="Q112" s="35">
        <v>2.1809978305597584E-10</v>
      </c>
      <c r="R112" s="35">
        <v>2.6516530499243579E-10</v>
      </c>
      <c r="S112" s="35">
        <v>3.1223082692889572E-10</v>
      </c>
      <c r="T112" s="35">
        <v>9.6301074130106055E-10</v>
      </c>
      <c r="U112" s="35">
        <v>1.7120697428139195E-9</v>
      </c>
      <c r="V112" s="35">
        <v>2.4611287443267786E-9</v>
      </c>
      <c r="W112" s="35">
        <v>3.2101877458396378E-9</v>
      </c>
      <c r="X112" s="35">
        <v>3.9592467473524969E-9</v>
      </c>
      <c r="Y112" s="35">
        <v>4.7083057488653561E-9</v>
      </c>
      <c r="Z112" s="35">
        <v>5.9203878787878786E-9</v>
      </c>
      <c r="AA112" s="35">
        <v>8.5215393939393938E-9</v>
      </c>
      <c r="AB112" s="35">
        <v>1.2175454545454545E-8</v>
      </c>
      <c r="AC112" s="35">
        <v>1.6531212121212121E-8</v>
      </c>
      <c r="AD112" s="35">
        <v>2.3457727272727271E-8</v>
      </c>
      <c r="AE112" s="35">
        <v>3.1735181818181821E-8</v>
      </c>
      <c r="AF112" s="35">
        <v>4.2849121212121208E-8</v>
      </c>
      <c r="AG112" s="35">
        <v>6.8224499243570332E-8</v>
      </c>
      <c r="AH112" s="35">
        <v>1.0127911346444778E-7</v>
      </c>
      <c r="AI112" s="35">
        <v>1.3433372768532523E-7</v>
      </c>
      <c r="AJ112" s="35">
        <v>1.6738834190620268E-7</v>
      </c>
      <c r="AK112" s="35">
        <v>2.0044295612708013E-7</v>
      </c>
      <c r="AL112" s="35">
        <v>2.3349757034795758E-7</v>
      </c>
      <c r="AM112" s="35">
        <v>2.7023496217851712E-7</v>
      </c>
      <c r="AN112" s="35">
        <v>3.9535901664145201E-7</v>
      </c>
      <c r="AO112" s="35">
        <v>5.2048307110438689E-7</v>
      </c>
      <c r="AP112" s="35">
        <v>6.4560712556732183E-7</v>
      </c>
      <c r="AQ112" s="35">
        <v>7.7073118003025666E-7</v>
      </c>
      <c r="AR112" s="35">
        <v>8.958552344931916E-7</v>
      </c>
      <c r="AS112" s="35">
        <v>1.0209792889561264E-6</v>
      </c>
      <c r="AT112" s="35">
        <v>1.2542753403933419E-6</v>
      </c>
      <c r="AU112" s="35">
        <v>1.6309621785173969E-6</v>
      </c>
      <c r="AV112" s="35">
        <v>2.0076490166414521E-6</v>
      </c>
      <c r="AW112" s="35">
        <v>2.3843358547655069E-6</v>
      </c>
      <c r="AX112" s="35">
        <v>2.7610226928895621E-6</v>
      </c>
      <c r="AY112" s="35">
        <v>3.1377095310136173E-6</v>
      </c>
      <c r="AZ112" s="35">
        <v>3.5143963691376721E-6</v>
      </c>
      <c r="BA112" s="35">
        <v>4.3789045454545496E-6</v>
      </c>
      <c r="BB112" s="35">
        <v>5.3504954545454592E-6</v>
      </c>
      <c r="BC112" s="35">
        <v>6.322086363636368E-6</v>
      </c>
      <c r="BD112" s="35">
        <v>7.2936772727272768E-6</v>
      </c>
      <c r="BE112" s="35">
        <v>8.2652681818181864E-6</v>
      </c>
      <c r="BF112" s="35">
        <v>9.2368590909090943E-6</v>
      </c>
      <c r="BG112" s="35">
        <v>1.050007760968231E-5</v>
      </c>
      <c r="BH112" s="35">
        <v>1.279724856278367E-5</v>
      </c>
      <c r="BI112" s="35">
        <v>1.5094419515885031E-5</v>
      </c>
      <c r="BJ112" s="35">
        <v>1.7391590468986392E-5</v>
      </c>
      <c r="BK112" s="35">
        <v>1.9688761422087753E-5</v>
      </c>
      <c r="BL112" s="35">
        <v>2.1985932375189114E-5</v>
      </c>
      <c r="BM112" s="35">
        <v>2.4283103328290475E-5</v>
      </c>
      <c r="BN112" s="35">
        <v>2.7493303030303039E-5</v>
      </c>
      <c r="BO112" s="35">
        <v>3.1287242424242438E-5</v>
      </c>
      <c r="BP112" s="35">
        <v>3.5915722891566273E-5</v>
      </c>
      <c r="BQ112" s="35">
        <v>4.0922909090909091E-5</v>
      </c>
      <c r="BR112" s="35">
        <v>4.6732606060606065E-5</v>
      </c>
      <c r="BS112" s="35">
        <v>5.3447181818181819E-5</v>
      </c>
      <c r="BT112" s="35">
        <v>6.0649000000000002E-5</v>
      </c>
    </row>
    <row r="113" spans="1:72" ht="21.75" hidden="1" thickBot="1" x14ac:dyDescent="0.4">
      <c r="A113" s="87" t="s">
        <v>61</v>
      </c>
      <c r="B113" s="35">
        <v>0.28000000000000003</v>
      </c>
      <c r="C113" s="35">
        <v>0.28000000000000003</v>
      </c>
      <c r="D113" s="35">
        <v>0.28000000000000003</v>
      </c>
      <c r="E113" s="35">
        <v>0.28000000000000003</v>
      </c>
      <c r="F113" s="35">
        <v>0.27999987897125572</v>
      </c>
      <c r="G113" s="35">
        <v>0.27999836611195161</v>
      </c>
      <c r="H113" s="35">
        <v>0.2799968532526475</v>
      </c>
      <c r="I113" s="35">
        <v>0.27999534039334345</v>
      </c>
      <c r="J113" s="35">
        <v>0.27999382753403934</v>
      </c>
      <c r="K113" s="35">
        <v>0.27999231467473529</v>
      </c>
      <c r="L113" s="35">
        <v>0.27999080181543118</v>
      </c>
      <c r="M113" s="35">
        <v>0.27998075642965203</v>
      </c>
      <c r="N113" s="35">
        <v>0.27996108925869895</v>
      </c>
      <c r="O113" s="35">
        <v>0.27994142208774586</v>
      </c>
      <c r="P113" s="35">
        <v>0.27992175491679272</v>
      </c>
      <c r="Q113" s="35">
        <v>0.27990208774583963</v>
      </c>
      <c r="R113" s="35">
        <v>0.27988242057488655</v>
      </c>
      <c r="S113" s="35">
        <v>0.27986275340393341</v>
      </c>
      <c r="T113" s="35">
        <v>0.27970127080181545</v>
      </c>
      <c r="U113" s="35">
        <v>0.27951670196671707</v>
      </c>
      <c r="V113" s="35">
        <v>0.27933213313161875</v>
      </c>
      <c r="W113" s="35">
        <v>0.27914756429652043</v>
      </c>
      <c r="X113" s="35">
        <v>0.27896299546142206</v>
      </c>
      <c r="Y113" s="35">
        <v>0.27877842662632374</v>
      </c>
      <c r="Z113" s="35">
        <v>0.27851727272727272</v>
      </c>
      <c r="AA113" s="35">
        <v>0.27802636363636363</v>
      </c>
      <c r="AB113" s="35">
        <v>0.27740454545454546</v>
      </c>
      <c r="AC113" s="35">
        <v>0.27669545454545458</v>
      </c>
      <c r="AD113" s="35">
        <v>0.27573303030303031</v>
      </c>
      <c r="AE113" s="35">
        <v>0.27466818181818181</v>
      </c>
      <c r="AF113" s="35">
        <v>0.27339545454545455</v>
      </c>
      <c r="AG113" s="35">
        <v>0.27168540090771559</v>
      </c>
      <c r="AH113" s="35">
        <v>0.26973986384266263</v>
      </c>
      <c r="AI113" s="35">
        <v>0.26779432677760967</v>
      </c>
      <c r="AJ113" s="35">
        <v>0.26584878971255677</v>
      </c>
      <c r="AK113" s="35">
        <v>0.26390325264750381</v>
      </c>
      <c r="AL113" s="35">
        <v>0.26195771558245085</v>
      </c>
      <c r="AM113" s="35">
        <v>0.260004069591528</v>
      </c>
      <c r="AN113" s="35">
        <v>0.25785580937972769</v>
      </c>
      <c r="AO113" s="35">
        <v>0.25570754916792737</v>
      </c>
      <c r="AP113" s="35">
        <v>0.25355928895612706</v>
      </c>
      <c r="AQ113" s="35">
        <v>0.2514110287443268</v>
      </c>
      <c r="AR113" s="35">
        <v>0.24926276853252649</v>
      </c>
      <c r="AS113" s="35">
        <v>0.24711450832072618</v>
      </c>
      <c r="AT113" s="35">
        <v>0.24508724659606657</v>
      </c>
      <c r="AU113" s="35">
        <v>0.24322037821482603</v>
      </c>
      <c r="AV113" s="35">
        <v>0.24135350983358547</v>
      </c>
      <c r="AW113" s="35">
        <v>0.23948664145234494</v>
      </c>
      <c r="AX113" s="35">
        <v>0.23761977307110438</v>
      </c>
      <c r="AY113" s="35">
        <v>0.23575290468986385</v>
      </c>
      <c r="AZ113" s="35">
        <v>0.23388603630862329</v>
      </c>
      <c r="BA113" s="35">
        <v>0.23155466666666666</v>
      </c>
      <c r="BB113" s="35">
        <v>0.22912133333333332</v>
      </c>
      <c r="BC113" s="35">
        <v>0.226688</v>
      </c>
      <c r="BD113" s="35">
        <v>0.22425466666666666</v>
      </c>
      <c r="BE113" s="35">
        <v>0.22182133333333331</v>
      </c>
      <c r="BF113" s="35">
        <v>0.21938799999999997</v>
      </c>
      <c r="BG113" s="35">
        <v>0.21656173978819968</v>
      </c>
      <c r="BH113" s="35">
        <v>0.2123423751891074</v>
      </c>
      <c r="BI113" s="35">
        <v>0.20812301059001509</v>
      </c>
      <c r="BJ113" s="35">
        <v>0.20390364599092281</v>
      </c>
      <c r="BK113" s="35">
        <v>0.19968428139183053</v>
      </c>
      <c r="BL113" s="35">
        <v>0.19546491679273825</v>
      </c>
      <c r="BM113" s="35">
        <v>0.19124555219364597</v>
      </c>
      <c r="BN113" s="35">
        <v>0.18615442424242423</v>
      </c>
      <c r="BO113" s="35">
        <v>0.18050593939393939</v>
      </c>
      <c r="BP113" s="35">
        <v>0.17441590361445783</v>
      </c>
      <c r="BQ113" s="35">
        <v>0.16818545454545455</v>
      </c>
      <c r="BR113" s="35">
        <v>0.16167030303030303</v>
      </c>
      <c r="BS113" s="35">
        <v>0.15500545454545456</v>
      </c>
      <c r="BT113" s="35">
        <v>0.14826</v>
      </c>
    </row>
    <row r="114" spans="1:72" ht="21.75" hidden="1" thickBot="1" x14ac:dyDescent="0.4">
      <c r="A114" s="87" t="s">
        <v>108</v>
      </c>
      <c r="B114" s="35">
        <v>0.2</v>
      </c>
      <c r="C114" s="35">
        <v>0.2</v>
      </c>
      <c r="D114" s="35">
        <v>0.2</v>
      </c>
      <c r="E114" s="35">
        <v>0.2</v>
      </c>
      <c r="F114" s="35">
        <v>0.2</v>
      </c>
      <c r="G114" s="35">
        <v>0.2</v>
      </c>
      <c r="H114" s="35">
        <v>0.2</v>
      </c>
      <c r="I114" s="35">
        <v>0.2</v>
      </c>
      <c r="J114" s="35">
        <v>0.2</v>
      </c>
      <c r="K114" s="35">
        <v>0.2</v>
      </c>
      <c r="L114" s="35">
        <v>0.2</v>
      </c>
      <c r="M114" s="35">
        <v>0.2</v>
      </c>
      <c r="N114" s="35">
        <v>0.2</v>
      </c>
      <c r="O114" s="35">
        <v>0.2</v>
      </c>
      <c r="P114" s="35">
        <v>0.2</v>
      </c>
      <c r="Q114" s="35">
        <v>0.2</v>
      </c>
      <c r="R114" s="35">
        <v>0.2</v>
      </c>
      <c r="S114" s="35">
        <v>0.2</v>
      </c>
      <c r="T114" s="35">
        <v>0.2</v>
      </c>
      <c r="U114" s="35">
        <v>0.2</v>
      </c>
      <c r="V114" s="35">
        <v>0.2</v>
      </c>
      <c r="W114" s="35">
        <v>0.2</v>
      </c>
      <c r="X114" s="35">
        <v>0.2</v>
      </c>
      <c r="Y114" s="35">
        <v>0.2</v>
      </c>
      <c r="Z114" s="35">
        <v>0.2</v>
      </c>
      <c r="AA114" s="35">
        <v>0.2</v>
      </c>
      <c r="AB114" s="35">
        <v>0.2</v>
      </c>
      <c r="AC114" s="35">
        <v>0.2</v>
      </c>
      <c r="AD114" s="35">
        <v>0.2</v>
      </c>
      <c r="AE114" s="35">
        <v>0.2</v>
      </c>
      <c r="AF114" s="35">
        <v>0.2</v>
      </c>
      <c r="AG114" s="35">
        <v>0.2</v>
      </c>
      <c r="AH114" s="35">
        <v>0.2</v>
      </c>
      <c r="AI114" s="35">
        <v>0.2</v>
      </c>
      <c r="AJ114" s="35">
        <v>0.2</v>
      </c>
      <c r="AK114" s="35">
        <v>0.2</v>
      </c>
      <c r="AL114" s="35">
        <v>0.2</v>
      </c>
      <c r="AM114" s="35">
        <v>0.2</v>
      </c>
      <c r="AN114" s="35">
        <v>0.2</v>
      </c>
      <c r="AO114" s="35">
        <v>0.2</v>
      </c>
      <c r="AP114" s="35">
        <v>0.2</v>
      </c>
      <c r="AQ114" s="35">
        <v>0.2</v>
      </c>
      <c r="AR114" s="35">
        <v>0.2</v>
      </c>
      <c r="AS114" s="35">
        <v>0.2</v>
      </c>
      <c r="AT114" s="35">
        <v>0.2</v>
      </c>
      <c r="AU114" s="35">
        <v>0.2</v>
      </c>
      <c r="AV114" s="35">
        <v>0.2</v>
      </c>
      <c r="AW114" s="35">
        <v>0.2</v>
      </c>
      <c r="AX114" s="35">
        <v>0.2</v>
      </c>
      <c r="AY114" s="35">
        <v>0.2</v>
      </c>
      <c r="AZ114" s="35">
        <v>0.2</v>
      </c>
      <c r="BA114" s="35">
        <v>0.19999875757575758</v>
      </c>
      <c r="BB114" s="35">
        <v>0.19999724242424244</v>
      </c>
      <c r="BC114" s="35">
        <v>0.19999572727272727</v>
      </c>
      <c r="BD114" s="35">
        <v>0.19999421212121213</v>
      </c>
      <c r="BE114" s="35">
        <v>0.19999269696969699</v>
      </c>
      <c r="BF114" s="35">
        <v>0.19999118181818182</v>
      </c>
      <c r="BG114" s="35">
        <v>0.19998933434190622</v>
      </c>
      <c r="BH114" s="35">
        <v>0.19998630862329803</v>
      </c>
      <c r="BI114" s="35">
        <v>0.19998328290468986</v>
      </c>
      <c r="BJ114" s="35">
        <v>0.1999802571860817</v>
      </c>
      <c r="BK114" s="35">
        <v>0.19997723146747354</v>
      </c>
      <c r="BL114" s="35">
        <v>0.19997420574886537</v>
      </c>
      <c r="BM114" s="35">
        <v>0.19997118003025718</v>
      </c>
      <c r="BN114" s="35">
        <v>0.19997000000000001</v>
      </c>
      <c r="BO114" s="35">
        <v>0.19997000000000001</v>
      </c>
      <c r="BP114" s="35">
        <v>0.19996421686746987</v>
      </c>
      <c r="BQ114" s="35">
        <v>0.19995818181818181</v>
      </c>
      <c r="BR114" s="35">
        <v>0.19995212121212119</v>
      </c>
      <c r="BS114" s="35">
        <v>0.1999460606060606</v>
      </c>
      <c r="BT114" s="35">
        <v>0.19994000000000001</v>
      </c>
    </row>
    <row r="115" spans="1:72" ht="21.75" hidden="1" thickBot="1" x14ac:dyDescent="0.4">
      <c r="A115" s="87" t="s">
        <v>26</v>
      </c>
      <c r="B115" s="35">
        <v>-18.624069591527988</v>
      </c>
      <c r="C115" s="35">
        <v>-18.625582450832074</v>
      </c>
      <c r="D115" s="35">
        <v>-18.627095310136156</v>
      </c>
      <c r="E115" s="35">
        <v>-18.628608169440241</v>
      </c>
      <c r="F115" s="35">
        <v>-18.631089258698939</v>
      </c>
      <c r="G115" s="35">
        <v>-18.644704992435702</v>
      </c>
      <c r="H115" s="35">
        <v>-18.658320726172466</v>
      </c>
      <c r="I115" s="35">
        <v>-18.671936459909226</v>
      </c>
      <c r="J115" s="35">
        <v>-18.685552193645989</v>
      </c>
      <c r="K115" s="35">
        <v>-18.699167927382753</v>
      </c>
      <c r="L115" s="35">
        <v>-18.712783661119516</v>
      </c>
      <c r="M115" s="35">
        <v>-18.728532526475036</v>
      </c>
      <c r="N115" s="35">
        <v>-18.746686838124052</v>
      </c>
      <c r="O115" s="35">
        <v>-18.764841149773069</v>
      </c>
      <c r="P115" s="35">
        <v>-18.782995461422086</v>
      </c>
      <c r="Q115" s="35">
        <v>-18.801149773071103</v>
      </c>
      <c r="R115" s="35">
        <v>-18.81930408472012</v>
      </c>
      <c r="S115" s="35">
        <v>-18.837458396369136</v>
      </c>
      <c r="T115" s="35">
        <v>-18.858214826021179</v>
      </c>
      <c r="U115" s="35">
        <v>-18.879394856278367</v>
      </c>
      <c r="V115" s="35">
        <v>-18.900574886535551</v>
      </c>
      <c r="W115" s="35">
        <v>-18.921754916792739</v>
      </c>
      <c r="X115" s="35">
        <v>-18.942934947049924</v>
      </c>
      <c r="Y115" s="35">
        <v>-18.964114977307112</v>
      </c>
      <c r="Z115" s="35">
        <v>-18.986060606060608</v>
      </c>
      <c r="AA115" s="35">
        <v>-19.010303030303032</v>
      </c>
      <c r="AB115" s="35">
        <v>-19.034545454545455</v>
      </c>
      <c r="AC115" s="35">
        <v>-19.058787878787879</v>
      </c>
      <c r="AD115" s="35">
        <v>-19.083030303030302</v>
      </c>
      <c r="AE115" s="35">
        <v>-19.107272727272729</v>
      </c>
      <c r="AF115" s="35">
        <v>-19.131515151515153</v>
      </c>
      <c r="AG115" s="35">
        <v>-19.159667170953103</v>
      </c>
      <c r="AH115" s="35">
        <v>-19.189924357034798</v>
      </c>
      <c r="AI115" s="35">
        <v>-19.220181543116489</v>
      </c>
      <c r="AJ115" s="35">
        <v>-19.250438729198184</v>
      </c>
      <c r="AK115" s="35">
        <v>-19.280695915279878</v>
      </c>
      <c r="AL115" s="35">
        <v>-19.310953101361573</v>
      </c>
      <c r="AM115" s="35">
        <v>-19.341210287443268</v>
      </c>
      <c r="AN115" s="35">
        <v>-19.371467473524962</v>
      </c>
      <c r="AO115" s="35">
        <v>-19.401724659606657</v>
      </c>
      <c r="AP115" s="35">
        <v>-19.431981845688352</v>
      </c>
      <c r="AQ115" s="35">
        <v>-19.462239031770046</v>
      </c>
      <c r="AR115" s="35">
        <v>-19.492496217851738</v>
      </c>
      <c r="AS115" s="35">
        <v>-19.522753403933432</v>
      </c>
      <c r="AT115" s="35">
        <v>-19.551059001512858</v>
      </c>
      <c r="AU115" s="35">
        <v>-19.576777609682299</v>
      </c>
      <c r="AV115" s="35">
        <v>-19.602496217851741</v>
      </c>
      <c r="AW115" s="35">
        <v>-19.628214826021178</v>
      </c>
      <c r="AX115" s="35">
        <v>-19.65393343419062</v>
      </c>
      <c r="AY115" s="35">
        <v>-19.679652042360061</v>
      </c>
      <c r="AZ115" s="35">
        <v>-19.705370650529503</v>
      </c>
      <c r="BA115" s="35">
        <v>-19.731121212121213</v>
      </c>
      <c r="BB115" s="35">
        <v>-19.756878787878787</v>
      </c>
      <c r="BC115" s="35">
        <v>-19.782636363636364</v>
      </c>
      <c r="BD115" s="35">
        <v>-19.808393939393941</v>
      </c>
      <c r="BE115" s="35">
        <v>-19.834151515151515</v>
      </c>
      <c r="BF115" s="35">
        <v>-19.859909090909092</v>
      </c>
      <c r="BG115" s="35">
        <v>-19.885990922844176</v>
      </c>
      <c r="BH115" s="35">
        <v>-19.913222390317699</v>
      </c>
      <c r="BI115" s="35">
        <v>-19.940453857791223</v>
      </c>
      <c r="BJ115" s="35">
        <v>-19.96768532526475</v>
      </c>
      <c r="BK115" s="35">
        <v>-19.994916792738273</v>
      </c>
      <c r="BL115" s="35">
        <v>-20.0221482602118</v>
      </c>
      <c r="BM115" s="35">
        <v>-20.049379727685324</v>
      </c>
      <c r="BN115" s="35">
        <v>-20.074787878787877</v>
      </c>
      <c r="BO115" s="35">
        <v>-20.099030303030304</v>
      </c>
      <c r="BP115" s="35">
        <v>-20.128915662650602</v>
      </c>
      <c r="BQ115" s="35">
        <v>-20.159090909090907</v>
      </c>
      <c r="BR115" s="35">
        <v>-20.189393939393938</v>
      </c>
      <c r="BS115" s="35">
        <v>-20.219696969696969</v>
      </c>
      <c r="BT115" s="35">
        <v>-20.25</v>
      </c>
    </row>
    <row r="116" spans="1:72" ht="21.75" hidden="1" thickBot="1" x14ac:dyDescent="0.4">
      <c r="A116" s="87" t="s">
        <v>5</v>
      </c>
      <c r="B116" s="35">
        <v>-6.4802239031770048</v>
      </c>
      <c r="C116" s="35">
        <v>-6.5546565809379729</v>
      </c>
      <c r="D116" s="35">
        <v>-6.6290892586989409</v>
      </c>
      <c r="E116" s="35">
        <v>-6.7035219364599099</v>
      </c>
      <c r="F116" s="35">
        <v>-6.7773252647503783</v>
      </c>
      <c r="G116" s="35">
        <v>-6.8438910741301058</v>
      </c>
      <c r="H116" s="35">
        <v>-6.9104568835098341</v>
      </c>
      <c r="I116" s="35">
        <v>-6.9770226928895616</v>
      </c>
      <c r="J116" s="35">
        <v>-7.043588502269289</v>
      </c>
      <c r="K116" s="35">
        <v>-7.1101543116490165</v>
      </c>
      <c r="L116" s="35">
        <v>-7.1767201210287439</v>
      </c>
      <c r="M116" s="35">
        <v>-7.2400151285930407</v>
      </c>
      <c r="N116" s="35">
        <v>-7.2996217851739784</v>
      </c>
      <c r="O116" s="35">
        <v>-7.359228441754917</v>
      </c>
      <c r="P116" s="35">
        <v>-7.4188350983358546</v>
      </c>
      <c r="Q116" s="35">
        <v>-7.4784417549167923</v>
      </c>
      <c r="R116" s="35">
        <v>-7.5380484114977309</v>
      </c>
      <c r="S116" s="35">
        <v>-7.5976550680786685</v>
      </c>
      <c r="T116" s="35">
        <v>-7.6536187594553704</v>
      </c>
      <c r="U116" s="35">
        <v>-7.7089894099848717</v>
      </c>
      <c r="V116" s="35">
        <v>-7.7643600605143721</v>
      </c>
      <c r="W116" s="35">
        <v>-7.8197307110438734</v>
      </c>
      <c r="X116" s="35">
        <v>-7.8751013615733738</v>
      </c>
      <c r="Y116" s="35">
        <v>-7.9304720121028751</v>
      </c>
      <c r="Z116" s="35">
        <v>-7.9860909090909091</v>
      </c>
      <c r="AA116" s="35">
        <v>-8.0424545454545449</v>
      </c>
      <c r="AB116" s="35">
        <v>-8.0995454545454546</v>
      </c>
      <c r="AC116" s="35">
        <v>-8.1571212121212131</v>
      </c>
      <c r="AD116" s="35">
        <v>-8.2170000000000005</v>
      </c>
      <c r="AE116" s="35">
        <v>-8.2780909090909098</v>
      </c>
      <c r="AF116" s="35">
        <v>-8.3417272727272742</v>
      </c>
      <c r="AG116" s="35">
        <v>-8.412872919818458</v>
      </c>
      <c r="AH116" s="35">
        <v>-8.488062027231468</v>
      </c>
      <c r="AI116" s="35">
        <v>-8.563251134644478</v>
      </c>
      <c r="AJ116" s="35">
        <v>-8.6384402420574897</v>
      </c>
      <c r="AK116" s="35">
        <v>-8.7136293494704997</v>
      </c>
      <c r="AL116" s="35">
        <v>-8.7888184568835097</v>
      </c>
      <c r="AM116" s="35">
        <v>-8.864594553706505</v>
      </c>
      <c r="AN116" s="35">
        <v>-8.9544583963691373</v>
      </c>
      <c r="AO116" s="35">
        <v>-9.0443222390317697</v>
      </c>
      <c r="AP116" s="35">
        <v>-9.134186081694402</v>
      </c>
      <c r="AQ116" s="35">
        <v>-9.2240499243570344</v>
      </c>
      <c r="AR116" s="35">
        <v>-9.3139137670196668</v>
      </c>
      <c r="AS116" s="35">
        <v>-9.4037776096822991</v>
      </c>
      <c r="AT116" s="35">
        <v>-9.4937065052950071</v>
      </c>
      <c r="AU116" s="35">
        <v>-9.5837216338880484</v>
      </c>
      <c r="AV116" s="35">
        <v>-9.6737367624810897</v>
      </c>
      <c r="AW116" s="35">
        <v>-9.763751891074131</v>
      </c>
      <c r="AX116" s="35">
        <v>-9.8537670196671723</v>
      </c>
      <c r="AY116" s="35">
        <v>-9.9437821482602118</v>
      </c>
      <c r="AZ116" s="35">
        <v>-10.033797276853253</v>
      </c>
      <c r="BA116" s="35">
        <v>-10.118333333333334</v>
      </c>
      <c r="BB116" s="35">
        <v>-10.201666666666668</v>
      </c>
      <c r="BC116" s="35">
        <v>-10.285</v>
      </c>
      <c r="BD116" s="35">
        <v>-10.368333333333334</v>
      </c>
      <c r="BE116" s="35">
        <v>-10.451666666666666</v>
      </c>
      <c r="BF116" s="35">
        <v>-10.535</v>
      </c>
      <c r="BG116" s="35">
        <v>-10.615975794251135</v>
      </c>
      <c r="BH116" s="35">
        <v>-10.688593040847202</v>
      </c>
      <c r="BI116" s="35">
        <v>-10.761210287443268</v>
      </c>
      <c r="BJ116" s="35">
        <v>-10.833827534039335</v>
      </c>
      <c r="BK116" s="35">
        <v>-10.9064447806354</v>
      </c>
      <c r="BL116" s="35">
        <v>-10.979062027231468</v>
      </c>
      <c r="BM116" s="35">
        <v>-11.051679273827535</v>
      </c>
      <c r="BN116" s="35">
        <v>-11.120666666666667</v>
      </c>
      <c r="BO116" s="35">
        <v>-11.187333333333333</v>
      </c>
      <c r="BP116" s="35">
        <v>-11.247831325301204</v>
      </c>
      <c r="BQ116" s="35">
        <v>-11.308181818181817</v>
      </c>
      <c r="BR116" s="35">
        <v>-11.368787878787879</v>
      </c>
      <c r="BS116" s="35">
        <v>-11.425454545454546</v>
      </c>
      <c r="BT116" s="35">
        <v>-11.48</v>
      </c>
    </row>
    <row r="117" spans="1:72" ht="21.75" hidden="1" thickBot="1" x14ac:dyDescent="0.4">
      <c r="A117" s="87" t="s">
        <v>6</v>
      </c>
      <c r="B117" s="35">
        <v>-27.456127080181542</v>
      </c>
      <c r="C117" s="35">
        <v>-26.763237518910742</v>
      </c>
      <c r="D117" s="35">
        <v>-26.070347957639939</v>
      </c>
      <c r="E117" s="35">
        <v>-25.377458396369136</v>
      </c>
      <c r="F117" s="35">
        <v>-24.703691376701965</v>
      </c>
      <c r="G117" s="35">
        <v>-24.249833585476548</v>
      </c>
      <c r="H117" s="35">
        <v>-23.795975794251135</v>
      </c>
      <c r="I117" s="35">
        <v>-23.342118003025718</v>
      </c>
      <c r="J117" s="35">
        <v>-22.888260211800301</v>
      </c>
      <c r="K117" s="35">
        <v>-22.434402420574884</v>
      </c>
      <c r="L117" s="35">
        <v>-21.98054462934947</v>
      </c>
      <c r="M117" s="35">
        <v>-21.591391830559758</v>
      </c>
      <c r="N117" s="35">
        <v>-21.275204236006051</v>
      </c>
      <c r="O117" s="35">
        <v>-20.959016641452344</v>
      </c>
      <c r="P117" s="35">
        <v>-20.642829046898637</v>
      </c>
      <c r="Q117" s="35">
        <v>-20.32664145234493</v>
      </c>
      <c r="R117" s="35">
        <v>-20.010453857791223</v>
      </c>
      <c r="S117" s="35">
        <v>-19.694266263237516</v>
      </c>
      <c r="T117" s="35">
        <v>-19.452239031770045</v>
      </c>
      <c r="U117" s="35">
        <v>-19.222284417549165</v>
      </c>
      <c r="V117" s="35">
        <v>-18.992329803328289</v>
      </c>
      <c r="W117" s="35">
        <v>-18.762375189107413</v>
      </c>
      <c r="X117" s="35">
        <v>-18.532420574886533</v>
      </c>
      <c r="Y117" s="35">
        <v>-18.302465960665657</v>
      </c>
      <c r="Z117" s="35">
        <v>-18.083030303030302</v>
      </c>
      <c r="AA117" s="35">
        <v>-17.895151515151515</v>
      </c>
      <c r="AB117" s="35">
        <v>-17.710909090909091</v>
      </c>
      <c r="AC117" s="35">
        <v>-17.529090909090908</v>
      </c>
      <c r="AD117" s="35">
        <v>-17.358787878787879</v>
      </c>
      <c r="AE117" s="35">
        <v>-17.190909090909088</v>
      </c>
      <c r="AF117" s="35">
        <v>-17.027272727272727</v>
      </c>
      <c r="AG117" s="35">
        <v>-16.879531013615733</v>
      </c>
      <c r="AH117" s="35">
        <v>-16.740347957639941</v>
      </c>
      <c r="AI117" s="35">
        <v>-16.601164901664145</v>
      </c>
      <c r="AJ117" s="35">
        <v>-16.461981845688349</v>
      </c>
      <c r="AK117" s="35">
        <v>-16.322798789712557</v>
      </c>
      <c r="AL117" s="35">
        <v>-16.183615733736762</v>
      </c>
      <c r="AM117" s="35">
        <v>-16.04552193645991</v>
      </c>
      <c r="AN117" s="35">
        <v>-15.933570347957641</v>
      </c>
      <c r="AO117" s="35">
        <v>-15.821618759455372</v>
      </c>
      <c r="AP117" s="35">
        <v>-15.709667170953102</v>
      </c>
      <c r="AQ117" s="35">
        <v>-15.597715582450833</v>
      </c>
      <c r="AR117" s="35">
        <v>-15.485763993948563</v>
      </c>
      <c r="AS117" s="35">
        <v>-15.373812405446294</v>
      </c>
      <c r="AT117" s="35">
        <v>-15.270968229954615</v>
      </c>
      <c r="AU117" s="35">
        <v>-15.180196671709531</v>
      </c>
      <c r="AV117" s="35">
        <v>-15.089425113464449</v>
      </c>
      <c r="AW117" s="35">
        <v>-14.998653555219365</v>
      </c>
      <c r="AX117" s="35">
        <v>-14.907881996974282</v>
      </c>
      <c r="AY117" s="35">
        <v>-14.817110438729198</v>
      </c>
      <c r="AZ117" s="35">
        <v>-14.726338880484116</v>
      </c>
      <c r="BA117" s="35">
        <v>-14.646636363636365</v>
      </c>
      <c r="BB117" s="35">
        <v>-14.569363636363637</v>
      </c>
      <c r="BC117" s="35">
        <v>-14.492090909090908</v>
      </c>
      <c r="BD117" s="35">
        <v>-14.414818181818182</v>
      </c>
      <c r="BE117" s="35">
        <v>-14.337545454545454</v>
      </c>
      <c r="BF117" s="35">
        <v>-14.260272727272726</v>
      </c>
      <c r="BG117" s="35">
        <v>-14.183358547655066</v>
      </c>
      <c r="BH117" s="35">
        <v>-14.107715582450831</v>
      </c>
      <c r="BI117" s="35">
        <v>-14.032072617246595</v>
      </c>
      <c r="BJ117" s="35">
        <v>-13.95642965204236</v>
      </c>
      <c r="BK117" s="35">
        <v>-13.880786686838123</v>
      </c>
      <c r="BL117" s="35">
        <v>-13.805143721633888</v>
      </c>
      <c r="BM117" s="35">
        <v>-13.729500756429651</v>
      </c>
      <c r="BN117" s="35">
        <v>-13.651939393939394</v>
      </c>
      <c r="BO117" s="35">
        <v>-13.573151515151515</v>
      </c>
      <c r="BP117" s="35">
        <v>-13.494819277108434</v>
      </c>
      <c r="BQ117" s="35">
        <v>-13.414545454545454</v>
      </c>
      <c r="BR117" s="35">
        <v>-13.32969696969697</v>
      </c>
      <c r="BS117" s="35">
        <v>-13.244848484848486</v>
      </c>
      <c r="BT117" s="35">
        <v>-13.16</v>
      </c>
    </row>
    <row r="118" spans="1:72" ht="21.75" hidden="1" thickBot="1" x14ac:dyDescent="0.4">
      <c r="A118" s="87" t="s">
        <v>7</v>
      </c>
      <c r="B118" s="35">
        <v>-5.094249621785174</v>
      </c>
      <c r="C118" s="35">
        <v>-5.1475022692889558</v>
      </c>
      <c r="D118" s="35">
        <v>-5.2007549167927385</v>
      </c>
      <c r="E118" s="35">
        <v>-5.2540075642965203</v>
      </c>
      <c r="F118" s="35">
        <v>-5.3077080181543117</v>
      </c>
      <c r="G118" s="35">
        <v>-5.3665582450832074</v>
      </c>
      <c r="H118" s="35">
        <v>-5.4254084720121032</v>
      </c>
      <c r="I118" s="35">
        <v>-5.4842586989409989</v>
      </c>
      <c r="J118" s="35">
        <v>-5.5431089258698938</v>
      </c>
      <c r="K118" s="35">
        <v>-5.6019591527987895</v>
      </c>
      <c r="L118" s="35">
        <v>-5.6608093797276853</v>
      </c>
      <c r="M118" s="35">
        <v>-5.719232980332829</v>
      </c>
      <c r="N118" s="35">
        <v>-5.7771754916792739</v>
      </c>
      <c r="O118" s="35">
        <v>-5.8351180030257188</v>
      </c>
      <c r="P118" s="35">
        <v>-5.8930605143721637</v>
      </c>
      <c r="Q118" s="35">
        <v>-5.9510030257186086</v>
      </c>
      <c r="R118" s="35">
        <v>-6.0089455370650535</v>
      </c>
      <c r="S118" s="35">
        <v>-6.0668880484114984</v>
      </c>
      <c r="T118" s="35">
        <v>-6.1222284417549169</v>
      </c>
      <c r="U118" s="35">
        <v>-6.1771452344931923</v>
      </c>
      <c r="V118" s="35">
        <v>-6.2320620272314677</v>
      </c>
      <c r="W118" s="35">
        <v>-6.2869788199697432</v>
      </c>
      <c r="X118" s="35">
        <v>-6.3418956127080177</v>
      </c>
      <c r="Y118" s="35">
        <v>-6.3968124054462931</v>
      </c>
      <c r="Z118" s="35">
        <v>-6.4511818181818184</v>
      </c>
      <c r="AA118" s="35">
        <v>-6.5039090909090911</v>
      </c>
      <c r="AB118" s="35">
        <v>-6.5559090909090916</v>
      </c>
      <c r="AC118" s="35">
        <v>-6.6074242424242424</v>
      </c>
      <c r="AD118" s="35">
        <v>-6.6572121212121216</v>
      </c>
      <c r="AE118" s="35">
        <v>-6.7065454545454548</v>
      </c>
      <c r="AF118" s="35">
        <v>-6.7550303030303036</v>
      </c>
      <c r="AG118" s="35">
        <v>-6.8014024205748864</v>
      </c>
      <c r="AH118" s="35">
        <v>-6.8466369137670195</v>
      </c>
      <c r="AI118" s="35">
        <v>-6.8918714069591527</v>
      </c>
      <c r="AJ118" s="35">
        <v>-6.9371059001512858</v>
      </c>
      <c r="AK118" s="35">
        <v>-6.9823403933434189</v>
      </c>
      <c r="AL118" s="35">
        <v>-7.0275748865355521</v>
      </c>
      <c r="AM118" s="35">
        <v>-7.0726641452344925</v>
      </c>
      <c r="AN118" s="35">
        <v>-7.1142677760968223</v>
      </c>
      <c r="AO118" s="35">
        <v>-7.1558714069591529</v>
      </c>
      <c r="AP118" s="35">
        <v>-7.1974750378214827</v>
      </c>
      <c r="AQ118" s="35">
        <v>-7.2390786686838124</v>
      </c>
      <c r="AR118" s="35">
        <v>-7.2806822995461422</v>
      </c>
      <c r="AS118" s="35">
        <v>-7.322285930408472</v>
      </c>
      <c r="AT118" s="35">
        <v>-7.3633691376701966</v>
      </c>
      <c r="AU118" s="35">
        <v>-7.4037624810892586</v>
      </c>
      <c r="AV118" s="35">
        <v>-7.4441558245083206</v>
      </c>
      <c r="AW118" s="35">
        <v>-7.4845491679273835</v>
      </c>
      <c r="AX118" s="35">
        <v>-7.5249425113464454</v>
      </c>
      <c r="AY118" s="35">
        <v>-7.5653358547655074</v>
      </c>
      <c r="AZ118" s="35">
        <v>-7.6057291981845694</v>
      </c>
      <c r="BA118" s="35">
        <v>-7.6469181818181822</v>
      </c>
      <c r="BB118" s="35">
        <v>-7.6882818181818191</v>
      </c>
      <c r="BC118" s="35">
        <v>-7.7296454545454552</v>
      </c>
      <c r="BD118" s="35">
        <v>-7.7710090909090912</v>
      </c>
      <c r="BE118" s="35">
        <v>-7.8123727272727272</v>
      </c>
      <c r="BF118" s="35">
        <v>-7.8537363636363642</v>
      </c>
      <c r="BG118" s="35">
        <v>-7.8960181543116494</v>
      </c>
      <c r="BH118" s="35">
        <v>-7.9415552193645995</v>
      </c>
      <c r="BI118" s="35">
        <v>-7.9870922844175496</v>
      </c>
      <c r="BJ118" s="35">
        <v>-8.0326293494704988</v>
      </c>
      <c r="BK118" s="35">
        <v>-8.0781664145234497</v>
      </c>
      <c r="BL118" s="35">
        <v>-8.1237034795763989</v>
      </c>
      <c r="BM118" s="35">
        <v>-8.1692405446293499</v>
      </c>
      <c r="BN118" s="35">
        <v>-8.2176848484848488</v>
      </c>
      <c r="BO118" s="35">
        <v>-8.2679878787878778</v>
      </c>
      <c r="BP118" s="35">
        <v>-8.3203132530120474</v>
      </c>
      <c r="BQ118" s="35">
        <v>-8.3737272727272725</v>
      </c>
      <c r="BR118" s="35">
        <v>-8.429484848484849</v>
      </c>
      <c r="BS118" s="35">
        <v>-8.4872121212121208</v>
      </c>
      <c r="BT118" s="35">
        <v>-8.5459999999999994</v>
      </c>
    </row>
    <row r="119" spans="1:72" ht="21.75" hidden="1" thickBot="1" x14ac:dyDescent="0.4">
      <c r="A119" s="87"/>
    </row>
    <row r="120" spans="1:72" ht="21.75" hidden="1" thickBot="1" x14ac:dyDescent="0.4">
      <c r="A120" s="92"/>
    </row>
    <row r="121" spans="1:72" ht="21.75" hidden="1" thickBot="1" x14ac:dyDescent="0.4">
      <c r="A121" s="92"/>
    </row>
    <row r="122" spans="1:72" ht="21.75" hidden="1" thickBot="1" x14ac:dyDescent="0.4">
      <c r="A122" s="92"/>
    </row>
    <row r="123" spans="1:72" ht="21.75" hidden="1" thickBot="1" x14ac:dyDescent="0.4">
      <c r="A123" s="92"/>
    </row>
    <row r="124" spans="1:72" ht="21.75" hidden="1" thickBot="1" x14ac:dyDescent="0.4">
      <c r="A124" s="92"/>
    </row>
    <row r="125" spans="1:72" ht="21.75" hidden="1" thickBot="1" x14ac:dyDescent="0.4">
      <c r="A125" s="92"/>
    </row>
    <row r="126" spans="1:72" ht="21.75" hidden="1" thickBot="1" x14ac:dyDescent="0.4">
      <c r="A126" s="92"/>
    </row>
    <row r="127" spans="1:72" ht="21.75" hidden="1" thickBot="1" x14ac:dyDescent="0.4">
      <c r="A127" s="92"/>
    </row>
    <row r="128" spans="1:72" ht="21.75" hidden="1" thickBot="1" x14ac:dyDescent="0.4">
      <c r="A128" s="92"/>
    </row>
    <row r="129" spans="1:72" ht="21.75" hidden="1" thickBot="1" x14ac:dyDescent="0.4">
      <c r="A129" s="92"/>
    </row>
    <row r="130" spans="1:72" ht="22.5" hidden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 x14ac:dyDescent="0.4"/>
    <row r="132" spans="1:72" ht="30" customHeight="1" thickTop="1" thickBot="1" x14ac:dyDescent="0.4">
      <c r="A132" s="90" t="s">
        <v>28</v>
      </c>
      <c r="B132" s="62">
        <v>300</v>
      </c>
      <c r="C132" s="62">
        <v>310</v>
      </c>
      <c r="D132" s="62">
        <v>320</v>
      </c>
      <c r="E132" s="62">
        <v>330</v>
      </c>
      <c r="F132" s="62">
        <v>340</v>
      </c>
      <c r="G132" s="62">
        <v>350</v>
      </c>
      <c r="H132" s="62">
        <v>360</v>
      </c>
      <c r="I132" s="62">
        <v>370</v>
      </c>
      <c r="J132" s="62">
        <v>380</v>
      </c>
      <c r="K132" s="62">
        <v>390</v>
      </c>
      <c r="L132" s="62">
        <v>400</v>
      </c>
      <c r="M132" s="62">
        <v>410</v>
      </c>
      <c r="N132" s="62">
        <v>420</v>
      </c>
      <c r="O132" s="62">
        <v>430</v>
      </c>
      <c r="P132" s="62">
        <v>440</v>
      </c>
      <c r="Q132" s="62">
        <v>450</v>
      </c>
      <c r="R132" s="62">
        <v>460</v>
      </c>
      <c r="S132" s="62">
        <v>470</v>
      </c>
      <c r="T132" s="62">
        <v>480</v>
      </c>
      <c r="U132" s="62">
        <v>490</v>
      </c>
      <c r="V132" s="62">
        <v>500</v>
      </c>
      <c r="W132" s="62">
        <v>510</v>
      </c>
      <c r="X132" s="62">
        <v>520</v>
      </c>
      <c r="Y132" s="62">
        <v>530</v>
      </c>
      <c r="Z132" s="62">
        <v>540</v>
      </c>
      <c r="AA132" s="62">
        <v>550</v>
      </c>
      <c r="AB132" s="62">
        <v>560</v>
      </c>
      <c r="AC132" s="62">
        <v>570</v>
      </c>
      <c r="AD132" s="62">
        <v>580</v>
      </c>
      <c r="AE132" s="62">
        <v>590</v>
      </c>
      <c r="AF132" s="62">
        <v>600</v>
      </c>
      <c r="AG132" s="62">
        <v>610</v>
      </c>
      <c r="AH132" s="62">
        <v>620</v>
      </c>
      <c r="AI132" s="62">
        <v>630</v>
      </c>
      <c r="AJ132" s="62">
        <v>640</v>
      </c>
      <c r="AK132" s="62">
        <v>650</v>
      </c>
      <c r="AL132" s="62">
        <v>660</v>
      </c>
      <c r="AM132" s="62">
        <v>670</v>
      </c>
      <c r="AN132" s="62">
        <v>680</v>
      </c>
      <c r="AO132" s="62">
        <v>690</v>
      </c>
      <c r="AP132" s="62">
        <v>700</v>
      </c>
      <c r="AQ132" s="62">
        <v>710</v>
      </c>
      <c r="AR132" s="62">
        <v>720</v>
      </c>
      <c r="AS132" s="62">
        <v>730</v>
      </c>
      <c r="AT132" s="62">
        <v>740</v>
      </c>
      <c r="AU132" s="62">
        <v>750</v>
      </c>
      <c r="AV132" s="62">
        <v>760</v>
      </c>
      <c r="AW132" s="62">
        <v>770</v>
      </c>
      <c r="AX132" s="62">
        <v>780</v>
      </c>
      <c r="AY132" s="62">
        <v>790</v>
      </c>
      <c r="AZ132" s="62">
        <v>800</v>
      </c>
      <c r="BA132" s="62">
        <v>810</v>
      </c>
      <c r="BB132" s="62">
        <v>820</v>
      </c>
      <c r="BC132" s="62">
        <v>830</v>
      </c>
      <c r="BD132" s="62">
        <v>840</v>
      </c>
      <c r="BE132" s="62">
        <v>850</v>
      </c>
      <c r="BF132" s="62">
        <v>860</v>
      </c>
      <c r="BG132" s="62">
        <v>870</v>
      </c>
      <c r="BH132" s="62">
        <v>880</v>
      </c>
      <c r="BI132" s="62">
        <v>890</v>
      </c>
      <c r="BJ132" s="62">
        <v>900</v>
      </c>
      <c r="BK132" s="62">
        <v>910</v>
      </c>
      <c r="BL132" s="62">
        <v>920</v>
      </c>
      <c r="BM132" s="62">
        <v>930</v>
      </c>
      <c r="BN132" s="62">
        <v>940</v>
      </c>
      <c r="BO132" s="62">
        <v>950</v>
      </c>
      <c r="BP132" s="62">
        <v>960</v>
      </c>
      <c r="BQ132" s="62">
        <v>970</v>
      </c>
      <c r="BR132" s="62">
        <v>980</v>
      </c>
      <c r="BS132" s="62">
        <v>990</v>
      </c>
      <c r="BT132" s="62">
        <v>1000</v>
      </c>
    </row>
    <row r="133" spans="1:72" ht="9.9499999999999993" customHeight="1" thickTop="1" thickBot="1" x14ac:dyDescent="0.4">
      <c r="A133" s="87" t="s">
        <v>89</v>
      </c>
      <c r="B133" s="35">
        <v>0.1</v>
      </c>
      <c r="C133" s="35">
        <v>0.1</v>
      </c>
      <c r="D133" s="35">
        <v>0.1</v>
      </c>
      <c r="E133" s="35">
        <v>5.5757908876484782E-2</v>
      </c>
      <c r="F133" s="35">
        <v>4.8492012823031002E-3</v>
      </c>
      <c r="G133" s="35">
        <v>6.5454805561090984E-2</v>
      </c>
      <c r="H133" s="35">
        <v>7.4097598815662621E-2</v>
      </c>
      <c r="I133" s="35">
        <v>1.3859456526506081E-2</v>
      </c>
      <c r="J133" s="35">
        <v>2.4986112133333367E-6</v>
      </c>
      <c r="K133" s="35">
        <v>1.1753083636363644E-9</v>
      </c>
      <c r="L133" s="35">
        <v>5.3121139393939479E-10</v>
      </c>
      <c r="M133" s="35">
        <v>1.7634154311649019E-10</v>
      </c>
      <c r="N133" s="35">
        <v>1.4762142208774583E-10</v>
      </c>
      <c r="O133" s="35">
        <v>1.1890130105900149E-10</v>
      </c>
      <c r="P133" s="35">
        <v>9.0181180030257157E-11</v>
      </c>
      <c r="Q133" s="35">
        <v>6.1461059001512821E-11</v>
      </c>
      <c r="R133" s="35">
        <v>3.2740937972768484E-11</v>
      </c>
      <c r="S133" s="35">
        <v>4.0208169440241476E-12</v>
      </c>
      <c r="T133" s="35">
        <v>4.1392169696969569E-36</v>
      </c>
      <c r="U133" s="35">
        <v>0</v>
      </c>
      <c r="V133" s="35">
        <v>0</v>
      </c>
      <c r="W133" s="35">
        <v>0</v>
      </c>
      <c r="X133" s="35">
        <v>0</v>
      </c>
      <c r="Y133" s="35">
        <v>0</v>
      </c>
      <c r="Z133" s="35">
        <v>0</v>
      </c>
      <c r="AA133" s="35">
        <v>0</v>
      </c>
      <c r="AB133" s="35">
        <v>0</v>
      </c>
      <c r="AC133" s="35">
        <v>0</v>
      </c>
      <c r="AD133" s="35">
        <v>0</v>
      </c>
      <c r="AE133" s="35">
        <v>0</v>
      </c>
      <c r="AF133" s="35">
        <v>0</v>
      </c>
      <c r="AG133" s="35">
        <v>0</v>
      </c>
      <c r="AH133" s="35">
        <v>0</v>
      </c>
      <c r="AI133" s="35">
        <v>0</v>
      </c>
      <c r="AJ133" s="35">
        <v>0</v>
      </c>
      <c r="AK133" s="35">
        <v>0</v>
      </c>
      <c r="AL133" s="35">
        <v>0</v>
      </c>
      <c r="AM133" s="35">
        <v>0</v>
      </c>
      <c r="AN133" s="35">
        <v>0</v>
      </c>
      <c r="AO133" s="35">
        <v>0</v>
      </c>
      <c r="AP133" s="35">
        <v>0</v>
      </c>
      <c r="AQ133" s="35">
        <v>0</v>
      </c>
      <c r="AR133" s="35">
        <v>0</v>
      </c>
      <c r="AS133" s="35">
        <v>0</v>
      </c>
      <c r="AT133" s="35">
        <v>0</v>
      </c>
      <c r="AU133" s="35">
        <v>0</v>
      </c>
      <c r="AV133" s="35">
        <v>0</v>
      </c>
      <c r="AW133" s="35">
        <v>0</v>
      </c>
      <c r="AX133" s="35">
        <v>0</v>
      </c>
      <c r="AY133" s="35">
        <v>0</v>
      </c>
      <c r="AZ133" s="35">
        <v>0</v>
      </c>
      <c r="BA133" s="35">
        <v>0</v>
      </c>
      <c r="BB133" s="35">
        <v>0</v>
      </c>
      <c r="BC133" s="35">
        <v>0</v>
      </c>
      <c r="BD133" s="35">
        <v>0</v>
      </c>
      <c r="BE133" s="35">
        <v>0</v>
      </c>
      <c r="BF133" s="35">
        <v>0</v>
      </c>
      <c r="BG133" s="35">
        <v>0</v>
      </c>
      <c r="BH133" s="35">
        <v>0</v>
      </c>
      <c r="BI133" s="35">
        <v>0</v>
      </c>
      <c r="BJ133" s="35">
        <v>0</v>
      </c>
      <c r="BK133" s="35">
        <v>0</v>
      </c>
      <c r="BL133" s="35">
        <v>0</v>
      </c>
      <c r="BM133" s="35">
        <v>0</v>
      </c>
      <c r="BN133" s="35">
        <v>0</v>
      </c>
      <c r="BO133" s="35">
        <v>0</v>
      </c>
      <c r="BP133" s="35">
        <v>0</v>
      </c>
      <c r="BQ133" s="35">
        <v>0</v>
      </c>
      <c r="BR133" s="35">
        <v>0</v>
      </c>
      <c r="BS133" s="35">
        <v>0</v>
      </c>
      <c r="BT133" s="35">
        <v>0</v>
      </c>
    </row>
    <row r="134" spans="1:72" ht="9.9499999999999993" customHeight="1" thickBot="1" x14ac:dyDescent="0.4">
      <c r="A134" s="87" t="s">
        <v>49</v>
      </c>
      <c r="B134" s="35">
        <v>1.6989721696969714E-10</v>
      </c>
      <c r="C134" s="35">
        <v>5.900282000000017E-9</v>
      </c>
      <c r="D134" s="35">
        <v>2.0723682000000015E-8</v>
      </c>
      <c r="E134" s="35">
        <v>4.424199560480007E-2</v>
      </c>
      <c r="F134" s="35">
        <v>9.515056533444842E-2</v>
      </c>
      <c r="G134" s="35">
        <v>3.4545132015054478E-2</v>
      </c>
      <c r="H134" s="35">
        <v>2.5902345227885575E-2</v>
      </c>
      <c r="I134" s="35">
        <v>8.614027593692164E-2</v>
      </c>
      <c r="J134" s="35">
        <v>9.9997333333333341E-2</v>
      </c>
      <c r="K134" s="35">
        <v>0.1</v>
      </c>
      <c r="L134" s="35">
        <v>0.1</v>
      </c>
      <c r="M134" s="35">
        <v>0.1</v>
      </c>
      <c r="N134" s="35">
        <v>0.1</v>
      </c>
      <c r="O134" s="35">
        <v>0.1</v>
      </c>
      <c r="P134" s="35">
        <v>0.1</v>
      </c>
      <c r="Q134" s="35">
        <v>0.1</v>
      </c>
      <c r="R134" s="35">
        <v>0.1</v>
      </c>
      <c r="S134" s="35">
        <v>0.1</v>
      </c>
      <c r="T134" s="35">
        <v>0.1</v>
      </c>
      <c r="U134" s="35">
        <v>0.1</v>
      </c>
      <c r="V134" s="35">
        <v>0.1</v>
      </c>
      <c r="W134" s="35">
        <v>0.1</v>
      </c>
      <c r="X134" s="35">
        <v>0.1</v>
      </c>
      <c r="Y134" s="35">
        <v>0.13926704819277114</v>
      </c>
      <c r="Z134" s="35">
        <v>0.18339818181818182</v>
      </c>
      <c r="AA134" s="35">
        <v>0.23047090909090909</v>
      </c>
      <c r="AB134" s="35">
        <v>0.25895818181818181</v>
      </c>
      <c r="AC134" s="35">
        <v>0.27505515151515153</v>
      </c>
      <c r="AD134" s="35">
        <v>0.28255030303030304</v>
      </c>
      <c r="AE134" s="35">
        <v>0.29942363636363639</v>
      </c>
      <c r="AF134" s="35">
        <v>0.33923575757575758</v>
      </c>
      <c r="AG134" s="35">
        <v>0.3543329518072289</v>
      </c>
      <c r="AH134" s="35">
        <v>0.35612210843373493</v>
      </c>
      <c r="AI134" s="35">
        <v>0.35711200000000004</v>
      </c>
      <c r="AJ134" s="35">
        <v>0.35794751515151518</v>
      </c>
      <c r="AK134" s="35">
        <v>0.35849903030303032</v>
      </c>
      <c r="AL134" s="35">
        <v>0.35888745454545457</v>
      </c>
      <c r="AM134" s="35">
        <v>0.35919411497730713</v>
      </c>
      <c r="AN134" s="35">
        <v>0.35929698940998489</v>
      </c>
      <c r="AO134" s="35">
        <v>0.35939986384266265</v>
      </c>
      <c r="AP134" s="35">
        <v>0.35950273827534041</v>
      </c>
      <c r="AQ134" s="35">
        <v>0.35960561270801816</v>
      </c>
      <c r="AR134" s="35">
        <v>0.35970848714069592</v>
      </c>
      <c r="AS134" s="35">
        <v>0.35981136157337368</v>
      </c>
      <c r="AT134" s="35">
        <v>0.35988042424242428</v>
      </c>
      <c r="AU134" s="35">
        <v>0.35990466666666665</v>
      </c>
      <c r="AV134" s="35">
        <v>0.35992418181818181</v>
      </c>
      <c r="AW134" s="35">
        <v>0.35994157575757574</v>
      </c>
      <c r="AX134" s="35">
        <v>0.35995369696969698</v>
      </c>
      <c r="AY134" s="35">
        <v>0.35996289156626504</v>
      </c>
      <c r="AZ134" s="35">
        <v>0.3599689156626506</v>
      </c>
      <c r="BA134" s="35">
        <v>0.41661957575757608</v>
      </c>
      <c r="BB134" s="35">
        <v>0.47458024242424246</v>
      </c>
      <c r="BC134" s="35">
        <v>0.47822872727272731</v>
      </c>
      <c r="BD134" s="35">
        <v>0.47998315151515153</v>
      </c>
      <c r="BE134" s="35">
        <v>0.47998921212121215</v>
      </c>
      <c r="BF134" s="35">
        <v>0.47999000000000003</v>
      </c>
      <c r="BG134" s="35">
        <v>0.47999033282904691</v>
      </c>
      <c r="BH134" s="35">
        <v>0.47999184568835102</v>
      </c>
      <c r="BI134" s="35">
        <v>0.47999335854765507</v>
      </c>
      <c r="BJ134" s="35">
        <v>0.47999487140695918</v>
      </c>
      <c r="BK134" s="35">
        <v>0.47999638426626323</v>
      </c>
      <c r="BL134" s="35">
        <v>0.47999789712556734</v>
      </c>
      <c r="BM134" s="35">
        <v>0.47999940998487139</v>
      </c>
      <c r="BN134" s="35">
        <v>0.48</v>
      </c>
      <c r="BO134" s="35">
        <v>0.48</v>
      </c>
      <c r="BP134" s="35">
        <v>0.48</v>
      </c>
      <c r="BQ134" s="35">
        <v>0.48</v>
      </c>
      <c r="BR134" s="35">
        <v>0.48</v>
      </c>
      <c r="BS134" s="35">
        <v>0.48</v>
      </c>
      <c r="BT134" s="35">
        <v>0.48</v>
      </c>
    </row>
    <row r="135" spans="1:72" ht="9.9499999999999993" customHeight="1" thickBot="1" x14ac:dyDescent="0.4">
      <c r="A135" s="87" t="s">
        <v>50</v>
      </c>
      <c r="B135" s="35">
        <v>0</v>
      </c>
      <c r="C135" s="35">
        <v>0</v>
      </c>
      <c r="D135" s="35">
        <v>0</v>
      </c>
      <c r="E135" s="35">
        <v>0</v>
      </c>
      <c r="F135" s="35">
        <v>0</v>
      </c>
      <c r="G135" s="35">
        <v>0</v>
      </c>
      <c r="H135" s="35">
        <v>0</v>
      </c>
      <c r="I135" s="35">
        <v>0</v>
      </c>
      <c r="J135" s="35">
        <v>0</v>
      </c>
      <c r="K135" s="35">
        <v>0</v>
      </c>
      <c r="L135" s="35">
        <v>0</v>
      </c>
      <c r="M135" s="35">
        <v>1.601839636913764E-14</v>
      </c>
      <c r="N135" s="35">
        <v>5.0100090771558231E-14</v>
      </c>
      <c r="O135" s="35">
        <v>8.4181785173978818E-14</v>
      </c>
      <c r="P135" s="35">
        <v>1.1826347957639941E-13</v>
      </c>
      <c r="Q135" s="35">
        <v>1.5234517397882001E-13</v>
      </c>
      <c r="R135" s="35">
        <v>1.864268683812406E-13</v>
      </c>
      <c r="S135" s="35">
        <v>2.2050856278366119E-13</v>
      </c>
      <c r="T135" s="35">
        <v>3.0416346181818261E-11</v>
      </c>
      <c r="U135" s="35">
        <v>2.2940181818182004E-10</v>
      </c>
      <c r="V135" s="35">
        <v>1.0448866666666687E-9</v>
      </c>
      <c r="W135" s="35">
        <v>1.2694420000000046E-8</v>
      </c>
      <c r="X135" s="35">
        <v>3.2856420000000048E-8</v>
      </c>
      <c r="Y135" s="35">
        <v>3.9264871086295228E-2</v>
      </c>
      <c r="Z135" s="35">
        <v>8.3394787878787874E-2</v>
      </c>
      <c r="AA135" s="35">
        <v>0.13046993939393939</v>
      </c>
      <c r="AB135" s="35">
        <v>0.1589581818181818</v>
      </c>
      <c r="AC135" s="35">
        <v>0.1750551515151515</v>
      </c>
      <c r="AD135" s="35">
        <v>0.18255030303030303</v>
      </c>
      <c r="AE135" s="35">
        <v>0.18851454545454546</v>
      </c>
      <c r="AF135" s="35">
        <v>0.1919630303030303</v>
      </c>
      <c r="AG135" s="35">
        <v>0.19433295180722893</v>
      </c>
      <c r="AH135" s="35">
        <v>0.19612210843373495</v>
      </c>
      <c r="AI135" s="35">
        <v>0.19711200000000001</v>
      </c>
      <c r="AJ135" s="35">
        <v>0.19794751515151515</v>
      </c>
      <c r="AK135" s="35">
        <v>0.19849903030303032</v>
      </c>
      <c r="AL135" s="35">
        <v>0.19888745454545456</v>
      </c>
      <c r="AM135" s="35">
        <v>0.19919411497730713</v>
      </c>
      <c r="AN135" s="35">
        <v>0.19929698940998489</v>
      </c>
      <c r="AO135" s="35">
        <v>0.19939986384266264</v>
      </c>
      <c r="AP135" s="35">
        <v>0.1995027382753404</v>
      </c>
      <c r="AQ135" s="35">
        <v>0.19960561270801816</v>
      </c>
      <c r="AR135" s="35">
        <v>0.19970848714069592</v>
      </c>
      <c r="AS135" s="35">
        <v>0.19981136157337367</v>
      </c>
      <c r="AT135" s="35">
        <v>0.19988042424242425</v>
      </c>
      <c r="AU135" s="35">
        <v>0.19990466666666667</v>
      </c>
      <c r="AV135" s="35">
        <v>0.19992418181818183</v>
      </c>
      <c r="AW135" s="35">
        <v>0.19994157575757576</v>
      </c>
      <c r="AX135" s="35">
        <v>0.19995369696969698</v>
      </c>
      <c r="AY135" s="35">
        <v>0.19996289156626507</v>
      </c>
      <c r="AZ135" s="35">
        <v>0.1999689156626506</v>
      </c>
      <c r="BA135" s="35">
        <v>0.18823654545454538</v>
      </c>
      <c r="BB135" s="35">
        <v>0.17587163636363634</v>
      </c>
      <c r="BC135" s="35">
        <v>0.17299890909090906</v>
      </c>
      <c r="BD135" s="35">
        <v>0.17039090909090909</v>
      </c>
      <c r="BE135" s="35">
        <v>0.16802727272727272</v>
      </c>
      <c r="BF135" s="35">
        <v>0.16541054545454545</v>
      </c>
      <c r="BG135" s="35">
        <v>0.16254021180030256</v>
      </c>
      <c r="BH135" s="35">
        <v>0.15890481089258698</v>
      </c>
      <c r="BI135" s="35">
        <v>0.1552694099848714</v>
      </c>
      <c r="BJ135" s="35">
        <v>0.15163400907715582</v>
      </c>
      <c r="BK135" s="35">
        <v>0.14799860816944022</v>
      </c>
      <c r="BL135" s="35">
        <v>0.14436320726172464</v>
      </c>
      <c r="BM135" s="35">
        <v>0.14072780635400906</v>
      </c>
      <c r="BN135" s="35">
        <v>0.13548268835098334</v>
      </c>
      <c r="BO135" s="35">
        <v>0.12920840695915278</v>
      </c>
      <c r="BP135" s="35">
        <v>0.12293412556732222</v>
      </c>
      <c r="BQ135" s="35">
        <v>0.11665984417549166</v>
      </c>
      <c r="BR135" s="35">
        <v>0.1103855627836611</v>
      </c>
      <c r="BS135" s="35">
        <v>0.10411128139183055</v>
      </c>
      <c r="BT135" s="35">
        <v>9.7836999999999993E-2</v>
      </c>
    </row>
    <row r="136" spans="1:72" ht="9.9499999999999993" customHeight="1" thickBot="1" x14ac:dyDescent="0.4">
      <c r="A136" s="87" t="s">
        <v>114</v>
      </c>
      <c r="B136" s="35">
        <v>0.06</v>
      </c>
      <c r="C136" s="35">
        <v>0.06</v>
      </c>
      <c r="D136" s="35">
        <v>0.06</v>
      </c>
      <c r="E136" s="35">
        <v>0.06</v>
      </c>
      <c r="F136" s="35">
        <v>0.06</v>
      </c>
      <c r="G136" s="35">
        <v>0.06</v>
      </c>
      <c r="H136" s="35">
        <v>0.06</v>
      </c>
      <c r="I136" s="35">
        <v>0.06</v>
      </c>
      <c r="J136" s="35">
        <v>0.06</v>
      </c>
      <c r="K136" s="35">
        <v>0.06</v>
      </c>
      <c r="L136" s="35">
        <v>0.06</v>
      </c>
      <c r="M136" s="35">
        <v>0.06</v>
      </c>
      <c r="N136" s="35">
        <v>0.06</v>
      </c>
      <c r="O136" s="35">
        <v>0.06</v>
      </c>
      <c r="P136" s="35">
        <v>0.06</v>
      </c>
      <c r="Q136" s="35">
        <v>0.06</v>
      </c>
      <c r="R136" s="35">
        <v>0.06</v>
      </c>
      <c r="S136" s="35">
        <v>0.06</v>
      </c>
      <c r="T136" s="35">
        <v>0.06</v>
      </c>
      <c r="U136" s="35">
        <v>0.06</v>
      </c>
      <c r="V136" s="35">
        <v>0.06</v>
      </c>
      <c r="W136" s="35">
        <v>0.06</v>
      </c>
      <c r="X136" s="35">
        <v>0.06</v>
      </c>
      <c r="Y136" s="35">
        <v>0.06</v>
      </c>
      <c r="Z136" s="35">
        <v>0.06</v>
      </c>
      <c r="AA136" s="35">
        <v>0.06</v>
      </c>
      <c r="AB136" s="35">
        <v>0.06</v>
      </c>
      <c r="AC136" s="35">
        <v>0.06</v>
      </c>
      <c r="AD136" s="35">
        <v>0.06</v>
      </c>
      <c r="AE136" s="35">
        <v>4.9090932876363638E-2</v>
      </c>
      <c r="AF136" s="35">
        <v>1.2727375797575755E-2</v>
      </c>
      <c r="AG136" s="35">
        <v>8.000425301204826E-8</v>
      </c>
      <c r="AH136" s="35">
        <v>1.8261807228917427E-9</v>
      </c>
      <c r="AI136" s="35">
        <v>5.4243400000000113E-10</v>
      </c>
      <c r="AJ136" s="35">
        <v>1.6830590303030328E-10</v>
      </c>
      <c r="AK136" s="35">
        <v>5.2176206060606323E-11</v>
      </c>
      <c r="AL136" s="35">
        <v>9.5282890909091133E-12</v>
      </c>
      <c r="AM136" s="35">
        <v>2.7760983358547662E-13</v>
      </c>
      <c r="AN136" s="35">
        <v>2.3535567322239058E-13</v>
      </c>
      <c r="AO136" s="35">
        <v>1.9310151285930455E-13</v>
      </c>
      <c r="AP136" s="35">
        <v>1.5084735249621851E-13</v>
      </c>
      <c r="AQ136" s="35">
        <v>1.0859319213313246E-13</v>
      </c>
      <c r="AR136" s="35">
        <v>6.6339031770046436E-14</v>
      </c>
      <c r="AS136" s="35">
        <v>2.4084871406960388E-14</v>
      </c>
      <c r="AT136" s="35">
        <v>8.4912176490242738E-28</v>
      </c>
      <c r="AU136" s="35">
        <v>1.5312586932666984E-28</v>
      </c>
      <c r="AV136" s="35">
        <v>3.5708490909091097E-33</v>
      </c>
      <c r="AW136" s="35">
        <v>0</v>
      </c>
      <c r="AX136" s="35">
        <v>0</v>
      </c>
      <c r="AY136" s="35">
        <v>0</v>
      </c>
      <c r="AZ136" s="35">
        <v>0</v>
      </c>
      <c r="BA136" s="35">
        <v>0</v>
      </c>
      <c r="BB136" s="35">
        <v>0</v>
      </c>
      <c r="BC136" s="35">
        <v>0</v>
      </c>
      <c r="BD136" s="35">
        <v>0</v>
      </c>
      <c r="BE136" s="35">
        <v>0</v>
      </c>
      <c r="BF136" s="35">
        <v>0</v>
      </c>
      <c r="BG136" s="35">
        <v>0</v>
      </c>
      <c r="BH136" s="35">
        <v>0</v>
      </c>
      <c r="BI136" s="35">
        <v>0</v>
      </c>
      <c r="BJ136" s="35">
        <v>0</v>
      </c>
      <c r="BK136" s="35">
        <v>0</v>
      </c>
      <c r="BL136" s="35">
        <v>0</v>
      </c>
      <c r="BM136" s="35">
        <v>0</v>
      </c>
      <c r="BN136" s="35">
        <v>0</v>
      </c>
      <c r="BO136" s="35">
        <v>0</v>
      </c>
      <c r="BP136" s="35">
        <v>0</v>
      </c>
      <c r="BQ136" s="35">
        <v>0</v>
      </c>
      <c r="BR136" s="35">
        <v>0</v>
      </c>
      <c r="BS136" s="35">
        <v>0</v>
      </c>
      <c r="BT136" s="35">
        <v>0</v>
      </c>
    </row>
    <row r="137" spans="1:72" ht="9.9499999999999993" customHeight="1" thickBot="1" x14ac:dyDescent="0.4">
      <c r="A137" s="87" t="s">
        <v>69</v>
      </c>
      <c r="B137" s="35">
        <v>0</v>
      </c>
      <c r="C137" s="35">
        <v>0</v>
      </c>
      <c r="D137" s="35">
        <v>0</v>
      </c>
      <c r="E137" s="35">
        <v>0</v>
      </c>
      <c r="F137" s="35">
        <v>0</v>
      </c>
      <c r="G137" s="35">
        <v>0</v>
      </c>
      <c r="H137" s="35">
        <v>0</v>
      </c>
      <c r="I137" s="35">
        <v>0</v>
      </c>
      <c r="J137" s="35">
        <v>0</v>
      </c>
      <c r="K137" s="35">
        <v>0</v>
      </c>
      <c r="L137" s="35">
        <v>0</v>
      </c>
      <c r="M137" s="35">
        <v>0</v>
      </c>
      <c r="N137" s="35">
        <v>0</v>
      </c>
      <c r="O137" s="35">
        <v>0</v>
      </c>
      <c r="P137" s="35">
        <v>0</v>
      </c>
      <c r="Q137" s="35">
        <v>0</v>
      </c>
      <c r="R137" s="35">
        <v>0</v>
      </c>
      <c r="S137" s="35">
        <v>0</v>
      </c>
      <c r="T137" s="35">
        <v>0</v>
      </c>
      <c r="U137" s="35">
        <v>0</v>
      </c>
      <c r="V137" s="35">
        <v>0</v>
      </c>
      <c r="W137" s="35">
        <v>0</v>
      </c>
      <c r="X137" s="35">
        <v>0</v>
      </c>
      <c r="Y137" s="35">
        <v>0</v>
      </c>
      <c r="Z137" s="35">
        <v>0</v>
      </c>
      <c r="AA137" s="35">
        <v>0</v>
      </c>
      <c r="AB137" s="35">
        <v>0</v>
      </c>
      <c r="AC137" s="35">
        <v>0</v>
      </c>
      <c r="AD137" s="35">
        <v>0</v>
      </c>
      <c r="AE137" s="35">
        <v>0</v>
      </c>
      <c r="AF137" s="35">
        <v>0</v>
      </c>
      <c r="AG137" s="35">
        <v>0</v>
      </c>
      <c r="AH137" s="35">
        <v>0</v>
      </c>
      <c r="AI137" s="35">
        <v>0</v>
      </c>
      <c r="AJ137" s="35">
        <v>0</v>
      </c>
      <c r="AK137" s="35">
        <v>0</v>
      </c>
      <c r="AL137" s="35">
        <v>0</v>
      </c>
      <c r="AM137" s="35">
        <v>2.7550378214824448E-30</v>
      </c>
      <c r="AN137" s="35">
        <v>7.1630983358547472E-29</v>
      </c>
      <c r="AO137" s="35">
        <v>1.4050692889561252E-28</v>
      </c>
      <c r="AP137" s="35">
        <v>2.0938287443267754E-28</v>
      </c>
      <c r="AQ137" s="35">
        <v>2.7825881996974258E-28</v>
      </c>
      <c r="AR137" s="35">
        <v>3.4713476550680758E-28</v>
      </c>
      <c r="AS137" s="35">
        <v>4.1601071104387267E-28</v>
      </c>
      <c r="AT137" s="35">
        <v>1.60460805696968E-25</v>
      </c>
      <c r="AU137" s="35">
        <v>5.3256670266666491E-25</v>
      </c>
      <c r="AV137" s="35">
        <v>1.1932039721818113E-21</v>
      </c>
      <c r="AW137" s="35">
        <v>2.5592223030302224E-20</v>
      </c>
      <c r="AX137" s="35">
        <v>2.0304470787878707E-19</v>
      </c>
      <c r="AY137" s="35">
        <v>1.1226491566265028E-18</v>
      </c>
      <c r="AZ137" s="35">
        <v>2.8462515662650666E-18</v>
      </c>
      <c r="BA137" s="35">
        <v>2.0491918787878726E-18</v>
      </c>
      <c r="BB137" s="35">
        <v>1.9476848493176289E-9</v>
      </c>
      <c r="BC137" s="35">
        <v>1.3404654545724669E-8</v>
      </c>
      <c r="BD137" s="35">
        <v>6.7965527272727701E-8</v>
      </c>
      <c r="BE137" s="35">
        <v>1.6231461818181861E-7</v>
      </c>
      <c r="BF137" s="35">
        <v>1.6013799999999992E-7</v>
      </c>
      <c r="BG137" s="35">
        <v>1.4412647503782143E-7</v>
      </c>
      <c r="BH137" s="35">
        <v>1.3020136157337362E-7</v>
      </c>
      <c r="BI137" s="35">
        <v>1.1627624810892582E-7</v>
      </c>
      <c r="BJ137" s="35">
        <v>1.0235113464447803E-7</v>
      </c>
      <c r="BK137" s="35">
        <v>8.842602118003022E-8</v>
      </c>
      <c r="BL137" s="35">
        <v>7.4500907715582414E-8</v>
      </c>
      <c r="BM137" s="35">
        <v>6.0575794251134621E-8</v>
      </c>
      <c r="BN137" s="35">
        <v>5.1006505295007552E-8</v>
      </c>
      <c r="BO137" s="35">
        <v>4.4222087745839624E-8</v>
      </c>
      <c r="BP137" s="35">
        <v>3.7437670196671701E-8</v>
      </c>
      <c r="BQ137" s="35">
        <v>3.0653252647503779E-8</v>
      </c>
      <c r="BR137" s="35">
        <v>2.386883509833585E-8</v>
      </c>
      <c r="BS137" s="35">
        <v>1.7084417549167928E-8</v>
      </c>
      <c r="BT137" s="35">
        <v>1.03E-8</v>
      </c>
    </row>
    <row r="138" spans="1:72" ht="9.9499999999999993" customHeight="1" thickBot="1" x14ac:dyDescent="0.4">
      <c r="A138" s="87" t="s">
        <v>109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0</v>
      </c>
      <c r="L138" s="35">
        <v>0</v>
      </c>
      <c r="M138" s="35">
        <v>0</v>
      </c>
      <c r="N138" s="35">
        <v>0</v>
      </c>
      <c r="O138" s="35">
        <v>0</v>
      </c>
      <c r="P138" s="35">
        <v>0</v>
      </c>
      <c r="Q138" s="35">
        <v>0</v>
      </c>
      <c r="R138" s="35">
        <v>0</v>
      </c>
      <c r="S138" s="35">
        <v>0</v>
      </c>
      <c r="T138" s="35">
        <v>5.2944727272727416E-36</v>
      </c>
      <c r="U138" s="35">
        <v>8.8651636363636231E-36</v>
      </c>
      <c r="V138" s="35">
        <v>2.7087999999999862E-36</v>
      </c>
      <c r="W138" s="35">
        <v>0</v>
      </c>
      <c r="X138" s="35">
        <v>0</v>
      </c>
      <c r="Y138" s="35">
        <v>0</v>
      </c>
      <c r="Z138" s="35">
        <v>1.6977272727272728E-33</v>
      </c>
      <c r="AA138" s="35">
        <v>8.4886363636363641E-33</v>
      </c>
      <c r="AB138" s="35">
        <v>7.1304545454545459E-33</v>
      </c>
      <c r="AC138" s="35">
        <v>3.3954545454545489E-34</v>
      </c>
      <c r="AD138" s="35">
        <v>0</v>
      </c>
      <c r="AE138" s="35">
        <v>0</v>
      </c>
      <c r="AF138" s="35">
        <v>0</v>
      </c>
      <c r="AG138" s="35">
        <v>0</v>
      </c>
      <c r="AH138" s="35">
        <v>0</v>
      </c>
      <c r="AI138" s="35">
        <v>1.6331999999999963E-22</v>
      </c>
      <c r="AJ138" s="35">
        <v>1.5822785807272624E-17</v>
      </c>
      <c r="AK138" s="35">
        <v>6.2359590534545354E-17</v>
      </c>
      <c r="AL138" s="35">
        <v>5.7227482181817999E-15</v>
      </c>
      <c r="AM138" s="35">
        <v>1.4141763993948529E-14</v>
      </c>
      <c r="AN138" s="35">
        <v>2.8235863842662596E-14</v>
      </c>
      <c r="AO138" s="35">
        <v>4.2329963691376657E-14</v>
      </c>
      <c r="AP138" s="35">
        <v>5.6424063540090717E-14</v>
      </c>
      <c r="AQ138" s="35">
        <v>7.0518163388804784E-14</v>
      </c>
      <c r="AR138" s="35">
        <v>8.4612263237518845E-14</v>
      </c>
      <c r="AS138" s="35">
        <v>9.8706363086232905E-14</v>
      </c>
      <c r="AT138" s="35">
        <v>9.6414787878787987E-14</v>
      </c>
      <c r="AU138" s="35">
        <v>7.2402666666666767E-14</v>
      </c>
      <c r="AV138" s="35">
        <v>5.7772290909090963E-14</v>
      </c>
      <c r="AW138" s="35">
        <v>4.362311530909104E-14</v>
      </c>
      <c r="AX138" s="35">
        <v>1.4985540763636493E-14</v>
      </c>
      <c r="AY138" s="35">
        <v>6.6820698801047822E-17</v>
      </c>
      <c r="AZ138" s="35">
        <v>1.0192987969896896E-17</v>
      </c>
      <c r="BA138" s="35">
        <v>1.0206484848484794E-26</v>
      </c>
      <c r="BB138" s="35">
        <v>1.2921030303030649E-18</v>
      </c>
      <c r="BC138" s="35">
        <v>8.8927090909091249E-18</v>
      </c>
      <c r="BD138" s="35">
        <v>5.5464374020000485E-13</v>
      </c>
      <c r="BE138" s="35">
        <v>1.621242200200005E-12</v>
      </c>
      <c r="BF138" s="35">
        <v>8.8363652727272273E-13</v>
      </c>
      <c r="BG138" s="35">
        <v>1.2557255521936517E-13</v>
      </c>
      <c r="BH138" s="35">
        <v>2.5080689712556781E-13</v>
      </c>
      <c r="BI138" s="35">
        <v>3.7604123903177051E-13</v>
      </c>
      <c r="BJ138" s="35">
        <v>5.0127558093797321E-13</v>
      </c>
      <c r="BK138" s="35">
        <v>6.2650992284417586E-13</v>
      </c>
      <c r="BL138" s="35">
        <v>7.517442647503785E-13</v>
      </c>
      <c r="BM138" s="35">
        <v>8.7697860665658115E-13</v>
      </c>
      <c r="BN138" s="35">
        <v>9.5533422087746159E-11</v>
      </c>
      <c r="BO138" s="35">
        <v>2.5062785173978849E-10</v>
      </c>
      <c r="BP138" s="35">
        <v>4.0572228139183084E-10</v>
      </c>
      <c r="BQ138" s="35">
        <v>5.6081671104387315E-10</v>
      </c>
      <c r="BR138" s="35">
        <v>7.159111406959155E-10</v>
      </c>
      <c r="BS138" s="35">
        <v>8.7100557034795775E-10</v>
      </c>
      <c r="BT138" s="35">
        <v>1.0261E-9</v>
      </c>
    </row>
    <row r="139" spans="1:72" ht="9.9499999999999993" customHeight="1" thickBot="1" x14ac:dyDescent="0.4">
      <c r="A139" s="87" t="s">
        <v>51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6.8959999999999348E-32</v>
      </c>
      <c r="L139" s="35">
        <v>6.436266666666661E-31</v>
      </c>
      <c r="M139" s="35">
        <v>1.220791225416035E-15</v>
      </c>
      <c r="N139" s="35">
        <v>3.8182193645990923E-15</v>
      </c>
      <c r="O139" s="35">
        <v>6.4156475037821491E-15</v>
      </c>
      <c r="P139" s="35">
        <v>9.0130756429652076E-15</v>
      </c>
      <c r="Q139" s="35">
        <v>1.1610503782148265E-14</v>
      </c>
      <c r="R139" s="35">
        <v>1.4207931921331323E-14</v>
      </c>
      <c r="S139" s="35">
        <v>1.6805360060514377E-14</v>
      </c>
      <c r="T139" s="35">
        <v>5.2789157575757681E-14</v>
      </c>
      <c r="U139" s="35">
        <v>7.4733879272727166E-14</v>
      </c>
      <c r="V139" s="35">
        <v>2.3419018666666556E-14</v>
      </c>
      <c r="W139" s="35">
        <v>5.5522618183362548E-16</v>
      </c>
      <c r="X139" s="35">
        <v>4.5844363679387359E-17</v>
      </c>
      <c r="Y139" s="35">
        <v>8.6645030120481978E-26</v>
      </c>
      <c r="Z139" s="35">
        <v>4.9325757575757591E-10</v>
      </c>
      <c r="AA139" s="35">
        <v>2.4662878787878787E-9</v>
      </c>
      <c r="AB139" s="35">
        <v>8.1269545454545451E-9</v>
      </c>
      <c r="AC139" s="35">
        <v>1.6246045454545454E-8</v>
      </c>
      <c r="AD139" s="35">
        <v>1.0867993939393937E-7</v>
      </c>
      <c r="AE139" s="35">
        <v>2.1818326219090908E-2</v>
      </c>
      <c r="AF139" s="35">
        <v>9.454549198272727E-2</v>
      </c>
      <c r="AG139" s="35">
        <v>0.12</v>
      </c>
      <c r="AH139" s="35">
        <v>0.12</v>
      </c>
      <c r="AI139" s="35">
        <v>0.12</v>
      </c>
      <c r="AJ139" s="35">
        <v>0.12</v>
      </c>
      <c r="AK139" s="35">
        <v>0.12</v>
      </c>
      <c r="AL139" s="35">
        <v>0.12</v>
      </c>
      <c r="AM139" s="35">
        <v>0.12</v>
      </c>
      <c r="AN139" s="35">
        <v>0.12</v>
      </c>
      <c r="AO139" s="35">
        <v>0.12</v>
      </c>
      <c r="AP139" s="35">
        <v>0.12</v>
      </c>
      <c r="AQ139" s="35">
        <v>0.12</v>
      </c>
      <c r="AR139" s="35">
        <v>0.12</v>
      </c>
      <c r="AS139" s="35">
        <v>0.12</v>
      </c>
      <c r="AT139" s="35">
        <v>0.12</v>
      </c>
      <c r="AU139" s="35">
        <v>0.12</v>
      </c>
      <c r="AV139" s="35">
        <v>0.12</v>
      </c>
      <c r="AW139" s="35">
        <v>0.12</v>
      </c>
      <c r="AX139" s="35">
        <v>0.12</v>
      </c>
      <c r="AY139" s="35">
        <v>0.12</v>
      </c>
      <c r="AZ139" s="35">
        <v>0.12</v>
      </c>
      <c r="BA139" s="35">
        <v>6.3355244848484538E-2</v>
      </c>
      <c r="BB139" s="35">
        <v>5.3994897438787715E-3</v>
      </c>
      <c r="BC139" s="35">
        <v>1.751194119636347E-3</v>
      </c>
      <c r="BD139" s="35">
        <v>8.3758848727272395E-9</v>
      </c>
      <c r="BE139" s="35">
        <v>9.833557818181488E-10</v>
      </c>
      <c r="BF139" s="35">
        <v>1.055458276389812E-11</v>
      </c>
      <c r="BG139" s="35">
        <v>1.7339037821482589E-18</v>
      </c>
      <c r="BH139" s="35">
        <v>1.4625573373676236E-18</v>
      </c>
      <c r="BI139" s="35">
        <v>1.1912108925869884E-18</v>
      </c>
      <c r="BJ139" s="35">
        <v>9.1986444780635308E-19</v>
      </c>
      <c r="BK139" s="35">
        <v>6.4851800302571773E-19</v>
      </c>
      <c r="BL139" s="35">
        <v>3.7717155824508257E-19</v>
      </c>
      <c r="BM139" s="35">
        <v>1.0582511346444722E-19</v>
      </c>
      <c r="BN139" s="35">
        <v>0</v>
      </c>
      <c r="BO139" s="35">
        <v>0</v>
      </c>
      <c r="BP139" s="35">
        <v>0</v>
      </c>
      <c r="BQ139" s="35">
        <v>0</v>
      </c>
      <c r="BR139" s="35">
        <v>0</v>
      </c>
      <c r="BS139" s="35">
        <v>0</v>
      </c>
      <c r="BT139" s="35">
        <v>0</v>
      </c>
    </row>
    <row r="140" spans="1:72" ht="9.9499999999999993" customHeight="1" thickBot="1" x14ac:dyDescent="0.4">
      <c r="A140" s="87" t="s">
        <v>78</v>
      </c>
      <c r="B140" s="35">
        <v>0.1</v>
      </c>
      <c r="C140" s="35">
        <v>0.1</v>
      </c>
      <c r="D140" s="35">
        <v>0.1</v>
      </c>
      <c r="E140" s="35">
        <v>0.14424242424242431</v>
      </c>
      <c r="F140" s="35">
        <v>0.1951515151515151</v>
      </c>
      <c r="G140" s="35">
        <v>0.13454545454545447</v>
      </c>
      <c r="H140" s="35">
        <v>0.12590361445783138</v>
      </c>
      <c r="I140" s="35">
        <v>0.18614457831325298</v>
      </c>
      <c r="J140" s="35">
        <v>0.2</v>
      </c>
      <c r="K140" s="35">
        <v>0.2</v>
      </c>
      <c r="L140" s="35">
        <v>0.2</v>
      </c>
      <c r="M140" s="35">
        <v>0.2</v>
      </c>
      <c r="N140" s="35">
        <v>0.2</v>
      </c>
      <c r="O140" s="35">
        <v>0.2</v>
      </c>
      <c r="P140" s="35">
        <v>0.2</v>
      </c>
      <c r="Q140" s="35">
        <v>0.2</v>
      </c>
      <c r="R140" s="35">
        <v>0.2</v>
      </c>
      <c r="S140" s="35">
        <v>0.2</v>
      </c>
      <c r="T140" s="35">
        <v>0.2</v>
      </c>
      <c r="U140" s="35">
        <v>0.2</v>
      </c>
      <c r="V140" s="35">
        <v>0.2</v>
      </c>
      <c r="W140" s="35">
        <v>0.2</v>
      </c>
      <c r="X140" s="35">
        <v>0.2</v>
      </c>
      <c r="Y140" s="35">
        <v>0.16073295180722888</v>
      </c>
      <c r="Z140" s="35">
        <v>0.1166019696969697</v>
      </c>
      <c r="AA140" s="35">
        <v>6.9529848484848472E-2</v>
      </c>
      <c r="AB140" s="35">
        <v>4.1044272727272728E-2</v>
      </c>
      <c r="AC140" s="35">
        <v>2.4949727272727273E-2</v>
      </c>
      <c r="AD140" s="35">
        <v>1.7453545454545454E-2</v>
      </c>
      <c r="AE140" s="35">
        <v>1.1488418181818182E-2</v>
      </c>
      <c r="AF140" s="35">
        <v>8.0398121212121205E-3</v>
      </c>
      <c r="AG140" s="35">
        <v>5.6697698795180737E-3</v>
      </c>
      <c r="AH140" s="35">
        <v>3.8804927710843411E-3</v>
      </c>
      <c r="AI140" s="35">
        <v>2.8918600000000022E-3</v>
      </c>
      <c r="AJ140" s="35">
        <v>2.0572260606060619E-3</v>
      </c>
      <c r="AK140" s="35">
        <v>1.5058321212121225E-3</v>
      </c>
      <c r="AL140" s="35">
        <v>1.1154423636363644E-3</v>
      </c>
      <c r="AM140" s="35">
        <v>8.0599357034795785E-4</v>
      </c>
      <c r="AN140" s="35">
        <v>7.030828290468989E-4</v>
      </c>
      <c r="AO140" s="35">
        <v>6.0017208774583994E-4</v>
      </c>
      <c r="AP140" s="35">
        <v>4.9726134644478099E-4</v>
      </c>
      <c r="AQ140" s="35">
        <v>3.9435060514372204E-4</v>
      </c>
      <c r="AR140" s="35">
        <v>2.9143986384266309E-4</v>
      </c>
      <c r="AS140" s="35">
        <v>1.8852912254160414E-4</v>
      </c>
      <c r="AT140" s="35">
        <v>1.1822247272727285E-4</v>
      </c>
      <c r="AU140" s="35">
        <v>9.1135200000000123E-5</v>
      </c>
      <c r="AV140" s="35">
        <v>7.1649854545454626E-5</v>
      </c>
      <c r="AW140" s="35">
        <v>5.510077575757581E-5</v>
      </c>
      <c r="AX140" s="35">
        <v>4.3852896969697017E-5</v>
      </c>
      <c r="AY140" s="35">
        <v>3.4480626506024111E-5</v>
      </c>
      <c r="AZ140" s="35">
        <v>2.7140265060240938E-5</v>
      </c>
      <c r="BA140" s="35">
        <v>2.1796527272727249E-5</v>
      </c>
      <c r="BB140" s="35">
        <v>1.7164721212121196E-5</v>
      </c>
      <c r="BC140" s="35">
        <v>1.3868963636363621E-5</v>
      </c>
      <c r="BD140" s="35">
        <v>1.112427999999999E-5</v>
      </c>
      <c r="BE140" s="35">
        <v>8.8882799999999894E-6</v>
      </c>
      <c r="BF140" s="35">
        <v>7.2644436363636293E-6</v>
      </c>
      <c r="BG140" s="35">
        <v>5.9215004538577884E-6</v>
      </c>
      <c r="BH140" s="35">
        <v>5.2501388804841127E-6</v>
      </c>
      <c r="BI140" s="35">
        <v>4.5787773071104362E-6</v>
      </c>
      <c r="BJ140" s="35">
        <v>3.9074157337367605E-6</v>
      </c>
      <c r="BK140" s="35">
        <v>3.2360541603630845E-6</v>
      </c>
      <c r="BL140" s="35">
        <v>2.5646925869894088E-6</v>
      </c>
      <c r="BM140" s="35">
        <v>1.8933310136157327E-6</v>
      </c>
      <c r="BN140" s="35">
        <v>1.5260752042360058E-6</v>
      </c>
      <c r="BO140" s="35">
        <v>1.3532476701966712E-6</v>
      </c>
      <c r="BP140" s="35">
        <v>1.1804201361573372E-6</v>
      </c>
      <c r="BQ140" s="35">
        <v>1.0075926021180026E-6</v>
      </c>
      <c r="BR140" s="35">
        <v>8.3476506807866846E-7</v>
      </c>
      <c r="BS140" s="35">
        <v>6.6193753403933405E-7</v>
      </c>
      <c r="BT140" s="35">
        <v>4.8910999999999975E-7</v>
      </c>
    </row>
    <row r="141" spans="1:72" ht="9.9499999999999993" customHeight="1" thickBot="1" x14ac:dyDescent="0.4">
      <c r="A141" s="87" t="s">
        <v>90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9.5507413010589832E-33</v>
      </c>
      <c r="N141" s="35">
        <v>2.9871467473524958E-32</v>
      </c>
      <c r="O141" s="35">
        <v>5.0192193645990931E-32</v>
      </c>
      <c r="P141" s="35">
        <v>7.0512919818456905E-32</v>
      </c>
      <c r="Q141" s="35">
        <v>9.0833645990922867E-32</v>
      </c>
      <c r="R141" s="35">
        <v>1.1115437216338885E-31</v>
      </c>
      <c r="S141" s="35">
        <v>1.3147509833585481E-31</v>
      </c>
      <c r="T141" s="35">
        <v>8.2535956363636569E-30</v>
      </c>
      <c r="U141" s="35">
        <v>1.8873774545454732E-28</v>
      </c>
      <c r="V141" s="35">
        <v>1.0126698666666684E-27</v>
      </c>
      <c r="W141" s="35">
        <v>3.2310550303030424E-26</v>
      </c>
      <c r="X141" s="35">
        <v>8.7552247272727394E-26</v>
      </c>
      <c r="Y141" s="35">
        <v>2.2468536144578337E-24</v>
      </c>
      <c r="Z141" s="35">
        <v>2.3228096969696969E-23</v>
      </c>
      <c r="AA141" s="35">
        <v>1.0005088484848485E-22</v>
      </c>
      <c r="AB141" s="35">
        <v>1.5659872727272728E-21</v>
      </c>
      <c r="AC141" s="35">
        <v>3.9579993939393937E-21</v>
      </c>
      <c r="AD141" s="35">
        <v>6.6364436363636374E-20</v>
      </c>
      <c r="AE141" s="35">
        <v>4.9859454545454542E-19</v>
      </c>
      <c r="AF141" s="35">
        <v>1.7863763636363633E-18</v>
      </c>
      <c r="AG141" s="35">
        <v>1.0513596987951796E-17</v>
      </c>
      <c r="AH141" s="35">
        <v>2.3246669277108405E-17</v>
      </c>
      <c r="AI141" s="35">
        <v>1.4064759999999972E-16</v>
      </c>
      <c r="AJ141" s="35">
        <v>5.5412563636363412E-16</v>
      </c>
      <c r="AK141" s="35">
        <v>1.5402892727272706E-15</v>
      </c>
      <c r="AL141" s="35">
        <v>6.9791818181818014E-15</v>
      </c>
      <c r="AM141" s="35">
        <v>1.3819893645990212E-13</v>
      </c>
      <c r="AN141" s="35">
        <v>3.2401473479576319E-12</v>
      </c>
      <c r="AO141" s="35">
        <v>6.3420957594553616E-12</v>
      </c>
      <c r="AP141" s="35">
        <v>9.444044170953091E-12</v>
      </c>
      <c r="AQ141" s="35">
        <v>1.254599258245082E-11</v>
      </c>
      <c r="AR141" s="35">
        <v>1.564794099394855E-11</v>
      </c>
      <c r="AS141" s="35">
        <v>1.8749889405446281E-11</v>
      </c>
      <c r="AT141" s="35">
        <v>4.2544945454545221E-11</v>
      </c>
      <c r="AU141" s="35">
        <v>9.3770399999999769E-11</v>
      </c>
      <c r="AV141" s="35">
        <v>2.9345963636363528E-10</v>
      </c>
      <c r="AW141" s="35">
        <v>6.4285236363635874E-10</v>
      </c>
      <c r="AX141" s="35">
        <v>1.7138705454545405E-9</v>
      </c>
      <c r="AY141" s="35">
        <v>4.4087662650602333E-9</v>
      </c>
      <c r="AZ141" s="35">
        <v>8.8628626506024271E-9</v>
      </c>
      <c r="BA141" s="35">
        <v>2.3663441212121293E-8</v>
      </c>
      <c r="BB141" s="35">
        <v>3.7801987878787877E-8</v>
      </c>
      <c r="BC141" s="35">
        <v>3.7619563636363636E-8</v>
      </c>
      <c r="BD141" s="35">
        <v>3.7319272727272725E-8</v>
      </c>
      <c r="BE141" s="35">
        <v>3.6910181818181813E-8</v>
      </c>
      <c r="BF141" s="35">
        <v>3.6275945454545447E-8</v>
      </c>
      <c r="BG141" s="35">
        <v>3.5497257186081686E-8</v>
      </c>
      <c r="BH141" s="35">
        <v>3.4325698940998483E-8</v>
      </c>
      <c r="BI141" s="35">
        <v>3.3154140695915273E-8</v>
      </c>
      <c r="BJ141" s="35">
        <v>3.1982582450832064E-8</v>
      </c>
      <c r="BK141" s="35">
        <v>3.081102420574886E-8</v>
      </c>
      <c r="BL141" s="35">
        <v>2.9639465960665654E-8</v>
      </c>
      <c r="BM141" s="35">
        <v>2.8467907715582447E-8</v>
      </c>
      <c r="BN141" s="35">
        <v>2.7061577912254155E-8</v>
      </c>
      <c r="BO141" s="35">
        <v>2.5505148260211797E-8</v>
      </c>
      <c r="BP141" s="35">
        <v>2.3948718608169435E-8</v>
      </c>
      <c r="BQ141" s="35">
        <v>2.2392288956127077E-8</v>
      </c>
      <c r="BR141" s="35">
        <v>2.0835859304084716E-8</v>
      </c>
      <c r="BS141" s="35">
        <v>1.9279429652042358E-8</v>
      </c>
      <c r="BT141" s="35">
        <v>1.7722999999999999E-8</v>
      </c>
    </row>
    <row r="142" spans="1:72" ht="9.9499999999999993" customHeight="1" thickBot="1" x14ac:dyDescent="0.4">
      <c r="A142" s="87" t="s">
        <v>1</v>
      </c>
      <c r="B142" s="35">
        <v>0.2</v>
      </c>
      <c r="C142" s="35">
        <v>0.2</v>
      </c>
      <c r="D142" s="35">
        <v>0.2</v>
      </c>
      <c r="E142" s="35">
        <v>0.2</v>
      </c>
      <c r="F142" s="35">
        <v>0.2</v>
      </c>
      <c r="G142" s="35">
        <v>0.2</v>
      </c>
      <c r="H142" s="35">
        <v>0.2</v>
      </c>
      <c r="I142" s="35">
        <v>0.2</v>
      </c>
      <c r="J142" s="35">
        <v>0.2</v>
      </c>
      <c r="K142" s="35">
        <v>0.2</v>
      </c>
      <c r="L142" s="35">
        <v>0.2</v>
      </c>
      <c r="M142" s="35">
        <v>0.2</v>
      </c>
      <c r="N142" s="35">
        <v>0.2</v>
      </c>
      <c r="O142" s="35">
        <v>0.2</v>
      </c>
      <c r="P142" s="35">
        <v>0.2</v>
      </c>
      <c r="Q142" s="35">
        <v>0.2</v>
      </c>
      <c r="R142" s="35">
        <v>0.2</v>
      </c>
      <c r="S142" s="35">
        <v>0.2</v>
      </c>
      <c r="T142" s="35">
        <v>0.2</v>
      </c>
      <c r="U142" s="35">
        <v>0.2</v>
      </c>
      <c r="V142" s="35">
        <v>0.2</v>
      </c>
      <c r="W142" s="35">
        <v>0.2</v>
      </c>
      <c r="X142" s="35">
        <v>0.2</v>
      </c>
      <c r="Y142" s="35">
        <v>0.2</v>
      </c>
      <c r="Z142" s="35">
        <v>0.2</v>
      </c>
      <c r="AA142" s="35">
        <v>0.2</v>
      </c>
      <c r="AB142" s="35">
        <v>0.2</v>
      </c>
      <c r="AC142" s="35">
        <v>0.2</v>
      </c>
      <c r="AD142" s="35">
        <v>0.2</v>
      </c>
      <c r="AE142" s="35">
        <v>0.2</v>
      </c>
      <c r="AF142" s="35">
        <v>0.2</v>
      </c>
      <c r="AG142" s="35">
        <v>0.2</v>
      </c>
      <c r="AH142" s="35">
        <v>0.2</v>
      </c>
      <c r="AI142" s="35">
        <v>0.2</v>
      </c>
      <c r="AJ142" s="35">
        <v>0.2</v>
      </c>
      <c r="AK142" s="35">
        <v>0.2</v>
      </c>
      <c r="AL142" s="35">
        <v>0.2</v>
      </c>
      <c r="AM142" s="35">
        <v>0.2</v>
      </c>
      <c r="AN142" s="35">
        <v>0.2</v>
      </c>
      <c r="AO142" s="35">
        <v>0.2</v>
      </c>
      <c r="AP142" s="35">
        <v>0.2</v>
      </c>
      <c r="AQ142" s="35">
        <v>0.2</v>
      </c>
      <c r="AR142" s="35">
        <v>0.2</v>
      </c>
      <c r="AS142" s="35">
        <v>0.2</v>
      </c>
      <c r="AT142" s="35">
        <v>0.2</v>
      </c>
      <c r="AU142" s="35">
        <v>0.2</v>
      </c>
      <c r="AV142" s="35">
        <v>0.2</v>
      </c>
      <c r="AW142" s="35">
        <v>0.2</v>
      </c>
      <c r="AX142" s="35">
        <v>0.2</v>
      </c>
      <c r="AY142" s="35">
        <v>0.2</v>
      </c>
      <c r="AZ142" s="35">
        <v>0.2</v>
      </c>
      <c r="BA142" s="35">
        <v>0.2</v>
      </c>
      <c r="BB142" s="35">
        <v>0.2</v>
      </c>
      <c r="BC142" s="35">
        <v>0.2</v>
      </c>
      <c r="BD142" s="35">
        <v>0.2</v>
      </c>
      <c r="BE142" s="35">
        <v>0.2</v>
      </c>
      <c r="BF142" s="35">
        <v>0.2</v>
      </c>
      <c r="BG142" s="35">
        <v>0.2</v>
      </c>
      <c r="BH142" s="35">
        <v>0.2</v>
      </c>
      <c r="BI142" s="35">
        <v>0.2</v>
      </c>
      <c r="BJ142" s="35">
        <v>0.2</v>
      </c>
      <c r="BK142" s="35">
        <v>0.2</v>
      </c>
      <c r="BL142" s="35">
        <v>0.2</v>
      </c>
      <c r="BM142" s="35">
        <v>0.2</v>
      </c>
      <c r="BN142" s="35">
        <v>0.2</v>
      </c>
      <c r="BO142" s="35">
        <v>0.2</v>
      </c>
      <c r="BP142" s="35">
        <v>0.2</v>
      </c>
      <c r="BQ142" s="35">
        <v>0.2</v>
      </c>
      <c r="BR142" s="35">
        <v>0.2</v>
      </c>
      <c r="BS142" s="35">
        <v>0.2</v>
      </c>
      <c r="BT142" s="35">
        <v>0.2</v>
      </c>
    </row>
    <row r="143" spans="1:72" ht="9.9499999999999993" customHeight="1" thickBot="1" x14ac:dyDescent="0.4">
      <c r="A143" s="87" t="s">
        <v>115</v>
      </c>
      <c r="B143" s="35">
        <v>0</v>
      </c>
      <c r="C143" s="35">
        <v>0</v>
      </c>
      <c r="D143" s="35">
        <v>0</v>
      </c>
      <c r="E143" s="35">
        <v>0</v>
      </c>
      <c r="F143" s="35">
        <v>0</v>
      </c>
      <c r="G143" s="35">
        <v>0</v>
      </c>
      <c r="H143" s="35">
        <v>0</v>
      </c>
      <c r="I143" s="35">
        <v>0</v>
      </c>
      <c r="J143" s="35">
        <v>0</v>
      </c>
      <c r="K143" s="35">
        <v>0</v>
      </c>
      <c r="L143" s="35">
        <v>0</v>
      </c>
      <c r="M143" s="35">
        <v>1.8632904689863807E-25</v>
      </c>
      <c r="N143" s="35">
        <v>5.8277382753403916E-25</v>
      </c>
      <c r="O143" s="35">
        <v>9.792186081694404E-25</v>
      </c>
      <c r="P143" s="35">
        <v>1.3756633888048414E-24</v>
      </c>
      <c r="Q143" s="35">
        <v>1.7721081694402427E-24</v>
      </c>
      <c r="R143" s="35">
        <v>2.1685529500756437E-24</v>
      </c>
      <c r="S143" s="35">
        <v>2.5649977307110448E-24</v>
      </c>
      <c r="T143" s="35">
        <v>3.6757460606060632E-24</v>
      </c>
      <c r="U143" s="35">
        <v>4.0539986627272663E-24</v>
      </c>
      <c r="V143" s="35">
        <v>1.2392303899999936E-24</v>
      </c>
      <c r="W143" s="35">
        <v>4.8379484848484745E-28</v>
      </c>
      <c r="X143" s="35">
        <v>3.9946363636362711E-29</v>
      </c>
      <c r="Y143" s="35">
        <v>0</v>
      </c>
      <c r="Z143" s="35">
        <v>3.2257575757575757E-28</v>
      </c>
      <c r="AA143" s="35">
        <v>1.6128787878787878E-27</v>
      </c>
      <c r="AB143" s="35">
        <v>1.3548181818181819E-27</v>
      </c>
      <c r="AC143" s="35">
        <v>6.4515151515151569E-29</v>
      </c>
      <c r="AD143" s="35">
        <v>0</v>
      </c>
      <c r="AE143" s="35">
        <v>0</v>
      </c>
      <c r="AF143" s="35">
        <v>0</v>
      </c>
      <c r="AG143" s="35">
        <v>9.1289759036144448E-37</v>
      </c>
      <c r="AH143" s="35">
        <v>2.3173554216867436E-36</v>
      </c>
      <c r="AI143" s="35">
        <v>3.2962200000000021E-22</v>
      </c>
      <c r="AJ143" s="35">
        <v>2.2772193742242269E-17</v>
      </c>
      <c r="AK143" s="35">
        <v>8.9747618366484684E-17</v>
      </c>
      <c r="AL143" s="35">
        <v>8.9761694545454262E-15</v>
      </c>
      <c r="AM143" s="35">
        <v>4.0751175491678158E-14</v>
      </c>
      <c r="AN143" s="35">
        <v>5.2675556278365987E-13</v>
      </c>
      <c r="AO143" s="35">
        <v>1.0127599500756416E-12</v>
      </c>
      <c r="AP143" s="35">
        <v>1.4987643373676233E-12</v>
      </c>
      <c r="AQ143" s="35">
        <v>1.9847687246596046E-12</v>
      </c>
      <c r="AR143" s="35">
        <v>2.4707731119515863E-12</v>
      </c>
      <c r="AS143" s="35">
        <v>2.956777499243568E-12</v>
      </c>
      <c r="AT143" s="35">
        <v>7.2419733333332905E-12</v>
      </c>
      <c r="AU143" s="35">
        <v>1.6563306666666623E-11</v>
      </c>
      <c r="AV143" s="35">
        <v>2.2181865454545337E-10</v>
      </c>
      <c r="AW143" s="35">
        <v>6.1990690909090314E-10</v>
      </c>
      <c r="AX143" s="35">
        <v>1.9386523636363578E-9</v>
      </c>
      <c r="AY143" s="35">
        <v>6.7913204819276949E-9</v>
      </c>
      <c r="AZ143" s="35">
        <v>1.5472404819277141E-8</v>
      </c>
      <c r="BA143" s="35">
        <v>5.6644614629727592E-2</v>
      </c>
      <c r="BB143" s="35">
        <v>0.11460024242424244</v>
      </c>
      <c r="BC143" s="35">
        <v>0.11824872727272728</v>
      </c>
      <c r="BD143" s="35">
        <v>0.12</v>
      </c>
      <c r="BE143" s="35">
        <v>0.12</v>
      </c>
      <c r="BF143" s="35">
        <v>0.12</v>
      </c>
      <c r="BG143" s="35">
        <v>0.12</v>
      </c>
      <c r="BH143" s="35">
        <v>0.12</v>
      </c>
      <c r="BI143" s="35">
        <v>0.12</v>
      </c>
      <c r="BJ143" s="35">
        <v>0.12</v>
      </c>
      <c r="BK143" s="35">
        <v>0.12</v>
      </c>
      <c r="BL143" s="35">
        <v>0.12</v>
      </c>
      <c r="BM143" s="35">
        <v>0.12</v>
      </c>
      <c r="BN143" s="35">
        <v>0.12</v>
      </c>
      <c r="BO143" s="35">
        <v>0.12</v>
      </c>
      <c r="BP143" s="35">
        <v>0.12</v>
      </c>
      <c r="BQ143" s="35">
        <v>0.12</v>
      </c>
      <c r="BR143" s="35">
        <v>0.12</v>
      </c>
      <c r="BS143" s="35">
        <v>0.12</v>
      </c>
      <c r="BT143" s="35">
        <v>0.12</v>
      </c>
    </row>
    <row r="144" spans="1:72" ht="9.9499999999999993" customHeight="1" thickBot="1" x14ac:dyDescent="0.4">
      <c r="A144" s="87" t="s">
        <v>108</v>
      </c>
      <c r="B144" s="35">
        <v>1.4596303030303005E-31</v>
      </c>
      <c r="C144" s="35">
        <v>0</v>
      </c>
      <c r="D144" s="35">
        <v>0</v>
      </c>
      <c r="E144" s="35">
        <v>0</v>
      </c>
      <c r="F144" s="35">
        <v>0</v>
      </c>
      <c r="G144" s="35">
        <v>0</v>
      </c>
      <c r="H144" s="35">
        <v>0</v>
      </c>
      <c r="I144" s="35">
        <v>0</v>
      </c>
      <c r="J144" s="35">
        <v>0</v>
      </c>
      <c r="K144" s="35">
        <v>1.6505454545454388E-26</v>
      </c>
      <c r="L144" s="35">
        <v>1.5405090909090892E-25</v>
      </c>
      <c r="M144" s="35">
        <v>4.9621618780536559E-16</v>
      </c>
      <c r="N144" s="35">
        <v>1.5519953103126355E-15</v>
      </c>
      <c r="O144" s="35">
        <v>2.6077744328199057E-15</v>
      </c>
      <c r="P144" s="35">
        <v>3.6635535553271748E-15</v>
      </c>
      <c r="Q144" s="35">
        <v>4.7193326778344455E-15</v>
      </c>
      <c r="R144" s="35">
        <v>5.7751118003417154E-15</v>
      </c>
      <c r="S144" s="35">
        <v>6.8308909228489852E-15</v>
      </c>
      <c r="T144" s="35">
        <v>4.2565654545454478E-15</v>
      </c>
      <c r="U144" s="35">
        <v>1.532514679454543E-15</v>
      </c>
      <c r="V144" s="35">
        <v>4.6829886733333079E-16</v>
      </c>
      <c r="W144" s="35">
        <v>2.9007212121212059E-20</v>
      </c>
      <c r="X144" s="35">
        <v>2.395090909090851E-21</v>
      </c>
      <c r="Y144" s="35">
        <v>0</v>
      </c>
      <c r="Z144" s="35">
        <v>5.5165151515151514E-23</v>
      </c>
      <c r="AA144" s="35">
        <v>2.7582575757575757E-22</v>
      </c>
      <c r="AB144" s="35">
        <v>2.3169363636393543E-22</v>
      </c>
      <c r="AC144" s="35">
        <v>1.1033030303827786E-23</v>
      </c>
      <c r="AD144" s="35">
        <v>3.4890121212121208E-34</v>
      </c>
      <c r="AE144" s="35">
        <v>0</v>
      </c>
      <c r="AF144" s="35">
        <v>0</v>
      </c>
      <c r="AG144" s="35">
        <v>8.7565963855421565E-35</v>
      </c>
      <c r="AH144" s="35">
        <v>2.222828313253009E-34</v>
      </c>
      <c r="AI144" s="35">
        <v>7.4664000000000723E-21</v>
      </c>
      <c r="AJ144" s="35">
        <v>1.2916248584242339E-16</v>
      </c>
      <c r="AK144" s="35">
        <v>5.0901555008484756E-16</v>
      </c>
      <c r="AL144" s="35">
        <v>1.3727666181818139E-14</v>
      </c>
      <c r="AM144" s="35">
        <v>3.1991968229954611E-14</v>
      </c>
      <c r="AN144" s="35">
        <v>3.2916173978819969E-14</v>
      </c>
      <c r="AO144" s="35">
        <v>3.3840379727685321E-14</v>
      </c>
      <c r="AP144" s="35">
        <v>3.476458547655068E-14</v>
      </c>
      <c r="AQ144" s="35">
        <v>3.5688791225416032E-14</v>
      </c>
      <c r="AR144" s="35">
        <v>3.6612996974281384E-14</v>
      </c>
      <c r="AS144" s="35">
        <v>3.7537202723146743E-14</v>
      </c>
      <c r="AT144" s="35">
        <v>4.6995230303030203E-14</v>
      </c>
      <c r="AU144" s="35">
        <v>6.7765533333333239E-14</v>
      </c>
      <c r="AV144" s="35">
        <v>3.2020245454545313E-13</v>
      </c>
      <c r="AW144" s="35">
        <v>6.4712024242424073E-13</v>
      </c>
      <c r="AX144" s="35">
        <v>1.0351990303030286E-12</v>
      </c>
      <c r="AY144" s="35">
        <v>1.7286240963855403E-12</v>
      </c>
      <c r="AZ144" s="35">
        <v>2.7528409638554255E-12</v>
      </c>
      <c r="BA144" s="35">
        <v>3.7380087502278999E-6</v>
      </c>
      <c r="BB144" s="35">
        <v>7.3685587878787837E-6</v>
      </c>
      <c r="BC144" s="35">
        <v>6.4683163636363595E-6</v>
      </c>
      <c r="BD144" s="35">
        <v>5.595838787878784E-6</v>
      </c>
      <c r="BE144" s="35">
        <v>4.7489903030302991E-6</v>
      </c>
      <c r="BF144" s="35">
        <v>4.0893763636363607E-6</v>
      </c>
      <c r="BG144" s="35">
        <v>3.5241832072617228E-6</v>
      </c>
      <c r="BH144" s="35">
        <v>3.1945614220877445E-6</v>
      </c>
      <c r="BI144" s="35">
        <v>2.8649396369137657E-6</v>
      </c>
      <c r="BJ144" s="35">
        <v>2.5353178517397873E-6</v>
      </c>
      <c r="BK144" s="35">
        <v>2.2056960665658085E-6</v>
      </c>
      <c r="BL144" s="35">
        <v>1.8760742813918297E-6</v>
      </c>
      <c r="BM144" s="35">
        <v>1.5464524962178509E-6</v>
      </c>
      <c r="BN144" s="35">
        <v>1.3465604538577911E-6</v>
      </c>
      <c r="BO144" s="35">
        <v>1.2296103782148258E-6</v>
      </c>
      <c r="BP144" s="35">
        <v>1.1126603025718607E-6</v>
      </c>
      <c r="BQ144" s="35">
        <v>9.9571022692889539E-7</v>
      </c>
      <c r="BR144" s="35">
        <v>8.787601512859303E-7</v>
      </c>
      <c r="BS144" s="35">
        <v>7.6181007564296521E-7</v>
      </c>
      <c r="BT144" s="35">
        <v>6.4486000000000002E-7</v>
      </c>
    </row>
    <row r="145" spans="1:72" ht="9.9499999999999993" customHeight="1" thickBot="1" x14ac:dyDescent="0.4">
      <c r="A145" s="87" t="s">
        <v>97</v>
      </c>
      <c r="B145" s="35">
        <v>0</v>
      </c>
      <c r="C145" s="35">
        <v>0</v>
      </c>
      <c r="D145" s="35">
        <v>0</v>
      </c>
      <c r="E145" s="35">
        <v>0</v>
      </c>
      <c r="F145" s="35">
        <v>0</v>
      </c>
      <c r="G145" s="35">
        <v>0</v>
      </c>
      <c r="H145" s="35">
        <v>0</v>
      </c>
      <c r="I145" s="35">
        <v>0</v>
      </c>
      <c r="J145" s="35">
        <v>0</v>
      </c>
      <c r="K145" s="35">
        <v>1.7662545454545287E-30</v>
      </c>
      <c r="L145" s="35">
        <v>1.6485042424242405E-29</v>
      </c>
      <c r="M145" s="35">
        <v>4.0604871407184669E-18</v>
      </c>
      <c r="N145" s="35">
        <v>1.2699821482621E-17</v>
      </c>
      <c r="O145" s="35">
        <v>2.1339155824523532E-17</v>
      </c>
      <c r="P145" s="35">
        <v>2.9978490166426068E-17</v>
      </c>
      <c r="Q145" s="35">
        <v>3.8617824508328602E-17</v>
      </c>
      <c r="R145" s="35">
        <v>4.7257158850231135E-17</v>
      </c>
      <c r="S145" s="35">
        <v>5.5896493192133662E-17</v>
      </c>
      <c r="T145" s="35">
        <v>4.6308569696969665E-17</v>
      </c>
      <c r="U145" s="35">
        <v>3.17588243345454E-17</v>
      </c>
      <c r="V145" s="35">
        <v>9.7056068799999519E-18</v>
      </c>
      <c r="W145" s="35">
        <v>1.447519999999997E-21</v>
      </c>
      <c r="X145" s="35">
        <v>1.1951999999999688E-22</v>
      </c>
      <c r="Y145" s="35">
        <v>0</v>
      </c>
      <c r="Z145" s="35">
        <v>2.9669696969696969E-23</v>
      </c>
      <c r="AA145" s="35">
        <v>1.4834848484848484E-22</v>
      </c>
      <c r="AB145" s="35">
        <v>1.2461272727305709E-22</v>
      </c>
      <c r="AC145" s="35">
        <v>5.9339393948188986E-24</v>
      </c>
      <c r="AD145" s="35">
        <v>3.8478363636363633E-34</v>
      </c>
      <c r="AE145" s="35">
        <v>0</v>
      </c>
      <c r="AF145" s="35">
        <v>0</v>
      </c>
      <c r="AG145" s="35">
        <v>6.9299397590361347E-34</v>
      </c>
      <c r="AH145" s="35">
        <v>1.759138554216865E-33</v>
      </c>
      <c r="AI145" s="35">
        <v>1.0801800000000046E-19</v>
      </c>
      <c r="AJ145" s="35">
        <v>3.3362641450302808E-15</v>
      </c>
      <c r="AK145" s="35">
        <v>1.3148276248060585E-14</v>
      </c>
      <c r="AL145" s="35">
        <v>6.1235418181817978E-13</v>
      </c>
      <c r="AM145" s="35">
        <v>1.512996369137666E-12</v>
      </c>
      <c r="AN145" s="35">
        <v>3.2929055975794202E-12</v>
      </c>
      <c r="AO145" s="35">
        <v>5.0728148260211751E-12</v>
      </c>
      <c r="AP145" s="35">
        <v>6.8527240544629292E-12</v>
      </c>
      <c r="AQ145" s="35">
        <v>8.6326332829046842E-12</v>
      </c>
      <c r="AR145" s="35">
        <v>1.0412542511346438E-11</v>
      </c>
      <c r="AS145" s="35">
        <v>1.2192451739788192E-11</v>
      </c>
      <c r="AT145" s="35">
        <v>2.0211309090909017E-11</v>
      </c>
      <c r="AU145" s="35">
        <v>3.650039999999993E-11</v>
      </c>
      <c r="AV145" s="35">
        <v>2.6713301818181689E-10</v>
      </c>
      <c r="AW145" s="35">
        <v>6.1132642424242105E-10</v>
      </c>
      <c r="AX145" s="35">
        <v>1.3109143030302998E-9</v>
      </c>
      <c r="AY145" s="35">
        <v>2.9523963855421637E-9</v>
      </c>
      <c r="AZ145" s="35">
        <v>5.6142638554216962E-9</v>
      </c>
      <c r="BA145" s="35">
        <v>1.1735942459104308E-2</v>
      </c>
      <c r="BB145" s="35">
        <v>2.4104290909090921E-2</v>
      </c>
      <c r="BC145" s="35">
        <v>2.6982472727272742E-2</v>
      </c>
      <c r="BD145" s="35">
        <v>2.9593406060606071E-2</v>
      </c>
      <c r="BE145" s="35">
        <v>3.19576484848485E-2</v>
      </c>
      <c r="BF145" s="35">
        <v>3.4577090909090925E-2</v>
      </c>
      <c r="BG145" s="35">
        <v>3.7450087745839654E-2</v>
      </c>
      <c r="BH145" s="35">
        <v>4.1086850226928914E-2</v>
      </c>
      <c r="BI145" s="35">
        <v>4.4723612708018168E-2</v>
      </c>
      <c r="BJ145" s="35">
        <v>4.8360375189107428E-2</v>
      </c>
      <c r="BK145" s="35">
        <v>5.1997137670196682E-2</v>
      </c>
      <c r="BL145" s="35">
        <v>5.5633900151285942E-2</v>
      </c>
      <c r="BM145" s="35">
        <v>5.9270662632375196E-2</v>
      </c>
      <c r="BN145" s="35">
        <v>6.4516127080181562E-2</v>
      </c>
      <c r="BO145" s="35">
        <v>7.0790105900151293E-2</v>
      </c>
      <c r="BP145" s="35">
        <v>7.7064084720121037E-2</v>
      </c>
      <c r="BQ145" s="35">
        <v>8.3338063540090782E-2</v>
      </c>
      <c r="BR145" s="35">
        <v>8.9612042360060512E-2</v>
      </c>
      <c r="BS145" s="35">
        <v>9.5886021180030256E-2</v>
      </c>
      <c r="BT145" s="35">
        <v>0.10216</v>
      </c>
    </row>
    <row r="146" spans="1:72" ht="9.9499999999999993" customHeight="1" thickBot="1" x14ac:dyDescent="0.4">
      <c r="A146" s="87" t="s">
        <v>26</v>
      </c>
      <c r="B146" s="35">
        <v>-19.02</v>
      </c>
      <c r="C146" s="35">
        <v>-19.02</v>
      </c>
      <c r="D146" s="35">
        <v>-19.02</v>
      </c>
      <c r="E146" s="35">
        <v>-19.152727272727272</v>
      </c>
      <c r="F146" s="35">
        <v>-19.306909090909091</v>
      </c>
      <c r="G146" s="35">
        <v>-19.143272727272727</v>
      </c>
      <c r="H146" s="35">
        <v>-19.130301204819279</v>
      </c>
      <c r="I146" s="35">
        <v>-19.317048192771082</v>
      </c>
      <c r="J146" s="35">
        <v>-19.369333333333334</v>
      </c>
      <c r="K146" s="35">
        <v>-19.382181818181817</v>
      </c>
      <c r="L146" s="35">
        <v>-19.400363636363636</v>
      </c>
      <c r="M146" s="35">
        <v>-19.418532526475037</v>
      </c>
      <c r="N146" s="35">
        <v>-19.436686838124054</v>
      </c>
      <c r="O146" s="35">
        <v>-19.45484114977307</v>
      </c>
      <c r="P146" s="35">
        <v>-19.472995461422087</v>
      </c>
      <c r="Q146" s="35">
        <v>-19.491149773071104</v>
      </c>
      <c r="R146" s="35">
        <v>-19.509304084720121</v>
      </c>
      <c r="S146" s="35">
        <v>-19.527458396369138</v>
      </c>
      <c r="T146" s="35">
        <v>-19.545636363636362</v>
      </c>
      <c r="U146" s="35">
        <v>-19.565090909090909</v>
      </c>
      <c r="V146" s="35">
        <v>-19.589333333333332</v>
      </c>
      <c r="W146" s="35">
        <v>-19.610181818181818</v>
      </c>
      <c r="X146" s="35">
        <v>-19.628363636363634</v>
      </c>
      <c r="Y146" s="35">
        <v>-19.542289156626506</v>
      </c>
      <c r="Z146" s="35">
        <v>-19.433636363636364</v>
      </c>
      <c r="AA146" s="35">
        <v>-19.288181818181819</v>
      </c>
      <c r="AB146" s="35">
        <v>-19.200909090909089</v>
      </c>
      <c r="AC146" s="35">
        <v>-19.152424242424242</v>
      </c>
      <c r="AD146" s="35">
        <v>-19.144242424242425</v>
      </c>
      <c r="AE146" s="35">
        <v>-19.14</v>
      </c>
      <c r="AF146" s="35">
        <v>-19.14</v>
      </c>
      <c r="AG146" s="35">
        <v>-19.147831325301205</v>
      </c>
      <c r="AH146" s="35">
        <v>-19.159879518072291</v>
      </c>
      <c r="AI146" s="35">
        <v>-19.178000000000001</v>
      </c>
      <c r="AJ146" s="35">
        <v>-19.19618181818182</v>
      </c>
      <c r="AK146" s="35">
        <v>-19.214363636363636</v>
      </c>
      <c r="AL146" s="35">
        <v>-19.232545454545455</v>
      </c>
      <c r="AM146" s="35">
        <v>-19.250786686838126</v>
      </c>
      <c r="AN146" s="35">
        <v>-19.270453857791225</v>
      </c>
      <c r="AO146" s="35">
        <v>-19.290121028744327</v>
      </c>
      <c r="AP146" s="35">
        <v>-19.309788199697426</v>
      </c>
      <c r="AQ146" s="35">
        <v>-19.329455370650528</v>
      </c>
      <c r="AR146" s="35">
        <v>-19.349122541603631</v>
      </c>
      <c r="AS146" s="35">
        <v>-19.36878971255673</v>
      </c>
      <c r="AT146" s="35">
        <v>-19.390424242424242</v>
      </c>
      <c r="AU146" s="35">
        <v>-19.414666666666669</v>
      </c>
      <c r="AV146" s="35">
        <v>-19.43418181818182</v>
      </c>
      <c r="AW146" s="35">
        <v>-19.452363636363636</v>
      </c>
      <c r="AX146" s="35">
        <v>-19.470545454545455</v>
      </c>
      <c r="AY146" s="35">
        <v>-19.488674698795183</v>
      </c>
      <c r="AZ146" s="35">
        <v>-19.506746987951807</v>
      </c>
      <c r="BA146" s="35">
        <v>-19.52987878787879</v>
      </c>
      <c r="BB146" s="35">
        <v>-19.553090909090908</v>
      </c>
      <c r="BC146" s="35">
        <v>-19.571272727272728</v>
      </c>
      <c r="BD146" s="35">
        <v>-19.589454545454544</v>
      </c>
      <c r="BE146" s="35">
        <v>-19.607636363636363</v>
      </c>
      <c r="BF146" s="35">
        <v>-19.625818181818182</v>
      </c>
      <c r="BG146" s="35">
        <v>-19.643993948562784</v>
      </c>
      <c r="BH146" s="35">
        <v>-19.662148260211801</v>
      </c>
      <c r="BI146" s="35">
        <v>-19.680302571860818</v>
      </c>
      <c r="BJ146" s="35">
        <v>-19.698456883509834</v>
      </c>
      <c r="BK146" s="35">
        <v>-19.716611195158851</v>
      </c>
      <c r="BL146" s="35">
        <v>-19.734765506807868</v>
      </c>
      <c r="BM146" s="35">
        <v>-19.752919818456885</v>
      </c>
      <c r="BN146" s="35">
        <v>-19.771074130105902</v>
      </c>
      <c r="BO146" s="35">
        <v>-19.789228441754918</v>
      </c>
      <c r="BP146" s="35">
        <v>-19.807382753403935</v>
      </c>
      <c r="BQ146" s="35">
        <v>-19.825537065052949</v>
      </c>
      <c r="BR146" s="35">
        <v>-19.843691376701965</v>
      </c>
      <c r="BS146" s="35">
        <v>-19.861845688350982</v>
      </c>
      <c r="BT146" s="35">
        <v>-19.88</v>
      </c>
    </row>
    <row r="147" spans="1:72" ht="9.9499999999999993" customHeight="1" thickBot="1" x14ac:dyDescent="0.4">
      <c r="A147" s="87" t="s">
        <v>5</v>
      </c>
      <c r="B147" s="35">
        <v>-61.171090909090907</v>
      </c>
      <c r="C147" s="35">
        <v>-59.374363636363633</v>
      </c>
      <c r="D147" s="35">
        <v>-57.701636363636361</v>
      </c>
      <c r="E147" s="35">
        <v>-55.812121212121212</v>
      </c>
      <c r="F147" s="35">
        <v>-53.790060606060607</v>
      </c>
      <c r="G147" s="35">
        <v>-51.165818181818182</v>
      </c>
      <c r="H147" s="35">
        <v>-48.968012048192769</v>
      </c>
      <c r="I147" s="35">
        <v>-47.335481927710845</v>
      </c>
      <c r="J147" s="35">
        <v>-45.513333333333335</v>
      </c>
      <c r="K147" s="35">
        <v>-43.650545454545458</v>
      </c>
      <c r="L147" s="35">
        <v>-41.905090909090909</v>
      </c>
      <c r="M147" s="35">
        <v>-40.293131618759453</v>
      </c>
      <c r="N147" s="35">
        <v>-38.831709531013615</v>
      </c>
      <c r="O147" s="35">
        <v>-37.370287443267777</v>
      </c>
      <c r="P147" s="35">
        <v>-35.908865355521932</v>
      </c>
      <c r="Q147" s="35">
        <v>-34.447443267776094</v>
      </c>
      <c r="R147" s="35">
        <v>-32.986021180030257</v>
      </c>
      <c r="S147" s="35">
        <v>-31.524599092284415</v>
      </c>
      <c r="T147" s="35">
        <v>-30.256727272727272</v>
      </c>
      <c r="U147" s="35">
        <v>-29.034363636363636</v>
      </c>
      <c r="V147" s="35">
        <v>-27.864666666666665</v>
      </c>
      <c r="W147" s="35">
        <v>-26.732303030303029</v>
      </c>
      <c r="X147" s="35">
        <v>-25.629272727272728</v>
      </c>
      <c r="Y147" s="35">
        <v>-24.58710843373494</v>
      </c>
      <c r="Z147" s="35">
        <v>-23.563030303030303</v>
      </c>
      <c r="AA147" s="35">
        <v>-22.575151515151514</v>
      </c>
      <c r="AB147" s="35">
        <v>-21.616363636363637</v>
      </c>
      <c r="AC147" s="35">
        <v>-20.676969696969696</v>
      </c>
      <c r="AD147" s="35">
        <v>-19.783636363636361</v>
      </c>
      <c r="AE147" s="35">
        <v>-18.921818181818182</v>
      </c>
      <c r="AF147" s="35">
        <v>-18.127878787878789</v>
      </c>
      <c r="AG147" s="35">
        <v>-17.45843373493976</v>
      </c>
      <c r="AH147" s="35">
        <v>-16.856024096385546</v>
      </c>
      <c r="AI147" s="35">
        <v>-16.28</v>
      </c>
      <c r="AJ147" s="35">
        <v>-15.714545454545457</v>
      </c>
      <c r="AK147" s="35">
        <v>-15.16909090909091</v>
      </c>
      <c r="AL147" s="35">
        <v>-14.63618181818182</v>
      </c>
      <c r="AM147" s="35">
        <v>-14.111059001512862</v>
      </c>
      <c r="AN147" s="35">
        <v>-13.637534039334344</v>
      </c>
      <c r="AO147" s="35">
        <v>-13.164009077155827</v>
      </c>
      <c r="AP147" s="35">
        <v>-12.690484114977309</v>
      </c>
      <c r="AQ147" s="35">
        <v>-12.216959152798792</v>
      </c>
      <c r="AR147" s="35">
        <v>-11.743434190620274</v>
      </c>
      <c r="AS147" s="35">
        <v>-11.269909228441756</v>
      </c>
      <c r="AT147" s="35">
        <v>-10.814969696969699</v>
      </c>
      <c r="AU147" s="35">
        <v>-10.384666666666668</v>
      </c>
      <c r="AV147" s="35">
        <v>-9.9666545454545474</v>
      </c>
      <c r="AW147" s="35">
        <v>-9.5541575757575767</v>
      </c>
      <c r="AX147" s="35">
        <v>-9.1553696969696983</v>
      </c>
      <c r="AY147" s="35">
        <v>-8.7643855421686752</v>
      </c>
      <c r="AZ147" s="35">
        <v>-8.3818554216867458</v>
      </c>
      <c r="BA147" s="35">
        <v>-8.0153151515151499</v>
      </c>
      <c r="BB147" s="35">
        <v>-7.7225515151515154</v>
      </c>
      <c r="BC147" s="35">
        <v>-7.7728545454545452</v>
      </c>
      <c r="BD147" s="35">
        <v>-7.8228424242424239</v>
      </c>
      <c r="BE147" s="35">
        <v>-7.8725393939393937</v>
      </c>
      <c r="BF147" s="35">
        <v>-7.9232909090909089</v>
      </c>
      <c r="BG147" s="35">
        <v>-7.9748487140695916</v>
      </c>
      <c r="BH147" s="35">
        <v>-8.0287065052950073</v>
      </c>
      <c r="BI147" s="35">
        <v>-8.0825642965204239</v>
      </c>
      <c r="BJ147" s="35">
        <v>-8.1364220877458404</v>
      </c>
      <c r="BK147" s="35">
        <v>-8.190279878971257</v>
      </c>
      <c r="BL147" s="35">
        <v>-8.2441376701966718</v>
      </c>
      <c r="BM147" s="35">
        <v>-8.2979954614220883</v>
      </c>
      <c r="BN147" s="35">
        <v>-8.356559757942513</v>
      </c>
      <c r="BO147" s="35">
        <v>-8.4181331316187595</v>
      </c>
      <c r="BP147" s="35">
        <v>-8.4797065052950078</v>
      </c>
      <c r="BQ147" s="35">
        <v>-8.5412798789712561</v>
      </c>
      <c r="BR147" s="35">
        <v>-8.6028532526475043</v>
      </c>
      <c r="BS147" s="35">
        <v>-8.6644266263237526</v>
      </c>
      <c r="BT147" s="35">
        <v>-8.7260000000000009</v>
      </c>
    </row>
    <row r="148" spans="1:72" ht="9.9499999999999993" customHeight="1" thickBot="1" x14ac:dyDescent="0.4">
      <c r="A148" s="87" t="s">
        <v>6</v>
      </c>
      <c r="B148" s="35">
        <v>-17.086666666666666</v>
      </c>
      <c r="C148" s="35">
        <v>-16.767151515151514</v>
      </c>
      <c r="D148" s="35">
        <v>-16.470181818181818</v>
      </c>
      <c r="E148" s="35">
        <v>-15.797151515151516</v>
      </c>
      <c r="F148" s="35">
        <v>-14.983575757575757</v>
      </c>
      <c r="G148" s="35">
        <v>-14.153272727272727</v>
      </c>
      <c r="H148" s="35">
        <v>-13.371746987951807</v>
      </c>
      <c r="I148" s="35">
        <v>-12.65487951807229</v>
      </c>
      <c r="J148" s="35">
        <v>-11.962666666666667</v>
      </c>
      <c r="K148" s="35">
        <v>-11.283636363636363</v>
      </c>
      <c r="L148" s="35">
        <v>-10.647272727272728</v>
      </c>
      <c r="M148" s="35">
        <v>-10.055517397881998</v>
      </c>
      <c r="N148" s="35">
        <v>-9.5140650529500768</v>
      </c>
      <c r="O148" s="35">
        <v>-8.9726127080181541</v>
      </c>
      <c r="P148" s="35">
        <v>-8.4311603630862333</v>
      </c>
      <c r="Q148" s="35">
        <v>-7.8897080181543107</v>
      </c>
      <c r="R148" s="35">
        <v>-7.3482556732223898</v>
      </c>
      <c r="S148" s="35">
        <v>-6.8068033282904672</v>
      </c>
      <c r="T148" s="35">
        <v>-6.3322727272727262</v>
      </c>
      <c r="U148" s="35">
        <v>-5.8739818181818171</v>
      </c>
      <c r="V148" s="35">
        <v>-5.4357999999999995</v>
      </c>
      <c r="W148" s="35">
        <v>-5.0105151515151505</v>
      </c>
      <c r="X148" s="35">
        <v>-4.5953636363636354</v>
      </c>
      <c r="Y148" s="35">
        <v>-4.337078313253012</v>
      </c>
      <c r="Z148" s="35">
        <v>-4.1610606060606061</v>
      </c>
      <c r="AA148" s="35">
        <v>-4.1853030303030305</v>
      </c>
      <c r="AB148" s="35">
        <v>-4.2099090909090906</v>
      </c>
      <c r="AC148" s="35">
        <v>-4.2347575757575759</v>
      </c>
      <c r="AD148" s="35">
        <v>-4.2590303030303032</v>
      </c>
      <c r="AE148" s="35">
        <v>-4.2834545454545454</v>
      </c>
      <c r="AF148" s="35">
        <v>-4.3083030303030307</v>
      </c>
      <c r="AG148" s="35">
        <v>-4.3330542168674695</v>
      </c>
      <c r="AH148" s="35">
        <v>-4.3577530120481924</v>
      </c>
      <c r="AI148" s="35">
        <v>-4.3826000000000001</v>
      </c>
      <c r="AJ148" s="35">
        <v>-4.4074484848484845</v>
      </c>
      <c r="AK148" s="35">
        <v>-4.4322969696969698</v>
      </c>
      <c r="AL148" s="35">
        <v>-4.4571454545454543</v>
      </c>
      <c r="AM148" s="35">
        <v>-4.4819803328290471</v>
      </c>
      <c r="AN148" s="35">
        <v>-4.5064886535552189</v>
      </c>
      <c r="AO148" s="35">
        <v>-4.5309969742813916</v>
      </c>
      <c r="AP148" s="35">
        <v>-4.5555052950075643</v>
      </c>
      <c r="AQ148" s="35">
        <v>-4.5800136157337361</v>
      </c>
      <c r="AR148" s="35">
        <v>-4.6045219364599088</v>
      </c>
      <c r="AS148" s="35">
        <v>-4.6290302571860815</v>
      </c>
      <c r="AT148" s="35">
        <v>-4.6534242424242418</v>
      </c>
      <c r="AU148" s="35">
        <v>-4.6776666666666662</v>
      </c>
      <c r="AV148" s="35">
        <v>-4.7014363636363639</v>
      </c>
      <c r="AW148" s="35">
        <v>-4.7251515151515155</v>
      </c>
      <c r="AX148" s="35">
        <v>-4.7493939393939391</v>
      </c>
      <c r="AY148" s="35">
        <v>-4.7732771084337342</v>
      </c>
      <c r="AZ148" s="35">
        <v>-4.7967710843373492</v>
      </c>
      <c r="BA148" s="35">
        <v>-4.8203818181818185</v>
      </c>
      <c r="BB148" s="35">
        <v>-4.8439151515151515</v>
      </c>
      <c r="BC148" s="35">
        <v>-4.8669454545454549</v>
      </c>
      <c r="BD148" s="35">
        <v>-4.8902909090909095</v>
      </c>
      <c r="BE148" s="35">
        <v>-4.9139272727272729</v>
      </c>
      <c r="BF148" s="35">
        <v>-4.9370363636363637</v>
      </c>
      <c r="BG148" s="35">
        <v>-4.9599591527987901</v>
      </c>
      <c r="BH148" s="35">
        <v>-4.9825007564296522</v>
      </c>
      <c r="BI148" s="35">
        <v>-5.0050423600605143</v>
      </c>
      <c r="BJ148" s="35">
        <v>-5.0275839636913773</v>
      </c>
      <c r="BK148" s="35">
        <v>-5.0501255673222394</v>
      </c>
      <c r="BL148" s="35">
        <v>-5.0726671709531015</v>
      </c>
      <c r="BM148" s="35">
        <v>-5.0952087745839636</v>
      </c>
      <c r="BN148" s="35">
        <v>-5.1173812405446295</v>
      </c>
      <c r="BO148" s="35">
        <v>-5.1393177004538577</v>
      </c>
      <c r="BP148" s="35">
        <v>-5.1612541603630859</v>
      </c>
      <c r="BQ148" s="35">
        <v>-5.1831906202723141</v>
      </c>
      <c r="BR148" s="35">
        <v>-5.2051270801815432</v>
      </c>
      <c r="BS148" s="35">
        <v>-5.2270635400907715</v>
      </c>
      <c r="BT148" s="35">
        <v>-5.2489999999999997</v>
      </c>
    </row>
    <row r="149" spans="1:72" ht="9.9499999999999993" customHeight="1" thickBot="1" x14ac:dyDescent="0.4">
      <c r="A149" s="87" t="s">
        <v>7</v>
      </c>
      <c r="B149" s="35">
        <v>-21.105757575757575</v>
      </c>
      <c r="C149" s="35">
        <v>-20.527333333333335</v>
      </c>
      <c r="D149" s="35">
        <v>-19.994</v>
      </c>
      <c r="E149" s="35">
        <v>-19.721696969696971</v>
      </c>
      <c r="F149" s="35">
        <v>-19.592969696969696</v>
      </c>
      <c r="G149" s="35">
        <v>-20.005090909090907</v>
      </c>
      <c r="H149" s="35">
        <v>-20.188192771084335</v>
      </c>
      <c r="I149" s="35">
        <v>-20.067710843373494</v>
      </c>
      <c r="J149" s="35">
        <v>-20.152000000000001</v>
      </c>
      <c r="K149" s="35">
        <v>-20.298181818181821</v>
      </c>
      <c r="L149" s="35">
        <v>-20.449696969696969</v>
      </c>
      <c r="M149" s="35">
        <v>-20.601104387291983</v>
      </c>
      <c r="N149" s="35">
        <v>-20.752390317700456</v>
      </c>
      <c r="O149" s="35">
        <v>-20.903676248108926</v>
      </c>
      <c r="P149" s="35">
        <v>-21.0549621785174</v>
      </c>
      <c r="Q149" s="35">
        <v>-21.20624810892587</v>
      </c>
      <c r="R149" s="35">
        <v>-21.357534039334343</v>
      </c>
      <c r="S149" s="35">
        <v>-21.508819969742817</v>
      </c>
      <c r="T149" s="35">
        <v>-21.66030303030303</v>
      </c>
      <c r="U149" s="35">
        <v>-21.810545454545455</v>
      </c>
      <c r="V149" s="35">
        <v>-21.956</v>
      </c>
      <c r="W149" s="35">
        <v>-22.104848484848485</v>
      </c>
      <c r="X149" s="35">
        <v>-22.256363636363638</v>
      </c>
      <c r="Y149" s="35">
        <v>-22.407048192771086</v>
      </c>
      <c r="Z149" s="35">
        <v>-22.556363636363635</v>
      </c>
      <c r="AA149" s="35">
        <v>-22.701818181818183</v>
      </c>
      <c r="AB149" s="35">
        <v>-22.847272727272728</v>
      </c>
      <c r="AC149" s="35">
        <v>-22.992727272727272</v>
      </c>
      <c r="AD149" s="35">
        <v>-23.138181818181817</v>
      </c>
      <c r="AE149" s="35">
        <v>-23.283636363636361</v>
      </c>
      <c r="AF149" s="35">
        <v>-23.42909090909091</v>
      </c>
      <c r="AG149" s="35">
        <v>-23.573975903614457</v>
      </c>
      <c r="AH149" s="35">
        <v>-23.718554216867467</v>
      </c>
      <c r="AI149" s="35">
        <v>-23.858000000000001</v>
      </c>
      <c r="AJ149" s="35">
        <v>-23.997393939393938</v>
      </c>
      <c r="AK149" s="35">
        <v>-24.136787878787878</v>
      </c>
      <c r="AL149" s="35">
        <v>-24.276181818181819</v>
      </c>
      <c r="AM149" s="35">
        <v>-24.415446293494703</v>
      </c>
      <c r="AN149" s="35">
        <v>-24.551603630862328</v>
      </c>
      <c r="AO149" s="35">
        <v>-24.687760968229952</v>
      </c>
      <c r="AP149" s="35">
        <v>-24.82391830559758</v>
      </c>
      <c r="AQ149" s="35">
        <v>-24.960075642965204</v>
      </c>
      <c r="AR149" s="35">
        <v>-25.096232980332829</v>
      </c>
      <c r="AS149" s="35">
        <v>-25.232390317700453</v>
      </c>
      <c r="AT149" s="35">
        <v>-25.367333333333331</v>
      </c>
      <c r="AU149" s="35">
        <v>-25.500666666666667</v>
      </c>
      <c r="AV149" s="35">
        <v>-25.634</v>
      </c>
      <c r="AW149" s="35">
        <v>-25.767333333333333</v>
      </c>
      <c r="AX149" s="35">
        <v>-25.900666666666666</v>
      </c>
      <c r="AY149" s="35">
        <v>-26.030722891566263</v>
      </c>
      <c r="AZ149" s="35">
        <v>-26.15722891566265</v>
      </c>
      <c r="BA149" s="35">
        <v>-26.284363636363636</v>
      </c>
      <c r="BB149" s="35">
        <v>-26.411636363636365</v>
      </c>
      <c r="BC149" s="35">
        <v>-26.538909090909094</v>
      </c>
      <c r="BD149" s="35">
        <v>-26.666181818181819</v>
      </c>
      <c r="BE149" s="35">
        <v>-26.793454545454544</v>
      </c>
      <c r="BF149" s="35">
        <v>-26.920727272727273</v>
      </c>
      <c r="BG149" s="35">
        <v>-27.046959152798788</v>
      </c>
      <c r="BH149" s="35">
        <v>-27.169500756429652</v>
      </c>
      <c r="BI149" s="35">
        <v>-27.292042360060513</v>
      </c>
      <c r="BJ149" s="35">
        <v>-27.414583963691378</v>
      </c>
      <c r="BK149" s="35">
        <v>-27.537125567322239</v>
      </c>
      <c r="BL149" s="35">
        <v>-27.659667170953099</v>
      </c>
      <c r="BM149" s="35">
        <v>-27.782208774583964</v>
      </c>
      <c r="BN149" s="35">
        <v>-27.902904689863842</v>
      </c>
      <c r="BO149" s="35">
        <v>-28.022420574886535</v>
      </c>
      <c r="BP149" s="35">
        <v>-28.141936459909228</v>
      </c>
      <c r="BQ149" s="35">
        <v>-28.261452344931921</v>
      </c>
      <c r="BR149" s="35">
        <v>-28.380968229954615</v>
      </c>
      <c r="BS149" s="35">
        <v>-28.500484114977308</v>
      </c>
      <c r="BT149" s="35">
        <v>-28.62</v>
      </c>
    </row>
    <row r="150" spans="1:72" ht="9.9499999999999993" customHeight="1" thickBot="1" x14ac:dyDescent="0.4">
      <c r="A150" s="87"/>
    </row>
    <row r="151" spans="1:72" ht="9.9499999999999993" customHeight="1" thickBot="1" x14ac:dyDescent="0.4">
      <c r="A151" s="87"/>
    </row>
    <row r="152" spans="1:72" ht="9.9499999999999993" customHeight="1" thickBot="1" x14ac:dyDescent="0.4">
      <c r="A152" s="92"/>
    </row>
    <row r="153" spans="1:72" ht="9.9499999999999993" customHeight="1" thickBot="1" x14ac:dyDescent="0.4">
      <c r="A153" s="92"/>
    </row>
    <row r="154" spans="1:72" ht="9.9499999999999993" customHeight="1" thickBot="1" x14ac:dyDescent="0.4">
      <c r="A154" s="92"/>
    </row>
    <row r="155" spans="1:72" ht="9.9499999999999993" customHeight="1" thickBot="1" x14ac:dyDescent="0.4">
      <c r="A155" s="92"/>
    </row>
    <row r="156" spans="1:72" ht="9.9499999999999993" customHeight="1" thickBot="1" x14ac:dyDescent="0.4">
      <c r="A156" s="92"/>
    </row>
    <row r="157" spans="1:72" ht="9.9499999999999993" customHeight="1" thickBot="1" x14ac:dyDescent="0.4">
      <c r="A157" s="92"/>
    </row>
    <row r="158" spans="1:72" ht="9.9499999999999993" customHeight="1" thickBot="1" x14ac:dyDescent="0.4">
      <c r="A158" s="92"/>
    </row>
    <row r="159" spans="1:72" ht="9.9499999999999993" customHeight="1" thickBot="1" x14ac:dyDescent="0.4">
      <c r="A159" s="92"/>
    </row>
    <row r="160" spans="1:72" ht="9.9499999999999993" customHeight="1" thickBot="1" x14ac:dyDescent="0.4">
      <c r="A160" s="92"/>
    </row>
    <row r="161" spans="1:72" ht="9.9499999999999993" customHeight="1" thickBot="1" x14ac:dyDescent="0.4">
      <c r="A161" s="92"/>
    </row>
    <row r="162" spans="1:72" ht="9.9499999999999993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 x14ac:dyDescent="0.4"/>
    <row r="164" spans="1:72" ht="30.75" customHeight="1" thickTop="1" thickBot="1" x14ac:dyDescent="0.4">
      <c r="A164" s="90" t="s">
        <v>29</v>
      </c>
      <c r="B164" s="62">
        <v>300</v>
      </c>
      <c r="C164" s="62">
        <v>310</v>
      </c>
      <c r="D164" s="62">
        <v>320</v>
      </c>
      <c r="E164" s="62">
        <v>330</v>
      </c>
      <c r="F164" s="62">
        <v>340</v>
      </c>
      <c r="G164" s="62">
        <v>350</v>
      </c>
      <c r="H164" s="62">
        <v>360</v>
      </c>
      <c r="I164" s="62">
        <v>370</v>
      </c>
      <c r="J164" s="62">
        <v>380</v>
      </c>
      <c r="K164" s="62">
        <v>390</v>
      </c>
      <c r="L164" s="62">
        <v>400</v>
      </c>
      <c r="M164" s="62">
        <v>410</v>
      </c>
      <c r="N164" s="62">
        <v>420</v>
      </c>
      <c r="O164" s="62">
        <v>430</v>
      </c>
      <c r="P164" s="62">
        <v>440</v>
      </c>
      <c r="Q164" s="62">
        <v>450</v>
      </c>
      <c r="R164" s="62">
        <v>460</v>
      </c>
      <c r="S164" s="62">
        <v>470</v>
      </c>
      <c r="T164" s="62">
        <v>480</v>
      </c>
      <c r="U164" s="62">
        <v>490</v>
      </c>
      <c r="V164" s="62">
        <v>500</v>
      </c>
      <c r="W164" s="62">
        <v>510</v>
      </c>
      <c r="X164" s="62">
        <v>520</v>
      </c>
      <c r="Y164" s="62">
        <v>530</v>
      </c>
      <c r="Z164" s="62">
        <v>540</v>
      </c>
      <c r="AA164" s="62">
        <v>550</v>
      </c>
      <c r="AB164" s="62">
        <v>560</v>
      </c>
      <c r="AC164" s="62">
        <v>570</v>
      </c>
      <c r="AD164" s="62">
        <v>580</v>
      </c>
      <c r="AE164" s="62">
        <v>590</v>
      </c>
      <c r="AF164" s="62">
        <v>600</v>
      </c>
      <c r="AG164" s="62">
        <v>610</v>
      </c>
      <c r="AH164" s="62">
        <v>620</v>
      </c>
      <c r="AI164" s="62">
        <v>630</v>
      </c>
      <c r="AJ164" s="62">
        <v>640</v>
      </c>
      <c r="AK164" s="62">
        <v>650</v>
      </c>
      <c r="AL164" s="62">
        <v>660</v>
      </c>
      <c r="AM164" s="62">
        <v>670</v>
      </c>
      <c r="AN164" s="62">
        <v>680</v>
      </c>
      <c r="AO164" s="62">
        <v>690</v>
      </c>
      <c r="AP164" s="62">
        <v>700</v>
      </c>
      <c r="AQ164" s="62">
        <v>710</v>
      </c>
      <c r="AR164" s="62">
        <v>720</v>
      </c>
      <c r="AS164" s="62">
        <v>730</v>
      </c>
      <c r="AT164" s="62">
        <v>740</v>
      </c>
      <c r="AU164" s="62">
        <v>750</v>
      </c>
      <c r="AV164" s="62">
        <v>760</v>
      </c>
      <c r="AW164" s="62">
        <v>770</v>
      </c>
      <c r="AX164" s="62">
        <v>780</v>
      </c>
      <c r="AY164" s="62">
        <v>790</v>
      </c>
      <c r="AZ164" s="62">
        <v>800</v>
      </c>
      <c r="BA164" s="62">
        <v>810</v>
      </c>
      <c r="BB164" s="62">
        <v>820</v>
      </c>
      <c r="BC164" s="62">
        <v>830</v>
      </c>
      <c r="BD164" s="62">
        <v>840</v>
      </c>
      <c r="BE164" s="62">
        <v>850</v>
      </c>
      <c r="BF164" s="62">
        <v>860</v>
      </c>
      <c r="BG164" s="62">
        <v>870</v>
      </c>
      <c r="BH164" s="62">
        <v>880</v>
      </c>
      <c r="BI164" s="62">
        <v>890</v>
      </c>
      <c r="BJ164" s="62">
        <v>900</v>
      </c>
      <c r="BK164" s="62">
        <v>910</v>
      </c>
      <c r="BL164" s="62">
        <v>920</v>
      </c>
      <c r="BM164" s="62">
        <v>930</v>
      </c>
      <c r="BN164" s="62">
        <v>940</v>
      </c>
      <c r="BO164" s="62">
        <v>950</v>
      </c>
      <c r="BP164" s="62">
        <v>960</v>
      </c>
      <c r="BQ164" s="62">
        <v>970</v>
      </c>
      <c r="BR164" s="62">
        <v>980</v>
      </c>
      <c r="BS164" s="62">
        <v>990</v>
      </c>
      <c r="BT164" s="62">
        <v>1000</v>
      </c>
    </row>
    <row r="165" spans="1:72" ht="9.9499999999999993" customHeight="1" thickTop="1" thickBot="1" x14ac:dyDescent="0.4">
      <c r="A165" s="87" t="s">
        <v>89</v>
      </c>
      <c r="B165" s="35">
        <v>2.029701818181816E-9</v>
      </c>
      <c r="C165" s="35">
        <v>8.7157290909090851E-10</v>
      </c>
      <c r="D165" s="35">
        <v>2.5729109090909036E-10</v>
      </c>
      <c r="E165" s="35">
        <v>5.099573993333327E-11</v>
      </c>
      <c r="F165" s="35">
        <v>2.6617775818182194E-12</v>
      </c>
      <c r="G165" s="35">
        <v>3.5544084854545492E-11</v>
      </c>
      <c r="H165" s="35">
        <v>4.0236179343373477E-11</v>
      </c>
      <c r="I165" s="35">
        <v>7.5598522349397823E-12</v>
      </c>
      <c r="J165" s="35">
        <v>2.3625091926400031E-14</v>
      </c>
      <c r="K165" s="35">
        <v>5.0191421146909128E-20</v>
      </c>
      <c r="L165" s="35">
        <v>1.7386597371151552E-20</v>
      </c>
      <c r="M165" s="35">
        <v>3.787107413010591E-26</v>
      </c>
      <c r="N165" s="35">
        <v>3.1703146747352502E-26</v>
      </c>
      <c r="O165" s="35">
        <v>2.5535219364599094E-26</v>
      </c>
      <c r="P165" s="35">
        <v>1.9367291981845686E-26</v>
      </c>
      <c r="Q165" s="35">
        <v>1.3199364599092278E-26</v>
      </c>
      <c r="R165" s="35">
        <v>7.0314372163388703E-27</v>
      </c>
      <c r="S165" s="35">
        <v>8.6350983358546231E-28</v>
      </c>
      <c r="T165" s="35">
        <v>0</v>
      </c>
      <c r="U165" s="35">
        <v>0</v>
      </c>
      <c r="V165" s="35">
        <v>0</v>
      </c>
      <c r="W165" s="35">
        <v>0</v>
      </c>
      <c r="X165" s="35">
        <v>0</v>
      </c>
      <c r="Y165" s="35">
        <v>0</v>
      </c>
      <c r="Z165" s="35">
        <v>0</v>
      </c>
      <c r="AA165" s="35">
        <v>0</v>
      </c>
      <c r="AB165" s="35">
        <v>0</v>
      </c>
      <c r="AC165" s="35">
        <v>0</v>
      </c>
      <c r="AD165" s="35">
        <v>0</v>
      </c>
      <c r="AE165" s="35">
        <v>0</v>
      </c>
      <c r="AF165" s="35">
        <v>0</v>
      </c>
      <c r="AG165" s="35">
        <v>0</v>
      </c>
      <c r="AH165" s="35">
        <v>0</v>
      </c>
      <c r="AI165" s="35">
        <v>0</v>
      </c>
      <c r="AJ165" s="35">
        <v>0</v>
      </c>
      <c r="AK165" s="35">
        <v>0</v>
      </c>
      <c r="AL165" s="35">
        <v>0</v>
      </c>
      <c r="AM165" s="35">
        <v>0</v>
      </c>
      <c r="AN165" s="35">
        <v>0</v>
      </c>
      <c r="AO165" s="35">
        <v>0</v>
      </c>
      <c r="AP165" s="35">
        <v>0</v>
      </c>
      <c r="AQ165" s="35">
        <v>0</v>
      </c>
      <c r="AR165" s="35">
        <v>0</v>
      </c>
      <c r="AS165" s="35">
        <v>0</v>
      </c>
      <c r="AT165" s="35">
        <v>0</v>
      </c>
      <c r="AU165" s="35">
        <v>0</v>
      </c>
      <c r="AV165" s="35">
        <v>0</v>
      </c>
      <c r="AW165" s="35">
        <v>0</v>
      </c>
      <c r="AX165" s="35">
        <v>0</v>
      </c>
      <c r="AY165" s="35">
        <v>0</v>
      </c>
      <c r="AZ165" s="35">
        <v>0</v>
      </c>
      <c r="BA165" s="35">
        <v>0</v>
      </c>
      <c r="BB165" s="35">
        <v>0</v>
      </c>
      <c r="BC165" s="35">
        <v>0</v>
      </c>
      <c r="BD165" s="35">
        <v>0</v>
      </c>
      <c r="BE165" s="35">
        <v>0</v>
      </c>
      <c r="BF165" s="35">
        <v>0</v>
      </c>
      <c r="BG165" s="35">
        <v>0</v>
      </c>
      <c r="BH165" s="35">
        <v>0</v>
      </c>
      <c r="BI165" s="35">
        <v>0</v>
      </c>
      <c r="BJ165" s="35">
        <v>0</v>
      </c>
      <c r="BK165" s="35">
        <v>0</v>
      </c>
      <c r="BL165" s="35">
        <v>0</v>
      </c>
      <c r="BM165" s="35">
        <v>0</v>
      </c>
      <c r="BN165" s="35">
        <v>0</v>
      </c>
      <c r="BO165" s="35">
        <v>0</v>
      </c>
      <c r="BP165" s="35">
        <v>0</v>
      </c>
      <c r="BQ165" s="35">
        <v>0</v>
      </c>
      <c r="BR165" s="35">
        <v>0</v>
      </c>
      <c r="BS165" s="35">
        <v>0</v>
      </c>
      <c r="BT165" s="35">
        <v>0</v>
      </c>
    </row>
    <row r="166" spans="1:72" ht="9.9499999999999993" customHeight="1" thickBot="1" x14ac:dyDescent="0.4">
      <c r="A166" s="87" t="s">
        <v>49</v>
      </c>
      <c r="B166" s="35">
        <v>2.0084375757611148E-19</v>
      </c>
      <c r="C166" s="35">
        <v>8.3328267188472976E-13</v>
      </c>
      <c r="D166" s="35">
        <v>3.0261309617392753E-12</v>
      </c>
      <c r="E166" s="35">
        <v>3.5509408727272781E-10</v>
      </c>
      <c r="F166" s="35">
        <v>7.5966136969696915E-10</v>
      </c>
      <c r="G166" s="35">
        <v>2.7980349090909046E-10</v>
      </c>
      <c r="H166" s="35">
        <v>1.8742990060240986E-10</v>
      </c>
      <c r="I166" s="35">
        <v>6.0869827409638515E-10</v>
      </c>
      <c r="J166" s="35">
        <v>9.265146666666663E-10</v>
      </c>
      <c r="K166" s="35">
        <v>1.2683599999999991E-9</v>
      </c>
      <c r="L166" s="35">
        <v>2.0130266666666659E-9</v>
      </c>
      <c r="M166" s="35">
        <v>2.5092868381240542E-9</v>
      </c>
      <c r="N166" s="35">
        <v>2.7254290468986384E-9</v>
      </c>
      <c r="O166" s="35">
        <v>2.9415712556732222E-9</v>
      </c>
      <c r="P166" s="35">
        <v>3.1577134644478064E-9</v>
      </c>
      <c r="Q166" s="35">
        <v>3.3738556732223906E-9</v>
      </c>
      <c r="R166" s="35">
        <v>3.5899978819969743E-9</v>
      </c>
      <c r="S166" s="35">
        <v>3.8061400907715581E-9</v>
      </c>
      <c r="T166" s="35">
        <v>4.1089939393939401E-9</v>
      </c>
      <c r="U166" s="35">
        <v>4.7816400000000046E-9</v>
      </c>
      <c r="V166" s="35">
        <v>6.7923066666666718E-9</v>
      </c>
      <c r="W166" s="35">
        <v>7.2620909090909076E-9</v>
      </c>
      <c r="X166" s="35">
        <v>6.5211818181818163E-9</v>
      </c>
      <c r="Y166" s="35">
        <v>7.622205421686748E-9</v>
      </c>
      <c r="Z166" s="35">
        <v>8.5466909090909096E-9</v>
      </c>
      <c r="AA166" s="35">
        <v>8.3950545454545467E-9</v>
      </c>
      <c r="AB166" s="35">
        <v>9.8204363636363641E-9</v>
      </c>
      <c r="AC166" s="35">
        <v>1.2297163636363636E-8</v>
      </c>
      <c r="AD166" s="35">
        <v>1.4604848484848484E-8</v>
      </c>
      <c r="AE166" s="35">
        <v>1.5153454545454545E-8</v>
      </c>
      <c r="AF166" s="35">
        <v>1.161830303030303E-8</v>
      </c>
      <c r="AG166" s="35">
        <v>1.0862649016641453E-8</v>
      </c>
      <c r="AH166" s="35">
        <v>1.1603647503782149E-8</v>
      </c>
      <c r="AI166" s="35">
        <v>1.2344645990922845E-8</v>
      </c>
      <c r="AJ166" s="35">
        <v>1.308564447806354E-8</v>
      </c>
      <c r="AK166" s="35">
        <v>1.3826642965204235E-8</v>
      </c>
      <c r="AL166" s="35">
        <v>1.4567641452344932E-8</v>
      </c>
      <c r="AM166" s="35">
        <v>1.5287181543116491E-8</v>
      </c>
      <c r="AN166" s="35">
        <v>1.5491720121028743E-8</v>
      </c>
      <c r="AO166" s="35">
        <v>1.5696258698940999E-8</v>
      </c>
      <c r="AP166" s="35">
        <v>1.5900797276853251E-8</v>
      </c>
      <c r="AQ166" s="35">
        <v>1.6105335854765506E-8</v>
      </c>
      <c r="AR166" s="35">
        <v>1.6309874432677758E-8</v>
      </c>
      <c r="AS166" s="35">
        <v>1.6514413010590014E-8</v>
      </c>
      <c r="AT166" s="35">
        <v>1.6744387291981844E-8</v>
      </c>
      <c r="AU166" s="35">
        <v>1.7008078668683812E-8</v>
      </c>
      <c r="AV166" s="35">
        <v>1.7271770045385779E-8</v>
      </c>
      <c r="AW166" s="35">
        <v>1.7535461422087743E-8</v>
      </c>
      <c r="AX166" s="35">
        <v>1.7799152798789711E-8</v>
      </c>
      <c r="AY166" s="35">
        <v>1.8062844175491678E-8</v>
      </c>
      <c r="AZ166" s="35">
        <v>1.8326535552193646E-8</v>
      </c>
      <c r="BA166" s="35">
        <v>1.8820403030303032E-8</v>
      </c>
      <c r="BB166" s="35">
        <v>1.9364796969696973E-8</v>
      </c>
      <c r="BC166" s="35">
        <v>1.9909190909090913E-8</v>
      </c>
      <c r="BD166" s="35">
        <v>2.045358484848485E-8</v>
      </c>
      <c r="BE166" s="35">
        <v>2.099797878787879E-8</v>
      </c>
      <c r="BF166" s="35">
        <v>2.154237272727273E-8</v>
      </c>
      <c r="BG166" s="35">
        <v>2.1564108433734932E-8</v>
      </c>
      <c r="BH166" s="35">
        <v>1.9732783132530116E-8</v>
      </c>
      <c r="BI166" s="35">
        <v>1.3151193939393916E-8</v>
      </c>
      <c r="BJ166" s="35">
        <v>2.8372545454545219E-9</v>
      </c>
      <c r="BK166" s="35">
        <v>9.1675806060605816E-10</v>
      </c>
      <c r="BL166" s="35">
        <v>9.4165915151515019E-11</v>
      </c>
      <c r="BM166" s="35">
        <v>3.3727127272727133E-11</v>
      </c>
      <c r="BN166" s="35">
        <v>9.2187774655975763E-12</v>
      </c>
      <c r="BO166" s="35">
        <v>7.6823470813313129E-12</v>
      </c>
      <c r="BP166" s="35">
        <v>6.1459166970650503E-12</v>
      </c>
      <c r="BQ166" s="35">
        <v>4.6094863127987878E-12</v>
      </c>
      <c r="BR166" s="35">
        <v>3.0730559285325244E-12</v>
      </c>
      <c r="BS166" s="35">
        <v>1.536625544266261E-12</v>
      </c>
      <c r="BT166" s="35">
        <v>1.9515999999924486E-16</v>
      </c>
    </row>
    <row r="167" spans="1:72" ht="9.9499999999999993" customHeight="1" thickBot="1" x14ac:dyDescent="0.4">
      <c r="A167" s="87" t="s">
        <v>78</v>
      </c>
      <c r="B167" s="35">
        <v>6.44885696969697E-2</v>
      </c>
      <c r="C167" s="35">
        <v>6.9810218181818193E-2</v>
      </c>
      <c r="D167" s="35">
        <v>7.672658181818183E-2</v>
      </c>
      <c r="E167" s="35">
        <v>8.4093775757575762E-2</v>
      </c>
      <c r="F167" s="35">
        <v>9.0460781818181804E-2</v>
      </c>
      <c r="G167" s="35">
        <v>8.3408054545454538E-2</v>
      </c>
      <c r="H167" s="35">
        <v>8.2229885542168674E-2</v>
      </c>
      <c r="I167" s="35">
        <v>8.883892168674698E-2</v>
      </c>
      <c r="J167" s="35">
        <v>9.4347133333333333E-2</v>
      </c>
      <c r="K167" s="35">
        <v>9.9261727272727279E-2</v>
      </c>
      <c r="L167" s="35">
        <v>0.10223445454545455</v>
      </c>
      <c r="M167" s="35">
        <v>0.10219109531013616</v>
      </c>
      <c r="N167" s="35">
        <v>9.8746617246596072E-2</v>
      </c>
      <c r="O167" s="35">
        <v>9.5302139183055981E-2</v>
      </c>
      <c r="P167" s="35">
        <v>9.1857661119515877E-2</v>
      </c>
      <c r="Q167" s="35">
        <v>8.8413183055975786E-2</v>
      </c>
      <c r="R167" s="35">
        <v>8.4968704992435695E-2</v>
      </c>
      <c r="S167" s="35">
        <v>8.1524226928895605E-2</v>
      </c>
      <c r="T167" s="35">
        <v>6.9771830303030274E-2</v>
      </c>
      <c r="U167" s="35">
        <v>5.667881818181815E-2</v>
      </c>
      <c r="V167" s="35">
        <v>4.3630333333333299E-2</v>
      </c>
      <c r="W167" s="35">
        <v>3.2454284848484824E-2</v>
      </c>
      <c r="X167" s="35">
        <v>2.2749436363636341E-2</v>
      </c>
      <c r="Y167" s="35">
        <v>1.6436831325301198E-2</v>
      </c>
      <c r="Z167" s="35">
        <v>1.1111515151515152E-2</v>
      </c>
      <c r="AA167" s="35">
        <v>7.7415757575757579E-3</v>
      </c>
      <c r="AB167" s="35">
        <v>5.3142181818181819E-3</v>
      </c>
      <c r="AC167" s="35">
        <v>3.515248484848485E-3</v>
      </c>
      <c r="AD167" s="35">
        <v>2.526830303030303E-3</v>
      </c>
      <c r="AE167" s="35">
        <v>1.7146363636363637E-3</v>
      </c>
      <c r="AF167" s="35">
        <v>1.214090909090909E-3</v>
      </c>
      <c r="AG167" s="35">
        <v>9.4910166414523441E-4</v>
      </c>
      <c r="AH167" s="35">
        <v>8.1095037821482605E-4</v>
      </c>
      <c r="AI167" s="35">
        <v>6.727990922844176E-4</v>
      </c>
      <c r="AJ167" s="35">
        <v>5.3464780635400925E-4</v>
      </c>
      <c r="AK167" s="35">
        <v>3.9649652042360079E-4</v>
      </c>
      <c r="AL167" s="35">
        <v>2.5834523449319233E-4</v>
      </c>
      <c r="AM167" s="35">
        <v>1.2508177307110442E-4</v>
      </c>
      <c r="AN167" s="35">
        <v>1.0912609984871412E-4</v>
      </c>
      <c r="AO167" s="35">
        <v>9.3170426626323804E-5</v>
      </c>
      <c r="AP167" s="35">
        <v>7.7214753403933488E-5</v>
      </c>
      <c r="AQ167" s="35">
        <v>6.1259080181543172E-5</v>
      </c>
      <c r="AR167" s="35">
        <v>4.5303406959152856E-5</v>
      </c>
      <c r="AS167" s="35">
        <v>2.934773373676254E-5</v>
      </c>
      <c r="AT167" s="35">
        <v>1.9198901512859313E-5</v>
      </c>
      <c r="AU167" s="35">
        <v>1.6747509682299554E-5</v>
      </c>
      <c r="AV167" s="35">
        <v>1.4296117851739791E-5</v>
      </c>
      <c r="AW167" s="35">
        <v>1.184472602118003E-5</v>
      </c>
      <c r="AX167" s="35">
        <v>9.3933341906202687E-6</v>
      </c>
      <c r="AY167" s="35">
        <v>6.941942360060506E-6</v>
      </c>
      <c r="AZ167" s="35">
        <v>4.4905505295007467E-6</v>
      </c>
      <c r="BA167" s="35">
        <v>3.661951878787877E-6</v>
      </c>
      <c r="BB167" s="35">
        <v>3.1895761212121191E-6</v>
      </c>
      <c r="BC167" s="35">
        <v>2.7172003636363616E-6</v>
      </c>
      <c r="BD167" s="35">
        <v>2.2448246060606041E-6</v>
      </c>
      <c r="BE167" s="35">
        <v>1.7724488484848467E-6</v>
      </c>
      <c r="BF167" s="35">
        <v>1.3000730909090888E-6</v>
      </c>
      <c r="BG167" s="35">
        <v>8.9536903614457767E-7</v>
      </c>
      <c r="BH167" s="35">
        <v>7.3059192771084295E-7</v>
      </c>
      <c r="BI167" s="35">
        <v>5.940667272727271E-7</v>
      </c>
      <c r="BJ167" s="35">
        <v>4.7973945454545429E-7</v>
      </c>
      <c r="BK167" s="35">
        <v>3.969919393939392E-7</v>
      </c>
      <c r="BL167" s="35">
        <v>3.2349266666666652E-7</v>
      </c>
      <c r="BM167" s="35">
        <v>2.6742599999999984E-7</v>
      </c>
      <c r="BN167" s="35">
        <v>2.2967277609682294E-7</v>
      </c>
      <c r="BO167" s="35">
        <v>2.0362814674735244E-7</v>
      </c>
      <c r="BP167" s="35">
        <v>1.7758351739788195E-7</v>
      </c>
      <c r="BQ167" s="35">
        <v>1.5153888804841146E-7</v>
      </c>
      <c r="BR167" s="35">
        <v>1.2549425869894097E-7</v>
      </c>
      <c r="BS167" s="35">
        <v>9.9449629349470479E-8</v>
      </c>
      <c r="BT167" s="35">
        <v>7.3404999999999988E-8</v>
      </c>
    </row>
    <row r="168" spans="1:72" ht="9.9499999999999993" customHeight="1" thickBot="1" x14ac:dyDescent="0.4">
      <c r="A168" s="87" t="s">
        <v>90</v>
      </c>
      <c r="B168" s="35">
        <v>0</v>
      </c>
      <c r="C168" s="35">
        <v>0</v>
      </c>
      <c r="D168" s="35">
        <v>0</v>
      </c>
      <c r="E168" s="35">
        <v>0</v>
      </c>
      <c r="F168" s="35">
        <v>0</v>
      </c>
      <c r="G168" s="35">
        <v>0</v>
      </c>
      <c r="H168" s="35">
        <v>0</v>
      </c>
      <c r="I168" s="35">
        <v>0</v>
      </c>
      <c r="J168" s="35">
        <v>0</v>
      </c>
      <c r="K168" s="35">
        <v>0</v>
      </c>
      <c r="L168" s="35">
        <v>0</v>
      </c>
      <c r="M168" s="35">
        <v>6.8108048411497611E-33</v>
      </c>
      <c r="N168" s="35">
        <v>2.130187897125567E-32</v>
      </c>
      <c r="O168" s="35">
        <v>3.5792953101361579E-32</v>
      </c>
      <c r="P168" s="35">
        <v>5.0284027231467486E-32</v>
      </c>
      <c r="Q168" s="35">
        <v>6.4775101361573398E-32</v>
      </c>
      <c r="R168" s="35">
        <v>7.9266175491679299E-32</v>
      </c>
      <c r="S168" s="35">
        <v>9.3757249621785211E-32</v>
      </c>
      <c r="T168" s="35">
        <v>4.0239605696969796E-30</v>
      </c>
      <c r="U168" s="35">
        <v>6.0900821818182392E-29</v>
      </c>
      <c r="V168" s="35">
        <v>3.1455997333333386E-28</v>
      </c>
      <c r="W168" s="35">
        <v>6.602063818181843E-27</v>
      </c>
      <c r="X168" s="35">
        <v>1.7630445636363661E-26</v>
      </c>
      <c r="Y168" s="35">
        <v>3.7156430722891608E-25</v>
      </c>
      <c r="Z168" s="35">
        <v>3.4301090909090903E-24</v>
      </c>
      <c r="AA168" s="35">
        <v>1.4500745454545455E-23</v>
      </c>
      <c r="AB168" s="35">
        <v>1.666020909090909E-22</v>
      </c>
      <c r="AC168" s="35">
        <v>4.1272390909090906E-22</v>
      </c>
      <c r="AD168" s="35">
        <v>4.4807066666666678E-21</v>
      </c>
      <c r="AE168" s="35">
        <v>2.516380909090909E-20</v>
      </c>
      <c r="AF168" s="35">
        <v>8.4146172727272718E-20</v>
      </c>
      <c r="AG168" s="35">
        <v>7.9830113222390289E-17</v>
      </c>
      <c r="AH168" s="35">
        <v>2.0248445664145226E-16</v>
      </c>
      <c r="AI168" s="35">
        <v>3.2513880006051427E-16</v>
      </c>
      <c r="AJ168" s="35">
        <v>4.4779314347957617E-16</v>
      </c>
      <c r="AK168" s="35">
        <v>5.7044748689863821E-16</v>
      </c>
      <c r="AL168" s="35">
        <v>6.9310183031770015E-16</v>
      </c>
      <c r="AM168" s="35">
        <v>7.6700884266259317E-15</v>
      </c>
      <c r="AN168" s="35">
        <v>1.7915104909228398E-13</v>
      </c>
      <c r="AO168" s="35">
        <v>3.50632009757942E-13</v>
      </c>
      <c r="AP168" s="35">
        <v>5.2211297042360002E-13</v>
      </c>
      <c r="AQ168" s="35">
        <v>6.9359393108925799E-13</v>
      </c>
      <c r="AR168" s="35">
        <v>8.6507489175491606E-13</v>
      </c>
      <c r="AS168" s="35">
        <v>1.036555852420574E-12</v>
      </c>
      <c r="AT168" s="35">
        <v>2.1910631467473334E-11</v>
      </c>
      <c r="AU168" s="35">
        <v>7.022768139183044E-11</v>
      </c>
      <c r="AV168" s="35">
        <v>1.1854473131618755E-10</v>
      </c>
      <c r="AW168" s="35">
        <v>1.6686178124054463E-10</v>
      </c>
      <c r="AX168" s="35">
        <v>2.1517883116490174E-10</v>
      </c>
      <c r="AY168" s="35">
        <v>2.6349588108925885E-10</v>
      </c>
      <c r="AZ168" s="35">
        <v>3.1181293101361596E-10</v>
      </c>
      <c r="BA168" s="35">
        <v>1.2003439090909139E-9</v>
      </c>
      <c r="BB168" s="35">
        <v>2.2733120909090958E-9</v>
      </c>
      <c r="BC168" s="35">
        <v>3.3462802727272777E-9</v>
      </c>
      <c r="BD168" s="35">
        <v>4.4192484545454596E-9</v>
      </c>
      <c r="BE168" s="35">
        <v>5.4922166363636414E-9</v>
      </c>
      <c r="BF168" s="35">
        <v>6.5651848181818233E-9</v>
      </c>
      <c r="BG168" s="35">
        <v>7.8211469879518148E-9</v>
      </c>
      <c r="BH168" s="35">
        <v>9.7259060240963903E-9</v>
      </c>
      <c r="BI168" s="35">
        <v>1.152007272727273E-8</v>
      </c>
      <c r="BJ168" s="35">
        <v>1.3227345454545458E-8</v>
      </c>
      <c r="BK168" s="35">
        <v>1.4602054545454547E-8</v>
      </c>
      <c r="BL168" s="35">
        <v>1.5849642424242425E-8</v>
      </c>
      <c r="BM168" s="35">
        <v>1.6829036363636366E-8</v>
      </c>
      <c r="BN168" s="35">
        <v>1.745758396369138E-8</v>
      </c>
      <c r="BO168" s="35">
        <v>1.7861819969742815E-8</v>
      </c>
      <c r="BP168" s="35">
        <v>1.8266055975794251E-8</v>
      </c>
      <c r="BQ168" s="35">
        <v>1.867029198184569E-8</v>
      </c>
      <c r="BR168" s="35">
        <v>1.9074527987897126E-8</v>
      </c>
      <c r="BS168" s="35">
        <v>1.9478763993948564E-8</v>
      </c>
      <c r="BT168" s="35">
        <v>1.9883E-8</v>
      </c>
    </row>
    <row r="169" spans="1:72" ht="9.9499999999999993" customHeight="1" thickBot="1" x14ac:dyDescent="0.4">
      <c r="A169" s="87" t="s">
        <v>1</v>
      </c>
      <c r="B169" s="35">
        <v>0.2</v>
      </c>
      <c r="C169" s="35">
        <v>0.2</v>
      </c>
      <c r="D169" s="35">
        <v>0.2</v>
      </c>
      <c r="E169" s="35">
        <v>0.2</v>
      </c>
      <c r="F169" s="35">
        <v>0.2</v>
      </c>
      <c r="G169" s="35">
        <v>0.2</v>
      </c>
      <c r="H169" s="35">
        <v>0.2</v>
      </c>
      <c r="I169" s="35">
        <v>0.2</v>
      </c>
      <c r="J169" s="35">
        <v>0.2</v>
      </c>
      <c r="K169" s="35">
        <v>0.2</v>
      </c>
      <c r="L169" s="35">
        <v>0.2</v>
      </c>
      <c r="M169" s="35">
        <v>0.2</v>
      </c>
      <c r="N169" s="35">
        <v>0.2</v>
      </c>
      <c r="O169" s="35">
        <v>0.2</v>
      </c>
      <c r="P169" s="35">
        <v>0.2</v>
      </c>
      <c r="Q169" s="35">
        <v>0.2</v>
      </c>
      <c r="R169" s="35">
        <v>0.2</v>
      </c>
      <c r="S169" s="35">
        <v>0.2</v>
      </c>
      <c r="T169" s="35">
        <v>0.2</v>
      </c>
      <c r="U169" s="35">
        <v>0.2</v>
      </c>
      <c r="V169" s="35">
        <v>0.2</v>
      </c>
      <c r="W169" s="35">
        <v>0.2</v>
      </c>
      <c r="X169" s="35">
        <v>0.2</v>
      </c>
      <c r="Y169" s="35">
        <v>0.2</v>
      </c>
      <c r="Z169" s="35">
        <v>0.2</v>
      </c>
      <c r="AA169" s="35">
        <v>0.2</v>
      </c>
      <c r="AB169" s="35">
        <v>0.2</v>
      </c>
      <c r="AC169" s="35">
        <v>0.2</v>
      </c>
      <c r="AD169" s="35">
        <v>0.2</v>
      </c>
      <c r="AE169" s="35">
        <v>0.2</v>
      </c>
      <c r="AF169" s="35">
        <v>0.2</v>
      </c>
      <c r="AG169" s="35">
        <v>0.2</v>
      </c>
      <c r="AH169" s="35">
        <v>0.2</v>
      </c>
      <c r="AI169" s="35">
        <v>0.2</v>
      </c>
      <c r="AJ169" s="35">
        <v>0.2</v>
      </c>
      <c r="AK169" s="35">
        <v>0.2</v>
      </c>
      <c r="AL169" s="35">
        <v>0.2</v>
      </c>
      <c r="AM169" s="35">
        <v>0.2</v>
      </c>
      <c r="AN169" s="35">
        <v>0.2</v>
      </c>
      <c r="AO169" s="35">
        <v>0.2</v>
      </c>
      <c r="AP169" s="35">
        <v>0.2</v>
      </c>
      <c r="AQ169" s="35">
        <v>0.2</v>
      </c>
      <c r="AR169" s="35">
        <v>0.2</v>
      </c>
      <c r="AS169" s="35">
        <v>0.2</v>
      </c>
      <c r="AT169" s="35">
        <v>0.2</v>
      </c>
      <c r="AU169" s="35">
        <v>0.2</v>
      </c>
      <c r="AV169" s="35">
        <v>0.2</v>
      </c>
      <c r="AW169" s="35">
        <v>0.2</v>
      </c>
      <c r="AX169" s="35">
        <v>0.2</v>
      </c>
      <c r="AY169" s="35">
        <v>0.2</v>
      </c>
      <c r="AZ169" s="35">
        <v>0.2</v>
      </c>
      <c r="BA169" s="35">
        <v>0.2</v>
      </c>
      <c r="BB169" s="35">
        <v>0.2</v>
      </c>
      <c r="BC169" s="35">
        <v>0.2</v>
      </c>
      <c r="BD169" s="35">
        <v>0.2</v>
      </c>
      <c r="BE169" s="35">
        <v>0.2</v>
      </c>
      <c r="BF169" s="35">
        <v>0.2</v>
      </c>
      <c r="BG169" s="35">
        <v>0.2</v>
      </c>
      <c r="BH169" s="35">
        <v>0.2</v>
      </c>
      <c r="BI169" s="35">
        <v>0.2</v>
      </c>
      <c r="BJ169" s="35">
        <v>0.2</v>
      </c>
      <c r="BK169" s="35">
        <v>0.2</v>
      </c>
      <c r="BL169" s="35">
        <v>0.2</v>
      </c>
      <c r="BM169" s="35">
        <v>0.2</v>
      </c>
      <c r="BN169" s="35">
        <v>0.2</v>
      </c>
      <c r="BO169" s="35">
        <v>0.2</v>
      </c>
      <c r="BP169" s="35">
        <v>0.2</v>
      </c>
      <c r="BQ169" s="35">
        <v>0.2</v>
      </c>
      <c r="BR169" s="35">
        <v>0.2</v>
      </c>
      <c r="BS169" s="35">
        <v>0.2</v>
      </c>
      <c r="BT169" s="35">
        <v>0.2</v>
      </c>
    </row>
    <row r="170" spans="1:72" ht="9.9499999999999993" customHeight="1" thickBot="1" x14ac:dyDescent="0.4">
      <c r="A170" s="87" t="s">
        <v>91</v>
      </c>
      <c r="B170" s="35">
        <v>8.3918151515151501E-2</v>
      </c>
      <c r="C170" s="35">
        <v>7.4336503030303022E-2</v>
      </c>
      <c r="D170" s="35">
        <v>6.188256363636363E-2</v>
      </c>
      <c r="E170" s="35">
        <v>4.8612351515151503E-2</v>
      </c>
      <c r="F170" s="35">
        <v>3.7138218181818193E-2</v>
      </c>
      <c r="G170" s="35">
        <v>4.9790945454545467E-2</v>
      </c>
      <c r="H170" s="35">
        <v>5.1845331325301197E-2</v>
      </c>
      <c r="I170" s="35">
        <v>3.9850753012048198E-2</v>
      </c>
      <c r="J170" s="35">
        <v>2.9706066666666676E-2</v>
      </c>
      <c r="K170" s="35">
        <v>2.0538018181818187E-2</v>
      </c>
      <c r="L170" s="35">
        <v>1.447983636363637E-2</v>
      </c>
      <c r="M170" s="35">
        <v>1.0468419406354011E-2</v>
      </c>
      <c r="N170" s="35">
        <v>8.7650564411497732E-3</v>
      </c>
      <c r="O170" s="35">
        <v>7.0616934759455364E-3</v>
      </c>
      <c r="P170" s="35">
        <v>5.3583305107412996E-3</v>
      </c>
      <c r="Q170" s="35">
        <v>3.6549675455370629E-3</v>
      </c>
      <c r="R170" s="35">
        <v>1.9516045803328261E-3</v>
      </c>
      <c r="S170" s="35">
        <v>2.4824161512858843E-4</v>
      </c>
      <c r="T170" s="35">
        <v>7.2137333333333267E-6</v>
      </c>
      <c r="U170" s="35">
        <v>4.5274381818181783E-6</v>
      </c>
      <c r="V170" s="35">
        <v>2.92095333333333E-6</v>
      </c>
      <c r="W170" s="35">
        <v>1.7633610909090891E-6</v>
      </c>
      <c r="X170" s="35">
        <v>9.5847018181817999E-7</v>
      </c>
      <c r="Y170" s="35">
        <v>5.7453042168674667E-7</v>
      </c>
      <c r="Z170" s="35">
        <v>2.8585151515151516E-7</v>
      </c>
      <c r="AA170" s="35">
        <v>1.5805757575757578E-7</v>
      </c>
      <c r="AB170" s="35">
        <v>8.0856727272727281E-8</v>
      </c>
      <c r="AC170" s="35">
        <v>3.7384606060606055E-8</v>
      </c>
      <c r="AD170" s="35">
        <v>2.1652484848484847E-8</v>
      </c>
      <c r="AE170" s="35">
        <v>1.02588E-8</v>
      </c>
      <c r="AF170" s="35">
        <v>5.5814666666666665E-9</v>
      </c>
      <c r="AG170" s="35">
        <v>3.5633066717095309E-9</v>
      </c>
      <c r="AH170" s="35">
        <v>2.9770092435703479E-9</v>
      </c>
      <c r="AI170" s="35">
        <v>2.3907118154311652E-9</v>
      </c>
      <c r="AJ170" s="35">
        <v>1.8044143872919822E-9</v>
      </c>
      <c r="AK170" s="35">
        <v>1.2181169591527996E-9</v>
      </c>
      <c r="AL170" s="35">
        <v>6.3181953101361655E-10</v>
      </c>
      <c r="AM170" s="35">
        <v>6.8568041149773098E-11</v>
      </c>
      <c r="AN170" s="35">
        <v>5.8419069894099876E-11</v>
      </c>
      <c r="AO170" s="35">
        <v>4.827009863842666E-11</v>
      </c>
      <c r="AP170" s="35">
        <v>3.8121127382753444E-11</v>
      </c>
      <c r="AQ170" s="35">
        <v>2.7972156127080222E-11</v>
      </c>
      <c r="AR170" s="35">
        <v>1.7823184871407006E-11</v>
      </c>
      <c r="AS170" s="35">
        <v>7.6742136157337898E-12</v>
      </c>
      <c r="AT170" s="35">
        <v>1.7714612647503793E-12</v>
      </c>
      <c r="AU170" s="35">
        <v>1.4974176944024213E-12</v>
      </c>
      <c r="AV170" s="35">
        <v>1.2233741240544633E-12</v>
      </c>
      <c r="AW170" s="35">
        <v>9.4933055370650532E-13</v>
      </c>
      <c r="AX170" s="35">
        <v>6.7528698335854732E-13</v>
      </c>
      <c r="AY170" s="35">
        <v>4.0124341301058911E-13</v>
      </c>
      <c r="AZ170" s="35">
        <v>1.2719984266263111E-13</v>
      </c>
      <c r="BA170" s="35">
        <v>6.8763266060606007E-14</v>
      </c>
      <c r="BB170" s="35">
        <v>5.7655053939393885E-14</v>
      </c>
      <c r="BC170" s="35">
        <v>4.6546841818181763E-14</v>
      </c>
      <c r="BD170" s="35">
        <v>3.5438629696969647E-14</v>
      </c>
      <c r="BE170" s="35">
        <v>2.4330417575757524E-14</v>
      </c>
      <c r="BF170" s="35">
        <v>1.3222205454545409E-14</v>
      </c>
      <c r="BG170" s="35">
        <v>4.2595807228915605E-15</v>
      </c>
      <c r="BH170" s="35">
        <v>2.9040385542168631E-15</v>
      </c>
      <c r="BI170" s="35">
        <v>1.9238472727272712E-15</v>
      </c>
      <c r="BJ170" s="35">
        <v>1.2385745454545439E-15</v>
      </c>
      <c r="BK170" s="35">
        <v>8.6151054545454468E-16</v>
      </c>
      <c r="BL170" s="35">
        <v>5.5914763636363596E-16</v>
      </c>
      <c r="BM170" s="35">
        <v>3.8263854545454506E-16</v>
      </c>
      <c r="BN170" s="35">
        <v>2.8715084417549159E-16</v>
      </c>
      <c r="BO170" s="35">
        <v>2.434637034795763E-16</v>
      </c>
      <c r="BP170" s="35">
        <v>1.9977656278366106E-16</v>
      </c>
      <c r="BQ170" s="35">
        <v>1.560894220877458E-16</v>
      </c>
      <c r="BR170" s="35">
        <v>1.1240228139183053E-16</v>
      </c>
      <c r="BS170" s="35">
        <v>6.871514069591529E-17</v>
      </c>
      <c r="BT170" s="35">
        <v>2.5028E-17</v>
      </c>
    </row>
    <row r="171" spans="1:72" ht="9.9499999999999993" customHeight="1" thickBot="1" x14ac:dyDescent="0.4">
      <c r="A171" s="87" t="s">
        <v>79</v>
      </c>
      <c r="B171" s="35">
        <v>5.1593278787878789E-2</v>
      </c>
      <c r="C171" s="35">
        <v>5.5852818181818184E-2</v>
      </c>
      <c r="D171" s="35">
        <v>6.1389181818181822E-2</v>
      </c>
      <c r="E171" s="35">
        <v>6.7290103030303042E-2</v>
      </c>
      <c r="F171" s="35">
        <v>7.2393739393939394E-2</v>
      </c>
      <c r="G171" s="35">
        <v>6.6777981818181814E-2</v>
      </c>
      <c r="H171" s="35">
        <v>6.5877759036144581E-2</v>
      </c>
      <c r="I171" s="35">
        <v>7.1228361445783123E-2</v>
      </c>
      <c r="J171" s="35">
        <v>7.5777466666666654E-2</v>
      </c>
      <c r="K171" s="35">
        <v>7.9905781818181823E-2</v>
      </c>
      <c r="L171" s="35">
        <v>8.2703963636363634E-2</v>
      </c>
      <c r="M171" s="35">
        <v>8.4655009077155827E-2</v>
      </c>
      <c r="N171" s="35">
        <v>8.5650773071104386E-2</v>
      </c>
      <c r="O171" s="35">
        <v>8.6646537065052945E-2</v>
      </c>
      <c r="P171" s="35">
        <v>8.7642301059001518E-2</v>
      </c>
      <c r="Q171" s="35">
        <v>8.8638065052950077E-2</v>
      </c>
      <c r="R171" s="35">
        <v>8.9633829046898636E-2</v>
      </c>
      <c r="S171" s="35">
        <v>9.0629593040847209E-2</v>
      </c>
      <c r="T171" s="35">
        <v>8.757553333333333E-2</v>
      </c>
      <c r="U171" s="35">
        <v>8.2707581818181788E-2</v>
      </c>
      <c r="V171" s="35">
        <v>7.3496066666666651E-2</v>
      </c>
      <c r="W171" s="35">
        <v>6.2594369696969673E-2</v>
      </c>
      <c r="X171" s="35">
        <v>5.03646727272727E-2</v>
      </c>
      <c r="Y171" s="35">
        <v>3.9331843373493963E-2</v>
      </c>
      <c r="Z171" s="35">
        <v>2.9209636363636365E-2</v>
      </c>
      <c r="AA171" s="35">
        <v>2.146418181818182E-2</v>
      </c>
      <c r="AB171" s="35">
        <v>1.5504545454545455E-2</v>
      </c>
      <c r="AC171" s="35">
        <v>1.0735454545454545E-2</v>
      </c>
      <c r="AD171" s="35">
        <v>7.8851909090909087E-3</v>
      </c>
      <c r="AE171" s="35">
        <v>5.4968090909090911E-3</v>
      </c>
      <c r="AF171" s="35">
        <v>3.9505060606060613E-3</v>
      </c>
      <c r="AG171" s="35">
        <v>3.1159267776096826E-3</v>
      </c>
      <c r="AH171" s="35">
        <v>2.6645833585476554E-3</v>
      </c>
      <c r="AI171" s="35">
        <v>2.2132399394856287E-3</v>
      </c>
      <c r="AJ171" s="35">
        <v>1.7618965204236013E-3</v>
      </c>
      <c r="AK171" s="35">
        <v>1.3105531013615744E-3</v>
      </c>
      <c r="AL171" s="35">
        <v>8.5920968229954726E-4</v>
      </c>
      <c r="AM171" s="35">
        <v>4.23759885022693E-4</v>
      </c>
      <c r="AN171" s="35">
        <v>3.6975701059001526E-4</v>
      </c>
      <c r="AO171" s="35">
        <v>3.1575413615733753E-4</v>
      </c>
      <c r="AP171" s="35">
        <v>2.617512617246598E-4</v>
      </c>
      <c r="AQ171" s="35">
        <v>2.0774838729198202E-4</v>
      </c>
      <c r="AR171" s="35">
        <v>1.5374551285930429E-4</v>
      </c>
      <c r="AS171" s="35">
        <v>9.9742638426626555E-5</v>
      </c>
      <c r="AT171" s="35">
        <v>6.5393886535552233E-5</v>
      </c>
      <c r="AU171" s="35">
        <v>5.7098273827534067E-5</v>
      </c>
      <c r="AV171" s="35">
        <v>4.8802661119515901E-5</v>
      </c>
      <c r="AW171" s="35">
        <v>4.0507048411497735E-5</v>
      </c>
      <c r="AX171" s="35">
        <v>3.2211435703479569E-5</v>
      </c>
      <c r="AY171" s="35">
        <v>2.3915822995461403E-5</v>
      </c>
      <c r="AZ171" s="35">
        <v>1.5620210287443237E-5</v>
      </c>
      <c r="BA171" s="35">
        <v>1.2810477575757569E-5</v>
      </c>
      <c r="BB171" s="35">
        <v>1.1204962424242416E-5</v>
      </c>
      <c r="BC171" s="35">
        <v>9.5994472727272654E-6</v>
      </c>
      <c r="BD171" s="35">
        <v>7.9939321212121146E-6</v>
      </c>
      <c r="BE171" s="35">
        <v>6.3884169696969622E-6</v>
      </c>
      <c r="BF171" s="35">
        <v>4.7829018181818097E-6</v>
      </c>
      <c r="BG171" s="35">
        <v>3.3993421686746963E-6</v>
      </c>
      <c r="BH171" s="35">
        <v>2.8027156626506006E-6</v>
      </c>
      <c r="BI171" s="35">
        <v>2.301300606060605E-6</v>
      </c>
      <c r="BJ171" s="35">
        <v>1.8746945454545446E-6</v>
      </c>
      <c r="BK171" s="35">
        <v>1.5592187878787873E-6</v>
      </c>
      <c r="BL171" s="35">
        <v>1.2772199999999995E-6</v>
      </c>
      <c r="BM171" s="35">
        <v>1.0592199999999994E-6</v>
      </c>
      <c r="BN171" s="35">
        <v>9.1136261724659574E-7</v>
      </c>
      <c r="BO171" s="35">
        <v>8.0835051437216311E-7</v>
      </c>
      <c r="BP171" s="35">
        <v>7.0533841149773048E-7</v>
      </c>
      <c r="BQ171" s="35">
        <v>6.0232630862329785E-7</v>
      </c>
      <c r="BR171" s="35">
        <v>4.9931420574886521E-7</v>
      </c>
      <c r="BS171" s="35">
        <v>3.9630210287443258E-7</v>
      </c>
      <c r="BT171" s="35">
        <v>2.9328999999999995E-7</v>
      </c>
    </row>
    <row r="172" spans="1:72" ht="9.9499999999999993" customHeight="1" thickBot="1" x14ac:dyDescent="0.4">
      <c r="A172" s="87" t="s">
        <v>57</v>
      </c>
      <c r="B172" s="35">
        <v>5.0165527272727303E-7</v>
      </c>
      <c r="C172" s="35">
        <v>9.5232460606060698E-7</v>
      </c>
      <c r="D172" s="35">
        <v>1.750336727272728E-6</v>
      </c>
      <c r="E172" s="35">
        <v>4.0447072727272757E-6</v>
      </c>
      <c r="F172" s="35">
        <v>7.888714545454562E-6</v>
      </c>
      <c r="G172" s="35">
        <v>2.3188896363636381E-5</v>
      </c>
      <c r="H172" s="35">
        <v>4.6969843373493997E-5</v>
      </c>
      <c r="I172" s="35">
        <v>8.1992734939759004E-5</v>
      </c>
      <c r="J172" s="35">
        <v>1.6927493333333322E-4</v>
      </c>
      <c r="K172" s="35">
        <v>2.9427890909090876E-4</v>
      </c>
      <c r="L172" s="35">
        <v>5.8143648484848456E-4</v>
      </c>
      <c r="M172" s="35">
        <v>2.6851162178517362E-3</v>
      </c>
      <c r="N172" s="35">
        <v>6.8372145537065037E-3</v>
      </c>
      <c r="O172" s="35">
        <v>1.0989312889561273E-2</v>
      </c>
      <c r="P172" s="35">
        <v>1.514141122541604E-2</v>
      </c>
      <c r="Q172" s="35">
        <v>1.9293509561270808E-2</v>
      </c>
      <c r="R172" s="35">
        <v>2.3445607897125575E-2</v>
      </c>
      <c r="S172" s="35">
        <v>2.7597706232980343E-2</v>
      </c>
      <c r="T172" s="35">
        <v>4.2644721212121248E-2</v>
      </c>
      <c r="U172" s="35">
        <v>6.0608109090909135E-2</v>
      </c>
      <c r="V172" s="35">
        <v>8.2870533333333385E-2</v>
      </c>
      <c r="W172" s="35">
        <v>0.10495002424242429</v>
      </c>
      <c r="X172" s="35">
        <v>0.12688578181818189</v>
      </c>
      <c r="Y172" s="35">
        <v>0.14423132530120483</v>
      </c>
      <c r="Z172" s="35">
        <v>0.15967878787878789</v>
      </c>
      <c r="AA172" s="35">
        <v>0.17079393939393941</v>
      </c>
      <c r="AB172" s="35">
        <v>0.17918181818181819</v>
      </c>
      <c r="AC172" s="35">
        <v>0.18575151515151514</v>
      </c>
      <c r="AD172" s="35">
        <v>0.18958636363636364</v>
      </c>
      <c r="AE172" s="35">
        <v>0.19278454545454546</v>
      </c>
      <c r="AF172" s="35">
        <v>0.19483303030303031</v>
      </c>
      <c r="AG172" s="35">
        <v>0.19593350983358548</v>
      </c>
      <c r="AH172" s="35">
        <v>0.19652352496217851</v>
      </c>
      <c r="AI172" s="35">
        <v>0.19711354009077156</v>
      </c>
      <c r="AJ172" s="35">
        <v>0.19770355521936459</v>
      </c>
      <c r="AK172" s="35">
        <v>0.19829357034795764</v>
      </c>
      <c r="AL172" s="35">
        <v>0.19888358547655066</v>
      </c>
      <c r="AM172" s="35">
        <v>0.19945278366111951</v>
      </c>
      <c r="AN172" s="35">
        <v>0.1995223751891074</v>
      </c>
      <c r="AO172" s="35">
        <v>0.19959196671709531</v>
      </c>
      <c r="AP172" s="35">
        <v>0.19966155824508319</v>
      </c>
      <c r="AQ172" s="35">
        <v>0.1997311497730711</v>
      </c>
      <c r="AR172" s="35">
        <v>0.19980074130105901</v>
      </c>
      <c r="AS172" s="35">
        <v>0.1998703328290469</v>
      </c>
      <c r="AT172" s="35">
        <v>0.19991455370650529</v>
      </c>
      <c r="AU172" s="35">
        <v>0.19992514372163389</v>
      </c>
      <c r="AV172" s="35">
        <v>0.19993573373676249</v>
      </c>
      <c r="AW172" s="35">
        <v>0.19994632375189106</v>
      </c>
      <c r="AX172" s="35">
        <v>0.19995691376701966</v>
      </c>
      <c r="AY172" s="35">
        <v>0.19996750378214825</v>
      </c>
      <c r="AZ172" s="35">
        <v>0.19997809379727685</v>
      </c>
      <c r="BA172" s="35">
        <v>0.19998248484848485</v>
      </c>
      <c r="BB172" s="35">
        <v>0.19998551515151514</v>
      </c>
      <c r="BC172" s="35">
        <v>0.19998854545454545</v>
      </c>
      <c r="BD172" s="35">
        <v>0.19999157575757576</v>
      </c>
      <c r="BE172" s="35">
        <v>0.19999460606060607</v>
      </c>
      <c r="BF172" s="35">
        <v>0.19999763636363638</v>
      </c>
      <c r="BG172" s="35">
        <v>0.2</v>
      </c>
      <c r="BH172" s="35">
        <v>0.2</v>
      </c>
      <c r="BI172" s="35">
        <v>0.2</v>
      </c>
      <c r="BJ172" s="35">
        <v>0.2</v>
      </c>
      <c r="BK172" s="35">
        <v>0.2</v>
      </c>
      <c r="BL172" s="35">
        <v>0.2</v>
      </c>
      <c r="BM172" s="35">
        <v>0.2</v>
      </c>
      <c r="BN172" s="35">
        <v>0.2</v>
      </c>
      <c r="BO172" s="35">
        <v>0.2</v>
      </c>
      <c r="BP172" s="35">
        <v>0.2</v>
      </c>
      <c r="BQ172" s="35">
        <v>0.2</v>
      </c>
      <c r="BR172" s="35">
        <v>0.2</v>
      </c>
      <c r="BS172" s="35">
        <v>0.2</v>
      </c>
      <c r="BT172" s="35">
        <v>0.2</v>
      </c>
    </row>
    <row r="173" spans="1:72" ht="9.9499999999999993" customHeight="1" thickBot="1" x14ac:dyDescent="0.4">
      <c r="A173" s="87" t="s">
        <v>92</v>
      </c>
      <c r="B173" s="35">
        <v>5.999675151515152E-2</v>
      </c>
      <c r="C173" s="35">
        <v>5.9994848484848484E-2</v>
      </c>
      <c r="D173" s="35">
        <v>5.9991818181818181E-2</v>
      </c>
      <c r="E173" s="35">
        <v>5.9986575757575759E-2</v>
      </c>
      <c r="F173" s="35">
        <v>5.9979400000000002E-2</v>
      </c>
      <c r="G173" s="35">
        <v>5.9959400000000003E-2</v>
      </c>
      <c r="H173" s="35">
        <v>5.9935825301204823E-2</v>
      </c>
      <c r="I173" s="35">
        <v>5.9907512048192772E-2</v>
      </c>
      <c r="J173" s="35">
        <v>5.9858066666666668E-2</v>
      </c>
      <c r="K173" s="35">
        <v>5.9796490909090907E-2</v>
      </c>
      <c r="L173" s="35">
        <v>5.9692248484848484E-2</v>
      </c>
      <c r="M173" s="35">
        <v>5.9391049924357037E-2</v>
      </c>
      <c r="N173" s="35">
        <v>5.8867751891074134E-2</v>
      </c>
      <c r="O173" s="35">
        <v>5.8344453857791224E-2</v>
      </c>
      <c r="P173" s="35">
        <v>5.7821155824508322E-2</v>
      </c>
      <c r="Q173" s="35">
        <v>5.7297857791225412E-2</v>
      </c>
      <c r="R173" s="35">
        <v>5.677455975794251E-2</v>
      </c>
      <c r="S173" s="35">
        <v>5.6251261724659607E-2</v>
      </c>
      <c r="T173" s="35">
        <v>5.4774375757575752E-2</v>
      </c>
      <c r="U173" s="35">
        <v>5.2963309090909086E-2</v>
      </c>
      <c r="V173" s="35">
        <v>5.0479066666666662E-2</v>
      </c>
      <c r="W173" s="35">
        <v>4.7442969696969685E-2</v>
      </c>
      <c r="X173" s="35">
        <v>4.3973272727272715E-2</v>
      </c>
      <c r="Y173" s="35">
        <v>3.9656999999999998E-2</v>
      </c>
      <c r="Z173" s="35">
        <v>3.5089727272727272E-2</v>
      </c>
      <c r="AA173" s="35">
        <v>3.0020636363636364E-2</v>
      </c>
      <c r="AB173" s="35">
        <v>2.4953363636363635E-2</v>
      </c>
      <c r="AC173" s="35">
        <v>1.9887303030303029E-2</v>
      </c>
      <c r="AD173" s="35">
        <v>1.5540363636363637E-2</v>
      </c>
      <c r="AE173" s="35">
        <v>1.15906E-2</v>
      </c>
      <c r="AF173" s="35">
        <v>8.4792666666666655E-3</v>
      </c>
      <c r="AG173" s="35">
        <v>6.7316415279878973E-3</v>
      </c>
      <c r="AH173" s="35">
        <v>5.7183208018154316E-3</v>
      </c>
      <c r="AI173" s="35">
        <v>4.7050000756429667E-3</v>
      </c>
      <c r="AJ173" s="35">
        <v>3.6916793494705005E-3</v>
      </c>
      <c r="AK173" s="35">
        <v>2.6783586232980352E-3</v>
      </c>
      <c r="AL173" s="35">
        <v>1.6650378971255694E-3</v>
      </c>
      <c r="AM173" s="35">
        <v>6.8850037216338907E-4</v>
      </c>
      <c r="AN173" s="35">
        <v>5.947596762481092E-4</v>
      </c>
      <c r="AO173" s="35">
        <v>5.0101898033282934E-4</v>
      </c>
      <c r="AP173" s="35">
        <v>4.0727828441754953E-4</v>
      </c>
      <c r="AQ173" s="35">
        <v>3.1353758850226967E-4</v>
      </c>
      <c r="AR173" s="35">
        <v>2.197968925869898E-4</v>
      </c>
      <c r="AS173" s="35">
        <v>1.2605619667170999E-4</v>
      </c>
      <c r="AT173" s="35">
        <v>6.8334779273827569E-5</v>
      </c>
      <c r="AU173" s="35">
        <v>5.8359847352496242E-5</v>
      </c>
      <c r="AV173" s="35">
        <v>4.8384915431164916E-5</v>
      </c>
      <c r="AW173" s="35">
        <v>3.8409983509833583E-5</v>
      </c>
      <c r="AX173" s="35">
        <v>2.843505158850225E-5</v>
      </c>
      <c r="AY173" s="35">
        <v>1.8460119667170917E-5</v>
      </c>
      <c r="AZ173" s="35">
        <v>8.4851877458395837E-6</v>
      </c>
      <c r="BA173" s="35">
        <v>5.8795288181818134E-6</v>
      </c>
      <c r="BB173" s="35">
        <v>4.8915151818181767E-6</v>
      </c>
      <c r="BC173" s="35">
        <v>3.9035015454545407E-6</v>
      </c>
      <c r="BD173" s="35">
        <v>2.9154879090909044E-6</v>
      </c>
      <c r="BE173" s="35">
        <v>1.927474272727268E-6</v>
      </c>
      <c r="BF173" s="35">
        <v>9.3946063636363209E-7</v>
      </c>
      <c r="BG173" s="35">
        <v>1.5305084337349367E-7</v>
      </c>
      <c r="BH173" s="35">
        <v>8.141831325301183E-8</v>
      </c>
      <c r="BI173" s="35">
        <v>3.7584751515151461E-8</v>
      </c>
      <c r="BJ173" s="35">
        <v>1.5593236363636308E-8</v>
      </c>
      <c r="BK173" s="35">
        <v>8.0638824242424114E-9</v>
      </c>
      <c r="BL173" s="35">
        <v>3.1347087272727236E-9</v>
      </c>
      <c r="BM173" s="35">
        <v>1.5351269090909053E-9</v>
      </c>
      <c r="BN173" s="35">
        <v>8.276074868381237E-10</v>
      </c>
      <c r="BO173" s="35">
        <v>6.9042303903176977E-10</v>
      </c>
      <c r="BP173" s="35">
        <v>5.5323859122541583E-10</v>
      </c>
      <c r="BQ173" s="35">
        <v>4.1605414341906189E-10</v>
      </c>
      <c r="BR173" s="35">
        <v>2.7886969561270785E-10</v>
      </c>
      <c r="BS173" s="35">
        <v>1.4168524780635392E-10</v>
      </c>
      <c r="BT173" s="35">
        <v>4.500799999999981E-12</v>
      </c>
    </row>
    <row r="174" spans="1:72" ht="9.9499999999999993" customHeight="1" thickBot="1" x14ac:dyDescent="0.4">
      <c r="A174" s="87" t="s">
        <v>70</v>
      </c>
      <c r="B174" s="35">
        <v>7.1087866666666693E-6</v>
      </c>
      <c r="C174" s="35">
        <v>1.0795980606060613E-5</v>
      </c>
      <c r="D174" s="35">
        <v>1.6321192727272735E-5</v>
      </c>
      <c r="E174" s="35">
        <v>2.6765454545454558E-5</v>
      </c>
      <c r="F174" s="35">
        <v>4.1284945454545498E-5</v>
      </c>
      <c r="G174" s="35">
        <v>8.174676363636367E-5</v>
      </c>
      <c r="H174" s="35">
        <v>1.2915421686746992E-4</v>
      </c>
      <c r="I174" s="35">
        <v>1.8576867469879515E-4</v>
      </c>
      <c r="J174" s="35">
        <v>2.8412466666666655E-4</v>
      </c>
      <c r="K174" s="35">
        <v>4.067205454545452E-4</v>
      </c>
      <c r="L174" s="35">
        <v>6.1564175757575744E-4</v>
      </c>
      <c r="M174" s="35">
        <v>1.2183007261724649E-3</v>
      </c>
      <c r="N174" s="35">
        <v>2.2649618456883503E-3</v>
      </c>
      <c r="O174" s="35">
        <v>3.3116229652042362E-3</v>
      </c>
      <c r="P174" s="35">
        <v>4.358284084720122E-3</v>
      </c>
      <c r="Q174" s="35">
        <v>5.4049452042360061E-3</v>
      </c>
      <c r="R174" s="35">
        <v>6.451606323751892E-3</v>
      </c>
      <c r="S174" s="35">
        <v>7.4982674432677778E-3</v>
      </c>
      <c r="T174" s="35">
        <v>1.0451631515151522E-2</v>
      </c>
      <c r="U174" s="35">
        <v>1.4073381818181829E-2</v>
      </c>
      <c r="V174" s="35">
        <v>1.9041866666666678E-2</v>
      </c>
      <c r="W174" s="35">
        <v>2.5114060606060622E-2</v>
      </c>
      <c r="X174" s="35">
        <v>3.2053454545454559E-2</v>
      </c>
      <c r="Y174" s="35">
        <v>4.068545180722892E-2</v>
      </c>
      <c r="Z174" s="35">
        <v>4.9819696969696972E-2</v>
      </c>
      <c r="AA174" s="35">
        <v>5.9958484848484851E-2</v>
      </c>
      <c r="AB174" s="35">
        <v>7.0093272727272726E-2</v>
      </c>
      <c r="AC174" s="35">
        <v>8.022539393939393E-2</v>
      </c>
      <c r="AD174" s="35">
        <v>8.8918121212121212E-2</v>
      </c>
      <c r="AE174" s="35">
        <v>9.6815454545454552E-2</v>
      </c>
      <c r="AF174" s="35">
        <v>0.10303363636363637</v>
      </c>
      <c r="AG174" s="35">
        <v>0.10650704992435703</v>
      </c>
      <c r="AH174" s="35">
        <v>0.10850251134644479</v>
      </c>
      <c r="AI174" s="35">
        <v>0.11049797276853253</v>
      </c>
      <c r="AJ174" s="35">
        <v>0.11249343419062027</v>
      </c>
      <c r="AK174" s="35">
        <v>0.11448889561270802</v>
      </c>
      <c r="AL174" s="35">
        <v>0.11648435703479576</v>
      </c>
      <c r="AM174" s="35">
        <v>0.1183902571860817</v>
      </c>
      <c r="AN174" s="35">
        <v>0.11814668683812406</v>
      </c>
      <c r="AO174" s="35">
        <v>0.11790311649016642</v>
      </c>
      <c r="AP174" s="35">
        <v>0.11765954614220878</v>
      </c>
      <c r="AQ174" s="35">
        <v>0.11741597579425114</v>
      </c>
      <c r="AR174" s="35">
        <v>0.1171724054462935</v>
      </c>
      <c r="AS174" s="35">
        <v>0.11692883509833586</v>
      </c>
      <c r="AT174" s="35">
        <v>0.1153077685325265</v>
      </c>
      <c r="AU174" s="35">
        <v>0.11186071860816946</v>
      </c>
      <c r="AV174" s="35">
        <v>0.10841366868381241</v>
      </c>
      <c r="AW174" s="35">
        <v>0.10496661875945537</v>
      </c>
      <c r="AX174" s="35">
        <v>0.10151956883509833</v>
      </c>
      <c r="AY174" s="35">
        <v>9.8072518910741299E-2</v>
      </c>
      <c r="AZ174" s="35">
        <v>9.4625468986384256E-2</v>
      </c>
      <c r="BA174" s="35">
        <v>8.6808257575757539E-2</v>
      </c>
      <c r="BB174" s="35">
        <v>7.8031742424242392E-2</v>
      </c>
      <c r="BC174" s="35">
        <v>6.9255227272727232E-2</v>
      </c>
      <c r="BD174" s="35">
        <v>6.0478712121212086E-2</v>
      </c>
      <c r="BE174" s="35">
        <v>5.1702196969696933E-2</v>
      </c>
      <c r="BF174" s="35">
        <v>4.292568181818178E-2</v>
      </c>
      <c r="BG174" s="35">
        <v>3.4498120481927678E-2</v>
      </c>
      <c r="BH174" s="35">
        <v>2.7307759036144557E-2</v>
      </c>
      <c r="BI174" s="35">
        <v>2.1186181818181805E-2</v>
      </c>
      <c r="BJ174" s="35">
        <v>1.5904363636363623E-2</v>
      </c>
      <c r="BK174" s="35">
        <v>1.2206055757575749E-2</v>
      </c>
      <c r="BL174" s="35">
        <v>9.000719999999995E-3</v>
      </c>
      <c r="BM174" s="35">
        <v>6.752719999999995E-3</v>
      </c>
      <c r="BN174" s="35">
        <v>5.4119007413010577E-3</v>
      </c>
      <c r="BO174" s="35">
        <v>4.6510822844175476E-3</v>
      </c>
      <c r="BP174" s="35">
        <v>3.8902638275340384E-3</v>
      </c>
      <c r="BQ174" s="35">
        <v>3.1294453706505287E-3</v>
      </c>
      <c r="BR174" s="35">
        <v>2.3686269137670191E-3</v>
      </c>
      <c r="BS174" s="35">
        <v>1.607808456883509E-3</v>
      </c>
      <c r="BT174" s="35">
        <v>8.4698999999999972E-4</v>
      </c>
    </row>
    <row r="175" spans="1:72" ht="9.9499999999999993" customHeight="1" thickBot="1" x14ac:dyDescent="0.4">
      <c r="A175" s="87" t="s">
        <v>93</v>
      </c>
      <c r="B175" s="35">
        <v>1.7099384969696991E-25</v>
      </c>
      <c r="C175" s="35">
        <v>2.576061515151522E-24</v>
      </c>
      <c r="D175" s="35">
        <v>8.6460918181818258E-24</v>
      </c>
      <c r="E175" s="35">
        <v>1.8961945454545483E-22</v>
      </c>
      <c r="F175" s="35">
        <v>2.8286903636363975E-21</v>
      </c>
      <c r="G175" s="35">
        <v>3.2991944909090942E-20</v>
      </c>
      <c r="H175" s="35">
        <v>3.1533828313253047E-19</v>
      </c>
      <c r="I175" s="35">
        <v>9.3197382530120423E-19</v>
      </c>
      <c r="J175" s="35">
        <v>1.1263093333333316E-17</v>
      </c>
      <c r="K175" s="35">
        <v>5.4188872727272434E-17</v>
      </c>
      <c r="L175" s="35">
        <v>3.1486281212121181E-16</v>
      </c>
      <c r="M175" s="35">
        <v>1.0140138491376681E-12</v>
      </c>
      <c r="N175" s="35">
        <v>3.170526251558244E-12</v>
      </c>
      <c r="O175" s="35">
        <v>5.3270386539788202E-12</v>
      </c>
      <c r="P175" s="35">
        <v>7.4835510563993965E-12</v>
      </c>
      <c r="Q175" s="35">
        <v>9.6400634588199728E-12</v>
      </c>
      <c r="R175" s="35">
        <v>1.1796575861240549E-11</v>
      </c>
      <c r="S175" s="35">
        <v>1.3953088263661124E-11</v>
      </c>
      <c r="T175" s="35">
        <v>6.8510575757575904E-11</v>
      </c>
      <c r="U175" s="35">
        <v>2.0693436363636459E-10</v>
      </c>
      <c r="V175" s="35">
        <v>6.2876466666666751E-10</v>
      </c>
      <c r="W175" s="35">
        <v>2.1756553333333389E-9</v>
      </c>
      <c r="X175" s="35">
        <v>4.6065220000000043E-9</v>
      </c>
      <c r="Y175" s="35">
        <v>1.5844906626506037E-8</v>
      </c>
      <c r="Z175" s="35">
        <v>3.7947151515151516E-8</v>
      </c>
      <c r="AA175" s="35">
        <v>9.0027757575757579E-8</v>
      </c>
      <c r="AB175" s="35">
        <v>2.2233636363636363E-7</v>
      </c>
      <c r="AC175" s="35">
        <v>4.08130303030303E-7</v>
      </c>
      <c r="AD175" s="35">
        <v>9.4123272727272726E-7</v>
      </c>
      <c r="AE175" s="35">
        <v>1.7459272727272726E-6</v>
      </c>
      <c r="AF175" s="35">
        <v>3.1416848484848485E-6</v>
      </c>
      <c r="AG175" s="35">
        <v>1.1318372465960661E-5</v>
      </c>
      <c r="AH175" s="35">
        <v>2.3146330105900143E-5</v>
      </c>
      <c r="AI175" s="35">
        <v>3.4974287745839621E-5</v>
      </c>
      <c r="AJ175" s="35">
        <v>4.6802245385779096E-5</v>
      </c>
      <c r="AK175" s="35">
        <v>5.8630203025718578E-5</v>
      </c>
      <c r="AL175" s="35">
        <v>7.045816066565806E-5</v>
      </c>
      <c r="AM175" s="35">
        <v>8.661994099848686E-5</v>
      </c>
      <c r="AN175" s="35">
        <v>2.0679346596066533E-4</v>
      </c>
      <c r="AO175" s="35">
        <v>3.2696699092284382E-4</v>
      </c>
      <c r="AP175" s="35">
        <v>4.4714051588502226E-4</v>
      </c>
      <c r="AQ175" s="35">
        <v>5.673140408472007E-4</v>
      </c>
      <c r="AR175" s="35">
        <v>6.8748756580937925E-4</v>
      </c>
      <c r="AS175" s="35">
        <v>8.0766109077155769E-4</v>
      </c>
      <c r="AT175" s="35">
        <v>1.0859193343419043E-3</v>
      </c>
      <c r="AU175" s="35">
        <v>1.5737317397881985E-3</v>
      </c>
      <c r="AV175" s="35">
        <v>2.0615441452344926E-3</v>
      </c>
      <c r="AW175" s="35">
        <v>2.5493565506807866E-3</v>
      </c>
      <c r="AX175" s="35">
        <v>3.037168956127081E-3</v>
      </c>
      <c r="AY175" s="35">
        <v>3.5249813615733754E-3</v>
      </c>
      <c r="AZ175" s="35">
        <v>4.0127937670196689E-3</v>
      </c>
      <c r="BA175" s="35">
        <v>3.9618584848484847E-3</v>
      </c>
      <c r="BB175" s="35">
        <v>3.7926615151515145E-3</v>
      </c>
      <c r="BC175" s="35">
        <v>3.6234645454545447E-3</v>
      </c>
      <c r="BD175" s="35">
        <v>3.4542675757575749E-3</v>
      </c>
      <c r="BE175" s="35">
        <v>3.2850706060606055E-3</v>
      </c>
      <c r="BF175" s="35">
        <v>3.1158736363636353E-3</v>
      </c>
      <c r="BG175" s="35">
        <v>2.8445048192771057E-3</v>
      </c>
      <c r="BH175" s="35">
        <v>2.2108903614457814E-3</v>
      </c>
      <c r="BI175" s="35">
        <v>1.6616369696969685E-3</v>
      </c>
      <c r="BJ175" s="35">
        <v>1.1786672727272718E-3</v>
      </c>
      <c r="BK175" s="35">
        <v>8.5488690909090847E-4</v>
      </c>
      <c r="BL175" s="35">
        <v>5.8091842424242378E-4</v>
      </c>
      <c r="BM175" s="35">
        <v>4.0391236363636324E-4</v>
      </c>
      <c r="BN175" s="35">
        <v>3.0638589409984863E-4</v>
      </c>
      <c r="BO175" s="35">
        <v>2.596742450832072E-4</v>
      </c>
      <c r="BP175" s="35">
        <v>2.1296259606656576E-4</v>
      </c>
      <c r="BQ175" s="35">
        <v>1.6625094704992432E-4</v>
      </c>
      <c r="BR175" s="35">
        <v>1.1953929803328286E-4</v>
      </c>
      <c r="BS175" s="35">
        <v>7.2827649016641454E-5</v>
      </c>
      <c r="BT175" s="35">
        <v>2.6116000000000019E-5</v>
      </c>
    </row>
    <row r="176" spans="1:72" ht="9.9499999999999993" customHeight="1" thickBot="1" x14ac:dyDescent="0.4">
      <c r="A176" s="87" t="s">
        <v>58</v>
      </c>
      <c r="B176" s="35">
        <v>2.4602367272727297E-25</v>
      </c>
      <c r="C176" s="35">
        <v>3.1886748484848567E-24</v>
      </c>
      <c r="D176" s="35">
        <v>1.0561371818181826E-23</v>
      </c>
      <c r="E176" s="35">
        <v>1.8522929696969722E-22</v>
      </c>
      <c r="F176" s="35">
        <v>1.6864451515151698E-21</v>
      </c>
      <c r="G176" s="35">
        <v>1.7731384545454563E-20</v>
      </c>
      <c r="H176" s="35">
        <v>1.4657060843373509E-19</v>
      </c>
      <c r="I176" s="35">
        <v>4.2492783734939734E-19</v>
      </c>
      <c r="J176" s="35">
        <v>4.2382199999999944E-18</v>
      </c>
      <c r="K176" s="35">
        <v>1.7744692727272641E-17</v>
      </c>
      <c r="L176" s="35">
        <v>9.459129878787871E-17</v>
      </c>
      <c r="M176" s="35">
        <v>1.5601495685325233E-13</v>
      </c>
      <c r="N176" s="35">
        <v>4.8767375866868371E-13</v>
      </c>
      <c r="O176" s="35">
        <v>8.1933256048411497E-13</v>
      </c>
      <c r="P176" s="35">
        <v>1.1509913622995461E-12</v>
      </c>
      <c r="Q176" s="35">
        <v>1.4826501641149775E-12</v>
      </c>
      <c r="R176" s="35">
        <v>1.8143089659304089E-12</v>
      </c>
      <c r="S176" s="35">
        <v>2.14596776774584E-12</v>
      </c>
      <c r="T176" s="35">
        <v>1.0124518787878809E-11</v>
      </c>
      <c r="U176" s="35">
        <v>3.0362145454545592E-11</v>
      </c>
      <c r="V176" s="35">
        <v>9.2034266666666808E-11</v>
      </c>
      <c r="W176" s="35">
        <v>3.211874545454554E-10</v>
      </c>
      <c r="X176" s="35">
        <v>6.8193290909090998E-10</v>
      </c>
      <c r="Y176" s="35">
        <v>2.4024500000000022E-9</v>
      </c>
      <c r="Z176" s="35">
        <v>5.9223818181818179E-9</v>
      </c>
      <c r="AA176" s="35">
        <v>1.4437109090909092E-8</v>
      </c>
      <c r="AB176" s="35">
        <v>3.8288090909090909E-8</v>
      </c>
      <c r="AC176" s="35">
        <v>7.2363242424242422E-8</v>
      </c>
      <c r="AD176" s="35">
        <v>1.8794781818181817E-7</v>
      </c>
      <c r="AE176" s="35">
        <v>3.8482181818181822E-7</v>
      </c>
      <c r="AF176" s="35">
        <v>7.6136121212121225E-7</v>
      </c>
      <c r="AG176" s="35">
        <v>5.6556390317700439E-6</v>
      </c>
      <c r="AH176" s="35">
        <v>1.2982545234493189E-5</v>
      </c>
      <c r="AI176" s="35">
        <v>2.0309451437216332E-5</v>
      </c>
      <c r="AJ176" s="35">
        <v>2.7636357639939478E-5</v>
      </c>
      <c r="AK176" s="35">
        <v>3.496326384266262E-5</v>
      </c>
      <c r="AL176" s="35">
        <v>4.2290170045385762E-5</v>
      </c>
      <c r="AM176" s="35">
        <v>5.6990420574886097E-5</v>
      </c>
      <c r="AN176" s="35">
        <v>2.4865093494704941E-4</v>
      </c>
      <c r="AO176" s="35">
        <v>4.4031144931921273E-4</v>
      </c>
      <c r="AP176" s="35">
        <v>6.319719636913761E-4</v>
      </c>
      <c r="AQ176" s="35">
        <v>8.2363247806353942E-4</v>
      </c>
      <c r="AR176" s="35">
        <v>1.0152929924357027E-3</v>
      </c>
      <c r="AS176" s="35">
        <v>1.2069535068078658E-3</v>
      </c>
      <c r="AT176" s="35">
        <v>2.3872187594553606E-3</v>
      </c>
      <c r="AU176" s="35">
        <v>4.8779600605143658E-3</v>
      </c>
      <c r="AV176" s="35">
        <v>7.3687013615733711E-3</v>
      </c>
      <c r="AW176" s="35">
        <v>9.8594426626323756E-3</v>
      </c>
      <c r="AX176" s="35">
        <v>1.2350183963691381E-2</v>
      </c>
      <c r="AY176" s="35">
        <v>1.4840925264750386E-2</v>
      </c>
      <c r="AZ176" s="35">
        <v>1.7331666565809391E-2</v>
      </c>
      <c r="BA176" s="35">
        <v>2.5255915151515193E-2</v>
      </c>
      <c r="BB176" s="35">
        <v>3.4372884848484886E-2</v>
      </c>
      <c r="BC176" s="35">
        <v>4.3489854545454579E-2</v>
      </c>
      <c r="BD176" s="35">
        <v>5.2606824242424285E-2</v>
      </c>
      <c r="BE176" s="35">
        <v>6.1723793939393978E-2</v>
      </c>
      <c r="BF176" s="35">
        <v>7.0840763636363671E-2</v>
      </c>
      <c r="BG176" s="35">
        <v>7.9812722891566296E-2</v>
      </c>
      <c r="BH176" s="35">
        <v>8.8270554216867497E-2</v>
      </c>
      <c r="BI176" s="35">
        <v>9.5490472727272749E-2</v>
      </c>
      <c r="BJ176" s="35">
        <v>0.10173774545454548</v>
      </c>
      <c r="BK176" s="35">
        <v>0.10608339393939395</v>
      </c>
      <c r="BL176" s="35">
        <v>0.109836</v>
      </c>
      <c r="BM176" s="35">
        <v>0.11243599999999999</v>
      </c>
      <c r="BN176" s="35">
        <v>0.1139714069591528</v>
      </c>
      <c r="BO176" s="35">
        <v>0.11482617246596066</v>
      </c>
      <c r="BP176" s="35">
        <v>0.11568093797276853</v>
      </c>
      <c r="BQ176" s="35">
        <v>0.1165357034795764</v>
      </c>
      <c r="BR176" s="35">
        <v>0.11739046898638426</v>
      </c>
      <c r="BS176" s="35">
        <v>0.11824523449319213</v>
      </c>
      <c r="BT176" s="35">
        <v>0.1191</v>
      </c>
    </row>
    <row r="177" spans="1:72" ht="9.9499999999999993" customHeight="1" thickBot="1" x14ac:dyDescent="0.4">
      <c r="A177" s="87" t="s">
        <v>80</v>
      </c>
      <c r="B177" s="35">
        <v>3.818860606060608E-9</v>
      </c>
      <c r="C177" s="35">
        <v>5.7692278787878814E-9</v>
      </c>
      <c r="D177" s="35">
        <v>8.092985454545458E-9</v>
      </c>
      <c r="E177" s="35">
        <v>1.0141289696969699E-8</v>
      </c>
      <c r="F177" s="35">
        <v>1.1696266666666664E-8</v>
      </c>
      <c r="G177" s="35">
        <v>8.7495999999999972E-9</v>
      </c>
      <c r="H177" s="35">
        <v>7.57584578313253E-9</v>
      </c>
      <c r="I177" s="35">
        <v>8.7522313253012038E-9</v>
      </c>
      <c r="J177" s="35">
        <v>9.3852599999999995E-9</v>
      </c>
      <c r="K177" s="35">
        <v>9.7826999999999993E-9</v>
      </c>
      <c r="L177" s="35">
        <v>9.642700000000001E-9</v>
      </c>
      <c r="M177" s="35">
        <v>9.4184839636913776E-9</v>
      </c>
      <c r="N177" s="35">
        <v>9.0993009077155827E-9</v>
      </c>
      <c r="O177" s="35">
        <v>8.7801178517397877E-9</v>
      </c>
      <c r="P177" s="35">
        <v>8.4609347957639944E-9</v>
      </c>
      <c r="Q177" s="35">
        <v>8.1417517397881994E-9</v>
      </c>
      <c r="R177" s="35">
        <v>7.8225686838124044E-9</v>
      </c>
      <c r="S177" s="35">
        <v>7.5033856278366095E-9</v>
      </c>
      <c r="T177" s="35">
        <v>7.6340878787878786E-9</v>
      </c>
      <c r="U177" s="35">
        <v>7.8563290909090915E-9</v>
      </c>
      <c r="V177" s="35">
        <v>8.1474200000000016E-9</v>
      </c>
      <c r="W177" s="35">
        <v>8.3391363636363643E-9</v>
      </c>
      <c r="X177" s="35">
        <v>8.4527727272727271E-9</v>
      </c>
      <c r="Y177" s="35">
        <v>8.3223885542168665E-9</v>
      </c>
      <c r="Z177" s="35">
        <v>8.1171060606060609E-9</v>
      </c>
      <c r="AA177" s="35">
        <v>7.7595303030303039E-9</v>
      </c>
      <c r="AB177" s="35">
        <v>7.3408272727272734E-9</v>
      </c>
      <c r="AC177" s="35">
        <v>6.8813727272727274E-9</v>
      </c>
      <c r="AD177" s="35">
        <v>6.3925545454545458E-9</v>
      </c>
      <c r="AE177" s="35">
        <v>5.9055545454545453E-9</v>
      </c>
      <c r="AF177" s="35">
        <v>5.42640303030303E-9</v>
      </c>
      <c r="AG177" s="35">
        <v>5.0188785173978817E-9</v>
      </c>
      <c r="AH177" s="35">
        <v>4.6499223903177007E-9</v>
      </c>
      <c r="AI177" s="35">
        <v>4.280966263237519E-9</v>
      </c>
      <c r="AJ177" s="35">
        <v>3.9120101361573372E-9</v>
      </c>
      <c r="AK177" s="35">
        <v>3.5430540090771563E-9</v>
      </c>
      <c r="AL177" s="35">
        <v>3.174097881996975E-9</v>
      </c>
      <c r="AM177" s="35">
        <v>2.8118969742813923E-9</v>
      </c>
      <c r="AN177" s="35">
        <v>2.6118213313161884E-9</v>
      </c>
      <c r="AO177" s="35">
        <v>2.4117456883509841E-9</v>
      </c>
      <c r="AP177" s="35">
        <v>2.2116700453857798E-9</v>
      </c>
      <c r="AQ177" s="35">
        <v>2.0115944024205756E-9</v>
      </c>
      <c r="AR177" s="35">
        <v>1.8115187594553715E-9</v>
      </c>
      <c r="AS177" s="35">
        <v>1.6114431164901672E-9</v>
      </c>
      <c r="AT177" s="35">
        <v>1.4548007261724663E-9</v>
      </c>
      <c r="AU177" s="35">
        <v>1.3557326475037824E-9</v>
      </c>
      <c r="AV177" s="35">
        <v>1.2566645688350985E-9</v>
      </c>
      <c r="AW177" s="35">
        <v>1.1575964901664146E-9</v>
      </c>
      <c r="AX177" s="35">
        <v>1.0585284114977307E-9</v>
      </c>
      <c r="AY177" s="35">
        <v>9.5946033282904655E-10</v>
      </c>
      <c r="AZ177" s="35">
        <v>8.6039225416036275E-10</v>
      </c>
      <c r="BA177" s="35">
        <v>8.0322360606060589E-10</v>
      </c>
      <c r="BB177" s="35">
        <v>7.5525239393939374E-10</v>
      </c>
      <c r="BC177" s="35">
        <v>7.072811818181816E-10</v>
      </c>
      <c r="BD177" s="35">
        <v>6.5930996969696956E-10</v>
      </c>
      <c r="BE177" s="35">
        <v>6.1133875757575742E-10</v>
      </c>
      <c r="BF177" s="35">
        <v>5.6336754545454527E-10</v>
      </c>
      <c r="BG177" s="35">
        <v>5.1789746987951798E-10</v>
      </c>
      <c r="BH177" s="35">
        <v>4.8129506024096381E-10</v>
      </c>
      <c r="BI177" s="35">
        <v>4.4590903030303026E-10</v>
      </c>
      <c r="BJ177" s="35">
        <v>4.1147872727272719E-10</v>
      </c>
      <c r="BK177" s="35">
        <v>3.7961296969696961E-10</v>
      </c>
      <c r="BL177" s="35">
        <v>3.4883599999999992E-10</v>
      </c>
      <c r="BM177" s="35">
        <v>3.2043599999999995E-10</v>
      </c>
      <c r="BN177" s="35">
        <v>2.9679732223903172E-10</v>
      </c>
      <c r="BO177" s="35">
        <v>2.7620276853252645E-10</v>
      </c>
      <c r="BP177" s="35">
        <v>2.5560821482602114E-10</v>
      </c>
      <c r="BQ177" s="35">
        <v>2.3501366111951587E-10</v>
      </c>
      <c r="BR177" s="35">
        <v>2.1441910741301058E-10</v>
      </c>
      <c r="BS177" s="35">
        <v>1.938245537065053E-10</v>
      </c>
      <c r="BT177" s="35">
        <v>1.7323000000000001E-10</v>
      </c>
    </row>
    <row r="178" spans="1:72" ht="9.9499999999999993" customHeight="1" thickBot="1" x14ac:dyDescent="0.4">
      <c r="A178" s="87" t="s">
        <v>94</v>
      </c>
      <c r="B178" s="35">
        <v>1.6085946666666677E-2</v>
      </c>
      <c r="C178" s="35">
        <v>2.5669878787878804E-2</v>
      </c>
      <c r="D178" s="35">
        <v>3.8127454545454562E-2</v>
      </c>
      <c r="E178" s="35">
        <v>5.1405284848484861E-2</v>
      </c>
      <c r="F178" s="35">
        <v>6.2890593939393918E-2</v>
      </c>
      <c r="G178" s="35">
        <v>5.0273018181818167E-2</v>
      </c>
      <c r="H178" s="35">
        <v>4.8265867469879528E-2</v>
      </c>
      <c r="I178" s="35">
        <v>6.0323698795180715E-2</v>
      </c>
      <c r="J178" s="35">
        <v>7.0604733333333322E-2</v>
      </c>
      <c r="K178" s="35">
        <v>7.9959036363636368E-2</v>
      </c>
      <c r="L178" s="35">
        <v>8.6409339393939397E-2</v>
      </c>
      <c r="M178" s="35">
        <v>9.2825903177004537E-2</v>
      </c>
      <c r="N178" s="35">
        <v>9.9204420574886543E-2</v>
      </c>
      <c r="O178" s="35">
        <v>0.10558293797276853</v>
      </c>
      <c r="P178" s="35">
        <v>0.11196145537065054</v>
      </c>
      <c r="Q178" s="35">
        <v>0.11833997276853253</v>
      </c>
      <c r="R178" s="35">
        <v>0.12471849016641454</v>
      </c>
      <c r="S178" s="35">
        <v>0.13109700756429654</v>
      </c>
      <c r="T178" s="35">
        <v>0.14786090909090913</v>
      </c>
      <c r="U178" s="35">
        <v>0.16763781818181825</v>
      </c>
      <c r="V178" s="35">
        <v>0.19238933333333338</v>
      </c>
      <c r="W178" s="35">
        <v>0.217507393939394</v>
      </c>
      <c r="X178" s="35">
        <v>0.2429134545454546</v>
      </c>
      <c r="Y178" s="35">
        <v>0.26457313253012049</v>
      </c>
      <c r="Z178" s="35">
        <v>0.28458696969696973</v>
      </c>
      <c r="AA178" s="35">
        <v>0.30077484848484848</v>
      </c>
      <c r="AB178" s="35">
        <v>0.31423181818181822</v>
      </c>
      <c r="AC178" s="35">
        <v>0.32586818181818183</v>
      </c>
      <c r="AD178" s="35">
        <v>0.33405000000000001</v>
      </c>
      <c r="AE178" s="35">
        <v>0.3411990909090909</v>
      </c>
      <c r="AF178" s="35">
        <v>0.34636272727272727</v>
      </c>
      <c r="AG178" s="35">
        <v>0.34922416036308623</v>
      </c>
      <c r="AH178" s="35">
        <v>0.35084594553706505</v>
      </c>
      <c r="AI178" s="35">
        <v>0.35246773071104387</v>
      </c>
      <c r="AJ178" s="35">
        <v>0.35408951588502269</v>
      </c>
      <c r="AK178" s="35">
        <v>0.35571130105900151</v>
      </c>
      <c r="AL178" s="35">
        <v>0.35733308623298032</v>
      </c>
      <c r="AM178" s="35">
        <v>0.35890900151285932</v>
      </c>
      <c r="AN178" s="35">
        <v>0.35938403933434188</v>
      </c>
      <c r="AO178" s="35">
        <v>0.35985907715582449</v>
      </c>
      <c r="AP178" s="35">
        <v>0.36033411497730711</v>
      </c>
      <c r="AQ178" s="35">
        <v>0.36080915279878972</v>
      </c>
      <c r="AR178" s="35">
        <v>0.36128419062027234</v>
      </c>
      <c r="AS178" s="35">
        <v>0.36175922844175495</v>
      </c>
      <c r="AT178" s="35">
        <v>0.36331999999999998</v>
      </c>
      <c r="AU178" s="35">
        <v>0.36631999999999998</v>
      </c>
      <c r="AV178" s="35">
        <v>0.36931999999999998</v>
      </c>
      <c r="AW178" s="35">
        <v>0.37231999999999998</v>
      </c>
      <c r="AX178" s="35">
        <v>0.37531999999999999</v>
      </c>
      <c r="AY178" s="35">
        <v>0.37831999999999999</v>
      </c>
      <c r="AZ178" s="35">
        <v>0.38131999999999999</v>
      </c>
      <c r="BA178" s="35">
        <v>0.38919900000000002</v>
      </c>
      <c r="BB178" s="35">
        <v>0.39814900000000003</v>
      </c>
      <c r="BC178" s="35">
        <v>0.40709900000000004</v>
      </c>
      <c r="BD178" s="35">
        <v>0.416049</v>
      </c>
      <c r="BE178" s="35">
        <v>0.42499900000000002</v>
      </c>
      <c r="BF178" s="35">
        <v>0.43394900000000003</v>
      </c>
      <c r="BG178" s="35">
        <v>0.44265156626506025</v>
      </c>
      <c r="BH178" s="35">
        <v>0.45047686746987953</v>
      </c>
      <c r="BI178" s="35">
        <v>0.45714763636363637</v>
      </c>
      <c r="BJ178" s="35">
        <v>0.46291127272727273</v>
      </c>
      <c r="BK178" s="35">
        <v>0.46693763636363639</v>
      </c>
      <c r="BL178" s="35">
        <v>0.47042030303030302</v>
      </c>
      <c r="BM178" s="35">
        <v>0.47284454545454546</v>
      </c>
      <c r="BN178" s="35">
        <v>0.47428279878971252</v>
      </c>
      <c r="BO178" s="35">
        <v>0.47509066565809377</v>
      </c>
      <c r="BP178" s="35">
        <v>0.47589853252647502</v>
      </c>
      <c r="BQ178" s="35">
        <v>0.47670639939485626</v>
      </c>
      <c r="BR178" s="35">
        <v>0.47751426626323751</v>
      </c>
      <c r="BS178" s="35">
        <v>0.47832213313161875</v>
      </c>
      <c r="BT178" s="35">
        <v>0.47913</v>
      </c>
    </row>
    <row r="179" spans="1:72" ht="9.9499999999999993" customHeight="1" thickBot="1" x14ac:dyDescent="0.4">
      <c r="A179" s="87" t="s">
        <v>82</v>
      </c>
      <c r="B179" s="35">
        <v>6.8686569696969745E-11</v>
      </c>
      <c r="C179" s="35">
        <v>1.1851637575757582E-10</v>
      </c>
      <c r="D179" s="35">
        <v>1.8822789090909097E-10</v>
      </c>
      <c r="E179" s="35">
        <v>2.7055557575757583E-10</v>
      </c>
      <c r="F179" s="35">
        <v>3.4585690909090899E-10</v>
      </c>
      <c r="G179" s="35">
        <v>2.8669327272727265E-10</v>
      </c>
      <c r="H179" s="35">
        <v>2.8784403614457834E-10</v>
      </c>
      <c r="I179" s="35">
        <v>3.6894644578313246E-10</v>
      </c>
      <c r="J179" s="35">
        <v>4.3965666666666656E-10</v>
      </c>
      <c r="K179" s="35">
        <v>5.0441399999999995E-10</v>
      </c>
      <c r="L179" s="35">
        <v>5.4828066666666663E-10</v>
      </c>
      <c r="M179" s="35">
        <v>5.8566626323751884E-10</v>
      </c>
      <c r="N179" s="35">
        <v>6.1574341906202725E-10</v>
      </c>
      <c r="O179" s="35">
        <v>6.4582057488653556E-10</v>
      </c>
      <c r="P179" s="35">
        <v>6.7589773071104397E-10</v>
      </c>
      <c r="Q179" s="35">
        <v>7.0597488653555228E-10</v>
      </c>
      <c r="R179" s="35">
        <v>7.3605204236006059E-10</v>
      </c>
      <c r="S179" s="35">
        <v>7.66129198184569E-10</v>
      </c>
      <c r="T179" s="35">
        <v>8.413447272727275E-10</v>
      </c>
      <c r="U179" s="35">
        <v>9.2829927272727295E-10</v>
      </c>
      <c r="V179" s="35">
        <v>1.0317720000000003E-9</v>
      </c>
      <c r="W179" s="35">
        <v>1.1279036363636366E-9</v>
      </c>
      <c r="X179" s="35">
        <v>1.218267272727273E-9</v>
      </c>
      <c r="Y179" s="35">
        <v>1.2761759036144579E-9</v>
      </c>
      <c r="Z179" s="35">
        <v>1.3218515151515151E-9</v>
      </c>
      <c r="AA179" s="35">
        <v>1.3404575757575758E-9</v>
      </c>
      <c r="AB179" s="35">
        <v>1.3423E-9</v>
      </c>
      <c r="AC179" s="35">
        <v>1.3329666666666667E-9</v>
      </c>
      <c r="AD179" s="35">
        <v>1.3052666666666667E-9</v>
      </c>
      <c r="AE179" s="35">
        <v>1.2728545454545456E-9</v>
      </c>
      <c r="AF179" s="35">
        <v>1.2317030303030302E-9</v>
      </c>
      <c r="AG179" s="35">
        <v>1.1852385779122541E-9</v>
      </c>
      <c r="AH179" s="35">
        <v>1.1359133131618759E-9</v>
      </c>
      <c r="AI179" s="35">
        <v>1.0865880484114977E-9</v>
      </c>
      <c r="AJ179" s="35">
        <v>1.0372627836611196E-9</v>
      </c>
      <c r="AK179" s="35">
        <v>9.8793751891074139E-10</v>
      </c>
      <c r="AL179" s="35">
        <v>9.3861225416036302E-10</v>
      </c>
      <c r="AM179" s="35">
        <v>8.8961763993948575E-10</v>
      </c>
      <c r="AN179" s="35">
        <v>8.4855863842662643E-10</v>
      </c>
      <c r="AO179" s="35">
        <v>8.0749963691376711E-10</v>
      </c>
      <c r="AP179" s="35">
        <v>7.664406354009078E-10</v>
      </c>
      <c r="AQ179" s="35">
        <v>7.2538163388804858E-10</v>
      </c>
      <c r="AR179" s="35">
        <v>6.8432263237518926E-10</v>
      </c>
      <c r="AS179" s="35">
        <v>6.4326363086232995E-10</v>
      </c>
      <c r="AT179" s="35">
        <v>6.0830204236006059E-10</v>
      </c>
      <c r="AU179" s="35">
        <v>5.8142307110438731E-10</v>
      </c>
      <c r="AV179" s="35">
        <v>5.5454409984871414E-10</v>
      </c>
      <c r="AW179" s="35">
        <v>5.2766512859304086E-10</v>
      </c>
      <c r="AX179" s="35">
        <v>5.0078615733736759E-10</v>
      </c>
      <c r="AY179" s="35">
        <v>4.7390718608169431E-10</v>
      </c>
      <c r="AZ179" s="35">
        <v>4.4702821482602103E-10</v>
      </c>
      <c r="BA179" s="35">
        <v>4.2961542424242416E-10</v>
      </c>
      <c r="BB179" s="35">
        <v>4.1428057575757571E-10</v>
      </c>
      <c r="BC179" s="35">
        <v>3.9894572727272721E-10</v>
      </c>
      <c r="BD179" s="35">
        <v>3.8361087878787871E-10</v>
      </c>
      <c r="BE179" s="35">
        <v>3.6827603030303021E-10</v>
      </c>
      <c r="BF179" s="35">
        <v>3.5294118181818177E-10</v>
      </c>
      <c r="BG179" s="35">
        <v>3.3778204819277102E-10</v>
      </c>
      <c r="BH179" s="35">
        <v>3.2324590361445779E-10</v>
      </c>
      <c r="BI179" s="35">
        <v>3.0836854545454544E-10</v>
      </c>
      <c r="BJ179" s="35">
        <v>2.9322309090909089E-10</v>
      </c>
      <c r="BK179" s="35">
        <v>2.780445454545454E-10</v>
      </c>
      <c r="BL179" s="35">
        <v>2.6299036363636361E-10</v>
      </c>
      <c r="BM179" s="35">
        <v>2.4829945454545455E-10</v>
      </c>
      <c r="BN179" s="35">
        <v>2.3508019667170955E-10</v>
      </c>
      <c r="BO179" s="35">
        <v>2.2280183055975793E-10</v>
      </c>
      <c r="BP179" s="35">
        <v>2.1052346444780634E-10</v>
      </c>
      <c r="BQ179" s="35">
        <v>1.9824509833585476E-10</v>
      </c>
      <c r="BR179" s="35">
        <v>1.8596673222390317E-10</v>
      </c>
      <c r="BS179" s="35">
        <v>1.7368836611195158E-10</v>
      </c>
      <c r="BT179" s="35">
        <v>1.6140999999999999E-10</v>
      </c>
    </row>
    <row r="180" spans="1:72" ht="9.9499999999999993" customHeight="1" thickBot="1" x14ac:dyDescent="0.4">
      <c r="A180" s="87" t="s">
        <v>83</v>
      </c>
      <c r="B180" s="35">
        <v>1.3419023030303037E-8</v>
      </c>
      <c r="C180" s="35">
        <v>1.913252121212122E-8</v>
      </c>
      <c r="D180" s="35">
        <v>2.5354945454545461E-8</v>
      </c>
      <c r="E180" s="35">
        <v>2.9997915151515154E-8</v>
      </c>
      <c r="F180" s="35">
        <v>3.2987466666666657E-8</v>
      </c>
      <c r="G180" s="35">
        <v>2.3680799999999988E-8</v>
      </c>
      <c r="H180" s="35">
        <v>1.9241180722891568E-8</v>
      </c>
      <c r="I180" s="35">
        <v>2.1253228915662649E-8</v>
      </c>
      <c r="J180" s="35">
        <v>2.1837799999999999E-8</v>
      </c>
      <c r="K180" s="35">
        <v>2.1841072727272729E-8</v>
      </c>
      <c r="L180" s="35">
        <v>2.0708345454545454E-8</v>
      </c>
      <c r="M180" s="35">
        <v>1.9576850226928897E-8</v>
      </c>
      <c r="N180" s="35">
        <v>1.8446744326777609E-8</v>
      </c>
      <c r="O180" s="35">
        <v>1.7316638426626325E-8</v>
      </c>
      <c r="P180" s="35">
        <v>1.6186532526475037E-8</v>
      </c>
      <c r="Q180" s="35">
        <v>1.5056426626323752E-8</v>
      </c>
      <c r="R180" s="35">
        <v>1.3926320726172464E-8</v>
      </c>
      <c r="S180" s="35">
        <v>1.2796214826021178E-8</v>
      </c>
      <c r="T180" s="35">
        <v>1.2634351515151516E-8</v>
      </c>
      <c r="U180" s="35">
        <v>1.2723272727272729E-8</v>
      </c>
      <c r="V180" s="35">
        <v>1.3162666666666668E-8</v>
      </c>
      <c r="W180" s="35">
        <v>1.3497866666666668E-8</v>
      </c>
      <c r="X180" s="35">
        <v>1.3751200000000001E-8</v>
      </c>
      <c r="Y180" s="35">
        <v>1.3611186746987952E-8</v>
      </c>
      <c r="Z180" s="35">
        <v>1.3347757575757577E-8</v>
      </c>
      <c r="AA180" s="35">
        <v>1.2830787878787879E-8</v>
      </c>
      <c r="AB180" s="35">
        <v>1.2206545454545455E-8</v>
      </c>
      <c r="AC180" s="35">
        <v>1.1510787878787878E-8</v>
      </c>
      <c r="AD180" s="35">
        <v>1.0753424242424242E-8</v>
      </c>
      <c r="AE180" s="35">
        <v>9.9942181818181815E-9</v>
      </c>
      <c r="AF180" s="35">
        <v>9.2382787878787874E-9</v>
      </c>
      <c r="AG180" s="35">
        <v>8.5838278366111949E-9</v>
      </c>
      <c r="AH180" s="35">
        <v>7.9840245083207273E-9</v>
      </c>
      <c r="AI180" s="35">
        <v>7.3842211800302581E-9</v>
      </c>
      <c r="AJ180" s="35">
        <v>6.7844178517397889E-9</v>
      </c>
      <c r="AK180" s="35">
        <v>6.1846145234493213E-9</v>
      </c>
      <c r="AL180" s="35">
        <v>5.5848111951588521E-9</v>
      </c>
      <c r="AM180" s="35">
        <v>4.9954405446293504E-9</v>
      </c>
      <c r="AN180" s="35">
        <v>4.6564541603630871E-9</v>
      </c>
      <c r="AO180" s="35">
        <v>4.3174677760968246E-9</v>
      </c>
      <c r="AP180" s="35">
        <v>3.9784813918305613E-9</v>
      </c>
      <c r="AQ180" s="35">
        <v>3.639495007564298E-9</v>
      </c>
      <c r="AR180" s="35">
        <v>3.3005086232980347E-9</v>
      </c>
      <c r="AS180" s="35">
        <v>2.9615222390317714E-9</v>
      </c>
      <c r="AT180" s="35">
        <v>2.6935736762481098E-9</v>
      </c>
      <c r="AU180" s="35">
        <v>2.5197915279878977E-9</v>
      </c>
      <c r="AV180" s="35">
        <v>2.3460093797276855E-9</v>
      </c>
      <c r="AW180" s="35">
        <v>2.1722272314674733E-9</v>
      </c>
      <c r="AX180" s="35">
        <v>1.9984450832072616E-9</v>
      </c>
      <c r="AY180" s="35">
        <v>1.8246629349470494E-9</v>
      </c>
      <c r="AZ180" s="35">
        <v>1.6508807866868374E-9</v>
      </c>
      <c r="BA180" s="35">
        <v>1.5488315151515148E-9</v>
      </c>
      <c r="BB180" s="35">
        <v>1.4625284848484846E-9</v>
      </c>
      <c r="BC180" s="35">
        <v>1.3762254545454542E-9</v>
      </c>
      <c r="BD180" s="35">
        <v>1.2899224242424239E-9</v>
      </c>
      <c r="BE180" s="35">
        <v>1.2036193939393935E-9</v>
      </c>
      <c r="BF180" s="35">
        <v>1.1173163636363633E-9</v>
      </c>
      <c r="BG180" s="35">
        <v>1.035074457831325E-9</v>
      </c>
      <c r="BH180" s="35">
        <v>9.6723108433734908E-10</v>
      </c>
      <c r="BI180" s="35">
        <v>9.0111236363636349E-10</v>
      </c>
      <c r="BJ180" s="35">
        <v>8.3634872727272714E-10</v>
      </c>
      <c r="BK180" s="35">
        <v>7.7569939393939379E-10</v>
      </c>
      <c r="BL180" s="35">
        <v>7.1688145454545441E-10</v>
      </c>
      <c r="BM180" s="35">
        <v>6.6211781818181803E-10</v>
      </c>
      <c r="BN180" s="35">
        <v>6.1595302571860805E-10</v>
      </c>
      <c r="BO180" s="35">
        <v>5.7528585476550673E-10</v>
      </c>
      <c r="BP180" s="35">
        <v>5.3461868381240542E-10</v>
      </c>
      <c r="BQ180" s="35">
        <v>4.93951512859304E-10</v>
      </c>
      <c r="BR180" s="35">
        <v>4.5328434190620268E-10</v>
      </c>
      <c r="BS180" s="35">
        <v>4.1261717095310136E-10</v>
      </c>
      <c r="BT180" s="35">
        <v>3.7194999999999999E-10</v>
      </c>
    </row>
    <row r="181" spans="1:72" ht="9.9499999999999993" customHeight="1" thickBot="1" x14ac:dyDescent="0.4">
      <c r="A181" s="87" t="s">
        <v>56</v>
      </c>
      <c r="B181" s="35">
        <v>0</v>
      </c>
      <c r="C181" s="35">
        <v>0</v>
      </c>
      <c r="D181" s="35">
        <v>0</v>
      </c>
      <c r="E181" s="35">
        <v>0</v>
      </c>
      <c r="F181" s="35">
        <v>0</v>
      </c>
      <c r="G181" s="35">
        <v>0</v>
      </c>
      <c r="H181" s="35">
        <v>0</v>
      </c>
      <c r="I181" s="35">
        <v>0</v>
      </c>
      <c r="J181" s="35">
        <v>0</v>
      </c>
      <c r="K181" s="35">
        <v>0</v>
      </c>
      <c r="L181" s="35">
        <v>0</v>
      </c>
      <c r="M181" s="35">
        <v>0</v>
      </c>
      <c r="N181" s="35">
        <v>0</v>
      </c>
      <c r="O181" s="35">
        <v>0</v>
      </c>
      <c r="P181" s="35">
        <v>0</v>
      </c>
      <c r="Q181" s="35">
        <v>0</v>
      </c>
      <c r="R181" s="35">
        <v>0</v>
      </c>
      <c r="S181" s="35">
        <v>0</v>
      </c>
      <c r="T181" s="35">
        <v>0</v>
      </c>
      <c r="U181" s="35">
        <v>0</v>
      </c>
      <c r="V181" s="35">
        <v>0</v>
      </c>
      <c r="W181" s="35">
        <v>0</v>
      </c>
      <c r="X181" s="35">
        <v>0</v>
      </c>
      <c r="Y181" s="35">
        <v>0</v>
      </c>
      <c r="Z181" s="35">
        <v>0</v>
      </c>
      <c r="AA181" s="35">
        <v>0</v>
      </c>
      <c r="AB181" s="35">
        <v>0</v>
      </c>
      <c r="AC181" s="35">
        <v>0</v>
      </c>
      <c r="AD181" s="35">
        <v>0</v>
      </c>
      <c r="AE181" s="35">
        <v>0</v>
      </c>
      <c r="AF181" s="35">
        <v>0</v>
      </c>
      <c r="AG181" s="35">
        <v>0</v>
      </c>
      <c r="AH181" s="35">
        <v>0</v>
      </c>
      <c r="AI181" s="35">
        <v>0</v>
      </c>
      <c r="AJ181" s="35">
        <v>0</v>
      </c>
      <c r="AK181" s="35">
        <v>0</v>
      </c>
      <c r="AL181" s="35">
        <v>0</v>
      </c>
      <c r="AM181" s="35">
        <v>0</v>
      </c>
      <c r="AN181" s="35">
        <v>0</v>
      </c>
      <c r="AO181" s="35">
        <v>0</v>
      </c>
      <c r="AP181" s="35">
        <v>0</v>
      </c>
      <c r="AQ181" s="35">
        <v>0</v>
      </c>
      <c r="AR181" s="35">
        <v>0</v>
      </c>
      <c r="AS181" s="35">
        <v>0</v>
      </c>
      <c r="AT181" s="35">
        <v>3.4889848714069268E-25</v>
      </c>
      <c r="AU181" s="35">
        <v>1.1602903177004517E-24</v>
      </c>
      <c r="AV181" s="35">
        <v>1.9716821482602108E-24</v>
      </c>
      <c r="AW181" s="35">
        <v>2.7830739788199699E-24</v>
      </c>
      <c r="AX181" s="35">
        <v>3.594465809379729E-24</v>
      </c>
      <c r="AY181" s="35">
        <v>4.4058576399394877E-24</v>
      </c>
      <c r="AZ181" s="35">
        <v>5.2172494704992472E-24</v>
      </c>
      <c r="BA181" s="35">
        <v>5.1909727272732255E-11</v>
      </c>
      <c r="BB181" s="35">
        <v>1.152142727272769E-10</v>
      </c>
      <c r="BC181" s="35">
        <v>1.7851881818182151E-10</v>
      </c>
      <c r="BD181" s="35">
        <v>2.4182336363636618E-10</v>
      </c>
      <c r="BE181" s="35">
        <v>3.0512790909091083E-10</v>
      </c>
      <c r="BF181" s="35">
        <v>3.6843245454545548E-10</v>
      </c>
      <c r="BG181" s="35">
        <v>2.8566544578313724E-9</v>
      </c>
      <c r="BH181" s="35">
        <v>1.3942311084337381E-8</v>
      </c>
      <c r="BI181" s="35">
        <v>3.0012533333333378E-8</v>
      </c>
      <c r="BJ181" s="35">
        <v>4.9999200000000047E-8</v>
      </c>
      <c r="BK181" s="35">
        <v>6.6158351515151547E-8</v>
      </c>
      <c r="BL181" s="35">
        <v>8.7141478787878866E-8</v>
      </c>
      <c r="BM181" s="35">
        <v>1.229317818181819E-7</v>
      </c>
      <c r="BN181" s="35">
        <v>1.7853426626323766E-7</v>
      </c>
      <c r="BO181" s="35">
        <v>2.4680355521936474E-7</v>
      </c>
      <c r="BP181" s="35">
        <v>3.150728441754918E-7</v>
      </c>
      <c r="BQ181" s="35">
        <v>3.8334213313161886E-7</v>
      </c>
      <c r="BR181" s="35">
        <v>4.5161142208774592E-7</v>
      </c>
      <c r="BS181" s="35">
        <v>5.1988071104387303E-7</v>
      </c>
      <c r="BT181" s="35">
        <v>5.8815000000000004E-7</v>
      </c>
    </row>
    <row r="182" spans="1:72" ht="9.9499999999999993" customHeight="1" thickBot="1" x14ac:dyDescent="0.4">
      <c r="A182" s="87" t="s">
        <v>59</v>
      </c>
      <c r="B182" s="35">
        <v>0</v>
      </c>
      <c r="C182" s="35">
        <v>0</v>
      </c>
      <c r="D182" s="35">
        <v>0</v>
      </c>
      <c r="E182" s="35">
        <v>0</v>
      </c>
      <c r="F182" s="35">
        <v>0</v>
      </c>
      <c r="G182" s="35">
        <v>0</v>
      </c>
      <c r="H182" s="35">
        <v>0</v>
      </c>
      <c r="I182" s="35">
        <v>0</v>
      </c>
      <c r="J182" s="35">
        <v>0</v>
      </c>
      <c r="K182" s="35">
        <v>0</v>
      </c>
      <c r="L182" s="35">
        <v>0</v>
      </c>
      <c r="M182" s="35">
        <v>0</v>
      </c>
      <c r="N182" s="35">
        <v>0</v>
      </c>
      <c r="O182" s="35">
        <v>0</v>
      </c>
      <c r="P182" s="35">
        <v>0</v>
      </c>
      <c r="Q182" s="35">
        <v>0</v>
      </c>
      <c r="R182" s="35">
        <v>0</v>
      </c>
      <c r="S182" s="35">
        <v>0</v>
      </c>
      <c r="T182" s="35">
        <v>0</v>
      </c>
      <c r="U182" s="35">
        <v>0</v>
      </c>
      <c r="V182" s="35">
        <v>0</v>
      </c>
      <c r="W182" s="35">
        <v>0</v>
      </c>
      <c r="X182" s="35">
        <v>0</v>
      </c>
      <c r="Y182" s="35">
        <v>0</v>
      </c>
      <c r="Z182" s="35">
        <v>0</v>
      </c>
      <c r="AA182" s="35">
        <v>0</v>
      </c>
      <c r="AB182" s="35">
        <v>0</v>
      </c>
      <c r="AC182" s="35">
        <v>0</v>
      </c>
      <c r="AD182" s="35">
        <v>0</v>
      </c>
      <c r="AE182" s="35">
        <v>0</v>
      </c>
      <c r="AF182" s="35">
        <v>0</v>
      </c>
      <c r="AG182" s="35">
        <v>0</v>
      </c>
      <c r="AH182" s="35">
        <v>0</v>
      </c>
      <c r="AI182" s="35">
        <v>0</v>
      </c>
      <c r="AJ182" s="35">
        <v>0</v>
      </c>
      <c r="AK182" s="35">
        <v>0</v>
      </c>
      <c r="AL182" s="35">
        <v>0</v>
      </c>
      <c r="AM182" s="35">
        <v>0</v>
      </c>
      <c r="AN182" s="35">
        <v>0</v>
      </c>
      <c r="AO182" s="35">
        <v>0</v>
      </c>
      <c r="AP182" s="35">
        <v>0</v>
      </c>
      <c r="AQ182" s="35">
        <v>0</v>
      </c>
      <c r="AR182" s="35">
        <v>0</v>
      </c>
      <c r="AS182" s="35">
        <v>0</v>
      </c>
      <c r="AT182" s="35">
        <v>1.4529576399394723E-25</v>
      </c>
      <c r="AU182" s="35">
        <v>4.8319288956126987E-25</v>
      </c>
      <c r="AV182" s="35">
        <v>8.2109001512859259E-25</v>
      </c>
      <c r="AW182" s="35">
        <v>1.1589871406959152E-24</v>
      </c>
      <c r="AX182" s="35">
        <v>1.4968842662632379E-24</v>
      </c>
      <c r="AY182" s="35">
        <v>1.8347813918305606E-24</v>
      </c>
      <c r="AZ182" s="35">
        <v>2.1726785173978833E-24</v>
      </c>
      <c r="BA182" s="35">
        <v>7.0126151515171463E-12</v>
      </c>
      <c r="BB182" s="35">
        <v>1.5564584848486503E-11</v>
      </c>
      <c r="BC182" s="35">
        <v>2.411655454545586E-11</v>
      </c>
      <c r="BD182" s="35">
        <v>3.2668524242425224E-11</v>
      </c>
      <c r="BE182" s="35">
        <v>4.1220493939394578E-11</v>
      </c>
      <c r="BF182" s="35">
        <v>4.9772463636363939E-11</v>
      </c>
      <c r="BG182" s="35">
        <v>3.5824814457831903E-10</v>
      </c>
      <c r="BH182" s="35">
        <v>1.7300897108433773E-9</v>
      </c>
      <c r="BI182" s="35">
        <v>3.6588975757575807E-9</v>
      </c>
      <c r="BJ182" s="35">
        <v>6.025321818181823E-9</v>
      </c>
      <c r="BK182" s="35">
        <v>8.0166054545454591E-9</v>
      </c>
      <c r="BL182" s="35">
        <v>1.0682383636363646E-8</v>
      </c>
      <c r="BM182" s="35">
        <v>1.5373474545454556E-8</v>
      </c>
      <c r="BN182" s="35">
        <v>2.4070990922844197E-8</v>
      </c>
      <c r="BO182" s="35">
        <v>3.5329992435703501E-8</v>
      </c>
      <c r="BP182" s="35">
        <v>4.6588993948562799E-8</v>
      </c>
      <c r="BQ182" s="35">
        <v>5.7847995461422103E-8</v>
      </c>
      <c r="BR182" s="35">
        <v>6.9106996974281407E-8</v>
      </c>
      <c r="BS182" s="35">
        <v>8.0365998487140704E-8</v>
      </c>
      <c r="BT182" s="35">
        <v>9.1625000000000002E-8</v>
      </c>
    </row>
    <row r="183" spans="1:72" ht="9.9499999999999993" customHeight="1" thickBot="1" x14ac:dyDescent="0.4">
      <c r="A183" s="87" t="s">
        <v>26</v>
      </c>
      <c r="B183" s="35">
        <v>-18.888727272727273</v>
      </c>
      <c r="C183" s="35">
        <v>-18.91151515151515</v>
      </c>
      <c r="D183" s="35">
        <v>-18.941818181818181</v>
      </c>
      <c r="E183" s="35">
        <v>-18.976545454545455</v>
      </c>
      <c r="F183" s="35">
        <v>-19.008545454545455</v>
      </c>
      <c r="G183" s="35">
        <v>-18.990363636363636</v>
      </c>
      <c r="H183" s="35">
        <v>-18.995542168674699</v>
      </c>
      <c r="I183" s="35">
        <v>-19.031686746987951</v>
      </c>
      <c r="J183" s="35">
        <v>-19.063333333333333</v>
      </c>
      <c r="K183" s="35">
        <v>-19.093636363636364</v>
      </c>
      <c r="L183" s="35">
        <v>-19.123939393939395</v>
      </c>
      <c r="M183" s="35">
        <v>-19.142844175491678</v>
      </c>
      <c r="N183" s="35">
        <v>-19.148895612708017</v>
      </c>
      <c r="O183" s="35">
        <v>-19.154947049924356</v>
      </c>
      <c r="P183" s="35">
        <v>-19.160998487140695</v>
      </c>
      <c r="Q183" s="35">
        <v>-19.167049924357034</v>
      </c>
      <c r="R183" s="35">
        <v>-19.173101361573373</v>
      </c>
      <c r="S183" s="35">
        <v>-19.179152798789712</v>
      </c>
      <c r="T183" s="35">
        <v>-19.153939393939392</v>
      </c>
      <c r="U183" s="35">
        <v>-19.123636363636361</v>
      </c>
      <c r="V183" s="35">
        <v>-19.09333333333333</v>
      </c>
      <c r="W183" s="35">
        <v>-19.06642424242424</v>
      </c>
      <c r="X183" s="35">
        <v>-19.042181818181817</v>
      </c>
      <c r="Y183" s="35">
        <v>-19.034518072289156</v>
      </c>
      <c r="Z183" s="35">
        <v>-19.031515151515151</v>
      </c>
      <c r="AA183" s="35">
        <v>-19.037575757575759</v>
      </c>
      <c r="AB183" s="35">
        <v>-19.047272727272727</v>
      </c>
      <c r="AC183" s="35">
        <v>-19.059393939393939</v>
      </c>
      <c r="AD183" s="35">
        <v>-19.07151515151515</v>
      </c>
      <c r="AE183" s="35">
        <v>-19.085454545454542</v>
      </c>
      <c r="AF183" s="35">
        <v>-19.103636363636362</v>
      </c>
      <c r="AG183" s="35">
        <v>-19.12376701966717</v>
      </c>
      <c r="AH183" s="35">
        <v>-19.144947049924358</v>
      </c>
      <c r="AI183" s="35">
        <v>-19.166127080181543</v>
      </c>
      <c r="AJ183" s="35">
        <v>-19.187307110438727</v>
      </c>
      <c r="AK183" s="35">
        <v>-19.208487140695915</v>
      </c>
      <c r="AL183" s="35">
        <v>-19.2296671709531</v>
      </c>
      <c r="AM183" s="35">
        <v>-19.250786686838126</v>
      </c>
      <c r="AN183" s="35">
        <v>-19.270453857791225</v>
      </c>
      <c r="AO183" s="35">
        <v>-19.290121028744327</v>
      </c>
      <c r="AP183" s="35">
        <v>-19.309788199697426</v>
      </c>
      <c r="AQ183" s="35">
        <v>-19.329455370650528</v>
      </c>
      <c r="AR183" s="35">
        <v>-19.349122541603631</v>
      </c>
      <c r="AS183" s="35">
        <v>-19.36878971255673</v>
      </c>
      <c r="AT183" s="35">
        <v>-19.388456883509832</v>
      </c>
      <c r="AU183" s="35">
        <v>-19.408124054462935</v>
      </c>
      <c r="AV183" s="35">
        <v>-19.427791225416037</v>
      </c>
      <c r="AW183" s="35">
        <v>-19.447458396369139</v>
      </c>
      <c r="AX183" s="35">
        <v>-19.467125567322238</v>
      </c>
      <c r="AY183" s="35">
        <v>-19.486792738275341</v>
      </c>
      <c r="AZ183" s="35">
        <v>-19.506459909228443</v>
      </c>
      <c r="BA183" s="35">
        <v>-19.526151515151518</v>
      </c>
      <c r="BB183" s="35">
        <v>-19.545848484848488</v>
      </c>
      <c r="BC183" s="35">
        <v>-19.565545454545457</v>
      </c>
      <c r="BD183" s="35">
        <v>-19.585242424242427</v>
      </c>
      <c r="BE183" s="35">
        <v>-19.604939393939397</v>
      </c>
      <c r="BF183" s="35">
        <v>-19.624636363636366</v>
      </c>
      <c r="BG183" s="35">
        <v>-19.643975903614457</v>
      </c>
      <c r="BH183" s="35">
        <v>-19.662048192771085</v>
      </c>
      <c r="BI183" s="35">
        <v>-19.680181818181818</v>
      </c>
      <c r="BJ183" s="35">
        <v>-19.698363636363634</v>
      </c>
      <c r="BK183" s="35">
        <v>-19.716545454545454</v>
      </c>
      <c r="BL183" s="35">
        <v>-19.734727272727273</v>
      </c>
      <c r="BM183" s="35">
        <v>-19.752909090909093</v>
      </c>
      <c r="BN183" s="35">
        <v>-19.771074130105902</v>
      </c>
      <c r="BO183" s="35">
        <v>-19.789228441754918</v>
      </c>
      <c r="BP183" s="35">
        <v>-19.807382753403935</v>
      </c>
      <c r="BQ183" s="35">
        <v>-19.825537065052949</v>
      </c>
      <c r="BR183" s="35">
        <v>-19.843691376701965</v>
      </c>
      <c r="BS183" s="35">
        <v>-19.861845688350982</v>
      </c>
      <c r="BT183" s="35">
        <v>-19.88</v>
      </c>
    </row>
    <row r="184" spans="1:72" ht="9.9499999999999993" customHeight="1" thickBot="1" x14ac:dyDescent="0.4">
      <c r="A184" s="92" t="s">
        <v>5</v>
      </c>
      <c r="B184" s="35">
        <v>-60.883878787878785</v>
      </c>
      <c r="C184" s="35">
        <v>-58.790060606060599</v>
      </c>
      <c r="D184" s="35">
        <v>-56.711272727272721</v>
      </c>
      <c r="E184" s="35">
        <v>-54.641333333333328</v>
      </c>
      <c r="F184" s="35">
        <v>-52.535393939393941</v>
      </c>
      <c r="G184" s="35">
        <v>-49.977818181818179</v>
      </c>
      <c r="H184" s="35">
        <v>-47.784337349397589</v>
      </c>
      <c r="I184" s="35">
        <v>-46.073493975903617</v>
      </c>
      <c r="J184" s="35">
        <v>-44.378</v>
      </c>
      <c r="K184" s="35">
        <v>-42.69290909090909</v>
      </c>
      <c r="L184" s="35">
        <v>-41.050484848484849</v>
      </c>
      <c r="M184" s="35">
        <v>-39.518729198184573</v>
      </c>
      <c r="N184" s="35">
        <v>-38.111770045385782</v>
      </c>
      <c r="O184" s="35">
        <v>-36.704810892586991</v>
      </c>
      <c r="P184" s="35">
        <v>-35.2978517397882</v>
      </c>
      <c r="Q184" s="35">
        <v>-33.890892586989409</v>
      </c>
      <c r="R184" s="35">
        <v>-32.483933434190618</v>
      </c>
      <c r="S184" s="35">
        <v>-31.076974281391827</v>
      </c>
      <c r="T184" s="35">
        <v>-29.905333333333331</v>
      </c>
      <c r="U184" s="35">
        <v>-28.792363636363635</v>
      </c>
      <c r="V184" s="35">
        <v>-27.756</v>
      </c>
      <c r="W184" s="35">
        <v>-26.750181818181815</v>
      </c>
      <c r="X184" s="35">
        <v>-25.768363636363635</v>
      </c>
      <c r="Y184" s="35">
        <v>-24.846746987951807</v>
      </c>
      <c r="Z184" s="35">
        <v>-23.941818181818181</v>
      </c>
      <c r="AA184" s="35">
        <v>-23.069090909090907</v>
      </c>
      <c r="AB184" s="35">
        <v>-22.236363636363635</v>
      </c>
      <c r="AC184" s="35">
        <v>-21.43030303030303</v>
      </c>
      <c r="AD184" s="35">
        <v>-20.687575757575758</v>
      </c>
      <c r="AE184" s="35">
        <v>-19.966363636363639</v>
      </c>
      <c r="AF184" s="35">
        <v>-19.287575757575759</v>
      </c>
      <c r="AG184" s="35">
        <v>-18.675340393343419</v>
      </c>
      <c r="AH184" s="35">
        <v>-18.098940998487141</v>
      </c>
      <c r="AI184" s="35">
        <v>-17.522541603630863</v>
      </c>
      <c r="AJ184" s="35">
        <v>-16.946142208774585</v>
      </c>
      <c r="AK184" s="35">
        <v>-16.369742813918307</v>
      </c>
      <c r="AL184" s="35">
        <v>-15.79334341906203</v>
      </c>
      <c r="AM184" s="35">
        <v>-15.221180030257187</v>
      </c>
      <c r="AN184" s="35">
        <v>-14.750680786686839</v>
      </c>
      <c r="AO184" s="35">
        <v>-14.280181543116491</v>
      </c>
      <c r="AP184" s="35">
        <v>-13.809682299546145</v>
      </c>
      <c r="AQ184" s="35">
        <v>-13.339183055975797</v>
      </c>
      <c r="AR184" s="35">
        <v>-12.868683812405449</v>
      </c>
      <c r="AS184" s="35">
        <v>-12.398184568835102</v>
      </c>
      <c r="AT184" s="35">
        <v>-11.972897125567325</v>
      </c>
      <c r="AU184" s="35">
        <v>-11.607541603630864</v>
      </c>
      <c r="AV184" s="35">
        <v>-11.242186081694403</v>
      </c>
      <c r="AW184" s="35">
        <v>-10.876830559757943</v>
      </c>
      <c r="AX184" s="35">
        <v>-10.511475037821482</v>
      </c>
      <c r="AY184" s="35">
        <v>-10.146119515885022</v>
      </c>
      <c r="AZ184" s="35">
        <v>-9.7807639939485611</v>
      </c>
      <c r="BA184" s="35">
        <v>-9.5615606060606044</v>
      </c>
      <c r="BB184" s="35">
        <v>-9.3744393939393937</v>
      </c>
      <c r="BC184" s="35">
        <v>-9.1873181818181813</v>
      </c>
      <c r="BD184" s="35">
        <v>-9.0001969696969688</v>
      </c>
      <c r="BE184" s="35">
        <v>-8.8130757575757563</v>
      </c>
      <c r="BF184" s="35">
        <v>-8.6259545454545457</v>
      </c>
      <c r="BG184" s="35">
        <v>-8.4656867469879522</v>
      </c>
      <c r="BH184" s="35">
        <v>-8.4006265060240963</v>
      </c>
      <c r="BI184" s="35">
        <v>-8.3536727272727269</v>
      </c>
      <c r="BJ184" s="35">
        <v>-8.3209454545454538</v>
      </c>
      <c r="BK184" s="35">
        <v>-8.3080727272727266</v>
      </c>
      <c r="BL184" s="35">
        <v>-8.3007878787878795</v>
      </c>
      <c r="BM184" s="35">
        <v>-8.3038181818181815</v>
      </c>
      <c r="BN184" s="35">
        <v>-8.3148744326777599</v>
      </c>
      <c r="BO184" s="35">
        <v>-8.3310620272314679</v>
      </c>
      <c r="BP184" s="35">
        <v>-8.3472496217851742</v>
      </c>
      <c r="BQ184" s="35">
        <v>-8.3634372163388804</v>
      </c>
      <c r="BR184" s="35">
        <v>-8.3796248108925866</v>
      </c>
      <c r="BS184" s="35">
        <v>-8.3958124054462946</v>
      </c>
      <c r="BT184" s="35">
        <v>-8.4120000000000008</v>
      </c>
    </row>
    <row r="185" spans="1:72" ht="9.9499999999999993" customHeight="1" thickBot="1" x14ac:dyDescent="0.4">
      <c r="A185" s="92" t="s">
        <v>6</v>
      </c>
      <c r="B185" s="35">
        <v>-16.788181818181819</v>
      </c>
      <c r="C185" s="35">
        <v>-16.205878787878788</v>
      </c>
      <c r="D185" s="35">
        <v>-15.563454545454546</v>
      </c>
      <c r="E185" s="35">
        <v>-14.872363636363636</v>
      </c>
      <c r="F185" s="35">
        <v>-14.143393939393938</v>
      </c>
      <c r="G185" s="35">
        <v>-13.185818181818181</v>
      </c>
      <c r="H185" s="35">
        <v>-12.386144578313253</v>
      </c>
      <c r="I185" s="35">
        <v>-11.795783132530122</v>
      </c>
      <c r="J185" s="35">
        <v>-11.193333333333333</v>
      </c>
      <c r="K185" s="35">
        <v>-10.588509090909092</v>
      </c>
      <c r="L185" s="35">
        <v>-9.9927515151515163</v>
      </c>
      <c r="M185" s="35">
        <v>-9.4448441754916796</v>
      </c>
      <c r="N185" s="35">
        <v>-8.9508956127080186</v>
      </c>
      <c r="O185" s="35">
        <v>-8.4569470499243575</v>
      </c>
      <c r="P185" s="35">
        <v>-7.9629984871406956</v>
      </c>
      <c r="Q185" s="35">
        <v>-7.4690499243570336</v>
      </c>
      <c r="R185" s="35">
        <v>-6.9751013615733726</v>
      </c>
      <c r="S185" s="35">
        <v>-6.4811527987897115</v>
      </c>
      <c r="T185" s="35">
        <v>-6.1581696969696962</v>
      </c>
      <c r="U185" s="35">
        <v>-5.8866909090909081</v>
      </c>
      <c r="V185" s="35">
        <v>-5.7042666666666664</v>
      </c>
      <c r="W185" s="35">
        <v>-5.5717333333333325</v>
      </c>
      <c r="X185" s="35">
        <v>-5.4783999999999997</v>
      </c>
      <c r="Y185" s="35">
        <v>-5.4387530120481928</v>
      </c>
      <c r="Z185" s="35">
        <v>-5.4131515151515153</v>
      </c>
      <c r="AA185" s="35">
        <v>-5.4137575757575753</v>
      </c>
      <c r="AB185" s="35">
        <v>-5.425272727272727</v>
      </c>
      <c r="AC185" s="35">
        <v>-5.4440606060606065</v>
      </c>
      <c r="AD185" s="35">
        <v>-5.4697575757575763</v>
      </c>
      <c r="AE185" s="35">
        <v>-5.4961818181818183</v>
      </c>
      <c r="AF185" s="35">
        <v>-5.5234545454545456</v>
      </c>
      <c r="AG185" s="35">
        <v>-5.5499137670196674</v>
      </c>
      <c r="AH185" s="35">
        <v>-5.5759349470499249</v>
      </c>
      <c r="AI185" s="35">
        <v>-5.6019561270801814</v>
      </c>
      <c r="AJ185" s="35">
        <v>-5.6279773071104389</v>
      </c>
      <c r="AK185" s="35">
        <v>-5.6539984871406963</v>
      </c>
      <c r="AL185" s="35">
        <v>-5.6800196671709529</v>
      </c>
      <c r="AM185" s="35">
        <v>-5.7059863842662635</v>
      </c>
      <c r="AN185" s="35">
        <v>-5.7306459909228442</v>
      </c>
      <c r="AO185" s="35">
        <v>-5.7553055975794249</v>
      </c>
      <c r="AP185" s="35">
        <v>-5.7799652042360066</v>
      </c>
      <c r="AQ185" s="35">
        <v>-5.8046248108925873</v>
      </c>
      <c r="AR185" s="35">
        <v>-5.829284417549168</v>
      </c>
      <c r="AS185" s="35">
        <v>-5.8539440242057488</v>
      </c>
      <c r="AT185" s="35">
        <v>-5.8799046898638432</v>
      </c>
      <c r="AU185" s="35">
        <v>-5.9075900151285934</v>
      </c>
      <c r="AV185" s="35">
        <v>-5.9352753403933436</v>
      </c>
      <c r="AW185" s="35">
        <v>-5.9629606656580938</v>
      </c>
      <c r="AX185" s="35">
        <v>-5.990645990922844</v>
      </c>
      <c r="AY185" s="35">
        <v>-6.0183313161875951</v>
      </c>
      <c r="AZ185" s="35">
        <v>-6.0460166414523453</v>
      </c>
      <c r="BA185" s="35">
        <v>-6.0803212121212127</v>
      </c>
      <c r="BB185" s="35">
        <v>-6.1160787878787879</v>
      </c>
      <c r="BC185" s="35">
        <v>-6.151836363636364</v>
      </c>
      <c r="BD185" s="35">
        <v>-6.1875939393939392</v>
      </c>
      <c r="BE185" s="35">
        <v>-6.2233515151515153</v>
      </c>
      <c r="BF185" s="35">
        <v>-6.2591090909090914</v>
      </c>
      <c r="BG185" s="35">
        <v>-6.294421686746988</v>
      </c>
      <c r="BH185" s="35">
        <v>-6.3281566265060238</v>
      </c>
      <c r="BI185" s="35">
        <v>-6.3603090909090909</v>
      </c>
      <c r="BJ185" s="35">
        <v>-6.3912181818181821</v>
      </c>
      <c r="BK185" s="35">
        <v>-6.4193696969696976</v>
      </c>
      <c r="BL185" s="35">
        <v>-6.4466181818181818</v>
      </c>
      <c r="BM185" s="35">
        <v>-6.4720727272727272</v>
      </c>
      <c r="BN185" s="35">
        <v>-6.4960272314674734</v>
      </c>
      <c r="BO185" s="35">
        <v>-6.5190226928895614</v>
      </c>
      <c r="BP185" s="35">
        <v>-6.5420181543116493</v>
      </c>
      <c r="BQ185" s="35">
        <v>-6.5650136157337373</v>
      </c>
      <c r="BR185" s="35">
        <v>-6.5880090771558244</v>
      </c>
      <c r="BS185" s="35">
        <v>-6.6110045385779124</v>
      </c>
      <c r="BT185" s="35">
        <v>-6.6340000000000003</v>
      </c>
    </row>
    <row r="186" spans="1:72" ht="9.9499999999999993" customHeight="1" thickBot="1" x14ac:dyDescent="0.4">
      <c r="A186" s="92" t="s">
        <v>7</v>
      </c>
      <c r="B186" s="35">
        <v>-21.72430303030303</v>
      </c>
      <c r="C186" s="35">
        <v>-21.350969696969695</v>
      </c>
      <c r="D186" s="35">
        <v>-21.090363636363637</v>
      </c>
      <c r="E186" s="35">
        <v>-20.949212121212121</v>
      </c>
      <c r="F186" s="35">
        <v>-20.888121212121213</v>
      </c>
      <c r="G186" s="35">
        <v>-21.239636363636365</v>
      </c>
      <c r="H186" s="35">
        <v>-21.41409638554217</v>
      </c>
      <c r="I186" s="35">
        <v>-21.353855421686745</v>
      </c>
      <c r="J186" s="35">
        <v>-21.363333333333333</v>
      </c>
      <c r="K186" s="35">
        <v>-21.400909090909092</v>
      </c>
      <c r="L186" s="35">
        <v>-21.491818181818182</v>
      </c>
      <c r="M186" s="35">
        <v>-21.601149773071104</v>
      </c>
      <c r="N186" s="35">
        <v>-21.731255673222389</v>
      </c>
      <c r="O186" s="35">
        <v>-21.861361573373674</v>
      </c>
      <c r="P186" s="35">
        <v>-21.99146747352496</v>
      </c>
      <c r="Q186" s="35">
        <v>-22.121573373676249</v>
      </c>
      <c r="R186" s="35">
        <v>-22.251679273827534</v>
      </c>
      <c r="S186" s="35">
        <v>-22.38178517397882</v>
      </c>
      <c r="T186" s="35">
        <v>-22.504242424242424</v>
      </c>
      <c r="U186" s="35">
        <v>-22.624181818181821</v>
      </c>
      <c r="V186" s="35">
        <v>-22.739333333333335</v>
      </c>
      <c r="W186" s="35">
        <v>-22.854484848484848</v>
      </c>
      <c r="X186" s="35">
        <v>-22.969636363636365</v>
      </c>
      <c r="Y186" s="35">
        <v>-23.095120481927712</v>
      </c>
      <c r="Z186" s="35">
        <v>-23.224848484848486</v>
      </c>
      <c r="AA186" s="35">
        <v>-23.364242424242427</v>
      </c>
      <c r="AB186" s="35">
        <v>-23.503636363636364</v>
      </c>
      <c r="AC186" s="35">
        <v>-23.643030303030301</v>
      </c>
      <c r="AD186" s="35">
        <v>-23.782424242424241</v>
      </c>
      <c r="AE186" s="35">
        <v>-23.923636363636362</v>
      </c>
      <c r="AF186" s="35">
        <v>-24.06909090909091</v>
      </c>
      <c r="AG186" s="35">
        <v>-24.211452344931921</v>
      </c>
      <c r="AH186" s="35">
        <v>-24.352148260211802</v>
      </c>
      <c r="AI186" s="35">
        <v>-24.49284417549168</v>
      </c>
      <c r="AJ186" s="35">
        <v>-24.633540090771557</v>
      </c>
      <c r="AK186" s="35">
        <v>-24.774236006051439</v>
      </c>
      <c r="AL186" s="35">
        <v>-24.914931921331316</v>
      </c>
      <c r="AM186" s="35">
        <v>-25.055385779122542</v>
      </c>
      <c r="AN186" s="35">
        <v>-25.190030257186081</v>
      </c>
      <c r="AO186" s="35">
        <v>-25.324674735249623</v>
      </c>
      <c r="AP186" s="35">
        <v>-25.459319213313162</v>
      </c>
      <c r="AQ186" s="35">
        <v>-25.593963691376704</v>
      </c>
      <c r="AR186" s="35">
        <v>-25.728608169440243</v>
      </c>
      <c r="AS186" s="35">
        <v>-25.863252647503781</v>
      </c>
      <c r="AT186" s="35">
        <v>-25.994644478063542</v>
      </c>
      <c r="AU186" s="35">
        <v>-26.121724659606656</v>
      </c>
      <c r="AV186" s="35">
        <v>-26.248804841149774</v>
      </c>
      <c r="AW186" s="35">
        <v>-26.375885022692891</v>
      </c>
      <c r="AX186" s="35">
        <v>-26.502965204236009</v>
      </c>
      <c r="AY186" s="35">
        <v>-26.630045385779123</v>
      </c>
      <c r="AZ186" s="35">
        <v>-26.757125567322241</v>
      </c>
      <c r="BA186" s="35">
        <v>-26.876909090909091</v>
      </c>
      <c r="BB186" s="35">
        <v>-26.995090909090909</v>
      </c>
      <c r="BC186" s="35">
        <v>-27.113272727272729</v>
      </c>
      <c r="BD186" s="35">
        <v>-27.231454545454547</v>
      </c>
      <c r="BE186" s="35">
        <v>-27.349636363636364</v>
      </c>
      <c r="BF186" s="35">
        <v>-27.467818181818181</v>
      </c>
      <c r="BG186" s="35">
        <v>-27.586506024096384</v>
      </c>
      <c r="BH186" s="35">
        <v>-27.706987951807228</v>
      </c>
      <c r="BI186" s="35">
        <v>-27.82448484848485</v>
      </c>
      <c r="BJ186" s="35">
        <v>-27.939636363636364</v>
      </c>
      <c r="BK186" s="35">
        <v>-28.060303030303029</v>
      </c>
      <c r="BL186" s="35">
        <v>-28.18151515151515</v>
      </c>
      <c r="BM186" s="35">
        <v>-28.302727272727275</v>
      </c>
      <c r="BN186" s="35">
        <v>-28.421981845688354</v>
      </c>
      <c r="BO186" s="35">
        <v>-28.539984871406961</v>
      </c>
      <c r="BP186" s="35">
        <v>-28.657987897125569</v>
      </c>
      <c r="BQ186" s="35">
        <v>-28.775990922844176</v>
      </c>
      <c r="BR186" s="35">
        <v>-28.893993948562784</v>
      </c>
      <c r="BS186" s="35">
        <v>-29.011996974281391</v>
      </c>
      <c r="BT186" s="35">
        <v>-29.13</v>
      </c>
    </row>
    <row r="187" spans="1:72" ht="9.9499999999999993" customHeight="1" thickBot="1" x14ac:dyDescent="0.4">
      <c r="A187" s="92"/>
    </row>
    <row r="188" spans="1:72" ht="9.9499999999999993" customHeight="1" thickBot="1" x14ac:dyDescent="0.4">
      <c r="A188" s="92"/>
    </row>
    <row r="189" spans="1:72" ht="9.9499999999999993" customHeight="1" thickBot="1" x14ac:dyDescent="0.4">
      <c r="A189" s="92"/>
    </row>
    <row r="190" spans="1:72" ht="9.9499999999999993" customHeight="1" thickBot="1" x14ac:dyDescent="0.4">
      <c r="A190" s="92"/>
    </row>
    <row r="191" spans="1:72" ht="9.9499999999999993" customHeight="1" thickBot="1" x14ac:dyDescent="0.4">
      <c r="A191" s="92"/>
    </row>
    <row r="192" spans="1:72" ht="9.9499999999999993" customHeight="1" thickBot="1" x14ac:dyDescent="0.4">
      <c r="A192" s="92"/>
    </row>
    <row r="193" spans="1:72" ht="9.9499999999999993" customHeight="1" thickBot="1" x14ac:dyDescent="0.4">
      <c r="A193" s="92"/>
    </row>
    <row r="194" spans="1:72" ht="9.9499999999999993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12</vt:i4>
      </vt:variant>
    </vt:vector>
  </HeadingPairs>
  <TitlesOfParts>
    <vt:vector size="23" baseType="lpstr">
      <vt:lpstr>Values</vt:lpstr>
      <vt:lpstr>ALL</vt:lpstr>
      <vt:lpstr>dall</vt:lpstr>
      <vt:lpstr>Лист1</vt:lpstr>
      <vt:lpstr>FLUID</vt:lpstr>
      <vt:lpstr>dfluid1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2021-04-13T21:00:08Z</dcterms:modified>
</cp:coreProperties>
</file>