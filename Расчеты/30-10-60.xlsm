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D6EE0C73-4D4F-42AA-850A-3B8090016B7E}" xr6:coauthVersionLast="46" xr6:coauthVersionMax="46" xr10:uidLastSave="{00000000-0000-0000-0000-000000000000}"/>
  <bookViews>
    <workbookView xWindow="-120" yWindow="-120" windowWidth="29040" windowHeight="15990" activeTab="3" xr2:uid="{0302BE19-1FF7-41F7-880F-6539212B9FEB}"/>
  </bookViews>
  <sheets>
    <sheet name="Values" sheetId="2" r:id="rId1"/>
    <sheet name="ALL" sheetId="4" r:id="rId2"/>
    <sheet name="FLUID" sheetId="10" r:id="rId3"/>
    <sheet name="SOLID" sheetId="9" r:id="rId4"/>
    <sheet name="EVALUATION" sheetId="8" r:id="rId5"/>
    <sheet name="data" sheetId="7" r:id="rId6"/>
    <sheet name="A" sheetId="15" r:id="rId7"/>
    <sheet name="s" sheetId="16" r:id="rId8"/>
  </sheets>
  <functionGroups builtInGroupCount="19"/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9" i="4" l="1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D37" i="10"/>
  <c r="M37" i="10" s="1"/>
  <c r="D35" i="10"/>
  <c r="G35" i="10" s="1"/>
  <c r="D36" i="10"/>
  <c r="G36" i="10" s="1"/>
  <c r="D34" i="10"/>
  <c r="G34" i="10" s="1"/>
  <c r="A22" i="7"/>
  <c r="F35" i="10" l="1"/>
  <c r="AK35" i="10"/>
  <c r="AC35" i="10"/>
  <c r="T37" i="10"/>
  <c r="AA37" i="10"/>
  <c r="Z37" i="10"/>
  <c r="J37" i="10"/>
  <c r="AG37" i="10"/>
  <c r="Y37" i="10"/>
  <c r="Q37" i="10"/>
  <c r="I37" i="10"/>
  <c r="AB37" i="10"/>
  <c r="AI37" i="10"/>
  <c r="S37" i="10"/>
  <c r="AH37" i="10"/>
  <c r="R37" i="10"/>
  <c r="E37" i="10"/>
  <c r="AF37" i="10"/>
  <c r="X37" i="10"/>
  <c r="P37" i="10"/>
  <c r="H37" i="10"/>
  <c r="AJ37" i="10"/>
  <c r="L37" i="10"/>
  <c r="K37" i="10"/>
  <c r="AE37" i="10"/>
  <c r="W37" i="10"/>
  <c r="O37" i="10"/>
  <c r="G37" i="10"/>
  <c r="AL37" i="10"/>
  <c r="AD37" i="10"/>
  <c r="V37" i="10"/>
  <c r="N37" i="10"/>
  <c r="AK37" i="10"/>
  <c r="AC37" i="10"/>
  <c r="U37" i="10"/>
  <c r="AL36" i="10"/>
  <c r="AD36" i="10"/>
  <c r="V36" i="10"/>
  <c r="N36" i="10"/>
  <c r="AL35" i="10"/>
  <c r="AD35" i="10"/>
  <c r="V35" i="10"/>
  <c r="N35" i="10"/>
  <c r="AL34" i="10"/>
  <c r="AD34" i="10"/>
  <c r="V34" i="10"/>
  <c r="N34" i="10"/>
  <c r="M36" i="10"/>
  <c r="AJ36" i="10"/>
  <c r="L36" i="10"/>
  <c r="AB35" i="10"/>
  <c r="L35" i="10"/>
  <c r="AJ34" i="10"/>
  <c r="AB34" i="10"/>
  <c r="T34" i="10"/>
  <c r="L34" i="10"/>
  <c r="E34" i="10"/>
  <c r="AC36" i="10"/>
  <c r="U36" i="10"/>
  <c r="U35" i="10"/>
  <c r="AK34" i="10"/>
  <c r="U34" i="10"/>
  <c r="AI36" i="10"/>
  <c r="AA36" i="10"/>
  <c r="S36" i="10"/>
  <c r="K36" i="10"/>
  <c r="AI35" i="10"/>
  <c r="AA35" i="10"/>
  <c r="S35" i="10"/>
  <c r="K35" i="10"/>
  <c r="AI34" i="10"/>
  <c r="AA34" i="10"/>
  <c r="S34" i="10"/>
  <c r="K34" i="10"/>
  <c r="T36" i="10"/>
  <c r="T35" i="10"/>
  <c r="E36" i="10"/>
  <c r="E35" i="10"/>
  <c r="AH36" i="10"/>
  <c r="Z36" i="10"/>
  <c r="R36" i="10"/>
  <c r="J36" i="10"/>
  <c r="AH35" i="10"/>
  <c r="Z35" i="10"/>
  <c r="R35" i="10"/>
  <c r="J35" i="10"/>
  <c r="AH34" i="10"/>
  <c r="Z34" i="10"/>
  <c r="R34" i="10"/>
  <c r="J34" i="10"/>
  <c r="AK36" i="10"/>
  <c r="M35" i="10"/>
  <c r="AC34" i="10"/>
  <c r="M34" i="10"/>
  <c r="AB36" i="10"/>
  <c r="AJ35" i="10"/>
  <c r="F36" i="10"/>
  <c r="AG36" i="10"/>
  <c r="Y36" i="10"/>
  <c r="Q36" i="10"/>
  <c r="I36" i="10"/>
  <c r="AG35" i="10"/>
  <c r="Y35" i="10"/>
  <c r="Q35" i="10"/>
  <c r="I35" i="10"/>
  <c r="AG34" i="10"/>
  <c r="Y34" i="10"/>
  <c r="Q34" i="10"/>
  <c r="I34" i="10"/>
  <c r="AF36" i="10"/>
  <c r="X36" i="10"/>
  <c r="P36" i="10"/>
  <c r="H36" i="10"/>
  <c r="AF35" i="10"/>
  <c r="X35" i="10"/>
  <c r="P35" i="10"/>
  <c r="H35" i="10"/>
  <c r="AF34" i="10"/>
  <c r="X34" i="10"/>
  <c r="P34" i="10"/>
  <c r="H34" i="10"/>
  <c r="F34" i="10"/>
  <c r="AE36" i="10"/>
  <c r="W36" i="10"/>
  <c r="O36" i="10"/>
  <c r="AE35" i="10"/>
  <c r="W35" i="10"/>
  <c r="O35" i="10"/>
  <c r="AE34" i="10"/>
  <c r="W34" i="10"/>
  <c r="O34" i="10"/>
  <c r="A98" i="8"/>
  <c r="A99" i="8" s="1"/>
  <c r="B98" i="8"/>
  <c r="D35" i="9" l="1"/>
  <c r="D36" i="9"/>
  <c r="D37" i="9"/>
  <c r="D34" i="9"/>
  <c r="D35" i="4"/>
  <c r="D36" i="4"/>
  <c r="D37" i="4"/>
  <c r="D34" i="4"/>
  <c r="V37" i="4" l="1"/>
  <c r="W37" i="4"/>
  <c r="T37" i="4"/>
  <c r="U37" i="4"/>
  <c r="U36" i="4"/>
  <c r="V36" i="4"/>
  <c r="W36" i="4"/>
  <c r="A64" i="8"/>
  <c r="B64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23" i="8"/>
  <c r="A24" i="8"/>
  <c r="A25" i="8"/>
  <c r="A26" i="8"/>
  <c r="A27" i="8"/>
  <c r="A28" i="8"/>
  <c r="A29" i="8"/>
  <c r="A30" i="8"/>
  <c r="A31" i="8"/>
  <c r="A32" i="8"/>
  <c r="B32" i="8"/>
  <c r="AI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F145" i="10"/>
  <c r="F146" i="10" s="1"/>
  <c r="E145" i="10"/>
  <c r="E146" i="10" s="1"/>
  <c r="D145" i="10"/>
  <c r="D146" i="10" s="1"/>
  <c r="C145" i="10"/>
  <c r="C146" i="10" s="1"/>
  <c r="C118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AL83" i="10"/>
  <c r="AK83" i="10"/>
  <c r="AJ83" i="10"/>
  <c r="AI83" i="10"/>
  <c r="AH83" i="10"/>
  <c r="AG83" i="10"/>
  <c r="AF83" i="10"/>
  <c r="AE83" i="10"/>
  <c r="AD83" i="10"/>
  <c r="AC83" i="10"/>
  <c r="AB83" i="10"/>
  <c r="AA83" i="10"/>
  <c r="Z83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79" i="10"/>
  <c r="E113" i="10" s="1"/>
  <c r="E78" i="10"/>
  <c r="E112" i="10" s="1"/>
  <c r="E77" i="10"/>
  <c r="E111" i="10" s="1"/>
  <c r="E76" i="10"/>
  <c r="E110" i="10" s="1"/>
  <c r="E75" i="10"/>
  <c r="E109" i="10" s="1"/>
  <c r="E74" i="10"/>
  <c r="E108" i="10" s="1"/>
  <c r="E73" i="10"/>
  <c r="E107" i="10" s="1"/>
  <c r="E72" i="10"/>
  <c r="E106" i="10" s="1"/>
  <c r="E71" i="10"/>
  <c r="E105" i="10" s="1"/>
  <c r="E70" i="10"/>
  <c r="E104" i="10" s="1"/>
  <c r="E69" i="10"/>
  <c r="E103" i="10" s="1"/>
  <c r="E68" i="10"/>
  <c r="E102" i="10" s="1"/>
  <c r="E67" i="10"/>
  <c r="E101" i="10" s="1"/>
  <c r="E66" i="10"/>
  <c r="E100" i="10" s="1"/>
  <c r="E65" i="10"/>
  <c r="E99" i="10" s="1"/>
  <c r="E64" i="10"/>
  <c r="E98" i="10" s="1"/>
  <c r="E63" i="10"/>
  <c r="E97" i="10" s="1"/>
  <c r="E62" i="10"/>
  <c r="E96" i="10" s="1"/>
  <c r="E61" i="10"/>
  <c r="E95" i="10" s="1"/>
  <c r="E60" i="10"/>
  <c r="E94" i="10" s="1"/>
  <c r="E59" i="10"/>
  <c r="E93" i="10" s="1"/>
  <c r="E58" i="10"/>
  <c r="E92" i="10" s="1"/>
  <c r="E57" i="10"/>
  <c r="E91" i="10" s="1"/>
  <c r="E56" i="10"/>
  <c r="E90" i="10" s="1"/>
  <c r="E55" i="10"/>
  <c r="E89" i="10" s="1"/>
  <c r="E54" i="10"/>
  <c r="E88" i="10" s="1"/>
  <c r="E53" i="10"/>
  <c r="E87" i="10" s="1"/>
  <c r="E52" i="10"/>
  <c r="E86" i="10" s="1"/>
  <c r="E51" i="10"/>
  <c r="E85" i="10" s="1"/>
  <c r="E50" i="10"/>
  <c r="E84" i="10" s="1"/>
  <c r="AL49" i="10"/>
  <c r="AH2" i="8" s="1"/>
  <c r="AK49" i="10"/>
  <c r="AG2" i="8" s="1"/>
  <c r="AJ49" i="10"/>
  <c r="AF2" i="8" s="1"/>
  <c r="AI49" i="10"/>
  <c r="AE2" i="8" s="1"/>
  <c r="AH49" i="10"/>
  <c r="AD2" i="8" s="1"/>
  <c r="AG49" i="10"/>
  <c r="AC2" i="8" s="1"/>
  <c r="AF49" i="10"/>
  <c r="AB2" i="8" s="1"/>
  <c r="AE49" i="10"/>
  <c r="AA2" i="8" s="1"/>
  <c r="AD49" i="10"/>
  <c r="Z2" i="8" s="1"/>
  <c r="AC49" i="10"/>
  <c r="Y2" i="8" s="1"/>
  <c r="AB49" i="10"/>
  <c r="X2" i="8" s="1"/>
  <c r="AA49" i="10"/>
  <c r="W2" i="8" s="1"/>
  <c r="Z49" i="10"/>
  <c r="V2" i="8" s="1"/>
  <c r="Y49" i="10"/>
  <c r="U2" i="8" s="1"/>
  <c r="X49" i="10"/>
  <c r="T2" i="8" s="1"/>
  <c r="W49" i="10"/>
  <c r="S2" i="8" s="1"/>
  <c r="V49" i="10"/>
  <c r="R2" i="8" s="1"/>
  <c r="U49" i="10"/>
  <c r="Q2" i="8" s="1"/>
  <c r="T49" i="10"/>
  <c r="P2" i="8" s="1"/>
  <c r="S49" i="10"/>
  <c r="O2" i="8" s="1"/>
  <c r="R49" i="10"/>
  <c r="N2" i="8" s="1"/>
  <c r="Q49" i="10"/>
  <c r="M2" i="8" s="1"/>
  <c r="P49" i="10"/>
  <c r="L2" i="8" s="1"/>
  <c r="O49" i="10"/>
  <c r="K2" i="8" s="1"/>
  <c r="N49" i="10"/>
  <c r="J2" i="8" s="1"/>
  <c r="M49" i="10"/>
  <c r="I2" i="8" s="1"/>
  <c r="L49" i="10"/>
  <c r="H2" i="8" s="1"/>
  <c r="K49" i="10"/>
  <c r="G2" i="8" s="1"/>
  <c r="J49" i="10"/>
  <c r="F2" i="8" s="1"/>
  <c r="I49" i="10"/>
  <c r="E2" i="8" s="1"/>
  <c r="H49" i="10"/>
  <c r="D2" i="8" s="1"/>
  <c r="G49" i="10"/>
  <c r="C2" i="8" s="1"/>
  <c r="F49" i="10"/>
  <c r="B2" i="8" s="1"/>
  <c r="E49" i="10"/>
  <c r="E83" i="10" s="1"/>
  <c r="A45" i="10"/>
  <c r="A45" i="10" a="1"/>
  <c r="D45" i="10" s="1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D33" i="10"/>
  <c r="D79" i="10" s="1"/>
  <c r="D113" i="10" s="1"/>
  <c r="C33" i="10"/>
  <c r="C79" i="10" s="1"/>
  <c r="C113" i="10" s="1"/>
  <c r="B33" i="10"/>
  <c r="B79" i="10" s="1"/>
  <c r="B113" i="10" s="1"/>
  <c r="A33" i="10"/>
  <c r="A79" i="10" s="1"/>
  <c r="A113" i="10" s="1"/>
  <c r="D32" i="10"/>
  <c r="D78" i="10" s="1"/>
  <c r="D112" i="10" s="1"/>
  <c r="C32" i="10"/>
  <c r="C78" i="10" s="1"/>
  <c r="C112" i="10" s="1"/>
  <c r="B32" i="10"/>
  <c r="B78" i="10" s="1"/>
  <c r="B112" i="10" s="1"/>
  <c r="A32" i="10"/>
  <c r="A78" i="10" s="1"/>
  <c r="D31" i="10"/>
  <c r="D77" i="10" s="1"/>
  <c r="D111" i="10" s="1"/>
  <c r="C31" i="10"/>
  <c r="C77" i="10" s="1"/>
  <c r="C111" i="10" s="1"/>
  <c r="B31" i="10"/>
  <c r="B77" i="10" s="1"/>
  <c r="B111" i="10" s="1"/>
  <c r="A31" i="10"/>
  <c r="A77" i="10" s="1"/>
  <c r="D30" i="10"/>
  <c r="D76" i="10" s="1"/>
  <c r="D110" i="10" s="1"/>
  <c r="C30" i="10"/>
  <c r="C76" i="10" s="1"/>
  <c r="C110" i="10" s="1"/>
  <c r="B30" i="10"/>
  <c r="B76" i="10" s="1"/>
  <c r="B110" i="10" s="1"/>
  <c r="A30" i="10"/>
  <c r="A76" i="10" s="1"/>
  <c r="D29" i="10"/>
  <c r="D75" i="10" s="1"/>
  <c r="D109" i="10" s="1"/>
  <c r="C29" i="10"/>
  <c r="C75" i="10" s="1"/>
  <c r="C109" i="10" s="1"/>
  <c r="B29" i="10"/>
  <c r="B75" i="10" s="1"/>
  <c r="B109" i="10" s="1"/>
  <c r="A29" i="10"/>
  <c r="A75" i="10" s="1"/>
  <c r="D28" i="10"/>
  <c r="D74" i="10" s="1"/>
  <c r="D108" i="10" s="1"/>
  <c r="C28" i="10"/>
  <c r="C74" i="10" s="1"/>
  <c r="C108" i="10" s="1"/>
  <c r="B28" i="10"/>
  <c r="B74" i="10" s="1"/>
  <c r="B108" i="10" s="1"/>
  <c r="A28" i="10"/>
  <c r="A74" i="10" s="1"/>
  <c r="D27" i="10"/>
  <c r="D73" i="10" s="1"/>
  <c r="D107" i="10" s="1"/>
  <c r="C27" i="10"/>
  <c r="C73" i="10" s="1"/>
  <c r="C107" i="10" s="1"/>
  <c r="B27" i="10"/>
  <c r="B73" i="10" s="1"/>
  <c r="B107" i="10" s="1"/>
  <c r="A27" i="10"/>
  <c r="A73" i="10" s="1"/>
  <c r="D26" i="10"/>
  <c r="D72" i="10" s="1"/>
  <c r="D106" i="10" s="1"/>
  <c r="C26" i="10"/>
  <c r="C72" i="10" s="1"/>
  <c r="C106" i="10" s="1"/>
  <c r="B26" i="10"/>
  <c r="B72" i="10" s="1"/>
  <c r="B106" i="10" s="1"/>
  <c r="A26" i="10"/>
  <c r="A72" i="10" s="1"/>
  <c r="D25" i="10"/>
  <c r="D71" i="10" s="1"/>
  <c r="D105" i="10" s="1"/>
  <c r="C25" i="10"/>
  <c r="C71" i="10" s="1"/>
  <c r="C105" i="10" s="1"/>
  <c r="B25" i="10"/>
  <c r="B71" i="10" s="1"/>
  <c r="B105" i="10" s="1"/>
  <c r="A25" i="10"/>
  <c r="A71" i="10" s="1"/>
  <c r="D24" i="10"/>
  <c r="D70" i="10" s="1"/>
  <c r="D104" i="10" s="1"/>
  <c r="C24" i="10"/>
  <c r="C70" i="10" s="1"/>
  <c r="C104" i="10" s="1"/>
  <c r="B24" i="10"/>
  <c r="B70" i="10" s="1"/>
  <c r="B104" i="10" s="1"/>
  <c r="A24" i="10"/>
  <c r="A70" i="10" s="1"/>
  <c r="D23" i="10"/>
  <c r="D69" i="10" s="1"/>
  <c r="D103" i="10" s="1"/>
  <c r="C23" i="10"/>
  <c r="C69" i="10" s="1"/>
  <c r="C103" i="10" s="1"/>
  <c r="B23" i="10"/>
  <c r="B69" i="10" s="1"/>
  <c r="B103" i="10" s="1"/>
  <c r="A23" i="10"/>
  <c r="A69" i="10" s="1"/>
  <c r="D22" i="10"/>
  <c r="D68" i="10" s="1"/>
  <c r="D102" i="10" s="1"/>
  <c r="C22" i="10"/>
  <c r="C68" i="10" s="1"/>
  <c r="C102" i="10" s="1"/>
  <c r="B22" i="10"/>
  <c r="B68" i="10" s="1"/>
  <c r="B102" i="10" s="1"/>
  <c r="A22" i="10"/>
  <c r="A68" i="10" s="1"/>
  <c r="D21" i="10"/>
  <c r="D67" i="10" s="1"/>
  <c r="D101" i="10" s="1"/>
  <c r="C21" i="10"/>
  <c r="C67" i="10" s="1"/>
  <c r="C101" i="10" s="1"/>
  <c r="B21" i="10"/>
  <c r="B67" i="10" s="1"/>
  <c r="B101" i="10" s="1"/>
  <c r="A21" i="10"/>
  <c r="A67" i="10" s="1"/>
  <c r="D20" i="10"/>
  <c r="D66" i="10" s="1"/>
  <c r="D100" i="10" s="1"/>
  <c r="C20" i="10"/>
  <c r="C66" i="10" s="1"/>
  <c r="C100" i="10" s="1"/>
  <c r="B20" i="10"/>
  <c r="B66" i="10" s="1"/>
  <c r="B100" i="10" s="1"/>
  <c r="A20" i="10"/>
  <c r="A66" i="10" s="1"/>
  <c r="D19" i="10"/>
  <c r="D65" i="10" s="1"/>
  <c r="D99" i="10" s="1"/>
  <c r="C19" i="10"/>
  <c r="C65" i="10" s="1"/>
  <c r="C99" i="10" s="1"/>
  <c r="B19" i="10"/>
  <c r="B65" i="10" s="1"/>
  <c r="B99" i="10" s="1"/>
  <c r="A19" i="10"/>
  <c r="A65" i="10" s="1"/>
  <c r="D18" i="10"/>
  <c r="D64" i="10" s="1"/>
  <c r="D98" i="10" s="1"/>
  <c r="C18" i="10"/>
  <c r="C64" i="10" s="1"/>
  <c r="C98" i="10" s="1"/>
  <c r="B18" i="10"/>
  <c r="B64" i="10" s="1"/>
  <c r="B98" i="10" s="1"/>
  <c r="A18" i="10"/>
  <c r="A64" i="10" s="1"/>
  <c r="D17" i="10"/>
  <c r="D63" i="10" s="1"/>
  <c r="D97" i="10" s="1"/>
  <c r="C17" i="10"/>
  <c r="C63" i="10" s="1"/>
  <c r="C97" i="10" s="1"/>
  <c r="B17" i="10"/>
  <c r="B63" i="10" s="1"/>
  <c r="B97" i="10" s="1"/>
  <c r="A17" i="10"/>
  <c r="A63" i="10" s="1"/>
  <c r="D16" i="10"/>
  <c r="D62" i="10" s="1"/>
  <c r="D96" i="10" s="1"/>
  <c r="C16" i="10"/>
  <c r="C62" i="10" s="1"/>
  <c r="C96" i="10" s="1"/>
  <c r="B16" i="10"/>
  <c r="B62" i="10" s="1"/>
  <c r="B96" i="10" s="1"/>
  <c r="A16" i="10"/>
  <c r="A62" i="10" s="1"/>
  <c r="D15" i="10"/>
  <c r="D61" i="10" s="1"/>
  <c r="D95" i="10" s="1"/>
  <c r="C15" i="10"/>
  <c r="C61" i="10" s="1"/>
  <c r="C95" i="10" s="1"/>
  <c r="B15" i="10"/>
  <c r="B61" i="10" s="1"/>
  <c r="B95" i="10" s="1"/>
  <c r="A15" i="10"/>
  <c r="A61" i="10" s="1"/>
  <c r="D14" i="10"/>
  <c r="D60" i="10" s="1"/>
  <c r="D94" i="10" s="1"/>
  <c r="C14" i="10"/>
  <c r="C60" i="10" s="1"/>
  <c r="C94" i="10" s="1"/>
  <c r="B14" i="10"/>
  <c r="B60" i="10" s="1"/>
  <c r="B94" i="10" s="1"/>
  <c r="A14" i="10"/>
  <c r="A60" i="10" s="1"/>
  <c r="D13" i="10"/>
  <c r="D59" i="10" s="1"/>
  <c r="D93" i="10" s="1"/>
  <c r="C13" i="10"/>
  <c r="C59" i="10" s="1"/>
  <c r="C93" i="10" s="1"/>
  <c r="B13" i="10"/>
  <c r="B59" i="10" s="1"/>
  <c r="B93" i="10" s="1"/>
  <c r="A13" i="10"/>
  <c r="A59" i="10" s="1"/>
  <c r="D12" i="10"/>
  <c r="D58" i="10" s="1"/>
  <c r="D92" i="10" s="1"/>
  <c r="C12" i="10"/>
  <c r="C58" i="10" s="1"/>
  <c r="C92" i="10" s="1"/>
  <c r="B12" i="10"/>
  <c r="B58" i="10" s="1"/>
  <c r="B92" i="10" s="1"/>
  <c r="A12" i="10"/>
  <c r="A58" i="10" s="1"/>
  <c r="D11" i="10"/>
  <c r="D57" i="10" s="1"/>
  <c r="D91" i="10" s="1"/>
  <c r="C11" i="10"/>
  <c r="C57" i="10" s="1"/>
  <c r="C91" i="10" s="1"/>
  <c r="B11" i="10"/>
  <c r="B57" i="10" s="1"/>
  <c r="B91" i="10" s="1"/>
  <c r="A11" i="10"/>
  <c r="A57" i="10" s="1"/>
  <c r="D10" i="10"/>
  <c r="D56" i="10" s="1"/>
  <c r="D90" i="10" s="1"/>
  <c r="C10" i="10"/>
  <c r="C56" i="10" s="1"/>
  <c r="C90" i="10" s="1"/>
  <c r="B10" i="10"/>
  <c r="B56" i="10" s="1"/>
  <c r="B90" i="10" s="1"/>
  <c r="A10" i="10"/>
  <c r="A56" i="10" s="1"/>
  <c r="D9" i="10"/>
  <c r="D55" i="10" s="1"/>
  <c r="D89" i="10" s="1"/>
  <c r="C9" i="10"/>
  <c r="C55" i="10" s="1"/>
  <c r="C89" i="10" s="1"/>
  <c r="B9" i="10"/>
  <c r="B55" i="10" s="1"/>
  <c r="B89" i="10" s="1"/>
  <c r="A9" i="10"/>
  <c r="A55" i="10" s="1"/>
  <c r="D8" i="10"/>
  <c r="D54" i="10" s="1"/>
  <c r="D88" i="10" s="1"/>
  <c r="C8" i="10"/>
  <c r="C54" i="10" s="1"/>
  <c r="C88" i="10" s="1"/>
  <c r="B8" i="10"/>
  <c r="B54" i="10" s="1"/>
  <c r="B88" i="10" s="1"/>
  <c r="A8" i="10"/>
  <c r="A54" i="10" s="1"/>
  <c r="D7" i="10"/>
  <c r="D53" i="10" s="1"/>
  <c r="D87" i="10" s="1"/>
  <c r="C7" i="10"/>
  <c r="C53" i="10" s="1"/>
  <c r="C87" i="10" s="1"/>
  <c r="B7" i="10"/>
  <c r="B53" i="10" s="1"/>
  <c r="B87" i="10" s="1"/>
  <c r="A7" i="10"/>
  <c r="A53" i="10" s="1"/>
  <c r="A87" i="10" s="1"/>
  <c r="D6" i="10"/>
  <c r="D52" i="10" s="1"/>
  <c r="D86" i="10" s="1"/>
  <c r="C6" i="10"/>
  <c r="C52" i="10" s="1"/>
  <c r="C86" i="10" s="1"/>
  <c r="B6" i="10"/>
  <c r="B52" i="10" s="1"/>
  <c r="B86" i="10" s="1"/>
  <c r="A6" i="10"/>
  <c r="A52" i="10" s="1"/>
  <c r="D5" i="10"/>
  <c r="D51" i="10" s="1"/>
  <c r="D85" i="10" s="1"/>
  <c r="C5" i="10"/>
  <c r="C51" i="10" s="1"/>
  <c r="C85" i="10" s="1"/>
  <c r="B5" i="10"/>
  <c r="B51" i="10" s="1"/>
  <c r="B85" i="10" s="1"/>
  <c r="A5" i="10"/>
  <c r="A51" i="10" s="1"/>
  <c r="D4" i="10"/>
  <c r="D50" i="10" s="1"/>
  <c r="D84" i="10" s="1"/>
  <c r="C4" i="10"/>
  <c r="C50" i="10" s="1"/>
  <c r="C84" i="10" s="1"/>
  <c r="B4" i="10"/>
  <c r="B50" i="10" s="1"/>
  <c r="B84" i="10" s="1"/>
  <c r="A4" i="10"/>
  <c r="A50" i="10" s="1"/>
  <c r="A2" i="10"/>
  <c r="A118" i="10" s="1"/>
  <c r="A119" i="10" s="1"/>
  <c r="F145" i="9"/>
  <c r="F146" i="9" s="1"/>
  <c r="E145" i="9"/>
  <c r="E146" i="9" s="1"/>
  <c r="D145" i="9"/>
  <c r="D146" i="9" s="1"/>
  <c r="C145" i="9"/>
  <c r="C146" i="9" s="1"/>
  <c r="C118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79" i="9"/>
  <c r="E113" i="9" s="1"/>
  <c r="E78" i="9"/>
  <c r="E112" i="9" s="1"/>
  <c r="E77" i="9"/>
  <c r="E111" i="9" s="1"/>
  <c r="E76" i="9"/>
  <c r="E110" i="9" s="1"/>
  <c r="E75" i="9"/>
  <c r="E109" i="9" s="1"/>
  <c r="E74" i="9"/>
  <c r="E108" i="9" s="1"/>
  <c r="E73" i="9"/>
  <c r="E107" i="9" s="1"/>
  <c r="E72" i="9"/>
  <c r="E106" i="9" s="1"/>
  <c r="E71" i="9"/>
  <c r="E105" i="9" s="1"/>
  <c r="E70" i="9"/>
  <c r="E104" i="9" s="1"/>
  <c r="E69" i="9"/>
  <c r="E103" i="9" s="1"/>
  <c r="E68" i="9"/>
  <c r="E102" i="9" s="1"/>
  <c r="E67" i="9"/>
  <c r="E101" i="9" s="1"/>
  <c r="E66" i="9"/>
  <c r="E100" i="9" s="1"/>
  <c r="E65" i="9"/>
  <c r="E99" i="9" s="1"/>
  <c r="E64" i="9"/>
  <c r="E98" i="9" s="1"/>
  <c r="E63" i="9"/>
  <c r="E97" i="9" s="1"/>
  <c r="E62" i="9"/>
  <c r="E96" i="9" s="1"/>
  <c r="E61" i="9"/>
  <c r="E95" i="9" s="1"/>
  <c r="E60" i="9"/>
  <c r="E94" i="9" s="1"/>
  <c r="E59" i="9"/>
  <c r="E93" i="9" s="1"/>
  <c r="E58" i="9"/>
  <c r="E92" i="9" s="1"/>
  <c r="E57" i="9"/>
  <c r="E91" i="9" s="1"/>
  <c r="E56" i="9"/>
  <c r="E90" i="9" s="1"/>
  <c r="E55" i="9"/>
  <c r="E89" i="9" s="1"/>
  <c r="E54" i="9"/>
  <c r="E88" i="9" s="1"/>
  <c r="E53" i="9"/>
  <c r="E87" i="9" s="1"/>
  <c r="E52" i="9"/>
  <c r="E86" i="9" s="1"/>
  <c r="E51" i="9"/>
  <c r="E85" i="9" s="1"/>
  <c r="E50" i="9"/>
  <c r="E84" i="9" s="1"/>
  <c r="AL49" i="9"/>
  <c r="AH34" i="8" s="1"/>
  <c r="AK49" i="9"/>
  <c r="AG34" i="8" s="1"/>
  <c r="AJ49" i="9"/>
  <c r="AF34" i="8" s="1"/>
  <c r="AI49" i="9"/>
  <c r="AE34" i="8" s="1"/>
  <c r="AH49" i="9"/>
  <c r="AD34" i="8" s="1"/>
  <c r="AG49" i="9"/>
  <c r="AC34" i="8" s="1"/>
  <c r="AF49" i="9"/>
  <c r="AB34" i="8" s="1"/>
  <c r="AE49" i="9"/>
  <c r="AA34" i="8" s="1"/>
  <c r="AD49" i="9"/>
  <c r="Z34" i="8" s="1"/>
  <c r="AC49" i="9"/>
  <c r="Y34" i="8" s="1"/>
  <c r="AB49" i="9"/>
  <c r="X34" i="8" s="1"/>
  <c r="AA49" i="9"/>
  <c r="W34" i="8" s="1"/>
  <c r="Z49" i="9"/>
  <c r="V34" i="8" s="1"/>
  <c r="Y49" i="9"/>
  <c r="U34" i="8" s="1"/>
  <c r="X49" i="9"/>
  <c r="T34" i="8" s="1"/>
  <c r="W49" i="9"/>
  <c r="S34" i="8" s="1"/>
  <c r="V49" i="9"/>
  <c r="R34" i="8" s="1"/>
  <c r="U49" i="9"/>
  <c r="Q34" i="8" s="1"/>
  <c r="T49" i="9"/>
  <c r="P34" i="8" s="1"/>
  <c r="S49" i="9"/>
  <c r="O34" i="8" s="1"/>
  <c r="R49" i="9"/>
  <c r="N34" i="8" s="1"/>
  <c r="Q49" i="9"/>
  <c r="M34" i="8" s="1"/>
  <c r="P49" i="9"/>
  <c r="L34" i="8" s="1"/>
  <c r="O49" i="9"/>
  <c r="K34" i="8" s="1"/>
  <c r="N49" i="9"/>
  <c r="J34" i="8" s="1"/>
  <c r="M49" i="9"/>
  <c r="I34" i="8" s="1"/>
  <c r="L49" i="9"/>
  <c r="H34" i="8" s="1"/>
  <c r="K49" i="9"/>
  <c r="G34" i="8" s="1"/>
  <c r="J49" i="9"/>
  <c r="F34" i="8" s="1"/>
  <c r="I49" i="9"/>
  <c r="E34" i="8" s="1"/>
  <c r="H49" i="9"/>
  <c r="D34" i="8" s="1"/>
  <c r="G49" i="9"/>
  <c r="C34" i="8" s="1"/>
  <c r="F49" i="9"/>
  <c r="B34" i="8" s="1"/>
  <c r="E49" i="9"/>
  <c r="E83" i="9" s="1"/>
  <c r="D45" i="9"/>
  <c r="A45" i="9" a="1"/>
  <c r="C45" i="9" s="1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AH37" i="9"/>
  <c r="AL36" i="9"/>
  <c r="AH35" i="9"/>
  <c r="AC34" i="9"/>
  <c r="D33" i="9"/>
  <c r="D79" i="9" s="1"/>
  <c r="D113" i="9" s="1"/>
  <c r="C33" i="9"/>
  <c r="C79" i="9" s="1"/>
  <c r="C113" i="9" s="1"/>
  <c r="B33" i="9"/>
  <c r="B79" i="9" s="1"/>
  <c r="B113" i="9" s="1"/>
  <c r="A33" i="9"/>
  <c r="A79" i="9" s="1"/>
  <c r="A113" i="9" s="1"/>
  <c r="D32" i="9"/>
  <c r="D78" i="9" s="1"/>
  <c r="D112" i="9" s="1"/>
  <c r="C32" i="9"/>
  <c r="C78" i="9" s="1"/>
  <c r="C112" i="9" s="1"/>
  <c r="B32" i="9"/>
  <c r="B78" i="9" s="1"/>
  <c r="B112" i="9" s="1"/>
  <c r="A32" i="9"/>
  <c r="A78" i="9" s="1"/>
  <c r="D31" i="9"/>
  <c r="D77" i="9" s="1"/>
  <c r="D111" i="9" s="1"/>
  <c r="C31" i="9"/>
  <c r="C77" i="9" s="1"/>
  <c r="C111" i="9" s="1"/>
  <c r="B31" i="9"/>
  <c r="B77" i="9" s="1"/>
  <c r="B111" i="9" s="1"/>
  <c r="A31" i="9"/>
  <c r="A77" i="9" s="1"/>
  <c r="D30" i="9"/>
  <c r="D76" i="9" s="1"/>
  <c r="D110" i="9" s="1"/>
  <c r="C30" i="9"/>
  <c r="C76" i="9" s="1"/>
  <c r="C110" i="9" s="1"/>
  <c r="B30" i="9"/>
  <c r="B76" i="9" s="1"/>
  <c r="B110" i="9" s="1"/>
  <c r="A30" i="9"/>
  <c r="A76" i="9" s="1"/>
  <c r="D29" i="9"/>
  <c r="D75" i="9" s="1"/>
  <c r="D109" i="9" s="1"/>
  <c r="C29" i="9"/>
  <c r="C75" i="9" s="1"/>
  <c r="C109" i="9" s="1"/>
  <c r="B29" i="9"/>
  <c r="B75" i="9" s="1"/>
  <c r="B109" i="9" s="1"/>
  <c r="A29" i="9"/>
  <c r="A75" i="9" s="1"/>
  <c r="D28" i="9"/>
  <c r="D74" i="9" s="1"/>
  <c r="D108" i="9" s="1"/>
  <c r="C28" i="9"/>
  <c r="C74" i="9" s="1"/>
  <c r="C108" i="9" s="1"/>
  <c r="B28" i="9"/>
  <c r="B74" i="9" s="1"/>
  <c r="B108" i="9" s="1"/>
  <c r="A28" i="9"/>
  <c r="A74" i="9" s="1"/>
  <c r="D27" i="9"/>
  <c r="D73" i="9" s="1"/>
  <c r="D107" i="9" s="1"/>
  <c r="C27" i="9"/>
  <c r="C73" i="9" s="1"/>
  <c r="C107" i="9" s="1"/>
  <c r="B27" i="9"/>
  <c r="B73" i="9" s="1"/>
  <c r="B107" i="9" s="1"/>
  <c r="A27" i="9"/>
  <c r="A73" i="9" s="1"/>
  <c r="D26" i="9"/>
  <c r="D72" i="9" s="1"/>
  <c r="D106" i="9" s="1"/>
  <c r="C26" i="9"/>
  <c r="C72" i="9" s="1"/>
  <c r="C106" i="9" s="1"/>
  <c r="B26" i="9"/>
  <c r="B72" i="9" s="1"/>
  <c r="B106" i="9" s="1"/>
  <c r="A26" i="9"/>
  <c r="A72" i="9" s="1"/>
  <c r="D25" i="9"/>
  <c r="D71" i="9" s="1"/>
  <c r="D105" i="9" s="1"/>
  <c r="C25" i="9"/>
  <c r="C71" i="9" s="1"/>
  <c r="C105" i="9" s="1"/>
  <c r="B25" i="9"/>
  <c r="B71" i="9" s="1"/>
  <c r="B105" i="9" s="1"/>
  <c r="A25" i="9"/>
  <c r="A71" i="9" s="1"/>
  <c r="D24" i="9"/>
  <c r="D70" i="9" s="1"/>
  <c r="D104" i="9" s="1"/>
  <c r="C24" i="9"/>
  <c r="C70" i="9" s="1"/>
  <c r="C104" i="9" s="1"/>
  <c r="B24" i="9"/>
  <c r="B70" i="9" s="1"/>
  <c r="B104" i="9" s="1"/>
  <c r="A24" i="9"/>
  <c r="A70" i="9" s="1"/>
  <c r="D23" i="9"/>
  <c r="D69" i="9" s="1"/>
  <c r="D103" i="9" s="1"/>
  <c r="C23" i="9"/>
  <c r="C69" i="9" s="1"/>
  <c r="C103" i="9" s="1"/>
  <c r="B23" i="9"/>
  <c r="B69" i="9" s="1"/>
  <c r="B103" i="9" s="1"/>
  <c r="A23" i="9"/>
  <c r="A69" i="9" s="1"/>
  <c r="D22" i="9"/>
  <c r="D68" i="9" s="1"/>
  <c r="D102" i="9" s="1"/>
  <c r="C22" i="9"/>
  <c r="C68" i="9" s="1"/>
  <c r="C102" i="9" s="1"/>
  <c r="B22" i="9"/>
  <c r="B68" i="9" s="1"/>
  <c r="B102" i="9" s="1"/>
  <c r="A22" i="9"/>
  <c r="A68" i="9" s="1"/>
  <c r="D21" i="9"/>
  <c r="D67" i="9" s="1"/>
  <c r="D101" i="9" s="1"/>
  <c r="C21" i="9"/>
  <c r="C67" i="9" s="1"/>
  <c r="C101" i="9" s="1"/>
  <c r="B21" i="9"/>
  <c r="B67" i="9" s="1"/>
  <c r="B101" i="9" s="1"/>
  <c r="A21" i="9"/>
  <c r="A67" i="9" s="1"/>
  <c r="D20" i="9"/>
  <c r="D66" i="9" s="1"/>
  <c r="D100" i="9" s="1"/>
  <c r="C20" i="9"/>
  <c r="C66" i="9" s="1"/>
  <c r="C100" i="9" s="1"/>
  <c r="B20" i="9"/>
  <c r="B66" i="9" s="1"/>
  <c r="B100" i="9" s="1"/>
  <c r="A20" i="9"/>
  <c r="A66" i="9" s="1"/>
  <c r="D19" i="9"/>
  <c r="D65" i="9" s="1"/>
  <c r="D99" i="9" s="1"/>
  <c r="C19" i="9"/>
  <c r="C65" i="9" s="1"/>
  <c r="C99" i="9" s="1"/>
  <c r="B19" i="9"/>
  <c r="B65" i="9" s="1"/>
  <c r="B99" i="9" s="1"/>
  <c r="A19" i="9"/>
  <c r="A65" i="9" s="1"/>
  <c r="D18" i="9"/>
  <c r="D64" i="9" s="1"/>
  <c r="D98" i="9" s="1"/>
  <c r="C18" i="9"/>
  <c r="C64" i="9" s="1"/>
  <c r="C98" i="9" s="1"/>
  <c r="B18" i="9"/>
  <c r="B64" i="9" s="1"/>
  <c r="B98" i="9" s="1"/>
  <c r="A18" i="9"/>
  <c r="A64" i="9" s="1"/>
  <c r="D17" i="9"/>
  <c r="D63" i="9" s="1"/>
  <c r="D97" i="9" s="1"/>
  <c r="C17" i="9"/>
  <c r="C63" i="9" s="1"/>
  <c r="C97" i="9" s="1"/>
  <c r="B17" i="9"/>
  <c r="B63" i="9" s="1"/>
  <c r="B97" i="9" s="1"/>
  <c r="A17" i="9"/>
  <c r="A63" i="9" s="1"/>
  <c r="D16" i="9"/>
  <c r="D62" i="9" s="1"/>
  <c r="D96" i="9" s="1"/>
  <c r="C16" i="9"/>
  <c r="C62" i="9" s="1"/>
  <c r="C96" i="9" s="1"/>
  <c r="B16" i="9"/>
  <c r="B62" i="9" s="1"/>
  <c r="B96" i="9" s="1"/>
  <c r="A16" i="9"/>
  <c r="A62" i="9" s="1"/>
  <c r="D15" i="9"/>
  <c r="D61" i="9" s="1"/>
  <c r="D95" i="9" s="1"/>
  <c r="C15" i="9"/>
  <c r="C61" i="9" s="1"/>
  <c r="C95" i="9" s="1"/>
  <c r="B15" i="9"/>
  <c r="B61" i="9" s="1"/>
  <c r="B95" i="9" s="1"/>
  <c r="A15" i="9"/>
  <c r="A61" i="9" s="1"/>
  <c r="D14" i="9"/>
  <c r="D60" i="9" s="1"/>
  <c r="D94" i="9" s="1"/>
  <c r="C14" i="9"/>
  <c r="C60" i="9" s="1"/>
  <c r="C94" i="9" s="1"/>
  <c r="B14" i="9"/>
  <c r="B60" i="9" s="1"/>
  <c r="B94" i="9" s="1"/>
  <c r="A14" i="9"/>
  <c r="A60" i="9" s="1"/>
  <c r="D13" i="9"/>
  <c r="D59" i="9" s="1"/>
  <c r="D93" i="9" s="1"/>
  <c r="C13" i="9"/>
  <c r="C59" i="9" s="1"/>
  <c r="C93" i="9" s="1"/>
  <c r="B13" i="9"/>
  <c r="B59" i="9" s="1"/>
  <c r="B93" i="9" s="1"/>
  <c r="A13" i="9"/>
  <c r="A59" i="9" s="1"/>
  <c r="D12" i="9"/>
  <c r="D58" i="9" s="1"/>
  <c r="D92" i="9" s="1"/>
  <c r="C12" i="9"/>
  <c r="C58" i="9" s="1"/>
  <c r="C92" i="9" s="1"/>
  <c r="B12" i="9"/>
  <c r="B58" i="9" s="1"/>
  <c r="B92" i="9" s="1"/>
  <c r="A12" i="9"/>
  <c r="A58" i="9" s="1"/>
  <c r="D11" i="9"/>
  <c r="D57" i="9" s="1"/>
  <c r="D91" i="9" s="1"/>
  <c r="C11" i="9"/>
  <c r="C57" i="9" s="1"/>
  <c r="C91" i="9" s="1"/>
  <c r="B11" i="9"/>
  <c r="B57" i="9" s="1"/>
  <c r="B91" i="9" s="1"/>
  <c r="A11" i="9"/>
  <c r="A57" i="9" s="1"/>
  <c r="D10" i="9"/>
  <c r="D56" i="9" s="1"/>
  <c r="D90" i="9" s="1"/>
  <c r="C10" i="9"/>
  <c r="C56" i="9" s="1"/>
  <c r="C90" i="9" s="1"/>
  <c r="B10" i="9"/>
  <c r="B56" i="9" s="1"/>
  <c r="B90" i="9" s="1"/>
  <c r="A10" i="9"/>
  <c r="A56" i="9" s="1"/>
  <c r="D9" i="9"/>
  <c r="D55" i="9" s="1"/>
  <c r="D89" i="9" s="1"/>
  <c r="C9" i="9"/>
  <c r="C55" i="9" s="1"/>
  <c r="C89" i="9" s="1"/>
  <c r="B9" i="9"/>
  <c r="B55" i="9" s="1"/>
  <c r="B89" i="9" s="1"/>
  <c r="A9" i="9"/>
  <c r="A55" i="9" s="1"/>
  <c r="D8" i="9"/>
  <c r="D54" i="9" s="1"/>
  <c r="D88" i="9" s="1"/>
  <c r="C8" i="9"/>
  <c r="C54" i="9" s="1"/>
  <c r="C88" i="9" s="1"/>
  <c r="B8" i="9"/>
  <c r="B54" i="9" s="1"/>
  <c r="B88" i="9" s="1"/>
  <c r="A8" i="9"/>
  <c r="A54" i="9" s="1"/>
  <c r="D7" i="9"/>
  <c r="D53" i="9" s="1"/>
  <c r="D87" i="9" s="1"/>
  <c r="C7" i="9"/>
  <c r="C53" i="9" s="1"/>
  <c r="C87" i="9" s="1"/>
  <c r="B7" i="9"/>
  <c r="B53" i="9" s="1"/>
  <c r="B87" i="9" s="1"/>
  <c r="A7" i="9"/>
  <c r="A53" i="9" s="1"/>
  <c r="D6" i="9"/>
  <c r="D52" i="9" s="1"/>
  <c r="D86" i="9" s="1"/>
  <c r="C6" i="9"/>
  <c r="C52" i="9" s="1"/>
  <c r="C86" i="9" s="1"/>
  <c r="B6" i="9"/>
  <c r="B52" i="9" s="1"/>
  <c r="B86" i="9" s="1"/>
  <c r="A6" i="9"/>
  <c r="A52" i="9" s="1"/>
  <c r="D5" i="9"/>
  <c r="D51" i="9" s="1"/>
  <c r="D85" i="9" s="1"/>
  <c r="C5" i="9"/>
  <c r="C51" i="9" s="1"/>
  <c r="C85" i="9" s="1"/>
  <c r="B5" i="9"/>
  <c r="B51" i="9" s="1"/>
  <c r="B85" i="9" s="1"/>
  <c r="A5" i="9"/>
  <c r="A51" i="9" s="1"/>
  <c r="D4" i="9"/>
  <c r="D50" i="9" s="1"/>
  <c r="D84" i="9" s="1"/>
  <c r="C4" i="9"/>
  <c r="C50" i="9" s="1"/>
  <c r="C84" i="9" s="1"/>
  <c r="B4" i="9"/>
  <c r="B50" i="9" s="1"/>
  <c r="B84" i="9" s="1"/>
  <c r="A4" i="9"/>
  <c r="A50" i="9" s="1"/>
  <c r="A2" i="9"/>
  <c r="A35" i="9" s="1"/>
  <c r="H37" i="4"/>
  <c r="J36" i="4"/>
  <c r="K34" i="4"/>
  <c r="J35" i="4"/>
  <c r="A61" i="8" l="1"/>
  <c r="A51" i="8"/>
  <c r="A60" i="8"/>
  <c r="A58" i="8"/>
  <c r="A59" i="8"/>
  <c r="A57" i="8"/>
  <c r="A56" i="8"/>
  <c r="A63" i="8"/>
  <c r="A55" i="8"/>
  <c r="A62" i="8"/>
  <c r="A54" i="8"/>
  <c r="A34" i="10"/>
  <c r="P35" i="9"/>
  <c r="A43" i="8"/>
  <c r="E36" i="9"/>
  <c r="AC36" i="9"/>
  <c r="A35" i="8"/>
  <c r="A50" i="8"/>
  <c r="A42" i="8"/>
  <c r="W36" i="9"/>
  <c r="L35" i="9"/>
  <c r="G36" i="9"/>
  <c r="AE36" i="9"/>
  <c r="A49" i="8"/>
  <c r="A41" i="8"/>
  <c r="O35" i="9"/>
  <c r="I36" i="9"/>
  <c r="AK36" i="9"/>
  <c r="A48" i="8"/>
  <c r="A40" i="8"/>
  <c r="M36" i="9"/>
  <c r="A47" i="8"/>
  <c r="A39" i="8"/>
  <c r="AB35" i="9"/>
  <c r="O36" i="9"/>
  <c r="A46" i="8"/>
  <c r="A38" i="8"/>
  <c r="AE35" i="9"/>
  <c r="Q36" i="9"/>
  <c r="A53" i="8"/>
  <c r="A45" i="8"/>
  <c r="A37" i="8"/>
  <c r="AF35" i="9"/>
  <c r="U36" i="9"/>
  <c r="A52" i="8"/>
  <c r="A44" i="8"/>
  <c r="A36" i="8"/>
  <c r="A11" i="8"/>
  <c r="A19" i="8"/>
  <c r="A20" i="8"/>
  <c r="A12" i="8"/>
  <c r="A4" i="8"/>
  <c r="A3" i="8"/>
  <c r="A18" i="8"/>
  <c r="A10" i="8"/>
  <c r="A17" i="8"/>
  <c r="A9" i="8"/>
  <c r="A16" i="8"/>
  <c r="A8" i="8"/>
  <c r="A15" i="8"/>
  <c r="A7" i="8"/>
  <c r="A22" i="8"/>
  <c r="A14" i="8"/>
  <c r="A6" i="8"/>
  <c r="A21" i="8"/>
  <c r="A13" i="8"/>
  <c r="A5" i="8"/>
  <c r="A89" i="10"/>
  <c r="A95" i="10"/>
  <c r="A88" i="10"/>
  <c r="A90" i="10"/>
  <c r="A92" i="10"/>
  <c r="A94" i="10"/>
  <c r="A96" i="10"/>
  <c r="A98" i="10"/>
  <c r="A100" i="10"/>
  <c r="A102" i="10"/>
  <c r="A104" i="10"/>
  <c r="A106" i="10"/>
  <c r="A108" i="10"/>
  <c r="A110" i="10"/>
  <c r="A112" i="10"/>
  <c r="A84" i="10"/>
  <c r="A86" i="10"/>
  <c r="A85" i="10"/>
  <c r="A97" i="10"/>
  <c r="A105" i="10"/>
  <c r="A93" i="10"/>
  <c r="A99" i="10"/>
  <c r="A101" i="10"/>
  <c r="A91" i="10"/>
  <c r="B45" i="10"/>
  <c r="D41" i="10" s="1"/>
  <c r="C45" i="10"/>
  <c r="A103" i="10"/>
  <c r="A107" i="10"/>
  <c r="A109" i="10"/>
  <c r="A111" i="10"/>
  <c r="A35" i="10"/>
  <c r="F37" i="10"/>
  <c r="C119" i="10"/>
  <c r="AI37" i="9"/>
  <c r="AA37" i="9"/>
  <c r="S37" i="9"/>
  <c r="K37" i="9"/>
  <c r="AG37" i="9"/>
  <c r="Y37" i="9"/>
  <c r="Q37" i="9"/>
  <c r="I37" i="9"/>
  <c r="AF37" i="9"/>
  <c r="X37" i="9"/>
  <c r="P37" i="9"/>
  <c r="H37" i="9"/>
  <c r="AE37" i="9"/>
  <c r="W37" i="9"/>
  <c r="O37" i="9"/>
  <c r="G37" i="9"/>
  <c r="AL37" i="9"/>
  <c r="AD37" i="9"/>
  <c r="V37" i="9"/>
  <c r="N37" i="9"/>
  <c r="F37" i="9"/>
  <c r="AK37" i="9"/>
  <c r="AC37" i="9"/>
  <c r="U37" i="9"/>
  <c r="M37" i="9"/>
  <c r="E37" i="9"/>
  <c r="AJ37" i="9"/>
  <c r="G34" i="9"/>
  <c r="A85" i="9"/>
  <c r="A87" i="9"/>
  <c r="A89" i="9"/>
  <c r="A91" i="9"/>
  <c r="A93" i="9"/>
  <c r="A95" i="9"/>
  <c r="A97" i="9"/>
  <c r="A99" i="9"/>
  <c r="A101" i="9"/>
  <c r="A103" i="9"/>
  <c r="A105" i="9"/>
  <c r="A107" i="9"/>
  <c r="I34" i="9"/>
  <c r="Y34" i="9"/>
  <c r="R35" i="9"/>
  <c r="L37" i="9"/>
  <c r="AK34" i="9"/>
  <c r="L34" i="9"/>
  <c r="AB34" i="9"/>
  <c r="AG35" i="9"/>
  <c r="Y35" i="9"/>
  <c r="Q35" i="9"/>
  <c r="I35" i="9"/>
  <c r="AL35" i="9"/>
  <c r="AD35" i="9"/>
  <c r="V35" i="9"/>
  <c r="N35" i="9"/>
  <c r="F35" i="9"/>
  <c r="AK35" i="9"/>
  <c r="AC35" i="9"/>
  <c r="U35" i="9"/>
  <c r="M35" i="9"/>
  <c r="E35" i="9"/>
  <c r="AI35" i="9"/>
  <c r="AA35" i="9"/>
  <c r="S35" i="9"/>
  <c r="K35" i="9"/>
  <c r="T35" i="9"/>
  <c r="AJ35" i="9"/>
  <c r="R37" i="9"/>
  <c r="M34" i="9"/>
  <c r="G35" i="9"/>
  <c r="W35" i="9"/>
  <c r="T37" i="9"/>
  <c r="AL34" i="9"/>
  <c r="AD34" i="9"/>
  <c r="V34" i="9"/>
  <c r="N34" i="9"/>
  <c r="F34" i="9"/>
  <c r="AI34" i="9"/>
  <c r="AA34" i="9"/>
  <c r="S34" i="9"/>
  <c r="K34" i="9"/>
  <c r="AH34" i="9"/>
  <c r="Z34" i="9"/>
  <c r="R34" i="9"/>
  <c r="J34" i="9"/>
  <c r="AF34" i="9"/>
  <c r="X34" i="9"/>
  <c r="P34" i="9"/>
  <c r="H34" i="9"/>
  <c r="AJ34" i="9"/>
  <c r="E34" i="9"/>
  <c r="U34" i="9"/>
  <c r="O34" i="9"/>
  <c r="AE34" i="9"/>
  <c r="H35" i="9"/>
  <c r="X35" i="9"/>
  <c r="Z37" i="9"/>
  <c r="T34" i="9"/>
  <c r="W34" i="9"/>
  <c r="J37" i="9"/>
  <c r="A118" i="9"/>
  <c r="A119" i="9" s="1"/>
  <c r="A34" i="9"/>
  <c r="A84" i="9"/>
  <c r="A86" i="9"/>
  <c r="A88" i="9"/>
  <c r="A90" i="9"/>
  <c r="A92" i="9"/>
  <c r="A94" i="9"/>
  <c r="A96" i="9"/>
  <c r="A98" i="9"/>
  <c r="A100" i="9"/>
  <c r="A102" i="9"/>
  <c r="A104" i="9"/>
  <c r="A106" i="9"/>
  <c r="A108" i="9"/>
  <c r="Q34" i="9"/>
  <c r="AG34" i="9"/>
  <c r="J35" i="9"/>
  <c r="Z35" i="9"/>
  <c r="AB37" i="9"/>
  <c r="H36" i="9"/>
  <c r="P36" i="9"/>
  <c r="X36" i="9"/>
  <c r="AF36" i="9"/>
  <c r="Y36" i="9"/>
  <c r="AG36" i="9"/>
  <c r="A110" i="9"/>
  <c r="A112" i="9"/>
  <c r="J36" i="9"/>
  <c r="R36" i="9"/>
  <c r="Z36" i="9"/>
  <c r="AH36" i="9"/>
  <c r="A45" i="9"/>
  <c r="K36" i="9"/>
  <c r="S36" i="9"/>
  <c r="AA36" i="9"/>
  <c r="AI36" i="9"/>
  <c r="B45" i="9"/>
  <c r="L36" i="9"/>
  <c r="T36" i="9"/>
  <c r="AB36" i="9"/>
  <c r="AJ36" i="9"/>
  <c r="A109" i="9"/>
  <c r="A111" i="9"/>
  <c r="F36" i="9"/>
  <c r="N36" i="9"/>
  <c r="V36" i="9"/>
  <c r="AD36" i="9"/>
  <c r="C119" i="9"/>
  <c r="AH34" i="4"/>
  <c r="AG34" i="4"/>
  <c r="AI34" i="4"/>
  <c r="J34" i="4"/>
  <c r="I34" i="4"/>
  <c r="K35" i="4"/>
  <c r="AF34" i="4"/>
  <c r="AD37" i="4"/>
  <c r="Z34" i="4"/>
  <c r="T34" i="4"/>
  <c r="AE37" i="4"/>
  <c r="O34" i="4"/>
  <c r="F37" i="4"/>
  <c r="L34" i="4"/>
  <c r="AK35" i="4"/>
  <c r="AI35" i="4"/>
  <c r="AC35" i="4"/>
  <c r="Y34" i="4"/>
  <c r="H34" i="4"/>
  <c r="R37" i="4"/>
  <c r="AA35" i="4"/>
  <c r="S37" i="4"/>
  <c r="J37" i="4"/>
  <c r="X34" i="4"/>
  <c r="AI37" i="4"/>
  <c r="U35" i="4"/>
  <c r="AJ34" i="4"/>
  <c r="W34" i="4"/>
  <c r="AH37" i="4"/>
  <c r="G37" i="4"/>
  <c r="S35" i="4"/>
  <c r="E37" i="4"/>
  <c r="Z35" i="4"/>
  <c r="AC37" i="4"/>
  <c r="Q35" i="4"/>
  <c r="AE34" i="4"/>
  <c r="R34" i="4"/>
  <c r="G34" i="4"/>
  <c r="AA37" i="4"/>
  <c r="N37" i="4"/>
  <c r="Y36" i="4"/>
  <c r="AF35" i="4"/>
  <c r="X35" i="4"/>
  <c r="P35" i="4"/>
  <c r="H35" i="4"/>
  <c r="AH35" i="4"/>
  <c r="R35" i="4"/>
  <c r="O37" i="4"/>
  <c r="AG36" i="4"/>
  <c r="AG35" i="4"/>
  <c r="Y35" i="4"/>
  <c r="I35" i="4"/>
  <c r="AB34" i="4"/>
  <c r="Z37" i="4"/>
  <c r="AE35" i="4"/>
  <c r="G35" i="4"/>
  <c r="Q34" i="4"/>
  <c r="AL37" i="4"/>
  <c r="M37" i="4"/>
  <c r="Q36" i="4"/>
  <c r="W35" i="4"/>
  <c r="O35" i="4"/>
  <c r="E34" i="4"/>
  <c r="AA34" i="4"/>
  <c r="P34" i="4"/>
  <c r="AK37" i="4"/>
  <c r="K37" i="4"/>
  <c r="AL35" i="4"/>
  <c r="AD35" i="4"/>
  <c r="V35" i="4"/>
  <c r="N35" i="4"/>
  <c r="F35" i="4"/>
  <c r="M35" i="4"/>
  <c r="E35" i="4"/>
  <c r="AJ35" i="4"/>
  <c r="AB35" i="4"/>
  <c r="T35" i="4"/>
  <c r="L35" i="4"/>
  <c r="AJ37" i="4"/>
  <c r="AB37" i="4"/>
  <c r="L37" i="4"/>
  <c r="AG37" i="4"/>
  <c r="Y37" i="4"/>
  <c r="Q37" i="4"/>
  <c r="I37" i="4"/>
  <c r="AF37" i="4"/>
  <c r="X37" i="4"/>
  <c r="P37" i="4"/>
  <c r="I36" i="4"/>
  <c r="AF36" i="4"/>
  <c r="X36" i="4"/>
  <c r="P36" i="4"/>
  <c r="H36" i="4"/>
  <c r="AE36" i="4"/>
  <c r="O36" i="4"/>
  <c r="G36" i="4"/>
  <c r="AL36" i="4"/>
  <c r="N36" i="4"/>
  <c r="F36" i="4"/>
  <c r="E36" i="4"/>
  <c r="AD36" i="4"/>
  <c r="AC36" i="4"/>
  <c r="AJ36" i="4"/>
  <c r="AB36" i="4"/>
  <c r="T36" i="4"/>
  <c r="L36" i="4"/>
  <c r="AK36" i="4"/>
  <c r="M36" i="4"/>
  <c r="AI36" i="4"/>
  <c r="AA36" i="4"/>
  <c r="S36" i="4"/>
  <c r="K36" i="4"/>
  <c r="AH36" i="4"/>
  <c r="Z36" i="4"/>
  <c r="R36" i="4"/>
  <c r="AL34" i="4"/>
  <c r="AD34" i="4"/>
  <c r="V34" i="4"/>
  <c r="N34" i="4"/>
  <c r="F34" i="4"/>
  <c r="AK34" i="4"/>
  <c r="AC34" i="4"/>
  <c r="U34" i="4"/>
  <c r="M34" i="4"/>
  <c r="S34" i="4"/>
  <c r="A41" i="9" l="1"/>
  <c r="C41" i="10"/>
  <c r="AH59" i="10"/>
  <c r="AD12" i="8" s="1"/>
  <c r="J53" i="10"/>
  <c r="F6" i="8" s="1"/>
  <c r="R65" i="10"/>
  <c r="N18" i="8" s="1"/>
  <c r="Z76" i="10"/>
  <c r="V29" i="8" s="1"/>
  <c r="AC53" i="10"/>
  <c r="Y6" i="8" s="1"/>
  <c r="AE53" i="10"/>
  <c r="AA6" i="8" s="1"/>
  <c r="AH75" i="10"/>
  <c r="AD28" i="8" s="1"/>
  <c r="P53" i="10"/>
  <c r="L6" i="8" s="1"/>
  <c r="AG77" i="10"/>
  <c r="AC30" i="8" s="1"/>
  <c r="AL53" i="10"/>
  <c r="AH6" i="8" s="1"/>
  <c r="O74" i="9"/>
  <c r="K59" i="8" s="1"/>
  <c r="R69" i="10"/>
  <c r="N22" i="8" s="1"/>
  <c r="U73" i="10"/>
  <c r="Q26" i="8" s="1"/>
  <c r="AF69" i="10"/>
  <c r="AB22" i="8" s="1"/>
  <c r="AH57" i="10"/>
  <c r="AD10" i="8" s="1"/>
  <c r="F76" i="9"/>
  <c r="B61" i="8" s="1"/>
  <c r="AE76" i="9"/>
  <c r="AA61" i="8" s="1"/>
  <c r="R73" i="10"/>
  <c r="N26" i="8" s="1"/>
  <c r="AH77" i="9"/>
  <c r="AD62" i="8" s="1"/>
  <c r="Q75" i="9"/>
  <c r="M60" i="8" s="1"/>
  <c r="AI75" i="9"/>
  <c r="AE60" i="8" s="1"/>
  <c r="R77" i="10"/>
  <c r="N30" i="8" s="1"/>
  <c r="X53" i="10"/>
  <c r="T6" i="8" s="1"/>
  <c r="AC75" i="9"/>
  <c r="Y60" i="8" s="1"/>
  <c r="X75" i="9"/>
  <c r="T60" i="8" s="1"/>
  <c r="K77" i="9"/>
  <c r="G62" i="8" s="1"/>
  <c r="AH75" i="9"/>
  <c r="AD60" i="8" s="1"/>
  <c r="AE57" i="10"/>
  <c r="AA10" i="8" s="1"/>
  <c r="AD74" i="9"/>
  <c r="Z59" i="8" s="1"/>
  <c r="Q73" i="10"/>
  <c r="M26" i="8" s="1"/>
  <c r="F53" i="10"/>
  <c r="B6" i="8" s="1"/>
  <c r="U69" i="10"/>
  <c r="Q22" i="8" s="1"/>
  <c r="S78" i="9"/>
  <c r="O63" i="8" s="1"/>
  <c r="AE54" i="9"/>
  <c r="AA39" i="8" s="1"/>
  <c r="M70" i="10"/>
  <c r="I23" i="8" s="1"/>
  <c r="AJ50" i="10"/>
  <c r="AF3" i="8" s="1"/>
  <c r="P53" i="9"/>
  <c r="L38" i="8" s="1"/>
  <c r="Y76" i="10"/>
  <c r="U29" i="8" s="1"/>
  <c r="AE77" i="10"/>
  <c r="AA30" i="8" s="1"/>
  <c r="AB53" i="10"/>
  <c r="X6" i="8" s="1"/>
  <c r="AA77" i="9"/>
  <c r="W62" i="8" s="1"/>
  <c r="Q76" i="9"/>
  <c r="M61" i="8" s="1"/>
  <c r="AB75" i="9"/>
  <c r="X60" i="8" s="1"/>
  <c r="AL60" i="9"/>
  <c r="AK56" i="9"/>
  <c r="AG41" i="8" s="1"/>
  <c r="M76" i="9"/>
  <c r="I61" i="8" s="1"/>
  <c r="O59" i="10"/>
  <c r="K12" i="8" s="1"/>
  <c r="AL69" i="10"/>
  <c r="AH22" i="8" s="1"/>
  <c r="R75" i="10"/>
  <c r="N28" i="8" s="1"/>
  <c r="AH69" i="10"/>
  <c r="AD22" i="8" s="1"/>
  <c r="T77" i="9"/>
  <c r="P62" i="8" s="1"/>
  <c r="AD75" i="10"/>
  <c r="Z28" i="8" s="1"/>
  <c r="AJ75" i="10"/>
  <c r="AF28" i="8" s="1"/>
  <c r="U77" i="10"/>
  <c r="Q30" i="8" s="1"/>
  <c r="AE75" i="9"/>
  <c r="AA60" i="8" s="1"/>
  <c r="L77" i="9"/>
  <c r="H62" i="8" s="1"/>
  <c r="AH61" i="9"/>
  <c r="U57" i="10"/>
  <c r="Q10" i="8" s="1"/>
  <c r="W73" i="10"/>
  <c r="S26" i="8" s="1"/>
  <c r="V65" i="10"/>
  <c r="R18" i="8" s="1"/>
  <c r="M57" i="10"/>
  <c r="I10" i="8" s="1"/>
  <c r="AJ73" i="10"/>
  <c r="AF26" i="8" s="1"/>
  <c r="T73" i="10"/>
  <c r="P26" i="8" s="1"/>
  <c r="J75" i="9"/>
  <c r="F60" i="8" s="1"/>
  <c r="M74" i="9"/>
  <c r="I59" i="8" s="1"/>
  <c r="AK74" i="9"/>
  <c r="AG59" i="8" s="1"/>
  <c r="G52" i="10"/>
  <c r="C5" i="8" s="1"/>
  <c r="AA73" i="10"/>
  <c r="W26" i="8" s="1"/>
  <c r="AA69" i="10"/>
  <c r="W22" i="8" s="1"/>
  <c r="V63" i="9"/>
  <c r="R48" i="8" s="1"/>
  <c r="AL76" i="9"/>
  <c r="AH61" i="8" s="1"/>
  <c r="AL66" i="9"/>
  <c r="AH51" i="8" s="1"/>
  <c r="AJ77" i="9"/>
  <c r="AF62" i="8" s="1"/>
  <c r="AD67" i="10"/>
  <c r="Z20" i="8" s="1"/>
  <c r="V53" i="10"/>
  <c r="R6" i="8" s="1"/>
  <c r="AI72" i="10"/>
  <c r="AE25" i="8" s="1"/>
  <c r="F65" i="10"/>
  <c r="B18" i="8" s="1"/>
  <c r="N78" i="10"/>
  <c r="J31" i="8" s="1"/>
  <c r="AH77" i="10"/>
  <c r="AD30" i="8" s="1"/>
  <c r="AB75" i="10"/>
  <c r="X28" i="8" s="1"/>
  <c r="V73" i="10"/>
  <c r="R26" i="8" s="1"/>
  <c r="AG69" i="10"/>
  <c r="AC22" i="8" s="1"/>
  <c r="AB57" i="10"/>
  <c r="X10" i="8" s="1"/>
  <c r="AH63" i="10"/>
  <c r="AD16" i="8" s="1"/>
  <c r="R75" i="9"/>
  <c r="N60" i="8" s="1"/>
  <c r="AL72" i="9"/>
  <c r="AH57" i="8" s="1"/>
  <c r="P77" i="9"/>
  <c r="L62" i="8" s="1"/>
  <c r="AL64" i="9"/>
  <c r="AH49" i="8" s="1"/>
  <c r="S75" i="10"/>
  <c r="O28" i="8" s="1"/>
  <c r="M77" i="10"/>
  <c r="I30" i="8" s="1"/>
  <c r="AJ77" i="10"/>
  <c r="AF30" i="8" s="1"/>
  <c r="M75" i="10"/>
  <c r="I28" i="8" s="1"/>
  <c r="AB67" i="10"/>
  <c r="X20" i="8" s="1"/>
  <c r="AL77" i="9"/>
  <c r="AH62" i="8" s="1"/>
  <c r="Q77" i="9"/>
  <c r="M62" i="8" s="1"/>
  <c r="J77" i="9"/>
  <c r="F62" i="8" s="1"/>
  <c r="M72" i="9"/>
  <c r="I57" i="8" s="1"/>
  <c r="AL62" i="9"/>
  <c r="AH47" i="8" s="1"/>
  <c r="AA75" i="9"/>
  <c r="W60" i="8" s="1"/>
  <c r="W52" i="9"/>
  <c r="S37" i="8" s="1"/>
  <c r="AB77" i="9"/>
  <c r="X62" i="8" s="1"/>
  <c r="U58" i="9"/>
  <c r="Q43" i="8" s="1"/>
  <c r="F51" i="10"/>
  <c r="Q52" i="10"/>
  <c r="M5" i="8" s="1"/>
  <c r="AF50" i="10"/>
  <c r="AB3" i="8" s="1"/>
  <c r="AB59" i="10"/>
  <c r="X12" i="8" s="1"/>
  <c r="K75" i="10"/>
  <c r="G28" i="8" s="1"/>
  <c r="V75" i="10"/>
  <c r="R28" i="8" s="1"/>
  <c r="Z73" i="10"/>
  <c r="V26" i="8" s="1"/>
  <c r="AC71" i="10"/>
  <c r="Y24" i="8" s="1"/>
  <c r="AK59" i="10"/>
  <c r="AG12" i="8" s="1"/>
  <c r="Q65" i="10"/>
  <c r="M18" i="8" s="1"/>
  <c r="T76" i="10"/>
  <c r="P29" i="8" s="1"/>
  <c r="Z56" i="9"/>
  <c r="V41" i="8" s="1"/>
  <c r="AA77" i="10"/>
  <c r="W30" i="8" s="1"/>
  <c r="AK78" i="9"/>
  <c r="AG63" i="8" s="1"/>
  <c r="AK72" i="9"/>
  <c r="AG57" i="8" s="1"/>
  <c r="AF67" i="9"/>
  <c r="AB52" i="8" s="1"/>
  <c r="AI59" i="9"/>
  <c r="AE44" i="8" s="1"/>
  <c r="G56" i="9"/>
  <c r="C41" i="8" s="1"/>
  <c r="L75" i="9"/>
  <c r="H60" i="8" s="1"/>
  <c r="AL69" i="9"/>
  <c r="AH54" i="8" s="1"/>
  <c r="AC72" i="9"/>
  <c r="Y57" i="8" s="1"/>
  <c r="O68" i="9"/>
  <c r="K53" i="8" s="1"/>
  <c r="I65" i="10"/>
  <c r="E18" i="8" s="1"/>
  <c r="X74" i="10"/>
  <c r="T27" i="8" s="1"/>
  <c r="AL50" i="10"/>
  <c r="AH3" i="8" s="1"/>
  <c r="Z75" i="10"/>
  <c r="V28" i="8" s="1"/>
  <c r="AC50" i="10"/>
  <c r="Y3" i="8" s="1"/>
  <c r="L67" i="10"/>
  <c r="H20" i="8" s="1"/>
  <c r="AA51" i="10"/>
  <c r="AH65" i="10"/>
  <c r="AD18" i="8" s="1"/>
  <c r="AH52" i="10"/>
  <c r="AD5" i="8" s="1"/>
  <c r="V57" i="10"/>
  <c r="R10" i="8" s="1"/>
  <c r="R77" i="9"/>
  <c r="N62" i="8" s="1"/>
  <c r="T75" i="9"/>
  <c r="P60" i="8" s="1"/>
  <c r="AB72" i="9"/>
  <c r="X57" i="8" s="1"/>
  <c r="S68" i="9"/>
  <c r="O53" i="8" s="1"/>
  <c r="AL78" i="9"/>
  <c r="AH63" i="8" s="1"/>
  <c r="AF53" i="10"/>
  <c r="AB6" i="8" s="1"/>
  <c r="P78" i="10"/>
  <c r="L31" i="8" s="1"/>
  <c r="L69" i="10"/>
  <c r="H22" i="8" s="1"/>
  <c r="AF77" i="10"/>
  <c r="AB30" i="8" s="1"/>
  <c r="S78" i="10"/>
  <c r="O31" i="8" s="1"/>
  <c r="K78" i="9"/>
  <c r="G63" i="8" s="1"/>
  <c r="AK53" i="10"/>
  <c r="AG6" i="8" s="1"/>
  <c r="H65" i="10"/>
  <c r="D18" i="8" s="1"/>
  <c r="G76" i="10"/>
  <c r="C29" i="8" s="1"/>
  <c r="J75" i="10"/>
  <c r="F28" i="8" s="1"/>
  <c r="AJ69" i="10"/>
  <c r="AF22" i="8" s="1"/>
  <c r="AF59" i="10"/>
  <c r="AB12" i="8" s="1"/>
  <c r="K50" i="10"/>
  <c r="G3" i="8" s="1"/>
  <c r="R50" i="10"/>
  <c r="N3" i="8" s="1"/>
  <c r="AE60" i="9"/>
  <c r="F75" i="9"/>
  <c r="B60" i="8" s="1"/>
  <c r="AC77" i="9"/>
  <c r="Y62" i="8" s="1"/>
  <c r="O77" i="9"/>
  <c r="K62" i="8" s="1"/>
  <c r="AF75" i="9"/>
  <c r="AB60" i="8" s="1"/>
  <c r="AC78" i="9"/>
  <c r="Y63" i="8" s="1"/>
  <c r="AI72" i="9"/>
  <c r="AE57" i="8" s="1"/>
  <c r="J70" i="9"/>
  <c r="F55" i="8" s="1"/>
  <c r="Q78" i="9"/>
  <c r="M63" i="8" s="1"/>
  <c r="AC76" i="9"/>
  <c r="Y61" i="8" s="1"/>
  <c r="AL74" i="9"/>
  <c r="AH59" i="8" s="1"/>
  <c r="AL68" i="9"/>
  <c r="AH53" i="8" s="1"/>
  <c r="AE64" i="9"/>
  <c r="AA49" i="8" s="1"/>
  <c r="AL58" i="9"/>
  <c r="AH43" i="8" s="1"/>
  <c r="S57" i="10"/>
  <c r="O10" i="8" s="1"/>
  <c r="Q57" i="10"/>
  <c r="M10" i="8" s="1"/>
  <c r="AE64" i="10"/>
  <c r="AA17" i="8" s="1"/>
  <c r="AE68" i="10"/>
  <c r="AA21" i="8" s="1"/>
  <c r="AE76" i="10"/>
  <c r="AA29" i="8" s="1"/>
  <c r="AE59" i="10"/>
  <c r="AA12" i="8" s="1"/>
  <c r="AE60" i="10"/>
  <c r="AE66" i="10"/>
  <c r="AA19" i="8" s="1"/>
  <c r="AE61" i="10"/>
  <c r="AE58" i="10"/>
  <c r="AA11" i="8" s="1"/>
  <c r="AE54" i="10"/>
  <c r="AA7" i="8" s="1"/>
  <c r="AE72" i="10"/>
  <c r="AA25" i="8" s="1"/>
  <c r="AE52" i="10"/>
  <c r="AA5" i="8" s="1"/>
  <c r="AE71" i="10"/>
  <c r="AA24" i="8" s="1"/>
  <c r="AE56" i="10"/>
  <c r="AA9" i="8" s="1"/>
  <c r="AE70" i="10"/>
  <c r="AA23" i="8" s="1"/>
  <c r="AE78" i="10"/>
  <c r="AA31" i="8" s="1"/>
  <c r="AE50" i="10"/>
  <c r="AA3" i="8" s="1"/>
  <c r="AE55" i="10"/>
  <c r="AA8" i="8" s="1"/>
  <c r="AE62" i="10"/>
  <c r="AA15" i="8" s="1"/>
  <c r="U53" i="10"/>
  <c r="Q6" i="8" s="1"/>
  <c r="AD61" i="10"/>
  <c r="AD65" i="10"/>
  <c r="Z18" i="8" s="1"/>
  <c r="AD54" i="10"/>
  <c r="Z7" i="8" s="1"/>
  <c r="AD56" i="10"/>
  <c r="Z9" i="8" s="1"/>
  <c r="AD64" i="10"/>
  <c r="Z17" i="8" s="1"/>
  <c r="AD72" i="10"/>
  <c r="Z25" i="8" s="1"/>
  <c r="AD58" i="10"/>
  <c r="Z11" i="8" s="1"/>
  <c r="AD66" i="10"/>
  <c r="Z19" i="8" s="1"/>
  <c r="AD55" i="10"/>
  <c r="Z8" i="8" s="1"/>
  <c r="AD71" i="10"/>
  <c r="Z24" i="8" s="1"/>
  <c r="AD60" i="10"/>
  <c r="AD68" i="10"/>
  <c r="Z21" i="8" s="1"/>
  <c r="AD62" i="10"/>
  <c r="Z15" i="8" s="1"/>
  <c r="AD70" i="10"/>
  <c r="Z23" i="8" s="1"/>
  <c r="AD74" i="10"/>
  <c r="Z27" i="8" s="1"/>
  <c r="AD78" i="10"/>
  <c r="Z31" i="8" s="1"/>
  <c r="AC77" i="10"/>
  <c r="Y30" i="8" s="1"/>
  <c r="P77" i="10"/>
  <c r="L30" i="8" s="1"/>
  <c r="T77" i="10"/>
  <c r="P30" i="8" s="1"/>
  <c r="I75" i="10"/>
  <c r="E28" i="8" s="1"/>
  <c r="AA75" i="10"/>
  <c r="W28" i="8" s="1"/>
  <c r="AC75" i="10"/>
  <c r="Y28" i="8" s="1"/>
  <c r="AE75" i="10"/>
  <c r="AA28" i="8" s="1"/>
  <c r="AK73" i="10"/>
  <c r="AG26" i="8" s="1"/>
  <c r="M73" i="10"/>
  <c r="I26" i="8" s="1"/>
  <c r="H73" i="10"/>
  <c r="D26" i="8" s="1"/>
  <c r="J73" i="10"/>
  <c r="F26" i="8" s="1"/>
  <c r="I69" i="10"/>
  <c r="E22" i="8" s="1"/>
  <c r="AK69" i="10"/>
  <c r="AG22" i="8" s="1"/>
  <c r="G69" i="10"/>
  <c r="C22" i="8" s="1"/>
  <c r="L53" i="10"/>
  <c r="H6" i="8" s="1"/>
  <c r="U56" i="10"/>
  <c r="Q9" i="8" s="1"/>
  <c r="U67" i="10"/>
  <c r="Q20" i="8" s="1"/>
  <c r="U55" i="10"/>
  <c r="Q8" i="8" s="1"/>
  <c r="U66" i="10"/>
  <c r="Q19" i="8" s="1"/>
  <c r="U62" i="10"/>
  <c r="Q15" i="8" s="1"/>
  <c r="U70" i="10"/>
  <c r="Q23" i="8" s="1"/>
  <c r="U68" i="10"/>
  <c r="Q21" i="8" s="1"/>
  <c r="U60" i="10"/>
  <c r="U61" i="10"/>
  <c r="U58" i="10"/>
  <c r="Q11" i="8" s="1"/>
  <c r="U51" i="10"/>
  <c r="U54" i="10"/>
  <c r="Q7" i="8" s="1"/>
  <c r="U64" i="10"/>
  <c r="Q17" i="8" s="1"/>
  <c r="U72" i="10"/>
  <c r="Q25" i="8" s="1"/>
  <c r="U63" i="10"/>
  <c r="Q16" i="8" s="1"/>
  <c r="K53" i="10"/>
  <c r="G6" i="8" s="1"/>
  <c r="AH53" i="10"/>
  <c r="AD6" i="8" s="1"/>
  <c r="P57" i="10"/>
  <c r="L10" i="8" s="1"/>
  <c r="AH67" i="10"/>
  <c r="AD20" i="8" s="1"/>
  <c r="AC67" i="10"/>
  <c r="Y20" i="8" s="1"/>
  <c r="AE67" i="10"/>
  <c r="AA20" i="8" s="1"/>
  <c r="U65" i="10"/>
  <c r="Q18" i="8" s="1"/>
  <c r="J65" i="10"/>
  <c r="F18" i="8" s="1"/>
  <c r="AC59" i="10"/>
  <c r="Y12" i="8" s="1"/>
  <c r="P71" i="10"/>
  <c r="L24" i="8" s="1"/>
  <c r="K71" i="10"/>
  <c r="G24" i="8" s="1"/>
  <c r="AL71" i="10"/>
  <c r="AH24" i="8" s="1"/>
  <c r="R63" i="10"/>
  <c r="N16" i="8" s="1"/>
  <c r="H63" i="10"/>
  <c r="D16" i="8" s="1"/>
  <c r="AE51" i="10"/>
  <c r="K51" i="10"/>
  <c r="AF52" i="10"/>
  <c r="AB5" i="8" s="1"/>
  <c r="AJ52" i="10"/>
  <c r="AF5" i="8" s="1"/>
  <c r="H50" i="10"/>
  <c r="D3" i="8" s="1"/>
  <c r="R78" i="10"/>
  <c r="N31" i="8" s="1"/>
  <c r="AK76" i="10"/>
  <c r="AG29" i="8" s="1"/>
  <c r="AK74" i="10"/>
  <c r="AG27" i="8" s="1"/>
  <c r="K74" i="10"/>
  <c r="G27" i="8" s="1"/>
  <c r="AB72" i="10"/>
  <c r="X25" i="8" s="1"/>
  <c r="AE68" i="9"/>
  <c r="AA53" i="8" s="1"/>
  <c r="AE77" i="9"/>
  <c r="AA62" i="8" s="1"/>
  <c r="M75" i="9"/>
  <c r="I60" i="8" s="1"/>
  <c r="AJ55" i="9"/>
  <c r="AF40" i="8" s="1"/>
  <c r="U78" i="9"/>
  <c r="Q63" i="8" s="1"/>
  <c r="AC74" i="9"/>
  <c r="Y59" i="8" s="1"/>
  <c r="M70" i="9"/>
  <c r="I55" i="8" s="1"/>
  <c r="M68" i="9"/>
  <c r="I53" i="8" s="1"/>
  <c r="AE58" i="9"/>
  <c r="AA43" i="8" s="1"/>
  <c r="AL52" i="9"/>
  <c r="AH37" i="8" s="1"/>
  <c r="W59" i="9"/>
  <c r="S44" i="8" s="1"/>
  <c r="AK57" i="10"/>
  <c r="AG10" i="8" s="1"/>
  <c r="G57" i="10"/>
  <c r="C10" i="8" s="1"/>
  <c r="F57" i="10"/>
  <c r="W55" i="10"/>
  <c r="S8" i="8" s="1"/>
  <c r="W62" i="10"/>
  <c r="S15" i="8" s="1"/>
  <c r="W64" i="10"/>
  <c r="S17" i="8" s="1"/>
  <c r="W78" i="10"/>
  <c r="S31" i="8" s="1"/>
  <c r="W59" i="10"/>
  <c r="S12" i="8" s="1"/>
  <c r="W60" i="10"/>
  <c r="W68" i="10"/>
  <c r="S21" i="8" s="1"/>
  <c r="W61" i="10"/>
  <c r="W58" i="10"/>
  <c r="S11" i="8" s="1"/>
  <c r="W66" i="10"/>
  <c r="S19" i="8" s="1"/>
  <c r="W74" i="10"/>
  <c r="S27" i="8" s="1"/>
  <c r="W71" i="10"/>
  <c r="S24" i="8" s="1"/>
  <c r="W65" i="10"/>
  <c r="S18" i="8" s="1"/>
  <c r="W57" i="10"/>
  <c r="S10" i="8" s="1"/>
  <c r="W54" i="10"/>
  <c r="S7" i="8" s="1"/>
  <c r="W70" i="10"/>
  <c r="S23" i="8" s="1"/>
  <c r="W72" i="10"/>
  <c r="S25" i="8" s="1"/>
  <c r="W51" i="10"/>
  <c r="W63" i="10"/>
  <c r="S16" i="8" s="1"/>
  <c r="W56" i="10"/>
  <c r="S9" i="8" s="1"/>
  <c r="W50" i="10"/>
  <c r="S3" i="8" s="1"/>
  <c r="M53" i="10"/>
  <c r="I6" i="8" s="1"/>
  <c r="V62" i="10"/>
  <c r="R15" i="8" s="1"/>
  <c r="V78" i="10"/>
  <c r="R31" i="8" s="1"/>
  <c r="V61" i="10"/>
  <c r="V54" i="10"/>
  <c r="R7" i="8" s="1"/>
  <c r="V56" i="10"/>
  <c r="R9" i="8" s="1"/>
  <c r="V64" i="10"/>
  <c r="R17" i="8" s="1"/>
  <c r="V58" i="10"/>
  <c r="R11" i="8" s="1"/>
  <c r="V66" i="10"/>
  <c r="R19" i="8" s="1"/>
  <c r="V50" i="10"/>
  <c r="R3" i="8" s="1"/>
  <c r="V52" i="10"/>
  <c r="R5" i="8" s="1"/>
  <c r="V55" i="10"/>
  <c r="R8" i="8" s="1"/>
  <c r="V60" i="10"/>
  <c r="V68" i="10"/>
  <c r="R21" i="8" s="1"/>
  <c r="V76" i="10"/>
  <c r="R29" i="8" s="1"/>
  <c r="V63" i="10"/>
  <c r="R16" i="8" s="1"/>
  <c r="V70" i="10"/>
  <c r="R23" i="8" s="1"/>
  <c r="V74" i="10"/>
  <c r="R27" i="8" s="1"/>
  <c r="AD77" i="10"/>
  <c r="Z30" i="8" s="1"/>
  <c r="X77" i="10"/>
  <c r="T30" i="8" s="1"/>
  <c r="Z77" i="10"/>
  <c r="V30" i="8" s="1"/>
  <c r="AB77" i="10"/>
  <c r="X30" i="8" s="1"/>
  <c r="AI75" i="10"/>
  <c r="AE28" i="8" s="1"/>
  <c r="AK75" i="10"/>
  <c r="AG28" i="8" s="1"/>
  <c r="P75" i="10"/>
  <c r="L28" i="8" s="1"/>
  <c r="F73" i="10"/>
  <c r="B26" i="8" s="1"/>
  <c r="AC73" i="10"/>
  <c r="Y26" i="8" s="1"/>
  <c r="P73" i="10"/>
  <c r="L26" i="8" s="1"/>
  <c r="T69" i="10"/>
  <c r="P22" i="8" s="1"/>
  <c r="M69" i="10"/>
  <c r="I22" i="8" s="1"/>
  <c r="O69" i="10"/>
  <c r="K22" i="8" s="1"/>
  <c r="Z69" i="10"/>
  <c r="V22" i="8" s="1"/>
  <c r="AH64" i="10"/>
  <c r="AD17" i="8" s="1"/>
  <c r="AH50" i="10"/>
  <c r="AD3" i="8" s="1"/>
  <c r="AH55" i="10"/>
  <c r="AD8" i="8" s="1"/>
  <c r="AH56" i="10"/>
  <c r="AD9" i="8" s="1"/>
  <c r="AH58" i="10"/>
  <c r="AD11" i="8" s="1"/>
  <c r="AH60" i="10"/>
  <c r="AH68" i="10"/>
  <c r="AD21" i="8" s="1"/>
  <c r="AH76" i="10"/>
  <c r="AD29" i="8" s="1"/>
  <c r="AH72" i="10"/>
  <c r="AD25" i="8" s="1"/>
  <c r="AH54" i="10"/>
  <c r="AD7" i="8" s="1"/>
  <c r="AH70" i="10"/>
  <c r="AD23" i="8" s="1"/>
  <c r="AH71" i="10"/>
  <c r="AD24" i="8" s="1"/>
  <c r="AH61" i="10"/>
  <c r="AH62" i="10"/>
  <c r="AD15" i="8" s="1"/>
  <c r="AH66" i="10"/>
  <c r="AD19" i="8" s="1"/>
  <c r="AH78" i="10"/>
  <c r="AD31" i="8" s="1"/>
  <c r="AH51" i="10"/>
  <c r="M54" i="10"/>
  <c r="I7" i="8" s="1"/>
  <c r="Z53" i="10"/>
  <c r="V6" i="8" s="1"/>
  <c r="AI66" i="10"/>
  <c r="AE19" i="8" s="1"/>
  <c r="X57" i="10"/>
  <c r="T10" i="8" s="1"/>
  <c r="I53" i="10"/>
  <c r="E6" i="8" s="1"/>
  <c r="K67" i="10"/>
  <c r="G20" i="8" s="1"/>
  <c r="AK67" i="10"/>
  <c r="AG20" i="8" s="1"/>
  <c r="P67" i="10"/>
  <c r="L20" i="8" s="1"/>
  <c r="M65" i="10"/>
  <c r="I18" i="8" s="1"/>
  <c r="AL65" i="10"/>
  <c r="AH18" i="8" s="1"/>
  <c r="L59" i="10"/>
  <c r="H12" i="8" s="1"/>
  <c r="AF71" i="10"/>
  <c r="AB24" i="8" s="1"/>
  <c r="S71" i="10"/>
  <c r="O24" i="8" s="1"/>
  <c r="Z63" i="10"/>
  <c r="V16" i="8" s="1"/>
  <c r="P63" i="10"/>
  <c r="L16" i="8" s="1"/>
  <c r="P51" i="10"/>
  <c r="M52" i="10"/>
  <c r="I5" i="8" s="1"/>
  <c r="M50" i="10"/>
  <c r="I3" i="8" s="1"/>
  <c r="X50" i="10"/>
  <c r="T3" i="8" s="1"/>
  <c r="AF78" i="10"/>
  <c r="AB31" i="8" s="1"/>
  <c r="AD76" i="10"/>
  <c r="Z29" i="8" s="1"/>
  <c r="G74" i="10"/>
  <c r="C27" i="8" s="1"/>
  <c r="L74" i="10"/>
  <c r="H27" i="8" s="1"/>
  <c r="AF76" i="9"/>
  <c r="AB61" i="8" s="1"/>
  <c r="AE74" i="9"/>
  <c r="AA59" i="8" s="1"/>
  <c r="AE52" i="9"/>
  <c r="AA37" i="8" s="1"/>
  <c r="AH71" i="9"/>
  <c r="AD56" i="8" s="1"/>
  <c r="Y53" i="10"/>
  <c r="U6" i="8" s="1"/>
  <c r="Y55" i="10"/>
  <c r="U8" i="8" s="1"/>
  <c r="Y61" i="10"/>
  <c r="Y71" i="10"/>
  <c r="U24" i="8" s="1"/>
  <c r="Y67" i="10"/>
  <c r="U20" i="8" s="1"/>
  <c r="Y56" i="10"/>
  <c r="U9" i="8" s="1"/>
  <c r="Y58" i="10"/>
  <c r="U11" i="8" s="1"/>
  <c r="Y68" i="10"/>
  <c r="U21" i="8" s="1"/>
  <c r="Y54" i="10"/>
  <c r="U7" i="8" s="1"/>
  <c r="Y70" i="10"/>
  <c r="U23" i="8" s="1"/>
  <c r="Y66" i="10"/>
  <c r="U19" i="8" s="1"/>
  <c r="Y78" i="10"/>
  <c r="U31" i="8" s="1"/>
  <c r="Y57" i="10"/>
  <c r="U10" i="8" s="1"/>
  <c r="Y62" i="10"/>
  <c r="U15" i="8" s="1"/>
  <c r="Y50" i="10"/>
  <c r="U3" i="8" s="1"/>
  <c r="Y59" i="10"/>
  <c r="U12" i="8" s="1"/>
  <c r="Y60" i="10"/>
  <c r="Y64" i="10"/>
  <c r="U17" i="8" s="1"/>
  <c r="Y72" i="10"/>
  <c r="U25" i="8" s="1"/>
  <c r="Y74" i="10"/>
  <c r="U27" i="8" s="1"/>
  <c r="O62" i="10"/>
  <c r="K15" i="8" s="1"/>
  <c r="O50" i="10"/>
  <c r="K3" i="8" s="1"/>
  <c r="O55" i="10"/>
  <c r="K8" i="8" s="1"/>
  <c r="O56" i="10"/>
  <c r="K9" i="8" s="1"/>
  <c r="O60" i="10"/>
  <c r="O68" i="10"/>
  <c r="K21" i="8" s="1"/>
  <c r="O61" i="10"/>
  <c r="O58" i="10"/>
  <c r="K11" i="8" s="1"/>
  <c r="O64" i="10"/>
  <c r="K17" i="8" s="1"/>
  <c r="O66" i="10"/>
  <c r="K19" i="8" s="1"/>
  <c r="O54" i="10"/>
  <c r="K7" i="8" s="1"/>
  <c r="O70" i="10"/>
  <c r="K23" i="8" s="1"/>
  <c r="O72" i="10"/>
  <c r="K25" i="8" s="1"/>
  <c r="O74" i="10"/>
  <c r="K27" i="8" s="1"/>
  <c r="O52" i="10"/>
  <c r="K5" i="8" s="1"/>
  <c r="O51" i="10"/>
  <c r="AI68" i="10"/>
  <c r="AE21" i="8" s="1"/>
  <c r="AI70" i="10"/>
  <c r="AE23" i="8" s="1"/>
  <c r="N70" i="10"/>
  <c r="J23" i="8" s="1"/>
  <c r="N74" i="10"/>
  <c r="J27" i="8" s="1"/>
  <c r="N62" i="10"/>
  <c r="J15" i="8" s="1"/>
  <c r="N61" i="10"/>
  <c r="N54" i="10"/>
  <c r="J7" i="8" s="1"/>
  <c r="N56" i="10"/>
  <c r="J9" i="8" s="1"/>
  <c r="N64" i="10"/>
  <c r="J17" i="8" s="1"/>
  <c r="N72" i="10"/>
  <c r="J25" i="8" s="1"/>
  <c r="N51" i="10"/>
  <c r="N59" i="10"/>
  <c r="J12" i="8" s="1"/>
  <c r="N67" i="10"/>
  <c r="J20" i="8" s="1"/>
  <c r="N58" i="10"/>
  <c r="J11" i="8" s="1"/>
  <c r="N66" i="10"/>
  <c r="J19" i="8" s="1"/>
  <c r="N55" i="10"/>
  <c r="J8" i="8" s="1"/>
  <c r="N71" i="10"/>
  <c r="J24" i="8" s="1"/>
  <c r="N60" i="10"/>
  <c r="N68" i="10"/>
  <c r="J21" i="8" s="1"/>
  <c r="N76" i="10"/>
  <c r="J29" i="8" s="1"/>
  <c r="N63" i="10"/>
  <c r="J16" i="8" s="1"/>
  <c r="AK77" i="10"/>
  <c r="AG30" i="8" s="1"/>
  <c r="L75" i="10"/>
  <c r="H28" i="8" s="1"/>
  <c r="F75" i="10"/>
  <c r="B28" i="8" s="1"/>
  <c r="X75" i="10"/>
  <c r="T28" i="8" s="1"/>
  <c r="N73" i="10"/>
  <c r="J26" i="8" s="1"/>
  <c r="X73" i="10"/>
  <c r="T26" i="8" s="1"/>
  <c r="AI69" i="10"/>
  <c r="AE22" i="8" s="1"/>
  <c r="X69" i="10"/>
  <c r="T22" i="8" s="1"/>
  <c r="W69" i="10"/>
  <c r="S22" i="8" s="1"/>
  <c r="Z61" i="10"/>
  <c r="Z62" i="10"/>
  <c r="V15" i="8" s="1"/>
  <c r="Z66" i="10"/>
  <c r="V19" i="8" s="1"/>
  <c r="Z78" i="10"/>
  <c r="V31" i="8" s="1"/>
  <c r="Z51" i="10"/>
  <c r="Z64" i="10"/>
  <c r="V17" i="8" s="1"/>
  <c r="Z55" i="10"/>
  <c r="V8" i="8" s="1"/>
  <c r="Z56" i="10"/>
  <c r="V9" i="8" s="1"/>
  <c r="Z58" i="10"/>
  <c r="V11" i="8" s="1"/>
  <c r="Z65" i="10"/>
  <c r="V18" i="8" s="1"/>
  <c r="Z60" i="10"/>
  <c r="Z68" i="10"/>
  <c r="V21" i="8" s="1"/>
  <c r="Z52" i="10"/>
  <c r="V5" i="8" s="1"/>
  <c r="Z71" i="10"/>
  <c r="V24" i="8" s="1"/>
  <c r="Z54" i="10"/>
  <c r="V7" i="8" s="1"/>
  <c r="Z70" i="10"/>
  <c r="V23" i="8" s="1"/>
  <c r="AG61" i="10"/>
  <c r="AG56" i="10"/>
  <c r="AC9" i="8" s="1"/>
  <c r="AG68" i="10"/>
  <c r="AC21" i="8" s="1"/>
  <c r="AG76" i="10"/>
  <c r="AC29" i="8" s="1"/>
  <c r="AG71" i="10"/>
  <c r="AC24" i="8" s="1"/>
  <c r="AG58" i="10"/>
  <c r="AC11" i="8" s="1"/>
  <c r="AG54" i="10"/>
  <c r="AC7" i="8" s="1"/>
  <c r="AG70" i="10"/>
  <c r="AC23" i="8" s="1"/>
  <c r="AG62" i="10"/>
  <c r="AC15" i="8" s="1"/>
  <c r="AG66" i="10"/>
  <c r="AC19" i="8" s="1"/>
  <c r="AG51" i="10"/>
  <c r="AG65" i="10"/>
  <c r="AC18" i="8" s="1"/>
  <c r="AG53" i="10"/>
  <c r="AC6" i="8" s="1"/>
  <c r="AG64" i="10"/>
  <c r="AC17" i="8" s="1"/>
  <c r="AG74" i="10"/>
  <c r="AC27" i="8" s="1"/>
  <c r="AG59" i="10"/>
  <c r="AC12" i="8" s="1"/>
  <c r="AG55" i="10"/>
  <c r="AC8" i="8" s="1"/>
  <c r="AG60" i="10"/>
  <c r="AG72" i="10"/>
  <c r="AC25" i="8" s="1"/>
  <c r="AJ53" i="10"/>
  <c r="AF6" i="8" s="1"/>
  <c r="AJ55" i="10"/>
  <c r="AF8" i="8" s="1"/>
  <c r="AJ54" i="10"/>
  <c r="AF7" i="8" s="1"/>
  <c r="AJ60" i="10"/>
  <c r="AJ64" i="10"/>
  <c r="AF17" i="8" s="1"/>
  <c r="AJ72" i="10"/>
  <c r="AF25" i="8" s="1"/>
  <c r="AJ56" i="10"/>
  <c r="AF9" i="8" s="1"/>
  <c r="AJ61" i="10"/>
  <c r="AJ62" i="10"/>
  <c r="AF15" i="8" s="1"/>
  <c r="AJ66" i="10"/>
  <c r="AF19" i="8" s="1"/>
  <c r="AJ71" i="10"/>
  <c r="AF24" i="8" s="1"/>
  <c r="AJ68" i="10"/>
  <c r="AF21" i="8" s="1"/>
  <c r="AJ70" i="10"/>
  <c r="AF23" i="8" s="1"/>
  <c r="AJ76" i="10"/>
  <c r="AF29" i="8" s="1"/>
  <c r="AJ51" i="10"/>
  <c r="AJ59" i="10"/>
  <c r="AF12" i="8" s="1"/>
  <c r="AJ58" i="10"/>
  <c r="AF11" i="8" s="1"/>
  <c r="AJ78" i="10"/>
  <c r="AF31" i="8" s="1"/>
  <c r="AJ65" i="10"/>
  <c r="AF18" i="8" s="1"/>
  <c r="AA65" i="10"/>
  <c r="W18" i="8" s="1"/>
  <c r="AA57" i="10"/>
  <c r="W10" i="8" s="1"/>
  <c r="AA66" i="10"/>
  <c r="W19" i="8" s="1"/>
  <c r="AA68" i="10"/>
  <c r="W21" i="8" s="1"/>
  <c r="AA62" i="10"/>
  <c r="W15" i="8" s="1"/>
  <c r="AA70" i="10"/>
  <c r="W23" i="8" s="1"/>
  <c r="AA78" i="10"/>
  <c r="W31" i="8" s="1"/>
  <c r="AA50" i="10"/>
  <c r="W3" i="8" s="1"/>
  <c r="AA59" i="10"/>
  <c r="W12" i="8" s="1"/>
  <c r="AA60" i="10"/>
  <c r="AA64" i="10"/>
  <c r="W17" i="8" s="1"/>
  <c r="AA61" i="10"/>
  <c r="AA54" i="10"/>
  <c r="W7" i="8" s="1"/>
  <c r="AA63" i="10"/>
  <c r="W16" i="8" s="1"/>
  <c r="AA55" i="10"/>
  <c r="W8" i="8" s="1"/>
  <c r="AA56" i="10"/>
  <c r="W9" i="8" s="1"/>
  <c r="AA58" i="10"/>
  <c r="W11" i="8" s="1"/>
  <c r="AA74" i="10"/>
  <c r="W27" i="8" s="1"/>
  <c r="AF57" i="10"/>
  <c r="AB10" i="8" s="1"/>
  <c r="AL77" i="10"/>
  <c r="AH30" i="8" s="1"/>
  <c r="AA67" i="10"/>
  <c r="W20" i="8" s="1"/>
  <c r="F67" i="10"/>
  <c r="B20" i="8" s="1"/>
  <c r="X67" i="10"/>
  <c r="T20" i="8" s="1"/>
  <c r="Y65" i="10"/>
  <c r="U18" i="8" s="1"/>
  <c r="G65" i="10"/>
  <c r="C18" i="8" s="1"/>
  <c r="S59" i="10"/>
  <c r="O12" i="8" s="1"/>
  <c r="F59" i="10"/>
  <c r="B12" i="8" s="1"/>
  <c r="Q71" i="10"/>
  <c r="M24" i="8" s="1"/>
  <c r="AA71" i="10"/>
  <c r="W24" i="8" s="1"/>
  <c r="AI73" i="10"/>
  <c r="AE26" i="8" s="1"/>
  <c r="X63" i="10"/>
  <c r="T16" i="8" s="1"/>
  <c r="X51" i="10"/>
  <c r="AI51" i="10"/>
  <c r="Y52" i="10"/>
  <c r="U5" i="8" s="1"/>
  <c r="U52" i="10"/>
  <c r="Q5" i="8" s="1"/>
  <c r="U50" i="10"/>
  <c r="Q3" i="8" s="1"/>
  <c r="H78" i="10"/>
  <c r="D31" i="8" s="1"/>
  <c r="AI78" i="10"/>
  <c r="AE31" i="8" s="1"/>
  <c r="S76" i="10"/>
  <c r="O29" i="8" s="1"/>
  <c r="H74" i="10"/>
  <c r="D27" i="8" s="1"/>
  <c r="AB74" i="10"/>
  <c r="X27" i="8" s="1"/>
  <c r="T72" i="10"/>
  <c r="P25" i="8" s="1"/>
  <c r="Z77" i="9"/>
  <c r="V62" i="8" s="1"/>
  <c r="AE78" i="9"/>
  <c r="AA63" i="8" s="1"/>
  <c r="AC70" i="9"/>
  <c r="Y55" i="8" s="1"/>
  <c r="M77" i="9"/>
  <c r="I62" i="8" s="1"/>
  <c r="O75" i="9"/>
  <c r="K60" i="8" s="1"/>
  <c r="T50" i="9"/>
  <c r="P35" i="8" s="1"/>
  <c r="M78" i="9"/>
  <c r="I63" i="8" s="1"/>
  <c r="O76" i="9"/>
  <c r="K61" i="8" s="1"/>
  <c r="AG77" i="9"/>
  <c r="AC62" i="8" s="1"/>
  <c r="AL70" i="9"/>
  <c r="AH55" i="8" s="1"/>
  <c r="M66" i="9"/>
  <c r="I51" i="8" s="1"/>
  <c r="AE62" i="9"/>
  <c r="AA47" i="8" s="1"/>
  <c r="AC56" i="9"/>
  <c r="Y41" i="8" s="1"/>
  <c r="AL55" i="9"/>
  <c r="AH40" i="8" s="1"/>
  <c r="K75" i="9"/>
  <c r="G60" i="8" s="1"/>
  <c r="I60" i="9"/>
  <c r="H57" i="10"/>
  <c r="D10" i="8" s="1"/>
  <c r="Q60" i="10"/>
  <c r="Q72" i="10"/>
  <c r="M25" i="8" s="1"/>
  <c r="Q74" i="10"/>
  <c r="M27" i="8" s="1"/>
  <c r="Q63" i="10"/>
  <c r="M16" i="8" s="1"/>
  <c r="Q55" i="10"/>
  <c r="M8" i="8" s="1"/>
  <c r="Q61" i="10"/>
  <c r="Q56" i="10"/>
  <c r="M9" i="8" s="1"/>
  <c r="Q58" i="10"/>
  <c r="M11" i="8" s="1"/>
  <c r="Q64" i="10"/>
  <c r="M17" i="8" s="1"/>
  <c r="Q68" i="10"/>
  <c r="M21" i="8" s="1"/>
  <c r="Q54" i="10"/>
  <c r="M7" i="8" s="1"/>
  <c r="Q70" i="10"/>
  <c r="M23" i="8" s="1"/>
  <c r="Q66" i="10"/>
  <c r="M19" i="8" s="1"/>
  <c r="Q62" i="10"/>
  <c r="M15" i="8" s="1"/>
  <c r="Q51" i="10"/>
  <c r="Q50" i="10"/>
  <c r="M3" i="8" s="1"/>
  <c r="Q59" i="10"/>
  <c r="M12" i="8" s="1"/>
  <c r="W53" i="10"/>
  <c r="S6" i="8" s="1"/>
  <c r="AF60" i="10"/>
  <c r="AF72" i="10"/>
  <c r="AB25" i="8" s="1"/>
  <c r="AF63" i="10"/>
  <c r="AB16" i="8" s="1"/>
  <c r="AF55" i="10"/>
  <c r="AB8" i="8" s="1"/>
  <c r="AF61" i="10"/>
  <c r="AF70" i="10"/>
  <c r="AB23" i="8" s="1"/>
  <c r="AF56" i="10"/>
  <c r="AB9" i="8" s="1"/>
  <c r="AF62" i="10"/>
  <c r="AB15" i="8" s="1"/>
  <c r="AF64" i="10"/>
  <c r="AB17" i="8" s="1"/>
  <c r="AF68" i="10"/>
  <c r="AB21" i="8" s="1"/>
  <c r="AF76" i="10"/>
  <c r="AB29" i="8" s="1"/>
  <c r="AF54" i="10"/>
  <c r="AB7" i="8" s="1"/>
  <c r="AF58" i="10"/>
  <c r="AB11" i="8" s="1"/>
  <c r="AF66" i="10"/>
  <c r="AB19" i="8" s="1"/>
  <c r="AD53" i="10"/>
  <c r="Z6" i="8" s="1"/>
  <c r="G56" i="10"/>
  <c r="C9" i="8" s="1"/>
  <c r="G51" i="10"/>
  <c r="G63" i="10"/>
  <c r="C16" i="8" s="1"/>
  <c r="G67" i="10"/>
  <c r="C20" i="8" s="1"/>
  <c r="G62" i="10"/>
  <c r="C15" i="8" s="1"/>
  <c r="G55" i="10"/>
  <c r="C8" i="8" s="1"/>
  <c r="G60" i="10"/>
  <c r="G61" i="10"/>
  <c r="G68" i="10"/>
  <c r="C21" i="8" s="1"/>
  <c r="G58" i="10"/>
  <c r="C11" i="8" s="1"/>
  <c r="G78" i="10"/>
  <c r="C31" i="8" s="1"/>
  <c r="G64" i="10"/>
  <c r="C17" i="8" s="1"/>
  <c r="G70" i="10"/>
  <c r="C23" i="8" s="1"/>
  <c r="G54" i="10"/>
  <c r="C7" i="8" s="1"/>
  <c r="G66" i="10"/>
  <c r="C19" i="8" s="1"/>
  <c r="G72" i="10"/>
  <c r="C25" i="8" s="1"/>
  <c r="F60" i="10"/>
  <c r="F68" i="10"/>
  <c r="B21" i="8" s="1"/>
  <c r="F70" i="10"/>
  <c r="B23" i="8" s="1"/>
  <c r="F74" i="10"/>
  <c r="B27" i="8" s="1"/>
  <c r="F76" i="10"/>
  <c r="B29" i="8" s="1"/>
  <c r="F63" i="10"/>
  <c r="B16" i="8" s="1"/>
  <c r="F62" i="10"/>
  <c r="B15" i="8" s="1"/>
  <c r="F61" i="10"/>
  <c r="F54" i="10"/>
  <c r="B7" i="8" s="1"/>
  <c r="F56" i="10"/>
  <c r="B9" i="8" s="1"/>
  <c r="F64" i="10"/>
  <c r="B17" i="8" s="1"/>
  <c r="F72" i="10"/>
  <c r="B25" i="8" s="1"/>
  <c r="F58" i="10"/>
  <c r="B11" i="8" s="1"/>
  <c r="F66" i="10"/>
  <c r="B19" i="8" s="1"/>
  <c r="F50" i="10"/>
  <c r="B3" i="8" s="1"/>
  <c r="F52" i="10"/>
  <c r="B5" i="8" s="1"/>
  <c r="F55" i="10"/>
  <c r="B8" i="8" s="1"/>
  <c r="F71" i="10"/>
  <c r="B24" i="8" s="1"/>
  <c r="G77" i="10"/>
  <c r="C30" i="8" s="1"/>
  <c r="I77" i="10"/>
  <c r="E30" i="8" s="1"/>
  <c r="K77" i="10"/>
  <c r="G30" i="8" s="1"/>
  <c r="O75" i="10"/>
  <c r="K28" i="8" s="1"/>
  <c r="T75" i="10"/>
  <c r="P28" i="8" s="1"/>
  <c r="N75" i="10"/>
  <c r="J28" i="8" s="1"/>
  <c r="AF75" i="10"/>
  <c r="AB28" i="8" s="1"/>
  <c r="AL73" i="10"/>
  <c r="AH26" i="8" s="1"/>
  <c r="AD73" i="10"/>
  <c r="Z26" i="8" s="1"/>
  <c r="AF73" i="10"/>
  <c r="AB26" i="8" s="1"/>
  <c r="AH73" i="10"/>
  <c r="AD26" i="8" s="1"/>
  <c r="K69" i="10"/>
  <c r="G22" i="8" s="1"/>
  <c r="AE69" i="10"/>
  <c r="AA22" i="8" s="1"/>
  <c r="R54" i="10"/>
  <c r="N7" i="8" s="1"/>
  <c r="R70" i="10"/>
  <c r="N23" i="8" s="1"/>
  <c r="R53" i="10"/>
  <c r="N6" i="8" s="1"/>
  <c r="R61" i="10"/>
  <c r="R62" i="10"/>
  <c r="N15" i="8" s="1"/>
  <c r="R66" i="10"/>
  <c r="N19" i="8" s="1"/>
  <c r="R64" i="10"/>
  <c r="N17" i="8" s="1"/>
  <c r="R55" i="10"/>
  <c r="N8" i="8" s="1"/>
  <c r="R74" i="10"/>
  <c r="N27" i="8" s="1"/>
  <c r="R59" i="10"/>
  <c r="N12" i="8" s="1"/>
  <c r="R67" i="10"/>
  <c r="N20" i="8" s="1"/>
  <c r="R57" i="10"/>
  <c r="N10" i="8" s="1"/>
  <c r="R56" i="10"/>
  <c r="N9" i="8" s="1"/>
  <c r="R58" i="10"/>
  <c r="N11" i="8" s="1"/>
  <c r="R60" i="10"/>
  <c r="R68" i="10"/>
  <c r="N21" i="8" s="1"/>
  <c r="R72" i="10"/>
  <c r="N25" i="8" s="1"/>
  <c r="R76" i="10"/>
  <c r="N29" i="8" s="1"/>
  <c r="R52" i="10"/>
  <c r="N5" i="8" s="1"/>
  <c r="R71" i="10"/>
  <c r="N24" i="8" s="1"/>
  <c r="F77" i="10"/>
  <c r="B30" i="8" s="1"/>
  <c r="AB58" i="10"/>
  <c r="X11" i="8" s="1"/>
  <c r="B41" i="10"/>
  <c r="A41" i="10"/>
  <c r="S73" i="10"/>
  <c r="O26" i="8" s="1"/>
  <c r="S55" i="10"/>
  <c r="O8" i="8" s="1"/>
  <c r="S56" i="10"/>
  <c r="O9" i="8" s="1"/>
  <c r="S58" i="10"/>
  <c r="O11" i="8" s="1"/>
  <c r="S74" i="10"/>
  <c r="O27" i="8" s="1"/>
  <c r="S67" i="10"/>
  <c r="O20" i="8" s="1"/>
  <c r="S64" i="10"/>
  <c r="O17" i="8" s="1"/>
  <c r="S66" i="10"/>
  <c r="O19" i="8" s="1"/>
  <c r="S68" i="10"/>
  <c r="O21" i="8" s="1"/>
  <c r="S62" i="10"/>
  <c r="O15" i="8" s="1"/>
  <c r="S70" i="10"/>
  <c r="O23" i="8" s="1"/>
  <c r="S72" i="10"/>
  <c r="O25" i="8" s="1"/>
  <c r="S50" i="10"/>
  <c r="O3" i="8" s="1"/>
  <c r="S51" i="10"/>
  <c r="S65" i="10"/>
  <c r="O18" i="8" s="1"/>
  <c r="S53" i="10"/>
  <c r="O6" i="8" s="1"/>
  <c r="S54" i="10"/>
  <c r="O7" i="8" s="1"/>
  <c r="S60" i="10"/>
  <c r="S61" i="10"/>
  <c r="S63" i="10"/>
  <c r="O16" i="8" s="1"/>
  <c r="Z57" i="10"/>
  <c r="V10" i="8" s="1"/>
  <c r="AG67" i="10"/>
  <c r="AC20" i="8" s="1"/>
  <c r="AI67" i="10"/>
  <c r="AE20" i="8" s="1"/>
  <c r="V67" i="10"/>
  <c r="R20" i="8" s="1"/>
  <c r="AF67" i="10"/>
  <c r="AB20" i="8" s="1"/>
  <c r="O65" i="10"/>
  <c r="K18" i="8" s="1"/>
  <c r="L65" i="10"/>
  <c r="H18" i="8" s="1"/>
  <c r="U59" i="10"/>
  <c r="Q12" i="8" s="1"/>
  <c r="V59" i="10"/>
  <c r="R12" i="8" s="1"/>
  <c r="G71" i="10"/>
  <c r="C24" i="8" s="1"/>
  <c r="AB71" i="10"/>
  <c r="X24" i="8" s="1"/>
  <c r="AE63" i="10"/>
  <c r="AA16" i="8" s="1"/>
  <c r="AI63" i="10"/>
  <c r="AE16" i="8" s="1"/>
  <c r="AF51" i="10"/>
  <c r="L51" i="10"/>
  <c r="AG52" i="10"/>
  <c r="AC5" i="8" s="1"/>
  <c r="AC52" i="10"/>
  <c r="Y5" i="8" s="1"/>
  <c r="O78" i="10"/>
  <c r="K31" i="8" s="1"/>
  <c r="L78" i="10"/>
  <c r="H31" i="8" s="1"/>
  <c r="O76" i="10"/>
  <c r="K29" i="8" s="1"/>
  <c r="M74" i="10"/>
  <c r="I27" i="8" s="1"/>
  <c r="AJ74" i="10"/>
  <c r="AF27" i="8" s="1"/>
  <c r="V72" i="10"/>
  <c r="R25" i="8" s="1"/>
  <c r="L74" i="9"/>
  <c r="H59" i="8" s="1"/>
  <c r="O78" i="9"/>
  <c r="K63" i="8" s="1"/>
  <c r="AF68" i="9"/>
  <c r="AB53" i="8" s="1"/>
  <c r="Q56" i="9"/>
  <c r="M41" i="8" s="1"/>
  <c r="AE70" i="9"/>
  <c r="AA55" i="8" s="1"/>
  <c r="O50" i="9"/>
  <c r="K35" i="8" s="1"/>
  <c r="I57" i="10"/>
  <c r="E10" i="8" s="1"/>
  <c r="I60" i="10"/>
  <c r="I72" i="10"/>
  <c r="E25" i="8" s="1"/>
  <c r="I50" i="10"/>
  <c r="E3" i="8" s="1"/>
  <c r="I61" i="10"/>
  <c r="I55" i="10"/>
  <c r="E8" i="8" s="1"/>
  <c r="I58" i="10"/>
  <c r="E11" i="8" s="1"/>
  <c r="I56" i="10"/>
  <c r="E9" i="8" s="1"/>
  <c r="I68" i="10"/>
  <c r="E21" i="8" s="1"/>
  <c r="I52" i="10"/>
  <c r="E5" i="8" s="1"/>
  <c r="I54" i="10"/>
  <c r="E7" i="8" s="1"/>
  <c r="I62" i="10"/>
  <c r="E15" i="8" s="1"/>
  <c r="I64" i="10"/>
  <c r="E17" i="8" s="1"/>
  <c r="I70" i="10"/>
  <c r="E23" i="8" s="1"/>
  <c r="I66" i="10"/>
  <c r="E19" i="8" s="1"/>
  <c r="I78" i="10"/>
  <c r="E31" i="8" s="1"/>
  <c r="I63" i="10"/>
  <c r="E16" i="8" s="1"/>
  <c r="I51" i="10"/>
  <c r="I59" i="10"/>
  <c r="E12" i="8" s="1"/>
  <c r="O53" i="10"/>
  <c r="K6" i="8" s="1"/>
  <c r="X54" i="10"/>
  <c r="T7" i="8" s="1"/>
  <c r="X58" i="10"/>
  <c r="T11" i="8" s="1"/>
  <c r="X66" i="10"/>
  <c r="T19" i="8" s="1"/>
  <c r="X65" i="10"/>
  <c r="T18" i="8" s="1"/>
  <c r="X60" i="10"/>
  <c r="X72" i="10"/>
  <c r="T25" i="8" s="1"/>
  <c r="X70" i="10"/>
  <c r="T23" i="8" s="1"/>
  <c r="X55" i="10"/>
  <c r="T8" i="8" s="1"/>
  <c r="X61" i="10"/>
  <c r="X56" i="10"/>
  <c r="T9" i="8" s="1"/>
  <c r="X62" i="10"/>
  <c r="T15" i="8" s="1"/>
  <c r="X64" i="10"/>
  <c r="T17" i="8" s="1"/>
  <c r="X68" i="10"/>
  <c r="T21" i="8" s="1"/>
  <c r="X52" i="10"/>
  <c r="T5" i="8" s="1"/>
  <c r="X59" i="10"/>
  <c r="T12" i="8" s="1"/>
  <c r="X78" i="10"/>
  <c r="T31" i="8" s="1"/>
  <c r="O77" i="10"/>
  <c r="K30" i="8" s="1"/>
  <c r="Q77" i="10"/>
  <c r="M30" i="8" s="1"/>
  <c r="S77" i="10"/>
  <c r="O30" i="8" s="1"/>
  <c r="G75" i="10"/>
  <c r="C28" i="8" s="1"/>
  <c r="Q75" i="10"/>
  <c r="M28" i="8" s="1"/>
  <c r="K73" i="10"/>
  <c r="G26" i="8" s="1"/>
  <c r="G73" i="10"/>
  <c r="C26" i="8" s="1"/>
  <c r="I73" i="10"/>
  <c r="E26" i="8" s="1"/>
  <c r="N69" i="10"/>
  <c r="J22" i="8" s="1"/>
  <c r="AC57" i="10"/>
  <c r="Y10" i="8" s="1"/>
  <c r="J52" i="10"/>
  <c r="F5" i="8" s="1"/>
  <c r="J54" i="10"/>
  <c r="F7" i="8" s="1"/>
  <c r="J70" i="10"/>
  <c r="F23" i="8" s="1"/>
  <c r="J61" i="10"/>
  <c r="J62" i="10"/>
  <c r="F15" i="8" s="1"/>
  <c r="J66" i="10"/>
  <c r="F19" i="8" s="1"/>
  <c r="J64" i="10"/>
  <c r="F17" i="8" s="1"/>
  <c r="J63" i="10"/>
  <c r="F16" i="8" s="1"/>
  <c r="J55" i="10"/>
  <c r="F8" i="8" s="1"/>
  <c r="J56" i="10"/>
  <c r="F9" i="8" s="1"/>
  <c r="J58" i="10"/>
  <c r="F11" i="8" s="1"/>
  <c r="J72" i="10"/>
  <c r="F25" i="8" s="1"/>
  <c r="J60" i="10"/>
  <c r="J68" i="10"/>
  <c r="F21" i="8" s="1"/>
  <c r="J76" i="10"/>
  <c r="F29" i="8" s="1"/>
  <c r="J71" i="10"/>
  <c r="F24" i="8" s="1"/>
  <c r="Q69" i="10"/>
  <c r="M22" i="8" s="1"/>
  <c r="T70" i="10"/>
  <c r="P23" i="8" s="1"/>
  <c r="T51" i="10"/>
  <c r="T59" i="10"/>
  <c r="P12" i="8" s="1"/>
  <c r="T57" i="10"/>
  <c r="P10" i="8" s="1"/>
  <c r="T58" i="10"/>
  <c r="P11" i="8" s="1"/>
  <c r="T55" i="10"/>
  <c r="P8" i="8" s="1"/>
  <c r="T54" i="10"/>
  <c r="P7" i="8" s="1"/>
  <c r="T60" i="10"/>
  <c r="T64" i="10"/>
  <c r="P17" i="8" s="1"/>
  <c r="T56" i="10"/>
  <c r="P9" i="8" s="1"/>
  <c r="T74" i="10"/>
  <c r="P27" i="8" s="1"/>
  <c r="T67" i="10"/>
  <c r="P20" i="8" s="1"/>
  <c r="T61" i="10"/>
  <c r="T62" i="10"/>
  <c r="P15" i="8" s="1"/>
  <c r="T66" i="10"/>
  <c r="P19" i="8" s="1"/>
  <c r="T71" i="10"/>
  <c r="P24" i="8" s="1"/>
  <c r="T68" i="10"/>
  <c r="P21" i="8" s="1"/>
  <c r="T50" i="10"/>
  <c r="P3" i="8" s="1"/>
  <c r="T52" i="10"/>
  <c r="P5" i="8" s="1"/>
  <c r="K58" i="10"/>
  <c r="G11" i="8" s="1"/>
  <c r="K63" i="10"/>
  <c r="G16" i="8" s="1"/>
  <c r="K55" i="10"/>
  <c r="G8" i="8" s="1"/>
  <c r="K56" i="10"/>
  <c r="G9" i="8" s="1"/>
  <c r="K54" i="10"/>
  <c r="G7" i="8" s="1"/>
  <c r="K62" i="10"/>
  <c r="G15" i="8" s="1"/>
  <c r="K68" i="10"/>
  <c r="G21" i="8" s="1"/>
  <c r="K72" i="10"/>
  <c r="G25" i="8" s="1"/>
  <c r="K52" i="10"/>
  <c r="G5" i="8" s="1"/>
  <c r="K70" i="10"/>
  <c r="G23" i="8" s="1"/>
  <c r="K60" i="10"/>
  <c r="K66" i="10"/>
  <c r="G19" i="8" s="1"/>
  <c r="K78" i="10"/>
  <c r="G31" i="8" s="1"/>
  <c r="K61" i="10"/>
  <c r="K64" i="10"/>
  <c r="G17" i="8" s="1"/>
  <c r="I67" i="10"/>
  <c r="E20" i="8" s="1"/>
  <c r="AC65" i="10"/>
  <c r="Y18" i="8" s="1"/>
  <c r="AE65" i="10"/>
  <c r="AA18" i="8" s="1"/>
  <c r="T65" i="10"/>
  <c r="P18" i="8" s="1"/>
  <c r="AD59" i="10"/>
  <c r="Z12" i="8" s="1"/>
  <c r="H71" i="10"/>
  <c r="D24" i="8" s="1"/>
  <c r="M71" i="10"/>
  <c r="I24" i="8" s="1"/>
  <c r="AG63" i="10"/>
  <c r="AC16" i="8" s="1"/>
  <c r="T63" i="10"/>
  <c r="P16" i="8" s="1"/>
  <c r="Y51" i="10"/>
  <c r="N52" i="10"/>
  <c r="J5" i="8" s="1"/>
  <c r="N50" i="10"/>
  <c r="J3" i="8" s="1"/>
  <c r="AG50" i="10"/>
  <c r="AC3" i="8" s="1"/>
  <c r="T78" i="10"/>
  <c r="P31" i="8" s="1"/>
  <c r="AA76" i="10"/>
  <c r="W29" i="8" s="1"/>
  <c r="W76" i="10"/>
  <c r="S29" i="8" s="1"/>
  <c r="AC74" i="10"/>
  <c r="Y27" i="8" s="1"/>
  <c r="I74" i="10"/>
  <c r="E27" i="8" s="1"/>
  <c r="AE72" i="9"/>
  <c r="AA57" i="8" s="1"/>
  <c r="AE66" i="9"/>
  <c r="AA51" i="8" s="1"/>
  <c r="AE56" i="9"/>
  <c r="AA41" i="8" s="1"/>
  <c r="X50" i="9"/>
  <c r="T35" i="8" s="1"/>
  <c r="G52" i="9"/>
  <c r="C37" i="8" s="1"/>
  <c r="Q53" i="10"/>
  <c r="M6" i="8" s="1"/>
  <c r="G53" i="10"/>
  <c r="C6" i="8" s="1"/>
  <c r="P54" i="10"/>
  <c r="L7" i="8" s="1"/>
  <c r="P58" i="10"/>
  <c r="L11" i="8" s="1"/>
  <c r="P66" i="10"/>
  <c r="L19" i="8" s="1"/>
  <c r="P60" i="10"/>
  <c r="P72" i="10"/>
  <c r="L25" i="8" s="1"/>
  <c r="P70" i="10"/>
  <c r="L23" i="8" s="1"/>
  <c r="P74" i="10"/>
  <c r="L27" i="8" s="1"/>
  <c r="P50" i="10"/>
  <c r="L3" i="8" s="1"/>
  <c r="P55" i="10"/>
  <c r="L8" i="8" s="1"/>
  <c r="P61" i="10"/>
  <c r="P56" i="10"/>
  <c r="L9" i="8" s="1"/>
  <c r="P62" i="10"/>
  <c r="L15" i="8" s="1"/>
  <c r="P64" i="10"/>
  <c r="L17" i="8" s="1"/>
  <c r="P68" i="10"/>
  <c r="L21" i="8" s="1"/>
  <c r="P76" i="10"/>
  <c r="L29" i="8" s="1"/>
  <c r="P52" i="10"/>
  <c r="L5" i="8" s="1"/>
  <c r="P59" i="10"/>
  <c r="L12" i="8" s="1"/>
  <c r="N53" i="10"/>
  <c r="J6" i="8" s="1"/>
  <c r="O57" i="10"/>
  <c r="K10" i="8" s="1"/>
  <c r="N77" i="10"/>
  <c r="J30" i="8" s="1"/>
  <c r="W77" i="10"/>
  <c r="S30" i="8" s="1"/>
  <c r="Y77" i="10"/>
  <c r="U30" i="8" s="1"/>
  <c r="O73" i="10"/>
  <c r="K26" i="8" s="1"/>
  <c r="H69" i="10"/>
  <c r="D22" i="8" s="1"/>
  <c r="Y69" i="10"/>
  <c r="U22" i="8" s="1"/>
  <c r="K57" i="10"/>
  <c r="G10" i="8" s="1"/>
  <c r="L68" i="10"/>
  <c r="H21" i="8" s="1"/>
  <c r="L50" i="10"/>
  <c r="H3" i="8" s="1"/>
  <c r="L52" i="10"/>
  <c r="H5" i="8" s="1"/>
  <c r="L70" i="10"/>
  <c r="H23" i="8" s="1"/>
  <c r="L58" i="10"/>
  <c r="H11" i="8" s="1"/>
  <c r="L55" i="10"/>
  <c r="H8" i="8" s="1"/>
  <c r="L54" i="10"/>
  <c r="H7" i="8" s="1"/>
  <c r="L60" i="10"/>
  <c r="L64" i="10"/>
  <c r="H17" i="8" s="1"/>
  <c r="L76" i="10"/>
  <c r="H29" i="8" s="1"/>
  <c r="L63" i="10"/>
  <c r="H16" i="8" s="1"/>
  <c r="L56" i="10"/>
  <c r="H9" i="8" s="1"/>
  <c r="L61" i="10"/>
  <c r="L62" i="10"/>
  <c r="H15" i="8" s="1"/>
  <c r="L66" i="10"/>
  <c r="H19" i="8" s="1"/>
  <c r="L71" i="10"/>
  <c r="H24" i="8" s="1"/>
  <c r="N57" i="10"/>
  <c r="J10" i="8" s="1"/>
  <c r="L57" i="10"/>
  <c r="H10" i="8" s="1"/>
  <c r="Q67" i="10"/>
  <c r="M20" i="8" s="1"/>
  <c r="AL67" i="10"/>
  <c r="AH20" i="8" s="1"/>
  <c r="AI65" i="10"/>
  <c r="AE18" i="8" s="1"/>
  <c r="K65" i="10"/>
  <c r="G18" i="8" s="1"/>
  <c r="G59" i="10"/>
  <c r="C12" i="8" s="1"/>
  <c r="AL59" i="10"/>
  <c r="AH12" i="8" s="1"/>
  <c r="X71" i="10"/>
  <c r="T24" i="8" s="1"/>
  <c r="U71" i="10"/>
  <c r="Q24" i="8" s="1"/>
  <c r="O63" i="10"/>
  <c r="K16" i="8" s="1"/>
  <c r="AB63" i="10"/>
  <c r="X16" i="8" s="1"/>
  <c r="V51" i="10"/>
  <c r="M51" i="10"/>
  <c r="S52" i="10"/>
  <c r="O5" i="8" s="1"/>
  <c r="AD52" i="10"/>
  <c r="Z5" i="8" s="1"/>
  <c r="AD50" i="10"/>
  <c r="Z3" i="8" s="1"/>
  <c r="J50" i="10"/>
  <c r="F3" i="8" s="1"/>
  <c r="Q78" i="10"/>
  <c r="M31" i="8" s="1"/>
  <c r="U78" i="10"/>
  <c r="Q31" i="8" s="1"/>
  <c r="K76" i="10"/>
  <c r="G29" i="8" s="1"/>
  <c r="X76" i="10"/>
  <c r="T29" i="8" s="1"/>
  <c r="AE74" i="10"/>
  <c r="AA27" i="8" s="1"/>
  <c r="J74" i="10"/>
  <c r="F27" i="8" s="1"/>
  <c r="Z72" i="10"/>
  <c r="V25" i="8" s="1"/>
  <c r="Y75" i="10"/>
  <c r="U28" i="8" s="1"/>
  <c r="H52" i="10"/>
  <c r="D5" i="8" s="1"/>
  <c r="H59" i="10"/>
  <c r="D12" i="8" s="1"/>
  <c r="H54" i="10"/>
  <c r="D7" i="8" s="1"/>
  <c r="H58" i="10"/>
  <c r="D11" i="8" s="1"/>
  <c r="H66" i="10"/>
  <c r="D19" i="8" s="1"/>
  <c r="H60" i="10"/>
  <c r="H72" i="10"/>
  <c r="D25" i="8" s="1"/>
  <c r="H70" i="10"/>
  <c r="D23" i="8" s="1"/>
  <c r="H51" i="10"/>
  <c r="H67" i="10"/>
  <c r="D20" i="8" s="1"/>
  <c r="H55" i="10"/>
  <c r="D8" i="8" s="1"/>
  <c r="H61" i="10"/>
  <c r="H56" i="10"/>
  <c r="D9" i="8" s="1"/>
  <c r="H62" i="10"/>
  <c r="D15" i="8" s="1"/>
  <c r="H64" i="10"/>
  <c r="D17" i="8" s="1"/>
  <c r="H68" i="10"/>
  <c r="D21" i="8" s="1"/>
  <c r="H76" i="10"/>
  <c r="D29" i="8" s="1"/>
  <c r="AI77" i="10"/>
  <c r="AE30" i="8" s="1"/>
  <c r="H75" i="10"/>
  <c r="D28" i="8" s="1"/>
  <c r="AL75" i="10"/>
  <c r="AH28" i="8" s="1"/>
  <c r="L73" i="10"/>
  <c r="H26" i="8" s="1"/>
  <c r="Y73" i="10"/>
  <c r="U26" i="8" s="1"/>
  <c r="S69" i="10"/>
  <c r="O22" i="8" s="1"/>
  <c r="P69" i="10"/>
  <c r="L22" i="8" s="1"/>
  <c r="AK55" i="10"/>
  <c r="AG8" i="8" s="1"/>
  <c r="AK50" i="10"/>
  <c r="AG3" i="8" s="1"/>
  <c r="AK52" i="10"/>
  <c r="AG5" i="8" s="1"/>
  <c r="AK51" i="10"/>
  <c r="AK71" i="10"/>
  <c r="AG24" i="8" s="1"/>
  <c r="AK68" i="10"/>
  <c r="AG21" i="8" s="1"/>
  <c r="AK70" i="10"/>
  <c r="AG23" i="8" s="1"/>
  <c r="AK60" i="10"/>
  <c r="AK62" i="10"/>
  <c r="AG15" i="8" s="1"/>
  <c r="AK61" i="10"/>
  <c r="AK54" i="10"/>
  <c r="AG7" i="8" s="1"/>
  <c r="AK58" i="10"/>
  <c r="AG11" i="8" s="1"/>
  <c r="AK64" i="10"/>
  <c r="AG17" i="8" s="1"/>
  <c r="AK72" i="10"/>
  <c r="AG25" i="8" s="1"/>
  <c r="AK56" i="10"/>
  <c r="AG9" i="8" s="1"/>
  <c r="AK66" i="10"/>
  <c r="AG19" i="8" s="1"/>
  <c r="AI53" i="10"/>
  <c r="AE6" i="8" s="1"/>
  <c r="F69" i="10"/>
  <c r="B22" i="8" s="1"/>
  <c r="J67" i="10"/>
  <c r="F20" i="8" s="1"/>
  <c r="AJ67" i="10"/>
  <c r="AF20" i="8" s="1"/>
  <c r="O67" i="10"/>
  <c r="K20" i="8" s="1"/>
  <c r="P65" i="10"/>
  <c r="L18" i="8" s="1"/>
  <c r="K59" i="10"/>
  <c r="G12" i="8" s="1"/>
  <c r="J59" i="10"/>
  <c r="F12" i="8" s="1"/>
  <c r="I71" i="10"/>
  <c r="E24" i="8" s="1"/>
  <c r="AK63" i="10"/>
  <c r="AG16" i="8" s="1"/>
  <c r="AJ63" i="10"/>
  <c r="AF16" i="8" s="1"/>
  <c r="AD51" i="10"/>
  <c r="J51" i="10"/>
  <c r="AA52" i="10"/>
  <c r="W5" i="8" s="1"/>
  <c r="AL52" i="10"/>
  <c r="AH5" i="8" s="1"/>
  <c r="AG78" i="10"/>
  <c r="AC31" i="8" s="1"/>
  <c r="AK78" i="10"/>
  <c r="AG31" i="8" s="1"/>
  <c r="U76" i="10"/>
  <c r="Q29" i="8" s="1"/>
  <c r="I76" i="10"/>
  <c r="E29" i="8" s="1"/>
  <c r="AF74" i="10"/>
  <c r="AB27" i="8" s="1"/>
  <c r="Z74" i="10"/>
  <c r="V27" i="8" s="1"/>
  <c r="AA72" i="10"/>
  <c r="W25" i="8" s="1"/>
  <c r="N74" i="9"/>
  <c r="J59" i="8" s="1"/>
  <c r="G77" i="9"/>
  <c r="C62" i="8" s="1"/>
  <c r="AF78" i="9"/>
  <c r="AB63" i="8" s="1"/>
  <c r="H68" i="9"/>
  <c r="D53" i="8" s="1"/>
  <c r="U54" i="9"/>
  <c r="Q39" i="8" s="1"/>
  <c r="O51" i="9"/>
  <c r="K36" i="8" s="1"/>
  <c r="M54" i="9"/>
  <c r="I39" i="8" s="1"/>
  <c r="H53" i="10"/>
  <c r="D6" i="8" s="1"/>
  <c r="AI57" i="10"/>
  <c r="AE10" i="8" s="1"/>
  <c r="AG57" i="10"/>
  <c r="AC10" i="8" s="1"/>
  <c r="AL54" i="10"/>
  <c r="AH7" i="8" s="1"/>
  <c r="AL56" i="10"/>
  <c r="AH9" i="8" s="1"/>
  <c r="AL64" i="10"/>
  <c r="AH17" i="8" s="1"/>
  <c r="AL72" i="10"/>
  <c r="AH25" i="8" s="1"/>
  <c r="AL57" i="10"/>
  <c r="AH10" i="8" s="1"/>
  <c r="AL58" i="10"/>
  <c r="AH11" i="8" s="1"/>
  <c r="AL66" i="10"/>
  <c r="AH19" i="8" s="1"/>
  <c r="AL55" i="10"/>
  <c r="AH8" i="8" s="1"/>
  <c r="AL60" i="10"/>
  <c r="AL68" i="10"/>
  <c r="AH21" i="8" s="1"/>
  <c r="AL76" i="10"/>
  <c r="AH29" i="8" s="1"/>
  <c r="AL63" i="10"/>
  <c r="AH16" i="8" s="1"/>
  <c r="AL62" i="10"/>
  <c r="AH15" i="8" s="1"/>
  <c r="AL70" i="10"/>
  <c r="AH23" i="8" s="1"/>
  <c r="AL74" i="10"/>
  <c r="AH27" i="8" s="1"/>
  <c r="AL78" i="10"/>
  <c r="AH31" i="8" s="1"/>
  <c r="AL61" i="10"/>
  <c r="V77" i="10"/>
  <c r="R30" i="8" s="1"/>
  <c r="H77" i="10"/>
  <c r="D30" i="8" s="1"/>
  <c r="J77" i="10"/>
  <c r="F30" i="8" s="1"/>
  <c r="L77" i="10"/>
  <c r="H30" i="8" s="1"/>
  <c r="AG75" i="10"/>
  <c r="AC28" i="8" s="1"/>
  <c r="U75" i="10"/>
  <c r="Q28" i="8" s="1"/>
  <c r="W75" i="10"/>
  <c r="S28" i="8" s="1"/>
  <c r="AB73" i="10"/>
  <c r="X26" i="8" s="1"/>
  <c r="AE73" i="10"/>
  <c r="AA26" i="8" s="1"/>
  <c r="AG73" i="10"/>
  <c r="AC26" i="8" s="1"/>
  <c r="AD69" i="10"/>
  <c r="Z22" i="8" s="1"/>
  <c r="V69" i="10"/>
  <c r="R22" i="8" s="1"/>
  <c r="AB69" i="10"/>
  <c r="X22" i="8" s="1"/>
  <c r="J69" i="10"/>
  <c r="F22" i="8" s="1"/>
  <c r="T53" i="10"/>
  <c r="P6" i="8" s="1"/>
  <c r="AC66" i="10"/>
  <c r="Y19" i="8" s="1"/>
  <c r="AC62" i="10"/>
  <c r="Y15" i="8" s="1"/>
  <c r="AC70" i="10"/>
  <c r="Y23" i="8" s="1"/>
  <c r="AC68" i="10"/>
  <c r="Y21" i="8" s="1"/>
  <c r="AC60" i="10"/>
  <c r="AC61" i="10"/>
  <c r="AC69" i="10"/>
  <c r="Y22" i="8" s="1"/>
  <c r="AC78" i="10"/>
  <c r="Y31" i="8" s="1"/>
  <c r="AC58" i="10"/>
  <c r="Y11" i="8" s="1"/>
  <c r="AC55" i="10"/>
  <c r="Y8" i="8" s="1"/>
  <c r="AC54" i="10"/>
  <c r="Y7" i="8" s="1"/>
  <c r="AC64" i="10"/>
  <c r="Y17" i="8" s="1"/>
  <c r="AC72" i="10"/>
  <c r="Y25" i="8" s="1"/>
  <c r="AC51" i="10"/>
  <c r="AC56" i="10"/>
  <c r="Y9" i="8" s="1"/>
  <c r="AC63" i="10"/>
  <c r="Y16" i="8" s="1"/>
  <c r="AA53" i="10"/>
  <c r="W6" i="8" s="1"/>
  <c r="J57" i="10"/>
  <c r="F10" i="8" s="1"/>
  <c r="AD57" i="10"/>
  <c r="Z10" i="8" s="1"/>
  <c r="AJ57" i="10"/>
  <c r="AF10" i="8" s="1"/>
  <c r="Z67" i="10"/>
  <c r="V20" i="8" s="1"/>
  <c r="M67" i="10"/>
  <c r="I20" i="8" s="1"/>
  <c r="W67" i="10"/>
  <c r="S20" i="8" s="1"/>
  <c r="AK65" i="10"/>
  <c r="AG18" i="8" s="1"/>
  <c r="N65" i="10"/>
  <c r="J18" i="8" s="1"/>
  <c r="AF65" i="10"/>
  <c r="AB18" i="8" s="1"/>
  <c r="M59" i="10"/>
  <c r="I12" i="8" s="1"/>
  <c r="Z59" i="10"/>
  <c r="V12" i="8" s="1"/>
  <c r="O71" i="10"/>
  <c r="K24" i="8" s="1"/>
  <c r="V71" i="10"/>
  <c r="R24" i="8" s="1"/>
  <c r="Y63" i="10"/>
  <c r="U16" i="8" s="1"/>
  <c r="AD63" i="10"/>
  <c r="Z16" i="8" s="1"/>
  <c r="AL51" i="10"/>
  <c r="R51" i="10"/>
  <c r="W52" i="10"/>
  <c r="S5" i="8" s="1"/>
  <c r="AI52" i="10"/>
  <c r="AE5" i="8" s="1"/>
  <c r="G50" i="10"/>
  <c r="C3" i="8" s="1"/>
  <c r="Z50" i="10"/>
  <c r="V3" i="8" s="1"/>
  <c r="J78" i="10"/>
  <c r="F31" i="8" s="1"/>
  <c r="F78" i="10"/>
  <c r="B31" i="8" s="1"/>
  <c r="AC76" i="10"/>
  <c r="Y29" i="8" s="1"/>
  <c r="Q76" i="10"/>
  <c r="M29" i="8" s="1"/>
  <c r="U74" i="10"/>
  <c r="Q27" i="8" s="1"/>
  <c r="AH74" i="10"/>
  <c r="AD27" i="8" s="1"/>
  <c r="L72" i="10"/>
  <c r="H25" i="8" s="1"/>
  <c r="AB51" i="10"/>
  <c r="AI50" i="10"/>
  <c r="AE3" i="8" s="1"/>
  <c r="AI76" i="10"/>
  <c r="AE29" i="8" s="1"/>
  <c r="AB70" i="10"/>
  <c r="X23" i="8" s="1"/>
  <c r="AI58" i="10"/>
  <c r="AE11" i="8" s="1"/>
  <c r="AB52" i="10"/>
  <c r="X5" i="8" s="1"/>
  <c r="AB50" i="10"/>
  <c r="X3" i="8" s="1"/>
  <c r="M78" i="10"/>
  <c r="I31" i="8" s="1"/>
  <c r="AI74" i="10"/>
  <c r="AE27" i="8" s="1"/>
  <c r="AB68" i="10"/>
  <c r="X21" i="8" s="1"/>
  <c r="M58" i="10"/>
  <c r="I11" i="8" s="1"/>
  <c r="AI56" i="10"/>
  <c r="AE9" i="8" s="1"/>
  <c r="AI61" i="10"/>
  <c r="AI55" i="10"/>
  <c r="AE8" i="8" s="1"/>
  <c r="AI62" i="10"/>
  <c r="AE15" i="8" s="1"/>
  <c r="AI60" i="10"/>
  <c r="AI54" i="10"/>
  <c r="AE7" i="8" s="1"/>
  <c r="M61" i="10"/>
  <c r="M55" i="10"/>
  <c r="I8" i="8" s="1"/>
  <c r="AI59" i="10"/>
  <c r="AE12" i="8" s="1"/>
  <c r="M63" i="10"/>
  <c r="I16" i="8" s="1"/>
  <c r="M76" i="10"/>
  <c r="I29" i="8" s="1"/>
  <c r="M68" i="10"/>
  <c r="I21" i="8" s="1"/>
  <c r="AB66" i="10"/>
  <c r="X19" i="8" s="1"/>
  <c r="AB62" i="10"/>
  <c r="X15" i="8" s="1"/>
  <c r="M60" i="10"/>
  <c r="AB61" i="10"/>
  <c r="AI64" i="10"/>
  <c r="AE17" i="8" s="1"/>
  <c r="AB56" i="10"/>
  <c r="X9" i="8" s="1"/>
  <c r="M66" i="10"/>
  <c r="I19" i="8" s="1"/>
  <c r="AB64" i="10"/>
  <c r="X17" i="8" s="1"/>
  <c r="M62" i="10"/>
  <c r="I15" i="8" s="1"/>
  <c r="AB60" i="10"/>
  <c r="AB54" i="10"/>
  <c r="X7" i="8" s="1"/>
  <c r="AB55" i="10"/>
  <c r="X8" i="8" s="1"/>
  <c r="M56" i="10"/>
  <c r="I9" i="8" s="1"/>
  <c r="AB65" i="10"/>
  <c r="X18" i="8" s="1"/>
  <c r="AI71" i="10"/>
  <c r="AE24" i="8" s="1"/>
  <c r="AB78" i="10"/>
  <c r="X31" i="8" s="1"/>
  <c r="AB76" i="10"/>
  <c r="X29" i="8" s="1"/>
  <c r="M72" i="10"/>
  <c r="I25" i="8" s="1"/>
  <c r="M64" i="10"/>
  <c r="I17" i="8" s="1"/>
  <c r="AK77" i="9"/>
  <c r="AG62" i="8" s="1"/>
  <c r="U77" i="9"/>
  <c r="Q62" i="8" s="1"/>
  <c r="I75" i="9"/>
  <c r="E60" i="8" s="1"/>
  <c r="AJ75" i="9"/>
  <c r="AF60" i="8" s="1"/>
  <c r="F78" i="9"/>
  <c r="B63" i="8" s="1"/>
  <c r="AK76" i="9"/>
  <c r="AG61" i="8" s="1"/>
  <c r="Z59" i="9"/>
  <c r="V44" i="8" s="1"/>
  <c r="F74" i="9"/>
  <c r="B59" i="8" s="1"/>
  <c r="X74" i="9"/>
  <c r="T59" i="8" s="1"/>
  <c r="I72" i="9"/>
  <c r="E57" i="8" s="1"/>
  <c r="I70" i="9"/>
  <c r="E55" i="8" s="1"/>
  <c r="U66" i="9"/>
  <c r="Q51" i="8" s="1"/>
  <c r="I66" i="9"/>
  <c r="E51" i="8" s="1"/>
  <c r="U64" i="9"/>
  <c r="Q49" i="8" s="1"/>
  <c r="W62" i="9"/>
  <c r="S47" i="8" s="1"/>
  <c r="G60" i="9"/>
  <c r="W58" i="9"/>
  <c r="S43" i="8" s="1"/>
  <c r="W56" i="9"/>
  <c r="S41" i="8" s="1"/>
  <c r="AK54" i="9"/>
  <c r="AG39" i="8" s="1"/>
  <c r="I52" i="9"/>
  <c r="E37" i="8" s="1"/>
  <c r="G51" i="9"/>
  <c r="C36" i="8" s="1"/>
  <c r="U73" i="9"/>
  <c r="Q58" i="8" s="1"/>
  <c r="O56" i="9"/>
  <c r="K41" i="8" s="1"/>
  <c r="W77" i="9"/>
  <c r="S62" i="8" s="1"/>
  <c r="U75" i="9"/>
  <c r="Q60" i="8" s="1"/>
  <c r="V78" i="9"/>
  <c r="R63" i="8" s="1"/>
  <c r="R78" i="9"/>
  <c r="N63" i="8" s="1"/>
  <c r="K76" i="9"/>
  <c r="G61" i="8" s="1"/>
  <c r="G76" i="9"/>
  <c r="C61" i="8" s="1"/>
  <c r="I58" i="9"/>
  <c r="E43" i="8" s="1"/>
  <c r="I76" i="9"/>
  <c r="E61" i="8" s="1"/>
  <c r="R74" i="9"/>
  <c r="N59" i="8" s="1"/>
  <c r="I74" i="9"/>
  <c r="E59" i="8" s="1"/>
  <c r="AA72" i="9"/>
  <c r="W57" i="8" s="1"/>
  <c r="Q70" i="9"/>
  <c r="M55" i="8" s="1"/>
  <c r="AH66" i="9"/>
  <c r="AD51" i="8" s="1"/>
  <c r="Q66" i="9"/>
  <c r="M51" i="8" s="1"/>
  <c r="AK64" i="9"/>
  <c r="AG49" i="8" s="1"/>
  <c r="U60" i="9"/>
  <c r="AI58" i="9"/>
  <c r="AE43" i="8" s="1"/>
  <c r="G54" i="9"/>
  <c r="C39" i="8" s="1"/>
  <c r="G73" i="9"/>
  <c r="C58" i="8" s="1"/>
  <c r="AE51" i="9"/>
  <c r="AA36" i="8" s="1"/>
  <c r="X77" i="9"/>
  <c r="T62" i="8" s="1"/>
  <c r="AK75" i="9"/>
  <c r="AG60" i="8" s="1"/>
  <c r="AA69" i="9"/>
  <c r="W54" i="8" s="1"/>
  <c r="W76" i="9"/>
  <c r="S61" i="8" s="1"/>
  <c r="H55" i="9"/>
  <c r="D40" i="8" s="1"/>
  <c r="V74" i="9"/>
  <c r="R59" i="8" s="1"/>
  <c r="Q74" i="9"/>
  <c r="M59" i="8" s="1"/>
  <c r="U72" i="9"/>
  <c r="Q57" i="8" s="1"/>
  <c r="U70" i="9"/>
  <c r="Q55" i="8" s="1"/>
  <c r="AH70" i="9"/>
  <c r="AD55" i="8" s="1"/>
  <c r="W68" i="9"/>
  <c r="S53" i="8" s="1"/>
  <c r="X62" i="9"/>
  <c r="T47" i="8" s="1"/>
  <c r="AK60" i="9"/>
  <c r="I56" i="9"/>
  <c r="E41" i="8" s="1"/>
  <c r="W54" i="9"/>
  <c r="S39" i="8" s="1"/>
  <c r="I50" i="9"/>
  <c r="E35" i="8" s="1"/>
  <c r="W53" i="9"/>
  <c r="S38" i="8" s="1"/>
  <c r="U51" i="9"/>
  <c r="Q36" i="8" s="1"/>
  <c r="AL54" i="9"/>
  <c r="AH39" i="8" s="1"/>
  <c r="I77" i="9"/>
  <c r="E62" i="8" s="1"/>
  <c r="W78" i="9"/>
  <c r="S63" i="8" s="1"/>
  <c r="X78" i="9"/>
  <c r="T63" i="8" s="1"/>
  <c r="X76" i="9"/>
  <c r="T61" i="8" s="1"/>
  <c r="H76" i="9"/>
  <c r="D61" i="8" s="1"/>
  <c r="Y70" i="9"/>
  <c r="U55" i="8" s="1"/>
  <c r="G74" i="9"/>
  <c r="C59" i="8" s="1"/>
  <c r="AA70" i="9"/>
  <c r="W55" i="8" s="1"/>
  <c r="AK66" i="9"/>
  <c r="AG51" i="8" s="1"/>
  <c r="AI62" i="9"/>
  <c r="AE47" i="8" s="1"/>
  <c r="I62" i="9"/>
  <c r="E47" i="8" s="1"/>
  <c r="AF60" i="9"/>
  <c r="U56" i="9"/>
  <c r="Q41" i="8" s="1"/>
  <c r="AK50" i="9"/>
  <c r="AG35" i="8" s="1"/>
  <c r="N53" i="9"/>
  <c r="J38" i="8" s="1"/>
  <c r="AK70" i="9"/>
  <c r="AG55" i="8" s="1"/>
  <c r="G71" i="9"/>
  <c r="C56" i="8" s="1"/>
  <c r="G57" i="9"/>
  <c r="G58" i="9"/>
  <c r="C43" i="8" s="1"/>
  <c r="V77" i="9"/>
  <c r="R62" i="8" s="1"/>
  <c r="G75" i="9"/>
  <c r="C60" i="8" s="1"/>
  <c r="T78" i="9"/>
  <c r="P63" i="8" s="1"/>
  <c r="AI78" i="9"/>
  <c r="AE63" i="8" s="1"/>
  <c r="AH76" i="9"/>
  <c r="AD61" i="8" s="1"/>
  <c r="R76" i="9"/>
  <c r="N61" i="8" s="1"/>
  <c r="W74" i="9"/>
  <c r="S59" i="8" s="1"/>
  <c r="AH72" i="9"/>
  <c r="AD57" i="8" s="1"/>
  <c r="U68" i="9"/>
  <c r="Q53" i="8" s="1"/>
  <c r="W64" i="9"/>
  <c r="S49" i="8" s="1"/>
  <c r="AK62" i="9"/>
  <c r="AG47" i="8" s="1"/>
  <c r="U52" i="9"/>
  <c r="Q37" i="8" s="1"/>
  <c r="G50" i="9"/>
  <c r="C35" i="8" s="1"/>
  <c r="I61" i="9"/>
  <c r="L71" i="9"/>
  <c r="H56" i="8" s="1"/>
  <c r="I71" i="9"/>
  <c r="E56" i="8" s="1"/>
  <c r="U63" i="9"/>
  <c r="Q48" i="8" s="1"/>
  <c r="I57" i="9"/>
  <c r="U53" i="9"/>
  <c r="Q38" i="8" s="1"/>
  <c r="AD77" i="9"/>
  <c r="Z62" i="8" s="1"/>
  <c r="G78" i="9"/>
  <c r="C63" i="8" s="1"/>
  <c r="AD78" i="9"/>
  <c r="Z63" i="8" s="1"/>
  <c r="N78" i="9"/>
  <c r="J63" i="8" s="1"/>
  <c r="I78" i="9"/>
  <c r="E63" i="8" s="1"/>
  <c r="Z72" i="9"/>
  <c r="V57" i="8" s="1"/>
  <c r="AI74" i="9"/>
  <c r="AE59" i="8" s="1"/>
  <c r="K74" i="9"/>
  <c r="G59" i="8" s="1"/>
  <c r="G72" i="9"/>
  <c r="C57" i="8" s="1"/>
  <c r="AF72" i="9"/>
  <c r="AB57" i="8" s="1"/>
  <c r="G70" i="9"/>
  <c r="C55" i="8" s="1"/>
  <c r="G68" i="9"/>
  <c r="C53" i="8" s="1"/>
  <c r="AK68" i="9"/>
  <c r="AG53" i="8" s="1"/>
  <c r="G66" i="9"/>
  <c r="C51" i="8" s="1"/>
  <c r="G64" i="9"/>
  <c r="C49" i="8" s="1"/>
  <c r="G62" i="9"/>
  <c r="C47" i="8" s="1"/>
  <c r="W60" i="9"/>
  <c r="I54" i="9"/>
  <c r="E39" i="8" s="1"/>
  <c r="U50" i="9"/>
  <c r="Q35" i="8" s="1"/>
  <c r="W75" i="9"/>
  <c r="S60" i="8" s="1"/>
  <c r="S76" i="9"/>
  <c r="O61" i="8" s="1"/>
  <c r="AI76" i="9"/>
  <c r="AE61" i="8" s="1"/>
  <c r="U76" i="9"/>
  <c r="Q61" i="8" s="1"/>
  <c r="U74" i="9"/>
  <c r="Q59" i="8" s="1"/>
  <c r="W72" i="9"/>
  <c r="S57" i="8" s="1"/>
  <c r="W70" i="9"/>
  <c r="S55" i="8" s="1"/>
  <c r="I68" i="9"/>
  <c r="E53" i="8" s="1"/>
  <c r="W66" i="9"/>
  <c r="S51" i="8" s="1"/>
  <c r="I64" i="9"/>
  <c r="E49" i="8" s="1"/>
  <c r="U62" i="9"/>
  <c r="Q47" i="8" s="1"/>
  <c r="AL56" i="9"/>
  <c r="AH41" i="8" s="1"/>
  <c r="AL61" i="9"/>
  <c r="V75" i="9"/>
  <c r="R60" i="8" s="1"/>
  <c r="S75" i="9"/>
  <c r="O60" i="8" s="1"/>
  <c r="K66" i="9"/>
  <c r="G51" i="8" s="1"/>
  <c r="K52" i="9"/>
  <c r="G37" i="8" s="1"/>
  <c r="K58" i="9"/>
  <c r="G43" i="8" s="1"/>
  <c r="K50" i="9"/>
  <c r="G35" i="8" s="1"/>
  <c r="K56" i="9"/>
  <c r="G41" i="8" s="1"/>
  <c r="K60" i="9"/>
  <c r="K62" i="9"/>
  <c r="G47" i="8" s="1"/>
  <c r="K64" i="9"/>
  <c r="G49" i="8" s="1"/>
  <c r="J78" i="9"/>
  <c r="F63" i="8" s="1"/>
  <c r="AH78" i="9"/>
  <c r="AD63" i="8" s="1"/>
  <c r="AA78" i="9"/>
  <c r="W63" i="8" s="1"/>
  <c r="V76" i="9"/>
  <c r="R61" i="8" s="1"/>
  <c r="AJ76" i="9"/>
  <c r="AF61" i="8" s="1"/>
  <c r="AF56" i="9"/>
  <c r="AB41" i="8" s="1"/>
  <c r="AF58" i="9"/>
  <c r="AB43" i="8" s="1"/>
  <c r="AF52" i="9"/>
  <c r="AB37" i="8" s="1"/>
  <c r="AF62" i="9"/>
  <c r="AB47" i="8" s="1"/>
  <c r="AF64" i="9"/>
  <c r="AB49" i="8" s="1"/>
  <c r="AF66" i="9"/>
  <c r="AB51" i="8" s="1"/>
  <c r="T57" i="9"/>
  <c r="AB68" i="9"/>
  <c r="X53" i="8" s="1"/>
  <c r="AB70" i="9"/>
  <c r="X55" i="8" s="1"/>
  <c r="AB54" i="9"/>
  <c r="X39" i="8" s="1"/>
  <c r="AB60" i="9"/>
  <c r="AB58" i="9"/>
  <c r="X43" i="8" s="1"/>
  <c r="AB52" i="9"/>
  <c r="X37" i="8" s="1"/>
  <c r="AB50" i="9"/>
  <c r="X35" i="8" s="1"/>
  <c r="AH74" i="9"/>
  <c r="AD59" i="8" s="1"/>
  <c r="AA74" i="9"/>
  <c r="W59" i="8" s="1"/>
  <c r="J74" i="9"/>
  <c r="F59" i="8" s="1"/>
  <c r="AF74" i="9"/>
  <c r="AB59" i="8" s="1"/>
  <c r="F72" i="9"/>
  <c r="B57" i="8" s="1"/>
  <c r="AJ72" i="9"/>
  <c r="AF57" i="8" s="1"/>
  <c r="N70" i="9"/>
  <c r="J55" i="8" s="1"/>
  <c r="P70" i="9"/>
  <c r="L55" i="8" s="1"/>
  <c r="K70" i="9"/>
  <c r="G55" i="8" s="1"/>
  <c r="AH68" i="9"/>
  <c r="AD53" i="8" s="1"/>
  <c r="AC68" i="9"/>
  <c r="Y53" i="8" s="1"/>
  <c r="T63" i="9"/>
  <c r="P48" i="8" s="1"/>
  <c r="T62" i="9"/>
  <c r="P47" i="8" s="1"/>
  <c r="T64" i="9"/>
  <c r="P49" i="8" s="1"/>
  <c r="T66" i="9"/>
  <c r="P51" i="8" s="1"/>
  <c r="T55" i="9"/>
  <c r="P40" i="8" s="1"/>
  <c r="T61" i="9"/>
  <c r="T65" i="9"/>
  <c r="P50" i="8" s="1"/>
  <c r="T56" i="9"/>
  <c r="P41" i="8" s="1"/>
  <c r="T68" i="9"/>
  <c r="P53" i="8" s="1"/>
  <c r="T70" i="9"/>
  <c r="P55" i="8" s="1"/>
  <c r="T69" i="9"/>
  <c r="P54" i="8" s="1"/>
  <c r="T71" i="9"/>
  <c r="P56" i="8" s="1"/>
  <c r="T73" i="9"/>
  <c r="P58" i="8" s="1"/>
  <c r="T52" i="9"/>
  <c r="P37" i="8" s="1"/>
  <c r="T54" i="9"/>
  <c r="P39" i="8" s="1"/>
  <c r="T67" i="9"/>
  <c r="P52" i="8" s="1"/>
  <c r="T60" i="9"/>
  <c r="T59" i="9"/>
  <c r="P44" i="8" s="1"/>
  <c r="T58" i="9"/>
  <c r="P43" i="8" s="1"/>
  <c r="T51" i="9"/>
  <c r="P36" i="8" s="1"/>
  <c r="T53" i="9"/>
  <c r="P38" i="8" s="1"/>
  <c r="R61" i="9"/>
  <c r="N55" i="9"/>
  <c r="J40" i="8" s="1"/>
  <c r="M53" i="9"/>
  <c r="I38" i="8" s="1"/>
  <c r="M59" i="9"/>
  <c r="I44" i="8" s="1"/>
  <c r="M67" i="9"/>
  <c r="I52" i="8" s="1"/>
  <c r="M61" i="9"/>
  <c r="M56" i="9"/>
  <c r="I41" i="8" s="1"/>
  <c r="M73" i="9"/>
  <c r="I58" i="8" s="1"/>
  <c r="M62" i="9"/>
  <c r="I47" i="8" s="1"/>
  <c r="M51" i="9"/>
  <c r="I36" i="8" s="1"/>
  <c r="M57" i="9"/>
  <c r="M63" i="9"/>
  <c r="I48" i="8" s="1"/>
  <c r="M71" i="9"/>
  <c r="I56" i="8" s="1"/>
  <c r="M50" i="9"/>
  <c r="I35" i="8" s="1"/>
  <c r="M64" i="9"/>
  <c r="I49" i="8" s="1"/>
  <c r="M55" i="9"/>
  <c r="I40" i="8" s="1"/>
  <c r="M65" i="9"/>
  <c r="I50" i="8" s="1"/>
  <c r="M52" i="9"/>
  <c r="I37" i="8" s="1"/>
  <c r="M58" i="9"/>
  <c r="I43" i="8" s="1"/>
  <c r="M60" i="9"/>
  <c r="AB57" i="9"/>
  <c r="AB73" i="9"/>
  <c r="X58" i="8" s="1"/>
  <c r="AD65" i="9"/>
  <c r="Z50" i="8" s="1"/>
  <c r="S77" i="9"/>
  <c r="O62" i="8" s="1"/>
  <c r="H75" i="9"/>
  <c r="D60" i="8" s="1"/>
  <c r="Y75" i="9"/>
  <c r="U60" i="8" s="1"/>
  <c r="Y76" i="9"/>
  <c r="U61" i="8" s="1"/>
  <c r="AA76" i="9"/>
  <c r="W61" i="8" s="1"/>
  <c r="X60" i="9"/>
  <c r="X68" i="9"/>
  <c r="T53" i="8" s="1"/>
  <c r="X70" i="9"/>
  <c r="T55" i="8" s="1"/>
  <c r="X56" i="9"/>
  <c r="T41" i="8" s="1"/>
  <c r="X73" i="9"/>
  <c r="T58" i="8" s="1"/>
  <c r="X58" i="9"/>
  <c r="T43" i="8" s="1"/>
  <c r="AB56" i="9"/>
  <c r="X41" i="8" s="1"/>
  <c r="T74" i="9"/>
  <c r="P59" i="8" s="1"/>
  <c r="R72" i="9"/>
  <c r="N57" i="8" s="1"/>
  <c r="V72" i="9"/>
  <c r="R57" i="8" s="1"/>
  <c r="V70" i="9"/>
  <c r="R55" i="8" s="1"/>
  <c r="AF70" i="9"/>
  <c r="AB55" i="8" s="1"/>
  <c r="S70" i="9"/>
  <c r="O55" i="8" s="1"/>
  <c r="K68" i="9"/>
  <c r="G53" i="8" s="1"/>
  <c r="R66" i="9"/>
  <c r="N51" i="8" s="1"/>
  <c r="X66" i="9"/>
  <c r="T51" i="8" s="1"/>
  <c r="F64" i="9"/>
  <c r="B49" i="8" s="1"/>
  <c r="X64" i="9"/>
  <c r="T49" i="8" s="1"/>
  <c r="S60" i="9"/>
  <c r="X52" i="9"/>
  <c r="T37" i="8" s="1"/>
  <c r="Z51" i="9"/>
  <c r="V36" i="8" s="1"/>
  <c r="Z61" i="9"/>
  <c r="Z67" i="9"/>
  <c r="V52" i="8" s="1"/>
  <c r="Z69" i="9"/>
  <c r="V54" i="8" s="1"/>
  <c r="Z71" i="9"/>
  <c r="V56" i="8" s="1"/>
  <c r="Z58" i="9"/>
  <c r="V43" i="8" s="1"/>
  <c r="Z60" i="9"/>
  <c r="Z62" i="9"/>
  <c r="V47" i="8" s="1"/>
  <c r="Z68" i="9"/>
  <c r="V53" i="8" s="1"/>
  <c r="Z70" i="9"/>
  <c r="V55" i="8" s="1"/>
  <c r="Z57" i="9"/>
  <c r="Z54" i="9"/>
  <c r="V39" i="8" s="1"/>
  <c r="Z55" i="9"/>
  <c r="V40" i="8" s="1"/>
  <c r="Z53" i="9"/>
  <c r="V38" i="8" s="1"/>
  <c r="Z73" i="9"/>
  <c r="V58" i="8" s="1"/>
  <c r="Z52" i="9"/>
  <c r="V37" i="8" s="1"/>
  <c r="Z50" i="9"/>
  <c r="V35" i="8" s="1"/>
  <c r="V57" i="9"/>
  <c r="V54" i="9"/>
  <c r="R39" i="8" s="1"/>
  <c r="V55" i="9"/>
  <c r="R40" i="8" s="1"/>
  <c r="V65" i="9"/>
  <c r="R50" i="8" s="1"/>
  <c r="V67" i="9"/>
  <c r="R52" i="8" s="1"/>
  <c r="V53" i="9"/>
  <c r="R38" i="8" s="1"/>
  <c r="V52" i="9"/>
  <c r="R37" i="8" s="1"/>
  <c r="V66" i="9"/>
  <c r="R51" i="8" s="1"/>
  <c r="V50" i="9"/>
  <c r="R35" i="8" s="1"/>
  <c r="V69" i="9"/>
  <c r="R54" i="8" s="1"/>
  <c r="V60" i="9"/>
  <c r="V64" i="9"/>
  <c r="R49" i="8" s="1"/>
  <c r="V59" i="9"/>
  <c r="R44" i="8" s="1"/>
  <c r="V71" i="9"/>
  <c r="R56" i="8" s="1"/>
  <c r="V56" i="9"/>
  <c r="R41" i="8" s="1"/>
  <c r="V51" i="9"/>
  <c r="R36" i="8" s="1"/>
  <c r="V58" i="9"/>
  <c r="R43" i="8" s="1"/>
  <c r="V62" i="9"/>
  <c r="R47" i="8" s="1"/>
  <c r="L55" i="9"/>
  <c r="H40" i="8" s="1"/>
  <c r="AF71" i="9"/>
  <c r="AB56" i="8" s="1"/>
  <c r="AJ67" i="9"/>
  <c r="AF52" i="8" s="1"/>
  <c r="Z65" i="9"/>
  <c r="V50" i="8" s="1"/>
  <c r="S61" i="9"/>
  <c r="P62" i="9"/>
  <c r="L47" i="8" s="1"/>
  <c r="P64" i="9"/>
  <c r="L49" i="8" s="1"/>
  <c r="P66" i="9"/>
  <c r="L51" i="8" s="1"/>
  <c r="P60" i="9"/>
  <c r="P68" i="9"/>
  <c r="L53" i="8" s="1"/>
  <c r="P72" i="9"/>
  <c r="L57" i="8" s="1"/>
  <c r="J51" i="9"/>
  <c r="F36" i="8" s="1"/>
  <c r="P73" i="9"/>
  <c r="L58" i="8" s="1"/>
  <c r="AJ61" i="9"/>
  <c r="R53" i="9"/>
  <c r="N38" i="8" s="1"/>
  <c r="AJ56" i="9"/>
  <c r="AF41" i="8" s="1"/>
  <c r="AD70" i="9"/>
  <c r="Z55" i="8" s="1"/>
  <c r="AD60" i="9"/>
  <c r="AD56" i="9"/>
  <c r="Z41" i="8" s="1"/>
  <c r="AD62" i="9"/>
  <c r="Z47" i="8" s="1"/>
  <c r="AD64" i="9"/>
  <c r="Z49" i="8" s="1"/>
  <c r="H72" i="9"/>
  <c r="D57" i="8" s="1"/>
  <c r="H74" i="9"/>
  <c r="D59" i="8" s="1"/>
  <c r="H52" i="9"/>
  <c r="D37" i="8" s="1"/>
  <c r="H62" i="9"/>
  <c r="D47" i="8" s="1"/>
  <c r="H64" i="9"/>
  <c r="D49" i="8" s="1"/>
  <c r="H66" i="9"/>
  <c r="D51" i="8" s="1"/>
  <c r="H58" i="9"/>
  <c r="D43" i="8" s="1"/>
  <c r="H60" i="9"/>
  <c r="H51" i="9"/>
  <c r="D36" i="8" s="1"/>
  <c r="H56" i="9"/>
  <c r="D41" i="8" s="1"/>
  <c r="H69" i="9"/>
  <c r="D54" i="8" s="1"/>
  <c r="P54" i="9"/>
  <c r="L39" i="8" s="1"/>
  <c r="AG68" i="9"/>
  <c r="AC53" i="8" s="1"/>
  <c r="AG53" i="9"/>
  <c r="AC38" i="8" s="1"/>
  <c r="AG50" i="9"/>
  <c r="AC35" i="8" s="1"/>
  <c r="AG63" i="9"/>
  <c r="AC48" i="8" s="1"/>
  <c r="AG69" i="9"/>
  <c r="AC54" i="8" s="1"/>
  <c r="AG52" i="9"/>
  <c r="AC37" i="8" s="1"/>
  <c r="AG62" i="9"/>
  <c r="AC47" i="8" s="1"/>
  <c r="AG66" i="9"/>
  <c r="AC51" i="8" s="1"/>
  <c r="AG64" i="9"/>
  <c r="AC49" i="8" s="1"/>
  <c r="AG51" i="9"/>
  <c r="AC36" i="8" s="1"/>
  <c r="AG61" i="9"/>
  <c r="AG65" i="9"/>
  <c r="AC50" i="8" s="1"/>
  <c r="AG67" i="9"/>
  <c r="AC52" i="8" s="1"/>
  <c r="AG71" i="9"/>
  <c r="AC56" i="8" s="1"/>
  <c r="AG60" i="9"/>
  <c r="AG70" i="9"/>
  <c r="AC55" i="8" s="1"/>
  <c r="AG57" i="9"/>
  <c r="AG54" i="9"/>
  <c r="AC39" i="8" s="1"/>
  <c r="AG56" i="9"/>
  <c r="AC41" i="8" s="1"/>
  <c r="AG58" i="9"/>
  <c r="AC43" i="8" s="1"/>
  <c r="AG55" i="9"/>
  <c r="AC40" i="8" s="1"/>
  <c r="AG59" i="9"/>
  <c r="AC44" i="8" s="1"/>
  <c r="AG73" i="9"/>
  <c r="AC58" i="8" s="1"/>
  <c r="Y74" i="9"/>
  <c r="U59" i="8" s="1"/>
  <c r="Y72" i="9"/>
  <c r="U57" i="8" s="1"/>
  <c r="J72" i="9"/>
  <c r="F57" i="8" s="1"/>
  <c r="L70" i="9"/>
  <c r="H55" i="8" s="1"/>
  <c r="AA68" i="9"/>
  <c r="W53" i="8" s="1"/>
  <c r="AD66" i="9"/>
  <c r="Z51" i="8" s="1"/>
  <c r="AD58" i="9"/>
  <c r="Z43" i="8" s="1"/>
  <c r="AA52" i="9"/>
  <c r="W37" i="8" s="1"/>
  <c r="H53" i="9"/>
  <c r="D38" i="8" s="1"/>
  <c r="K73" i="9"/>
  <c r="G58" i="8" s="1"/>
  <c r="AJ57" i="9"/>
  <c r="V73" i="9"/>
  <c r="R58" i="8" s="1"/>
  <c r="AH67" i="9"/>
  <c r="AD52" i="8" s="1"/>
  <c r="K57" i="9"/>
  <c r="F77" i="9"/>
  <c r="B62" i="8" s="1"/>
  <c r="AG75" i="9"/>
  <c r="AC60" i="8" s="1"/>
  <c r="B41" i="9"/>
  <c r="C41" i="9"/>
  <c r="D41" i="9"/>
  <c r="AH54" i="9"/>
  <c r="AD39" i="8" s="1"/>
  <c r="AH55" i="9"/>
  <c r="AD40" i="8" s="1"/>
  <c r="AH62" i="9"/>
  <c r="AD47" i="8" s="1"/>
  <c r="AH58" i="9"/>
  <c r="AD43" i="8" s="1"/>
  <c r="AH50" i="9"/>
  <c r="AD35" i="8" s="1"/>
  <c r="AH64" i="9"/>
  <c r="AD49" i="8" s="1"/>
  <c r="AB78" i="9"/>
  <c r="X63" i="8" s="1"/>
  <c r="Y78" i="9"/>
  <c r="U63" i="8" s="1"/>
  <c r="AG76" i="9"/>
  <c r="AC61" i="8" s="1"/>
  <c r="P76" i="9"/>
  <c r="L61" i="8" s="1"/>
  <c r="AD76" i="9"/>
  <c r="Z61" i="8" s="1"/>
  <c r="AB53" i="9"/>
  <c r="X38" i="8" s="1"/>
  <c r="Q55" i="9"/>
  <c r="M40" i="8" s="1"/>
  <c r="Q58" i="9"/>
  <c r="M43" i="8" s="1"/>
  <c r="Q61" i="9"/>
  <c r="Q71" i="9"/>
  <c r="M56" i="8" s="1"/>
  <c r="Q60" i="9"/>
  <c r="Q64" i="9"/>
  <c r="M49" i="8" s="1"/>
  <c r="Q53" i="9"/>
  <c r="M38" i="8" s="1"/>
  <c r="Q59" i="9"/>
  <c r="M44" i="8" s="1"/>
  <c r="Q50" i="9"/>
  <c r="M35" i="8" s="1"/>
  <c r="Q63" i="9"/>
  <c r="M48" i="8" s="1"/>
  <c r="Q65" i="9"/>
  <c r="M50" i="8" s="1"/>
  <c r="Q73" i="9"/>
  <c r="M58" i="8" s="1"/>
  <c r="Q52" i="9"/>
  <c r="M37" i="8" s="1"/>
  <c r="Q62" i="9"/>
  <c r="M47" i="8" s="1"/>
  <c r="Q51" i="9"/>
  <c r="M36" i="8" s="1"/>
  <c r="Q67" i="9"/>
  <c r="M52" i="8" s="1"/>
  <c r="Q57" i="9"/>
  <c r="Q54" i="9"/>
  <c r="M39" i="8" s="1"/>
  <c r="AB74" i="9"/>
  <c r="X59" i="8" s="1"/>
  <c r="AG74" i="9"/>
  <c r="AC59" i="8" s="1"/>
  <c r="AD72" i="9"/>
  <c r="Z57" i="8" s="1"/>
  <c r="AG72" i="9"/>
  <c r="AC57" i="8" s="1"/>
  <c r="O70" i="9"/>
  <c r="K55" i="8" s="1"/>
  <c r="AJ70" i="9"/>
  <c r="AF55" i="8" s="1"/>
  <c r="Q68" i="9"/>
  <c r="M53" i="8" s="1"/>
  <c r="L68" i="9"/>
  <c r="H53" i="8" s="1"/>
  <c r="AB66" i="9"/>
  <c r="X51" i="8" s="1"/>
  <c r="AH60" i="9"/>
  <c r="P71" i="9"/>
  <c r="L56" i="8" s="1"/>
  <c r="S59" i="9"/>
  <c r="O44" i="8" s="1"/>
  <c r="H54" i="9"/>
  <c r="D39" i="8" s="1"/>
  <c r="L50" i="9"/>
  <c r="H35" i="8" s="1"/>
  <c r="L60" i="9"/>
  <c r="L62" i="9"/>
  <c r="H47" i="8" s="1"/>
  <c r="L64" i="9"/>
  <c r="H49" i="8" s="1"/>
  <c r="L66" i="9"/>
  <c r="H51" i="8" s="1"/>
  <c r="L57" i="9"/>
  <c r="L54" i="9"/>
  <c r="H39" i="8" s="1"/>
  <c r="L63" i="9"/>
  <c r="H48" i="8" s="1"/>
  <c r="L58" i="9"/>
  <c r="H43" i="8" s="1"/>
  <c r="Q69" i="9"/>
  <c r="M54" i="8" s="1"/>
  <c r="AD67" i="9"/>
  <c r="Z52" i="8" s="1"/>
  <c r="AF63" i="9"/>
  <c r="AB48" i="8" s="1"/>
  <c r="AD75" i="9"/>
  <c r="Z60" i="8" s="1"/>
  <c r="N72" i="9"/>
  <c r="J57" i="8" s="1"/>
  <c r="N52" i="9"/>
  <c r="J37" i="8" s="1"/>
  <c r="N66" i="9"/>
  <c r="J51" i="8" s="1"/>
  <c r="N68" i="9"/>
  <c r="J53" i="8" s="1"/>
  <c r="N57" i="9"/>
  <c r="N58" i="9"/>
  <c r="J43" i="8" s="1"/>
  <c r="N50" i="9"/>
  <c r="J35" i="8" s="1"/>
  <c r="N56" i="9"/>
  <c r="J41" i="8" s="1"/>
  <c r="N60" i="9"/>
  <c r="N62" i="9"/>
  <c r="J47" i="8" s="1"/>
  <c r="H77" i="9"/>
  <c r="D62" i="8" s="1"/>
  <c r="AF77" i="9"/>
  <c r="AB62" i="8" s="1"/>
  <c r="N77" i="9"/>
  <c r="J62" i="8" s="1"/>
  <c r="N75" i="9"/>
  <c r="J60" i="8" s="1"/>
  <c r="Z75" i="9"/>
  <c r="V60" i="8" s="1"/>
  <c r="AI50" i="9"/>
  <c r="AE35" i="8" s="1"/>
  <c r="AI56" i="9"/>
  <c r="AE41" i="8" s="1"/>
  <c r="AI64" i="9"/>
  <c r="AE49" i="8" s="1"/>
  <c r="AI68" i="9"/>
  <c r="AE53" i="8" s="1"/>
  <c r="AI70" i="9"/>
  <c r="AE55" i="8" s="1"/>
  <c r="AI54" i="9"/>
  <c r="AE39" i="8" s="1"/>
  <c r="AI66" i="9"/>
  <c r="AE51" i="8" s="1"/>
  <c r="AI52" i="9"/>
  <c r="AE37" i="8" s="1"/>
  <c r="Z78" i="9"/>
  <c r="V63" i="8" s="1"/>
  <c r="AG78" i="9"/>
  <c r="AC63" i="8" s="1"/>
  <c r="N76" i="9"/>
  <c r="J61" i="8" s="1"/>
  <c r="Z76" i="9"/>
  <c r="V61" i="8" s="1"/>
  <c r="L76" i="9"/>
  <c r="H61" i="8" s="1"/>
  <c r="V61" i="9"/>
  <c r="AJ52" i="9"/>
  <c r="AF37" i="8" s="1"/>
  <c r="Z74" i="9"/>
  <c r="V59" i="8" s="1"/>
  <c r="Q72" i="9"/>
  <c r="M57" i="8" s="1"/>
  <c r="K72" i="9"/>
  <c r="G57" i="8" s="1"/>
  <c r="L72" i="9"/>
  <c r="H57" i="8" s="1"/>
  <c r="V68" i="9"/>
  <c r="R53" i="8" s="1"/>
  <c r="AJ68" i="9"/>
  <c r="AF53" i="8" s="1"/>
  <c r="Z64" i="9"/>
  <c r="V49" i="8" s="1"/>
  <c r="AB62" i="9"/>
  <c r="X47" i="8" s="1"/>
  <c r="K54" i="9"/>
  <c r="G39" i="8" s="1"/>
  <c r="AD52" i="9"/>
  <c r="Z37" i="8" s="1"/>
  <c r="X63" i="9"/>
  <c r="T48" i="8" s="1"/>
  <c r="AA62" i="9"/>
  <c r="W47" i="8" s="1"/>
  <c r="M69" i="9"/>
  <c r="I54" i="8" s="1"/>
  <c r="AB59" i="9"/>
  <c r="X44" i="8" s="1"/>
  <c r="L51" i="9"/>
  <c r="H36" i="8" s="1"/>
  <c r="F58" i="9"/>
  <c r="B43" i="8" s="1"/>
  <c r="F60" i="9"/>
  <c r="F52" i="9"/>
  <c r="B37" i="8" s="1"/>
  <c r="F66" i="9"/>
  <c r="B51" i="8" s="1"/>
  <c r="F57" i="9"/>
  <c r="F56" i="9"/>
  <c r="B41" i="8" s="1"/>
  <c r="AJ54" i="9"/>
  <c r="AF39" i="8" s="1"/>
  <c r="AJ60" i="9"/>
  <c r="AJ58" i="9"/>
  <c r="AF43" i="8" s="1"/>
  <c r="AJ50" i="9"/>
  <c r="AF35" i="8" s="1"/>
  <c r="AJ62" i="9"/>
  <c r="AF47" i="8" s="1"/>
  <c r="AJ64" i="9"/>
  <c r="AF49" i="8" s="1"/>
  <c r="AJ66" i="9"/>
  <c r="AF51" i="8" s="1"/>
  <c r="AA50" i="9"/>
  <c r="W35" i="8" s="1"/>
  <c r="AA56" i="9"/>
  <c r="W41" i="8" s="1"/>
  <c r="AA64" i="9"/>
  <c r="W49" i="8" s="1"/>
  <c r="AA66" i="9"/>
  <c r="W51" i="8" s="1"/>
  <c r="AA54" i="9"/>
  <c r="W39" i="8" s="1"/>
  <c r="AA60" i="9"/>
  <c r="R64" i="9"/>
  <c r="N49" i="8" s="1"/>
  <c r="R60" i="9"/>
  <c r="R68" i="9"/>
  <c r="N53" i="8" s="1"/>
  <c r="R54" i="9"/>
  <c r="N39" i="8" s="1"/>
  <c r="R62" i="9"/>
  <c r="N47" i="8" s="1"/>
  <c r="L78" i="9"/>
  <c r="H63" i="8" s="1"/>
  <c r="AJ78" i="9"/>
  <c r="AF63" i="8" s="1"/>
  <c r="H78" i="9"/>
  <c r="D63" i="8" s="1"/>
  <c r="T76" i="9"/>
  <c r="P61" i="8" s="1"/>
  <c r="P51" i="9"/>
  <c r="L36" i="8" s="1"/>
  <c r="AJ74" i="9"/>
  <c r="AF59" i="8" s="1"/>
  <c r="P74" i="9"/>
  <c r="L59" i="8" s="1"/>
  <c r="X72" i="9"/>
  <c r="T57" i="8" s="1"/>
  <c r="T72" i="9"/>
  <c r="P57" i="8" s="1"/>
  <c r="R70" i="9"/>
  <c r="N55" i="8" s="1"/>
  <c r="Z66" i="9"/>
  <c r="V51" i="8" s="1"/>
  <c r="O66" i="9"/>
  <c r="K51" i="8" s="1"/>
  <c r="O64" i="9"/>
  <c r="K49" i="8" s="1"/>
  <c r="AB64" i="9"/>
  <c r="X49" i="8" s="1"/>
  <c r="O58" i="9"/>
  <c r="K43" i="8" s="1"/>
  <c r="R50" i="9"/>
  <c r="N35" i="8" s="1"/>
  <c r="AF57" i="9"/>
  <c r="AI55" i="9"/>
  <c r="AE40" i="8" s="1"/>
  <c r="AA65" i="9"/>
  <c r="W50" i="8" s="1"/>
  <c r="Z63" i="9"/>
  <c r="V48" i="8" s="1"/>
  <c r="AD55" i="9"/>
  <c r="Z40" i="8" s="1"/>
  <c r="F51" i="9"/>
  <c r="B36" i="8" s="1"/>
  <c r="P55" i="9"/>
  <c r="L40" i="8" s="1"/>
  <c r="S72" i="9"/>
  <c r="O57" i="8" s="1"/>
  <c r="S74" i="9"/>
  <c r="O59" i="8" s="1"/>
  <c r="S58" i="9"/>
  <c r="O43" i="8" s="1"/>
  <c r="S62" i="9"/>
  <c r="O47" i="8" s="1"/>
  <c r="S64" i="9"/>
  <c r="O49" i="8" s="1"/>
  <c r="S54" i="9"/>
  <c r="O39" i="8" s="1"/>
  <c r="J64" i="9"/>
  <c r="F49" i="8" s="1"/>
  <c r="J60" i="9"/>
  <c r="J66" i="9"/>
  <c r="F51" i="8" s="1"/>
  <c r="J58" i="9"/>
  <c r="F43" i="8" s="1"/>
  <c r="P78" i="9"/>
  <c r="L63" i="8" s="1"/>
  <c r="J76" i="9"/>
  <c r="F61" i="8" s="1"/>
  <c r="AB76" i="9"/>
  <c r="X61" i="8" s="1"/>
  <c r="Y60" i="9"/>
  <c r="Y73" i="9"/>
  <c r="U58" i="8" s="1"/>
  <c r="Y50" i="9"/>
  <c r="U35" i="8" s="1"/>
  <c r="Y52" i="9"/>
  <c r="U37" i="8" s="1"/>
  <c r="Y62" i="9"/>
  <c r="U47" i="8" s="1"/>
  <c r="Y66" i="9"/>
  <c r="U51" i="8" s="1"/>
  <c r="Y58" i="9"/>
  <c r="U43" i="8" s="1"/>
  <c r="Y54" i="9"/>
  <c r="U39" i="8" s="1"/>
  <c r="Y56" i="9"/>
  <c r="U41" i="8" s="1"/>
  <c r="Y64" i="9"/>
  <c r="U49" i="8" s="1"/>
  <c r="F70" i="9"/>
  <c r="B55" i="8" s="1"/>
  <c r="H70" i="9"/>
  <c r="D55" i="8" s="1"/>
  <c r="AD68" i="9"/>
  <c r="Z53" i="8" s="1"/>
  <c r="J68" i="9"/>
  <c r="F53" i="8" s="1"/>
  <c r="F62" i="9"/>
  <c r="B47" i="8" s="1"/>
  <c r="J61" i="9"/>
  <c r="F55" i="9"/>
  <c r="B40" i="8" s="1"/>
  <c r="AH69" i="9"/>
  <c r="AD54" i="8" s="1"/>
  <c r="AJ65" i="9"/>
  <c r="AF50" i="8" s="1"/>
  <c r="Y55" i="9"/>
  <c r="U40" i="8" s="1"/>
  <c r="AC51" i="9"/>
  <c r="Y36" i="8" s="1"/>
  <c r="AC57" i="9"/>
  <c r="AC71" i="9"/>
  <c r="Y56" i="8" s="1"/>
  <c r="AC66" i="9"/>
  <c r="Y51" i="8" s="1"/>
  <c r="AC50" i="9"/>
  <c r="Y35" i="8" s="1"/>
  <c r="AC61" i="9"/>
  <c r="AC63" i="9"/>
  <c r="Y48" i="8" s="1"/>
  <c r="AC67" i="9"/>
  <c r="Y52" i="8" s="1"/>
  <c r="AC58" i="9"/>
  <c r="Y43" i="8" s="1"/>
  <c r="AC62" i="9"/>
  <c r="Y47" i="8" s="1"/>
  <c r="AC64" i="9"/>
  <c r="Y49" i="8" s="1"/>
  <c r="AC55" i="9"/>
  <c r="Y40" i="8" s="1"/>
  <c r="AC59" i="9"/>
  <c r="Y44" i="8" s="1"/>
  <c r="AC65" i="9"/>
  <c r="Y50" i="8" s="1"/>
  <c r="AC73" i="9"/>
  <c r="Y58" i="8" s="1"/>
  <c r="AC52" i="9"/>
  <c r="Y37" i="8" s="1"/>
  <c r="AC60" i="9"/>
  <c r="AC69" i="9"/>
  <c r="Y54" i="8" s="1"/>
  <c r="AC54" i="9"/>
  <c r="Y39" i="8" s="1"/>
  <c r="AC53" i="9"/>
  <c r="Y38" i="8" s="1"/>
  <c r="O54" i="9"/>
  <c r="K39" i="8" s="1"/>
  <c r="O62" i="9"/>
  <c r="K47" i="8" s="1"/>
  <c r="O52" i="9"/>
  <c r="K37" i="8" s="1"/>
  <c r="O60" i="9"/>
  <c r="W50" i="9"/>
  <c r="S35" i="8" s="1"/>
  <c r="AJ59" i="9"/>
  <c r="AF44" i="8" s="1"/>
  <c r="AH56" i="9"/>
  <c r="AD41" i="8" s="1"/>
  <c r="AD57" i="9"/>
  <c r="AD53" i="9"/>
  <c r="Z38" i="8" s="1"/>
  <c r="AD54" i="9"/>
  <c r="Z39" i="8" s="1"/>
  <c r="AD50" i="9"/>
  <c r="Z35" i="8" s="1"/>
  <c r="AI65" i="9"/>
  <c r="AE50" i="8" s="1"/>
  <c r="L56" i="9"/>
  <c r="H41" i="8" s="1"/>
  <c r="I73" i="9"/>
  <c r="E58" i="8" s="1"/>
  <c r="AD73" i="9"/>
  <c r="Z58" i="8" s="1"/>
  <c r="S71" i="9"/>
  <c r="O56" i="8" s="1"/>
  <c r="U71" i="9"/>
  <c r="Q56" i="8" s="1"/>
  <c r="F71" i="9"/>
  <c r="B56" i="8" s="1"/>
  <c r="S69" i="9"/>
  <c r="O54" i="8" s="1"/>
  <c r="U69" i="9"/>
  <c r="Q54" i="8" s="1"/>
  <c r="G69" i="9"/>
  <c r="C54" i="8" s="1"/>
  <c r="O67" i="9"/>
  <c r="K52" i="8" s="1"/>
  <c r="I67" i="9"/>
  <c r="E52" i="8" s="1"/>
  <c r="K67" i="9"/>
  <c r="G52" i="8" s="1"/>
  <c r="AL67" i="9"/>
  <c r="AH52" i="8" s="1"/>
  <c r="I65" i="9"/>
  <c r="E50" i="8" s="1"/>
  <c r="AL65" i="9"/>
  <c r="AH50" i="8" s="1"/>
  <c r="AH65" i="9"/>
  <c r="AD50" i="8" s="1"/>
  <c r="W63" i="9"/>
  <c r="S48" i="8" s="1"/>
  <c r="AH63" i="9"/>
  <c r="AD48" i="8" s="1"/>
  <c r="AD63" i="9"/>
  <c r="Z48" i="8" s="1"/>
  <c r="N61" i="9"/>
  <c r="AF61" i="9"/>
  <c r="G61" i="9"/>
  <c r="K59" i="9"/>
  <c r="G44" i="8" s="1"/>
  <c r="AF59" i="9"/>
  <c r="AB44" i="8" s="1"/>
  <c r="O57" i="9"/>
  <c r="S57" i="9"/>
  <c r="K55" i="9"/>
  <c r="G40" i="8" s="1"/>
  <c r="X53" i="9"/>
  <c r="T38" i="8" s="1"/>
  <c r="N51" i="9"/>
  <c r="J36" i="8" s="1"/>
  <c r="I51" i="9"/>
  <c r="E36" i="8" s="1"/>
  <c r="X54" i="9"/>
  <c r="T39" i="8" s="1"/>
  <c r="AJ53" i="9"/>
  <c r="AF38" i="8" s="1"/>
  <c r="AE50" i="9"/>
  <c r="AA35" i="8" s="1"/>
  <c r="AE63" i="9"/>
  <c r="AA48" i="8" s="1"/>
  <c r="AL75" i="9"/>
  <c r="AH60" i="8" s="1"/>
  <c r="AL53" i="9"/>
  <c r="AH38" i="8" s="1"/>
  <c r="AL50" i="9"/>
  <c r="AH35" i="8" s="1"/>
  <c r="AL57" i="9"/>
  <c r="AH51" i="9"/>
  <c r="AD36" i="8" s="1"/>
  <c r="X55" i="9"/>
  <c r="T40" i="8" s="1"/>
  <c r="Y77" i="9"/>
  <c r="U62" i="8" s="1"/>
  <c r="S73" i="9"/>
  <c r="O58" i="8" s="1"/>
  <c r="L73" i="9"/>
  <c r="H58" i="8" s="1"/>
  <c r="AJ73" i="9"/>
  <c r="AF58" i="8" s="1"/>
  <c r="AL73" i="9"/>
  <c r="AH58" i="8" s="1"/>
  <c r="Y71" i="9"/>
  <c r="U56" i="8" s="1"/>
  <c r="AB71" i="9"/>
  <c r="X56" i="8" s="1"/>
  <c r="AD71" i="9"/>
  <c r="Z56" i="8" s="1"/>
  <c r="O71" i="9"/>
  <c r="K56" i="8" s="1"/>
  <c r="I69" i="9"/>
  <c r="E54" i="8" s="1"/>
  <c r="X69" i="9"/>
  <c r="T54" i="8" s="1"/>
  <c r="O69" i="9"/>
  <c r="K54" i="8" s="1"/>
  <c r="AB67" i="9"/>
  <c r="X52" i="8" s="1"/>
  <c r="AK67" i="9"/>
  <c r="AG52" i="8" s="1"/>
  <c r="S67" i="9"/>
  <c r="O52" i="8" s="1"/>
  <c r="AF65" i="9"/>
  <c r="AB50" i="8" s="1"/>
  <c r="U65" i="9"/>
  <c r="Q50" i="8" s="1"/>
  <c r="G65" i="9"/>
  <c r="C50" i="8" s="1"/>
  <c r="AB63" i="9"/>
  <c r="X48" i="8" s="1"/>
  <c r="I63" i="9"/>
  <c r="E48" i="8" s="1"/>
  <c r="K63" i="9"/>
  <c r="G48" i="8" s="1"/>
  <c r="AL63" i="9"/>
  <c r="AH48" i="8" s="1"/>
  <c r="AA61" i="9"/>
  <c r="H61" i="9"/>
  <c r="O61" i="9"/>
  <c r="I59" i="9"/>
  <c r="E44" i="8" s="1"/>
  <c r="O59" i="9"/>
  <c r="K44" i="8" s="1"/>
  <c r="F59" i="9"/>
  <c r="B44" i="8" s="1"/>
  <c r="W57" i="9"/>
  <c r="Y57" i="9"/>
  <c r="AA57" i="9"/>
  <c r="S55" i="9"/>
  <c r="O40" i="8" s="1"/>
  <c r="U55" i="9"/>
  <c r="Q40" i="8" s="1"/>
  <c r="G55" i="9"/>
  <c r="C40" i="8" s="1"/>
  <c r="AF53" i="9"/>
  <c r="AB38" i="8" s="1"/>
  <c r="AH53" i="9"/>
  <c r="AD38" i="8" s="1"/>
  <c r="AK53" i="9"/>
  <c r="AG38" i="8" s="1"/>
  <c r="AB51" i="9"/>
  <c r="X36" i="8" s="1"/>
  <c r="L52" i="9"/>
  <c r="H37" i="8" s="1"/>
  <c r="X51" i="9"/>
  <c r="T36" i="8" s="1"/>
  <c r="O72" i="9"/>
  <c r="K57" i="8" s="1"/>
  <c r="P58" i="9"/>
  <c r="L43" i="8" s="1"/>
  <c r="AF54" i="9"/>
  <c r="AB39" i="8" s="1"/>
  <c r="AI71" i="9"/>
  <c r="AE56" i="8" s="1"/>
  <c r="AK71" i="9"/>
  <c r="AG56" i="8" s="1"/>
  <c r="X71" i="9"/>
  <c r="T56" i="8" s="1"/>
  <c r="AF69" i="9"/>
  <c r="AB54" i="8" s="1"/>
  <c r="Y69" i="9"/>
  <c r="U54" i="8" s="1"/>
  <c r="AK69" i="9"/>
  <c r="AG54" i="8" s="1"/>
  <c r="W69" i="9"/>
  <c r="S54" i="8" s="1"/>
  <c r="G67" i="9"/>
  <c r="C52" i="8" s="1"/>
  <c r="Y67" i="9"/>
  <c r="U52" i="8" s="1"/>
  <c r="AA67" i="9"/>
  <c r="W52" i="8" s="1"/>
  <c r="K65" i="9"/>
  <c r="G50" i="8" s="1"/>
  <c r="O65" i="9"/>
  <c r="K50" i="8" s="1"/>
  <c r="G63" i="9"/>
  <c r="C48" i="8" s="1"/>
  <c r="S63" i="9"/>
  <c r="O48" i="8" s="1"/>
  <c r="K61" i="9"/>
  <c r="P61" i="9"/>
  <c r="U61" i="9"/>
  <c r="W61" i="9"/>
  <c r="R59" i="9"/>
  <c r="N44" i="8" s="1"/>
  <c r="X59" i="9"/>
  <c r="T44" i="8" s="1"/>
  <c r="N59" i="9"/>
  <c r="J44" i="8" s="1"/>
  <c r="AE57" i="9"/>
  <c r="AI57" i="9"/>
  <c r="AA55" i="9"/>
  <c r="W40" i="8" s="1"/>
  <c r="O55" i="9"/>
  <c r="K40" i="8" s="1"/>
  <c r="G53" i="9"/>
  <c r="C38" i="8" s="1"/>
  <c r="I53" i="9"/>
  <c r="E38" i="8" s="1"/>
  <c r="K53" i="9"/>
  <c r="G38" i="8" s="1"/>
  <c r="AJ51" i="9"/>
  <c r="AF36" i="8" s="1"/>
  <c r="AD51" i="9"/>
  <c r="Z36" i="8" s="1"/>
  <c r="Y51" i="9"/>
  <c r="U36" i="8" s="1"/>
  <c r="AF50" i="9"/>
  <c r="AB35" i="8" s="1"/>
  <c r="Y68" i="9"/>
  <c r="U53" i="8" s="1"/>
  <c r="P56" i="9"/>
  <c r="L41" i="8" s="1"/>
  <c r="S56" i="9"/>
  <c r="O41" i="8" s="1"/>
  <c r="J54" i="9"/>
  <c r="F39" i="8" s="1"/>
  <c r="AK52" i="9"/>
  <c r="AG37" i="8" s="1"/>
  <c r="S50" i="9"/>
  <c r="O35" i="8" s="1"/>
  <c r="AA58" i="9"/>
  <c r="W43" i="8" s="1"/>
  <c r="H59" i="9"/>
  <c r="D44" i="8" s="1"/>
  <c r="P50" i="9"/>
  <c r="L35" i="8" s="1"/>
  <c r="R56" i="9"/>
  <c r="N41" i="8" s="1"/>
  <c r="F68" i="9"/>
  <c r="B53" i="8" s="1"/>
  <c r="L53" i="9"/>
  <c r="H38" i="8" s="1"/>
  <c r="AI77" i="9"/>
  <c r="AE62" i="8" s="1"/>
  <c r="J73" i="9"/>
  <c r="F58" i="8" s="1"/>
  <c r="AH73" i="9"/>
  <c r="AD58" i="8" s="1"/>
  <c r="AA73" i="9"/>
  <c r="W58" i="8" s="1"/>
  <c r="O73" i="9"/>
  <c r="K58" i="8" s="1"/>
  <c r="H71" i="9"/>
  <c r="D56" i="8" s="1"/>
  <c r="K71" i="9"/>
  <c r="G56" i="8" s="1"/>
  <c r="K69" i="9"/>
  <c r="G54" i="8" s="1"/>
  <c r="L69" i="9"/>
  <c r="H54" i="8" s="1"/>
  <c r="F69" i="9"/>
  <c r="B54" i="8" s="1"/>
  <c r="AE69" i="9"/>
  <c r="AA54" i="8" s="1"/>
  <c r="U67" i="9"/>
  <c r="Q52" i="8" s="1"/>
  <c r="AI67" i="9"/>
  <c r="AE52" i="8" s="1"/>
  <c r="S65" i="9"/>
  <c r="O50" i="8" s="1"/>
  <c r="AK65" i="9"/>
  <c r="AG50" i="8" s="1"/>
  <c r="W65" i="9"/>
  <c r="S50" i="8" s="1"/>
  <c r="AJ63" i="9"/>
  <c r="AF48" i="8" s="1"/>
  <c r="Y63" i="9"/>
  <c r="U48" i="8" s="1"/>
  <c r="AA63" i="9"/>
  <c r="W48" i="8" s="1"/>
  <c r="X61" i="9"/>
  <c r="AE61" i="9"/>
  <c r="AA59" i="9"/>
  <c r="W44" i="8" s="1"/>
  <c r="L59" i="9"/>
  <c r="H44" i="8" s="1"/>
  <c r="AH59" i="9"/>
  <c r="AD44" i="8" s="1"/>
  <c r="H57" i="9"/>
  <c r="J57" i="9"/>
  <c r="AK55" i="9"/>
  <c r="AG40" i="8" s="1"/>
  <c r="W55" i="9"/>
  <c r="S40" i="8" s="1"/>
  <c r="O53" i="9"/>
  <c r="K38" i="8" s="1"/>
  <c r="S53" i="9"/>
  <c r="O38" i="8" s="1"/>
  <c r="K51" i="9"/>
  <c r="G36" i="8" s="1"/>
  <c r="AL51" i="9"/>
  <c r="AH36" i="8" s="1"/>
  <c r="AH52" i="9"/>
  <c r="AD37" i="8" s="1"/>
  <c r="AI61" i="9"/>
  <c r="P65" i="9"/>
  <c r="L50" i="8" s="1"/>
  <c r="P75" i="9"/>
  <c r="L60" i="8" s="1"/>
  <c r="AK73" i="9"/>
  <c r="AG58" i="8" s="1"/>
  <c r="W73" i="9"/>
  <c r="S58" i="8" s="1"/>
  <c r="AE71" i="9"/>
  <c r="AA56" i="8" s="1"/>
  <c r="J71" i="9"/>
  <c r="F56" i="8" s="1"/>
  <c r="N69" i="9"/>
  <c r="J54" i="8" s="1"/>
  <c r="J69" i="9"/>
  <c r="F54" i="8" s="1"/>
  <c r="L67" i="9"/>
  <c r="H52" i="8" s="1"/>
  <c r="H67" i="9"/>
  <c r="D52" i="8" s="1"/>
  <c r="J67" i="9"/>
  <c r="F52" i="8" s="1"/>
  <c r="F67" i="9"/>
  <c r="B52" i="8" s="1"/>
  <c r="X65" i="9"/>
  <c r="T50" i="8" s="1"/>
  <c r="L65" i="9"/>
  <c r="H50" i="8" s="1"/>
  <c r="F65" i="9"/>
  <c r="B50" i="8" s="1"/>
  <c r="AE65" i="9"/>
  <c r="AA50" i="8" s="1"/>
  <c r="O63" i="9"/>
  <c r="K48" i="8" s="1"/>
  <c r="H63" i="9"/>
  <c r="D48" i="8" s="1"/>
  <c r="AI63" i="9"/>
  <c r="AE48" i="8" s="1"/>
  <c r="AK61" i="9"/>
  <c r="L61" i="9"/>
  <c r="AK59" i="9"/>
  <c r="AG44" i="8" s="1"/>
  <c r="U59" i="9"/>
  <c r="Q44" i="8" s="1"/>
  <c r="G59" i="9"/>
  <c r="C44" i="8" s="1"/>
  <c r="AD59" i="9"/>
  <c r="Z44" i="8" s="1"/>
  <c r="P57" i="9"/>
  <c r="R57" i="9"/>
  <c r="U57" i="9"/>
  <c r="AE55" i="9"/>
  <c r="AA40" i="8" s="1"/>
  <c r="Y53" i="9"/>
  <c r="U38" i="8" s="1"/>
  <c r="AA53" i="9"/>
  <c r="W38" i="8" s="1"/>
  <c r="S51" i="9"/>
  <c r="O36" i="8" s="1"/>
  <c r="S66" i="9"/>
  <c r="O51" i="8" s="1"/>
  <c r="J52" i="9"/>
  <c r="F37" i="8" s="1"/>
  <c r="J55" i="9"/>
  <c r="F40" i="8" s="1"/>
  <c r="J62" i="9"/>
  <c r="F47" i="8" s="1"/>
  <c r="J56" i="9"/>
  <c r="F41" i="8" s="1"/>
  <c r="F53" i="9"/>
  <c r="B38" i="8" s="1"/>
  <c r="F50" i="9"/>
  <c r="B35" i="8" s="1"/>
  <c r="AF51" i="9"/>
  <c r="AB36" i="8" s="1"/>
  <c r="H73" i="9"/>
  <c r="D58" i="8" s="1"/>
  <c r="AF73" i="9"/>
  <c r="AB58" i="8" s="1"/>
  <c r="F73" i="9"/>
  <c r="B58" i="8" s="1"/>
  <c r="AE73" i="9"/>
  <c r="AA58" i="8" s="1"/>
  <c r="AA71" i="9"/>
  <c r="W56" i="8" s="1"/>
  <c r="N71" i="9"/>
  <c r="J56" i="8" s="1"/>
  <c r="R71" i="9"/>
  <c r="N56" i="8" s="1"/>
  <c r="P69" i="9"/>
  <c r="L54" i="8" s="1"/>
  <c r="AB69" i="9"/>
  <c r="X54" i="8" s="1"/>
  <c r="R69" i="9"/>
  <c r="N54" i="8" s="1"/>
  <c r="AE67" i="9"/>
  <c r="AA52" i="8" s="1"/>
  <c r="P67" i="9"/>
  <c r="L52" i="8" s="1"/>
  <c r="R67" i="9"/>
  <c r="N52" i="8" s="1"/>
  <c r="N67" i="9"/>
  <c r="J52" i="8" s="1"/>
  <c r="Y65" i="9"/>
  <c r="U50" i="8" s="1"/>
  <c r="N65" i="9"/>
  <c r="J50" i="8" s="1"/>
  <c r="J65" i="9"/>
  <c r="F50" i="8" s="1"/>
  <c r="AK63" i="9"/>
  <c r="AG48" i="8" s="1"/>
  <c r="P63" i="9"/>
  <c r="L48" i="8" s="1"/>
  <c r="J63" i="9"/>
  <c r="F48" i="8" s="1"/>
  <c r="F63" i="9"/>
  <c r="B48" i="8" s="1"/>
  <c r="AD61" i="9"/>
  <c r="J59" i="9"/>
  <c r="F44" i="8" s="1"/>
  <c r="AE59" i="9"/>
  <c r="AA44" i="8" s="1"/>
  <c r="P59" i="9"/>
  <c r="L44" i="8" s="1"/>
  <c r="AL59" i="9"/>
  <c r="AH44" i="8" s="1"/>
  <c r="X57" i="9"/>
  <c r="I55" i="9"/>
  <c r="E40" i="8" s="1"/>
  <c r="AE53" i="9"/>
  <c r="AA38" i="8" s="1"/>
  <c r="AI53" i="9"/>
  <c r="AE38" i="8" s="1"/>
  <c r="AA51" i="9"/>
  <c r="W36" i="8" s="1"/>
  <c r="AI60" i="9"/>
  <c r="P52" i="9"/>
  <c r="L37" i="8" s="1"/>
  <c r="S52" i="9"/>
  <c r="O37" i="8" s="1"/>
  <c r="J50" i="9"/>
  <c r="F35" i="8" s="1"/>
  <c r="W67" i="9"/>
  <c r="S52" i="8" s="1"/>
  <c r="R51" i="9"/>
  <c r="N36" i="8" s="1"/>
  <c r="R52" i="9"/>
  <c r="N37" i="8" s="1"/>
  <c r="R55" i="9"/>
  <c r="N40" i="8" s="1"/>
  <c r="N64" i="9"/>
  <c r="J49" i="8" s="1"/>
  <c r="AF55" i="9"/>
  <c r="AB40" i="8" s="1"/>
  <c r="F54" i="9"/>
  <c r="B39" i="8" s="1"/>
  <c r="AK58" i="9"/>
  <c r="AG43" i="8" s="1"/>
  <c r="H50" i="9"/>
  <c r="D35" i="8" s="1"/>
  <c r="R73" i="9"/>
  <c r="N58" i="8" s="1"/>
  <c r="AI73" i="9"/>
  <c r="AE58" i="8" s="1"/>
  <c r="N73" i="9"/>
  <c r="J58" i="8" s="1"/>
  <c r="AJ71" i="9"/>
  <c r="AF56" i="8" s="1"/>
  <c r="AL71" i="9"/>
  <c r="AH56" i="8" s="1"/>
  <c r="W71" i="9"/>
  <c r="S56" i="8" s="1"/>
  <c r="AI69" i="9"/>
  <c r="AE54" i="8" s="1"/>
  <c r="AJ69" i="9"/>
  <c r="AF54" i="8" s="1"/>
  <c r="AD69" i="9"/>
  <c r="Z54" i="8" s="1"/>
  <c r="X67" i="9"/>
  <c r="T52" i="8" s="1"/>
  <c r="H65" i="9"/>
  <c r="D50" i="8" s="1"/>
  <c r="AB65" i="9"/>
  <c r="X50" i="8" s="1"/>
  <c r="R65" i="9"/>
  <c r="N50" i="8" s="1"/>
  <c r="R63" i="9"/>
  <c r="N48" i="8" s="1"/>
  <c r="N63" i="9"/>
  <c r="J48" i="8" s="1"/>
  <c r="Y61" i="9"/>
  <c r="F61" i="9"/>
  <c r="AB61" i="9"/>
  <c r="Y59" i="9"/>
  <c r="U44" i="8" s="1"/>
  <c r="AH57" i="9"/>
  <c r="AK57" i="9"/>
  <c r="AB55" i="9"/>
  <c r="X40" i="8" s="1"/>
  <c r="J53" i="9"/>
  <c r="F38" i="8" s="1"/>
  <c r="AI51" i="9"/>
  <c r="AE36" i="8" s="1"/>
  <c r="AK51" i="9"/>
  <c r="AG36" i="8" s="1"/>
  <c r="W51" i="9"/>
  <c r="S36" i="8" s="1"/>
  <c r="R58" i="9"/>
  <c r="N43" i="8" s="1"/>
  <c r="N54" i="9"/>
  <c r="J39" i="8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I66" i="8"/>
  <c r="F41" i="9" l="1"/>
  <c r="R4" i="8"/>
  <c r="AB4" i="8"/>
  <c r="AE14" i="8"/>
  <c r="N4" i="8"/>
  <c r="AG14" i="8"/>
  <c r="G14" i="8"/>
  <c r="C14" i="8"/>
  <c r="W14" i="8"/>
  <c r="AF4" i="8"/>
  <c r="K4" i="8"/>
  <c r="Z14" i="8"/>
  <c r="P4" i="8"/>
  <c r="AH4" i="8"/>
  <c r="AH14" i="8"/>
  <c r="D4" i="8"/>
  <c r="AC14" i="8"/>
  <c r="V14" i="8"/>
  <c r="K14" i="8"/>
  <c r="U14" i="8"/>
  <c r="Q14" i="8"/>
  <c r="AD4" i="8"/>
  <c r="X14" i="8"/>
  <c r="AB14" i="8"/>
  <c r="M4" i="8"/>
  <c r="J14" i="8"/>
  <c r="W4" i="8"/>
  <c r="AF14" i="8"/>
  <c r="Q4" i="8"/>
  <c r="I14" i="8"/>
  <c r="T14" i="8"/>
  <c r="E14" i="8"/>
  <c r="O4" i="8"/>
  <c r="M14" i="8"/>
  <c r="AE4" i="8"/>
  <c r="AD14" i="8"/>
  <c r="S4" i="8"/>
  <c r="G4" i="8"/>
  <c r="AC4" i="8"/>
  <c r="L4" i="8"/>
  <c r="X4" i="8"/>
  <c r="Y4" i="8"/>
  <c r="Y14" i="8"/>
  <c r="L14" i="8"/>
  <c r="P14" i="8"/>
  <c r="T4" i="8"/>
  <c r="R14" i="8"/>
  <c r="AA4" i="8"/>
  <c r="H14" i="8"/>
  <c r="F4" i="8"/>
  <c r="U4" i="8"/>
  <c r="N14" i="8"/>
  <c r="V4" i="8"/>
  <c r="J4" i="8"/>
  <c r="S14" i="8"/>
  <c r="AA14" i="8"/>
  <c r="Z4" i="8"/>
  <c r="AG4" i="8"/>
  <c r="D14" i="8"/>
  <c r="I4" i="8"/>
  <c r="F14" i="8"/>
  <c r="E4" i="8"/>
  <c r="H4" i="8"/>
  <c r="O14" i="8"/>
  <c r="C4" i="8"/>
  <c r="B4" i="8"/>
  <c r="B14" i="8"/>
  <c r="K45" i="8"/>
  <c r="AF45" i="8"/>
  <c r="H45" i="8"/>
  <c r="AC45" i="8"/>
  <c r="G45" i="8"/>
  <c r="Y45" i="8"/>
  <c r="F45" i="8"/>
  <c r="AB45" i="8"/>
  <c r="AH45" i="8"/>
  <c r="U45" i="8"/>
  <c r="N45" i="8"/>
  <c r="D45" i="8"/>
  <c r="E45" i="8"/>
  <c r="L45" i="8"/>
  <c r="P45" i="8"/>
  <c r="J45" i="8"/>
  <c r="M45" i="8"/>
  <c r="V45" i="8"/>
  <c r="O45" i="8"/>
  <c r="AG45" i="8"/>
  <c r="C45" i="8"/>
  <c r="AA45" i="8"/>
  <c r="AE45" i="8"/>
  <c r="W45" i="8"/>
  <c r="AD45" i="8"/>
  <c r="Q45" i="8"/>
  <c r="R45" i="8"/>
  <c r="I45" i="8"/>
  <c r="S45" i="8"/>
  <c r="Z45" i="8"/>
  <c r="T45" i="8"/>
  <c r="X45" i="8"/>
  <c r="B45" i="8"/>
  <c r="B10" i="8"/>
  <c r="S13" i="8"/>
  <c r="E13" i="8"/>
  <c r="AB13" i="8"/>
  <c r="J13" i="8"/>
  <c r="Z13" i="8"/>
  <c r="M13" i="8"/>
  <c r="AC13" i="8"/>
  <c r="AH13" i="8"/>
  <c r="P13" i="8"/>
  <c r="C13" i="8"/>
  <c r="AG13" i="8"/>
  <c r="L13" i="8"/>
  <c r="N13" i="8"/>
  <c r="W13" i="8"/>
  <c r="AD13" i="8"/>
  <c r="Q13" i="8"/>
  <c r="I13" i="8"/>
  <c r="G13" i="8"/>
  <c r="AF13" i="8"/>
  <c r="K13" i="8"/>
  <c r="U13" i="8"/>
  <c r="R13" i="8"/>
  <c r="T13" i="8"/>
  <c r="O13" i="8"/>
  <c r="AA13" i="8"/>
  <c r="X13" i="8"/>
  <c r="D13" i="8"/>
  <c r="H13" i="8"/>
  <c r="V13" i="8"/>
  <c r="AE13" i="8"/>
  <c r="Y13" i="8"/>
  <c r="F13" i="8"/>
  <c r="B13" i="8"/>
  <c r="AG42" i="8"/>
  <c r="AE42" i="8"/>
  <c r="O42" i="8"/>
  <c r="AC42" i="8"/>
  <c r="X42" i="8"/>
  <c r="Y42" i="8"/>
  <c r="AD42" i="8"/>
  <c r="F42" i="8"/>
  <c r="AA42" i="8"/>
  <c r="K42" i="8"/>
  <c r="AB42" i="8"/>
  <c r="V42" i="8"/>
  <c r="I42" i="8"/>
  <c r="W42" i="8"/>
  <c r="R42" i="8"/>
  <c r="E42" i="8"/>
  <c r="U42" i="8"/>
  <c r="AH42" i="8"/>
  <c r="G42" i="8"/>
  <c r="P42" i="8"/>
  <c r="Q42" i="8"/>
  <c r="S42" i="8"/>
  <c r="J42" i="8"/>
  <c r="T42" i="8"/>
  <c r="N42" i="8"/>
  <c r="Z42" i="8"/>
  <c r="H42" i="8"/>
  <c r="C42" i="8"/>
  <c r="D42" i="8"/>
  <c r="M42" i="8"/>
  <c r="L42" i="8"/>
  <c r="AF42" i="8"/>
  <c r="B42" i="8"/>
  <c r="M46" i="8"/>
  <c r="AE46" i="8"/>
  <c r="K46" i="8"/>
  <c r="D46" i="8"/>
  <c r="R46" i="8"/>
  <c r="AH46" i="8"/>
  <c r="X46" i="8"/>
  <c r="Z46" i="8"/>
  <c r="W46" i="8"/>
  <c r="V46" i="8"/>
  <c r="H46" i="8"/>
  <c r="C46" i="8"/>
  <c r="Y46" i="8"/>
  <c r="AF46" i="8"/>
  <c r="N46" i="8"/>
  <c r="P46" i="8"/>
  <c r="U46" i="8"/>
  <c r="AG46" i="8"/>
  <c r="S46" i="8"/>
  <c r="AB46" i="8"/>
  <c r="O46" i="8"/>
  <c r="AA46" i="8"/>
  <c r="Q46" i="8"/>
  <c r="J46" i="8"/>
  <c r="F46" i="8"/>
  <c r="AC46" i="8"/>
  <c r="G46" i="8"/>
  <c r="T46" i="8"/>
  <c r="L46" i="8"/>
  <c r="I46" i="8"/>
  <c r="E46" i="8"/>
  <c r="AD46" i="8"/>
  <c r="B46" i="8"/>
  <c r="E41" i="9"/>
  <c r="C82" i="9" s="1"/>
  <c r="AJ112" i="9" s="1"/>
  <c r="E41" i="10"/>
  <c r="C82" i="10" s="1"/>
  <c r="AE41" i="10"/>
  <c r="W41" i="10"/>
  <c r="O41" i="10"/>
  <c r="G41" i="10"/>
  <c r="AL41" i="10"/>
  <c r="AD41" i="10"/>
  <c r="V41" i="10"/>
  <c r="N41" i="10"/>
  <c r="F41" i="10"/>
  <c r="X41" i="10"/>
  <c r="AK41" i="10"/>
  <c r="AC41" i="10"/>
  <c r="U41" i="10"/>
  <c r="M41" i="10"/>
  <c r="P41" i="10"/>
  <c r="AJ41" i="10"/>
  <c r="AB41" i="10"/>
  <c r="T41" i="10"/>
  <c r="L41" i="10"/>
  <c r="AI41" i="10"/>
  <c r="AA41" i="10"/>
  <c r="S41" i="10"/>
  <c r="K41" i="10"/>
  <c r="AH41" i="10"/>
  <c r="Z41" i="10"/>
  <c r="R41" i="10"/>
  <c r="J41" i="10"/>
  <c r="AF41" i="10"/>
  <c r="AG41" i="10"/>
  <c r="Y41" i="10"/>
  <c r="Q41" i="10"/>
  <c r="I41" i="10"/>
  <c r="H41" i="10"/>
  <c r="AC112" i="9"/>
  <c r="J112" i="9"/>
  <c r="H111" i="9"/>
  <c r="AD110" i="9"/>
  <c r="P112" i="9"/>
  <c r="AL111" i="9"/>
  <c r="F111" i="9"/>
  <c r="AB110" i="9"/>
  <c r="AF108" i="9"/>
  <c r="X108" i="9"/>
  <c r="H108" i="9"/>
  <c r="AL107" i="9"/>
  <c r="F107" i="9"/>
  <c r="AJ106" i="9"/>
  <c r="T106" i="9"/>
  <c r="L106" i="9"/>
  <c r="J105" i="9"/>
  <c r="AF104" i="9"/>
  <c r="P104" i="9"/>
  <c r="H104" i="9"/>
  <c r="N103" i="9"/>
  <c r="F103" i="9"/>
  <c r="AB102" i="9"/>
  <c r="T102" i="9"/>
  <c r="R101" i="9"/>
  <c r="AI112" i="9"/>
  <c r="O112" i="9"/>
  <c r="G112" i="9"/>
  <c r="M111" i="9"/>
  <c r="AI110" i="9"/>
  <c r="S110" i="9"/>
  <c r="K110" i="9"/>
  <c r="I109" i="9"/>
  <c r="AE108" i="9"/>
  <c r="O108" i="9"/>
  <c r="G108" i="9"/>
  <c r="M107" i="9"/>
  <c r="AI106" i="9"/>
  <c r="S106" i="9"/>
  <c r="K106" i="9"/>
  <c r="I105" i="9"/>
  <c r="AE104" i="9"/>
  <c r="O104" i="9"/>
  <c r="G104" i="9"/>
  <c r="M103" i="9"/>
  <c r="AI102" i="9"/>
  <c r="S102" i="9"/>
  <c r="K102" i="9"/>
  <c r="I101" i="9"/>
  <c r="AE100" i="9"/>
  <c r="O100" i="9"/>
  <c r="G100" i="9"/>
  <c r="M99" i="9"/>
  <c r="AI98" i="9"/>
  <c r="S98" i="9"/>
  <c r="K98" i="9"/>
  <c r="AI111" i="9"/>
  <c r="AA111" i="9"/>
  <c r="K111" i="9"/>
  <c r="AG110" i="9"/>
  <c r="Y110" i="9"/>
  <c r="Q110" i="9"/>
  <c r="AE109" i="9"/>
  <c r="W109" i="9"/>
  <c r="G109" i="9"/>
  <c r="AK108" i="9"/>
  <c r="AC108" i="9"/>
  <c r="U108" i="9"/>
  <c r="AI107" i="9"/>
  <c r="AA107" i="9"/>
  <c r="K107" i="9"/>
  <c r="AG106" i="9"/>
  <c r="Y106" i="9"/>
  <c r="Q106" i="9"/>
  <c r="AE105" i="9"/>
  <c r="W105" i="9"/>
  <c r="G105" i="9"/>
  <c r="AK104" i="9"/>
  <c r="AC104" i="9"/>
  <c r="AE112" i="9"/>
  <c r="U112" i="9"/>
  <c r="L112" i="9"/>
  <c r="AH111" i="9"/>
  <c r="Z111" i="9"/>
  <c r="R111" i="9"/>
  <c r="J111" i="9"/>
  <c r="AF110" i="9"/>
  <c r="X110" i="9"/>
  <c r="P110" i="9"/>
  <c r="H110" i="9"/>
  <c r="AL109" i="9"/>
  <c r="AD109" i="9"/>
  <c r="V109" i="9"/>
  <c r="N109" i="9"/>
  <c r="F109" i="9"/>
  <c r="AJ108" i="9"/>
  <c r="AB108" i="9"/>
  <c r="T108" i="9"/>
  <c r="L108" i="9"/>
  <c r="AH107" i="9"/>
  <c r="Z107" i="9"/>
  <c r="R107" i="9"/>
  <c r="J107" i="9"/>
  <c r="AF106" i="9"/>
  <c r="X106" i="9"/>
  <c r="P106" i="9"/>
  <c r="H106" i="9"/>
  <c r="AL105" i="9"/>
  <c r="AD105" i="9"/>
  <c r="V105" i="9"/>
  <c r="N105" i="9"/>
  <c r="F105" i="9"/>
  <c r="AJ104" i="9"/>
  <c r="AB104" i="9"/>
  <c r="T104" i="9"/>
  <c r="L104" i="9"/>
  <c r="AH103" i="9"/>
  <c r="Z103" i="9"/>
  <c r="R103" i="9"/>
  <c r="J103" i="9"/>
  <c r="AF102" i="9"/>
  <c r="X102" i="9"/>
  <c r="P102" i="9"/>
  <c r="H102" i="9"/>
  <c r="AL101" i="9"/>
  <c r="AD101" i="9"/>
  <c r="V101" i="9"/>
  <c r="N101" i="9"/>
  <c r="F101" i="9"/>
  <c r="AJ100" i="9"/>
  <c r="AB100" i="9"/>
  <c r="T100" i="9"/>
  <c r="L100" i="9"/>
  <c r="AH99" i="9"/>
  <c r="Z99" i="9"/>
  <c r="R99" i="9"/>
  <c r="J99" i="9"/>
  <c r="AF98" i="9"/>
  <c r="X98" i="9"/>
  <c r="P98" i="9"/>
  <c r="H98" i="9"/>
  <c r="AH112" i="9"/>
  <c r="I112" i="9"/>
  <c r="Y111" i="9"/>
  <c r="U110" i="9"/>
  <c r="AK109" i="9"/>
  <c r="S109" i="9"/>
  <c r="Y108" i="9"/>
  <c r="I108" i="9"/>
  <c r="AE107" i="9"/>
  <c r="O107" i="9"/>
  <c r="AK106" i="9"/>
  <c r="U106" i="9"/>
  <c r="AA105" i="9"/>
  <c r="K105" i="9"/>
  <c r="AG104" i="9"/>
  <c r="R104" i="9"/>
  <c r="AE103" i="9"/>
  <c r="Q103" i="9"/>
  <c r="AD102" i="9"/>
  <c r="Q102" i="9"/>
  <c r="AC101" i="9"/>
  <c r="P101" i="9"/>
  <c r="AG100" i="9"/>
  <c r="V100" i="9"/>
  <c r="K100" i="9"/>
  <c r="AB99" i="9"/>
  <c r="Q99" i="9"/>
  <c r="G99" i="9"/>
  <c r="AH98" i="9"/>
  <c r="W98" i="9"/>
  <c r="M98" i="9"/>
  <c r="AF97" i="9"/>
  <c r="X97" i="9"/>
  <c r="P97" i="9"/>
  <c r="H97" i="9"/>
  <c r="AL96" i="9"/>
  <c r="AD96" i="9"/>
  <c r="V96" i="9"/>
  <c r="N96" i="9"/>
  <c r="F96" i="9"/>
  <c r="AJ95" i="9"/>
  <c r="AB95" i="9"/>
  <c r="T95" i="9"/>
  <c r="L95" i="9"/>
  <c r="AH94" i="9"/>
  <c r="Z94" i="9"/>
  <c r="R94" i="9"/>
  <c r="J94" i="9"/>
  <c r="AF93" i="9"/>
  <c r="X93" i="9"/>
  <c r="P93" i="9"/>
  <c r="H93" i="9"/>
  <c r="AL92" i="9"/>
  <c r="AD92" i="9"/>
  <c r="V92" i="9"/>
  <c r="N92" i="9"/>
  <c r="F92" i="9"/>
  <c r="AJ91" i="9"/>
  <c r="AB91" i="9"/>
  <c r="T91" i="9"/>
  <c r="L91" i="9"/>
  <c r="AH90" i="9"/>
  <c r="Z90" i="9"/>
  <c r="R90" i="9"/>
  <c r="J90" i="9"/>
  <c r="AF89" i="9"/>
  <c r="X89" i="9"/>
  <c r="P89" i="9"/>
  <c r="H89" i="9"/>
  <c r="AD112" i="9"/>
  <c r="F112" i="9"/>
  <c r="W111" i="9"/>
  <c r="R110" i="9"/>
  <c r="AI109" i="9"/>
  <c r="P109" i="9"/>
  <c r="AL108" i="9"/>
  <c r="V108" i="9"/>
  <c r="F108" i="9"/>
  <c r="AB107" i="9"/>
  <c r="L107" i="9"/>
  <c r="AH106" i="9"/>
  <c r="R106" i="9"/>
  <c r="X105" i="9"/>
  <c r="H105" i="9"/>
  <c r="AD104" i="9"/>
  <c r="Q104" i="9"/>
  <c r="AB103" i="9"/>
  <c r="P103" i="9"/>
  <c r="AC102" i="9"/>
  <c r="O102" i="9"/>
  <c r="AB101" i="9"/>
  <c r="O101" i="9"/>
  <c r="AA112" i="9"/>
  <c r="T111" i="9"/>
  <c r="AK110" i="9"/>
  <c r="O110" i="9"/>
  <c r="AF109" i="9"/>
  <c r="M109" i="9"/>
  <c r="AI108" i="9"/>
  <c r="S108" i="9"/>
  <c r="Y107" i="9"/>
  <c r="I107" i="9"/>
  <c r="AE106" i="9"/>
  <c r="O106" i="9"/>
  <c r="AK105" i="9"/>
  <c r="U105" i="9"/>
  <c r="AA104" i="9"/>
  <c r="N104" i="9"/>
  <c r="AA103" i="9"/>
  <c r="O103" i="9"/>
  <c r="Z102" i="9"/>
  <c r="N102" i="9"/>
  <c r="AA101" i="9"/>
  <c r="M101" i="9"/>
  <c r="AD100" i="9"/>
  <c r="S100" i="9"/>
  <c r="I100" i="9"/>
  <c r="AJ99" i="9"/>
  <c r="Y99" i="9"/>
  <c r="O99" i="9"/>
  <c r="AE98" i="9"/>
  <c r="U98" i="9"/>
  <c r="J98" i="9"/>
  <c r="AL97" i="9"/>
  <c r="AD97" i="9"/>
  <c r="V97" i="9"/>
  <c r="N97" i="9"/>
  <c r="F97" i="9"/>
  <c r="AJ96" i="9"/>
  <c r="AB96" i="9"/>
  <c r="T96" i="9"/>
  <c r="L96" i="9"/>
  <c r="AH95" i="9"/>
  <c r="Z95" i="9"/>
  <c r="R95" i="9"/>
  <c r="J95" i="9"/>
  <c r="AF94" i="9"/>
  <c r="X94" i="9"/>
  <c r="P94" i="9"/>
  <c r="H94" i="9"/>
  <c r="AL93" i="9"/>
  <c r="AD93" i="9"/>
  <c r="V93" i="9"/>
  <c r="N93" i="9"/>
  <c r="F93" i="9"/>
  <c r="AJ92" i="9"/>
  <c r="AB92" i="9"/>
  <c r="T92" i="9"/>
  <c r="L92" i="9"/>
  <c r="AH91" i="9"/>
  <c r="Z91" i="9"/>
  <c r="R91" i="9"/>
  <c r="J91" i="9"/>
  <c r="AF90" i="9"/>
  <c r="X90" i="9"/>
  <c r="P90" i="9"/>
  <c r="H90" i="9"/>
  <c r="AL89" i="9"/>
  <c r="AD89" i="9"/>
  <c r="V89" i="9"/>
  <c r="N89" i="9"/>
  <c r="F89" i="9"/>
  <c r="W112" i="9"/>
  <c r="Q111" i="9"/>
  <c r="AH110" i="9"/>
  <c r="M110" i="9"/>
  <c r="AC109" i="9"/>
  <c r="L109" i="9"/>
  <c r="AH108" i="9"/>
  <c r="R108" i="9"/>
  <c r="X107" i="9"/>
  <c r="H107" i="9"/>
  <c r="AD106" i="9"/>
  <c r="N106" i="9"/>
  <c r="AJ105" i="9"/>
  <c r="T105" i="9"/>
  <c r="Z104" i="9"/>
  <c r="M104" i="9"/>
  <c r="Y103" i="9"/>
  <c r="L103" i="9"/>
  <c r="AL102" i="9"/>
  <c r="Y102" i="9"/>
  <c r="M102" i="9"/>
  <c r="AK101" i="9"/>
  <c r="X101" i="9"/>
  <c r="L101" i="9"/>
  <c r="AC100" i="9"/>
  <c r="R100" i="9"/>
  <c r="H100" i="9"/>
  <c r="AI99" i="9"/>
  <c r="X99" i="9"/>
  <c r="N99" i="9"/>
  <c r="AD98" i="9"/>
  <c r="T98" i="9"/>
  <c r="I98" i="9"/>
  <c r="AK97" i="9"/>
  <c r="AC97" i="9"/>
  <c r="U97" i="9"/>
  <c r="M97" i="9"/>
  <c r="AI96" i="9"/>
  <c r="AA96" i="9"/>
  <c r="S96" i="9"/>
  <c r="K96" i="9"/>
  <c r="AG95" i="9"/>
  <c r="Y95" i="9"/>
  <c r="Q95" i="9"/>
  <c r="I95" i="9"/>
  <c r="AE94" i="9"/>
  <c r="W94" i="9"/>
  <c r="O94" i="9"/>
  <c r="G94" i="9"/>
  <c r="AK93" i="9"/>
  <c r="AC93" i="9"/>
  <c r="U93" i="9"/>
  <c r="M93" i="9"/>
  <c r="AI92" i="9"/>
  <c r="AA92" i="9"/>
  <c r="S92" i="9"/>
  <c r="K92" i="9"/>
  <c r="AG91" i="9"/>
  <c r="Y91" i="9"/>
  <c r="Q91" i="9"/>
  <c r="I91" i="9"/>
  <c r="AE90" i="9"/>
  <c r="W90" i="9"/>
  <c r="O90" i="9"/>
  <c r="G90" i="9"/>
  <c r="AK89" i="9"/>
  <c r="AC89" i="9"/>
  <c r="U89" i="9"/>
  <c r="M89" i="9"/>
  <c r="AI88" i="9"/>
  <c r="S112" i="9"/>
  <c r="AJ111" i="9"/>
  <c r="O111" i="9"/>
  <c r="AE110" i="9"/>
  <c r="J110" i="9"/>
  <c r="AA109" i="9"/>
  <c r="K109" i="9"/>
  <c r="AG108" i="9"/>
  <c r="Q108" i="9"/>
  <c r="W107" i="9"/>
  <c r="G107" i="9"/>
  <c r="AC106" i="9"/>
  <c r="M106" i="9"/>
  <c r="AI105" i="9"/>
  <c r="S105" i="9"/>
  <c r="Y104" i="9"/>
  <c r="K104" i="9"/>
  <c r="AJ103" i="9"/>
  <c r="X103" i="9"/>
  <c r="K103" i="9"/>
  <c r="AK102" i="9"/>
  <c r="W102" i="9"/>
  <c r="J102" i="9"/>
  <c r="AJ101" i="9"/>
  <c r="W101" i="9"/>
  <c r="K101" i="9"/>
  <c r="AL100" i="9"/>
  <c r="AA100" i="9"/>
  <c r="Q100" i="9"/>
  <c r="F100" i="9"/>
  <c r="AG99" i="9"/>
  <c r="W99" i="9"/>
  <c r="L99" i="9"/>
  <c r="AC98" i="9"/>
  <c r="R98" i="9"/>
  <c r="G98" i="9"/>
  <c r="AJ97" i="9"/>
  <c r="AB97" i="9"/>
  <c r="T97" i="9"/>
  <c r="Q112" i="9"/>
  <c r="AG111" i="9"/>
  <c r="L111" i="9"/>
  <c r="AC110" i="9"/>
  <c r="G110" i="9"/>
  <c r="X109" i="9"/>
  <c r="H109" i="9"/>
  <c r="AD108" i="9"/>
  <c r="N108" i="9"/>
  <c r="AJ107" i="9"/>
  <c r="T107" i="9"/>
  <c r="Z106" i="9"/>
  <c r="J106" i="9"/>
  <c r="AF105" i="9"/>
  <c r="P105" i="9"/>
  <c r="AL104" i="9"/>
  <c r="V104" i="9"/>
  <c r="J104" i="9"/>
  <c r="AI103" i="9"/>
  <c r="W103" i="9"/>
  <c r="I103" i="9"/>
  <c r="AH102" i="9"/>
  <c r="V102" i="9"/>
  <c r="I102" i="9"/>
  <c r="AI101" i="9"/>
  <c r="U101" i="9"/>
  <c r="J101" i="9"/>
  <c r="AK100" i="9"/>
  <c r="Z100" i="9"/>
  <c r="P100" i="9"/>
  <c r="AF99" i="9"/>
  <c r="V99" i="9"/>
  <c r="K99" i="9"/>
  <c r="AL98" i="9"/>
  <c r="AB98" i="9"/>
  <c r="Q98" i="9"/>
  <c r="F98" i="9"/>
  <c r="AI97" i="9"/>
  <c r="AA97" i="9"/>
  <c r="S97" i="9"/>
  <c r="K97" i="9"/>
  <c r="AG96" i="9"/>
  <c r="Y96" i="9"/>
  <c r="Q96" i="9"/>
  <c r="I96" i="9"/>
  <c r="AE95" i="9"/>
  <c r="W95" i="9"/>
  <c r="O95" i="9"/>
  <c r="G95" i="9"/>
  <c r="AK94" i="9"/>
  <c r="AC94" i="9"/>
  <c r="U94" i="9"/>
  <c r="M94" i="9"/>
  <c r="AI93" i="9"/>
  <c r="AA93" i="9"/>
  <c r="S93" i="9"/>
  <c r="K93" i="9"/>
  <c r="AG92" i="9"/>
  <c r="Y92" i="9"/>
  <c r="Q92" i="9"/>
  <c r="I92" i="9"/>
  <c r="AE91" i="9"/>
  <c r="W91" i="9"/>
  <c r="O91" i="9"/>
  <c r="G91" i="9"/>
  <c r="AK90" i="9"/>
  <c r="AC90" i="9"/>
  <c r="U90" i="9"/>
  <c r="M90" i="9"/>
  <c r="AI89" i="9"/>
  <c r="AA89" i="9"/>
  <c r="N112" i="9"/>
  <c r="AE111" i="9"/>
  <c r="I111" i="9"/>
  <c r="Z110" i="9"/>
  <c r="U109" i="9"/>
  <c r="AA108" i="9"/>
  <c r="K108" i="9"/>
  <c r="AG107" i="9"/>
  <c r="Q107" i="9"/>
  <c r="W106" i="9"/>
  <c r="G106" i="9"/>
  <c r="AC105" i="9"/>
  <c r="M105" i="9"/>
  <c r="AI104" i="9"/>
  <c r="U104" i="9"/>
  <c r="I104" i="9"/>
  <c r="AG103" i="9"/>
  <c r="T103" i="9"/>
  <c r="H103" i="9"/>
  <c r="AG102" i="9"/>
  <c r="U102" i="9"/>
  <c r="G102" i="9"/>
  <c r="AF101" i="9"/>
  <c r="T101" i="9"/>
  <c r="H101" i="9"/>
  <c r="AI100" i="9"/>
  <c r="Y100" i="9"/>
  <c r="N100" i="9"/>
  <c r="AE99" i="9"/>
  <c r="T99" i="9"/>
  <c r="I99" i="9"/>
  <c r="AK98" i="9"/>
  <c r="Z98" i="9"/>
  <c r="O98" i="9"/>
  <c r="AH97" i="9"/>
  <c r="Z97" i="9"/>
  <c r="R97" i="9"/>
  <c r="J97" i="9"/>
  <c r="AF96" i="9"/>
  <c r="X96" i="9"/>
  <c r="P96" i="9"/>
  <c r="H96" i="9"/>
  <c r="AL95" i="9"/>
  <c r="AD95" i="9"/>
  <c r="V95" i="9"/>
  <c r="N95" i="9"/>
  <c r="F95" i="9"/>
  <c r="AJ94" i="9"/>
  <c r="AJ118" i="9" s="1"/>
  <c r="AB94" i="9"/>
  <c r="AB118" i="9" s="1"/>
  <c r="T94" i="9"/>
  <c r="T118" i="9" s="1"/>
  <c r="L94" i="9"/>
  <c r="L118" i="9" s="1"/>
  <c r="AH93" i="9"/>
  <c r="Z93" i="9"/>
  <c r="R93" i="9"/>
  <c r="J93" i="9"/>
  <c r="AF92" i="9"/>
  <c r="X92" i="9"/>
  <c r="P92" i="9"/>
  <c r="H92" i="9"/>
  <c r="AL91" i="9"/>
  <c r="AL119" i="9" s="1"/>
  <c r="AD91" i="9"/>
  <c r="AD120" i="9" s="1"/>
  <c r="V91" i="9"/>
  <c r="N91" i="9"/>
  <c r="F91" i="9"/>
  <c r="F120" i="9" s="1"/>
  <c r="AJ90" i="9"/>
  <c r="AB90" i="9"/>
  <c r="T90" i="9"/>
  <c r="L90" i="9"/>
  <c r="AH89" i="9"/>
  <c r="Z89" i="9"/>
  <c r="AB105" i="9"/>
  <c r="AE102" i="9"/>
  <c r="AF100" i="9"/>
  <c r="AA99" i="9"/>
  <c r="V98" i="9"/>
  <c r="W97" i="9"/>
  <c r="AK96" i="9"/>
  <c r="O96" i="9"/>
  <c r="AF95" i="9"/>
  <c r="K95" i="9"/>
  <c r="AA94" i="9"/>
  <c r="F94" i="9"/>
  <c r="F118" i="9" s="1"/>
  <c r="W93" i="9"/>
  <c r="R92" i="9"/>
  <c r="AI91" i="9"/>
  <c r="AI119" i="9" s="1"/>
  <c r="M91" i="9"/>
  <c r="AD90" i="9"/>
  <c r="I90" i="9"/>
  <c r="Y89" i="9"/>
  <c r="K89" i="9"/>
  <c r="AL88" i="9"/>
  <c r="AC88" i="9"/>
  <c r="U88" i="9"/>
  <c r="M88" i="9"/>
  <c r="AI87" i="9"/>
  <c r="AA87" i="9"/>
  <c r="S87" i="9"/>
  <c r="K87" i="9"/>
  <c r="AG86" i="9"/>
  <c r="Y86" i="9"/>
  <c r="Q86" i="9"/>
  <c r="I86" i="9"/>
  <c r="AE85" i="9"/>
  <c r="AL112" i="9"/>
  <c r="Z108" i="9"/>
  <c r="L105" i="9"/>
  <c r="R102" i="9"/>
  <c r="X100" i="9"/>
  <c r="S99" i="9"/>
  <c r="N98" i="9"/>
  <c r="Q97" i="9"/>
  <c r="AH96" i="9"/>
  <c r="M96" i="9"/>
  <c r="AC95" i="9"/>
  <c r="H95" i="9"/>
  <c r="Y94" i="9"/>
  <c r="Y118" i="9" s="1"/>
  <c r="T93" i="9"/>
  <c r="AK92" i="9"/>
  <c r="O92" i="9"/>
  <c r="AF91" i="9"/>
  <c r="AF119" i="9" s="1"/>
  <c r="K91" i="9"/>
  <c r="K119" i="9" s="1"/>
  <c r="AA90" i="9"/>
  <c r="F90" i="9"/>
  <c r="W89" i="9"/>
  <c r="J89" i="9"/>
  <c r="AK88" i="9"/>
  <c r="AB88" i="9"/>
  <c r="T88" i="9"/>
  <c r="L88" i="9"/>
  <c r="AH87" i="9"/>
  <c r="Z87" i="9"/>
  <c r="R87" i="9"/>
  <c r="J87" i="9"/>
  <c r="AF86" i="9"/>
  <c r="X86" i="9"/>
  <c r="P86" i="9"/>
  <c r="H86" i="9"/>
  <c r="AL85" i="9"/>
  <c r="AD85" i="9"/>
  <c r="V85" i="9"/>
  <c r="K112" i="9"/>
  <c r="J108" i="9"/>
  <c r="AH104" i="9"/>
  <c r="F102" i="9"/>
  <c r="U100" i="9"/>
  <c r="P99" i="9"/>
  <c r="L98" i="9"/>
  <c r="O97" i="9"/>
  <c r="AE96" i="9"/>
  <c r="J96" i="9"/>
  <c r="AA95" i="9"/>
  <c r="V94" i="9"/>
  <c r="V118" i="9" s="1"/>
  <c r="Q93" i="9"/>
  <c r="AH92" i="9"/>
  <c r="M92" i="9"/>
  <c r="AC91" i="9"/>
  <c r="H91" i="9"/>
  <c r="H120" i="9" s="1"/>
  <c r="Y90" i="9"/>
  <c r="T89" i="9"/>
  <c r="I89" i="9"/>
  <c r="AJ88" i="9"/>
  <c r="AA88" i="9"/>
  <c r="S88" i="9"/>
  <c r="K88" i="9"/>
  <c r="AG87" i="9"/>
  <c r="Y87" i="9"/>
  <c r="Q87" i="9"/>
  <c r="I87" i="9"/>
  <c r="AE86" i="9"/>
  <c r="W86" i="9"/>
  <c r="O86" i="9"/>
  <c r="G86" i="9"/>
  <c r="AK85" i="9"/>
  <c r="AC85" i="9"/>
  <c r="U85" i="9"/>
  <c r="M85" i="9"/>
  <c r="AI84" i="9"/>
  <c r="AA84" i="9"/>
  <c r="S84" i="9"/>
  <c r="K84" i="9"/>
  <c r="AB111" i="9"/>
  <c r="AF107" i="9"/>
  <c r="S104" i="9"/>
  <c r="AE101" i="9"/>
  <c r="M100" i="9"/>
  <c r="H99" i="9"/>
  <c r="L97" i="9"/>
  <c r="AC96" i="9"/>
  <c r="G96" i="9"/>
  <c r="X95" i="9"/>
  <c r="S94" i="9"/>
  <c r="AJ93" i="9"/>
  <c r="O93" i="9"/>
  <c r="AE92" i="9"/>
  <c r="J92" i="9"/>
  <c r="AA91" i="9"/>
  <c r="AA119" i="9" s="1"/>
  <c r="V90" i="9"/>
  <c r="S89" i="9"/>
  <c r="G89" i="9"/>
  <c r="AH88" i="9"/>
  <c r="Z88" i="9"/>
  <c r="R88" i="9"/>
  <c r="J88" i="9"/>
  <c r="AF87" i="9"/>
  <c r="X87" i="9"/>
  <c r="P87" i="9"/>
  <c r="H87" i="9"/>
  <c r="AL86" i="9"/>
  <c r="AD86" i="9"/>
  <c r="V86" i="9"/>
  <c r="N86" i="9"/>
  <c r="F86" i="9"/>
  <c r="AJ85" i="9"/>
  <c r="AB85" i="9"/>
  <c r="T85" i="9"/>
  <c r="L85" i="9"/>
  <c r="AH84" i="9"/>
  <c r="Z84" i="9"/>
  <c r="R84" i="9"/>
  <c r="J84" i="9"/>
  <c r="G111" i="9"/>
  <c r="P107" i="9"/>
  <c r="F104" i="9"/>
  <c r="S101" i="9"/>
  <c r="J100" i="9"/>
  <c r="F99" i="9"/>
  <c r="I97" i="9"/>
  <c r="Z96" i="9"/>
  <c r="U95" i="9"/>
  <c r="AL94" i="9"/>
  <c r="AL118" i="9" s="1"/>
  <c r="Q94" i="9"/>
  <c r="Q118" i="9" s="1"/>
  <c r="AG93" i="9"/>
  <c r="L93" i="9"/>
  <c r="AC92" i="9"/>
  <c r="G92" i="9"/>
  <c r="X91" i="9"/>
  <c r="S90" i="9"/>
  <c r="AJ89" i="9"/>
  <c r="R89" i="9"/>
  <c r="AG88" i="9"/>
  <c r="Y88" i="9"/>
  <c r="Q88" i="9"/>
  <c r="I88" i="9"/>
  <c r="AE87" i="9"/>
  <c r="W87" i="9"/>
  <c r="O87" i="9"/>
  <c r="G87" i="9"/>
  <c r="AK86" i="9"/>
  <c r="AC86" i="9"/>
  <c r="U86" i="9"/>
  <c r="M86" i="9"/>
  <c r="AI85" i="9"/>
  <c r="W110" i="9"/>
  <c r="AL106" i="9"/>
  <c r="AF103" i="9"/>
  <c r="G101" i="9"/>
  <c r="AJ98" i="9"/>
  <c r="AG97" i="9"/>
  <c r="G97" i="9"/>
  <c r="W96" i="9"/>
  <c r="S95" i="9"/>
  <c r="AI94" i="9"/>
  <c r="N94" i="9"/>
  <c r="N118" i="9" s="1"/>
  <c r="AE93" i="9"/>
  <c r="I93" i="9"/>
  <c r="Z92" i="9"/>
  <c r="U91" i="9"/>
  <c r="AL90" i="9"/>
  <c r="Q90" i="9"/>
  <c r="AG89" i="9"/>
  <c r="Q89" i="9"/>
  <c r="AF88" i="9"/>
  <c r="X88" i="9"/>
  <c r="P88" i="9"/>
  <c r="H88" i="9"/>
  <c r="AL87" i="9"/>
  <c r="AD87" i="9"/>
  <c r="V87" i="9"/>
  <c r="N87" i="9"/>
  <c r="F87" i="9"/>
  <c r="AJ86" i="9"/>
  <c r="AB86" i="9"/>
  <c r="T86" i="9"/>
  <c r="L86" i="9"/>
  <c r="AH85" i="9"/>
  <c r="Z85" i="9"/>
  <c r="T109" i="9"/>
  <c r="AD99" i="9"/>
  <c r="R96" i="9"/>
  <c r="I94" i="9"/>
  <c r="I118" i="9" s="1"/>
  <c r="AK91" i="9"/>
  <c r="AK119" i="9" s="1"/>
  <c r="AB89" i="9"/>
  <c r="V88" i="9"/>
  <c r="AB87" i="9"/>
  <c r="AH86" i="9"/>
  <c r="R85" i="9"/>
  <c r="H85" i="9"/>
  <c r="AJ84" i="9"/>
  <c r="X84" i="9"/>
  <c r="N84" i="9"/>
  <c r="V106" i="9"/>
  <c r="AG98" i="9"/>
  <c r="AK95" i="9"/>
  <c r="AB93" i="9"/>
  <c r="S91" i="9"/>
  <c r="S119" i="9" s="1"/>
  <c r="O89" i="9"/>
  <c r="O88" i="9"/>
  <c r="U87" i="9"/>
  <c r="AA86" i="9"/>
  <c r="AG85" i="9"/>
  <c r="Q85" i="9"/>
  <c r="G85" i="9"/>
  <c r="AG84" i="9"/>
  <c r="W84" i="9"/>
  <c r="M84" i="9"/>
  <c r="F106" i="9"/>
  <c r="Y98" i="9"/>
  <c r="AI95" i="9"/>
  <c r="Y93" i="9"/>
  <c r="P91" i="9"/>
  <c r="L89" i="9"/>
  <c r="N88" i="9"/>
  <c r="T87" i="9"/>
  <c r="Z86" i="9"/>
  <c r="AF85" i="9"/>
  <c r="P85" i="9"/>
  <c r="F85" i="9"/>
  <c r="AF84" i="9"/>
  <c r="V84" i="9"/>
  <c r="L84" i="9"/>
  <c r="S103" i="9"/>
  <c r="AE97" i="9"/>
  <c r="P95" i="9"/>
  <c r="G93" i="9"/>
  <c r="AI90" i="9"/>
  <c r="G88" i="9"/>
  <c r="M87" i="9"/>
  <c r="S86" i="9"/>
  <c r="AA85" i="9"/>
  <c r="O85" i="9"/>
  <c r="AE84" i="9"/>
  <c r="U84" i="9"/>
  <c r="I84" i="9"/>
  <c r="G103" i="9"/>
  <c r="Y97" i="9"/>
  <c r="M95" i="9"/>
  <c r="AG90" i="9"/>
  <c r="F88" i="9"/>
  <c r="L87" i="9"/>
  <c r="R86" i="9"/>
  <c r="Y85" i="9"/>
  <c r="N85" i="9"/>
  <c r="AD84" i="9"/>
  <c r="T84" i="9"/>
  <c r="H84" i="9"/>
  <c r="AG94" i="9"/>
  <c r="AG118" i="9" s="1"/>
  <c r="W92" i="9"/>
  <c r="N90" i="9"/>
  <c r="AE88" i="9"/>
  <c r="AK87" i="9"/>
  <c r="K86" i="9"/>
  <c r="X85" i="9"/>
  <c r="K85" i="9"/>
  <c r="AC84" i="9"/>
  <c r="Q84" i="9"/>
  <c r="G84" i="9"/>
  <c r="AH100" i="9"/>
  <c r="AD94" i="9"/>
  <c r="AD118" i="9" s="1"/>
  <c r="U92" i="9"/>
  <c r="K90" i="9"/>
  <c r="AD88" i="9"/>
  <c r="AJ87" i="9"/>
  <c r="J86" i="9"/>
  <c r="W85" i="9"/>
  <c r="J85" i="9"/>
  <c r="AL84" i="9"/>
  <c r="AB84" i="9"/>
  <c r="P84" i="9"/>
  <c r="F84" i="9"/>
  <c r="AL99" i="9"/>
  <c r="U96" i="9"/>
  <c r="S85" i="9"/>
  <c r="K94" i="9"/>
  <c r="K118" i="9" s="1"/>
  <c r="I85" i="9"/>
  <c r="AK84" i="9"/>
  <c r="AE89" i="9"/>
  <c r="Y84" i="9"/>
  <c r="W88" i="9"/>
  <c r="O84" i="9"/>
  <c r="AC87" i="9"/>
  <c r="AI86" i="9"/>
  <c r="AJ41" i="9"/>
  <c r="AB41" i="9"/>
  <c r="T41" i="9"/>
  <c r="L41" i="9"/>
  <c r="AH41" i="9"/>
  <c r="Z41" i="9"/>
  <c r="R41" i="9"/>
  <c r="J41" i="9"/>
  <c r="AG41" i="9"/>
  <c r="Y41" i="9"/>
  <c r="Q41" i="9"/>
  <c r="I41" i="9"/>
  <c r="AF41" i="9"/>
  <c r="X41" i="9"/>
  <c r="P41" i="9"/>
  <c r="H41" i="9"/>
  <c r="AE41" i="9"/>
  <c r="W41" i="9"/>
  <c r="O41" i="9"/>
  <c r="G41" i="9"/>
  <c r="AL41" i="9"/>
  <c r="AD41" i="9"/>
  <c r="V41" i="9"/>
  <c r="N41" i="9"/>
  <c r="S41" i="9"/>
  <c r="U41" i="9"/>
  <c r="M41" i="9"/>
  <c r="K41" i="9"/>
  <c r="AK41" i="9"/>
  <c r="AC41" i="9"/>
  <c r="AI41" i="9"/>
  <c r="AA41" i="9"/>
  <c r="A45" i="4" a="1"/>
  <c r="A45" i="4" s="1"/>
  <c r="A2" i="4"/>
  <c r="A35" i="4" s="1"/>
  <c r="F145" i="4"/>
  <c r="F146" i="4" s="1"/>
  <c r="E145" i="4"/>
  <c r="E146" i="4" s="1"/>
  <c r="D145" i="4"/>
  <c r="D146" i="4" s="1"/>
  <c r="C145" i="4"/>
  <c r="C146" i="4" s="1"/>
  <c r="C118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9" i="4"/>
  <c r="B66" i="8" s="1"/>
  <c r="E49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D33" i="4"/>
  <c r="D79" i="4" s="1"/>
  <c r="D113" i="4" s="1"/>
  <c r="C33" i="4"/>
  <c r="C79" i="4" s="1"/>
  <c r="C113" i="4" s="1"/>
  <c r="B33" i="4"/>
  <c r="B79" i="4" s="1"/>
  <c r="B113" i="4" s="1"/>
  <c r="A33" i="4"/>
  <c r="A79" i="4" s="1"/>
  <c r="A113" i="4" s="1"/>
  <c r="D78" i="4"/>
  <c r="D112" i="4" s="1"/>
  <c r="C78" i="4"/>
  <c r="C112" i="4" s="1"/>
  <c r="B78" i="4"/>
  <c r="B112" i="4" s="1"/>
  <c r="A78" i="4"/>
  <c r="D77" i="4"/>
  <c r="D111" i="4" s="1"/>
  <c r="C77" i="4"/>
  <c r="C111" i="4" s="1"/>
  <c r="B77" i="4"/>
  <c r="B111" i="4" s="1"/>
  <c r="A77" i="4"/>
  <c r="D76" i="4"/>
  <c r="D110" i="4" s="1"/>
  <c r="C76" i="4"/>
  <c r="C110" i="4" s="1"/>
  <c r="B76" i="4"/>
  <c r="B110" i="4" s="1"/>
  <c r="A76" i="4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16" i="4"/>
  <c r="D62" i="4" s="1"/>
  <c r="D96" i="4" s="1"/>
  <c r="C16" i="4"/>
  <c r="C62" i="4" s="1"/>
  <c r="C96" i="4" s="1"/>
  <c r="B16" i="4"/>
  <c r="B62" i="4" s="1"/>
  <c r="B96" i="4" s="1"/>
  <c r="A16" i="4"/>
  <c r="A62" i="4" s="1"/>
  <c r="D15" i="4"/>
  <c r="D61" i="4" s="1"/>
  <c r="D95" i="4" s="1"/>
  <c r="C15" i="4"/>
  <c r="C61" i="4" s="1"/>
  <c r="C95" i="4" s="1"/>
  <c r="B15" i="4"/>
  <c r="B61" i="4" s="1"/>
  <c r="B95" i="4" s="1"/>
  <c r="A15" i="4"/>
  <c r="A61" i="4" s="1"/>
  <c r="D14" i="4"/>
  <c r="D60" i="4" s="1"/>
  <c r="D94" i="4" s="1"/>
  <c r="C14" i="4"/>
  <c r="C60" i="4" s="1"/>
  <c r="C94" i="4" s="1"/>
  <c r="B14" i="4"/>
  <c r="B60" i="4" s="1"/>
  <c r="B94" i="4" s="1"/>
  <c r="A14" i="4"/>
  <c r="A60" i="4" s="1"/>
  <c r="D13" i="4"/>
  <c r="D59" i="4" s="1"/>
  <c r="D93" i="4" s="1"/>
  <c r="C13" i="4"/>
  <c r="C59" i="4" s="1"/>
  <c r="C93" i="4" s="1"/>
  <c r="B13" i="4"/>
  <c r="B59" i="4" s="1"/>
  <c r="B93" i="4" s="1"/>
  <c r="A13" i="4"/>
  <c r="A59" i="4" s="1"/>
  <c r="D12" i="4"/>
  <c r="D58" i="4" s="1"/>
  <c r="D92" i="4" s="1"/>
  <c r="C12" i="4"/>
  <c r="C58" i="4" s="1"/>
  <c r="C92" i="4" s="1"/>
  <c r="B12" i="4"/>
  <c r="B58" i="4" s="1"/>
  <c r="B92" i="4" s="1"/>
  <c r="A12" i="4"/>
  <c r="A58" i="4" s="1"/>
  <c r="D11" i="4"/>
  <c r="D57" i="4" s="1"/>
  <c r="D91" i="4" s="1"/>
  <c r="C11" i="4"/>
  <c r="C57" i="4" s="1"/>
  <c r="C91" i="4" s="1"/>
  <c r="B11" i="4"/>
  <c r="B57" i="4" s="1"/>
  <c r="B91" i="4" s="1"/>
  <c r="A11" i="4"/>
  <c r="A57" i="4" s="1"/>
  <c r="D10" i="4"/>
  <c r="D56" i="4" s="1"/>
  <c r="D90" i="4" s="1"/>
  <c r="C10" i="4"/>
  <c r="C56" i="4" s="1"/>
  <c r="C90" i="4" s="1"/>
  <c r="B10" i="4"/>
  <c r="B56" i="4" s="1"/>
  <c r="B90" i="4" s="1"/>
  <c r="A10" i="4"/>
  <c r="A56" i="4" s="1"/>
  <c r="D9" i="4"/>
  <c r="D55" i="4" s="1"/>
  <c r="D89" i="4" s="1"/>
  <c r="C9" i="4"/>
  <c r="C55" i="4" s="1"/>
  <c r="C89" i="4" s="1"/>
  <c r="B9" i="4"/>
  <c r="B55" i="4" s="1"/>
  <c r="B89" i="4" s="1"/>
  <c r="A9" i="4"/>
  <c r="A55" i="4" s="1"/>
  <c r="D8" i="4"/>
  <c r="D54" i="4" s="1"/>
  <c r="D88" i="4" s="1"/>
  <c r="C8" i="4"/>
  <c r="C54" i="4" s="1"/>
  <c r="C88" i="4" s="1"/>
  <c r="B8" i="4"/>
  <c r="B54" i="4" s="1"/>
  <c r="B88" i="4" s="1"/>
  <c r="A8" i="4"/>
  <c r="A54" i="4" s="1"/>
  <c r="D7" i="4"/>
  <c r="D53" i="4" s="1"/>
  <c r="D87" i="4" s="1"/>
  <c r="C7" i="4"/>
  <c r="C53" i="4" s="1"/>
  <c r="C87" i="4" s="1"/>
  <c r="B7" i="4"/>
  <c r="B53" i="4" s="1"/>
  <c r="B87" i="4" s="1"/>
  <c r="A7" i="4"/>
  <c r="A53" i="4" s="1"/>
  <c r="D6" i="4"/>
  <c r="D52" i="4" s="1"/>
  <c r="D86" i="4" s="1"/>
  <c r="C6" i="4"/>
  <c r="C52" i="4" s="1"/>
  <c r="C86" i="4" s="1"/>
  <c r="B6" i="4"/>
  <c r="B52" i="4" s="1"/>
  <c r="B86" i="4" s="1"/>
  <c r="A6" i="4"/>
  <c r="A52" i="4" s="1"/>
  <c r="D5" i="4"/>
  <c r="D51" i="4" s="1"/>
  <c r="D85" i="4" s="1"/>
  <c r="C5" i="4"/>
  <c r="C51" i="4" s="1"/>
  <c r="C85" i="4" s="1"/>
  <c r="B5" i="4"/>
  <c r="B51" i="4" s="1"/>
  <c r="B85" i="4" s="1"/>
  <c r="A5" i="4"/>
  <c r="A51" i="4" s="1"/>
  <c r="D4" i="4"/>
  <c r="D50" i="4" s="1"/>
  <c r="D84" i="4" s="1"/>
  <c r="C4" i="4"/>
  <c r="C50" i="4" s="1"/>
  <c r="C84" i="4" s="1"/>
  <c r="B4" i="4"/>
  <c r="B50" i="4" s="1"/>
  <c r="B84" i="4" s="1"/>
  <c r="A4" i="4"/>
  <c r="A50" i="4" s="1"/>
  <c r="N50" i="4" l="1"/>
  <c r="G50" i="4"/>
  <c r="S50" i="4"/>
  <c r="K50" i="4"/>
  <c r="P50" i="4"/>
  <c r="T50" i="4"/>
  <c r="AB50" i="4"/>
  <c r="AA50" i="4"/>
  <c r="V50" i="4"/>
  <c r="Q50" i="4"/>
  <c r="AK50" i="4"/>
  <c r="I50" i="4"/>
  <c r="W50" i="4"/>
  <c r="L50" i="4"/>
  <c r="AD50" i="4"/>
  <c r="Y50" i="4"/>
  <c r="AH50" i="4"/>
  <c r="AF50" i="4"/>
  <c r="AC50" i="4"/>
  <c r="X50" i="4"/>
  <c r="AG50" i="4"/>
  <c r="R50" i="4"/>
  <c r="AE50" i="4"/>
  <c r="O50" i="4"/>
  <c r="U50" i="4"/>
  <c r="M50" i="4"/>
  <c r="H50" i="4"/>
  <c r="AL50" i="4"/>
  <c r="J50" i="4"/>
  <c r="AJ50" i="4"/>
  <c r="Z50" i="4"/>
  <c r="AI50" i="4"/>
  <c r="AH52" i="4"/>
  <c r="AF52" i="4"/>
  <c r="AC52" i="4"/>
  <c r="X52" i="4"/>
  <c r="AG52" i="4"/>
  <c r="N52" i="4"/>
  <c r="R52" i="4"/>
  <c r="AE52" i="4"/>
  <c r="G52" i="4"/>
  <c r="S52" i="4"/>
  <c r="P52" i="4"/>
  <c r="T52" i="4"/>
  <c r="V52" i="4"/>
  <c r="AB52" i="4"/>
  <c r="K52" i="4"/>
  <c r="M52" i="4"/>
  <c r="AA52" i="4"/>
  <c r="Q52" i="4"/>
  <c r="AK52" i="4"/>
  <c r="AD52" i="4"/>
  <c r="I52" i="4"/>
  <c r="L52" i="4"/>
  <c r="Y52" i="4"/>
  <c r="Z52" i="4"/>
  <c r="W52" i="4"/>
  <c r="AI52" i="4"/>
  <c r="O52" i="4"/>
  <c r="U52" i="4"/>
  <c r="H52" i="4"/>
  <c r="AL52" i="4"/>
  <c r="J52" i="4"/>
  <c r="AJ52" i="4"/>
  <c r="AK54" i="4"/>
  <c r="K54" i="4"/>
  <c r="I54" i="4"/>
  <c r="W54" i="4"/>
  <c r="L54" i="4"/>
  <c r="Y54" i="4"/>
  <c r="AH54" i="4"/>
  <c r="N54" i="4"/>
  <c r="AF54" i="4"/>
  <c r="AC54" i="4"/>
  <c r="X54" i="4"/>
  <c r="AG54" i="4"/>
  <c r="R54" i="4"/>
  <c r="AE54" i="4"/>
  <c r="G54" i="4"/>
  <c r="S54" i="4"/>
  <c r="P54" i="4"/>
  <c r="T54" i="4"/>
  <c r="V54" i="4"/>
  <c r="AB54" i="4"/>
  <c r="AA54" i="4"/>
  <c r="Q54" i="4"/>
  <c r="AD54" i="4"/>
  <c r="J54" i="4"/>
  <c r="AJ54" i="4"/>
  <c r="Z54" i="4"/>
  <c r="M54" i="4"/>
  <c r="AI54" i="4"/>
  <c r="O54" i="4"/>
  <c r="U54" i="4"/>
  <c r="AL54" i="4"/>
  <c r="H54" i="4"/>
  <c r="AD56" i="4"/>
  <c r="AB56" i="4"/>
  <c r="M56" i="4"/>
  <c r="AA56" i="4"/>
  <c r="W73" i="8" s="1"/>
  <c r="Q56" i="4"/>
  <c r="M73" i="8" s="1"/>
  <c r="AK56" i="4"/>
  <c r="AG73" i="8" s="1"/>
  <c r="I56" i="4"/>
  <c r="E73" i="8" s="1"/>
  <c r="N56" i="4"/>
  <c r="J73" i="8" s="1"/>
  <c r="L56" i="4"/>
  <c r="Y56" i="4"/>
  <c r="AH56" i="4"/>
  <c r="AF56" i="4"/>
  <c r="AB73" i="8" s="1"/>
  <c r="AC56" i="4"/>
  <c r="Y73" i="8" s="1"/>
  <c r="X56" i="4"/>
  <c r="T73" i="8" s="1"/>
  <c r="AG56" i="4"/>
  <c r="AC73" i="8" s="1"/>
  <c r="R56" i="4"/>
  <c r="N73" i="8" s="1"/>
  <c r="AE56" i="4"/>
  <c r="AA73" i="8" s="1"/>
  <c r="K56" i="4"/>
  <c r="V56" i="4"/>
  <c r="G56" i="4"/>
  <c r="C73" i="8" s="1"/>
  <c r="S56" i="4"/>
  <c r="O73" i="8" s="1"/>
  <c r="P56" i="4"/>
  <c r="L73" i="8" s="1"/>
  <c r="T56" i="4"/>
  <c r="P73" i="8" s="1"/>
  <c r="H56" i="4"/>
  <c r="D73" i="8" s="1"/>
  <c r="W56" i="4"/>
  <c r="S73" i="8" s="1"/>
  <c r="J56" i="4"/>
  <c r="AJ56" i="4"/>
  <c r="Z56" i="4"/>
  <c r="AI56" i="4"/>
  <c r="AE73" i="8" s="1"/>
  <c r="O56" i="4"/>
  <c r="K73" i="8" s="1"/>
  <c r="U56" i="4"/>
  <c r="Q73" i="8" s="1"/>
  <c r="AL56" i="4"/>
  <c r="AH73" i="8" s="1"/>
  <c r="G58" i="4"/>
  <c r="S58" i="4"/>
  <c r="P58" i="4"/>
  <c r="T58" i="4"/>
  <c r="AD58" i="4"/>
  <c r="AB58" i="4"/>
  <c r="AA58" i="4"/>
  <c r="Q58" i="4"/>
  <c r="N58" i="4"/>
  <c r="I58" i="4"/>
  <c r="W58" i="4"/>
  <c r="L58" i="4"/>
  <c r="Y58" i="4"/>
  <c r="AK58" i="4"/>
  <c r="AH58" i="4"/>
  <c r="AF58" i="4"/>
  <c r="AC58" i="4"/>
  <c r="X58" i="4"/>
  <c r="AG58" i="4"/>
  <c r="V58" i="4"/>
  <c r="R58" i="4"/>
  <c r="AE58" i="4"/>
  <c r="O58" i="4"/>
  <c r="AL58" i="4"/>
  <c r="U58" i="4"/>
  <c r="H58" i="4"/>
  <c r="M58" i="4"/>
  <c r="J58" i="4"/>
  <c r="AJ58" i="4"/>
  <c r="Z58" i="4"/>
  <c r="K58" i="4"/>
  <c r="AI58" i="4"/>
  <c r="AK60" i="4"/>
  <c r="AG77" i="8" s="1"/>
  <c r="AH60" i="4"/>
  <c r="AF60" i="4"/>
  <c r="AC60" i="4"/>
  <c r="Y77" i="8" s="1"/>
  <c r="X60" i="4"/>
  <c r="T77" i="8" s="1"/>
  <c r="AG60" i="4"/>
  <c r="AC77" i="8" s="1"/>
  <c r="V60" i="4"/>
  <c r="R77" i="8" s="1"/>
  <c r="R60" i="4"/>
  <c r="N77" i="8" s="1"/>
  <c r="AE60" i="4"/>
  <c r="AA77" i="8" s="1"/>
  <c r="G60" i="4"/>
  <c r="S60" i="4"/>
  <c r="P60" i="4"/>
  <c r="L77" i="8" s="1"/>
  <c r="T60" i="4"/>
  <c r="P77" i="8" s="1"/>
  <c r="AD60" i="4"/>
  <c r="Z77" i="8" s="1"/>
  <c r="K60" i="4"/>
  <c r="G77" i="8" s="1"/>
  <c r="AB60" i="4"/>
  <c r="X77" i="8" s="1"/>
  <c r="AA60" i="4"/>
  <c r="W77" i="8" s="1"/>
  <c r="Q60" i="4"/>
  <c r="M60" i="4"/>
  <c r="I60" i="4"/>
  <c r="N60" i="4"/>
  <c r="J77" i="8" s="1"/>
  <c r="L60" i="4"/>
  <c r="H77" i="8" s="1"/>
  <c r="Y60" i="4"/>
  <c r="U77" i="8" s="1"/>
  <c r="Z60" i="4"/>
  <c r="V77" i="8" s="1"/>
  <c r="AI60" i="4"/>
  <c r="O60" i="4"/>
  <c r="AL60" i="4"/>
  <c r="U60" i="4"/>
  <c r="W60" i="4"/>
  <c r="S77" i="8" s="1"/>
  <c r="H60" i="4"/>
  <c r="D77" i="8" s="1"/>
  <c r="J60" i="4"/>
  <c r="F77" i="8" s="1"/>
  <c r="AJ60" i="4"/>
  <c r="AF77" i="8" s="1"/>
  <c r="N62" i="4"/>
  <c r="J79" i="8" s="1"/>
  <c r="I62" i="4"/>
  <c r="W62" i="4"/>
  <c r="L62" i="4"/>
  <c r="H79" i="8" s="1"/>
  <c r="Y62" i="4"/>
  <c r="U79" i="8" s="1"/>
  <c r="AK62" i="4"/>
  <c r="AG79" i="8" s="1"/>
  <c r="AH62" i="4"/>
  <c r="AD79" i="8" s="1"/>
  <c r="AF62" i="4"/>
  <c r="AB79" i="8" s="1"/>
  <c r="AC62" i="4"/>
  <c r="X62" i="4"/>
  <c r="AG62" i="4"/>
  <c r="V62" i="4"/>
  <c r="R62" i="4"/>
  <c r="N79" i="8" s="1"/>
  <c r="AE62" i="4"/>
  <c r="AA79" i="8" s="1"/>
  <c r="G62" i="4"/>
  <c r="C79" i="8" s="1"/>
  <c r="S62" i="4"/>
  <c r="O79" i="8" s="1"/>
  <c r="P62" i="4"/>
  <c r="L79" i="8" s="1"/>
  <c r="T62" i="4"/>
  <c r="AD62" i="4"/>
  <c r="AB62" i="4"/>
  <c r="X79" i="8" s="1"/>
  <c r="AA62" i="4"/>
  <c r="W79" i="8" s="1"/>
  <c r="K62" i="4"/>
  <c r="G79" i="8" s="1"/>
  <c r="Q62" i="4"/>
  <c r="M79" i="8" s="1"/>
  <c r="M62" i="4"/>
  <c r="I79" i="8" s="1"/>
  <c r="J62" i="4"/>
  <c r="F79" i="8" s="1"/>
  <c r="AJ62" i="4"/>
  <c r="Z62" i="4"/>
  <c r="AI62" i="4"/>
  <c r="O62" i="4"/>
  <c r="K79" i="8" s="1"/>
  <c r="AL62" i="4"/>
  <c r="AH79" i="8" s="1"/>
  <c r="U62" i="4"/>
  <c r="Q79" i="8" s="1"/>
  <c r="H62" i="4"/>
  <c r="D79" i="8" s="1"/>
  <c r="AB64" i="4"/>
  <c r="X81" i="8" s="1"/>
  <c r="AA64" i="4"/>
  <c r="N64" i="4"/>
  <c r="Q64" i="4"/>
  <c r="M64" i="4"/>
  <c r="I81" i="8" s="1"/>
  <c r="I64" i="4"/>
  <c r="E81" i="8" s="1"/>
  <c r="L64" i="4"/>
  <c r="H81" i="8" s="1"/>
  <c r="Y64" i="4"/>
  <c r="U81" i="8" s="1"/>
  <c r="AK64" i="4"/>
  <c r="AH64" i="4"/>
  <c r="AF64" i="4"/>
  <c r="AC64" i="4"/>
  <c r="Y81" i="8" s="1"/>
  <c r="K64" i="4"/>
  <c r="G81" i="8" s="1"/>
  <c r="X64" i="4"/>
  <c r="T81" i="8" s="1"/>
  <c r="AG64" i="4"/>
  <c r="AC81" i="8" s="1"/>
  <c r="V64" i="4"/>
  <c r="R81" i="8" s="1"/>
  <c r="R64" i="4"/>
  <c r="AE64" i="4"/>
  <c r="G64" i="4"/>
  <c r="S64" i="4"/>
  <c r="O81" i="8" s="1"/>
  <c r="P64" i="4"/>
  <c r="L81" i="8" s="1"/>
  <c r="T64" i="4"/>
  <c r="P81" i="8" s="1"/>
  <c r="AD64" i="4"/>
  <c r="Z81" i="8" s="1"/>
  <c r="H64" i="4"/>
  <c r="D81" i="8" s="1"/>
  <c r="J64" i="4"/>
  <c r="F81" i="8" s="1"/>
  <c r="AJ64" i="4"/>
  <c r="W64" i="4"/>
  <c r="Z64" i="4"/>
  <c r="V81" i="8" s="1"/>
  <c r="AI64" i="4"/>
  <c r="AE81" i="8" s="1"/>
  <c r="O64" i="4"/>
  <c r="K81" i="8" s="1"/>
  <c r="AL64" i="4"/>
  <c r="AH81" i="8" s="1"/>
  <c r="U64" i="4"/>
  <c r="Q81" i="8" s="1"/>
  <c r="G66" i="4"/>
  <c r="C83" i="8" s="1"/>
  <c r="S66" i="4"/>
  <c r="P66" i="4"/>
  <c r="T66" i="4"/>
  <c r="P83" i="8" s="1"/>
  <c r="AD66" i="4"/>
  <c r="Z83" i="8" s="1"/>
  <c r="N66" i="4"/>
  <c r="J83" i="8" s="1"/>
  <c r="AB66" i="4"/>
  <c r="X83" i="8" s="1"/>
  <c r="AA66" i="4"/>
  <c r="W83" i="8" s="1"/>
  <c r="Q66" i="4"/>
  <c r="M83" i="8" s="1"/>
  <c r="M66" i="4"/>
  <c r="I66" i="4"/>
  <c r="W66" i="4"/>
  <c r="L66" i="4"/>
  <c r="H83" i="8" s="1"/>
  <c r="Y66" i="4"/>
  <c r="U83" i="8" s="1"/>
  <c r="AK66" i="4"/>
  <c r="AG83" i="8" s="1"/>
  <c r="AH66" i="4"/>
  <c r="AD83" i="8" s="1"/>
  <c r="AF66" i="4"/>
  <c r="AC66" i="4"/>
  <c r="X66" i="4"/>
  <c r="AG66" i="4"/>
  <c r="AC83" i="8" s="1"/>
  <c r="V66" i="4"/>
  <c r="R83" i="8" s="1"/>
  <c r="R66" i="4"/>
  <c r="N83" i="8" s="1"/>
  <c r="AE66" i="4"/>
  <c r="AA83" i="8" s="1"/>
  <c r="O66" i="4"/>
  <c r="K83" i="8" s="1"/>
  <c r="AL66" i="4"/>
  <c r="AH83" i="8" s="1"/>
  <c r="U66" i="4"/>
  <c r="H66" i="4"/>
  <c r="J66" i="4"/>
  <c r="F83" i="8" s="1"/>
  <c r="AJ66" i="4"/>
  <c r="AF83" i="8" s="1"/>
  <c r="K66" i="4"/>
  <c r="G83" i="8" s="1"/>
  <c r="Z66" i="4"/>
  <c r="V83" i="8" s="1"/>
  <c r="AI66" i="4"/>
  <c r="AE83" i="8" s="1"/>
  <c r="AH68" i="4"/>
  <c r="AF68" i="4"/>
  <c r="AC68" i="4"/>
  <c r="X68" i="4"/>
  <c r="T85" i="8" s="1"/>
  <c r="AG68" i="4"/>
  <c r="AC85" i="8" s="1"/>
  <c r="V68" i="4"/>
  <c r="R85" i="8" s="1"/>
  <c r="R68" i="4"/>
  <c r="N85" i="8" s="1"/>
  <c r="AE68" i="4"/>
  <c r="AA85" i="8" s="1"/>
  <c r="G68" i="4"/>
  <c r="C85" i="8" s="1"/>
  <c r="S68" i="4"/>
  <c r="K68" i="4"/>
  <c r="P68" i="4"/>
  <c r="T68" i="4"/>
  <c r="P85" i="8" s="1"/>
  <c r="AD68" i="4"/>
  <c r="Z85" i="8" s="1"/>
  <c r="AB68" i="4"/>
  <c r="X85" i="8" s="1"/>
  <c r="AA68" i="4"/>
  <c r="W85" i="8" s="1"/>
  <c r="Q68" i="4"/>
  <c r="M68" i="4"/>
  <c r="N68" i="4"/>
  <c r="I68" i="4"/>
  <c r="AK68" i="4"/>
  <c r="AG85" i="8" s="1"/>
  <c r="L68" i="4"/>
  <c r="H85" i="8" s="1"/>
  <c r="Y68" i="4"/>
  <c r="U85" i="8" s="1"/>
  <c r="Z68" i="4"/>
  <c r="V85" i="8" s="1"/>
  <c r="AI68" i="4"/>
  <c r="O68" i="4"/>
  <c r="AL68" i="4"/>
  <c r="U68" i="4"/>
  <c r="H68" i="4"/>
  <c r="D85" i="8" s="1"/>
  <c r="W68" i="4"/>
  <c r="S85" i="8" s="1"/>
  <c r="J68" i="4"/>
  <c r="F85" i="8" s="1"/>
  <c r="AJ68" i="4"/>
  <c r="AF85" i="8" s="1"/>
  <c r="AG70" i="4"/>
  <c r="L70" i="4"/>
  <c r="AD70" i="4"/>
  <c r="AH70" i="4"/>
  <c r="AD87" i="8" s="1"/>
  <c r="AF70" i="4"/>
  <c r="AB87" i="8" s="1"/>
  <c r="AC70" i="4"/>
  <c r="Y87" i="8" s="1"/>
  <c r="X70" i="4"/>
  <c r="T87" i="8" s="1"/>
  <c r="V70" i="4"/>
  <c r="R87" i="8" s="1"/>
  <c r="R70" i="4"/>
  <c r="Y70" i="4"/>
  <c r="M70" i="4"/>
  <c r="AE70" i="4"/>
  <c r="AA87" i="8" s="1"/>
  <c r="AK70" i="4"/>
  <c r="AG87" i="8" s="1"/>
  <c r="G70" i="4"/>
  <c r="C87" i="8" s="1"/>
  <c r="S70" i="4"/>
  <c r="O87" i="8" s="1"/>
  <c r="P70" i="4"/>
  <c r="L87" i="8" s="1"/>
  <c r="N70" i="4"/>
  <c r="J87" i="8" s="1"/>
  <c r="T70" i="4"/>
  <c r="K70" i="4"/>
  <c r="AB70" i="4"/>
  <c r="X87" i="8" s="1"/>
  <c r="I70" i="4"/>
  <c r="E87" i="8" s="1"/>
  <c r="AA70" i="4"/>
  <c r="W87" i="8" s="1"/>
  <c r="Q70" i="4"/>
  <c r="M87" i="8" s="1"/>
  <c r="J70" i="4"/>
  <c r="F87" i="8" s="1"/>
  <c r="AJ70" i="4"/>
  <c r="Z70" i="4"/>
  <c r="AL70" i="4"/>
  <c r="AI70" i="4"/>
  <c r="AE87" i="8" s="1"/>
  <c r="O70" i="4"/>
  <c r="K87" i="8" s="1"/>
  <c r="U70" i="4"/>
  <c r="Q87" i="8" s="1"/>
  <c r="H70" i="4"/>
  <c r="D87" i="8" s="1"/>
  <c r="W70" i="4"/>
  <c r="S87" i="8" s="1"/>
  <c r="AB72" i="4"/>
  <c r="X89" i="8" s="1"/>
  <c r="AG72" i="4"/>
  <c r="AA72" i="4"/>
  <c r="AD72" i="4"/>
  <c r="Z89" i="8" s="1"/>
  <c r="L72" i="4"/>
  <c r="H89" i="8" s="1"/>
  <c r="AC72" i="4"/>
  <c r="Y89" i="8" s="1"/>
  <c r="K72" i="4"/>
  <c r="G89" i="8" s="1"/>
  <c r="AH72" i="4"/>
  <c r="AD89" i="8" s="1"/>
  <c r="AF72" i="4"/>
  <c r="AB89" i="8" s="1"/>
  <c r="V72" i="4"/>
  <c r="I72" i="4"/>
  <c r="M72" i="4"/>
  <c r="X72" i="4"/>
  <c r="T89" i="8" s="1"/>
  <c r="R72" i="4"/>
  <c r="N89" i="8" s="1"/>
  <c r="Y72" i="4"/>
  <c r="U89" i="8" s="1"/>
  <c r="AE72" i="4"/>
  <c r="AA89" i="8" s="1"/>
  <c r="AK72" i="4"/>
  <c r="AG89" i="8" s="1"/>
  <c r="N72" i="4"/>
  <c r="G72" i="4"/>
  <c r="S72" i="4"/>
  <c r="O89" i="8" s="1"/>
  <c r="P72" i="4"/>
  <c r="L89" i="8" s="1"/>
  <c r="T72" i="4"/>
  <c r="P89" i="8" s="1"/>
  <c r="Q72" i="4"/>
  <c r="M89" i="8" s="1"/>
  <c r="H72" i="4"/>
  <c r="D89" i="8" s="1"/>
  <c r="W72" i="4"/>
  <c r="S89" i="8" s="1"/>
  <c r="AL72" i="4"/>
  <c r="J72" i="4"/>
  <c r="AJ72" i="4"/>
  <c r="AF89" i="8" s="1"/>
  <c r="Z72" i="4"/>
  <c r="V89" i="8" s="1"/>
  <c r="AI72" i="4"/>
  <c r="AE89" i="8" s="1"/>
  <c r="O72" i="4"/>
  <c r="K89" i="8" s="1"/>
  <c r="U72" i="4"/>
  <c r="Q89" i="8" s="1"/>
  <c r="AK74" i="4"/>
  <c r="N74" i="4"/>
  <c r="G74" i="4"/>
  <c r="S74" i="4"/>
  <c r="O91" i="8" s="1"/>
  <c r="P74" i="4"/>
  <c r="L91" i="8" s="1"/>
  <c r="T74" i="4"/>
  <c r="P91" i="8" s="1"/>
  <c r="AB74" i="4"/>
  <c r="X91" i="8" s="1"/>
  <c r="AA74" i="4"/>
  <c r="W91" i="8" s="1"/>
  <c r="AD74" i="4"/>
  <c r="Q74" i="4"/>
  <c r="M91" i="8" s="1"/>
  <c r="Y74" i="4"/>
  <c r="L74" i="4"/>
  <c r="AC74" i="4"/>
  <c r="Y91" i="8" s="1"/>
  <c r="AH74" i="4"/>
  <c r="AD91" i="8" s="1"/>
  <c r="AF74" i="4"/>
  <c r="AB91" i="8" s="1"/>
  <c r="V74" i="4"/>
  <c r="R91" i="8" s="1"/>
  <c r="X74" i="4"/>
  <c r="T91" i="8" s="1"/>
  <c r="AG74" i="4"/>
  <c r="AC91" i="8" s="1"/>
  <c r="R74" i="4"/>
  <c r="I74" i="4"/>
  <c r="E91" i="8" s="1"/>
  <c r="AE74" i="4"/>
  <c r="AA91" i="8" s="1"/>
  <c r="O74" i="4"/>
  <c r="K91" i="8" s="1"/>
  <c r="U74" i="4"/>
  <c r="Q91" i="8" s="1"/>
  <c r="H74" i="4"/>
  <c r="D91" i="8" s="1"/>
  <c r="W74" i="4"/>
  <c r="S91" i="8" s="1"/>
  <c r="AL74" i="4"/>
  <c r="AH91" i="8" s="1"/>
  <c r="K74" i="4"/>
  <c r="M74" i="4"/>
  <c r="I91" i="8" s="1"/>
  <c r="J74" i="4"/>
  <c r="F91" i="8" s="1"/>
  <c r="AJ74" i="4"/>
  <c r="AF91" i="8" s="1"/>
  <c r="Z74" i="4"/>
  <c r="V91" i="8" s="1"/>
  <c r="AI74" i="4"/>
  <c r="AE91" i="8" s="1"/>
  <c r="AH76" i="4"/>
  <c r="AD93" i="8" s="1"/>
  <c r="AF76" i="4"/>
  <c r="AB93" i="8" s="1"/>
  <c r="I76" i="4"/>
  <c r="M76" i="4"/>
  <c r="I93" i="8" s="1"/>
  <c r="X76" i="4"/>
  <c r="T93" i="8" s="1"/>
  <c r="V76" i="4"/>
  <c r="R93" i="8" s="1"/>
  <c r="Q76" i="4"/>
  <c r="M93" i="8" s="1"/>
  <c r="R76" i="4"/>
  <c r="N93" i="8" s="1"/>
  <c r="K76" i="4"/>
  <c r="AE76" i="4"/>
  <c r="AG76" i="4"/>
  <c r="AK76" i="4"/>
  <c r="G76" i="4"/>
  <c r="C93" i="8" s="1"/>
  <c r="S76" i="4"/>
  <c r="O93" i="8" s="1"/>
  <c r="P76" i="4"/>
  <c r="L93" i="8" s="1"/>
  <c r="T76" i="4"/>
  <c r="P93" i="8" s="1"/>
  <c r="AB76" i="4"/>
  <c r="X93" i="8" s="1"/>
  <c r="AA76" i="4"/>
  <c r="W93" i="8" s="1"/>
  <c r="AD76" i="4"/>
  <c r="N76" i="4"/>
  <c r="J93" i="8" s="1"/>
  <c r="L76" i="4"/>
  <c r="H93" i="8" s="1"/>
  <c r="AC76" i="4"/>
  <c r="Y93" i="8" s="1"/>
  <c r="Z76" i="4"/>
  <c r="V93" i="8" s="1"/>
  <c r="Y76" i="4"/>
  <c r="U93" i="8" s="1"/>
  <c r="AI76" i="4"/>
  <c r="AE93" i="8" s="1"/>
  <c r="O76" i="4"/>
  <c r="U76" i="4"/>
  <c r="H76" i="4"/>
  <c r="D93" i="8" s="1"/>
  <c r="W76" i="4"/>
  <c r="S93" i="8" s="1"/>
  <c r="AL76" i="4"/>
  <c r="AH93" i="8" s="1"/>
  <c r="J76" i="4"/>
  <c r="F93" i="8" s="1"/>
  <c r="AJ76" i="4"/>
  <c r="AF93" i="8" s="1"/>
  <c r="N78" i="4"/>
  <c r="J95" i="8" s="1"/>
  <c r="L78" i="4"/>
  <c r="AC78" i="4"/>
  <c r="Y95" i="8" s="1"/>
  <c r="I78" i="4"/>
  <c r="E95" i="8" s="1"/>
  <c r="AH78" i="4"/>
  <c r="AD95" i="8" s="1"/>
  <c r="AF78" i="4"/>
  <c r="AB95" i="8" s="1"/>
  <c r="Q78" i="4"/>
  <c r="M95" i="8" s="1"/>
  <c r="X78" i="4"/>
  <c r="T95" i="8" s="1"/>
  <c r="AG78" i="4"/>
  <c r="V78" i="4"/>
  <c r="R95" i="8" s="1"/>
  <c r="R78" i="4"/>
  <c r="N95" i="8" s="1"/>
  <c r="AE78" i="4"/>
  <c r="AA95" i="8" s="1"/>
  <c r="AK78" i="4"/>
  <c r="AG95" i="8" s="1"/>
  <c r="G78" i="4"/>
  <c r="C95" i="8" s="1"/>
  <c r="S78" i="4"/>
  <c r="O95" i="8" s="1"/>
  <c r="P78" i="4"/>
  <c r="L95" i="8" s="1"/>
  <c r="K78" i="4"/>
  <c r="G95" i="8" s="1"/>
  <c r="T78" i="4"/>
  <c r="P95" i="8" s="1"/>
  <c r="AB78" i="4"/>
  <c r="X95" i="8" s="1"/>
  <c r="AA78" i="4"/>
  <c r="W95" i="8" s="1"/>
  <c r="AD78" i="4"/>
  <c r="Z95" i="8" s="1"/>
  <c r="Y78" i="4"/>
  <c r="U95" i="8" s="1"/>
  <c r="J78" i="4"/>
  <c r="F95" i="8" s="1"/>
  <c r="AJ78" i="4"/>
  <c r="AF95" i="8" s="1"/>
  <c r="Z78" i="4"/>
  <c r="V95" i="8" s="1"/>
  <c r="AI78" i="4"/>
  <c r="AE95" i="8" s="1"/>
  <c r="O78" i="4"/>
  <c r="K95" i="8" s="1"/>
  <c r="AL78" i="4"/>
  <c r="AH95" i="8" s="1"/>
  <c r="U78" i="4"/>
  <c r="Q95" i="8" s="1"/>
  <c r="M78" i="4"/>
  <c r="I95" i="8" s="1"/>
  <c r="H78" i="4"/>
  <c r="D95" i="8" s="1"/>
  <c r="W78" i="4"/>
  <c r="S95" i="8" s="1"/>
  <c r="X51" i="4"/>
  <c r="T68" i="8" s="1"/>
  <c r="AG51" i="4"/>
  <c r="R51" i="4"/>
  <c r="N68" i="8" s="1"/>
  <c r="AE51" i="4"/>
  <c r="AA68" i="8" s="1"/>
  <c r="G51" i="4"/>
  <c r="C68" i="8" s="1"/>
  <c r="S51" i="4"/>
  <c r="O68" i="8" s="1"/>
  <c r="P51" i="4"/>
  <c r="L68" i="8" s="1"/>
  <c r="N51" i="4"/>
  <c r="J68" i="8" s="1"/>
  <c r="T51" i="4"/>
  <c r="AB51" i="4"/>
  <c r="M51" i="4"/>
  <c r="I68" i="8" s="1"/>
  <c r="AA51" i="4"/>
  <c r="W68" i="8" s="1"/>
  <c r="V51" i="4"/>
  <c r="R68" i="8" s="1"/>
  <c r="Q51" i="4"/>
  <c r="M68" i="8" s="1"/>
  <c r="AK51" i="4"/>
  <c r="AG68" i="8" s="1"/>
  <c r="AD51" i="4"/>
  <c r="Z68" i="8" s="1"/>
  <c r="I51" i="4"/>
  <c r="E68" i="8" s="1"/>
  <c r="W51" i="4"/>
  <c r="S68" i="8" s="1"/>
  <c r="L51" i="4"/>
  <c r="H68" i="8" s="1"/>
  <c r="Y51" i="4"/>
  <c r="U68" i="8" s="1"/>
  <c r="AH51" i="4"/>
  <c r="AD68" i="8" s="1"/>
  <c r="AF51" i="4"/>
  <c r="AB68" i="8" s="1"/>
  <c r="AC51" i="4"/>
  <c r="Y68" i="8" s="1"/>
  <c r="AI51" i="4"/>
  <c r="AE68" i="8" s="1"/>
  <c r="O51" i="4"/>
  <c r="K68" i="8" s="1"/>
  <c r="U51" i="4"/>
  <c r="H51" i="4"/>
  <c r="D68" i="8" s="1"/>
  <c r="AL51" i="4"/>
  <c r="AH68" i="8" s="1"/>
  <c r="K51" i="4"/>
  <c r="G68" i="8" s="1"/>
  <c r="J51" i="4"/>
  <c r="F68" i="8" s="1"/>
  <c r="AJ51" i="4"/>
  <c r="AF68" i="8" s="1"/>
  <c r="Z51" i="4"/>
  <c r="V68" i="8" s="1"/>
  <c r="L53" i="4"/>
  <c r="H70" i="8" s="1"/>
  <c r="Y53" i="4"/>
  <c r="U70" i="8" s="1"/>
  <c r="AH53" i="4"/>
  <c r="AD70" i="8" s="1"/>
  <c r="AF53" i="4"/>
  <c r="AB70" i="8" s="1"/>
  <c r="AC53" i="4"/>
  <c r="Y70" i="8" s="1"/>
  <c r="X53" i="4"/>
  <c r="T70" i="8" s="1"/>
  <c r="AG53" i="4"/>
  <c r="AC70" i="8" s="1"/>
  <c r="R53" i="4"/>
  <c r="N70" i="8" s="1"/>
  <c r="N53" i="4"/>
  <c r="J70" i="8" s="1"/>
  <c r="G53" i="4"/>
  <c r="C70" i="8" s="1"/>
  <c r="S53" i="4"/>
  <c r="O70" i="8" s="1"/>
  <c r="P53" i="4"/>
  <c r="L70" i="8" s="1"/>
  <c r="T53" i="4"/>
  <c r="P70" i="8" s="1"/>
  <c r="V53" i="4"/>
  <c r="R70" i="8" s="1"/>
  <c r="K53" i="4"/>
  <c r="G70" i="8" s="1"/>
  <c r="AB53" i="4"/>
  <c r="X70" i="8" s="1"/>
  <c r="M53" i="4"/>
  <c r="AA53" i="4"/>
  <c r="W70" i="8" s="1"/>
  <c r="Q53" i="4"/>
  <c r="M70" i="8" s="1"/>
  <c r="AD53" i="4"/>
  <c r="Z70" i="8" s="1"/>
  <c r="AK53" i="4"/>
  <c r="AG70" i="8" s="1"/>
  <c r="I53" i="4"/>
  <c r="E70" i="8" s="1"/>
  <c r="W53" i="4"/>
  <c r="S70" i="8" s="1"/>
  <c r="J53" i="4"/>
  <c r="F70" i="8" s="1"/>
  <c r="AJ53" i="4"/>
  <c r="AF70" i="8" s="1"/>
  <c r="Z53" i="4"/>
  <c r="V70" i="8" s="1"/>
  <c r="AE53" i="4"/>
  <c r="AA70" i="8" s="1"/>
  <c r="AI53" i="4"/>
  <c r="O53" i="4"/>
  <c r="K70" i="8" s="1"/>
  <c r="U53" i="4"/>
  <c r="Q70" i="8" s="1"/>
  <c r="H53" i="4"/>
  <c r="D70" i="8" s="1"/>
  <c r="AL53" i="4"/>
  <c r="AH70" i="8" s="1"/>
  <c r="AA55" i="4"/>
  <c r="Q55" i="4"/>
  <c r="AK55" i="4"/>
  <c r="I55" i="4"/>
  <c r="W55" i="4"/>
  <c r="L55" i="4"/>
  <c r="Y55" i="4"/>
  <c r="AH55" i="4"/>
  <c r="AF55" i="4"/>
  <c r="AC55" i="4"/>
  <c r="X55" i="4"/>
  <c r="AG55" i="4"/>
  <c r="N55" i="4"/>
  <c r="R55" i="4"/>
  <c r="AE55" i="4"/>
  <c r="G55" i="4"/>
  <c r="S55" i="4"/>
  <c r="K55" i="4"/>
  <c r="P55" i="4"/>
  <c r="T55" i="4"/>
  <c r="V55" i="4"/>
  <c r="AD55" i="4"/>
  <c r="AB55" i="4"/>
  <c r="M55" i="4"/>
  <c r="J55" i="4"/>
  <c r="AJ55" i="4"/>
  <c r="Z55" i="4"/>
  <c r="AI55" i="4"/>
  <c r="O55" i="4"/>
  <c r="AL55" i="4"/>
  <c r="U55" i="4"/>
  <c r="H55" i="4"/>
  <c r="K57" i="4"/>
  <c r="G74" i="8" s="1"/>
  <c r="P57" i="4"/>
  <c r="L74" i="8" s="1"/>
  <c r="T57" i="4"/>
  <c r="P74" i="8" s="1"/>
  <c r="AD57" i="4"/>
  <c r="Z74" i="8" s="1"/>
  <c r="AB57" i="4"/>
  <c r="X74" i="8" s="1"/>
  <c r="M57" i="4"/>
  <c r="I74" i="8" s="1"/>
  <c r="AA57" i="4"/>
  <c r="W74" i="8" s="1"/>
  <c r="Q57" i="4"/>
  <c r="M74" i="8" s="1"/>
  <c r="AK57" i="4"/>
  <c r="AG74" i="8" s="1"/>
  <c r="I57" i="4"/>
  <c r="E74" i="8" s="1"/>
  <c r="W57" i="4"/>
  <c r="S74" i="8" s="1"/>
  <c r="L57" i="4"/>
  <c r="H74" i="8" s="1"/>
  <c r="Y57" i="4"/>
  <c r="U74" i="8" s="1"/>
  <c r="AH57" i="4"/>
  <c r="AD74" i="8" s="1"/>
  <c r="N57" i="4"/>
  <c r="J74" i="8" s="1"/>
  <c r="AF57" i="4"/>
  <c r="AB74" i="8" s="1"/>
  <c r="AC57" i="4"/>
  <c r="Y74" i="8" s="1"/>
  <c r="X57" i="4"/>
  <c r="T74" i="8" s="1"/>
  <c r="AG57" i="4"/>
  <c r="AC74" i="8" s="1"/>
  <c r="R57" i="4"/>
  <c r="N74" i="8" s="1"/>
  <c r="V57" i="4"/>
  <c r="R74" i="8" s="1"/>
  <c r="G57" i="4"/>
  <c r="C74" i="8" s="1"/>
  <c r="S57" i="4"/>
  <c r="O74" i="8" s="1"/>
  <c r="H57" i="4"/>
  <c r="D74" i="8" s="1"/>
  <c r="AE57" i="4"/>
  <c r="AA74" i="8" s="1"/>
  <c r="J57" i="4"/>
  <c r="F74" i="8" s="1"/>
  <c r="AJ57" i="4"/>
  <c r="AF74" i="8" s="1"/>
  <c r="Z57" i="4"/>
  <c r="V74" i="8" s="1"/>
  <c r="AI57" i="4"/>
  <c r="AE74" i="8" s="1"/>
  <c r="O57" i="4"/>
  <c r="K74" i="8" s="1"/>
  <c r="AL57" i="4"/>
  <c r="AH74" i="8" s="1"/>
  <c r="U57" i="4"/>
  <c r="Q74" i="8" s="1"/>
  <c r="X59" i="4"/>
  <c r="AG59" i="4"/>
  <c r="AC76" i="8" s="1"/>
  <c r="V59" i="4"/>
  <c r="R76" i="8" s="1"/>
  <c r="R59" i="4"/>
  <c r="N76" i="8" s="1"/>
  <c r="AE59" i="4"/>
  <c r="AA76" i="8" s="1"/>
  <c r="G59" i="4"/>
  <c r="C76" i="8" s="1"/>
  <c r="S59" i="4"/>
  <c r="O76" i="8" s="1"/>
  <c r="P59" i="4"/>
  <c r="L76" i="8" s="1"/>
  <c r="N59" i="4"/>
  <c r="J76" i="8" s="1"/>
  <c r="T59" i="4"/>
  <c r="P76" i="8" s="1"/>
  <c r="AD59" i="4"/>
  <c r="AB59" i="4"/>
  <c r="X76" i="8" s="1"/>
  <c r="AA59" i="4"/>
  <c r="W76" i="8" s="1"/>
  <c r="Q59" i="4"/>
  <c r="M76" i="8" s="1"/>
  <c r="M59" i="4"/>
  <c r="I76" i="8" s="1"/>
  <c r="I59" i="4"/>
  <c r="E76" i="8" s="1"/>
  <c r="W59" i="4"/>
  <c r="S76" i="8" s="1"/>
  <c r="L59" i="4"/>
  <c r="H76" i="8" s="1"/>
  <c r="Y59" i="4"/>
  <c r="U76" i="8" s="1"/>
  <c r="AK59" i="4"/>
  <c r="AG76" i="8" s="1"/>
  <c r="AH59" i="4"/>
  <c r="AD76" i="8" s="1"/>
  <c r="AF59" i="4"/>
  <c r="AB76" i="8" s="1"/>
  <c r="AC59" i="4"/>
  <c r="Y76" i="8" s="1"/>
  <c r="AI59" i="4"/>
  <c r="AE76" i="8" s="1"/>
  <c r="O59" i="4"/>
  <c r="AL59" i="4"/>
  <c r="AH76" i="8" s="1"/>
  <c r="U59" i="4"/>
  <c r="Q76" i="8" s="1"/>
  <c r="H59" i="4"/>
  <c r="D76" i="8" s="1"/>
  <c r="K59" i="4"/>
  <c r="G76" i="8" s="1"/>
  <c r="J59" i="4"/>
  <c r="F76" i="8" s="1"/>
  <c r="AJ59" i="4"/>
  <c r="AF76" i="8" s="1"/>
  <c r="Z59" i="4"/>
  <c r="V76" i="8" s="1"/>
  <c r="L61" i="4"/>
  <c r="H78" i="8" s="1"/>
  <c r="Y61" i="4"/>
  <c r="U78" i="8" s="1"/>
  <c r="AK61" i="4"/>
  <c r="AG78" i="8" s="1"/>
  <c r="AH61" i="4"/>
  <c r="AD78" i="8" s="1"/>
  <c r="AF61" i="4"/>
  <c r="AB78" i="8" s="1"/>
  <c r="AC61" i="4"/>
  <c r="Y78" i="8" s="1"/>
  <c r="X61" i="4"/>
  <c r="T78" i="8" s="1"/>
  <c r="AG61" i="4"/>
  <c r="AC78" i="8" s="1"/>
  <c r="V61" i="4"/>
  <c r="R78" i="8" s="1"/>
  <c r="R61" i="4"/>
  <c r="N78" i="8" s="1"/>
  <c r="N61" i="4"/>
  <c r="J78" i="8" s="1"/>
  <c r="G61" i="4"/>
  <c r="C78" i="8" s="1"/>
  <c r="S61" i="4"/>
  <c r="O78" i="8" s="1"/>
  <c r="P61" i="4"/>
  <c r="L78" i="8" s="1"/>
  <c r="T61" i="4"/>
  <c r="P78" i="8" s="1"/>
  <c r="K61" i="4"/>
  <c r="G78" i="8" s="1"/>
  <c r="AD61" i="4"/>
  <c r="Z78" i="8" s="1"/>
  <c r="AB61" i="4"/>
  <c r="X78" i="8" s="1"/>
  <c r="AA61" i="4"/>
  <c r="W78" i="8" s="1"/>
  <c r="Q61" i="4"/>
  <c r="M78" i="8" s="1"/>
  <c r="I61" i="4"/>
  <c r="E78" i="8" s="1"/>
  <c r="W61" i="4"/>
  <c r="S78" i="8" s="1"/>
  <c r="J61" i="4"/>
  <c r="F78" i="8" s="1"/>
  <c r="AJ61" i="4"/>
  <c r="AF78" i="8" s="1"/>
  <c r="Z61" i="4"/>
  <c r="V78" i="8" s="1"/>
  <c r="AI61" i="4"/>
  <c r="AE78" i="8" s="1"/>
  <c r="O61" i="4"/>
  <c r="K78" i="8" s="1"/>
  <c r="AL61" i="4"/>
  <c r="AH78" i="8" s="1"/>
  <c r="U61" i="4"/>
  <c r="Q78" i="8" s="1"/>
  <c r="AE61" i="4"/>
  <c r="AA78" i="8" s="1"/>
  <c r="H61" i="4"/>
  <c r="D78" i="8" s="1"/>
  <c r="M61" i="4"/>
  <c r="I78" i="8" s="1"/>
  <c r="AA63" i="4"/>
  <c r="W80" i="8" s="1"/>
  <c r="Q63" i="4"/>
  <c r="M80" i="8" s="1"/>
  <c r="M63" i="4"/>
  <c r="I80" i="8" s="1"/>
  <c r="I63" i="4"/>
  <c r="E80" i="8" s="1"/>
  <c r="W63" i="4"/>
  <c r="S80" i="8" s="1"/>
  <c r="L63" i="4"/>
  <c r="H80" i="8" s="1"/>
  <c r="Y63" i="4"/>
  <c r="U80" i="8" s="1"/>
  <c r="AK63" i="4"/>
  <c r="AG80" i="8" s="1"/>
  <c r="AH63" i="4"/>
  <c r="AD80" i="8" s="1"/>
  <c r="AF63" i="4"/>
  <c r="AB80" i="8" s="1"/>
  <c r="AC63" i="4"/>
  <c r="Y80" i="8" s="1"/>
  <c r="X63" i="4"/>
  <c r="T80" i="8" s="1"/>
  <c r="AG63" i="4"/>
  <c r="AC80" i="8" s="1"/>
  <c r="N63" i="4"/>
  <c r="J80" i="8" s="1"/>
  <c r="V63" i="4"/>
  <c r="R80" i="8" s="1"/>
  <c r="R63" i="4"/>
  <c r="N80" i="8" s="1"/>
  <c r="AE63" i="4"/>
  <c r="K63" i="4"/>
  <c r="G80" i="8" s="1"/>
  <c r="G63" i="4"/>
  <c r="C80" i="8" s="1"/>
  <c r="S63" i="4"/>
  <c r="O80" i="8" s="1"/>
  <c r="P63" i="4"/>
  <c r="L80" i="8" s="1"/>
  <c r="T63" i="4"/>
  <c r="P80" i="8" s="1"/>
  <c r="AD63" i="4"/>
  <c r="Z80" i="8" s="1"/>
  <c r="AB63" i="4"/>
  <c r="X80" i="8" s="1"/>
  <c r="J63" i="4"/>
  <c r="F80" i="8" s="1"/>
  <c r="AJ63" i="4"/>
  <c r="AF80" i="8" s="1"/>
  <c r="Z63" i="4"/>
  <c r="V80" i="8" s="1"/>
  <c r="AI63" i="4"/>
  <c r="AE80" i="8" s="1"/>
  <c r="O63" i="4"/>
  <c r="K80" i="8" s="1"/>
  <c r="AL63" i="4"/>
  <c r="AH80" i="8" s="1"/>
  <c r="U63" i="4"/>
  <c r="Q80" i="8" s="1"/>
  <c r="H63" i="4"/>
  <c r="D80" i="8" s="1"/>
  <c r="P65" i="4"/>
  <c r="L82" i="8" s="1"/>
  <c r="T65" i="4"/>
  <c r="P82" i="8" s="1"/>
  <c r="AD65" i="4"/>
  <c r="Z82" i="8" s="1"/>
  <c r="AB65" i="4"/>
  <c r="X82" i="8" s="1"/>
  <c r="AA65" i="4"/>
  <c r="W82" i="8" s="1"/>
  <c r="Q65" i="4"/>
  <c r="M82" i="8" s="1"/>
  <c r="K65" i="4"/>
  <c r="G82" i="8" s="1"/>
  <c r="I65" i="4"/>
  <c r="E82" i="8" s="1"/>
  <c r="W65" i="4"/>
  <c r="S82" i="8" s="1"/>
  <c r="L65" i="4"/>
  <c r="H82" i="8" s="1"/>
  <c r="Y65" i="4"/>
  <c r="U82" i="8" s="1"/>
  <c r="AK65" i="4"/>
  <c r="AG82" i="8" s="1"/>
  <c r="AH65" i="4"/>
  <c r="AD82" i="8" s="1"/>
  <c r="N65" i="4"/>
  <c r="J82" i="8" s="1"/>
  <c r="AF65" i="4"/>
  <c r="AB82" i="8" s="1"/>
  <c r="AC65" i="4"/>
  <c r="Y82" i="8" s="1"/>
  <c r="X65" i="4"/>
  <c r="T82" i="8" s="1"/>
  <c r="AG65" i="4"/>
  <c r="AC82" i="8" s="1"/>
  <c r="V65" i="4"/>
  <c r="R82" i="8" s="1"/>
  <c r="R65" i="4"/>
  <c r="N82" i="8" s="1"/>
  <c r="G65" i="4"/>
  <c r="C82" i="8" s="1"/>
  <c r="S65" i="4"/>
  <c r="O82" i="8" s="1"/>
  <c r="M65" i="4"/>
  <c r="I82" i="8" s="1"/>
  <c r="H65" i="4"/>
  <c r="D82" i="8" s="1"/>
  <c r="J65" i="4"/>
  <c r="F82" i="8" s="1"/>
  <c r="AJ65" i="4"/>
  <c r="AF82" i="8" s="1"/>
  <c r="AE65" i="4"/>
  <c r="AA82" i="8" s="1"/>
  <c r="Z65" i="4"/>
  <c r="V82" i="8" s="1"/>
  <c r="AI65" i="4"/>
  <c r="AE82" i="8" s="1"/>
  <c r="O65" i="4"/>
  <c r="K82" i="8" s="1"/>
  <c r="AL65" i="4"/>
  <c r="AH82" i="8" s="1"/>
  <c r="U65" i="4"/>
  <c r="Q82" i="8" s="1"/>
  <c r="X67" i="4"/>
  <c r="AG67" i="4"/>
  <c r="AC84" i="8" s="1"/>
  <c r="V67" i="4"/>
  <c r="R84" i="8" s="1"/>
  <c r="R67" i="4"/>
  <c r="N84" i="8" s="1"/>
  <c r="AE67" i="4"/>
  <c r="AA84" i="8" s="1"/>
  <c r="G67" i="4"/>
  <c r="C84" i="8" s="1"/>
  <c r="S67" i="4"/>
  <c r="O84" i="8" s="1"/>
  <c r="P67" i="4"/>
  <c r="L84" i="8" s="1"/>
  <c r="T67" i="4"/>
  <c r="P84" i="8" s="1"/>
  <c r="AD67" i="4"/>
  <c r="Z84" i="8" s="1"/>
  <c r="N67" i="4"/>
  <c r="J84" i="8" s="1"/>
  <c r="AB67" i="4"/>
  <c r="X84" i="8" s="1"/>
  <c r="AA67" i="4"/>
  <c r="W84" i="8" s="1"/>
  <c r="Q67" i="4"/>
  <c r="M84" i="8" s="1"/>
  <c r="M67" i="4"/>
  <c r="I84" i="8" s="1"/>
  <c r="AK67" i="4"/>
  <c r="AG84" i="8" s="1"/>
  <c r="I67" i="4"/>
  <c r="E84" i="8" s="1"/>
  <c r="W67" i="4"/>
  <c r="S84" i="8" s="1"/>
  <c r="L67" i="4"/>
  <c r="H84" i="8" s="1"/>
  <c r="Y67" i="4"/>
  <c r="U84" i="8" s="1"/>
  <c r="AH67" i="4"/>
  <c r="AD84" i="8" s="1"/>
  <c r="AF67" i="4"/>
  <c r="AB84" i="8" s="1"/>
  <c r="AC67" i="4"/>
  <c r="Y84" i="8" s="1"/>
  <c r="AI67" i="4"/>
  <c r="AE84" i="8" s="1"/>
  <c r="O67" i="4"/>
  <c r="K84" i="8" s="1"/>
  <c r="AL67" i="4"/>
  <c r="AH84" i="8" s="1"/>
  <c r="U67" i="4"/>
  <c r="Q84" i="8" s="1"/>
  <c r="K67" i="4"/>
  <c r="G84" i="8" s="1"/>
  <c r="H67" i="4"/>
  <c r="D84" i="8" s="1"/>
  <c r="J67" i="4"/>
  <c r="F84" i="8" s="1"/>
  <c r="AJ67" i="4"/>
  <c r="AF84" i="8" s="1"/>
  <c r="Z67" i="4"/>
  <c r="V84" i="8" s="1"/>
  <c r="AK69" i="4"/>
  <c r="L69" i="4"/>
  <c r="Y69" i="4"/>
  <c r="AH69" i="4"/>
  <c r="AF69" i="4"/>
  <c r="AC69" i="4"/>
  <c r="X69" i="4"/>
  <c r="AG69" i="4"/>
  <c r="V69" i="4"/>
  <c r="R69" i="4"/>
  <c r="G69" i="4"/>
  <c r="K69" i="4"/>
  <c r="S69" i="4"/>
  <c r="P69" i="4"/>
  <c r="N69" i="4"/>
  <c r="T69" i="4"/>
  <c r="AD69" i="4"/>
  <c r="AB69" i="4"/>
  <c r="AA69" i="4"/>
  <c r="Q69" i="4"/>
  <c r="I69" i="4"/>
  <c r="J69" i="4"/>
  <c r="AJ69" i="4"/>
  <c r="M69" i="4"/>
  <c r="Z69" i="4"/>
  <c r="AI69" i="4"/>
  <c r="O69" i="4"/>
  <c r="AL69" i="4"/>
  <c r="U69" i="4"/>
  <c r="H69" i="4"/>
  <c r="AE69" i="4"/>
  <c r="W69" i="4"/>
  <c r="AA71" i="4"/>
  <c r="V71" i="4"/>
  <c r="R88" i="8" s="1"/>
  <c r="AD71" i="4"/>
  <c r="Z88" i="8" s="1"/>
  <c r="Y71" i="4"/>
  <c r="U88" i="8" s="1"/>
  <c r="L71" i="4"/>
  <c r="H88" i="8" s="1"/>
  <c r="AC71" i="4"/>
  <c r="Y88" i="8" s="1"/>
  <c r="I71" i="4"/>
  <c r="E88" i="8" s="1"/>
  <c r="AH71" i="4"/>
  <c r="AD88" i="8" s="1"/>
  <c r="AF71" i="4"/>
  <c r="AB88" i="8" s="1"/>
  <c r="Q71" i="4"/>
  <c r="M88" i="8" s="1"/>
  <c r="M71" i="4"/>
  <c r="I88" i="8" s="1"/>
  <c r="X71" i="4"/>
  <c r="T88" i="8" s="1"/>
  <c r="K71" i="4"/>
  <c r="G88" i="8" s="1"/>
  <c r="R71" i="4"/>
  <c r="N88" i="8" s="1"/>
  <c r="AE71" i="4"/>
  <c r="AA88" i="8" s="1"/>
  <c r="AK71" i="4"/>
  <c r="AG88" i="8" s="1"/>
  <c r="G71" i="4"/>
  <c r="C88" i="8" s="1"/>
  <c r="S71" i="4"/>
  <c r="O88" i="8" s="1"/>
  <c r="AG71" i="4"/>
  <c r="AC88" i="8" s="1"/>
  <c r="P71" i="4"/>
  <c r="N71" i="4"/>
  <c r="J88" i="8" s="1"/>
  <c r="T71" i="4"/>
  <c r="P88" i="8" s="1"/>
  <c r="AB71" i="4"/>
  <c r="X88" i="8" s="1"/>
  <c r="W71" i="4"/>
  <c r="S88" i="8" s="1"/>
  <c r="AL71" i="4"/>
  <c r="AH88" i="8" s="1"/>
  <c r="J71" i="4"/>
  <c r="F88" i="8" s="1"/>
  <c r="AJ71" i="4"/>
  <c r="AF88" i="8" s="1"/>
  <c r="Z71" i="4"/>
  <c r="V88" i="8" s="1"/>
  <c r="AI71" i="4"/>
  <c r="AE88" i="8" s="1"/>
  <c r="O71" i="4"/>
  <c r="K88" i="8" s="1"/>
  <c r="U71" i="4"/>
  <c r="Q88" i="8" s="1"/>
  <c r="H71" i="4"/>
  <c r="D88" i="8" s="1"/>
  <c r="P73" i="4"/>
  <c r="L90" i="8" s="1"/>
  <c r="T73" i="4"/>
  <c r="P90" i="8" s="1"/>
  <c r="Q73" i="4"/>
  <c r="M90" i="8" s="1"/>
  <c r="AB73" i="4"/>
  <c r="X90" i="8" s="1"/>
  <c r="Y73" i="4"/>
  <c r="U90" i="8" s="1"/>
  <c r="K73" i="4"/>
  <c r="G90" i="8" s="1"/>
  <c r="AA73" i="4"/>
  <c r="W90" i="8" s="1"/>
  <c r="AD73" i="4"/>
  <c r="Z90" i="8" s="1"/>
  <c r="L73" i="4"/>
  <c r="H90" i="8" s="1"/>
  <c r="AC73" i="4"/>
  <c r="Y90" i="8" s="1"/>
  <c r="AG73" i="4"/>
  <c r="AC90" i="8" s="1"/>
  <c r="AH73" i="4"/>
  <c r="AD90" i="8" s="1"/>
  <c r="AF73" i="4"/>
  <c r="AB90" i="8" s="1"/>
  <c r="V73" i="4"/>
  <c r="R90" i="8" s="1"/>
  <c r="I73" i="4"/>
  <c r="E90" i="8" s="1"/>
  <c r="M73" i="4"/>
  <c r="I90" i="8" s="1"/>
  <c r="X73" i="4"/>
  <c r="T90" i="8" s="1"/>
  <c r="R73" i="4"/>
  <c r="N90" i="8" s="1"/>
  <c r="AK73" i="4"/>
  <c r="AG90" i="8" s="1"/>
  <c r="N73" i="4"/>
  <c r="J90" i="8" s="1"/>
  <c r="G73" i="4"/>
  <c r="C90" i="8" s="1"/>
  <c r="S73" i="4"/>
  <c r="O90" i="8" s="1"/>
  <c r="H73" i="4"/>
  <c r="D90" i="8" s="1"/>
  <c r="W73" i="4"/>
  <c r="S90" i="8" s="1"/>
  <c r="AL73" i="4"/>
  <c r="J73" i="4"/>
  <c r="F90" i="8" s="1"/>
  <c r="AJ73" i="4"/>
  <c r="AF90" i="8" s="1"/>
  <c r="Z73" i="4"/>
  <c r="V90" i="8" s="1"/>
  <c r="AI73" i="4"/>
  <c r="AE90" i="8" s="1"/>
  <c r="AE73" i="4"/>
  <c r="AA90" i="8" s="1"/>
  <c r="O73" i="4"/>
  <c r="K90" i="8" s="1"/>
  <c r="U73" i="4"/>
  <c r="Q90" i="8" s="1"/>
  <c r="X75" i="4"/>
  <c r="T92" i="8" s="1"/>
  <c r="R75" i="4"/>
  <c r="N92" i="8" s="1"/>
  <c r="I75" i="4"/>
  <c r="E92" i="8" s="1"/>
  <c r="AE75" i="4"/>
  <c r="AA92" i="8" s="1"/>
  <c r="AK75" i="4"/>
  <c r="AG92" i="8" s="1"/>
  <c r="N75" i="4"/>
  <c r="J92" i="8" s="1"/>
  <c r="G75" i="4"/>
  <c r="C92" i="8" s="1"/>
  <c r="S75" i="4"/>
  <c r="O92" i="8" s="1"/>
  <c r="Y75" i="4"/>
  <c r="U92" i="8" s="1"/>
  <c r="P75" i="4"/>
  <c r="L92" i="8" s="1"/>
  <c r="T75" i="4"/>
  <c r="P92" i="8" s="1"/>
  <c r="AB75" i="4"/>
  <c r="X92" i="8" s="1"/>
  <c r="AG75" i="4"/>
  <c r="AC92" i="8" s="1"/>
  <c r="AA75" i="4"/>
  <c r="W92" i="8" s="1"/>
  <c r="AD75" i="4"/>
  <c r="Z92" i="8" s="1"/>
  <c r="Q75" i="4"/>
  <c r="M92" i="8" s="1"/>
  <c r="L75" i="4"/>
  <c r="H92" i="8" s="1"/>
  <c r="AC75" i="4"/>
  <c r="Y92" i="8" s="1"/>
  <c r="AH75" i="4"/>
  <c r="AD92" i="8" s="1"/>
  <c r="AF75" i="4"/>
  <c r="AB92" i="8" s="1"/>
  <c r="V75" i="4"/>
  <c r="R92" i="8" s="1"/>
  <c r="M75" i="4"/>
  <c r="I92" i="8" s="1"/>
  <c r="AI75" i="4"/>
  <c r="AE92" i="8" s="1"/>
  <c r="O75" i="4"/>
  <c r="K92" i="8" s="1"/>
  <c r="U75" i="4"/>
  <c r="Q92" i="8" s="1"/>
  <c r="K75" i="4"/>
  <c r="G92" i="8" s="1"/>
  <c r="H75" i="4"/>
  <c r="D92" i="8" s="1"/>
  <c r="W75" i="4"/>
  <c r="S92" i="8" s="1"/>
  <c r="AL75" i="4"/>
  <c r="AH92" i="8" s="1"/>
  <c r="J75" i="4"/>
  <c r="F92" i="8" s="1"/>
  <c r="AJ75" i="4"/>
  <c r="AF92" i="8" s="1"/>
  <c r="Z75" i="4"/>
  <c r="V92" i="8" s="1"/>
  <c r="N77" i="4"/>
  <c r="J94" i="8" s="1"/>
  <c r="L77" i="4"/>
  <c r="H94" i="8" s="1"/>
  <c r="AC77" i="4"/>
  <c r="Y94" i="8" s="1"/>
  <c r="AH77" i="4"/>
  <c r="AD94" i="8" s="1"/>
  <c r="AF77" i="4"/>
  <c r="AB94" i="8" s="1"/>
  <c r="M77" i="4"/>
  <c r="I94" i="8" s="1"/>
  <c r="X77" i="4"/>
  <c r="T94" i="8" s="1"/>
  <c r="V77" i="4"/>
  <c r="R94" i="8" s="1"/>
  <c r="K77" i="4"/>
  <c r="R77" i="4"/>
  <c r="N94" i="8" s="1"/>
  <c r="AG77" i="4"/>
  <c r="AC94" i="8" s="1"/>
  <c r="AK77" i="4"/>
  <c r="AG94" i="8" s="1"/>
  <c r="G77" i="4"/>
  <c r="C94" i="8" s="1"/>
  <c r="S77" i="4"/>
  <c r="O94" i="8" s="1"/>
  <c r="I77" i="4"/>
  <c r="E94" i="8" s="1"/>
  <c r="P77" i="4"/>
  <c r="L94" i="8" s="1"/>
  <c r="T77" i="4"/>
  <c r="P94" i="8" s="1"/>
  <c r="AB77" i="4"/>
  <c r="X94" i="8" s="1"/>
  <c r="AA77" i="4"/>
  <c r="W94" i="8" s="1"/>
  <c r="Q77" i="4"/>
  <c r="M94" i="8" s="1"/>
  <c r="AD77" i="4"/>
  <c r="Z94" i="8" s="1"/>
  <c r="Y77" i="4"/>
  <c r="U94" i="8" s="1"/>
  <c r="AE77" i="4"/>
  <c r="AA94" i="8" s="1"/>
  <c r="J77" i="4"/>
  <c r="F94" i="8" s="1"/>
  <c r="AJ77" i="4"/>
  <c r="AF94" i="8" s="1"/>
  <c r="Z77" i="4"/>
  <c r="V94" i="8" s="1"/>
  <c r="AI77" i="4"/>
  <c r="AE94" i="8" s="1"/>
  <c r="O77" i="4"/>
  <c r="K94" i="8" s="1"/>
  <c r="U77" i="4"/>
  <c r="Q94" i="8" s="1"/>
  <c r="H77" i="4"/>
  <c r="D94" i="8" s="1"/>
  <c r="W77" i="4"/>
  <c r="S94" i="8" s="1"/>
  <c r="AL77" i="4"/>
  <c r="AH94" i="8" s="1"/>
  <c r="V119" i="9"/>
  <c r="V121" i="9" s="1"/>
  <c r="X119" i="9"/>
  <c r="P119" i="9"/>
  <c r="N120" i="9"/>
  <c r="J118" i="9"/>
  <c r="R118" i="9"/>
  <c r="Z118" i="9"/>
  <c r="M118" i="9"/>
  <c r="X118" i="9"/>
  <c r="AI118" i="9"/>
  <c r="AI121" i="9" s="1"/>
  <c r="M119" i="9"/>
  <c r="AG119" i="9"/>
  <c r="AG121" i="9" s="1"/>
  <c r="H118" i="9"/>
  <c r="T119" i="9"/>
  <c r="T121" i="9" s="1"/>
  <c r="I106" i="9"/>
  <c r="M108" i="9"/>
  <c r="I110" i="9"/>
  <c r="M112" i="9"/>
  <c r="U99" i="9"/>
  <c r="Q101" i="9"/>
  <c r="U103" i="9"/>
  <c r="Q105" i="9"/>
  <c r="U107" i="9"/>
  <c r="Q109" i="9"/>
  <c r="U111" i="9"/>
  <c r="Z101" i="9"/>
  <c r="V103" i="9"/>
  <c r="R105" i="9"/>
  <c r="N107" i="9"/>
  <c r="J109" i="9"/>
  <c r="AK112" i="9"/>
  <c r="AG112" i="9"/>
  <c r="U118" i="9"/>
  <c r="G118" i="9"/>
  <c r="P118" i="9"/>
  <c r="AB119" i="9"/>
  <c r="AB121" i="9" s="1"/>
  <c r="P120" i="9"/>
  <c r="V112" i="9"/>
  <c r="AC99" i="9"/>
  <c r="Y101" i="9"/>
  <c r="AC103" i="9"/>
  <c r="Y105" i="9"/>
  <c r="AC107" i="9"/>
  <c r="Y109" i="9"/>
  <c r="AC111" i="9"/>
  <c r="AH101" i="9"/>
  <c r="AD103" i="9"/>
  <c r="Z105" i="9"/>
  <c r="V107" i="9"/>
  <c r="Z109" i="9"/>
  <c r="AJ109" i="9"/>
  <c r="AB112" i="9"/>
  <c r="AC119" i="9"/>
  <c r="AC118" i="9"/>
  <c r="O118" i="9"/>
  <c r="AJ119" i="9"/>
  <c r="AJ121" i="9" s="1"/>
  <c r="AF112" i="9"/>
  <c r="AK99" i="9"/>
  <c r="AG101" i="9"/>
  <c r="AK103" i="9"/>
  <c r="AG105" i="9"/>
  <c r="AK107" i="9"/>
  <c r="AG109" i="9"/>
  <c r="AK111" i="9"/>
  <c r="L102" i="9"/>
  <c r="AL103" i="9"/>
  <c r="AH105" i="9"/>
  <c r="AD107" i="9"/>
  <c r="L110" i="9"/>
  <c r="N110" i="9"/>
  <c r="AL120" i="9"/>
  <c r="U119" i="9"/>
  <c r="AK118" i="9"/>
  <c r="AK121" i="9" s="1"/>
  <c r="W118" i="9"/>
  <c r="J119" i="9"/>
  <c r="AF118" i="9"/>
  <c r="AF121" i="9" s="1"/>
  <c r="G119" i="9"/>
  <c r="AE118" i="9"/>
  <c r="R119" i="9"/>
  <c r="AA118" i="9"/>
  <c r="AA121" i="9" s="1"/>
  <c r="O119" i="9"/>
  <c r="I119" i="9"/>
  <c r="I121" i="9" s="1"/>
  <c r="Z119" i="9"/>
  <c r="O105" i="9"/>
  <c r="S107" i="9"/>
  <c r="O109" i="9"/>
  <c r="S111" i="9"/>
  <c r="AA98" i="9"/>
  <c r="W100" i="9"/>
  <c r="AA102" i="9"/>
  <c r="W104" i="9"/>
  <c r="AA106" i="9"/>
  <c r="W108" i="9"/>
  <c r="AA110" i="9"/>
  <c r="X112" i="9"/>
  <c r="AJ102" i="9"/>
  <c r="X104" i="9"/>
  <c r="AB106" i="9"/>
  <c r="P108" i="9"/>
  <c r="V111" i="9"/>
  <c r="X111" i="9"/>
  <c r="W119" i="9"/>
  <c r="Q119" i="9"/>
  <c r="Q121" i="9" s="1"/>
  <c r="AH119" i="9"/>
  <c r="S118" i="9"/>
  <c r="S121" i="9" s="1"/>
  <c r="AE119" i="9"/>
  <c r="Y119" i="9"/>
  <c r="Y121" i="9" s="1"/>
  <c r="L119" i="9"/>
  <c r="L121" i="9" s="1"/>
  <c r="AH118" i="9"/>
  <c r="S120" i="9"/>
  <c r="M120" i="9"/>
  <c r="AD119" i="9"/>
  <c r="AD121" i="9" s="1"/>
  <c r="H119" i="9"/>
  <c r="F119" i="9"/>
  <c r="F121" i="9" s="1"/>
  <c r="AI120" i="9"/>
  <c r="AJ120" i="9"/>
  <c r="O120" i="9"/>
  <c r="R120" i="9"/>
  <c r="AH120" i="9"/>
  <c r="Y120" i="9"/>
  <c r="AA120" i="9"/>
  <c r="Z120" i="9"/>
  <c r="N119" i="9"/>
  <c r="N121" i="9" s="1"/>
  <c r="AF120" i="9"/>
  <c r="AG120" i="9"/>
  <c r="AK120" i="9"/>
  <c r="AE120" i="9"/>
  <c r="G120" i="9"/>
  <c r="L120" i="9"/>
  <c r="X120" i="9"/>
  <c r="W120" i="9"/>
  <c r="T120" i="9"/>
  <c r="I120" i="9"/>
  <c r="AB120" i="9"/>
  <c r="AC120" i="9"/>
  <c r="J120" i="9"/>
  <c r="U120" i="9"/>
  <c r="K120" i="9"/>
  <c r="V120" i="9"/>
  <c r="Q120" i="9"/>
  <c r="A34" i="4"/>
  <c r="K121" i="9"/>
  <c r="AL121" i="9"/>
  <c r="T110" i="9"/>
  <c r="H112" i="9"/>
  <c r="V110" i="9"/>
  <c r="R112" i="9"/>
  <c r="AJ110" i="9"/>
  <c r="Z112" i="9"/>
  <c r="AL110" i="9"/>
  <c r="Y112" i="9"/>
  <c r="R109" i="9"/>
  <c r="N111" i="9"/>
  <c r="AB109" i="9"/>
  <c r="P111" i="9"/>
  <c r="T112" i="9"/>
  <c r="AH109" i="9"/>
  <c r="AD111" i="9"/>
  <c r="F110" i="9"/>
  <c r="AF111" i="9"/>
  <c r="AJ112" i="10"/>
  <c r="AB112" i="10"/>
  <c r="T112" i="10"/>
  <c r="AG112" i="10"/>
  <c r="Y112" i="10"/>
  <c r="AI112" i="10"/>
  <c r="X112" i="10"/>
  <c r="O112" i="10"/>
  <c r="G112" i="10"/>
  <c r="AK111" i="10"/>
  <c r="AC111" i="10"/>
  <c r="U111" i="10"/>
  <c r="M111" i="10"/>
  <c r="AI110" i="10"/>
  <c r="AA110" i="10"/>
  <c r="S110" i="10"/>
  <c r="K110" i="10"/>
  <c r="AG109" i="10"/>
  <c r="Y109" i="10"/>
  <c r="Q109" i="10"/>
  <c r="I109" i="10"/>
  <c r="AE108" i="10"/>
  <c r="W108" i="10"/>
  <c r="O108" i="10"/>
  <c r="G108" i="10"/>
  <c r="AK107" i="10"/>
  <c r="AC107" i="10"/>
  <c r="U107" i="10"/>
  <c r="M107" i="10"/>
  <c r="AI106" i="10"/>
  <c r="AA106" i="10"/>
  <c r="S106" i="10"/>
  <c r="K106" i="10"/>
  <c r="AG105" i="10"/>
  <c r="Y105" i="10"/>
  <c r="Q105" i="10"/>
  <c r="I105" i="10"/>
  <c r="AH112" i="10"/>
  <c r="W112" i="10"/>
  <c r="N112" i="10"/>
  <c r="F112" i="10"/>
  <c r="AJ111" i="10"/>
  <c r="AB111" i="10"/>
  <c r="T111" i="10"/>
  <c r="L111" i="10"/>
  <c r="AH110" i="10"/>
  <c r="Z110" i="10"/>
  <c r="R110" i="10"/>
  <c r="J110" i="10"/>
  <c r="AF109" i="10"/>
  <c r="X109" i="10"/>
  <c r="P109" i="10"/>
  <c r="H109" i="10"/>
  <c r="AL108" i="10"/>
  <c r="AD108" i="10"/>
  <c r="V108" i="10"/>
  <c r="N108" i="10"/>
  <c r="F108" i="10"/>
  <c r="AJ107" i="10"/>
  <c r="AB107" i="10"/>
  <c r="T107" i="10"/>
  <c r="L107" i="10"/>
  <c r="AH106" i="10"/>
  <c r="Z106" i="10"/>
  <c r="R106" i="10"/>
  <c r="AF112" i="10"/>
  <c r="V112" i="10"/>
  <c r="M112" i="10"/>
  <c r="AI111" i="10"/>
  <c r="AA111" i="10"/>
  <c r="S111" i="10"/>
  <c r="K111" i="10"/>
  <c r="AG110" i="10"/>
  <c r="Y110" i="10"/>
  <c r="Q110" i="10"/>
  <c r="I110" i="10"/>
  <c r="AE109" i="10"/>
  <c r="W109" i="10"/>
  <c r="O109" i="10"/>
  <c r="G109" i="10"/>
  <c r="AK108" i="10"/>
  <c r="AC108" i="10"/>
  <c r="U108" i="10"/>
  <c r="M108" i="10"/>
  <c r="AI107" i="10"/>
  <c r="AA107" i="10"/>
  <c r="S107" i="10"/>
  <c r="K107" i="10"/>
  <c r="AG106" i="10"/>
  <c r="Y106" i="10"/>
  <c r="Q106" i="10"/>
  <c r="I106" i="10"/>
  <c r="AE105" i="10"/>
  <c r="W105" i="10"/>
  <c r="O105" i="10"/>
  <c r="G105" i="10"/>
  <c r="AK104" i="10"/>
  <c r="AC104" i="10"/>
  <c r="U104" i="10"/>
  <c r="M104" i="10"/>
  <c r="AI103" i="10"/>
  <c r="AA103" i="10"/>
  <c r="S103" i="10"/>
  <c r="K103" i="10"/>
  <c r="AE112" i="10"/>
  <c r="U112" i="10"/>
  <c r="L112" i="10"/>
  <c r="AH111" i="10"/>
  <c r="Z111" i="10"/>
  <c r="R111" i="10"/>
  <c r="J111" i="10"/>
  <c r="AF110" i="10"/>
  <c r="X110" i="10"/>
  <c r="P110" i="10"/>
  <c r="H110" i="10"/>
  <c r="AL109" i="10"/>
  <c r="AD109" i="10"/>
  <c r="V109" i="10"/>
  <c r="N109" i="10"/>
  <c r="F109" i="10"/>
  <c r="AJ108" i="10"/>
  <c r="AB108" i="10"/>
  <c r="T108" i="10"/>
  <c r="L108" i="10"/>
  <c r="AH107" i="10"/>
  <c r="Z107" i="10"/>
  <c r="R107" i="10"/>
  <c r="J107" i="10"/>
  <c r="AF106" i="10"/>
  <c r="X106" i="10"/>
  <c r="P106" i="10"/>
  <c r="H106" i="10"/>
  <c r="AD112" i="10"/>
  <c r="S112" i="10"/>
  <c r="K112" i="10"/>
  <c r="AG111" i="10"/>
  <c r="Y111" i="10"/>
  <c r="Q111" i="10"/>
  <c r="I111" i="10"/>
  <c r="AE110" i="10"/>
  <c r="W110" i="10"/>
  <c r="O110" i="10"/>
  <c r="G110" i="10"/>
  <c r="AK109" i="10"/>
  <c r="AC109" i="10"/>
  <c r="U109" i="10"/>
  <c r="M109" i="10"/>
  <c r="AI108" i="10"/>
  <c r="AA108" i="10"/>
  <c r="S108" i="10"/>
  <c r="K108" i="10"/>
  <c r="AG107" i="10"/>
  <c r="Y107" i="10"/>
  <c r="Q107" i="10"/>
  <c r="I107" i="10"/>
  <c r="AE106" i="10"/>
  <c r="W106" i="10"/>
  <c r="O106" i="10"/>
  <c r="G106" i="10"/>
  <c r="AK105" i="10"/>
  <c r="AC105" i="10"/>
  <c r="U105" i="10"/>
  <c r="M105" i="10"/>
  <c r="AI104" i="10"/>
  <c r="AA104" i="10"/>
  <c r="S104" i="10"/>
  <c r="K104" i="10"/>
  <c r="AG103" i="10"/>
  <c r="Y103" i="10"/>
  <c r="Q103" i="10"/>
  <c r="I103" i="10"/>
  <c r="AE102" i="10"/>
  <c r="W102" i="10"/>
  <c r="O102" i="10"/>
  <c r="G102" i="10"/>
  <c r="AK101" i="10"/>
  <c r="AC101" i="10"/>
  <c r="U101" i="10"/>
  <c r="M101" i="10"/>
  <c r="AI100" i="10"/>
  <c r="AA100" i="10"/>
  <c r="AC112" i="10"/>
  <c r="R112" i="10"/>
  <c r="J112" i="10"/>
  <c r="AF111" i="10"/>
  <c r="X111" i="10"/>
  <c r="P111" i="10"/>
  <c r="H111" i="10"/>
  <c r="AL110" i="10"/>
  <c r="AD110" i="10"/>
  <c r="V110" i="10"/>
  <c r="N110" i="10"/>
  <c r="F110" i="10"/>
  <c r="AJ109" i="10"/>
  <c r="AB109" i="10"/>
  <c r="T109" i="10"/>
  <c r="L109" i="10"/>
  <c r="AH108" i="10"/>
  <c r="Z108" i="10"/>
  <c r="R108" i="10"/>
  <c r="J108" i="10"/>
  <c r="AF107" i="10"/>
  <c r="X107" i="10"/>
  <c r="P107" i="10"/>
  <c r="H107" i="10"/>
  <c r="AL106" i="10"/>
  <c r="AD106" i="10"/>
  <c r="V106" i="10"/>
  <c r="N106" i="10"/>
  <c r="F106" i="10"/>
  <c r="AJ105" i="10"/>
  <c r="AB105" i="10"/>
  <c r="T105" i="10"/>
  <c r="L105" i="10"/>
  <c r="AH104" i="10"/>
  <c r="Z104" i="10"/>
  <c r="R104" i="10"/>
  <c r="J104" i="10"/>
  <c r="AF103" i="10"/>
  <c r="X103" i="10"/>
  <c r="P103" i="10"/>
  <c r="H103" i="10"/>
  <c r="AL102" i="10"/>
  <c r="AD102" i="10"/>
  <c r="V102" i="10"/>
  <c r="N102" i="10"/>
  <c r="F102" i="10"/>
  <c r="AJ101" i="10"/>
  <c r="AB101" i="10"/>
  <c r="AL112" i="10"/>
  <c r="AA112" i="10"/>
  <c r="Q112" i="10"/>
  <c r="I112" i="10"/>
  <c r="AE111" i="10"/>
  <c r="W111" i="10"/>
  <c r="O111" i="10"/>
  <c r="G111" i="10"/>
  <c r="AK110" i="10"/>
  <c r="AC110" i="10"/>
  <c r="U110" i="10"/>
  <c r="M110" i="10"/>
  <c r="AI109" i="10"/>
  <c r="AA109" i="10"/>
  <c r="S109" i="10"/>
  <c r="K109" i="10"/>
  <c r="AG108" i="10"/>
  <c r="Y108" i="10"/>
  <c r="Q108" i="10"/>
  <c r="I108" i="10"/>
  <c r="AE107" i="10"/>
  <c r="W107" i="10"/>
  <c r="O107" i="10"/>
  <c r="G107" i="10"/>
  <c r="AK106" i="10"/>
  <c r="AC106" i="10"/>
  <c r="U106" i="10"/>
  <c r="M106" i="10"/>
  <c r="AI105" i="10"/>
  <c r="AA105" i="10"/>
  <c r="S105" i="10"/>
  <c r="K105" i="10"/>
  <c r="AG104" i="10"/>
  <c r="Y104" i="10"/>
  <c r="Q104" i="10"/>
  <c r="I104" i="10"/>
  <c r="AE103" i="10"/>
  <c r="W103" i="10"/>
  <c r="O103" i="10"/>
  <c r="G103" i="10"/>
  <c r="AK102" i="10"/>
  <c r="AC102" i="10"/>
  <c r="U102" i="10"/>
  <c r="M102" i="10"/>
  <c r="AI101" i="10"/>
  <c r="AA101" i="10"/>
  <c r="S101" i="10"/>
  <c r="K101" i="10"/>
  <c r="AG100" i="10"/>
  <c r="Y100" i="10"/>
  <c r="AL111" i="10"/>
  <c r="L110" i="10"/>
  <c r="X108" i="10"/>
  <c r="AJ106" i="10"/>
  <c r="AH105" i="10"/>
  <c r="N105" i="10"/>
  <c r="AE104" i="10"/>
  <c r="O104" i="10"/>
  <c r="AK103" i="10"/>
  <c r="U103" i="10"/>
  <c r="AF102" i="10"/>
  <c r="R102" i="10"/>
  <c r="AE101" i="10"/>
  <c r="R101" i="10"/>
  <c r="H101" i="10"/>
  <c r="AJ100" i="10"/>
  <c r="X100" i="10"/>
  <c r="P100" i="10"/>
  <c r="H100" i="10"/>
  <c r="AL99" i="10"/>
  <c r="AD99" i="10"/>
  <c r="V99" i="10"/>
  <c r="N99" i="10"/>
  <c r="F99" i="10"/>
  <c r="AJ98" i="10"/>
  <c r="AB98" i="10"/>
  <c r="T98" i="10"/>
  <c r="L98" i="10"/>
  <c r="AH97" i="10"/>
  <c r="Z97" i="10"/>
  <c r="R97" i="10"/>
  <c r="J97" i="10"/>
  <c r="AF96" i="10"/>
  <c r="X96" i="10"/>
  <c r="P96" i="10"/>
  <c r="H96" i="10"/>
  <c r="AL95" i="10"/>
  <c r="AD95" i="10"/>
  <c r="V95" i="10"/>
  <c r="N95" i="10"/>
  <c r="F95" i="10"/>
  <c r="AJ94" i="10"/>
  <c r="AB94" i="10"/>
  <c r="T94" i="10"/>
  <c r="L94" i="10"/>
  <c r="AH93" i="10"/>
  <c r="Z93" i="10"/>
  <c r="R93" i="10"/>
  <c r="J93" i="10"/>
  <c r="AF92" i="10"/>
  <c r="X92" i="10"/>
  <c r="P92" i="10"/>
  <c r="H92" i="10"/>
  <c r="AL91" i="10"/>
  <c r="AD91" i="10"/>
  <c r="V91" i="10"/>
  <c r="N91" i="10"/>
  <c r="F91" i="10"/>
  <c r="AJ90" i="10"/>
  <c r="AB90" i="10"/>
  <c r="T90" i="10"/>
  <c r="L90" i="10"/>
  <c r="AH89" i="10"/>
  <c r="Z89" i="10"/>
  <c r="R89" i="10"/>
  <c r="J89" i="10"/>
  <c r="AF88" i="10"/>
  <c r="X88" i="10"/>
  <c r="P88" i="10"/>
  <c r="H88" i="10"/>
  <c r="AL87" i="10"/>
  <c r="AD87" i="10"/>
  <c r="V87" i="10"/>
  <c r="N87" i="10"/>
  <c r="AD111" i="10"/>
  <c r="P108" i="10"/>
  <c r="AB106" i="10"/>
  <c r="AF105" i="10"/>
  <c r="J105" i="10"/>
  <c r="AD104" i="10"/>
  <c r="N104" i="10"/>
  <c r="AJ103" i="10"/>
  <c r="T103" i="10"/>
  <c r="AB102" i="10"/>
  <c r="Q102" i="10"/>
  <c r="AD101" i="10"/>
  <c r="Q101" i="10"/>
  <c r="G101" i="10"/>
  <c r="AH100" i="10"/>
  <c r="W100" i="10"/>
  <c r="O100" i="10"/>
  <c r="G100" i="10"/>
  <c r="AK99" i="10"/>
  <c r="AC99" i="10"/>
  <c r="U99" i="10"/>
  <c r="M99" i="10"/>
  <c r="AI98" i="10"/>
  <c r="AA98" i="10"/>
  <c r="S98" i="10"/>
  <c r="K98" i="10"/>
  <c r="AG97" i="10"/>
  <c r="Y97" i="10"/>
  <c r="Q97" i="10"/>
  <c r="I97" i="10"/>
  <c r="AE96" i="10"/>
  <c r="W96" i="10"/>
  <c r="O96" i="10"/>
  <c r="G96" i="10"/>
  <c r="AK95" i="10"/>
  <c r="AC95" i="10"/>
  <c r="U95" i="10"/>
  <c r="M95" i="10"/>
  <c r="AI94" i="10"/>
  <c r="AA94" i="10"/>
  <c r="S94" i="10"/>
  <c r="K94" i="10"/>
  <c r="AG93" i="10"/>
  <c r="Y93" i="10"/>
  <c r="Q93" i="10"/>
  <c r="I93" i="10"/>
  <c r="V111" i="10"/>
  <c r="AH109" i="10"/>
  <c r="H108" i="10"/>
  <c r="T106" i="10"/>
  <c r="AD105" i="10"/>
  <c r="H105" i="10"/>
  <c r="AB104" i="10"/>
  <c r="L104" i="10"/>
  <c r="AH103" i="10"/>
  <c r="R103" i="10"/>
  <c r="AA102" i="10"/>
  <c r="P102" i="10"/>
  <c r="Z101" i="10"/>
  <c r="P101" i="10"/>
  <c r="F101" i="10"/>
  <c r="AF100" i="10"/>
  <c r="V100" i="10"/>
  <c r="N100" i="10"/>
  <c r="F100" i="10"/>
  <c r="AJ99" i="10"/>
  <c r="AB99" i="10"/>
  <c r="T99" i="10"/>
  <c r="L99" i="10"/>
  <c r="AH98" i="10"/>
  <c r="Z98" i="10"/>
  <c r="R98" i="10"/>
  <c r="J98" i="10"/>
  <c r="AF97" i="10"/>
  <c r="X97" i="10"/>
  <c r="P97" i="10"/>
  <c r="H97" i="10"/>
  <c r="AL96" i="10"/>
  <c r="AD96" i="10"/>
  <c r="V96" i="10"/>
  <c r="N96" i="10"/>
  <c r="F96" i="10"/>
  <c r="AJ95" i="10"/>
  <c r="AB95" i="10"/>
  <c r="T95" i="10"/>
  <c r="L95" i="10"/>
  <c r="AH94" i="10"/>
  <c r="Z94" i="10"/>
  <c r="R94" i="10"/>
  <c r="J94" i="10"/>
  <c r="AF93" i="10"/>
  <c r="X93" i="10"/>
  <c r="P93" i="10"/>
  <c r="H93" i="10"/>
  <c r="AL92" i="10"/>
  <c r="AD92" i="10"/>
  <c r="V92" i="10"/>
  <c r="N92" i="10"/>
  <c r="F92" i="10"/>
  <c r="AJ91" i="10"/>
  <c r="AB91" i="10"/>
  <c r="T91" i="10"/>
  <c r="L91" i="10"/>
  <c r="AH90" i="10"/>
  <c r="Z90" i="10"/>
  <c r="N111" i="10"/>
  <c r="Z109" i="10"/>
  <c r="AL107" i="10"/>
  <c r="L106" i="10"/>
  <c r="Z105" i="10"/>
  <c r="F105" i="10"/>
  <c r="X104" i="10"/>
  <c r="H104" i="10"/>
  <c r="AD103" i="10"/>
  <c r="N103" i="10"/>
  <c r="Z102" i="10"/>
  <c r="L102" i="10"/>
  <c r="Y101" i="10"/>
  <c r="O101" i="10"/>
  <c r="AE100" i="10"/>
  <c r="U100" i="10"/>
  <c r="M100" i="10"/>
  <c r="AI99" i="10"/>
  <c r="AA99" i="10"/>
  <c r="S99" i="10"/>
  <c r="K99" i="10"/>
  <c r="AG98" i="10"/>
  <c r="Y98" i="10"/>
  <c r="Q98" i="10"/>
  <c r="I98" i="10"/>
  <c r="AE97" i="10"/>
  <c r="W97" i="10"/>
  <c r="O97" i="10"/>
  <c r="G97" i="10"/>
  <c r="AK96" i="10"/>
  <c r="AC96" i="10"/>
  <c r="U96" i="10"/>
  <c r="M96" i="10"/>
  <c r="AI95" i="10"/>
  <c r="AA95" i="10"/>
  <c r="S95" i="10"/>
  <c r="K95" i="10"/>
  <c r="AG94" i="10"/>
  <c r="Y94" i="10"/>
  <c r="Q94" i="10"/>
  <c r="I94" i="10"/>
  <c r="AE93" i="10"/>
  <c r="W93" i="10"/>
  <c r="O93" i="10"/>
  <c r="G93" i="10"/>
  <c r="AK92" i="10"/>
  <c r="AK112" i="10"/>
  <c r="F111" i="10"/>
  <c r="R109" i="10"/>
  <c r="AD107" i="10"/>
  <c r="J106" i="10"/>
  <c r="X105" i="10"/>
  <c r="W104" i="10"/>
  <c r="G104" i="10"/>
  <c r="AC103" i="10"/>
  <c r="M103" i="10"/>
  <c r="AJ102" i="10"/>
  <c r="Y102" i="10"/>
  <c r="K102" i="10"/>
  <c r="AL101" i="10"/>
  <c r="X101" i="10"/>
  <c r="N101" i="10"/>
  <c r="AD100" i="10"/>
  <c r="T100" i="10"/>
  <c r="L100" i="10"/>
  <c r="AH99" i="10"/>
  <c r="Z99" i="10"/>
  <c r="R99" i="10"/>
  <c r="J99" i="10"/>
  <c r="AF98" i="10"/>
  <c r="X98" i="10"/>
  <c r="P98" i="10"/>
  <c r="H98" i="10"/>
  <c r="AL97" i="10"/>
  <c r="AD97" i="10"/>
  <c r="V97" i="10"/>
  <c r="N97" i="10"/>
  <c r="F97" i="10"/>
  <c r="AJ96" i="10"/>
  <c r="AB96" i="10"/>
  <c r="T96" i="10"/>
  <c r="L96" i="10"/>
  <c r="AH95" i="10"/>
  <c r="Z95" i="10"/>
  <c r="R95" i="10"/>
  <c r="J95" i="10"/>
  <c r="AF94" i="10"/>
  <c r="X94" i="10"/>
  <c r="P94" i="10"/>
  <c r="H94" i="10"/>
  <c r="AL93" i="10"/>
  <c r="AD93" i="10"/>
  <c r="V93" i="10"/>
  <c r="N93" i="10"/>
  <c r="F93" i="10"/>
  <c r="AJ92" i="10"/>
  <c r="AB92" i="10"/>
  <c r="T92" i="10"/>
  <c r="L92" i="10"/>
  <c r="AH91" i="10"/>
  <c r="Z91" i="10"/>
  <c r="R91" i="10"/>
  <c r="J91" i="10"/>
  <c r="AF90" i="10"/>
  <c r="X90" i="10"/>
  <c r="P90" i="10"/>
  <c r="H90" i="10"/>
  <c r="AL89" i="10"/>
  <c r="AD89" i="10"/>
  <c r="V89" i="10"/>
  <c r="N89" i="10"/>
  <c r="F89" i="10"/>
  <c r="AJ88" i="10"/>
  <c r="AB88" i="10"/>
  <c r="T88" i="10"/>
  <c r="L88" i="10"/>
  <c r="AH87" i="10"/>
  <c r="Z87" i="10"/>
  <c r="R87" i="10"/>
  <c r="Z112" i="10"/>
  <c r="AJ110" i="10"/>
  <c r="J109" i="10"/>
  <c r="V107" i="10"/>
  <c r="V105" i="10"/>
  <c r="AL104" i="10"/>
  <c r="V104" i="10"/>
  <c r="F104" i="10"/>
  <c r="AB103" i="10"/>
  <c r="L103" i="10"/>
  <c r="AI102" i="10"/>
  <c r="X102" i="10"/>
  <c r="J102" i="10"/>
  <c r="AH101" i="10"/>
  <c r="W101" i="10"/>
  <c r="L101" i="10"/>
  <c r="AC100" i="10"/>
  <c r="S100" i="10"/>
  <c r="K100" i="10"/>
  <c r="AG99" i="10"/>
  <c r="Y99" i="10"/>
  <c r="Q99" i="10"/>
  <c r="I99" i="10"/>
  <c r="AE98" i="10"/>
  <c r="W98" i="10"/>
  <c r="O98" i="10"/>
  <c r="G98" i="10"/>
  <c r="AK97" i="10"/>
  <c r="AC97" i="10"/>
  <c r="U97" i="10"/>
  <c r="M97" i="10"/>
  <c r="AI96" i="10"/>
  <c r="AA96" i="10"/>
  <c r="S96" i="10"/>
  <c r="K96" i="10"/>
  <c r="AG95" i="10"/>
  <c r="Y95" i="10"/>
  <c r="Q95" i="10"/>
  <c r="I95" i="10"/>
  <c r="AE94" i="10"/>
  <c r="W94" i="10"/>
  <c r="O94" i="10"/>
  <c r="G94" i="10"/>
  <c r="AK93" i="10"/>
  <c r="AC93" i="10"/>
  <c r="U93" i="10"/>
  <c r="M93" i="10"/>
  <c r="AI92" i="10"/>
  <c r="AA92" i="10"/>
  <c r="S92" i="10"/>
  <c r="K92" i="10"/>
  <c r="AG91" i="10"/>
  <c r="Y91" i="10"/>
  <c r="Q91" i="10"/>
  <c r="I91" i="10"/>
  <c r="AE90" i="10"/>
  <c r="W90" i="10"/>
  <c r="P112" i="10"/>
  <c r="AB110" i="10"/>
  <c r="N107" i="10"/>
  <c r="R105" i="10"/>
  <c r="AJ104" i="10"/>
  <c r="T104" i="10"/>
  <c r="Z103" i="10"/>
  <c r="J103" i="10"/>
  <c r="AH102" i="10"/>
  <c r="T102" i="10"/>
  <c r="I102" i="10"/>
  <c r="AG101" i="10"/>
  <c r="V101" i="10"/>
  <c r="J101" i="10"/>
  <c r="AL100" i="10"/>
  <c r="AB100" i="10"/>
  <c r="R100" i="10"/>
  <c r="J100" i="10"/>
  <c r="AF99" i="10"/>
  <c r="X99" i="10"/>
  <c r="P99" i="10"/>
  <c r="H99" i="10"/>
  <c r="AL98" i="10"/>
  <c r="AD98" i="10"/>
  <c r="V98" i="10"/>
  <c r="N98" i="10"/>
  <c r="F98" i="10"/>
  <c r="AJ97" i="10"/>
  <c r="AB97" i="10"/>
  <c r="T97" i="10"/>
  <c r="L97" i="10"/>
  <c r="AH96" i="10"/>
  <c r="Z96" i="10"/>
  <c r="R96" i="10"/>
  <c r="J96" i="10"/>
  <c r="AF95" i="10"/>
  <c r="AF118" i="10" s="1"/>
  <c r="X95" i="10"/>
  <c r="X118" i="10" s="1"/>
  <c r="P95" i="10"/>
  <c r="P118" i="10" s="1"/>
  <c r="H95" i="10"/>
  <c r="AL94" i="10"/>
  <c r="AD94" i="10"/>
  <c r="V94" i="10"/>
  <c r="N94" i="10"/>
  <c r="F94" i="10"/>
  <c r="AJ93" i="10"/>
  <c r="AB93" i="10"/>
  <c r="T93" i="10"/>
  <c r="L93" i="10"/>
  <c r="AH92" i="10"/>
  <c r="Z92" i="10"/>
  <c r="R92" i="10"/>
  <c r="J92" i="10"/>
  <c r="AF91" i="10"/>
  <c r="X91" i="10"/>
  <c r="P91" i="10"/>
  <c r="H91" i="10"/>
  <c r="AL90" i="10"/>
  <c r="AD90" i="10"/>
  <c r="V90" i="10"/>
  <c r="N90" i="10"/>
  <c r="F90" i="10"/>
  <c r="H112" i="10"/>
  <c r="AL103" i="10"/>
  <c r="I101" i="10"/>
  <c r="O99" i="10"/>
  <c r="AA97" i="10"/>
  <c r="M94" i="10"/>
  <c r="AE92" i="10"/>
  <c r="I92" i="10"/>
  <c r="AA91" i="10"/>
  <c r="U90" i="10"/>
  <c r="I90" i="10"/>
  <c r="AI89" i="10"/>
  <c r="X89" i="10"/>
  <c r="M89" i="10"/>
  <c r="AD88" i="10"/>
  <c r="S88" i="10"/>
  <c r="I88" i="10"/>
  <c r="AJ87" i="10"/>
  <c r="Y87" i="10"/>
  <c r="O87" i="10"/>
  <c r="F87" i="10"/>
  <c r="AJ86" i="10"/>
  <c r="AB86" i="10"/>
  <c r="T86" i="10"/>
  <c r="L86" i="10"/>
  <c r="AH85" i="10"/>
  <c r="Z85" i="10"/>
  <c r="R85" i="10"/>
  <c r="J85" i="10"/>
  <c r="AF84" i="10"/>
  <c r="X84" i="10"/>
  <c r="P84" i="10"/>
  <c r="H84" i="10"/>
  <c r="T110" i="10"/>
  <c r="V103" i="10"/>
  <c r="AK100" i="10"/>
  <c r="G99" i="10"/>
  <c r="S97" i="10"/>
  <c r="AE95" i="10"/>
  <c r="AE118" i="10" s="1"/>
  <c r="AC92" i="10"/>
  <c r="G92" i="10"/>
  <c r="W91" i="10"/>
  <c r="S90" i="10"/>
  <c r="G90" i="10"/>
  <c r="AG89" i="10"/>
  <c r="W89" i="10"/>
  <c r="L89" i="10"/>
  <c r="AC88" i="10"/>
  <c r="R88" i="10"/>
  <c r="G88" i="10"/>
  <c r="AI87" i="10"/>
  <c r="X87" i="10"/>
  <c r="M87" i="10"/>
  <c r="AI86" i="10"/>
  <c r="AA86" i="10"/>
  <c r="S86" i="10"/>
  <c r="K86" i="10"/>
  <c r="AG85" i="10"/>
  <c r="Y85" i="10"/>
  <c r="Q85" i="10"/>
  <c r="I85" i="10"/>
  <c r="AE84" i="10"/>
  <c r="W84" i="10"/>
  <c r="O84" i="10"/>
  <c r="G84" i="10"/>
  <c r="AF108" i="10"/>
  <c r="F103" i="10"/>
  <c r="Z100" i="10"/>
  <c r="AK98" i="10"/>
  <c r="K97" i="10"/>
  <c r="W95" i="10"/>
  <c r="W118" i="10" s="1"/>
  <c r="AI93" i="10"/>
  <c r="Y92" i="10"/>
  <c r="U91" i="10"/>
  <c r="AK90" i="10"/>
  <c r="R90" i="10"/>
  <c r="AF89" i="10"/>
  <c r="U89" i="10"/>
  <c r="K89" i="10"/>
  <c r="AL88" i="10"/>
  <c r="AA88" i="10"/>
  <c r="Q88" i="10"/>
  <c r="F88" i="10"/>
  <c r="AG87" i="10"/>
  <c r="W87" i="10"/>
  <c r="L87" i="10"/>
  <c r="AH86" i="10"/>
  <c r="Z86" i="10"/>
  <c r="R86" i="10"/>
  <c r="J86" i="10"/>
  <c r="AF85" i="10"/>
  <c r="X85" i="10"/>
  <c r="P85" i="10"/>
  <c r="H85" i="10"/>
  <c r="AL84" i="10"/>
  <c r="AD84" i="10"/>
  <c r="V84" i="10"/>
  <c r="N84" i="10"/>
  <c r="F84" i="10"/>
  <c r="F107" i="10"/>
  <c r="AG102" i="10"/>
  <c r="Q100" i="10"/>
  <c r="AC98" i="10"/>
  <c r="O95" i="10"/>
  <c r="O118" i="10" s="1"/>
  <c r="AA93" i="10"/>
  <c r="W92" i="10"/>
  <c r="S91" i="10"/>
  <c r="AI90" i="10"/>
  <c r="Q90" i="10"/>
  <c r="AE89" i="10"/>
  <c r="T89" i="10"/>
  <c r="I89" i="10"/>
  <c r="AK88" i="10"/>
  <c r="Z88" i="10"/>
  <c r="O88" i="10"/>
  <c r="AF87" i="10"/>
  <c r="U87" i="10"/>
  <c r="K87" i="10"/>
  <c r="AG86" i="10"/>
  <c r="Y86" i="10"/>
  <c r="Q86" i="10"/>
  <c r="I86" i="10"/>
  <c r="AE85" i="10"/>
  <c r="W85" i="10"/>
  <c r="O85" i="10"/>
  <c r="G85" i="10"/>
  <c r="AK84" i="10"/>
  <c r="AC84" i="10"/>
  <c r="U84" i="10"/>
  <c r="M84" i="10"/>
  <c r="AL105" i="10"/>
  <c r="S102" i="10"/>
  <c r="I100" i="10"/>
  <c r="U98" i="10"/>
  <c r="AG96" i="10"/>
  <c r="G95" i="10"/>
  <c r="G118" i="10" s="1"/>
  <c r="S93" i="10"/>
  <c r="U92" i="10"/>
  <c r="AK91" i="10"/>
  <c r="O91" i="10"/>
  <c r="AG90" i="10"/>
  <c r="O90" i="10"/>
  <c r="AC89" i="10"/>
  <c r="S89" i="10"/>
  <c r="H89" i="10"/>
  <c r="AI88" i="10"/>
  <c r="Y88" i="10"/>
  <c r="N88" i="10"/>
  <c r="AE87" i="10"/>
  <c r="T87" i="10"/>
  <c r="J87" i="10"/>
  <c r="AF86" i="10"/>
  <c r="X86" i="10"/>
  <c r="P86" i="10"/>
  <c r="H86" i="10"/>
  <c r="AL85" i="10"/>
  <c r="AD85" i="10"/>
  <c r="V85" i="10"/>
  <c r="N85" i="10"/>
  <c r="F85" i="10"/>
  <c r="AJ84" i="10"/>
  <c r="AB84" i="10"/>
  <c r="T84" i="10"/>
  <c r="L84" i="10"/>
  <c r="P105" i="10"/>
  <c r="H102" i="10"/>
  <c r="M98" i="10"/>
  <c r="Y96" i="10"/>
  <c r="AK94" i="10"/>
  <c r="K93" i="10"/>
  <c r="Q92" i="10"/>
  <c r="AI91" i="10"/>
  <c r="M91" i="10"/>
  <c r="AC90" i="10"/>
  <c r="M90" i="10"/>
  <c r="AB89" i="10"/>
  <c r="Q89" i="10"/>
  <c r="G89" i="10"/>
  <c r="AH88" i="10"/>
  <c r="W88" i="10"/>
  <c r="M88" i="10"/>
  <c r="AC87" i="10"/>
  <c r="S87" i="10"/>
  <c r="I87" i="10"/>
  <c r="AE86" i="10"/>
  <c r="W86" i="10"/>
  <c r="O86" i="10"/>
  <c r="G86" i="10"/>
  <c r="AK85" i="10"/>
  <c r="AC85" i="10"/>
  <c r="U85" i="10"/>
  <c r="U119" i="10" s="1"/>
  <c r="M85" i="10"/>
  <c r="AI84" i="10"/>
  <c r="AA84" i="10"/>
  <c r="S84" i="10"/>
  <c r="K84" i="10"/>
  <c r="AF101" i="10"/>
  <c r="AC94" i="10"/>
  <c r="K91" i="10"/>
  <c r="AA89" i="10"/>
  <c r="V88" i="10"/>
  <c r="Q87" i="10"/>
  <c r="V86" i="10"/>
  <c r="AB85" i="10"/>
  <c r="AH84" i="10"/>
  <c r="T101" i="10"/>
  <c r="U94" i="10"/>
  <c r="G91" i="10"/>
  <c r="Y89" i="10"/>
  <c r="U88" i="10"/>
  <c r="P87" i="10"/>
  <c r="U86" i="10"/>
  <c r="AA85" i="10"/>
  <c r="AA119" i="10" s="1"/>
  <c r="AA120" i="10" s="1"/>
  <c r="AG84" i="10"/>
  <c r="AE99" i="10"/>
  <c r="AA90" i="10"/>
  <c r="P89" i="10"/>
  <c r="K88" i="10"/>
  <c r="H87" i="10"/>
  <c r="N86" i="10"/>
  <c r="T85" i="10"/>
  <c r="T119" i="10" s="1"/>
  <c r="Z84" i="10"/>
  <c r="W99" i="10"/>
  <c r="AG92" i="10"/>
  <c r="Y90" i="10"/>
  <c r="O89" i="10"/>
  <c r="J88" i="10"/>
  <c r="G87" i="10"/>
  <c r="M86" i="10"/>
  <c r="S85" i="10"/>
  <c r="S119" i="10" s="1"/>
  <c r="S120" i="10" s="1"/>
  <c r="Y84" i="10"/>
  <c r="O92" i="10"/>
  <c r="K90" i="10"/>
  <c r="AL86" i="10"/>
  <c r="F86" i="10"/>
  <c r="L85" i="10"/>
  <c r="R84" i="10"/>
  <c r="AI97" i="10"/>
  <c r="M92" i="10"/>
  <c r="J90" i="10"/>
  <c r="AK87" i="10"/>
  <c r="AK86" i="10"/>
  <c r="K85" i="10"/>
  <c r="Q84" i="10"/>
  <c r="AF104" i="10"/>
  <c r="Q96" i="10"/>
  <c r="AE91" i="10"/>
  <c r="AK89" i="10"/>
  <c r="AG88" i="10"/>
  <c r="AB87" i="10"/>
  <c r="AD86" i="10"/>
  <c r="AJ85" i="10"/>
  <c r="J84" i="10"/>
  <c r="AC91" i="10"/>
  <c r="AJ89" i="10"/>
  <c r="AE88" i="10"/>
  <c r="AA87" i="10"/>
  <c r="AC86" i="10"/>
  <c r="AI85" i="10"/>
  <c r="AI119" i="10" s="1"/>
  <c r="AI120" i="10" s="1"/>
  <c r="P104" i="10"/>
  <c r="I96" i="10"/>
  <c r="I84" i="10"/>
  <c r="E112" i="4"/>
  <c r="A95" i="8"/>
  <c r="E89" i="4"/>
  <c r="A72" i="8"/>
  <c r="E97" i="4"/>
  <c r="A80" i="8"/>
  <c r="E105" i="4"/>
  <c r="A88" i="8"/>
  <c r="E113" i="4"/>
  <c r="A96" i="8"/>
  <c r="E96" i="4"/>
  <c r="A79" i="8"/>
  <c r="E83" i="4"/>
  <c r="E90" i="4"/>
  <c r="A73" i="8"/>
  <c r="E98" i="4"/>
  <c r="A81" i="8"/>
  <c r="E106" i="4"/>
  <c r="A89" i="8"/>
  <c r="E91" i="4"/>
  <c r="A74" i="8"/>
  <c r="E99" i="4"/>
  <c r="A82" i="8"/>
  <c r="E107" i="4"/>
  <c r="A90" i="8"/>
  <c r="E84" i="4"/>
  <c r="A67" i="8"/>
  <c r="E92" i="4"/>
  <c r="A75" i="8"/>
  <c r="E100" i="4"/>
  <c r="A83" i="8"/>
  <c r="E108" i="4"/>
  <c r="A91" i="8"/>
  <c r="E88" i="4"/>
  <c r="A71" i="8"/>
  <c r="E85" i="4"/>
  <c r="A68" i="8"/>
  <c r="E93" i="4"/>
  <c r="A76" i="8"/>
  <c r="E101" i="4"/>
  <c r="A84" i="8"/>
  <c r="E109" i="4"/>
  <c r="A92" i="8"/>
  <c r="E104" i="4"/>
  <c r="A87" i="8"/>
  <c r="E86" i="4"/>
  <c r="A69" i="8"/>
  <c r="E94" i="4"/>
  <c r="A77" i="8"/>
  <c r="E102" i="4"/>
  <c r="A85" i="8"/>
  <c r="E110" i="4"/>
  <c r="A93" i="8"/>
  <c r="E87" i="4"/>
  <c r="A70" i="8"/>
  <c r="E95" i="4"/>
  <c r="A78" i="8"/>
  <c r="E103" i="4"/>
  <c r="A86" i="8"/>
  <c r="E111" i="4"/>
  <c r="A94" i="8"/>
  <c r="D45" i="4"/>
  <c r="C45" i="4"/>
  <c r="B45" i="4"/>
  <c r="B41" i="4" s="1"/>
  <c r="A118" i="4"/>
  <c r="A119" i="4" s="1"/>
  <c r="A87" i="4"/>
  <c r="I70" i="8"/>
  <c r="F53" i="4"/>
  <c r="B70" i="8" s="1"/>
  <c r="AE70" i="8"/>
  <c r="A91" i="4"/>
  <c r="F57" i="4"/>
  <c r="B74" i="8" s="1"/>
  <c r="A84" i="4"/>
  <c r="F50" i="4"/>
  <c r="A88" i="4"/>
  <c r="F54" i="4"/>
  <c r="A92" i="4"/>
  <c r="F58" i="4"/>
  <c r="A94" i="4"/>
  <c r="AE77" i="8"/>
  <c r="O77" i="8"/>
  <c r="AD77" i="8"/>
  <c r="AB77" i="8"/>
  <c r="Q77" i="8"/>
  <c r="E77" i="8"/>
  <c r="M77" i="8"/>
  <c r="C77" i="8"/>
  <c r="AH77" i="8"/>
  <c r="F60" i="4"/>
  <c r="K77" i="8"/>
  <c r="I77" i="8"/>
  <c r="A98" i="4"/>
  <c r="AB81" i="8"/>
  <c r="AA81" i="8"/>
  <c r="S81" i="8"/>
  <c r="C81" i="8"/>
  <c r="J81" i="8"/>
  <c r="F64" i="4"/>
  <c r="B81" i="8" s="1"/>
  <c r="AG81" i="8"/>
  <c r="AF81" i="8"/>
  <c r="W81" i="8"/>
  <c r="AD81" i="8"/>
  <c r="N81" i="8"/>
  <c r="M81" i="8"/>
  <c r="A86" i="4"/>
  <c r="F52" i="4"/>
  <c r="A90" i="4"/>
  <c r="G73" i="8"/>
  <c r="AD73" i="8"/>
  <c r="V73" i="8"/>
  <c r="F73" i="8"/>
  <c r="U73" i="8"/>
  <c r="AF73" i="8"/>
  <c r="I73" i="8"/>
  <c r="R73" i="8"/>
  <c r="H73" i="8"/>
  <c r="Z73" i="8"/>
  <c r="X73" i="8"/>
  <c r="F56" i="4"/>
  <c r="B73" i="8" s="1"/>
  <c r="A96" i="4"/>
  <c r="S79" i="8"/>
  <c r="Z79" i="8"/>
  <c r="R79" i="8"/>
  <c r="F62" i="4"/>
  <c r="B79" i="8" s="1"/>
  <c r="Y79" i="8"/>
  <c r="E79" i="8"/>
  <c r="AF79" i="8"/>
  <c r="V79" i="8"/>
  <c r="AE79" i="8"/>
  <c r="T79" i="8"/>
  <c r="AC79" i="8"/>
  <c r="P79" i="8"/>
  <c r="A95" i="4"/>
  <c r="F61" i="4"/>
  <c r="B78" i="8" s="1"/>
  <c r="A41" i="4"/>
  <c r="F51" i="4"/>
  <c r="B68" i="8" s="1"/>
  <c r="X68" i="8"/>
  <c r="Z76" i="8"/>
  <c r="A100" i="4"/>
  <c r="Y83" i="8"/>
  <c r="Q83" i="8"/>
  <c r="I83" i="8"/>
  <c r="O83" i="8"/>
  <c r="E83" i="8"/>
  <c r="AB83" i="8"/>
  <c r="T83" i="8"/>
  <c r="L83" i="8"/>
  <c r="D83" i="8"/>
  <c r="S83" i="8"/>
  <c r="F66" i="4"/>
  <c r="B83" i="8" s="1"/>
  <c r="A102" i="4"/>
  <c r="AB85" i="8"/>
  <c r="M85" i="8"/>
  <c r="E85" i="8"/>
  <c r="AE85" i="8"/>
  <c r="L85" i="8"/>
  <c r="AD85" i="8"/>
  <c r="K85" i="8"/>
  <c r="J85" i="8"/>
  <c r="F68" i="4"/>
  <c r="B85" i="8" s="1"/>
  <c r="Q85" i="8"/>
  <c r="I85" i="8"/>
  <c r="Y85" i="8"/>
  <c r="AH85" i="8"/>
  <c r="O85" i="8"/>
  <c r="G85" i="8"/>
  <c r="A104" i="4"/>
  <c r="I87" i="8"/>
  <c r="AF87" i="8"/>
  <c r="P87" i="8"/>
  <c r="H87" i="8"/>
  <c r="AC87" i="8"/>
  <c r="G87" i="8"/>
  <c r="Z87" i="8"/>
  <c r="N87" i="8"/>
  <c r="AH87" i="8"/>
  <c r="V87" i="8"/>
  <c r="F70" i="4"/>
  <c r="B87" i="8" s="1"/>
  <c r="U87" i="8"/>
  <c r="A106" i="4"/>
  <c r="AC89" i="8"/>
  <c r="E89" i="8"/>
  <c r="F89" i="8"/>
  <c r="C89" i="8"/>
  <c r="AH89" i="8"/>
  <c r="F72" i="4"/>
  <c r="B89" i="8" s="1"/>
  <c r="W89" i="8"/>
  <c r="J89" i="8"/>
  <c r="I89" i="8"/>
  <c r="R89" i="8"/>
  <c r="A108" i="4"/>
  <c r="AG91" i="8"/>
  <c r="H91" i="8"/>
  <c r="Z91" i="8"/>
  <c r="N91" i="8"/>
  <c r="C91" i="8"/>
  <c r="F74" i="4"/>
  <c r="B91" i="8" s="1"/>
  <c r="U91" i="8"/>
  <c r="J91" i="8"/>
  <c r="G91" i="8"/>
  <c r="A110" i="4"/>
  <c r="AC93" i="8"/>
  <c r="E93" i="8"/>
  <c r="F76" i="4"/>
  <c r="B93" i="8" s="1"/>
  <c r="AG93" i="8"/>
  <c r="K93" i="8"/>
  <c r="AA93" i="8"/>
  <c r="Q93" i="8"/>
  <c r="G93" i="8"/>
  <c r="Z93" i="8"/>
  <c r="A112" i="4"/>
  <c r="H95" i="8"/>
  <c r="AC95" i="8"/>
  <c r="F78" i="4"/>
  <c r="B95" i="8" s="1"/>
  <c r="F63" i="4"/>
  <c r="B80" i="8" s="1"/>
  <c r="P68" i="8"/>
  <c r="Q68" i="8"/>
  <c r="F55" i="4"/>
  <c r="A85" i="4"/>
  <c r="AC68" i="8"/>
  <c r="A89" i="4"/>
  <c r="A93" i="4"/>
  <c r="T76" i="8"/>
  <c r="A97" i="4"/>
  <c r="A99" i="4"/>
  <c r="F65" i="4"/>
  <c r="B82" i="8" s="1"/>
  <c r="A101" i="4"/>
  <c r="F67" i="4"/>
  <c r="B84" i="8" s="1"/>
  <c r="T84" i="8"/>
  <c r="A103" i="4"/>
  <c r="F69" i="4"/>
  <c r="A105" i="4"/>
  <c r="F71" i="4"/>
  <c r="B88" i="8" s="1"/>
  <c r="W88" i="8"/>
  <c r="L88" i="8"/>
  <c r="A107" i="4"/>
  <c r="AH90" i="8"/>
  <c r="F73" i="4"/>
  <c r="B90" i="8" s="1"/>
  <c r="A109" i="4"/>
  <c r="F75" i="4"/>
  <c r="B92" i="8" s="1"/>
  <c r="A111" i="4"/>
  <c r="G94" i="8"/>
  <c r="F77" i="4"/>
  <c r="B94" i="8" s="1"/>
  <c r="K76" i="8"/>
  <c r="F59" i="4"/>
  <c r="B76" i="8" s="1"/>
  <c r="AA80" i="8"/>
  <c r="C119" i="4"/>
  <c r="P121" i="9" l="1"/>
  <c r="X121" i="9"/>
  <c r="M121" i="9"/>
  <c r="R121" i="9"/>
  <c r="Z121" i="9"/>
  <c r="J121" i="9"/>
  <c r="L119" i="10"/>
  <c r="L120" i="10" s="1"/>
  <c r="H118" i="10"/>
  <c r="W121" i="9"/>
  <c r="G121" i="9"/>
  <c r="H121" i="9"/>
  <c r="AH121" i="9"/>
  <c r="U121" i="9"/>
  <c r="O121" i="9"/>
  <c r="AC121" i="9"/>
  <c r="AE121" i="9"/>
  <c r="U120" i="10"/>
  <c r="V119" i="10"/>
  <c r="V120" i="10" s="1"/>
  <c r="AH118" i="10"/>
  <c r="AK119" i="10"/>
  <c r="AK120" i="10" s="1"/>
  <c r="AD119" i="10"/>
  <c r="AD120" i="10" s="1"/>
  <c r="I118" i="10"/>
  <c r="J118" i="10"/>
  <c r="F118" i="10"/>
  <c r="M119" i="10"/>
  <c r="F119" i="10"/>
  <c r="F120" i="10" s="1"/>
  <c r="Q118" i="10"/>
  <c r="R118" i="10"/>
  <c r="K118" i="10"/>
  <c r="L118" i="10"/>
  <c r="M118" i="10"/>
  <c r="N118" i="10"/>
  <c r="N119" i="10"/>
  <c r="Y118" i="10"/>
  <c r="Z118" i="10"/>
  <c r="S118" i="10"/>
  <c r="S122" i="10" s="1"/>
  <c r="T118" i="10"/>
  <c r="T121" i="10" s="1"/>
  <c r="U118" i="10"/>
  <c r="U121" i="10" s="1"/>
  <c r="V118" i="10"/>
  <c r="T120" i="10"/>
  <c r="AC119" i="10"/>
  <c r="G119" i="10"/>
  <c r="H119" i="10"/>
  <c r="AG118" i="10"/>
  <c r="AA118" i="10"/>
  <c r="AA122" i="10" s="1"/>
  <c r="AB118" i="10"/>
  <c r="AC118" i="10"/>
  <c r="AD118" i="10"/>
  <c r="O119" i="10"/>
  <c r="P119" i="10"/>
  <c r="I119" i="10"/>
  <c r="J119" i="10"/>
  <c r="AI118" i="10"/>
  <c r="AI122" i="10" s="1"/>
  <c r="AJ118" i="10"/>
  <c r="AK118" i="10"/>
  <c r="AL118" i="10"/>
  <c r="AJ119" i="10"/>
  <c r="AB119" i="10"/>
  <c r="AL119" i="10"/>
  <c r="W119" i="10"/>
  <c r="X119" i="10"/>
  <c r="Q119" i="10"/>
  <c r="R119" i="10"/>
  <c r="K119" i="10"/>
  <c r="AE119" i="10"/>
  <c r="AF119" i="10"/>
  <c r="Y119" i="10"/>
  <c r="Z119" i="10"/>
  <c r="AG119" i="10"/>
  <c r="AH119" i="10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C41" i="4"/>
  <c r="D41" i="4"/>
  <c r="L121" i="10" l="1"/>
  <c r="AK122" i="10"/>
  <c r="B118" i="9"/>
  <c r="B119" i="9"/>
  <c r="AK121" i="10"/>
  <c r="S121" i="10"/>
  <c r="V122" i="10"/>
  <c r="U122" i="10"/>
  <c r="V121" i="10"/>
  <c r="AD121" i="10"/>
  <c r="T122" i="10"/>
  <c r="X120" i="10"/>
  <c r="X122" i="10" s="1"/>
  <c r="X121" i="10"/>
  <c r="N120" i="10"/>
  <c r="N122" i="10" s="1"/>
  <c r="N121" i="10"/>
  <c r="M120" i="10"/>
  <c r="M122" i="10" s="1"/>
  <c r="M121" i="10"/>
  <c r="AD122" i="10"/>
  <c r="O120" i="10"/>
  <c r="O122" i="10" s="1"/>
  <c r="O121" i="10"/>
  <c r="Z120" i="10"/>
  <c r="Z122" i="10" s="1"/>
  <c r="Z121" i="10"/>
  <c r="W120" i="10"/>
  <c r="W122" i="10" s="1"/>
  <c r="W121" i="10"/>
  <c r="AI121" i="10"/>
  <c r="L122" i="10"/>
  <c r="Y120" i="10"/>
  <c r="Y122" i="10" s="1"/>
  <c r="Y121" i="10"/>
  <c r="AL120" i="10"/>
  <c r="AL122" i="10" s="1"/>
  <c r="AL121" i="10"/>
  <c r="AA121" i="10"/>
  <c r="Q120" i="10"/>
  <c r="Q122" i="10" s="1"/>
  <c r="Q121" i="10"/>
  <c r="AF120" i="10"/>
  <c r="AF122" i="10" s="1"/>
  <c r="AF121" i="10"/>
  <c r="AB120" i="10"/>
  <c r="AB122" i="10" s="1"/>
  <c r="AB121" i="10"/>
  <c r="AE120" i="10"/>
  <c r="AE122" i="10" s="1"/>
  <c r="AE121" i="10"/>
  <c r="AJ121" i="10"/>
  <c r="AJ120" i="10"/>
  <c r="AJ122" i="10" s="1"/>
  <c r="J120" i="10"/>
  <c r="J122" i="10" s="1"/>
  <c r="J121" i="10"/>
  <c r="AH120" i="10"/>
  <c r="AH122" i="10" s="1"/>
  <c r="AH121" i="10"/>
  <c r="K120" i="10"/>
  <c r="K122" i="10" s="1"/>
  <c r="K121" i="10"/>
  <c r="I120" i="10"/>
  <c r="I122" i="10" s="1"/>
  <c r="I121" i="10"/>
  <c r="H120" i="10"/>
  <c r="H122" i="10" s="1"/>
  <c r="H121" i="10"/>
  <c r="AC120" i="10"/>
  <c r="AC122" i="10" s="1"/>
  <c r="AC121" i="10"/>
  <c r="AG120" i="10"/>
  <c r="AG122" i="10" s="1"/>
  <c r="AG121" i="10"/>
  <c r="R120" i="10"/>
  <c r="R122" i="10" s="1"/>
  <c r="R121" i="10"/>
  <c r="P120" i="10"/>
  <c r="P122" i="10" s="1"/>
  <c r="P121" i="10"/>
  <c r="G120" i="10"/>
  <c r="G122" i="10" s="1"/>
  <c r="G121" i="10"/>
  <c r="F121" i="10"/>
  <c r="O41" i="4"/>
  <c r="F122" i="10"/>
  <c r="E126" i="9" a="1"/>
  <c r="AD139" i="9" s="1"/>
  <c r="J41" i="4"/>
  <c r="S41" i="4"/>
  <c r="AK41" i="4"/>
  <c r="L41" i="4"/>
  <c r="AD41" i="4"/>
  <c r="R41" i="4"/>
  <c r="N41" i="4"/>
  <c r="U41" i="4"/>
  <c r="AG41" i="4"/>
  <c r="T41" i="4"/>
  <c r="G41" i="4"/>
  <c r="AI41" i="4"/>
  <c r="K41" i="4"/>
  <c r="AL41" i="4"/>
  <c r="AJ41" i="4"/>
  <c r="X41" i="4"/>
  <c r="W41" i="4"/>
  <c r="AH41" i="4"/>
  <c r="AB41" i="4"/>
  <c r="Q41" i="4"/>
  <c r="AF41" i="4"/>
  <c r="Z41" i="4"/>
  <c r="AC41" i="4"/>
  <c r="H41" i="4"/>
  <c r="AE41" i="4"/>
  <c r="AA41" i="4"/>
  <c r="F41" i="4"/>
  <c r="E41" i="4"/>
  <c r="C82" i="4" s="1"/>
  <c r="M41" i="4"/>
  <c r="V41" i="4"/>
  <c r="Y41" i="4"/>
  <c r="I41" i="4"/>
  <c r="P41" i="4"/>
  <c r="G84" i="4" l="1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AE98" i="4"/>
  <c r="G99" i="4"/>
  <c r="O99" i="4"/>
  <c r="W99" i="4"/>
  <c r="AE99" i="4"/>
  <c r="G100" i="4"/>
  <c r="O100" i="4"/>
  <c r="W100" i="4"/>
  <c r="AE100" i="4"/>
  <c r="G101" i="4"/>
  <c r="O101" i="4"/>
  <c r="W101" i="4"/>
  <c r="AE101" i="4"/>
  <c r="G102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AG91" i="4"/>
  <c r="I92" i="4"/>
  <c r="Q92" i="4"/>
  <c r="Y92" i="4"/>
  <c r="AG92" i="4"/>
  <c r="I93" i="4"/>
  <c r="Q93" i="4"/>
  <c r="Y93" i="4"/>
  <c r="AG93" i="4"/>
  <c r="I94" i="4"/>
  <c r="Q94" i="4"/>
  <c r="Y94" i="4"/>
  <c r="AG94" i="4"/>
  <c r="I95" i="4"/>
  <c r="Q95" i="4"/>
  <c r="Y95" i="4"/>
  <c r="AG95" i="4"/>
  <c r="I96" i="4"/>
  <c r="Q96" i="4"/>
  <c r="Y96" i="4"/>
  <c r="AG96" i="4"/>
  <c r="I97" i="4"/>
  <c r="Q97" i="4"/>
  <c r="Y97" i="4"/>
  <c r="AG97" i="4"/>
  <c r="I98" i="4"/>
  <c r="Q98" i="4"/>
  <c r="Y98" i="4"/>
  <c r="AG98" i="4"/>
  <c r="I99" i="4"/>
  <c r="Q99" i="4"/>
  <c r="Y99" i="4"/>
  <c r="AG99" i="4"/>
  <c r="I100" i="4"/>
  <c r="Q100" i="4"/>
  <c r="Y100" i="4"/>
  <c r="AG100" i="4"/>
  <c r="I101" i="4"/>
  <c r="Q101" i="4"/>
  <c r="Y101" i="4"/>
  <c r="AG101" i="4"/>
  <c r="I102" i="4"/>
  <c r="Q102" i="4"/>
  <c r="Y102" i="4"/>
  <c r="AG102" i="4"/>
  <c r="I103" i="4"/>
  <c r="I119" i="4" s="1"/>
  <c r="Q103" i="4"/>
  <c r="Y103" i="4"/>
  <c r="Y119" i="4" s="1"/>
  <c r="AG103" i="4"/>
  <c r="AG119" i="4" s="1"/>
  <c r="I104" i="4"/>
  <c r="Q104" i="4"/>
  <c r="Y104" i="4"/>
  <c r="AG104" i="4"/>
  <c r="I105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AI100" i="4"/>
  <c r="K101" i="4"/>
  <c r="S101" i="4"/>
  <c r="AA101" i="4"/>
  <c r="AI101" i="4"/>
  <c r="K102" i="4"/>
  <c r="S102" i="4"/>
  <c r="AA102" i="4"/>
  <c r="AI102" i="4"/>
  <c r="K103" i="4"/>
  <c r="S103" i="4"/>
  <c r="S119" i="4" s="1"/>
  <c r="AA103" i="4"/>
  <c r="AA119" i="4" s="1"/>
  <c r="AI103" i="4"/>
  <c r="AI119" i="4" s="1"/>
  <c r="K104" i="4"/>
  <c r="S104" i="4"/>
  <c r="AA104" i="4"/>
  <c r="AI104" i="4"/>
  <c r="K105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T101" i="4"/>
  <c r="AB101" i="4"/>
  <c r="AJ101" i="4"/>
  <c r="N84" i="4"/>
  <c r="V84" i="4"/>
  <c r="AD84" i="4"/>
  <c r="AL84" i="4"/>
  <c r="N85" i="4"/>
  <c r="V85" i="4"/>
  <c r="AD85" i="4"/>
  <c r="AL85" i="4"/>
  <c r="N86" i="4"/>
  <c r="V86" i="4"/>
  <c r="AD86" i="4"/>
  <c r="AL86" i="4"/>
  <c r="N87" i="4"/>
  <c r="V87" i="4"/>
  <c r="AD87" i="4"/>
  <c r="AL87" i="4"/>
  <c r="N88" i="4"/>
  <c r="V88" i="4"/>
  <c r="AD88" i="4"/>
  <c r="AL88" i="4"/>
  <c r="N89" i="4"/>
  <c r="V89" i="4"/>
  <c r="AD89" i="4"/>
  <c r="AL89" i="4"/>
  <c r="N90" i="4"/>
  <c r="V90" i="4"/>
  <c r="AD90" i="4"/>
  <c r="AL90" i="4"/>
  <c r="N91" i="4"/>
  <c r="V91" i="4"/>
  <c r="AD91" i="4"/>
  <c r="AL91" i="4"/>
  <c r="N92" i="4"/>
  <c r="V92" i="4"/>
  <c r="AD92" i="4"/>
  <c r="AL92" i="4"/>
  <c r="N93" i="4"/>
  <c r="V93" i="4"/>
  <c r="M84" i="4"/>
  <c r="M86" i="4"/>
  <c r="M88" i="4"/>
  <c r="M90" i="4"/>
  <c r="M92" i="4"/>
  <c r="AK93" i="4"/>
  <c r="AC94" i="4"/>
  <c r="M95" i="4"/>
  <c r="AC95" i="4"/>
  <c r="M96" i="4"/>
  <c r="AC96" i="4"/>
  <c r="M97" i="4"/>
  <c r="AC97" i="4"/>
  <c r="M98" i="4"/>
  <c r="AC98" i="4"/>
  <c r="M99" i="4"/>
  <c r="AC99" i="4"/>
  <c r="M100" i="4"/>
  <c r="AC100" i="4"/>
  <c r="M101" i="4"/>
  <c r="AC101" i="4"/>
  <c r="L102" i="4"/>
  <c r="V102" i="4"/>
  <c r="AF102" i="4"/>
  <c r="L103" i="4"/>
  <c r="V103" i="4"/>
  <c r="AF103" i="4"/>
  <c r="AF119" i="4" s="1"/>
  <c r="L104" i="4"/>
  <c r="V104" i="4"/>
  <c r="AF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L109" i="4"/>
  <c r="T109" i="4"/>
  <c r="AB109" i="4"/>
  <c r="AJ109" i="4"/>
  <c r="L110" i="4"/>
  <c r="T110" i="4"/>
  <c r="AB110" i="4"/>
  <c r="AJ110" i="4"/>
  <c r="L111" i="4"/>
  <c r="T111" i="4"/>
  <c r="AB111" i="4"/>
  <c r="AJ111" i="4"/>
  <c r="L112" i="4"/>
  <c r="T112" i="4"/>
  <c r="AB112" i="4"/>
  <c r="AJ112" i="4"/>
  <c r="M107" i="4"/>
  <c r="AC108" i="4"/>
  <c r="U84" i="4"/>
  <c r="U86" i="4"/>
  <c r="U88" i="4"/>
  <c r="U90" i="4"/>
  <c r="U92" i="4"/>
  <c r="AL93" i="4"/>
  <c r="AD94" i="4"/>
  <c r="N95" i="4"/>
  <c r="AD95" i="4"/>
  <c r="N96" i="4"/>
  <c r="AD96" i="4"/>
  <c r="N97" i="4"/>
  <c r="AD97" i="4"/>
  <c r="N98" i="4"/>
  <c r="AD98" i="4"/>
  <c r="N99" i="4"/>
  <c r="AD99" i="4"/>
  <c r="N100" i="4"/>
  <c r="AD100" i="4"/>
  <c r="N101" i="4"/>
  <c r="AD101" i="4"/>
  <c r="M102" i="4"/>
  <c r="W102" i="4"/>
  <c r="AH102" i="4"/>
  <c r="M103" i="4"/>
  <c r="M119" i="4" s="1"/>
  <c r="W103" i="4"/>
  <c r="AH103" i="4"/>
  <c r="AH119" i="4" s="1"/>
  <c r="M104" i="4"/>
  <c r="W104" i="4"/>
  <c r="AH104" i="4"/>
  <c r="M105" i="4"/>
  <c r="U105" i="4"/>
  <c r="AC105" i="4"/>
  <c r="AK105" i="4"/>
  <c r="M106" i="4"/>
  <c r="U106" i="4"/>
  <c r="AC106" i="4"/>
  <c r="AK106" i="4"/>
  <c r="U107" i="4"/>
  <c r="AC107" i="4"/>
  <c r="AK107" i="4"/>
  <c r="M108" i="4"/>
  <c r="U108" i="4"/>
  <c r="AK108" i="4"/>
  <c r="M109" i="4"/>
  <c r="AC84" i="4"/>
  <c r="AC86" i="4"/>
  <c r="AC88" i="4"/>
  <c r="AC90" i="4"/>
  <c r="AC92" i="4"/>
  <c r="M94" i="4"/>
  <c r="AF94" i="4"/>
  <c r="P95" i="4"/>
  <c r="AF95" i="4"/>
  <c r="P96" i="4"/>
  <c r="AF96" i="4"/>
  <c r="P97" i="4"/>
  <c r="AF97" i="4"/>
  <c r="P98" i="4"/>
  <c r="AF98" i="4"/>
  <c r="P99" i="4"/>
  <c r="AF99" i="4"/>
  <c r="P100" i="4"/>
  <c r="AF100" i="4"/>
  <c r="P101" i="4"/>
  <c r="AF101" i="4"/>
  <c r="N102" i="4"/>
  <c r="X102" i="4"/>
  <c r="AJ102" i="4"/>
  <c r="N103" i="4"/>
  <c r="X103" i="4"/>
  <c r="X119" i="4" s="1"/>
  <c r="AJ103" i="4"/>
  <c r="N104" i="4"/>
  <c r="X104" i="4"/>
  <c r="AJ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N109" i="4"/>
  <c r="V109" i="4"/>
  <c r="AD109" i="4"/>
  <c r="AL109" i="4"/>
  <c r="N110" i="4"/>
  <c r="V110" i="4"/>
  <c r="AD110" i="4"/>
  <c r="AL110" i="4"/>
  <c r="N111" i="4"/>
  <c r="V111" i="4"/>
  <c r="AD111" i="4"/>
  <c r="AL111" i="4"/>
  <c r="N112" i="4"/>
  <c r="V112" i="4"/>
  <c r="AD112" i="4"/>
  <c r="AL112" i="4"/>
  <c r="AK88" i="4"/>
  <c r="R98" i="4"/>
  <c r="R100" i="4"/>
  <c r="R101" i="4"/>
  <c r="O102" i="4"/>
  <c r="AK102" i="4"/>
  <c r="O103" i="4"/>
  <c r="AK103" i="4"/>
  <c r="AK119" i="4" s="1"/>
  <c r="Z104" i="4"/>
  <c r="O105" i="4"/>
  <c r="AE105" i="4"/>
  <c r="O106" i="4"/>
  <c r="W106" i="4"/>
  <c r="G107" i="4"/>
  <c r="AE107" i="4"/>
  <c r="O108" i="4"/>
  <c r="AE108" i="4"/>
  <c r="W109" i="4"/>
  <c r="G110" i="4"/>
  <c r="O110" i="4"/>
  <c r="AE110" i="4"/>
  <c r="O111" i="4"/>
  <c r="AE111" i="4"/>
  <c r="AK84" i="4"/>
  <c r="AK86" i="4"/>
  <c r="AK90" i="4"/>
  <c r="AK92" i="4"/>
  <c r="N94" i="4"/>
  <c r="AH94" i="4"/>
  <c r="R95" i="4"/>
  <c r="AH95" i="4"/>
  <c r="R96" i="4"/>
  <c r="AH96" i="4"/>
  <c r="R97" i="4"/>
  <c r="AH97" i="4"/>
  <c r="AH98" i="4"/>
  <c r="R99" i="4"/>
  <c r="AH99" i="4"/>
  <c r="AH100" i="4"/>
  <c r="AH101" i="4"/>
  <c r="Z102" i="4"/>
  <c r="Z103" i="4"/>
  <c r="Z119" i="4" s="1"/>
  <c r="O104" i="4"/>
  <c r="AK104" i="4"/>
  <c r="W105" i="4"/>
  <c r="G106" i="4"/>
  <c r="AE106" i="4"/>
  <c r="O107" i="4"/>
  <c r="W107" i="4"/>
  <c r="G108" i="4"/>
  <c r="W108" i="4"/>
  <c r="G109" i="4"/>
  <c r="O109" i="4"/>
  <c r="AE109" i="4"/>
  <c r="W110" i="4"/>
  <c r="G111" i="4"/>
  <c r="W111" i="4"/>
  <c r="G112" i="4"/>
  <c r="W112" i="4"/>
  <c r="M85" i="4"/>
  <c r="M87" i="4"/>
  <c r="M89" i="4"/>
  <c r="M91" i="4"/>
  <c r="M93" i="4"/>
  <c r="U94" i="4"/>
  <c r="AK94" i="4"/>
  <c r="U95" i="4"/>
  <c r="AK95" i="4"/>
  <c r="U96" i="4"/>
  <c r="AK96" i="4"/>
  <c r="U97" i="4"/>
  <c r="AK97" i="4"/>
  <c r="U98" i="4"/>
  <c r="AK98" i="4"/>
  <c r="U99" i="4"/>
  <c r="AK99" i="4"/>
  <c r="U100" i="4"/>
  <c r="AK100" i="4"/>
  <c r="U101" i="4"/>
  <c r="AK101" i="4"/>
  <c r="P102" i="4"/>
  <c r="AB102" i="4"/>
  <c r="AL102" i="4"/>
  <c r="P103" i="4"/>
  <c r="P119" i="4" s="1"/>
  <c r="AB103" i="4"/>
  <c r="AL103" i="4"/>
  <c r="AL119" i="4" s="1"/>
  <c r="P104" i="4"/>
  <c r="AB104" i="4"/>
  <c r="AL104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H109" i="4"/>
  <c r="P109" i="4"/>
  <c r="X109" i="4"/>
  <c r="AF109" i="4"/>
  <c r="H110" i="4"/>
  <c r="P110" i="4"/>
  <c r="X110" i="4"/>
  <c r="AF110" i="4"/>
  <c r="H111" i="4"/>
  <c r="P111" i="4"/>
  <c r="X111" i="4"/>
  <c r="AF111" i="4"/>
  <c r="H112" i="4"/>
  <c r="P112" i="4"/>
  <c r="X112" i="4"/>
  <c r="AF112" i="4"/>
  <c r="Q110" i="4"/>
  <c r="Q111" i="4"/>
  <c r="I112" i="4"/>
  <c r="Y112" i="4"/>
  <c r="U85" i="4"/>
  <c r="U87" i="4"/>
  <c r="U89" i="4"/>
  <c r="U91" i="4"/>
  <c r="U93" i="4"/>
  <c r="V94" i="4"/>
  <c r="AL94" i="4"/>
  <c r="V95" i="4"/>
  <c r="AL95" i="4"/>
  <c r="V96" i="4"/>
  <c r="AL96" i="4"/>
  <c r="V97" i="4"/>
  <c r="AL97" i="4"/>
  <c r="V98" i="4"/>
  <c r="AL98" i="4"/>
  <c r="V99" i="4"/>
  <c r="AL99" i="4"/>
  <c r="V100" i="4"/>
  <c r="AL100" i="4"/>
  <c r="V101" i="4"/>
  <c r="AL101" i="4"/>
  <c r="R102" i="4"/>
  <c r="AC102" i="4"/>
  <c r="G103" i="4"/>
  <c r="G119" i="4" s="1"/>
  <c r="R103" i="4"/>
  <c r="AC103" i="4"/>
  <c r="AC119" i="4" s="1"/>
  <c r="G104" i="4"/>
  <c r="R104" i="4"/>
  <c r="AC104" i="4"/>
  <c r="G105" i="4"/>
  <c r="Q105" i="4"/>
  <c r="Y105" i="4"/>
  <c r="AG105" i="4"/>
  <c r="I106" i="4"/>
  <c r="Q106" i="4"/>
  <c r="Y106" i="4"/>
  <c r="AG106" i="4"/>
  <c r="I107" i="4"/>
  <c r="Q107" i="4"/>
  <c r="Y107" i="4"/>
  <c r="AG107" i="4"/>
  <c r="I108" i="4"/>
  <c r="Q108" i="4"/>
  <c r="Y108" i="4"/>
  <c r="AG108" i="4"/>
  <c r="I109" i="4"/>
  <c r="Q109" i="4"/>
  <c r="Y109" i="4"/>
  <c r="AG109" i="4"/>
  <c r="I110" i="4"/>
  <c r="Y110" i="4"/>
  <c r="AG110" i="4"/>
  <c r="I111" i="4"/>
  <c r="Y111" i="4"/>
  <c r="AG111" i="4"/>
  <c r="Q112" i="4"/>
  <c r="AG112" i="4"/>
  <c r="AK89" i="4"/>
  <c r="AC85" i="4"/>
  <c r="AC87" i="4"/>
  <c r="AC89" i="4"/>
  <c r="AC91" i="4"/>
  <c r="AC93" i="4"/>
  <c r="X94" i="4"/>
  <c r="H95" i="4"/>
  <c r="X95" i="4"/>
  <c r="H96" i="4"/>
  <c r="X96" i="4"/>
  <c r="H97" i="4"/>
  <c r="X97" i="4"/>
  <c r="H98" i="4"/>
  <c r="X98" i="4"/>
  <c r="H99" i="4"/>
  <c r="X99" i="4"/>
  <c r="H100" i="4"/>
  <c r="X100" i="4"/>
  <c r="H101" i="4"/>
  <c r="X101" i="4"/>
  <c r="H102" i="4"/>
  <c r="T102" i="4"/>
  <c r="AD102" i="4"/>
  <c r="H103" i="4"/>
  <c r="H119" i="4" s="1"/>
  <c r="T103" i="4"/>
  <c r="AD103" i="4"/>
  <c r="AD119" i="4" s="1"/>
  <c r="H104" i="4"/>
  <c r="T104" i="4"/>
  <c r="AD104" i="4"/>
  <c r="H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J109" i="4"/>
  <c r="R109" i="4"/>
  <c r="Z109" i="4"/>
  <c r="AH109" i="4"/>
  <c r="J110" i="4"/>
  <c r="R110" i="4"/>
  <c r="Z110" i="4"/>
  <c r="AH110" i="4"/>
  <c r="J111" i="4"/>
  <c r="R111" i="4"/>
  <c r="Z111" i="4"/>
  <c r="AH111" i="4"/>
  <c r="J112" i="4"/>
  <c r="R112" i="4"/>
  <c r="Z112" i="4"/>
  <c r="AH112" i="4"/>
  <c r="AK85" i="4"/>
  <c r="AK87" i="4"/>
  <c r="AK91" i="4"/>
  <c r="Z94" i="4"/>
  <c r="J95" i="4"/>
  <c r="Z95" i="4"/>
  <c r="J96" i="4"/>
  <c r="Z96" i="4"/>
  <c r="J97" i="4"/>
  <c r="Z97" i="4"/>
  <c r="J98" i="4"/>
  <c r="J99" i="4"/>
  <c r="J100" i="4"/>
  <c r="U103" i="4"/>
  <c r="AI105" i="4"/>
  <c r="AI107" i="4"/>
  <c r="AA109" i="4"/>
  <c r="AA110" i="4"/>
  <c r="AA111" i="4"/>
  <c r="U112" i="4"/>
  <c r="AC110" i="4"/>
  <c r="AA112" i="4"/>
  <c r="J101" i="4"/>
  <c r="J104" i="4"/>
  <c r="S108" i="4"/>
  <c r="AI109" i="4"/>
  <c r="AI111" i="4"/>
  <c r="J105" i="4"/>
  <c r="K109" i="4"/>
  <c r="M112" i="4"/>
  <c r="Z98" i="4"/>
  <c r="S109" i="4"/>
  <c r="O112" i="4"/>
  <c r="Z99" i="4"/>
  <c r="AA105" i="4"/>
  <c r="U109" i="4"/>
  <c r="U111" i="4"/>
  <c r="Z100" i="4"/>
  <c r="AE103" i="4"/>
  <c r="AE119" i="4" s="1"/>
  <c r="K106" i="4"/>
  <c r="K108" i="4"/>
  <c r="AC109" i="4"/>
  <c r="AC111" i="4"/>
  <c r="S106" i="4"/>
  <c r="AI110" i="4"/>
  <c r="AC112" i="4"/>
  <c r="U102" i="4"/>
  <c r="M111" i="4"/>
  <c r="S105" i="4"/>
  <c r="S110" i="4"/>
  <c r="J103" i="4"/>
  <c r="AA107" i="4"/>
  <c r="U110" i="4"/>
  <c r="S112" i="4"/>
  <c r="Z101" i="4"/>
  <c r="U104" i="4"/>
  <c r="AA106" i="4"/>
  <c r="AA108" i="4"/>
  <c r="AK109" i="4"/>
  <c r="AK110" i="4"/>
  <c r="AK111" i="4"/>
  <c r="AE112" i="4"/>
  <c r="J102" i="4"/>
  <c r="AE104" i="4"/>
  <c r="AI106" i="4"/>
  <c r="AI108" i="4"/>
  <c r="K110" i="4"/>
  <c r="K111" i="4"/>
  <c r="K112" i="4"/>
  <c r="AI112" i="4"/>
  <c r="AD93" i="4"/>
  <c r="K107" i="4"/>
  <c r="M110" i="4"/>
  <c r="AK112" i="4"/>
  <c r="AE102" i="4"/>
  <c r="S107" i="4"/>
  <c r="S111" i="4"/>
  <c r="B119" i="10"/>
  <c r="B118" i="10"/>
  <c r="E126" i="10" a="1"/>
  <c r="F139" i="10" s="1"/>
  <c r="O137" i="9"/>
  <c r="AI133" i="9"/>
  <c r="J130" i="9"/>
  <c r="Q131" i="9"/>
  <c r="X132" i="9"/>
  <c r="W133" i="9"/>
  <c r="V134" i="9"/>
  <c r="U135" i="9"/>
  <c r="T136" i="9"/>
  <c r="Q134" i="9"/>
  <c r="AJ133" i="9"/>
  <c r="I135" i="9"/>
  <c r="I134" i="9"/>
  <c r="F132" i="9"/>
  <c r="M133" i="9"/>
  <c r="T134" i="9"/>
  <c r="S135" i="9"/>
  <c r="R136" i="9"/>
  <c r="Q137" i="9"/>
  <c r="P138" i="9"/>
  <c r="M139" i="9"/>
  <c r="U136" i="9"/>
  <c r="AF135" i="9"/>
  <c r="E137" i="9"/>
  <c r="L138" i="9"/>
  <c r="K139" i="9"/>
  <c r="G126" i="9"/>
  <c r="F127" i="9"/>
  <c r="N138" i="9"/>
  <c r="Y138" i="9"/>
  <c r="AB137" i="9"/>
  <c r="AI138" i="9"/>
  <c r="E126" i="9"/>
  <c r="AL126" i="9"/>
  <c r="AK127" i="9"/>
  <c r="AJ128" i="9"/>
  <c r="AE127" i="9"/>
  <c r="X139" i="9"/>
  <c r="AJ126" i="9"/>
  <c r="AI127" i="9"/>
  <c r="AH128" i="9"/>
  <c r="AG129" i="9"/>
  <c r="AF130" i="9"/>
  <c r="R126" i="9"/>
  <c r="Y127" i="9"/>
  <c r="AF128" i="9"/>
  <c r="AE129" i="9"/>
  <c r="AD130" i="9"/>
  <c r="AC131" i="9"/>
  <c r="AB132" i="9"/>
  <c r="P136" i="9"/>
  <c r="E128" i="9"/>
  <c r="N128" i="9"/>
  <c r="U129" i="9"/>
  <c r="AB130" i="9"/>
  <c r="AA131" i="9"/>
  <c r="Z132" i="9"/>
  <c r="Y133" i="9"/>
  <c r="X134" i="9"/>
  <c r="I126" i="9"/>
  <c r="E132" i="9"/>
  <c r="M132" i="9"/>
  <c r="U132" i="9"/>
  <c r="Y134" i="9"/>
  <c r="AC136" i="9"/>
  <c r="AG138" i="9"/>
  <c r="J126" i="9"/>
  <c r="F128" i="9"/>
  <c r="AJ129" i="9"/>
  <c r="AF131" i="9"/>
  <c r="AB133" i="9"/>
  <c r="X135" i="9"/>
  <c r="T137" i="9"/>
  <c r="P139" i="9"/>
  <c r="Q127" i="9"/>
  <c r="M129" i="9"/>
  <c r="I131" i="9"/>
  <c r="E133" i="9"/>
  <c r="AI134" i="9"/>
  <c r="AE136" i="9"/>
  <c r="AA138" i="9"/>
  <c r="AB126" i="9"/>
  <c r="X128" i="9"/>
  <c r="T130" i="9"/>
  <c r="P132" i="9"/>
  <c r="L134" i="9"/>
  <c r="H136" i="9"/>
  <c r="AL137" i="9"/>
  <c r="AH139" i="9"/>
  <c r="AA127" i="9"/>
  <c r="W129" i="9"/>
  <c r="S131" i="9"/>
  <c r="O133" i="9"/>
  <c r="K135" i="9"/>
  <c r="G137" i="9"/>
  <c r="AK138" i="9"/>
  <c r="AD126" i="9"/>
  <c r="Z128" i="9"/>
  <c r="V130" i="9"/>
  <c r="R132" i="9"/>
  <c r="N134" i="9"/>
  <c r="J136" i="9"/>
  <c r="F138" i="9"/>
  <c r="AJ139" i="9"/>
  <c r="AC127" i="9"/>
  <c r="Y129" i="9"/>
  <c r="U131" i="9"/>
  <c r="Q133" i="9"/>
  <c r="M135" i="9"/>
  <c r="I137" i="9"/>
  <c r="E139" i="9"/>
  <c r="AF126" i="9"/>
  <c r="AB128" i="9"/>
  <c r="X130" i="9"/>
  <c r="T132" i="9"/>
  <c r="P134" i="9"/>
  <c r="L136" i="9"/>
  <c r="H138" i="9"/>
  <c r="AL139" i="9"/>
  <c r="AI129" i="9"/>
  <c r="AE135" i="9"/>
  <c r="E136" i="9"/>
  <c r="M136" i="9"/>
  <c r="Q138" i="9"/>
  <c r="W127" i="9"/>
  <c r="AA129" i="9"/>
  <c r="Z126" i="9"/>
  <c r="V128" i="9"/>
  <c r="R130" i="9"/>
  <c r="N132" i="9"/>
  <c r="J134" i="9"/>
  <c r="F136" i="9"/>
  <c r="AJ137" i="9"/>
  <c r="AF139" i="9"/>
  <c r="AG127" i="9"/>
  <c r="AC129" i="9"/>
  <c r="Y131" i="9"/>
  <c r="U133" i="9"/>
  <c r="Q135" i="9"/>
  <c r="M137" i="9"/>
  <c r="I139" i="9"/>
  <c r="J127" i="9"/>
  <c r="F129" i="9"/>
  <c r="AJ130" i="9"/>
  <c r="AF132" i="9"/>
  <c r="AB134" i="9"/>
  <c r="X136" i="9"/>
  <c r="T138" i="9"/>
  <c r="M126" i="9"/>
  <c r="I128" i="9"/>
  <c r="E130" i="9"/>
  <c r="AI131" i="9"/>
  <c r="AE133" i="9"/>
  <c r="AA135" i="9"/>
  <c r="W137" i="9"/>
  <c r="S139" i="9"/>
  <c r="L127" i="9"/>
  <c r="H129" i="9"/>
  <c r="AL130" i="9"/>
  <c r="AH132" i="9"/>
  <c r="AD134" i="9"/>
  <c r="Z136" i="9"/>
  <c r="V138" i="9"/>
  <c r="O126" i="9"/>
  <c r="K128" i="9"/>
  <c r="G130" i="9"/>
  <c r="AK131" i="9"/>
  <c r="AG133" i="9"/>
  <c r="AC135" i="9"/>
  <c r="Y137" i="9"/>
  <c r="U139" i="9"/>
  <c r="N127" i="9"/>
  <c r="J129" i="9"/>
  <c r="F131" i="9"/>
  <c r="AJ132" i="9"/>
  <c r="AF134" i="9"/>
  <c r="AB136" i="9"/>
  <c r="X138" i="9"/>
  <c r="AE131" i="9"/>
  <c r="AA137" i="9"/>
  <c r="AI137" i="9"/>
  <c r="I138" i="9"/>
  <c r="O127" i="9"/>
  <c r="S129" i="9"/>
  <c r="W131" i="9"/>
  <c r="AH126" i="9"/>
  <c r="AD128" i="9"/>
  <c r="Z130" i="9"/>
  <c r="V132" i="9"/>
  <c r="R134" i="9"/>
  <c r="N136" i="9"/>
  <c r="J138" i="9"/>
  <c r="K126" i="9"/>
  <c r="G128" i="9"/>
  <c r="AK129" i="9"/>
  <c r="AG131" i="9"/>
  <c r="AC133" i="9"/>
  <c r="Y135" i="9"/>
  <c r="U137" i="9"/>
  <c r="Q139" i="9"/>
  <c r="R127" i="9"/>
  <c r="N129" i="9"/>
  <c r="J131" i="9"/>
  <c r="F133" i="9"/>
  <c r="AJ134" i="9"/>
  <c r="AF136" i="9"/>
  <c r="AB138" i="9"/>
  <c r="U126" i="9"/>
  <c r="Q128" i="9"/>
  <c r="M130" i="9"/>
  <c r="I132" i="9"/>
  <c r="E134" i="9"/>
  <c r="AI135" i="9"/>
  <c r="AE137" i="9"/>
  <c r="AA139" i="9"/>
  <c r="T127" i="9"/>
  <c r="P129" i="9"/>
  <c r="L131" i="9"/>
  <c r="H133" i="9"/>
  <c r="AL134" i="9"/>
  <c r="AH136" i="9"/>
  <c r="AD138" i="9"/>
  <c r="W126" i="9"/>
  <c r="S128" i="9"/>
  <c r="O130" i="9"/>
  <c r="K132" i="9"/>
  <c r="G134" i="9"/>
  <c r="AK135" i="9"/>
  <c r="AG137" i="9"/>
  <c r="AC139" i="9"/>
  <c r="V127" i="9"/>
  <c r="R129" i="9"/>
  <c r="N131" i="9"/>
  <c r="J133" i="9"/>
  <c r="F135" i="9"/>
  <c r="AJ136" i="9"/>
  <c r="AF138" i="9"/>
  <c r="AA133" i="9"/>
  <c r="W139" i="9"/>
  <c r="AE139" i="9"/>
  <c r="G127" i="9"/>
  <c r="K129" i="9"/>
  <c r="O131" i="9"/>
  <c r="S133" i="9"/>
  <c r="H127" i="9"/>
  <c r="AL128" i="9"/>
  <c r="AH130" i="9"/>
  <c r="AD132" i="9"/>
  <c r="Z134" i="9"/>
  <c r="V136" i="9"/>
  <c r="R138" i="9"/>
  <c r="S126" i="9"/>
  <c r="O128" i="9"/>
  <c r="K130" i="9"/>
  <c r="G132" i="9"/>
  <c r="AK133" i="9"/>
  <c r="AG135" i="9"/>
  <c r="AC137" i="9"/>
  <c r="Y139" i="9"/>
  <c r="Z127" i="9"/>
  <c r="V129" i="9"/>
  <c r="R131" i="9"/>
  <c r="N133" i="9"/>
  <c r="J135" i="9"/>
  <c r="F137" i="9"/>
  <c r="AJ138" i="9"/>
  <c r="AC126" i="9"/>
  <c r="Y128" i="9"/>
  <c r="U130" i="9"/>
  <c r="Q132" i="9"/>
  <c r="M134" i="9"/>
  <c r="I136" i="9"/>
  <c r="E138" i="9"/>
  <c r="AI139" i="9"/>
  <c r="AB127" i="9"/>
  <c r="X129" i="9"/>
  <c r="T131" i="9"/>
  <c r="P133" i="9"/>
  <c r="L135" i="9"/>
  <c r="H137" i="9"/>
  <c r="AL138" i="9"/>
  <c r="AE126" i="9"/>
  <c r="AA128" i="9"/>
  <c r="W130" i="9"/>
  <c r="S132" i="9"/>
  <c r="O134" i="9"/>
  <c r="K136" i="9"/>
  <c r="G138" i="9"/>
  <c r="AK139" i="9"/>
  <c r="AD127" i="9"/>
  <c r="Z129" i="9"/>
  <c r="V131" i="9"/>
  <c r="R133" i="9"/>
  <c r="N135" i="9"/>
  <c r="J137" i="9"/>
  <c r="F139" i="9"/>
  <c r="W135" i="9"/>
  <c r="Q126" i="9"/>
  <c r="Y126" i="9"/>
  <c r="AG126" i="9"/>
  <c r="AK128" i="9"/>
  <c r="G131" i="9"/>
  <c r="K133" i="9"/>
  <c r="O135" i="9"/>
  <c r="P127" i="9"/>
  <c r="L129" i="9"/>
  <c r="H131" i="9"/>
  <c r="AL132" i="9"/>
  <c r="AH134" i="9"/>
  <c r="AD136" i="9"/>
  <c r="Z138" i="9"/>
  <c r="AA126" i="9"/>
  <c r="W128" i="9"/>
  <c r="S130" i="9"/>
  <c r="O132" i="9"/>
  <c r="K134" i="9"/>
  <c r="G136" i="9"/>
  <c r="AK137" i="9"/>
  <c r="AG139" i="9"/>
  <c r="AH127" i="9"/>
  <c r="AD129" i="9"/>
  <c r="Z131" i="9"/>
  <c r="V133" i="9"/>
  <c r="R135" i="9"/>
  <c r="N137" i="9"/>
  <c r="J139" i="9"/>
  <c r="AK126" i="9"/>
  <c r="AG128" i="9"/>
  <c r="AC130" i="9"/>
  <c r="Y132" i="9"/>
  <c r="U134" i="9"/>
  <c r="Q136" i="9"/>
  <c r="M138" i="9"/>
  <c r="F126" i="9"/>
  <c r="AJ127" i="9"/>
  <c r="AF129" i="9"/>
  <c r="AB131" i="9"/>
  <c r="X133" i="9"/>
  <c r="T135" i="9"/>
  <c r="P137" i="9"/>
  <c r="L139" i="9"/>
  <c r="E127" i="9"/>
  <c r="AI128" i="9"/>
  <c r="AE130" i="9"/>
  <c r="AA132" i="9"/>
  <c r="W134" i="9"/>
  <c r="S136" i="9"/>
  <c r="O138" i="9"/>
  <c r="H126" i="9"/>
  <c r="AL127" i="9"/>
  <c r="AH129" i="9"/>
  <c r="AD131" i="9"/>
  <c r="Z133" i="9"/>
  <c r="V135" i="9"/>
  <c r="R137" i="9"/>
  <c r="N139" i="9"/>
  <c r="S137" i="9"/>
  <c r="M128" i="9"/>
  <c r="U128" i="9"/>
  <c r="AC128" i="9"/>
  <c r="AG130" i="9"/>
  <c r="AK132" i="9"/>
  <c r="G135" i="9"/>
  <c r="K137" i="9"/>
  <c r="X127" i="9"/>
  <c r="T129" i="9"/>
  <c r="P131" i="9"/>
  <c r="L133" i="9"/>
  <c r="H135" i="9"/>
  <c r="AL136" i="9"/>
  <c r="AH138" i="9"/>
  <c r="AI126" i="9"/>
  <c r="AE128" i="9"/>
  <c r="AA130" i="9"/>
  <c r="W132" i="9"/>
  <c r="S134" i="9"/>
  <c r="O136" i="9"/>
  <c r="K138" i="9"/>
  <c r="L126" i="9"/>
  <c r="H128" i="9"/>
  <c r="AL129" i="9"/>
  <c r="AH131" i="9"/>
  <c r="AD133" i="9"/>
  <c r="Z135" i="9"/>
  <c r="V137" i="9"/>
  <c r="R139" i="9"/>
  <c r="K127" i="9"/>
  <c r="G129" i="9"/>
  <c r="AK130" i="9"/>
  <c r="AG132" i="9"/>
  <c r="AC134" i="9"/>
  <c r="Y136" i="9"/>
  <c r="U138" i="9"/>
  <c r="N126" i="9"/>
  <c r="J128" i="9"/>
  <c r="F130" i="9"/>
  <c r="AJ131" i="9"/>
  <c r="AF133" i="9"/>
  <c r="AB135" i="9"/>
  <c r="X137" i="9"/>
  <c r="T139" i="9"/>
  <c r="M127" i="9"/>
  <c r="I129" i="9"/>
  <c r="E131" i="9"/>
  <c r="AI132" i="9"/>
  <c r="AE134" i="9"/>
  <c r="AA136" i="9"/>
  <c r="W138" i="9"/>
  <c r="P126" i="9"/>
  <c r="L128" i="9"/>
  <c r="H130" i="9"/>
  <c r="AL131" i="9"/>
  <c r="AH133" i="9"/>
  <c r="AD135" i="9"/>
  <c r="Z137" i="9"/>
  <c r="V139" i="9"/>
  <c r="O139" i="9"/>
  <c r="I130" i="9"/>
  <c r="Q130" i="9"/>
  <c r="Y130" i="9"/>
  <c r="AC132" i="9"/>
  <c r="AG134" i="9"/>
  <c r="AK136" i="9"/>
  <c r="G139" i="9"/>
  <c r="AF127" i="9"/>
  <c r="AB129" i="9"/>
  <c r="X131" i="9"/>
  <c r="T133" i="9"/>
  <c r="P135" i="9"/>
  <c r="L137" i="9"/>
  <c r="H139" i="9"/>
  <c r="I127" i="9"/>
  <c r="E129" i="9"/>
  <c r="AI130" i="9"/>
  <c r="AE132" i="9"/>
  <c r="AA134" i="9"/>
  <c r="W136" i="9"/>
  <c r="S138" i="9"/>
  <c r="T126" i="9"/>
  <c r="P128" i="9"/>
  <c r="L130" i="9"/>
  <c r="H132" i="9"/>
  <c r="AL133" i="9"/>
  <c r="AH135" i="9"/>
  <c r="AD137" i="9"/>
  <c r="Z139" i="9"/>
  <c r="S127" i="9"/>
  <c r="O129" i="9"/>
  <c r="K131" i="9"/>
  <c r="G133" i="9"/>
  <c r="AK134" i="9"/>
  <c r="AG136" i="9"/>
  <c r="AC138" i="9"/>
  <c r="V126" i="9"/>
  <c r="R128" i="9"/>
  <c r="N130" i="9"/>
  <c r="J132" i="9"/>
  <c r="F134" i="9"/>
  <c r="AJ135" i="9"/>
  <c r="AF137" i="9"/>
  <c r="AB139" i="9"/>
  <c r="U127" i="9"/>
  <c r="Q129" i="9"/>
  <c r="M131" i="9"/>
  <c r="I133" i="9"/>
  <c r="E135" i="9"/>
  <c r="AI136" i="9"/>
  <c r="AE138" i="9"/>
  <c r="X126" i="9"/>
  <c r="T128" i="9"/>
  <c r="P130" i="9"/>
  <c r="L132" i="9"/>
  <c r="H134" i="9"/>
  <c r="AL135" i="9"/>
  <c r="AH137" i="9"/>
  <c r="F110" i="4"/>
  <c r="F96" i="4"/>
  <c r="F106" i="4"/>
  <c r="F112" i="4"/>
  <c r="F92" i="4"/>
  <c r="F102" i="4"/>
  <c r="F108" i="4"/>
  <c r="F95" i="4"/>
  <c r="F88" i="4"/>
  <c r="F97" i="4"/>
  <c r="F111" i="4"/>
  <c r="F104" i="4"/>
  <c r="F84" i="4"/>
  <c r="F93" i="4"/>
  <c r="F107" i="4"/>
  <c r="F100" i="4"/>
  <c r="F99" i="4"/>
  <c r="F103" i="4"/>
  <c r="F105" i="4"/>
  <c r="F89" i="4"/>
  <c r="F98" i="4"/>
  <c r="F94" i="4"/>
  <c r="F101" i="4"/>
  <c r="F91" i="4"/>
  <c r="F87" i="4"/>
  <c r="F90" i="4"/>
  <c r="F86" i="4"/>
  <c r="F109" i="4"/>
  <c r="F85" i="4"/>
  <c r="F119" i="4" l="1"/>
  <c r="L118" i="4"/>
  <c r="L119" i="4"/>
  <c r="N119" i="4"/>
  <c r="N118" i="4"/>
  <c r="T119" i="4"/>
  <c r="O119" i="4"/>
  <c r="AC118" i="4"/>
  <c r="W119" i="4"/>
  <c r="V119" i="4"/>
  <c r="K119" i="4"/>
  <c r="AG118" i="4"/>
  <c r="AG121" i="4"/>
  <c r="AG122" i="4"/>
  <c r="U121" i="4"/>
  <c r="U122" i="4"/>
  <c r="J119" i="4"/>
  <c r="AI118" i="4"/>
  <c r="AI121" i="4"/>
  <c r="AI122" i="4"/>
  <c r="Y118" i="4"/>
  <c r="Y121" i="4"/>
  <c r="Y122" i="4"/>
  <c r="M121" i="4"/>
  <c r="M122" i="4"/>
  <c r="L121" i="4"/>
  <c r="L122" i="4"/>
  <c r="R119" i="4"/>
  <c r="AB119" i="4"/>
  <c r="AJ119" i="4"/>
  <c r="AC121" i="4"/>
  <c r="AC122" i="4"/>
  <c r="AA118" i="4"/>
  <c r="AA121" i="4"/>
  <c r="AA122" i="4"/>
  <c r="Q118" i="4"/>
  <c r="Q121" i="4"/>
  <c r="Q122" i="4"/>
  <c r="AF118" i="4"/>
  <c r="AF122" i="4"/>
  <c r="AF121" i="4"/>
  <c r="S118" i="4"/>
  <c r="S121" i="4"/>
  <c r="S122" i="4"/>
  <c r="AH118" i="4"/>
  <c r="AH122" i="4"/>
  <c r="AH121" i="4"/>
  <c r="I118" i="4"/>
  <c r="I121" i="4"/>
  <c r="I122" i="4"/>
  <c r="X118" i="4"/>
  <c r="X121" i="4"/>
  <c r="X122" i="4"/>
  <c r="AE118" i="4"/>
  <c r="AE121" i="4"/>
  <c r="AE122" i="4"/>
  <c r="AK118" i="4"/>
  <c r="AL118" i="4"/>
  <c r="AL121" i="4"/>
  <c r="AL122" i="4"/>
  <c r="AJ118" i="4"/>
  <c r="AJ121" i="4"/>
  <c r="AJ122" i="4"/>
  <c r="K118" i="4"/>
  <c r="K121" i="4"/>
  <c r="K122" i="4"/>
  <c r="Z118" i="4"/>
  <c r="Z121" i="4"/>
  <c r="Z122" i="4"/>
  <c r="P118" i="4"/>
  <c r="P121" i="4"/>
  <c r="P122" i="4"/>
  <c r="W118" i="4"/>
  <c r="W122" i="4"/>
  <c r="W121" i="4"/>
  <c r="N121" i="4"/>
  <c r="N122" i="4"/>
  <c r="U118" i="4"/>
  <c r="M118" i="4"/>
  <c r="AD118" i="4"/>
  <c r="AD121" i="4"/>
  <c r="AD122" i="4"/>
  <c r="AB118" i="4"/>
  <c r="AB121" i="4"/>
  <c r="AB122" i="4"/>
  <c r="R118" i="4"/>
  <c r="R121" i="4"/>
  <c r="R122" i="4"/>
  <c r="H118" i="4"/>
  <c r="H121" i="4"/>
  <c r="H122" i="4"/>
  <c r="O118" i="4"/>
  <c r="O121" i="4"/>
  <c r="O122" i="4"/>
  <c r="U119" i="4"/>
  <c r="AK121" i="4"/>
  <c r="AK122" i="4"/>
  <c r="V118" i="4"/>
  <c r="V122" i="4"/>
  <c r="V121" i="4"/>
  <c r="T118" i="4"/>
  <c r="T121" i="4"/>
  <c r="T122" i="4"/>
  <c r="J118" i="4"/>
  <c r="J121" i="4"/>
  <c r="J122" i="4"/>
  <c r="Q119" i="4"/>
  <c r="G118" i="4"/>
  <c r="G121" i="4"/>
  <c r="G122" i="4"/>
  <c r="F121" i="4"/>
  <c r="F122" i="4"/>
  <c r="F118" i="4"/>
  <c r="AC136" i="10"/>
  <c r="AH134" i="10"/>
  <c r="AG138" i="10"/>
  <c r="W131" i="10"/>
  <c r="I126" i="10"/>
  <c r="AJ129" i="10"/>
  <c r="AE128" i="10"/>
  <c r="K134" i="10"/>
  <c r="AA138" i="10"/>
  <c r="AL129" i="10"/>
  <c r="R135" i="10"/>
  <c r="AH139" i="10"/>
  <c r="AK130" i="10"/>
  <c r="Q136" i="10"/>
  <c r="AD126" i="10"/>
  <c r="AJ131" i="10"/>
  <c r="P137" i="10"/>
  <c r="AC127" i="10"/>
  <c r="AI132" i="10"/>
  <c r="O138" i="10"/>
  <c r="AB128" i="10"/>
  <c r="AH133" i="10"/>
  <c r="N139" i="10"/>
  <c r="AA137" i="10"/>
  <c r="AF135" i="10"/>
  <c r="T129" i="10"/>
  <c r="S133" i="10"/>
  <c r="G127" i="10"/>
  <c r="Z134" i="10"/>
  <c r="M129" i="10"/>
  <c r="S134" i="10"/>
  <c r="AG139" i="10"/>
  <c r="T130" i="10"/>
  <c r="Z135" i="10"/>
  <c r="AK126" i="10"/>
  <c r="S131" i="10"/>
  <c r="Y136" i="10"/>
  <c r="AJ127" i="10"/>
  <c r="R132" i="10"/>
  <c r="X137" i="10"/>
  <c r="AI128" i="10"/>
  <c r="Q133" i="10"/>
  <c r="W138" i="10"/>
  <c r="AH129" i="10"/>
  <c r="P134" i="10"/>
  <c r="V139" i="10"/>
  <c r="AK132" i="10"/>
  <c r="AB137" i="10"/>
  <c r="R130" i="10"/>
  <c r="I138" i="10"/>
  <c r="AK128" i="10"/>
  <c r="X135" i="10"/>
  <c r="S130" i="10"/>
  <c r="AI134" i="10"/>
  <c r="L126" i="10"/>
  <c r="Z131" i="10"/>
  <c r="H136" i="10"/>
  <c r="K127" i="10"/>
  <c r="Y132" i="10"/>
  <c r="G137" i="10"/>
  <c r="J128" i="10"/>
  <c r="X133" i="10"/>
  <c r="F138" i="10"/>
  <c r="I129" i="10"/>
  <c r="W134" i="10"/>
  <c r="E139" i="10"/>
  <c r="H130" i="10"/>
  <c r="V135" i="10"/>
  <c r="AL139" i="10"/>
  <c r="K129" i="10"/>
  <c r="J130" i="10"/>
  <c r="AK136" i="10"/>
  <c r="Y130" i="10"/>
  <c r="P135" i="10"/>
  <c r="F128" i="10"/>
  <c r="W128" i="10"/>
  <c r="E133" i="10"/>
  <c r="K138" i="10"/>
  <c r="AD129" i="10"/>
  <c r="L134" i="10"/>
  <c r="R139" i="10"/>
  <c r="AC130" i="10"/>
  <c r="K135" i="10"/>
  <c r="N126" i="10"/>
  <c r="AB131" i="10"/>
  <c r="J136" i="10"/>
  <c r="M127" i="10"/>
  <c r="AA132" i="10"/>
  <c r="I137" i="10"/>
  <c r="L128" i="10"/>
  <c r="Z133" i="10"/>
  <c r="H138" i="10"/>
  <c r="Q126" i="10"/>
  <c r="U128" i="10"/>
  <c r="N132" i="10"/>
  <c r="G139" i="10"/>
  <c r="AA133" i="10"/>
  <c r="T137" i="10"/>
  <c r="AA130" i="10"/>
  <c r="G136" i="10"/>
  <c r="AB126" i="10"/>
  <c r="AH131" i="10"/>
  <c r="N137" i="10"/>
  <c r="AA127" i="10"/>
  <c r="AG132" i="10"/>
  <c r="M138" i="10"/>
  <c r="Z128" i="10"/>
  <c r="AF133" i="10"/>
  <c r="L139" i="10"/>
  <c r="Y129" i="10"/>
  <c r="AE134" i="10"/>
  <c r="H126" i="10"/>
  <c r="X130" i="10"/>
  <c r="AD135" i="10"/>
  <c r="O127" i="10"/>
  <c r="S129" i="10"/>
  <c r="AL136" i="10"/>
  <c r="AF127" i="10"/>
  <c r="Y134" i="10"/>
  <c r="AA126" i="10"/>
  <c r="I131" i="10"/>
  <c r="O136" i="10"/>
  <c r="AH127" i="10"/>
  <c r="P132" i="10"/>
  <c r="V137" i="10"/>
  <c r="AG128" i="10"/>
  <c r="O133" i="10"/>
  <c r="U138" i="10"/>
  <c r="AF129" i="10"/>
  <c r="N134" i="10"/>
  <c r="T139" i="10"/>
  <c r="AE130" i="10"/>
  <c r="M135" i="10"/>
  <c r="P126" i="10"/>
  <c r="AD131" i="10"/>
  <c r="L136" i="10"/>
  <c r="P127" i="10"/>
  <c r="O131" i="10"/>
  <c r="AJ137" i="10"/>
  <c r="V132" i="10"/>
  <c r="U136" i="10"/>
  <c r="AI126" i="10"/>
  <c r="O132" i="10"/>
  <c r="AE136" i="10"/>
  <c r="H128" i="10"/>
  <c r="V133" i="10"/>
  <c r="AL137" i="10"/>
  <c r="G129" i="10"/>
  <c r="U134" i="10"/>
  <c r="AK138" i="10"/>
  <c r="F130" i="10"/>
  <c r="T135" i="10"/>
  <c r="AJ139" i="10"/>
  <c r="E131" i="10"/>
  <c r="S136" i="10"/>
  <c r="AF126" i="10"/>
  <c r="AL131" i="10"/>
  <c r="R137" i="10"/>
  <c r="N128" i="10"/>
  <c r="E136" i="10"/>
  <c r="AF139" i="10"/>
  <c r="T133" i="10"/>
  <c r="H127" i="10"/>
  <c r="Q127" i="10"/>
  <c r="W132" i="10"/>
  <c r="AK137" i="10"/>
  <c r="X128" i="10"/>
  <c r="AD133" i="10"/>
  <c r="J139" i="10"/>
  <c r="W129" i="10"/>
  <c r="AC134" i="10"/>
  <c r="F126" i="10"/>
  <c r="V130" i="10"/>
  <c r="AB135" i="10"/>
  <c r="E127" i="10"/>
  <c r="U131" i="10"/>
  <c r="AA136" i="10"/>
  <c r="AL127" i="10"/>
  <c r="T132" i="10"/>
  <c r="Z137" i="10"/>
  <c r="I130" i="10"/>
  <c r="AI133" i="10"/>
  <c r="L129" i="10"/>
  <c r="AD136" i="10"/>
  <c r="Q130" i="10"/>
  <c r="AI137" i="10"/>
  <c r="P131" i="10"/>
  <c r="AH138" i="10"/>
  <c r="U132" i="10"/>
  <c r="AH126" i="10"/>
  <c r="R134" i="10"/>
  <c r="E128" i="10"/>
  <c r="W135" i="10"/>
  <c r="AL128" i="10"/>
  <c r="V136" i="10"/>
  <c r="I127" i="10"/>
  <c r="E129" i="10"/>
  <c r="AI130" i="10"/>
  <c r="AE132" i="10"/>
  <c r="AA134" i="10"/>
  <c r="W136" i="10"/>
  <c r="S138" i="10"/>
  <c r="T126" i="10"/>
  <c r="P128" i="10"/>
  <c r="L130" i="10"/>
  <c r="H132" i="10"/>
  <c r="AL133" i="10"/>
  <c r="AH135" i="10"/>
  <c r="AD137" i="10"/>
  <c r="Z139" i="10"/>
  <c r="S127" i="10"/>
  <c r="O129" i="10"/>
  <c r="K131" i="10"/>
  <c r="G133" i="10"/>
  <c r="AK134" i="10"/>
  <c r="AG136" i="10"/>
  <c r="AC138" i="10"/>
  <c r="V126" i="10"/>
  <c r="R128" i="10"/>
  <c r="N130" i="10"/>
  <c r="J132" i="10"/>
  <c r="F134" i="10"/>
  <c r="AJ135" i="10"/>
  <c r="AF137" i="10"/>
  <c r="AB139" i="10"/>
  <c r="U127" i="10"/>
  <c r="Q129" i="10"/>
  <c r="M131" i="10"/>
  <c r="I133" i="10"/>
  <c r="E135" i="10"/>
  <c r="AI136" i="10"/>
  <c r="AE138" i="10"/>
  <c r="X126" i="10"/>
  <c r="T128" i="10"/>
  <c r="P130" i="10"/>
  <c r="L132" i="10"/>
  <c r="H134" i="10"/>
  <c r="AL135" i="10"/>
  <c r="AH137" i="10"/>
  <c r="AD139" i="10"/>
  <c r="G131" i="10"/>
  <c r="AG134" i="10"/>
  <c r="H131" i="10"/>
  <c r="Z138" i="10"/>
  <c r="M132" i="10"/>
  <c r="AE139" i="10"/>
  <c r="L133" i="10"/>
  <c r="AG126" i="10"/>
  <c r="Q134" i="10"/>
  <c r="AD128" i="10"/>
  <c r="N136" i="10"/>
  <c r="AI129" i="10"/>
  <c r="S137" i="10"/>
  <c r="AH130" i="10"/>
  <c r="R138" i="10"/>
  <c r="Y127" i="10"/>
  <c r="U129" i="10"/>
  <c r="Q131" i="10"/>
  <c r="M133" i="10"/>
  <c r="I135" i="10"/>
  <c r="E137" i="10"/>
  <c r="AI138" i="10"/>
  <c r="AJ126" i="10"/>
  <c r="AF128" i="10"/>
  <c r="AB130" i="10"/>
  <c r="X132" i="10"/>
  <c r="T134" i="10"/>
  <c r="P136" i="10"/>
  <c r="L138" i="10"/>
  <c r="E126" i="10"/>
  <c r="AI127" i="10"/>
  <c r="AE129" i="10"/>
  <c r="AA131" i="10"/>
  <c r="W133" i="10"/>
  <c r="S135" i="10"/>
  <c r="O137" i="10"/>
  <c r="K139" i="10"/>
  <c r="AL126" i="10"/>
  <c r="AH128" i="10"/>
  <c r="AD130" i="10"/>
  <c r="Z132" i="10"/>
  <c r="V134" i="10"/>
  <c r="R136" i="10"/>
  <c r="N138" i="10"/>
  <c r="G126" i="10"/>
  <c r="AK127" i="10"/>
  <c r="AG129" i="10"/>
  <c r="AC131" i="10"/>
  <c r="Y133" i="10"/>
  <c r="U135" i="10"/>
  <c r="Q137" i="10"/>
  <c r="M139" i="10"/>
  <c r="F127" i="10"/>
  <c r="AJ128" i="10"/>
  <c r="AF130" i="10"/>
  <c r="AB132" i="10"/>
  <c r="X134" i="10"/>
  <c r="T136" i="10"/>
  <c r="P138" i="10"/>
  <c r="Y138" i="10"/>
  <c r="M128" i="10"/>
  <c r="F132" i="10"/>
  <c r="X139" i="10"/>
  <c r="K133" i="10"/>
  <c r="Z126" i="10"/>
  <c r="J134" i="10"/>
  <c r="AE127" i="10"/>
  <c r="O135" i="10"/>
  <c r="AB129" i="10"/>
  <c r="L137" i="10"/>
  <c r="AG130" i="10"/>
  <c r="Q138" i="10"/>
  <c r="AF131" i="10"/>
  <c r="P139" i="10"/>
  <c r="AG127" i="10"/>
  <c r="AC129" i="10"/>
  <c r="Y131" i="10"/>
  <c r="U133" i="10"/>
  <c r="Q135" i="10"/>
  <c r="M137" i="10"/>
  <c r="I139" i="10"/>
  <c r="J127" i="10"/>
  <c r="F129" i="10"/>
  <c r="AJ130" i="10"/>
  <c r="AF132" i="10"/>
  <c r="AB134" i="10"/>
  <c r="X136" i="10"/>
  <c r="T138" i="10"/>
  <c r="M126" i="10"/>
  <c r="I128" i="10"/>
  <c r="E130" i="10"/>
  <c r="AI131" i="10"/>
  <c r="AE133" i="10"/>
  <c r="AA135" i="10"/>
  <c r="W137" i="10"/>
  <c r="S139" i="10"/>
  <c r="L127" i="10"/>
  <c r="H129" i="10"/>
  <c r="AL130" i="10"/>
  <c r="AH132" i="10"/>
  <c r="AD134" i="10"/>
  <c r="Z136" i="10"/>
  <c r="V138" i="10"/>
  <c r="O126" i="10"/>
  <c r="K128" i="10"/>
  <c r="G130" i="10"/>
  <c r="AK131" i="10"/>
  <c r="AG133" i="10"/>
  <c r="AC135" i="10"/>
  <c r="Y137" i="10"/>
  <c r="U139" i="10"/>
  <c r="N127" i="10"/>
  <c r="J129" i="10"/>
  <c r="F131" i="10"/>
  <c r="AJ132" i="10"/>
  <c r="AF134" i="10"/>
  <c r="AB136" i="10"/>
  <c r="X138" i="10"/>
  <c r="E132" i="10"/>
  <c r="AE135" i="10"/>
  <c r="AL132" i="10"/>
  <c r="Y126" i="10"/>
  <c r="I134" i="10"/>
  <c r="X127" i="10"/>
  <c r="H135" i="10"/>
  <c r="AC128" i="10"/>
  <c r="M136" i="10"/>
  <c r="Z130" i="10"/>
  <c r="J138" i="10"/>
  <c r="AE131" i="10"/>
  <c r="O139" i="10"/>
  <c r="AD132" i="10"/>
  <c r="K126" i="10"/>
  <c r="G128" i="10"/>
  <c r="AK129" i="10"/>
  <c r="AG131" i="10"/>
  <c r="AC133" i="10"/>
  <c r="Y135" i="10"/>
  <c r="U137" i="10"/>
  <c r="Q139" i="10"/>
  <c r="R127" i="10"/>
  <c r="N129" i="10"/>
  <c r="J131" i="10"/>
  <c r="F133" i="10"/>
  <c r="AJ134" i="10"/>
  <c r="AF136" i="10"/>
  <c r="AB138" i="10"/>
  <c r="U126" i="10"/>
  <c r="Q128" i="10"/>
  <c r="M130" i="10"/>
  <c r="I132" i="10"/>
  <c r="E134" i="10"/>
  <c r="AI135" i="10"/>
  <c r="AE137" i="10"/>
  <c r="AA139" i="10"/>
  <c r="T127" i="10"/>
  <c r="P129" i="10"/>
  <c r="L131" i="10"/>
  <c r="H133" i="10"/>
  <c r="AL134" i="10"/>
  <c r="AH136" i="10"/>
  <c r="AD138" i="10"/>
  <c r="W126" i="10"/>
  <c r="S128" i="10"/>
  <c r="O130" i="10"/>
  <c r="K132" i="10"/>
  <c r="G134" i="10"/>
  <c r="AK135" i="10"/>
  <c r="AG137" i="10"/>
  <c r="AC139" i="10"/>
  <c r="V127" i="10"/>
  <c r="R129" i="10"/>
  <c r="N131" i="10"/>
  <c r="J133" i="10"/>
  <c r="F135" i="10"/>
  <c r="AJ136" i="10"/>
  <c r="AF138" i="10"/>
  <c r="W139" i="10"/>
  <c r="R126" i="10"/>
  <c r="AJ133" i="10"/>
  <c r="W127" i="10"/>
  <c r="G135" i="10"/>
  <c r="V128" i="10"/>
  <c r="F136" i="10"/>
  <c r="AA129" i="10"/>
  <c r="K137" i="10"/>
  <c r="X131" i="10"/>
  <c r="H139" i="10"/>
  <c r="AC132" i="10"/>
  <c r="J126" i="10"/>
  <c r="AB133" i="10"/>
  <c r="S126" i="10"/>
  <c r="O128" i="10"/>
  <c r="K130" i="10"/>
  <c r="G132" i="10"/>
  <c r="AK133" i="10"/>
  <c r="AG135" i="10"/>
  <c r="AC137" i="10"/>
  <c r="Y139" i="10"/>
  <c r="Z127" i="10"/>
  <c r="V129" i="10"/>
  <c r="R131" i="10"/>
  <c r="N133" i="10"/>
  <c r="J135" i="10"/>
  <c r="F137" i="10"/>
  <c r="AJ138" i="10"/>
  <c r="AC126" i="10"/>
  <c r="Y128" i="10"/>
  <c r="U130" i="10"/>
  <c r="Q132" i="10"/>
  <c r="M134" i="10"/>
  <c r="I136" i="10"/>
  <c r="E138" i="10"/>
  <c r="AI139" i="10"/>
  <c r="AB127" i="10"/>
  <c r="X129" i="10"/>
  <c r="T131" i="10"/>
  <c r="P133" i="10"/>
  <c r="L135" i="10"/>
  <c r="H137" i="10"/>
  <c r="AL138" i="10"/>
  <c r="AE126" i="10"/>
  <c r="AA128" i="10"/>
  <c r="W130" i="10"/>
  <c r="S132" i="10"/>
  <c r="O134" i="10"/>
  <c r="K136" i="10"/>
  <c r="G138" i="10"/>
  <c r="AK139" i="10"/>
  <c r="AD127" i="10"/>
  <c r="Z129" i="10"/>
  <c r="V131" i="10"/>
  <c r="R133" i="10"/>
  <c r="N135" i="10"/>
  <c r="J137" i="10"/>
  <c r="V124" i="4" l="1"/>
  <c r="V123" i="4"/>
  <c r="N124" i="4"/>
  <c r="N123" i="4"/>
  <c r="Z123" i="4"/>
  <c r="Z124" i="4"/>
  <c r="X123" i="4"/>
  <c r="X124" i="4"/>
  <c r="W123" i="4"/>
  <c r="W124" i="4"/>
  <c r="AL124" i="4"/>
  <c r="AL123" i="4"/>
  <c r="S123" i="4"/>
  <c r="S124" i="4"/>
  <c r="AI123" i="4"/>
  <c r="AI124" i="4"/>
  <c r="AB123" i="4"/>
  <c r="AB124" i="4"/>
  <c r="H123" i="4"/>
  <c r="H124" i="4"/>
  <c r="AA123" i="4"/>
  <c r="AA124" i="4"/>
  <c r="L123" i="4"/>
  <c r="L124" i="4"/>
  <c r="J123" i="4"/>
  <c r="J124" i="4"/>
  <c r="AD124" i="4"/>
  <c r="AD123" i="4"/>
  <c r="K123" i="4"/>
  <c r="K124" i="4"/>
  <c r="I123" i="4"/>
  <c r="I124" i="4"/>
  <c r="AF123" i="4"/>
  <c r="AF124" i="4"/>
  <c r="M123" i="4"/>
  <c r="M124" i="4"/>
  <c r="AK123" i="4"/>
  <c r="AK124" i="4"/>
  <c r="R123" i="4"/>
  <c r="R124" i="4"/>
  <c r="P123" i="4"/>
  <c r="P124" i="4"/>
  <c r="AE123" i="4"/>
  <c r="AE124" i="4"/>
  <c r="AH123" i="4"/>
  <c r="AH124" i="4"/>
  <c r="AC123" i="4"/>
  <c r="AC124" i="4"/>
  <c r="U123" i="4"/>
  <c r="U124" i="4"/>
  <c r="T123" i="4"/>
  <c r="T124" i="4"/>
  <c r="AJ123" i="4"/>
  <c r="AJ124" i="4"/>
  <c r="Y123" i="4"/>
  <c r="Y124" i="4"/>
  <c r="G123" i="4"/>
  <c r="G124" i="4"/>
  <c r="O123" i="4"/>
  <c r="O124" i="4"/>
  <c r="Q123" i="4"/>
  <c r="Q124" i="4"/>
  <c r="AG123" i="4"/>
  <c r="AG124" i="4"/>
  <c r="F123" i="4"/>
  <c r="F124" i="4"/>
  <c r="B118" i="4" l="1"/>
  <c r="B119" i="4"/>
  <c r="E126" i="4" a="1"/>
  <c r="V139" i="4" s="1"/>
  <c r="E133" i="4" l="1"/>
  <c r="T130" i="4"/>
  <c r="AE133" i="4"/>
  <c r="S128" i="4"/>
  <c r="Y137" i="4"/>
  <c r="I126" i="4"/>
  <c r="P139" i="4"/>
  <c r="I135" i="4"/>
  <c r="AC127" i="4"/>
  <c r="F131" i="4"/>
  <c r="Z130" i="4"/>
  <c r="O130" i="4"/>
  <c r="AG135" i="4"/>
  <c r="AE126" i="4"/>
  <c r="Q126" i="4"/>
  <c r="AD131" i="4"/>
  <c r="AJ131" i="4"/>
  <c r="X130" i="4"/>
  <c r="AL139" i="4"/>
  <c r="AK138" i="4"/>
  <c r="G137" i="4"/>
  <c r="AF128" i="4"/>
  <c r="U132" i="4"/>
  <c r="U136" i="4"/>
  <c r="E136" i="4"/>
  <c r="AL137" i="4"/>
  <c r="E135" i="4"/>
  <c r="I134" i="4"/>
  <c r="Z128" i="4"/>
  <c r="AF130" i="4"/>
  <c r="S139" i="4"/>
  <c r="AJ132" i="4"/>
  <c r="Z126" i="4"/>
  <c r="AL130" i="4"/>
  <c r="V132" i="4"/>
  <c r="R127" i="4"/>
  <c r="AE137" i="4"/>
  <c r="AK135" i="4"/>
  <c r="G131" i="4"/>
  <c r="AC137" i="4"/>
  <c r="Q132" i="4"/>
  <c r="AA128" i="4"/>
  <c r="AA131" i="4"/>
  <c r="K133" i="4"/>
  <c r="AA126" i="4"/>
  <c r="M138" i="4"/>
  <c r="N139" i="4"/>
  <c r="O135" i="4"/>
  <c r="K138" i="4"/>
  <c r="T139" i="4"/>
  <c r="AB139" i="4"/>
  <c r="P128" i="4"/>
  <c r="T138" i="4"/>
  <c r="E134" i="4"/>
  <c r="R133" i="4"/>
  <c r="N126" i="4"/>
  <c r="P132" i="4"/>
  <c r="Q131" i="4"/>
  <c r="M139" i="4"/>
  <c r="W137" i="4"/>
  <c r="Q139" i="4"/>
  <c r="AC129" i="4"/>
  <c r="N135" i="4"/>
  <c r="AH134" i="4"/>
  <c r="Q136" i="4"/>
  <c r="O136" i="4"/>
  <c r="AA133" i="4"/>
  <c r="E132" i="4"/>
  <c r="R132" i="4"/>
  <c r="I127" i="4"/>
  <c r="Z139" i="4"/>
  <c r="P135" i="4"/>
  <c r="F132" i="4"/>
  <c r="AJ133" i="4"/>
  <c r="AF127" i="4"/>
  <c r="AL135" i="4"/>
  <c r="AC136" i="4"/>
  <c r="J136" i="4"/>
  <c r="P138" i="4"/>
  <c r="AD134" i="4"/>
  <c r="X138" i="4"/>
  <c r="J134" i="4"/>
  <c r="V138" i="4"/>
  <c r="R134" i="4"/>
  <c r="F133" i="4"/>
  <c r="T127" i="4"/>
  <c r="AG137" i="4"/>
  <c r="AL128" i="4"/>
  <c r="Y139" i="4"/>
  <c r="E138" i="4"/>
  <c r="S132" i="4"/>
  <c r="K139" i="4"/>
  <c r="S133" i="4"/>
  <c r="K134" i="4"/>
  <c r="AF129" i="4"/>
  <c r="E126" i="4"/>
  <c r="Y130" i="4"/>
  <c r="AL129" i="4"/>
  <c r="M127" i="4"/>
  <c r="AB129" i="4"/>
  <c r="H136" i="4"/>
  <c r="Y135" i="4"/>
  <c r="AL138" i="4"/>
  <c r="AG128" i="4"/>
  <c r="S138" i="4"/>
  <c r="AH135" i="4"/>
  <c r="T136" i="4"/>
  <c r="AI135" i="4"/>
  <c r="U130" i="4"/>
  <c r="Y126" i="4"/>
  <c r="X139" i="4"/>
  <c r="X131" i="4"/>
  <c r="I133" i="4"/>
  <c r="K131" i="4"/>
  <c r="G133" i="4"/>
  <c r="W136" i="4"/>
  <c r="M132" i="4"/>
  <c r="P136" i="4"/>
  <c r="T137" i="4"/>
  <c r="G139" i="4"/>
  <c r="N128" i="4"/>
  <c r="P130" i="4"/>
  <c r="S129" i="4"/>
  <c r="Z136" i="4"/>
  <c r="AE129" i="4"/>
  <c r="AJ137" i="4"/>
  <c r="O139" i="4"/>
  <c r="J138" i="4"/>
  <c r="AJ134" i="4"/>
  <c r="P129" i="4"/>
  <c r="AC139" i="4"/>
  <c r="Z134" i="4"/>
  <c r="V129" i="4"/>
  <c r="AI139" i="4"/>
  <c r="O134" i="4"/>
  <c r="N138" i="4"/>
  <c r="U128" i="4"/>
  <c r="G136" i="4"/>
  <c r="P137" i="4"/>
  <c r="R136" i="4"/>
  <c r="AC132" i="4"/>
  <c r="V137" i="4"/>
  <c r="AI132" i="4"/>
  <c r="Y138" i="4"/>
  <c r="Q129" i="4"/>
  <c r="J129" i="4"/>
  <c r="AF138" i="4"/>
  <c r="H126" i="4"/>
  <c r="S131" i="4"/>
  <c r="AA127" i="4"/>
  <c r="X126" i="4"/>
  <c r="U127" i="4"/>
  <c r="AI138" i="4"/>
  <c r="M133" i="4"/>
  <c r="T133" i="4"/>
  <c r="AH137" i="4"/>
  <c r="N132" i="4"/>
  <c r="O126" i="4"/>
  <c r="V134" i="4"/>
  <c r="Q135" i="4"/>
  <c r="W139" i="4"/>
  <c r="K126" i="4"/>
  <c r="AF136" i="4"/>
  <c r="AL134" i="4"/>
  <c r="R129" i="4"/>
  <c r="V136" i="4"/>
  <c r="R131" i="4"/>
  <c r="AB127" i="4"/>
  <c r="AK139" i="4"/>
  <c r="I138" i="4"/>
  <c r="AC128" i="4"/>
  <c r="AH127" i="4"/>
  <c r="L139" i="4"/>
  <c r="S137" i="4"/>
  <c r="X127" i="4"/>
  <c r="R139" i="4"/>
  <c r="P126" i="4"/>
  <c r="X128" i="4"/>
  <c r="N134" i="4"/>
  <c r="AJ128" i="4"/>
  <c r="K130" i="4"/>
  <c r="AE128" i="4"/>
  <c r="J132" i="4"/>
  <c r="AA135" i="4"/>
  <c r="F138" i="4"/>
  <c r="AF135" i="4"/>
  <c r="AI133" i="4"/>
  <c r="V130" i="4"/>
  <c r="N130" i="4"/>
  <c r="H139" i="4"/>
  <c r="J130" i="4"/>
  <c r="Q127" i="4"/>
  <c r="AI130" i="4"/>
  <c r="R126" i="4"/>
  <c r="Q133" i="4"/>
  <c r="AE138" i="4"/>
  <c r="S127" i="4"/>
  <c r="W127" i="4"/>
  <c r="T134" i="4"/>
  <c r="AB137" i="4"/>
  <c r="U129" i="4"/>
  <c r="AI127" i="4"/>
  <c r="AJ130" i="4"/>
  <c r="AK131" i="4"/>
  <c r="G126" i="4"/>
  <c r="J127" i="4"/>
  <c r="AE139" i="4"/>
  <c r="AG131" i="4"/>
  <c r="U126" i="4"/>
  <c r="AH136" i="4"/>
  <c r="N131" i="4"/>
  <c r="R138" i="4"/>
  <c r="F137" i="4"/>
  <c r="T131" i="4"/>
  <c r="AD127" i="4"/>
  <c r="R130" i="4"/>
  <c r="AG130" i="4"/>
  <c r="R135" i="4"/>
  <c r="AE130" i="4"/>
  <c r="O127" i="4"/>
  <c r="H135" i="4"/>
  <c r="AK130" i="4"/>
  <c r="L128" i="4"/>
  <c r="AJ129" i="4"/>
  <c r="W135" i="4"/>
  <c r="Z132" i="4"/>
  <c r="O131" i="4"/>
  <c r="AC126" i="4"/>
  <c r="AL132" i="4"/>
  <c r="E139" i="4"/>
  <c r="L136" i="4"/>
  <c r="AC138" i="4"/>
  <c r="E137" i="4"/>
  <c r="AG136" i="4"/>
  <c r="AF131" i="4"/>
  <c r="AF126" i="4"/>
  <c r="X135" i="4"/>
  <c r="AJ135" i="4"/>
  <c r="AJ126" i="4"/>
  <c r="AH139" i="4"/>
  <c r="M129" i="4"/>
  <c r="AB130" i="4"/>
  <c r="AH128" i="4"/>
  <c r="AB134" i="4"/>
  <c r="AC135" i="4"/>
  <c r="Y133" i="4"/>
  <c r="M126" i="4"/>
  <c r="K129" i="4"/>
  <c r="AC133" i="4"/>
  <c r="Q128" i="4"/>
  <c r="AD138" i="4"/>
  <c r="AJ136" i="4"/>
  <c r="O128" i="4"/>
  <c r="AJ138" i="4"/>
  <c r="P133" i="4"/>
  <c r="Z129" i="4"/>
  <c r="I128" i="4"/>
  <c r="G135" i="4"/>
  <c r="N137" i="4"/>
  <c r="O138" i="4"/>
  <c r="U133" i="4"/>
  <c r="AL136" i="4"/>
  <c r="U138" i="4"/>
  <c r="AH133" i="4"/>
  <c r="J139" i="4"/>
  <c r="AH138" i="4"/>
  <c r="L126" i="4"/>
  <c r="K127" i="4"/>
  <c r="J128" i="4"/>
  <c r="I129" i="4"/>
  <c r="H130" i="4"/>
  <c r="AD136" i="4"/>
  <c r="AK137" i="4"/>
  <c r="F126" i="4"/>
  <c r="E127" i="4"/>
  <c r="AL127" i="4"/>
  <c r="O137" i="4"/>
  <c r="V128" i="4"/>
  <c r="AK128" i="4"/>
  <c r="AG134" i="4"/>
  <c r="AD137" i="4"/>
  <c r="T132" i="4"/>
  <c r="AE132" i="4"/>
  <c r="AJ139" i="4"/>
  <c r="I131" i="4"/>
  <c r="Y134" i="4"/>
  <c r="L134" i="4"/>
  <c r="P134" i="4"/>
  <c r="W129" i="4"/>
  <c r="K137" i="4"/>
  <c r="R128" i="4"/>
  <c r="AB126" i="4"/>
  <c r="AG138" i="4"/>
  <c r="AA138" i="4"/>
  <c r="T128" i="4"/>
  <c r="AA134" i="4"/>
  <c r="AB133" i="4"/>
  <c r="K135" i="4"/>
  <c r="S135" i="4"/>
  <c r="AA137" i="4"/>
  <c r="AI131" i="4"/>
  <c r="G130" i="4"/>
  <c r="AB136" i="4"/>
  <c r="F127" i="4"/>
  <c r="Y131" i="4"/>
  <c r="L127" i="4"/>
  <c r="G127" i="4"/>
  <c r="N136" i="4"/>
  <c r="U137" i="4"/>
  <c r="AB138" i="4"/>
  <c r="AA139" i="4"/>
  <c r="W126" i="4"/>
  <c r="V127" i="4"/>
  <c r="K128" i="4"/>
  <c r="S126" i="4"/>
  <c r="Z127" i="4"/>
  <c r="Y128" i="4"/>
  <c r="X129" i="4"/>
  <c r="W130" i="4"/>
  <c r="V131" i="4"/>
  <c r="AB132" i="4"/>
  <c r="AG126" i="4"/>
  <c r="AK132" i="4"/>
  <c r="Z138" i="4"/>
  <c r="AG139" i="4"/>
  <c r="AK126" i="4"/>
  <c r="AJ127" i="4"/>
  <c r="AI128" i="4"/>
  <c r="AH129" i="4"/>
  <c r="AD130" i="4"/>
  <c r="F136" i="4"/>
  <c r="H127" i="4"/>
  <c r="AK136" i="4"/>
  <c r="AI126" i="4"/>
  <c r="H128" i="4"/>
  <c r="G129" i="4"/>
  <c r="F130" i="4"/>
  <c r="E131" i="4"/>
  <c r="AL131" i="4"/>
  <c r="AF133" i="4"/>
  <c r="M136" i="4"/>
  <c r="V126" i="4"/>
  <c r="E129" i="4"/>
  <c r="I137" i="4"/>
  <c r="U131" i="4"/>
  <c r="O133" i="4"/>
  <c r="Q138" i="4"/>
  <c r="AK134" i="4"/>
  <c r="AI134" i="4"/>
  <c r="Y129" i="4"/>
  <c r="AK127" i="4"/>
  <c r="AG127" i="4"/>
  <c r="H129" i="4"/>
  <c r="U139" i="4"/>
  <c r="W133" i="4"/>
  <c r="AA129" i="4"/>
  <c r="AF132" i="4"/>
  <c r="AF134" i="4"/>
  <c r="AH126" i="4"/>
  <c r="G128" i="4"/>
  <c r="N129" i="4"/>
  <c r="M130" i="4"/>
  <c r="L131" i="4"/>
  <c r="K132" i="4"/>
  <c r="J133" i="4"/>
  <c r="AH130" i="4"/>
  <c r="G132" i="4"/>
  <c r="N133" i="4"/>
  <c r="M134" i="4"/>
  <c r="L135" i="4"/>
  <c r="K136" i="4"/>
  <c r="J137" i="4"/>
  <c r="AF139" i="4"/>
  <c r="E128" i="4"/>
  <c r="L129" i="4"/>
  <c r="S130" i="4"/>
  <c r="Z131" i="4"/>
  <c r="Y132" i="4"/>
  <c r="X133" i="4"/>
  <c r="W134" i="4"/>
  <c r="V135" i="4"/>
  <c r="Q137" i="4"/>
  <c r="E130" i="4"/>
  <c r="I130" i="4"/>
  <c r="P131" i="4"/>
  <c r="W132" i="4"/>
  <c r="AD133" i="4"/>
  <c r="AC134" i="4"/>
  <c r="AB135" i="4"/>
  <c r="AA136" i="4"/>
  <c r="Z137" i="4"/>
  <c r="P127" i="4"/>
  <c r="W128" i="4"/>
  <c r="AD129" i="4"/>
  <c r="AC130" i="4"/>
  <c r="AB131" i="4"/>
  <c r="AA132" i="4"/>
  <c r="Z133" i="4"/>
  <c r="AC131" i="4"/>
  <c r="F129" i="4"/>
  <c r="AI129" i="4"/>
  <c r="T129" i="4"/>
  <c r="AA130" i="4"/>
  <c r="AH131" i="4"/>
  <c r="AG132" i="4"/>
  <c r="AE134" i="4"/>
  <c r="AD135" i="4"/>
  <c r="H132" i="4"/>
  <c r="AE136" i="4"/>
  <c r="AL133" i="4"/>
  <c r="H134" i="4"/>
  <c r="M131" i="4"/>
  <c r="L137" i="4"/>
  <c r="O129" i="4"/>
  <c r="AD139" i="4"/>
  <c r="M135" i="4"/>
  <c r="AF137" i="4"/>
  <c r="X132" i="4"/>
  <c r="J126" i="4"/>
  <c r="L138" i="4"/>
  <c r="AE131" i="4"/>
  <c r="L132" i="4"/>
  <c r="Y127" i="4"/>
  <c r="F134" i="4"/>
  <c r="AG129" i="4"/>
  <c r="Q134" i="4"/>
  <c r="L130" i="4"/>
  <c r="AB128" i="4"/>
  <c r="H138" i="4"/>
  <c r="AE135" i="4"/>
  <c r="AD126" i="4"/>
  <c r="F128" i="4"/>
  <c r="AE127" i="4"/>
  <c r="T126" i="4"/>
  <c r="AI136" i="4"/>
  <c r="U135" i="4"/>
  <c r="M137" i="4"/>
  <c r="AH132" i="4"/>
  <c r="N127" i="4"/>
  <c r="AL126" i="4"/>
  <c r="AI137" i="4"/>
  <c r="X136" i="4"/>
  <c r="W131" i="4"/>
  <c r="AD128" i="4"/>
  <c r="AK129" i="4"/>
  <c r="J131" i="4"/>
  <c r="I132" i="4"/>
  <c r="H133" i="4"/>
  <c r="G134" i="4"/>
  <c r="F135" i="4"/>
  <c r="AD132" i="4"/>
  <c r="AK133" i="4"/>
  <c r="J135" i="4"/>
  <c r="I136" i="4"/>
  <c r="H137" i="4"/>
  <c r="G138" i="4"/>
  <c r="F139" i="4"/>
  <c r="I139" i="4"/>
  <c r="M128" i="4"/>
  <c r="H131" i="4"/>
  <c r="O132" i="4"/>
  <c r="V133" i="4"/>
  <c r="U134" i="4"/>
  <c r="T135" i="4"/>
  <c r="S136" i="4"/>
  <c r="R137" i="4"/>
  <c r="X134" i="4"/>
  <c r="AG133" i="4"/>
  <c r="Q130" i="4"/>
  <c r="L133" i="4"/>
  <c r="S134" i="4"/>
  <c r="Z135" i="4"/>
  <c r="Y136" i="4"/>
  <c r="X137" i="4"/>
  <c r="W13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<sst xmlns="http://schemas.openxmlformats.org/spreadsheetml/2006/main" count="353" uniqueCount="105">
  <si>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</si>
  <si>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</si>
  <si>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</si>
  <si>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</si>
  <si>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</si>
  <si>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</si>
  <si>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</si>
  <si>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</si>
  <si>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</si>
  <si>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</si>
  <si>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</si>
  <si>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</si>
  <si>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</si>
  <si>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</si>
  <si>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</si>
  <si>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</si>
  <si>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</si>
  <si>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</si>
  <si>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</si>
  <si>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</si>
  <si>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</si>
  <si>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</si>
  <si>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</si>
  <si>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</si>
  <si>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</si>
  <si>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</si>
  <si>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</si>
  <si>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</si>
  <si>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</si>
  <si>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</si>
  <si>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</si>
  <si>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</si>
  <si>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</si>
  <si>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</si>
  <si>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</si>
  <si>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</si>
  <si>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</si>
  <si>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</si>
  <si>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</si>
  <si>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</si>
  <si>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</si>
  <si>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</si>
  <si>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</si>
  <si>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</si>
  <si>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</si>
  <si>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Solution #1</t>
  </si>
  <si>
    <t>Vapor</t>
  </si>
  <si>
    <t>(l)Ge[l]</t>
  </si>
  <si>
    <t>(l)Ga[l]</t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</si>
  <si>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</si>
  <si>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</si>
  <si>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</si>
  <si>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t>*Se[m]</t>
  </si>
  <si>
    <t>*Ge[c]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</si>
  <si>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</si>
  <si>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*Ga[l]</t>
  </si>
  <si>
    <t>*GeSe</t>
  </si>
  <si>
    <t>*Ge</t>
  </si>
  <si>
    <t>(l)SeCl]</t>
  </si>
  <si>
    <t>(l)Ge[lJ</t>
  </si>
  <si>
    <t>Se?</t>
  </si>
  <si>
    <t>*Se[l]</t>
  </si>
  <si>
    <t>(l)Geic]</t>
  </si>
  <si>
    <t>Ga2Se3</t>
  </si>
  <si>
    <t>*GeSe2</t>
  </si>
  <si>
    <t>Solution #3</t>
  </si>
  <si>
    <t>Solution #2</t>
  </si>
  <si>
    <t>(3)Ge[l]</t>
  </si>
  <si>
    <t>(3)Ga[l]</t>
  </si>
  <si>
    <r>
      <t>Temperature,</t>
    </r>
    <r>
      <rPr>
        <sz val="8"/>
        <rFont val="Arial"/>
        <family val="2"/>
        <charset val="204"/>
      </rPr>
      <t>К</t>
    </r>
  </si>
  <si>
    <t>*Ga2Se</t>
  </si>
  <si>
    <t>Ga2Se</t>
  </si>
  <si>
    <t>Se3</t>
  </si>
  <si>
    <t>Se4</t>
  </si>
  <si>
    <t>Se5</t>
  </si>
  <si>
    <t>Se6</t>
  </si>
  <si>
    <t>Se8</t>
  </si>
  <si>
    <t>Se2</t>
  </si>
  <si>
    <t>Se7</t>
  </si>
  <si>
    <t>(l)Se[l]</t>
  </si>
  <si>
    <t xml:space="preserve">Раствор 3 (жид): </t>
  </si>
  <si>
    <t>Расвтор 2</t>
  </si>
  <si>
    <t xml:space="preserve">Раствор 3 + газовая без Ar: </t>
  </si>
  <si>
    <t>0,00006+00</t>
  </si>
  <si>
    <t>*Ga[1]</t>
  </si>
  <si>
    <t>(1)GeSe2</t>
  </si>
  <si>
    <t>(1)GeSe</t>
  </si>
  <si>
    <t>(1)Ga2Se3</t>
  </si>
  <si>
    <t>(1)Ga2Se</t>
  </si>
  <si>
    <t>(1)Ge</t>
  </si>
  <si>
    <t>(1)Ga</t>
  </si>
  <si>
    <t>(1)Se</t>
  </si>
  <si>
    <t>(1)Se[a]</t>
  </si>
  <si>
    <t>(1)Se[m]</t>
  </si>
  <si>
    <t>(1)Se[r]</t>
  </si>
  <si>
    <t>Temperature,К</t>
  </si>
  <si>
    <t>Temperature,K</t>
  </si>
  <si>
    <t>(1)Ga[1]</t>
  </si>
  <si>
    <t>(1)GeC1]</t>
  </si>
  <si>
    <t>So1ution #1</t>
  </si>
  <si>
    <t>(1)Ge[c]</t>
  </si>
  <si>
    <t>(1)Ga[l]</t>
  </si>
  <si>
    <t>(1)Ge[l]</t>
  </si>
  <si>
    <t>End2</t>
  </si>
  <si>
    <t>end1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</si>
</sst>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0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vertAlign val="subscript"/>
      <sz val="8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5" fillId="6" borderId="0"/>
    <xf numFmtId="1" fontId="8" fillId="9" borderId="2">
      <alignment horizontal="left" vertical="center"/>
    </xf>
    <xf numFmtId="0" fontId="9" fillId="8" borderId="3" applyNumberFormat="0">
      <alignment horizontal="left" vertical="center"/>
    </xf>
    <xf numFmtId="165" fontId="10" fillId="0" borderId="0"/>
    <xf numFmtId="11" fontId="13" fillId="13" borderId="0">
      <alignment vertical="top"/>
    </xf>
    <xf numFmtId="0" fontId="2" fillId="4" borderId="0">
      <alignment horizontal="center" vertical="center"/>
    </xf>
    <xf numFmtId="0" fontId="23" fillId="3" borderId="1">
      <alignment horizontal="center" vertical="center"/>
    </xf>
    <xf numFmtId="165" fontId="10" fillId="0" borderId="0"/>
    <xf numFmtId="0" fontId="26" fillId="0" borderId="0" applyNumberFormat="0" applyFont="0" applyFill="0" applyBorder="0" applyAlignment="0" applyProtection="0">
      <alignment vertical="top"/>
    </xf>
    <xf numFmtId="0" fontId="26" fillId="0" borderId="0" applyNumberFormat="0" applyFont="0" applyFill="0" applyBorder="0" applyAlignment="0" applyProtection="0">
      <alignment vertical="top"/>
    </xf>
    <xf numFmtId="0" fontId="26" fillId="0" borderId="0" applyNumberFormat="0" applyFont="0" applyFill="0" applyBorder="0" applyAlignment="0" applyProtection="0">
      <alignment vertical="top"/>
    </xf>
    <xf numFmtId="0" fontId="26" fillId="0" borderId="0" applyNumberFormat="0" applyFont="0" applyFill="0" applyBorder="0" applyAlignment="0" applyProtection="0">
      <alignment vertical="top"/>
    </xf>
  </cellStyleXfs>
  <cellXfs count="171">
    <xf numFmtId="0" fontId="0" fillId="0" borderId="0" xfId="0"/>
    <xf numFmtId="0" fontId="8" fillId="9" borderId="38" xfId="2" applyNumberFormat="1" applyBorder="1">
      <alignment horizontal="left" vertical="center"/>
    </xf>
    <xf numFmtId="0" fontId="6" fillId="7" borderId="33" xfId="0" applyFont="1" applyFill="1" applyBorder="1"/>
    <xf numFmtId="0" fontId="0" fillId="5" borderId="0" xfId="0" applyFill="1"/>
    <xf numFmtId="0" fontId="5" fillId="7" borderId="0" xfId="1" applyFill="1"/>
    <xf numFmtId="0" fontId="0" fillId="7" borderId="0" xfId="0" applyFill="1"/>
    <xf numFmtId="0" fontId="6" fillId="7" borderId="0" xfId="0" applyFont="1" applyFill="1"/>
    <xf numFmtId="0" fontId="7" fillId="8" borderId="1" xfId="0" applyFont="1" applyFill="1" applyBorder="1" applyAlignment="1">
      <alignment horizontal="center" vertical="center"/>
    </xf>
    <xf numFmtId="0" fontId="8" fillId="9" borderId="2" xfId="2" applyNumberFormat="1">
      <alignment horizontal="left" vertical="center"/>
    </xf>
    <xf numFmtId="1" fontId="8" fillId="9" borderId="2" xfId="2">
      <alignment horizontal="left" vertical="center"/>
    </xf>
    <xf numFmtId="0" fontId="3" fillId="10" borderId="0" xfId="0" applyFont="1" applyFill="1"/>
    <xf numFmtId="0" fontId="9" fillId="8" borderId="3" xfId="3" applyNumberFormat="1">
      <alignment horizontal="left" vertical="center"/>
    </xf>
    <xf numFmtId="165" fontId="10" fillId="0" borderId="0" xfId="4"/>
    <xf numFmtId="0" fontId="11" fillId="11" borderId="4" xfId="0" applyFont="1" applyFill="1" applyBorder="1"/>
    <xf numFmtId="0" fontId="11" fillId="11" borderId="5" xfId="0" applyFont="1" applyFill="1" applyBorder="1"/>
    <xf numFmtId="0" fontId="11" fillId="11" borderId="6" xfId="0" applyFont="1" applyFill="1" applyBorder="1"/>
    <xf numFmtId="0" fontId="12" fillId="7" borderId="5" xfId="0" applyFont="1" applyFill="1" applyBorder="1"/>
    <xf numFmtId="0" fontId="0" fillId="2" borderId="0" xfId="0" applyFill="1"/>
    <xf numFmtId="0" fontId="6" fillId="9" borderId="7" xfId="0" applyFont="1" applyFill="1" applyBorder="1" applyAlignment="1">
      <alignment horizontal="center" vertical="center"/>
    </xf>
    <xf numFmtId="0" fontId="8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6" fillId="9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top"/>
    </xf>
    <xf numFmtId="0" fontId="2" fillId="4" borderId="0" xfId="6">
      <alignment horizontal="center" vertical="center"/>
    </xf>
    <xf numFmtId="0" fontId="6" fillId="7" borderId="9" xfId="0" applyFont="1" applyFill="1" applyBorder="1"/>
    <xf numFmtId="0" fontId="7" fillId="8" borderId="10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11" fontId="13" fillId="13" borderId="0" xfId="5">
      <alignment vertical="top"/>
    </xf>
    <xf numFmtId="0" fontId="8" fillId="12" borderId="0" xfId="0" applyFont="1" applyFill="1"/>
    <xf numFmtId="1" fontId="13" fillId="13" borderId="0" xfId="5" applyNumberFormat="1">
      <alignment vertical="top"/>
    </xf>
    <xf numFmtId="0" fontId="9" fillId="8" borderId="3" xfId="3" applyAlignment="1">
      <alignment horizontal="right" vertical="center"/>
    </xf>
    <xf numFmtId="0" fontId="9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8" fillId="9" borderId="13" xfId="0" applyFont="1" applyFill="1" applyBorder="1"/>
    <xf numFmtId="0" fontId="8" fillId="9" borderId="14" xfId="0" applyFont="1" applyFill="1" applyBorder="1"/>
    <xf numFmtId="0" fontId="8" fillId="9" borderId="15" xfId="0" applyFont="1" applyFill="1" applyBorder="1"/>
    <xf numFmtId="0" fontId="15" fillId="9" borderId="15" xfId="0" applyFont="1" applyFill="1" applyBorder="1"/>
    <xf numFmtId="0" fontId="0" fillId="10" borderId="0" xfId="0" applyFill="1"/>
    <xf numFmtId="2" fontId="13" fillId="13" borderId="0" xfId="5" applyNumberFormat="1">
      <alignment vertical="top"/>
    </xf>
    <xf numFmtId="1" fontId="16" fillId="9" borderId="4" xfId="2" applyFont="1" applyBorder="1">
      <alignment horizontal="left" vertical="center"/>
    </xf>
    <xf numFmtId="1" fontId="8" fillId="9" borderId="4" xfId="2" applyBorder="1">
      <alignment horizontal="left" vertical="center"/>
    </xf>
    <xf numFmtId="166" fontId="13" fillId="5" borderId="0" xfId="5" applyNumberFormat="1" applyFill="1">
      <alignment vertical="top"/>
    </xf>
    <xf numFmtId="0" fontId="2" fillId="4" borderId="19" xfId="6" applyBorder="1">
      <alignment horizontal="center" vertical="center"/>
    </xf>
    <xf numFmtId="0" fontId="2" fillId="4" borderId="21" xfId="6" applyBorder="1">
      <alignment horizontal="center" vertical="center"/>
    </xf>
    <xf numFmtId="0" fontId="2" fillId="4" borderId="8" xfId="6" applyBorder="1">
      <alignment horizontal="center" vertical="center"/>
    </xf>
    <xf numFmtId="0" fontId="2" fillId="4" borderId="23" xfId="6" applyBorder="1">
      <alignment horizontal="center" vertical="center"/>
    </xf>
    <xf numFmtId="0" fontId="2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4" fillId="14" borderId="3" xfId="0" applyFont="1" applyFill="1" applyBorder="1" applyAlignment="1">
      <alignment horizontal="right" vertical="center"/>
    </xf>
    <xf numFmtId="0" fontId="4" fillId="15" borderId="3" xfId="0" applyFont="1" applyFill="1" applyBorder="1" applyAlignment="1">
      <alignment horizontal="right" vertical="center"/>
    </xf>
    <xf numFmtId="0" fontId="17" fillId="15" borderId="12" xfId="0" applyFont="1" applyFill="1" applyBorder="1" applyAlignment="1">
      <alignment horizontal="center" vertical="center"/>
    </xf>
    <xf numFmtId="1" fontId="9" fillId="8" borderId="3" xfId="3" applyNumberFormat="1">
      <alignment horizontal="left" vertical="center"/>
    </xf>
    <xf numFmtId="164" fontId="9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7" fillId="14" borderId="9" xfId="0" applyNumberFormat="1" applyFont="1" applyFill="1" applyBorder="1" applyAlignment="1">
      <alignment horizontal="center" vertical="center"/>
    </xf>
    <xf numFmtId="0" fontId="23" fillId="3" borderId="1" xfId="7">
      <alignment horizontal="center" vertical="center"/>
    </xf>
    <xf numFmtId="0" fontId="9" fillId="8" borderId="12" xfId="3" applyNumberFormat="1" applyBorder="1">
      <alignment horizontal="left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3" fillId="10" borderId="9" xfId="0" applyFont="1" applyFill="1" applyBorder="1"/>
    <xf numFmtId="0" fontId="24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11" fillId="17" borderId="6" xfId="0" applyFont="1" applyFill="1" applyBorder="1"/>
    <xf numFmtId="0" fontId="0" fillId="17" borderId="0" xfId="0" applyFill="1"/>
    <xf numFmtId="0" fontId="3" fillId="10" borderId="0" xfId="0" applyFont="1" applyFill="1" applyBorder="1"/>
    <xf numFmtId="11" fontId="9" fillId="8" borderId="3" xfId="3" applyNumberFormat="1">
      <alignment horizontal="left" vertical="center"/>
    </xf>
    <xf numFmtId="165" fontId="10" fillId="0" borderId="0" xfId="8"/>
    <xf numFmtId="164" fontId="0" fillId="0" borderId="18" xfId="0" applyNumberFormat="1" applyBorder="1"/>
    <xf numFmtId="164" fontId="0" fillId="0" borderId="29" xfId="0" applyNumberFormat="1" applyBorder="1"/>
    <xf numFmtId="1" fontId="2" fillId="4" borderId="20" xfId="6" applyNumberFormat="1" applyBorder="1">
      <alignment horizontal="center" vertical="center"/>
    </xf>
    <xf numFmtId="1" fontId="2" fillId="4" borderId="22" xfId="6" applyNumberFormat="1" applyBorder="1">
      <alignment horizontal="center" vertical="center"/>
    </xf>
    <xf numFmtId="11" fontId="13" fillId="13" borderId="0" xfId="5" applyNumberFormat="1">
      <alignment vertical="top"/>
    </xf>
    <xf numFmtId="1" fontId="25" fillId="4" borderId="20" xfId="6" applyNumberFormat="1" applyFont="1" applyBorder="1">
      <alignment horizontal="center" vertical="center"/>
    </xf>
    <xf numFmtId="1" fontId="25" fillId="4" borderId="22" xfId="6" applyNumberFormat="1" applyFont="1" applyBorder="1">
      <alignment horizontal="center" vertical="center"/>
    </xf>
    <xf numFmtId="0" fontId="0" fillId="0" borderId="0" xfId="0"/>
    <xf numFmtId="1" fontId="0" fillId="0" borderId="29" xfId="0" applyNumberFormat="1" applyBorder="1"/>
    <xf numFmtId="0" fontId="8" fillId="9" borderId="4" xfId="2" applyNumberFormat="1" applyBorder="1">
      <alignment horizontal="left" vertical="center"/>
    </xf>
    <xf numFmtId="0" fontId="8" fillId="9" borderId="4" xfId="0" applyFont="1" applyFill="1" applyBorder="1"/>
    <xf numFmtId="0" fontId="8" fillId="9" borderId="34" xfId="2" applyNumberFormat="1" applyBorder="1">
      <alignment horizontal="left" vertical="center"/>
    </xf>
    <xf numFmtId="0" fontId="8" fillId="9" borderId="34" xfId="0" applyFont="1" applyFill="1" applyBorder="1"/>
    <xf numFmtId="1" fontId="8" fillId="9" borderId="34" xfId="2" applyBorder="1">
      <alignment horizontal="left" vertical="center"/>
    </xf>
    <xf numFmtId="0" fontId="6" fillId="7" borderId="26" xfId="0" applyFont="1" applyFill="1" applyBorder="1"/>
    <xf numFmtId="0" fontId="6" fillId="7" borderId="0" xfId="0" applyFont="1" applyFill="1" applyBorder="1"/>
    <xf numFmtId="0" fontId="8" fillId="9" borderId="35" xfId="2" applyNumberFormat="1" applyBorder="1">
      <alignment horizontal="left" vertical="center"/>
    </xf>
    <xf numFmtId="0" fontId="8" fillId="9" borderId="2" xfId="2" applyNumberFormat="1" applyBorder="1">
      <alignment horizontal="left" vertical="center"/>
    </xf>
    <xf numFmtId="11" fontId="13" fillId="13" borderId="26" xfId="5" applyBorder="1">
      <alignment vertical="top"/>
    </xf>
    <xf numFmtId="11" fontId="13" fillId="13" borderId="0" xfId="5" applyBorder="1">
      <alignment vertical="top"/>
    </xf>
    <xf numFmtId="0" fontId="12" fillId="7" borderId="36" xfId="0" applyFont="1" applyFill="1" applyBorder="1"/>
    <xf numFmtId="0" fontId="8" fillId="9" borderId="35" xfId="0" applyFont="1" applyFill="1" applyBorder="1"/>
    <xf numFmtId="165" fontId="0" fillId="10" borderId="26" xfId="0" applyNumberFormat="1" applyFill="1" applyBorder="1"/>
    <xf numFmtId="165" fontId="0" fillId="10" borderId="0" xfId="0" applyNumberFormat="1" applyFill="1" applyBorder="1"/>
    <xf numFmtId="0" fontId="0" fillId="17" borderId="26" xfId="0" applyFill="1" applyBorder="1"/>
    <xf numFmtId="0" fontId="0" fillId="17" borderId="0" xfId="0" applyFill="1" applyBorder="1"/>
    <xf numFmtId="0" fontId="6" fillId="7" borderId="37" xfId="0" applyFont="1" applyFill="1" applyBorder="1"/>
    <xf numFmtId="1" fontId="8" fillId="9" borderId="35" xfId="2" applyBorder="1">
      <alignment horizontal="left" vertical="center"/>
    </xf>
    <xf numFmtId="1" fontId="8" fillId="9" borderId="2" xfId="2" applyBorder="1">
      <alignment horizontal="left" vertical="center"/>
    </xf>
    <xf numFmtId="0" fontId="0" fillId="7" borderId="26" xfId="0" applyFill="1" applyBorder="1"/>
    <xf numFmtId="0" fontId="0" fillId="7" borderId="0" xfId="0" applyFill="1" applyBorder="1"/>
    <xf numFmtId="11" fontId="13" fillId="13" borderId="33" xfId="5" applyBorder="1">
      <alignment vertical="top"/>
    </xf>
    <xf numFmtId="0" fontId="0" fillId="0" borderId="33" xfId="0" applyBorder="1"/>
    <xf numFmtId="0" fontId="12" fillId="7" borderId="39" xfId="0" applyFont="1" applyFill="1" applyBorder="1"/>
    <xf numFmtId="0" fontId="8" fillId="9" borderId="38" xfId="0" applyFont="1" applyFill="1" applyBorder="1"/>
    <xf numFmtId="165" fontId="0" fillId="10" borderId="33" xfId="0" applyNumberFormat="1" applyFill="1" applyBorder="1"/>
    <xf numFmtId="0" fontId="0" fillId="17" borderId="33" xfId="0" applyFill="1" applyBorder="1"/>
    <xf numFmtId="0" fontId="14" fillId="0" borderId="33" xfId="0" applyFont="1" applyBorder="1" applyAlignment="1">
      <alignment vertical="top"/>
    </xf>
    <xf numFmtId="0" fontId="6" fillId="7" borderId="40" xfId="0" applyFont="1" applyFill="1" applyBorder="1"/>
    <xf numFmtId="1" fontId="8" fillId="9" borderId="38" xfId="2" applyBorder="1">
      <alignment horizontal="left" vertical="center"/>
    </xf>
    <xf numFmtId="0" fontId="0" fillId="7" borderId="33" xfId="0" applyFill="1" applyBorder="1"/>
    <xf numFmtId="1" fontId="29" fillId="14" borderId="12" xfId="0" applyNumberFormat="1" applyFont="1" applyFill="1" applyBorder="1" applyAlignment="1">
      <alignment horizontal="center" vertical="center"/>
    </xf>
    <xf numFmtId="0" fontId="14" fillId="0" borderId="32" xfId="9" applyNumberFormat="1" applyFont="1" applyFill="1" applyBorder="1" applyAlignment="1" applyProtection="1">
      <alignment horizontal="left"/>
    </xf>
    <xf numFmtId="0" fontId="14" fillId="0" borderId="32" xfId="9" applyNumberFormat="1" applyFont="1" applyFill="1" applyBorder="1" applyAlignment="1" applyProtection="1">
      <alignment horizontal="justify"/>
    </xf>
    <xf numFmtId="0" fontId="14" fillId="0" borderId="32" xfId="9" applyNumberFormat="1" applyFont="1" applyFill="1" applyBorder="1" applyAlignment="1" applyProtection="1">
      <alignment horizontal="right"/>
    </xf>
    <xf numFmtId="0" fontId="14" fillId="0" borderId="30" xfId="9" applyNumberFormat="1" applyFont="1" applyFill="1" applyBorder="1" applyAlignment="1" applyProtection="1">
      <alignment horizontal="left" vertical="top"/>
    </xf>
    <xf numFmtId="0" fontId="14" fillId="0" borderId="32" xfId="9" applyNumberFormat="1" applyFont="1" applyFill="1" applyBorder="1" applyAlignment="1" applyProtection="1">
      <alignment horizontal="left" vertical="top"/>
    </xf>
    <xf numFmtId="0" fontId="14" fillId="0" borderId="32" xfId="9" applyNumberFormat="1" applyFont="1" applyFill="1" applyBorder="1" applyAlignment="1" applyProtection="1">
      <alignment horizontal="center"/>
    </xf>
    <xf numFmtId="0" fontId="14" fillId="0" borderId="30" xfId="9" applyNumberFormat="1" applyFont="1" applyFill="1" applyBorder="1" applyAlignment="1" applyProtection="1">
      <alignment horizontal="justify"/>
    </xf>
    <xf numFmtId="11" fontId="14" fillId="0" borderId="30" xfId="9" applyNumberFormat="1" applyFont="1" applyFill="1" applyBorder="1" applyAlignment="1" applyProtection="1">
      <alignment horizontal="justify" vertical="top"/>
    </xf>
    <xf numFmtId="11" fontId="14" fillId="0" borderId="30" xfId="9" applyNumberFormat="1" applyFont="1" applyFill="1" applyBorder="1" applyAlignment="1" applyProtection="1">
      <alignment horizontal="center" vertical="top"/>
    </xf>
    <xf numFmtId="11" fontId="14" fillId="0" borderId="30" xfId="9" applyNumberFormat="1" applyFont="1" applyFill="1" applyBorder="1" applyAlignment="1" applyProtection="1">
      <alignment horizontal="justify"/>
    </xf>
    <xf numFmtId="11" fontId="14" fillId="0" borderId="30" xfId="9" applyNumberFormat="1" applyFont="1" applyFill="1" applyBorder="1" applyAlignment="1" applyProtection="1">
      <alignment horizontal="center"/>
    </xf>
    <xf numFmtId="11" fontId="14" fillId="0" borderId="32" xfId="9" applyNumberFormat="1" applyFont="1" applyFill="1" applyBorder="1" applyAlignment="1" applyProtection="1">
      <alignment horizontal="justify"/>
    </xf>
    <xf numFmtId="11" fontId="14" fillId="0" borderId="32" xfId="9" applyNumberFormat="1" applyFont="1" applyFill="1" applyBorder="1" applyAlignment="1" applyProtection="1">
      <alignment horizontal="center"/>
    </xf>
    <xf numFmtId="11" fontId="14" fillId="0" borderId="32" xfId="9" applyNumberFormat="1" applyFont="1" applyFill="1" applyBorder="1" applyAlignment="1" applyProtection="1">
      <alignment horizontal="justify" vertical="top"/>
    </xf>
    <xf numFmtId="11" fontId="14" fillId="0" borderId="32" xfId="9" applyNumberFormat="1" applyFont="1" applyFill="1" applyBorder="1" applyAlignment="1" applyProtection="1">
      <alignment horizontal="center" vertical="top"/>
    </xf>
    <xf numFmtId="0" fontId="14" fillId="0" borderId="32" xfId="10" applyNumberFormat="1" applyFont="1" applyFill="1" applyBorder="1" applyAlignment="1" applyProtection="1">
      <alignment horizontal="left"/>
    </xf>
    <xf numFmtId="0" fontId="14" fillId="0" borderId="32" xfId="10" applyNumberFormat="1" applyFont="1" applyFill="1" applyBorder="1" applyAlignment="1" applyProtection="1">
      <alignment horizontal="justify"/>
    </xf>
    <xf numFmtId="0" fontId="14" fillId="0" borderId="32" xfId="10" applyNumberFormat="1" applyFont="1" applyFill="1" applyBorder="1" applyAlignment="1" applyProtection="1">
      <alignment horizontal="left" vertical="top"/>
    </xf>
    <xf numFmtId="11" fontId="14" fillId="0" borderId="32" xfId="10" applyNumberFormat="1" applyFont="1" applyFill="1" applyBorder="1" applyAlignment="1" applyProtection="1">
      <alignment horizontal="justify" vertical="top"/>
    </xf>
    <xf numFmtId="11" fontId="14" fillId="0" borderId="32" xfId="10" applyNumberFormat="1" applyFont="1" applyFill="1" applyBorder="1" applyAlignment="1" applyProtection="1">
      <alignment horizontal="center" vertical="top"/>
    </xf>
    <xf numFmtId="11" fontId="14" fillId="0" borderId="32" xfId="10" applyNumberFormat="1" applyFont="1" applyFill="1" applyBorder="1" applyAlignment="1" applyProtection="1">
      <alignment horizontal="justify"/>
    </xf>
    <xf numFmtId="11" fontId="14" fillId="0" borderId="32" xfId="10" applyNumberFormat="1" applyFont="1" applyFill="1" applyBorder="1" applyAlignment="1" applyProtection="1">
      <alignment horizontal="center"/>
    </xf>
    <xf numFmtId="165" fontId="10" fillId="0" borderId="0" xfId="8" applyAlignment="1"/>
    <xf numFmtId="11" fontId="14" fillId="0" borderId="0" xfId="11" applyNumberFormat="1" applyFont="1" applyFill="1" applyBorder="1" applyAlignment="1" applyProtection="1">
      <alignment vertical="top"/>
    </xf>
    <xf numFmtId="11" fontId="26" fillId="0" borderId="0" xfId="11" applyNumberFormat="1" applyFont="1" applyFill="1" applyBorder="1" applyAlignment="1" applyProtection="1">
      <alignment vertical="top"/>
    </xf>
    <xf numFmtId="11" fontId="28" fillId="0" borderId="0" xfId="11" applyNumberFormat="1" applyFont="1" applyFill="1" applyBorder="1" applyAlignment="1" applyProtection="1">
      <alignment vertical="top"/>
    </xf>
    <xf numFmtId="0" fontId="26" fillId="0" borderId="0" xfId="12" applyNumberFormat="1" applyFont="1" applyFill="1" applyBorder="1" applyAlignment="1" applyProtection="1">
      <alignment vertical="top"/>
    </xf>
    <xf numFmtId="0" fontId="14" fillId="0" borderId="33" xfId="12" applyNumberFormat="1" applyFont="1" applyFill="1" applyBorder="1" applyAlignment="1" applyProtection="1">
      <alignment horizontal="left" vertical="top"/>
    </xf>
    <xf numFmtId="0" fontId="14" fillId="0" borderId="32" xfId="12" applyNumberFormat="1" applyFont="1" applyFill="1" applyBorder="1" applyAlignment="1" applyProtection="1">
      <alignment horizontal="justify" vertical="top"/>
    </xf>
    <xf numFmtId="0" fontId="14" fillId="0" borderId="41" xfId="12" applyNumberFormat="1" applyFont="1" applyFill="1" applyBorder="1" applyAlignment="1" applyProtection="1">
      <alignment horizontal="left"/>
    </xf>
    <xf numFmtId="0" fontId="14" fillId="0" borderId="30" xfId="12" applyNumberFormat="1" applyFont="1" applyFill="1" applyBorder="1" applyAlignment="1" applyProtection="1">
      <alignment horizontal="justify"/>
    </xf>
    <xf numFmtId="0" fontId="14" fillId="0" borderId="33" xfId="12" applyNumberFormat="1" applyFont="1" applyFill="1" applyBorder="1" applyAlignment="1" applyProtection="1">
      <alignment horizontal="left"/>
    </xf>
    <xf numFmtId="0" fontId="14" fillId="0" borderId="30" xfId="12" applyNumberFormat="1" applyFont="1" applyFill="1" applyBorder="1" applyAlignment="1" applyProtection="1">
      <alignment horizontal="right"/>
    </xf>
    <xf numFmtId="0" fontId="14" fillId="0" borderId="1" xfId="12" applyNumberFormat="1" applyFont="1" applyFill="1" applyBorder="1" applyAlignment="1" applyProtection="1">
      <alignment horizontal="right" vertical="center" wrapText="1"/>
    </xf>
    <xf numFmtId="0" fontId="14" fillId="0" borderId="32" xfId="12" applyNumberFormat="1" applyFont="1" applyFill="1" applyBorder="1" applyAlignment="1" applyProtection="1">
      <alignment horizontal="right"/>
    </xf>
    <xf numFmtId="11" fontId="14" fillId="0" borderId="30" xfId="12" applyNumberFormat="1" applyFont="1" applyFill="1" applyBorder="1" applyAlignment="1" applyProtection="1">
      <alignment horizontal="justify"/>
    </xf>
    <xf numFmtId="11" fontId="14" fillId="0" borderId="30" xfId="12" applyNumberFormat="1" applyFont="1" applyFill="1" applyBorder="1" applyAlignment="1" applyProtection="1">
      <alignment horizontal="center"/>
    </xf>
    <xf numFmtId="11" fontId="14" fillId="0" borderId="32" xfId="12" applyNumberFormat="1" applyFont="1" applyFill="1" applyBorder="1" applyAlignment="1" applyProtection="1">
      <alignment horizontal="justify"/>
    </xf>
    <xf numFmtId="11" fontId="14" fillId="0" borderId="32" xfId="12" applyNumberFormat="1" applyFont="1" applyFill="1" applyBorder="1" applyAlignment="1" applyProtection="1">
      <alignment horizontal="center"/>
    </xf>
    <xf numFmtId="11" fontId="14" fillId="0" borderId="32" xfId="12" applyNumberFormat="1" applyFont="1" applyFill="1" applyBorder="1" applyAlignment="1" applyProtection="1">
      <alignment horizontal="justify" vertical="top"/>
    </xf>
    <xf numFmtId="11" fontId="14" fillId="0" borderId="32" xfId="12" applyNumberFormat="1" applyFont="1" applyFill="1" applyBorder="1" applyAlignment="1" applyProtection="1">
      <alignment horizontal="center" vertical="top"/>
    </xf>
    <xf numFmtId="1" fontId="1" fillId="4" borderId="20" xfId="6" applyNumberFormat="1" applyFont="1" applyBorder="1">
      <alignment horizontal="center" vertical="center"/>
    </xf>
    <xf numFmtId="1" fontId="1" fillId="4" borderId="22" xfId="6" applyNumberFormat="1" applyFont="1" applyBorder="1">
      <alignment horizontal="center" vertical="center"/>
    </xf>
    <xf numFmtId="0" fontId="19" fillId="16" borderId="0" xfId="0" applyFont="1" applyFill="1" applyAlignment="1">
      <alignment vertical="center" wrapText="1"/>
    </xf>
    <xf numFmtId="0" fontId="19" fillId="16" borderId="0" xfId="0" applyFont="1" applyFill="1" applyAlignment="1">
      <alignment vertical="center"/>
    </xf>
    <xf numFmtId="1" fontId="18" fillId="9" borderId="16" xfId="2" applyFont="1" applyBorder="1" applyAlignment="1">
      <alignment horizontal="center" vertical="center"/>
    </xf>
    <xf numFmtId="1" fontId="18" fillId="9" borderId="6" xfId="2" applyFont="1" applyBorder="1" applyAlignment="1">
      <alignment horizontal="center" vertical="center"/>
    </xf>
    <xf numFmtId="0" fontId="2" fillId="4" borderId="17" xfId="6" applyBorder="1">
      <alignment horizontal="center" vertical="center"/>
    </xf>
    <xf numFmtId="0" fontId="2" fillId="4" borderId="18" xfId="6" applyBorder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0" fontId="19" fillId="8" borderId="0" xfId="0" applyFont="1" applyFill="1" applyAlignment="1">
      <alignment horizontal="center" vertical="center" wrapText="1"/>
    </xf>
  </cellXfs>
  <cellStyles count="13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Данные" xfId="8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A" xfId="9" xr:uid="{1DD74449-4FD7-4700-A91A-A253EF281C6E}"/>
    <cellStyle name="Обычный_A2" xfId="10" xr:uid="{DC1B7091-480F-488A-AB54-618704251EC9}"/>
    <cellStyle name="Обычный_data" xfId="11" xr:uid="{2FCA5598-67EC-4247-8EB5-A0E62D072B34}"/>
    <cellStyle name="Обычный_s" xfId="12" xr:uid="{D308B56B-C345-4A96-8188-B7AEF14D79D4}"/>
    <cellStyle name="Форм" xfId="5" xr:uid="{810E17FE-2F7B-4E62-B173-29B9F2A26C86}"/>
  </cellStyles>
  <dxfs count="12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-196.1649047805</c:v>
                </c:pt>
                <c:pt idx="1">
                  <c:v>-198.87945322700003</c:v>
                </c:pt>
                <c:pt idx="2">
                  <c:v>-201.98510466750002</c:v>
                </c:pt>
                <c:pt idx="3">
                  <c:v>-205.55706098300001</c:v>
                </c:pt>
                <c:pt idx="4">
                  <c:v>-209.69246879149998</c:v>
                </c:pt>
                <c:pt idx="5">
                  <c:v>-229.82092072694999</c:v>
                </c:pt>
                <c:pt idx="6">
                  <c:v>-235.8570678566</c:v>
                </c:pt>
                <c:pt idx="7">
                  <c:v>-242.63166508654999</c:v>
                </c:pt>
                <c:pt idx="8">
                  <c:v>-250.35213812840001</c:v>
                </c:pt>
                <c:pt idx="9">
                  <c:v>-258.93599079030002</c:v>
                </c:pt>
                <c:pt idx="10">
                  <c:v>-268.28433290359999</c:v>
                </c:pt>
                <c:pt idx="11">
                  <c:v>-278.02674185299998</c:v>
                </c:pt>
                <c:pt idx="12">
                  <c:v>-288.11378793600005</c:v>
                </c:pt>
                <c:pt idx="13">
                  <c:v>-298.40945313850006</c:v>
                </c:pt>
                <c:pt idx="14">
                  <c:v>-308.78985750779998</c:v>
                </c:pt>
                <c:pt idx="15">
                  <c:v>-319.468482483</c:v>
                </c:pt>
                <c:pt idx="16">
                  <c:v>-330.27725820680001</c:v>
                </c:pt>
                <c:pt idx="17">
                  <c:v>-341.29058892249998</c:v>
                </c:pt>
                <c:pt idx="18">
                  <c:v>-390.35209626175009</c:v>
                </c:pt>
                <c:pt idx="19">
                  <c:v>-403.42564783169996</c:v>
                </c:pt>
                <c:pt idx="20">
                  <c:v>-416.8522621724</c:v>
                </c:pt>
                <c:pt idx="21">
                  <c:v>-430.36474090890005</c:v>
                </c:pt>
                <c:pt idx="22">
                  <c:v>-444.10711113600001</c:v>
                </c:pt>
                <c:pt idx="23">
                  <c:v>-457.94738570920009</c:v>
                </c:pt>
                <c:pt idx="24">
                  <c:v>-472.25699385259998</c:v>
                </c:pt>
                <c:pt idx="25">
                  <c:v>-486.97154308950007</c:v>
                </c:pt>
                <c:pt idx="26">
                  <c:v>-502.06603393560005</c:v>
                </c:pt>
                <c:pt idx="27">
                  <c:v>-563.99747850000006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4"/>
          <c:order val="4"/>
          <c:tx>
            <c:strRef>
              <c:f>ALL!$E$8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1.8093999999999999E-2</c:v>
                </c:pt>
                <c:pt idx="1">
                  <c:v>1.7804E-2</c:v>
                </c:pt>
                <c:pt idx="2">
                  <c:v>1.7049999999999999E-2</c:v>
                </c:pt>
                <c:pt idx="3">
                  <c:v>1.5945000000000001E-2</c:v>
                </c:pt>
                <c:pt idx="4">
                  <c:v>1.5049999999999999E-2</c:v>
                </c:pt>
                <c:pt idx="5">
                  <c:v>1.3743999999999999E-2</c:v>
                </c:pt>
                <c:pt idx="6">
                  <c:v>1.306E-2</c:v>
                </c:pt>
                <c:pt idx="7">
                  <c:v>1.2156E-2</c:v>
                </c:pt>
                <c:pt idx="8">
                  <c:v>1.1287E-2</c:v>
                </c:pt>
                <c:pt idx="9">
                  <c:v>1.0671E-2</c:v>
                </c:pt>
                <c:pt idx="10">
                  <c:v>1.0324E-2</c:v>
                </c:pt>
                <c:pt idx="11">
                  <c:v>1.0154E-2</c:v>
                </c:pt>
                <c:pt idx="12">
                  <c:v>1.0073E-2</c:v>
                </c:pt>
                <c:pt idx="13">
                  <c:v>1.0034E-2</c:v>
                </c:pt>
                <c:pt idx="14">
                  <c:v>1.0005999999999999E-2</c:v>
                </c:pt>
                <c:pt idx="15">
                  <c:v>9.9433999999999998E-3</c:v>
                </c:pt>
                <c:pt idx="16">
                  <c:v>9.6798000000000006E-3</c:v>
                </c:pt>
                <c:pt idx="17">
                  <c:v>8.6563000000000005E-3</c:v>
                </c:pt>
                <c:pt idx="18">
                  <c:v>2.6289E-4</c:v>
                </c:pt>
                <c:pt idx="19">
                  <c:v>7.4824000000000001E-5</c:v>
                </c:pt>
                <c:pt idx="20">
                  <c:v>2.1580999999999999E-5</c:v>
                </c:pt>
                <c:pt idx="21">
                  <c:v>6.3327999999999997E-6</c:v>
                </c:pt>
                <c:pt idx="22">
                  <c:v>1.8872999999999999E-6</c:v>
                </c:pt>
                <c:pt idx="23">
                  <c:v>5.5927999999999996E-7</c:v>
                </c:pt>
                <c:pt idx="24">
                  <c:v>8.7534999999999996E-8</c:v>
                </c:pt>
                <c:pt idx="25">
                  <c:v>1.3694E-8</c:v>
                </c:pt>
                <c:pt idx="26">
                  <c:v>2.2223000000000001E-9</c:v>
                </c:pt>
                <c:pt idx="27">
                  <c:v>2.4674000000000002E-12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1.7552999999999999E-34</c:v>
                </c:pt>
                <c:pt idx="7">
                  <c:v>5.9637999999999997E-32</c:v>
                </c:pt>
                <c:pt idx="8">
                  <c:v>1.3317E-29</c:v>
                </c:pt>
                <c:pt idx="9">
                  <c:v>2.1693E-27</c:v>
                </c:pt>
                <c:pt idx="10">
                  <c:v>2.6676999999999999E-25</c:v>
                </c:pt>
                <c:pt idx="11">
                  <c:v>2.4886000000000001E-23</c:v>
                </c:pt>
                <c:pt idx="12">
                  <c:v>1.7740000000000002E-21</c:v>
                </c:pt>
                <c:pt idx="13">
                  <c:v>9.8104000000000004E-20</c:v>
                </c:pt>
                <c:pt idx="14">
                  <c:v>4.2854000000000003E-18</c:v>
                </c:pt>
                <c:pt idx="15">
                  <c:v>1.5015000000000001E-16</c:v>
                </c:pt>
                <c:pt idx="16">
                  <c:v>4.2180000000000003E-15</c:v>
                </c:pt>
                <c:pt idx="17">
                  <c:v>8.9942999999999996E-14</c:v>
                </c:pt>
                <c:pt idx="18">
                  <c:v>1.8166E-10</c:v>
                </c:pt>
                <c:pt idx="19">
                  <c:v>6.1698999999999995E-10</c:v>
                </c:pt>
                <c:pt idx="20">
                  <c:v>1.9062999999999999E-9</c:v>
                </c:pt>
                <c:pt idx="21">
                  <c:v>5.4154999999999998E-9</c:v>
                </c:pt>
                <c:pt idx="22">
                  <c:v>1.4215E-8</c:v>
                </c:pt>
                <c:pt idx="23">
                  <c:v>3.3835999999999999E-8</c:v>
                </c:pt>
                <c:pt idx="24">
                  <c:v>3.6131000000000001E-8</c:v>
                </c:pt>
                <c:pt idx="25">
                  <c:v>3.7158000000000001E-8</c:v>
                </c:pt>
                <c:pt idx="26">
                  <c:v>3.7517999999999999E-8</c:v>
                </c:pt>
                <c:pt idx="27">
                  <c:v>3.4862999999999999E-8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7.4216000000000001E-36</c:v>
                </c:pt>
                <c:pt idx="8">
                  <c:v>1.2279E-33</c:v>
                </c:pt>
                <c:pt idx="9">
                  <c:v>1.4772000000000001E-31</c:v>
                </c:pt>
                <c:pt idx="10">
                  <c:v>1.3357000000000001E-29</c:v>
                </c:pt>
                <c:pt idx="11">
                  <c:v>9.1925000000000003E-28</c:v>
                </c:pt>
                <c:pt idx="12">
                  <c:v>4.8815000000000001E-26</c:v>
                </c:pt>
                <c:pt idx="13">
                  <c:v>2.0363E-24</c:v>
                </c:pt>
                <c:pt idx="14">
                  <c:v>6.8009999999999997E-23</c:v>
                </c:pt>
                <c:pt idx="15">
                  <c:v>1.8494000000000001E-21</c:v>
                </c:pt>
                <c:pt idx="16">
                  <c:v>4.1246999999999999E-20</c:v>
                </c:pt>
                <c:pt idx="17">
                  <c:v>7.3727999999999996E-19</c:v>
                </c:pt>
                <c:pt idx="18">
                  <c:v>3.723E-15</c:v>
                </c:pt>
                <c:pt idx="19">
                  <c:v>1.9612000000000001E-14</c:v>
                </c:pt>
                <c:pt idx="20">
                  <c:v>9.3993000000000001E-14</c:v>
                </c:pt>
                <c:pt idx="21">
                  <c:v>4.132E-13</c:v>
                </c:pt>
                <c:pt idx="22">
                  <c:v>1.6752999999999999E-12</c:v>
                </c:pt>
                <c:pt idx="23">
                  <c:v>6.2173999999999997E-12</c:v>
                </c:pt>
                <c:pt idx="24">
                  <c:v>1.4609999999999999E-11</c:v>
                </c:pt>
                <c:pt idx="25">
                  <c:v>3.2901E-11</c:v>
                </c:pt>
                <c:pt idx="26">
                  <c:v>7.1446000000000001E-11</c:v>
                </c:pt>
                <c:pt idx="27">
                  <c:v>1.1532999999999999E-9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6.1877999999999997E-9</c:v>
                      </c:pt>
                      <c:pt idx="1">
                        <c:v>5.5165000000000001E-9</c:v>
                      </c:pt>
                      <c:pt idx="2">
                        <c:v>7.4244000000000001E-9</c:v>
                      </c:pt>
                      <c:pt idx="3">
                        <c:v>1.3577999999999999E-8</c:v>
                      </c:pt>
                      <c:pt idx="4">
                        <c:v>2.9451E-8</c:v>
                      </c:pt>
                      <c:pt idx="5">
                        <c:v>1.5819999999999999E-8</c:v>
                      </c:pt>
                      <c:pt idx="6">
                        <c:v>2.8747E-9</c:v>
                      </c:pt>
                      <c:pt idx="7">
                        <c:v>2.4480999999999999E-13</c:v>
                      </c:pt>
                      <c:pt idx="8">
                        <c:v>9.9445000000000001E-21</c:v>
                      </c:pt>
                      <c:pt idx="9">
                        <c:v>7.3141000000000006E-30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1.1499999999999999E-31</c:v>
                      </c:pt>
                      <c:pt idx="20">
                        <c:v>9.5558000000000007E-24</c:v>
                      </c:pt>
                      <c:pt idx="21">
                        <c:v>1.4482E-16</c:v>
                      </c:pt>
                      <c:pt idx="22">
                        <c:v>1.0933999999999999E-10</c:v>
                      </c:pt>
                      <c:pt idx="23">
                        <c:v>3.2417999999999998E-7</c:v>
                      </c:pt>
                      <c:pt idx="24">
                        <c:v>1.2376E-5</c:v>
                      </c:pt>
                      <c:pt idx="25">
                        <c:v>2.1126999999999999E-5</c:v>
                      </c:pt>
                      <c:pt idx="26">
                        <c:v>2.3708000000000001E-5</c:v>
                      </c:pt>
                      <c:pt idx="27">
                        <c:v>2.8283999999999999E-6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9.5128000000000004E-28</c:v>
                      </c:pt>
                      <c:pt idx="3">
                        <c:v>1.5372000000000001E-22</c:v>
                      </c:pt>
                      <c:pt idx="4">
                        <c:v>1.1156E-19</c:v>
                      </c:pt>
                      <c:pt idx="5">
                        <c:v>1.7943999999999999E-13</c:v>
                      </c:pt>
                      <c:pt idx="6">
                        <c:v>4.2096999999999999E-10</c:v>
                      </c:pt>
                      <c:pt idx="7">
                        <c:v>4.2095000000000004E-9</c:v>
                      </c:pt>
                      <c:pt idx="8">
                        <c:v>7.7497000000000002E-9</c:v>
                      </c:pt>
                      <c:pt idx="9">
                        <c:v>1.3306E-8</c:v>
                      </c:pt>
                      <c:pt idx="10">
                        <c:v>1.2213999999999999E-8</c:v>
                      </c:pt>
                      <c:pt idx="11">
                        <c:v>2.3015999999999999E-8</c:v>
                      </c:pt>
                      <c:pt idx="12">
                        <c:v>1.5737999999999998E-8</c:v>
                      </c:pt>
                      <c:pt idx="13">
                        <c:v>1.6776000000000001E-8</c:v>
                      </c:pt>
                      <c:pt idx="14">
                        <c:v>1.7397E-8</c:v>
                      </c:pt>
                      <c:pt idx="15">
                        <c:v>1.768E-8</c:v>
                      </c:pt>
                      <c:pt idx="16">
                        <c:v>1.8666E-8</c:v>
                      </c:pt>
                      <c:pt idx="17">
                        <c:v>2.2871E-8</c:v>
                      </c:pt>
                      <c:pt idx="18">
                        <c:v>2.7468000000000002E-8</c:v>
                      </c:pt>
                      <c:pt idx="19">
                        <c:v>2.7864000000000001E-8</c:v>
                      </c:pt>
                      <c:pt idx="20">
                        <c:v>2.7649999999999999E-8</c:v>
                      </c:pt>
                      <c:pt idx="21">
                        <c:v>2.8200000000000001E-8</c:v>
                      </c:pt>
                      <c:pt idx="22">
                        <c:v>6.5486999999999999E-9</c:v>
                      </c:pt>
                      <c:pt idx="23">
                        <c:v>6.0900999999999995E-32</c:v>
                      </c:pt>
                      <c:pt idx="24">
                        <c:v>4.7079000000000003E-30</c:v>
                      </c:pt>
                      <c:pt idx="25">
                        <c:v>8.2700999999999997E-29</c:v>
                      </c:pt>
                      <c:pt idx="26">
                        <c:v>4.4598999999999997E-28</c:v>
                      </c:pt>
                      <c:pt idx="27">
                        <c:v>2.2786000000000001E-23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1.2300000000000001E-9</c:v>
                      </c:pt>
                      <c:pt idx="1">
                        <c:v>4.5156E-11</c:v>
                      </c:pt>
                      <c:pt idx="2">
                        <c:v>6.8465000000000003E-15</c:v>
                      </c:pt>
                      <c:pt idx="3">
                        <c:v>3.7467999999999999E-23</c:v>
                      </c:pt>
                      <c:pt idx="4">
                        <c:v>3.8006E-35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0.11787</c:v>
                      </c:pt>
                      <c:pt idx="1">
                        <c:v>0.11068</c:v>
                      </c:pt>
                      <c:pt idx="2">
                        <c:v>9.0792999999999999E-2</c:v>
                      </c:pt>
                      <c:pt idx="3">
                        <c:v>5.8309E-2</c:v>
                      </c:pt>
                      <c:pt idx="4">
                        <c:v>2.8580999999999999E-2</c:v>
                      </c:pt>
                      <c:pt idx="5">
                        <c:v>8.4281999999999998E-4</c:v>
                      </c:pt>
                      <c:pt idx="6">
                        <c:v>3.6653E-4</c:v>
                      </c:pt>
                      <c:pt idx="7">
                        <c:v>1.4880000000000001E-4</c:v>
                      </c:pt>
                      <c:pt idx="8">
                        <c:v>5.2157000000000002E-5</c:v>
                      </c:pt>
                      <c:pt idx="9">
                        <c:v>1.5631999999999999E-5</c:v>
                      </c:pt>
                      <c:pt idx="10">
                        <c:v>4.2572999999999999E-6</c:v>
                      </c:pt>
                      <c:pt idx="11">
                        <c:v>1.1320999999999999E-6</c:v>
                      </c:pt>
                      <c:pt idx="12">
                        <c:v>3.0759999999999998E-7</c:v>
                      </c:pt>
                      <c:pt idx="13">
                        <c:v>8.7147999999999994E-8</c:v>
                      </c:pt>
                      <c:pt idx="14">
                        <c:v>2.5918999999999999E-8</c:v>
                      </c:pt>
                      <c:pt idx="15">
                        <c:v>8.1001000000000002E-9</c:v>
                      </c:pt>
                      <c:pt idx="16">
                        <c:v>2.6604E-9</c:v>
                      </c:pt>
                      <c:pt idx="17">
                        <c:v>9.2248999999999999E-10</c:v>
                      </c:pt>
                      <c:pt idx="18">
                        <c:v>2.0673000000000001E-11</c:v>
                      </c:pt>
                      <c:pt idx="19">
                        <c:v>8.4606999999999993E-12</c:v>
                      </c:pt>
                      <c:pt idx="20">
                        <c:v>3.5548000000000002E-12</c:v>
                      </c:pt>
                      <c:pt idx="21">
                        <c:v>1.5325E-12</c:v>
                      </c:pt>
                      <c:pt idx="22">
                        <c:v>6.7700999999999996E-13</c:v>
                      </c:pt>
                      <c:pt idx="23">
                        <c:v>3.0721000000000001E-13</c:v>
                      </c:pt>
                      <c:pt idx="24">
                        <c:v>1.5357999999999999E-13</c:v>
                      </c:pt>
                      <c:pt idx="25">
                        <c:v>7.5448000000000003E-14</c:v>
                      </c:pt>
                      <c:pt idx="26">
                        <c:v>3.7177999999999999E-14</c:v>
                      </c:pt>
                      <c:pt idx="27">
                        <c:v>2.4715E-15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0.12213</c:v>
                      </c:pt>
                      <c:pt idx="1">
                        <c:v>0.12931999999999999</c:v>
                      </c:pt>
                      <c:pt idx="2">
                        <c:v>0.1492</c:v>
                      </c:pt>
                      <c:pt idx="3">
                        <c:v>0.18165999999999999</c:v>
                      </c:pt>
                      <c:pt idx="4">
                        <c:v>0.21128</c:v>
                      </c:pt>
                      <c:pt idx="5">
                        <c:v>0.21623999999999999</c:v>
                      </c:pt>
                      <c:pt idx="6">
                        <c:v>0.18673000000000001</c:v>
                      </c:pt>
                      <c:pt idx="7">
                        <c:v>0.14158000000000001</c:v>
                      </c:pt>
                      <c:pt idx="8">
                        <c:v>9.1116000000000003E-2</c:v>
                      </c:pt>
                      <c:pt idx="9">
                        <c:v>5.0257000000000003E-2</c:v>
                      </c:pt>
                      <c:pt idx="10">
                        <c:v>2.5132000000000002E-2</c:v>
                      </c:pt>
                      <c:pt idx="11">
                        <c:v>1.2115000000000001E-2</c:v>
                      </c:pt>
                      <c:pt idx="12">
                        <c:v>5.8520999999999998E-3</c:v>
                      </c:pt>
                      <c:pt idx="13">
                        <c:v>2.8841000000000001E-3</c:v>
                      </c:pt>
                      <c:pt idx="14">
                        <c:v>1.4599999999999999E-3</c:v>
                      </c:pt>
                      <c:pt idx="15">
                        <c:v>7.6039E-4</c:v>
                      </c:pt>
                      <c:pt idx="16">
                        <c:v>4.0761999999999998E-4</c:v>
                      </c:pt>
                      <c:pt idx="17">
                        <c:v>2.2541E-4</c:v>
                      </c:pt>
                      <c:pt idx="18">
                        <c:v>2.7175E-5</c:v>
                      </c:pt>
                      <c:pt idx="19">
                        <c:v>1.6592999999999999E-5</c:v>
                      </c:pt>
                      <c:pt idx="20">
                        <c:v>1.0291E-5</c:v>
                      </c:pt>
                      <c:pt idx="21">
                        <c:v>6.4810999999999997E-6</c:v>
                      </c:pt>
                      <c:pt idx="22">
                        <c:v>4.1408000000000002E-6</c:v>
                      </c:pt>
                      <c:pt idx="23">
                        <c:v>2.6863999999999998E-6</c:v>
                      </c:pt>
                      <c:pt idx="24">
                        <c:v>1.8275000000000001E-6</c:v>
                      </c:pt>
                      <c:pt idx="25">
                        <c:v>1.2358000000000001E-6</c:v>
                      </c:pt>
                      <c:pt idx="26">
                        <c:v>8.3857000000000002E-7</c:v>
                      </c:pt>
                      <c:pt idx="27">
                        <c:v>1.9167E-7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2.1905999999999998E-2</c:v>
                      </c:pt>
                      <c:pt idx="1">
                        <c:v>2.2196E-2</c:v>
                      </c:pt>
                      <c:pt idx="2">
                        <c:v>2.2950000000000002E-2</c:v>
                      </c:pt>
                      <c:pt idx="3">
                        <c:v>2.4055E-2</c:v>
                      </c:pt>
                      <c:pt idx="4">
                        <c:v>2.495E-2</c:v>
                      </c:pt>
                      <c:pt idx="5">
                        <c:v>2.6256000000000002E-2</c:v>
                      </c:pt>
                      <c:pt idx="6">
                        <c:v>2.6939999999999999E-2</c:v>
                      </c:pt>
                      <c:pt idx="7">
                        <c:v>2.7844000000000001E-2</c:v>
                      </c:pt>
                      <c:pt idx="8">
                        <c:v>2.8712999999999999E-2</c:v>
                      </c:pt>
                      <c:pt idx="9">
                        <c:v>2.9329000000000001E-2</c:v>
                      </c:pt>
                      <c:pt idx="10">
                        <c:v>2.9676000000000001E-2</c:v>
                      </c:pt>
                      <c:pt idx="11">
                        <c:v>2.9846000000000001E-2</c:v>
                      </c:pt>
                      <c:pt idx="12">
                        <c:v>2.9926000000000001E-2</c:v>
                      </c:pt>
                      <c:pt idx="13">
                        <c:v>2.9959E-2</c:v>
                      </c:pt>
                      <c:pt idx="14">
                        <c:v>2.9951999999999999E-2</c:v>
                      </c:pt>
                      <c:pt idx="15">
                        <c:v>2.9828E-2</c:v>
                      </c:pt>
                      <c:pt idx="16">
                        <c:v>2.9187999999999999E-2</c:v>
                      </c:pt>
                      <c:pt idx="17">
                        <c:v>2.6589999999999999E-2</c:v>
                      </c:pt>
                      <c:pt idx="18">
                        <c:v>9.5122999999999996E-4</c:v>
                      </c:pt>
                      <c:pt idx="19">
                        <c:v>2.7313000000000001E-4</c:v>
                      </c:pt>
                      <c:pt idx="20">
                        <c:v>7.9382999999999995E-5</c:v>
                      </c:pt>
                      <c:pt idx="21">
                        <c:v>2.3487999999999999E-5</c:v>
                      </c:pt>
                      <c:pt idx="22">
                        <c:v>7.0636999999999998E-6</c:v>
                      </c:pt>
                      <c:pt idx="23">
                        <c:v>2.1115999999999998E-6</c:v>
                      </c:pt>
                      <c:pt idx="24">
                        <c:v>3.2650999999999998E-7</c:v>
                      </c:pt>
                      <c:pt idx="25">
                        <c:v>5.0575000000000001E-8</c:v>
                      </c:pt>
                      <c:pt idx="26">
                        <c:v>8.1415000000000005E-9</c:v>
                      </c:pt>
                      <c:pt idx="27">
                        <c:v>8.8611000000000007E-12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1.4219000000000001E-28</c:v>
                      </c:pt>
                      <c:pt idx="1">
                        <c:v>1.2244E-26</c:v>
                      </c:pt>
                      <c:pt idx="2">
                        <c:v>9.3656999999999993E-25</c:v>
                      </c:pt>
                      <c:pt idx="3">
                        <c:v>8.2229999999999995E-23</c:v>
                      </c:pt>
                      <c:pt idx="4">
                        <c:v>7.5761000000000006E-21</c:v>
                      </c:pt>
                      <c:pt idx="5">
                        <c:v>3.6578999999999997E-14</c:v>
                      </c:pt>
                      <c:pt idx="6">
                        <c:v>7.0040000000000002E-13</c:v>
                      </c:pt>
                      <c:pt idx="7">
                        <c:v>1.0294E-11</c:v>
                      </c:pt>
                      <c:pt idx="8">
                        <c:v>1.2805000000000001E-10</c:v>
                      </c:pt>
                      <c:pt idx="9">
                        <c:v>1.4134999999999999E-9</c:v>
                      </c:pt>
                      <c:pt idx="10">
                        <c:v>1.3907E-8</c:v>
                      </c:pt>
                      <c:pt idx="11">
                        <c:v>1.2118999999999999E-7</c:v>
                      </c:pt>
                      <c:pt idx="12">
                        <c:v>9.3500000000000005E-7</c:v>
                      </c:pt>
                      <c:pt idx="13">
                        <c:v>6.4214E-6</c:v>
                      </c:pt>
                      <c:pt idx="14">
                        <c:v>3.9548999999999997E-5</c:v>
                      </c:pt>
                      <c:pt idx="15">
                        <c:v>2.1958000000000001E-4</c:v>
                      </c:pt>
                      <c:pt idx="16">
                        <c:v>1.0908999999999999E-3</c:v>
                      </c:pt>
                      <c:pt idx="17">
                        <c:v>4.5948999999999999E-3</c:v>
                      </c:pt>
                      <c:pt idx="18">
                        <c:v>3.5118000000000003E-2</c:v>
                      </c:pt>
                      <c:pt idx="19">
                        <c:v>3.4089000000000001E-2</c:v>
                      </c:pt>
                      <c:pt idx="20">
                        <c:v>3.1904000000000002E-2</c:v>
                      </c:pt>
                      <c:pt idx="21">
                        <c:v>2.9024000000000001E-2</c:v>
                      </c:pt>
                      <c:pt idx="22">
                        <c:v>2.5696E-2</c:v>
                      </c:pt>
                      <c:pt idx="23">
                        <c:v>2.1628000000000001E-2</c:v>
                      </c:pt>
                      <c:pt idx="24">
                        <c:v>8.3616999999999997E-3</c:v>
                      </c:pt>
                      <c:pt idx="25">
                        <c:v>3.2523999999999999E-3</c:v>
                      </c:pt>
                      <c:pt idx="26">
                        <c:v>1.2936E-3</c:v>
                      </c:pt>
                      <c:pt idx="27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4.5409000000000001E-7</c:v>
                      </c:pt>
                      <c:pt idx="1">
                        <c:v>1.1596000000000001E-6</c:v>
                      </c:pt>
                      <c:pt idx="2">
                        <c:v>3.6376000000000001E-6</c:v>
                      </c:pt>
                      <c:pt idx="3">
                        <c:v>1.4951E-5</c:v>
                      </c:pt>
                      <c:pt idx="4">
                        <c:v>6.8635999999999998E-5</c:v>
                      </c:pt>
                      <c:pt idx="5">
                        <c:v>1.1455999999999999E-2</c:v>
                      </c:pt>
                      <c:pt idx="6">
                        <c:v>2.6453999999999998E-2</c:v>
                      </c:pt>
                      <c:pt idx="7">
                        <c:v>4.9137E-2</c:v>
                      </c:pt>
                      <c:pt idx="8">
                        <c:v>7.4415999999999996E-2</c:v>
                      </c:pt>
                      <c:pt idx="9">
                        <c:v>9.4864000000000004E-2</c:v>
                      </c:pt>
                      <c:pt idx="10">
                        <c:v>0.10743</c:v>
                      </c:pt>
                      <c:pt idx="11">
                        <c:v>0.11394</c:v>
                      </c:pt>
                      <c:pt idx="12">
                        <c:v>0.11706999999999999</c:v>
                      </c:pt>
                      <c:pt idx="13">
                        <c:v>0.11856</c:v>
                      </c:pt>
                      <c:pt idx="14">
                        <c:v>0.11927</c:v>
                      </c:pt>
                      <c:pt idx="15">
                        <c:v>0.11962</c:v>
                      </c:pt>
                      <c:pt idx="16">
                        <c:v>0.1198</c:v>
                      </c:pt>
                      <c:pt idx="17">
                        <c:v>0.11989</c:v>
                      </c:pt>
                      <c:pt idx="18">
                        <c:v>0.11999</c:v>
                      </c:pt>
                      <c:pt idx="19">
                        <c:v>0.11999</c:v>
                      </c:pt>
                      <c:pt idx="20">
                        <c:v>0.11999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0.11996999999999999</c:v>
                      </c:pt>
                      <c:pt idx="24">
                        <c:v>0.11926</c:v>
                      </c:pt>
                      <c:pt idx="25">
                        <c:v>0.11877</c:v>
                      </c:pt>
                      <c:pt idx="26">
                        <c:v>0.11837</c:v>
                      </c:pt>
                      <c:pt idx="27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3.6374999999999999E-28</c:v>
                      </c:pt>
                      <c:pt idx="1">
                        <c:v>2.9487000000000001E-26</c:v>
                      </c:pt>
                      <c:pt idx="2">
                        <c:v>2.0040999999999999E-24</c:v>
                      </c:pt>
                      <c:pt idx="3">
                        <c:v>1.4044000000000001E-22</c:v>
                      </c:pt>
                      <c:pt idx="4">
                        <c:v>9.4172000000000002E-21</c:v>
                      </c:pt>
                      <c:pt idx="5">
                        <c:v>1.3252E-14</c:v>
                      </c:pt>
                      <c:pt idx="6">
                        <c:v>2.1316999999999999E-13</c:v>
                      </c:pt>
                      <c:pt idx="7">
                        <c:v>2.7485999999999998E-12</c:v>
                      </c:pt>
                      <c:pt idx="8">
                        <c:v>3.0313999999999999E-11</c:v>
                      </c:pt>
                      <c:pt idx="9">
                        <c:v>2.9357999999999998E-10</c:v>
                      </c:pt>
                      <c:pt idx="10">
                        <c:v>2.5024E-9</c:v>
                      </c:pt>
                      <c:pt idx="11">
                        <c:v>1.8787000000000001E-8</c:v>
                      </c:pt>
                      <c:pt idx="12">
                        <c:v>1.2485999999999999E-7</c:v>
                      </c:pt>
                      <c:pt idx="13">
                        <c:v>7.4010999999999997E-7</c:v>
                      </c:pt>
                      <c:pt idx="14">
                        <c:v>3.9424999999999999E-6</c:v>
                      </c:pt>
                      <c:pt idx="15">
                        <c:v>1.8986000000000001E-5</c:v>
                      </c:pt>
                      <c:pt idx="16">
                        <c:v>8.2616999999999999E-5</c:v>
                      </c:pt>
                      <c:pt idx="17">
                        <c:v>3.1750000000000002E-4</c:v>
                      </c:pt>
                      <c:pt idx="18">
                        <c:v>7.3359999999999996E-3</c:v>
                      </c:pt>
                      <c:pt idx="19">
                        <c:v>1.1124999999999999E-2</c:v>
                      </c:pt>
                      <c:pt idx="20">
                        <c:v>1.5989E-2</c:v>
                      </c:pt>
                      <c:pt idx="21">
                        <c:v>2.1892999999999999E-2</c:v>
                      </c:pt>
                      <c:pt idx="22">
                        <c:v>2.8590999999999998E-2</c:v>
                      </c:pt>
                      <c:pt idx="23">
                        <c:v>3.5165000000000002E-2</c:v>
                      </c:pt>
                      <c:pt idx="24">
                        <c:v>2.7507E-2</c:v>
                      </c:pt>
                      <c:pt idx="25">
                        <c:v>2.1121999999999998E-2</c:v>
                      </c:pt>
                      <c:pt idx="26">
                        <c:v>1.5965E-2</c:v>
                      </c:pt>
                      <c:pt idx="27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2.5337E-9</c:v>
                      </c:pt>
                      <c:pt idx="1">
                        <c:v>8.7521E-9</c:v>
                      </c:pt>
                      <c:pt idx="2">
                        <c:v>2.1410000000000001E-8</c:v>
                      </c:pt>
                      <c:pt idx="3">
                        <c:v>3.5043999999999999E-8</c:v>
                      </c:pt>
                      <c:pt idx="4">
                        <c:v>4.0088000000000001E-8</c:v>
                      </c:pt>
                      <c:pt idx="5">
                        <c:v>2.18E-8</c:v>
                      </c:pt>
                      <c:pt idx="6">
                        <c:v>2.0435000000000001E-8</c:v>
                      </c:pt>
                      <c:pt idx="7">
                        <c:v>1.9989999999999999E-8</c:v>
                      </c:pt>
                      <c:pt idx="8">
                        <c:v>1.9168E-8</c:v>
                      </c:pt>
                      <c:pt idx="9">
                        <c:v>1.8243E-8</c:v>
                      </c:pt>
                      <c:pt idx="10">
                        <c:v>1.6292999999999999E-8</c:v>
                      </c:pt>
                      <c:pt idx="11">
                        <c:v>1.3986E-8</c:v>
                      </c:pt>
                      <c:pt idx="12">
                        <c:v>1.1771E-8</c:v>
                      </c:pt>
                      <c:pt idx="13">
                        <c:v>9.8201E-9</c:v>
                      </c:pt>
                      <c:pt idx="14">
                        <c:v>8.1651999999999999E-9</c:v>
                      </c:pt>
                      <c:pt idx="15">
                        <c:v>6.7876E-9</c:v>
                      </c:pt>
                      <c:pt idx="16">
                        <c:v>5.6655000000000003E-9</c:v>
                      </c:pt>
                      <c:pt idx="17">
                        <c:v>4.8032999999999997E-9</c:v>
                      </c:pt>
                      <c:pt idx="18">
                        <c:v>2.7602E-9</c:v>
                      </c:pt>
                      <c:pt idx="19">
                        <c:v>2.3245E-9</c:v>
                      </c:pt>
                      <c:pt idx="20">
                        <c:v>1.9566E-9</c:v>
                      </c:pt>
                      <c:pt idx="21">
                        <c:v>1.6493000000000001E-9</c:v>
                      </c:pt>
                      <c:pt idx="22">
                        <c:v>1.3927E-9</c:v>
                      </c:pt>
                      <c:pt idx="23">
                        <c:v>1.179E-9</c:v>
                      </c:pt>
                      <c:pt idx="24">
                        <c:v>1.0190000000000001E-9</c:v>
                      </c:pt>
                      <c:pt idx="25">
                        <c:v>8.6608999999999995E-10</c:v>
                      </c:pt>
                      <c:pt idx="26">
                        <c:v>7.3197999999999999E-10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5.8400000000000005E-10</c:v>
                      </c:pt>
                      <c:pt idx="1">
                        <c:v>2.3464000000000001E-9</c:v>
                      </c:pt>
                      <c:pt idx="2">
                        <c:v>6.5551000000000002E-9</c:v>
                      </c:pt>
                      <c:pt idx="3">
                        <c:v>1.2069E-8</c:v>
                      </c:pt>
                      <c:pt idx="4">
                        <c:v>1.5332000000000001E-8</c:v>
                      </c:pt>
                      <c:pt idx="5">
                        <c:v>1.1541000000000001E-8</c:v>
                      </c:pt>
                      <c:pt idx="6">
                        <c:v>1.153E-8</c:v>
                      </c:pt>
                      <c:pt idx="7">
                        <c:v>1.1954000000000001E-8</c:v>
                      </c:pt>
                      <c:pt idx="8">
                        <c:v>1.2058E-8</c:v>
                      </c:pt>
                      <c:pt idx="9">
                        <c:v>1.1358999999999999E-8</c:v>
                      </c:pt>
                      <c:pt idx="10">
                        <c:v>1.0034000000000001E-8</c:v>
                      </c:pt>
                      <c:pt idx="11">
                        <c:v>8.5150000000000005E-9</c:v>
                      </c:pt>
                      <c:pt idx="12">
                        <c:v>7.0818999999999997E-9</c:v>
                      </c:pt>
                      <c:pt idx="13">
                        <c:v>5.8369999999999996E-9</c:v>
                      </c:pt>
                      <c:pt idx="14">
                        <c:v>4.7939999999999998E-9</c:v>
                      </c:pt>
                      <c:pt idx="15">
                        <c:v>3.9361000000000001E-9</c:v>
                      </c:pt>
                      <c:pt idx="16">
                        <c:v>3.2447999999999998E-9</c:v>
                      </c:pt>
                      <c:pt idx="17">
                        <c:v>2.717E-9</c:v>
                      </c:pt>
                      <c:pt idx="18">
                        <c:v>1.4865E-9</c:v>
                      </c:pt>
                      <c:pt idx="19">
                        <c:v>1.2368999999999999E-9</c:v>
                      </c:pt>
                      <c:pt idx="20">
                        <c:v>1.0288E-9</c:v>
                      </c:pt>
                      <c:pt idx="21">
                        <c:v>8.5701000000000002E-10</c:v>
                      </c:pt>
                      <c:pt idx="22">
                        <c:v>7.1524999999999999E-10</c:v>
                      </c:pt>
                      <c:pt idx="23">
                        <c:v>5.9853E-10</c:v>
                      </c:pt>
                      <c:pt idx="24">
                        <c:v>5.1136999999999996E-10</c:v>
                      </c:pt>
                      <c:pt idx="25">
                        <c:v>4.2971000000000001E-10</c:v>
                      </c:pt>
                      <c:pt idx="26">
                        <c:v>3.5909E-10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2.1339000000000002E-3</c:v>
                      </c:pt>
                      <c:pt idx="1">
                        <c:v>9.3252000000000005E-3</c:v>
                      </c:pt>
                      <c:pt idx="2">
                        <c:v>2.9215000000000001E-2</c:v>
                      </c:pt>
                      <c:pt idx="3">
                        <c:v>6.1720999999999998E-2</c:v>
                      </c:pt>
                      <c:pt idx="4">
                        <c:v>9.1555999999999998E-2</c:v>
                      </c:pt>
                      <c:pt idx="5">
                        <c:v>0.14207</c:v>
                      </c:pt>
                      <c:pt idx="6">
                        <c:v>0.17254</c:v>
                      </c:pt>
                      <c:pt idx="7">
                        <c:v>0.21812000000000001</c:v>
                      </c:pt>
                      <c:pt idx="8">
                        <c:v>0.26878000000000002</c:v>
                      </c:pt>
                      <c:pt idx="9">
                        <c:v>0.30970999999999999</c:v>
                      </c:pt>
                      <c:pt idx="10">
                        <c:v>0.33485999999999999</c:v>
                      </c:pt>
                      <c:pt idx="11">
                        <c:v>0.34788000000000002</c:v>
                      </c:pt>
                      <c:pt idx="12">
                        <c:v>0.35415000000000002</c:v>
                      </c:pt>
                      <c:pt idx="13">
                        <c:v>0.35713</c:v>
                      </c:pt>
                      <c:pt idx="14">
                        <c:v>0.35861999999999999</c:v>
                      </c:pt>
                      <c:pt idx="15">
                        <c:v>0.35970999999999997</c:v>
                      </c:pt>
                      <c:pt idx="16">
                        <c:v>0.3619</c:v>
                      </c:pt>
                      <c:pt idx="17">
                        <c:v>0.36943999999999999</c:v>
                      </c:pt>
                      <c:pt idx="18">
                        <c:v>0.44120999999999999</c:v>
                      </c:pt>
                      <c:pt idx="19">
                        <c:v>0.44485000000000002</c:v>
                      </c:pt>
                      <c:pt idx="20">
                        <c:v>0.44778000000000001</c:v>
                      </c:pt>
                      <c:pt idx="21">
                        <c:v>0.45088</c:v>
                      </c:pt>
                      <c:pt idx="22">
                        <c:v>0.45427000000000001</c:v>
                      </c:pt>
                      <c:pt idx="23">
                        <c:v>0.45835999999999999</c:v>
                      </c:pt>
                      <c:pt idx="24">
                        <c:v>0.47164</c:v>
                      </c:pt>
                      <c:pt idx="25">
                        <c:v>0.47675000000000001</c:v>
                      </c:pt>
                      <c:pt idx="26">
                        <c:v>0.47871000000000002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6.4788000000000002E-12</c:v>
                      </c:pt>
                      <c:pt idx="1">
                        <c:v>3.6438999999999997E-11</c:v>
                      </c:pt>
                      <c:pt idx="2">
                        <c:v>1.3745E-10</c:v>
                      </c:pt>
                      <c:pt idx="3">
                        <c:v>3.3158000000000001E-10</c:v>
                      </c:pt>
                      <c:pt idx="4">
                        <c:v>5.3816000000000003E-10</c:v>
                      </c:pt>
                      <c:pt idx="5">
                        <c:v>8.9524999999999998E-10</c:v>
                      </c:pt>
                      <c:pt idx="6">
                        <c:v>1.0527000000000001E-9</c:v>
                      </c:pt>
                      <c:pt idx="7">
                        <c:v>1.2709E-9</c:v>
                      </c:pt>
                      <c:pt idx="8">
                        <c:v>1.4783E-9</c:v>
                      </c:pt>
                      <c:pt idx="9">
                        <c:v>1.5923E-9</c:v>
                      </c:pt>
                      <c:pt idx="10">
                        <c:v>1.5959E-9</c:v>
                      </c:pt>
                      <c:pt idx="11">
                        <c:v>1.5259000000000001E-9</c:v>
                      </c:pt>
                      <c:pt idx="12">
                        <c:v>1.421E-9</c:v>
                      </c:pt>
                      <c:pt idx="13">
                        <c:v>1.3038E-9</c:v>
                      </c:pt>
                      <c:pt idx="14">
                        <c:v>1.1859E-9</c:v>
                      </c:pt>
                      <c:pt idx="15">
                        <c:v>1.0730999999999999E-9</c:v>
                      </c:pt>
                      <c:pt idx="16">
                        <c:v>9.7069999999999997E-10</c:v>
                      </c:pt>
                      <c:pt idx="17">
                        <c:v>8.8829000000000004E-10</c:v>
                      </c:pt>
                      <c:pt idx="18">
                        <c:v>6.6946999999999996E-10</c:v>
                      </c:pt>
                      <c:pt idx="19">
                        <c:v>5.9896999999999995E-10</c:v>
                      </c:pt>
                      <c:pt idx="20">
                        <c:v>5.3429000000000002E-10</c:v>
                      </c:pt>
                      <c:pt idx="21">
                        <c:v>4.7617000000000002E-10</c:v>
                      </c:pt>
                      <c:pt idx="22">
                        <c:v>4.2419000000000001E-10</c:v>
                      </c:pt>
                      <c:pt idx="23">
                        <c:v>3.7808E-10</c:v>
                      </c:pt>
                      <c:pt idx="24">
                        <c:v>3.4335000000000001E-10</c:v>
                      </c:pt>
                      <c:pt idx="25">
                        <c:v>3.0610000000000001E-10</c:v>
                      </c:pt>
                      <c:pt idx="26">
                        <c:v>2.7088999999999998E-10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4.5409000000000001E-7</c:v>
                      </c:pt>
                      <c:pt idx="1">
                        <c:v>1.1596000000000001E-6</c:v>
                      </c:pt>
                      <c:pt idx="2">
                        <c:v>3.6376000000000001E-6</c:v>
                      </c:pt>
                      <c:pt idx="3">
                        <c:v>1.4951E-5</c:v>
                      </c:pt>
                      <c:pt idx="4">
                        <c:v>6.8635999999999998E-5</c:v>
                      </c:pt>
                      <c:pt idx="5">
                        <c:v>1.1455999999999999E-2</c:v>
                      </c:pt>
                      <c:pt idx="6">
                        <c:v>2.6453999999999998E-2</c:v>
                      </c:pt>
                      <c:pt idx="7">
                        <c:v>4.9137E-2</c:v>
                      </c:pt>
                      <c:pt idx="8">
                        <c:v>7.4415999999999996E-2</c:v>
                      </c:pt>
                      <c:pt idx="9">
                        <c:v>9.4864000000000004E-2</c:v>
                      </c:pt>
                      <c:pt idx="10">
                        <c:v>0.10743</c:v>
                      </c:pt>
                      <c:pt idx="11">
                        <c:v>0.11394</c:v>
                      </c:pt>
                      <c:pt idx="12">
                        <c:v>0.11706999999999999</c:v>
                      </c:pt>
                      <c:pt idx="13">
                        <c:v>0.11856</c:v>
                      </c:pt>
                      <c:pt idx="14">
                        <c:v>0.11927</c:v>
                      </c:pt>
                      <c:pt idx="15">
                        <c:v>0.11962</c:v>
                      </c:pt>
                      <c:pt idx="16">
                        <c:v>0.1198</c:v>
                      </c:pt>
                      <c:pt idx="17">
                        <c:v>0.11989</c:v>
                      </c:pt>
                      <c:pt idx="18">
                        <c:v>0.11999</c:v>
                      </c:pt>
                      <c:pt idx="19">
                        <c:v>0.11999</c:v>
                      </c:pt>
                      <c:pt idx="20">
                        <c:v>0.11999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0.11996999999999999</c:v>
                      </c:pt>
                      <c:pt idx="24">
                        <c:v>0.11926</c:v>
                      </c:pt>
                      <c:pt idx="25">
                        <c:v>0.11877</c:v>
                      </c:pt>
                      <c:pt idx="26">
                        <c:v>0.11837</c:v>
                      </c:pt>
                      <c:pt idx="27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2.9604E-33</c:v>
                      </c:pt>
                      <c:pt idx="19">
                        <c:v>3.7014000000000003E-26</c:v>
                      </c:pt>
                      <c:pt idx="20">
                        <c:v>2.1821E-19</c:v>
                      </c:pt>
                      <c:pt idx="21">
                        <c:v>3.8508999999999998E-13</c:v>
                      </c:pt>
                      <c:pt idx="22">
                        <c:v>5.2928000000000003E-8</c:v>
                      </c:pt>
                      <c:pt idx="23">
                        <c:v>1.5735E-3</c:v>
                      </c:pt>
                      <c:pt idx="24">
                        <c:v>3.5756999999999997E-2</c:v>
                      </c:pt>
                      <c:pt idx="25">
                        <c:v>5.2352000000000003E-2</c:v>
                      </c:pt>
                      <c:pt idx="26">
                        <c:v>6.1423999999999999E-2</c:v>
                      </c:pt>
                      <c:pt idx="27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6.6405999999999999E-34</c:v>
                      </c:pt>
                      <c:pt idx="19">
                        <c:v>5.4394E-27</c:v>
                      </c:pt>
                      <c:pt idx="20">
                        <c:v>2.1702999999999999E-20</c:v>
                      </c:pt>
                      <c:pt idx="21">
                        <c:v>2.6639000000000001E-14</c:v>
                      </c:pt>
                      <c:pt idx="22">
                        <c:v>2.6133000000000001E-9</c:v>
                      </c:pt>
                      <c:pt idx="23">
                        <c:v>5.7606999999999999E-5</c:v>
                      </c:pt>
                      <c:pt idx="24">
                        <c:v>1.4848999999999999E-3</c:v>
                      </c:pt>
                      <c:pt idx="25">
                        <c:v>2.4618999999999999E-3</c:v>
                      </c:pt>
                      <c:pt idx="26">
                        <c:v>3.2528000000000001E-3</c:v>
                      </c:pt>
                      <c:pt idx="27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-18.71</c:v>
                      </c:pt>
                      <c:pt idx="1">
                        <c:v>-18.7</c:v>
                      </c:pt>
                      <c:pt idx="2">
                        <c:v>-18.7</c:v>
                      </c:pt>
                      <c:pt idx="3">
                        <c:v>-18.7</c:v>
                      </c:pt>
                      <c:pt idx="4">
                        <c:v>-18.72</c:v>
                      </c:pt>
                      <c:pt idx="5">
                        <c:v>-18.829999999999998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-18.940000000000001</c:v>
                      </c:pt>
                      <c:pt idx="9">
                        <c:v>-18.98</c:v>
                      </c:pt>
                      <c:pt idx="10">
                        <c:v>-19.02</c:v>
                      </c:pt>
                      <c:pt idx="11">
                        <c:v>-19.059999999999999</c:v>
                      </c:pt>
                      <c:pt idx="12">
                        <c:v>-19.100000000000001</c:v>
                      </c:pt>
                      <c:pt idx="13">
                        <c:v>-19.14</c:v>
                      </c:pt>
                      <c:pt idx="14">
                        <c:v>-19.18</c:v>
                      </c:pt>
                      <c:pt idx="15">
                        <c:v>-19.23</c:v>
                      </c:pt>
                      <c:pt idx="16">
                        <c:v>-19.27</c:v>
                      </c:pt>
                      <c:pt idx="17">
                        <c:v>-19.3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-19.62</c:v>
                      </c:pt>
                      <c:pt idx="24">
                        <c:v>-19.66</c:v>
                      </c:pt>
                      <c:pt idx="25">
                        <c:v>-19.7</c:v>
                      </c:pt>
                      <c:pt idx="26">
                        <c:v>-19.739999999999998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-66.75</c:v>
                      </c:pt>
                      <c:pt idx="1">
                        <c:v>-62.38</c:v>
                      </c:pt>
                      <c:pt idx="2">
                        <c:v>-58.23</c:v>
                      </c:pt>
                      <c:pt idx="3">
                        <c:v>-54.11</c:v>
                      </c:pt>
                      <c:pt idx="4">
                        <c:v>-50.02</c:v>
                      </c:pt>
                      <c:pt idx="5">
                        <c:v>-36.159999999999997</c:v>
                      </c:pt>
                      <c:pt idx="6">
                        <c:v>-33.5</c:v>
                      </c:pt>
                      <c:pt idx="7">
                        <c:v>-31.09</c:v>
                      </c:pt>
                      <c:pt idx="8">
                        <c:v>-28.84</c:v>
                      </c:pt>
                      <c:pt idx="9">
                        <c:v>-26.68</c:v>
                      </c:pt>
                      <c:pt idx="10">
                        <c:v>-24.62</c:v>
                      </c:pt>
                      <c:pt idx="11">
                        <c:v>-22.66</c:v>
                      </c:pt>
                      <c:pt idx="12">
                        <c:v>-20.81</c:v>
                      </c:pt>
                      <c:pt idx="13">
                        <c:v>-19.059999999999999</c:v>
                      </c:pt>
                      <c:pt idx="14">
                        <c:v>-17.399999999999999</c:v>
                      </c:pt>
                      <c:pt idx="15">
                        <c:v>-15.83</c:v>
                      </c:pt>
                      <c:pt idx="16">
                        <c:v>-14.36</c:v>
                      </c:pt>
                      <c:pt idx="17">
                        <c:v>-13.01</c:v>
                      </c:pt>
                      <c:pt idx="18">
                        <c:v>-9.8030000000000008</c:v>
                      </c:pt>
                      <c:pt idx="19">
                        <c:v>-9.3119999999999994</c:v>
                      </c:pt>
                      <c:pt idx="20">
                        <c:v>-8.8580000000000005</c:v>
                      </c:pt>
                      <c:pt idx="21">
                        <c:v>-8.4390000000000001</c:v>
                      </c:pt>
                      <c:pt idx="22">
                        <c:v>-8.0500000000000007</c:v>
                      </c:pt>
                      <c:pt idx="23">
                        <c:v>-7.7050000000000001</c:v>
                      </c:pt>
                      <c:pt idx="24">
                        <c:v>-7.774</c:v>
                      </c:pt>
                      <c:pt idx="25">
                        <c:v>-7.8449999999999998</c:v>
                      </c:pt>
                      <c:pt idx="26">
                        <c:v>-7.915</c:v>
                      </c:pt>
                      <c:pt idx="27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-17.02</c:v>
                      </c:pt>
                      <c:pt idx="1">
                        <c:v>-16.100000000000001</c:v>
                      </c:pt>
                      <c:pt idx="2">
                        <c:v>-15.04</c:v>
                      </c:pt>
                      <c:pt idx="3">
                        <c:v>-13.75</c:v>
                      </c:pt>
                      <c:pt idx="4">
                        <c:v>-12.33</c:v>
                      </c:pt>
                      <c:pt idx="5">
                        <c:v>-7.4930000000000003</c:v>
                      </c:pt>
                      <c:pt idx="6">
                        <c:v>-6.7720000000000002</c:v>
                      </c:pt>
                      <c:pt idx="7">
                        <c:v>-6.2990000000000004</c:v>
                      </c:pt>
                      <c:pt idx="8">
                        <c:v>-6.0309999999999997</c:v>
                      </c:pt>
                      <c:pt idx="9">
                        <c:v>-5.9109999999999996</c:v>
                      </c:pt>
                      <c:pt idx="10">
                        <c:v>-5.8780000000000001</c:v>
                      </c:pt>
                      <c:pt idx="11">
                        <c:v>-5.89</c:v>
                      </c:pt>
                      <c:pt idx="12">
                        <c:v>-5.923</c:v>
                      </c:pt>
                      <c:pt idx="13">
                        <c:v>-5.9649999999999999</c:v>
                      </c:pt>
                      <c:pt idx="14">
                        <c:v>-6.0110000000000001</c:v>
                      </c:pt>
                      <c:pt idx="15">
                        <c:v>-6.06</c:v>
                      </c:pt>
                      <c:pt idx="16">
                        <c:v>-6.1130000000000004</c:v>
                      </c:pt>
                      <c:pt idx="17">
                        <c:v>-6.1749999999999998</c:v>
                      </c:pt>
                      <c:pt idx="18">
                        <c:v>-6.4939999999999998</c:v>
                      </c:pt>
                      <c:pt idx="19">
                        <c:v>-6.55</c:v>
                      </c:pt>
                      <c:pt idx="20">
                        <c:v>-6.6059999999999999</c:v>
                      </c:pt>
                      <c:pt idx="21">
                        <c:v>-6.6609999999999996</c:v>
                      </c:pt>
                      <c:pt idx="22">
                        <c:v>-6.718</c:v>
                      </c:pt>
                      <c:pt idx="23">
                        <c:v>-6.7729999999999997</c:v>
                      </c:pt>
                      <c:pt idx="24">
                        <c:v>-6.8140000000000001</c:v>
                      </c:pt>
                      <c:pt idx="25">
                        <c:v>-6.8540000000000001</c:v>
                      </c:pt>
                      <c:pt idx="26">
                        <c:v>-6.8940000000000001</c:v>
                      </c:pt>
                      <c:pt idx="27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-22.33</c:v>
                      </c:pt>
                      <c:pt idx="2">
                        <c:v>-21.52</c:v>
                      </c:pt>
                      <c:pt idx="3">
                        <c:v>-21.15</c:v>
                      </c:pt>
                      <c:pt idx="4">
                        <c:v>-21.13</c:v>
                      </c:pt>
                      <c:pt idx="5">
                        <c:v>-22.02</c:v>
                      </c:pt>
                      <c:pt idx="6">
                        <c:v>-22.21</c:v>
                      </c:pt>
                      <c:pt idx="7">
                        <c:v>-22.38</c:v>
                      </c:pt>
                      <c:pt idx="8">
                        <c:v>-22.58</c:v>
                      </c:pt>
                      <c:pt idx="9">
                        <c:v>-22.81</c:v>
                      </c:pt>
                      <c:pt idx="10">
                        <c:v>-23.08</c:v>
                      </c:pt>
                      <c:pt idx="11">
                        <c:v>-23.36</c:v>
                      </c:pt>
                      <c:pt idx="12">
                        <c:v>-23.65</c:v>
                      </c:pt>
                      <c:pt idx="13">
                        <c:v>-23.94</c:v>
                      </c:pt>
                      <c:pt idx="14">
                        <c:v>-24.22</c:v>
                      </c:pt>
                      <c:pt idx="15">
                        <c:v>-24.51</c:v>
                      </c:pt>
                      <c:pt idx="16">
                        <c:v>-24.79</c:v>
                      </c:pt>
                      <c:pt idx="17">
                        <c:v>-25.06</c:v>
                      </c:pt>
                      <c:pt idx="18">
                        <c:v>-26.1</c:v>
                      </c:pt>
                      <c:pt idx="19">
                        <c:v>-26.36</c:v>
                      </c:pt>
                      <c:pt idx="20">
                        <c:v>-26.63</c:v>
                      </c:pt>
                      <c:pt idx="21">
                        <c:v>-26.89</c:v>
                      </c:pt>
                      <c:pt idx="22">
                        <c:v>-27.15</c:v>
                      </c:pt>
                      <c:pt idx="23">
                        <c:v>-27.4</c:v>
                      </c:pt>
                      <c:pt idx="24">
                        <c:v>-27.61</c:v>
                      </c:pt>
                      <c:pt idx="25">
                        <c:v>-27.84</c:v>
                      </c:pt>
                      <c:pt idx="26">
                        <c:v>-28.08</c:v>
                      </c:pt>
                      <c:pt idx="27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6.0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189441160330482E-2"/>
          <c:y val="4.031043881855613E-2"/>
          <c:w val="0.91712319681176846"/>
          <c:h val="0.8957592952286941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ALL!$F$127:$AL$127</c:f>
              <c:numCache>
                <c:formatCode>General</c:formatCode>
                <c:ptCount val="33"/>
                <c:pt idx="0">
                  <c:v>-161.21212229458382</c:v>
                </c:pt>
                <c:pt idx="1">
                  <c:v>-164.1921638354986</c:v>
                </c:pt>
                <c:pt idx="2">
                  <c:v>-168.46466631585722</c:v>
                </c:pt>
                <c:pt idx="3">
                  <c:v>-173.91202272433173</c:v>
                </c:pt>
                <c:pt idx="4">
                  <c:v>-179.53570362182828</c:v>
                </c:pt>
                <c:pt idx="5">
                  <c:v>-201.17705549058644</c:v>
                </c:pt>
                <c:pt idx="6">
                  <c:v>-208.35513303812795</c:v>
                </c:pt>
                <c:pt idx="7">
                  <c:v>-216.75692033806186</c:v>
                </c:pt>
                <c:pt idx="8">
                  <c:v>-226.06657614390045</c:v>
                </c:pt>
                <c:pt idx="9">
                  <c:v>-235.73012543055336</c:v>
                </c:pt>
                <c:pt idx="10">
                  <c:v>-245.58769694241278</c:v>
                </c:pt>
                <c:pt idx="11">
                  <c:v>-255.46279413930517</c:v>
                </c:pt>
                <c:pt idx="12">
                  <c:v>-265.48610573190058</c:v>
                </c:pt>
                <c:pt idx="13">
                  <c:v>-275.62478528795151</c:v>
                </c:pt>
                <c:pt idx="14">
                  <c:v>-285.82498719459625</c:v>
                </c:pt>
                <c:pt idx="15">
                  <c:v>-296.40361571073947</c:v>
                </c:pt>
                <c:pt idx="16">
                  <c:v>-307.57339835972186</c:v>
                </c:pt>
                <c:pt idx="17">
                  <c:v>-320.74492668641795</c:v>
                </c:pt>
                <c:pt idx="18">
                  <c:v>-389.67607093817116</c:v>
                </c:pt>
                <c:pt idx="19">
                  <c:v>-403.22737200467765</c:v>
                </c:pt>
                <c:pt idx="20">
                  <c:v>-416.78991351954159</c:v>
                </c:pt>
                <c:pt idx="21">
                  <c:v>-430.34856481334219</c:v>
                </c:pt>
                <c:pt idx="22">
                  <c:v>-444.10041316427277</c:v>
                </c:pt>
                <c:pt idx="23">
                  <c:v>-457.57245234487431</c:v>
                </c:pt>
                <c:pt idx="24">
                  <c:v>-463.48738289907232</c:v>
                </c:pt>
                <c:pt idx="25">
                  <c:v>-473.65362493254327</c:v>
                </c:pt>
                <c:pt idx="26">
                  <c:v>-485.86663911861325</c:v>
                </c:pt>
                <c:pt idx="27">
                  <c:v>-541.07669222208028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-8.7498232543780483E-31</c:v>
                </c:pt>
                <c:pt idx="19">
                  <c:v>-1.0248912302009179E-23</c:v>
                </c:pt>
                <c:pt idx="20">
                  <c:v>-5.740727254150078E-17</c:v>
                </c:pt>
                <c:pt idx="21">
                  <c:v>-9.7158105183933796E-11</c:v>
                </c:pt>
                <c:pt idx="22">
                  <c:v>-1.2886811976545888E-5</c:v>
                </c:pt>
                <c:pt idx="23">
                  <c:v>-0.37227352571302685</c:v>
                </c:pt>
                <c:pt idx="24">
                  <c:v>-8.7719693703715986</c:v>
                </c:pt>
                <c:pt idx="25">
                  <c:v>-13.316717888614431</c:v>
                </c:pt>
                <c:pt idx="26">
                  <c:v>-16.195995582074115</c:v>
                </c:pt>
                <c:pt idx="27">
                  <c:v>-22.920084478673754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ALL!$F$132:$AL$132</c:f>
              <c:numCache>
                <c:formatCode>General</c:formatCode>
                <c:ptCount val="33"/>
                <c:pt idx="0">
                  <c:v>-196.1659210545553</c:v>
                </c:pt>
                <c:pt idx="1">
                  <c:v>-198.88101501276299</c:v>
                </c:pt>
                <c:pt idx="2">
                  <c:v>-201.9853899135166</c:v>
                </c:pt>
                <c:pt idx="3">
                  <c:v>-205.55665353998589</c:v>
                </c:pt>
                <c:pt idx="4">
                  <c:v>-209.69170393917545</c:v>
                </c:pt>
                <c:pt idx="5">
                  <c:v>-229.81890172563465</c:v>
                </c:pt>
                <c:pt idx="6">
                  <c:v>-235.85863392202458</c:v>
                </c:pt>
                <c:pt idx="7">
                  <c:v>-242.63108357326098</c:v>
                </c:pt>
                <c:pt idx="8">
                  <c:v>-250.35228886769136</c:v>
                </c:pt>
                <c:pt idx="9">
                  <c:v>-258.93536522020207</c:v>
                </c:pt>
                <c:pt idx="10">
                  <c:v>-268.28417683961038</c:v>
                </c:pt>
                <c:pt idx="11">
                  <c:v>-278.02525190316169</c:v>
                </c:pt>
                <c:pt idx="12">
                  <c:v>-288.11320485592859</c:v>
                </c:pt>
                <c:pt idx="13">
                  <c:v>-298.40966273333487</c:v>
                </c:pt>
                <c:pt idx="14">
                  <c:v>-308.78620196187597</c:v>
                </c:pt>
                <c:pt idx="15">
                  <c:v>-319.4711351761681</c:v>
                </c:pt>
                <c:pt idx="16">
                  <c:v>-330.27941563091372</c:v>
                </c:pt>
                <c:pt idx="17">
                  <c:v>-341.29088376058297</c:v>
                </c:pt>
                <c:pt idx="18">
                  <c:v>-390.3516959164009</c:v>
                </c:pt>
                <c:pt idx="19">
                  <c:v>-403.42438895020598</c:v>
                </c:pt>
                <c:pt idx="20">
                  <c:v>-416.84815705320551</c:v>
                </c:pt>
                <c:pt idx="21">
                  <c:v>-430.36608417162864</c:v>
                </c:pt>
                <c:pt idx="22">
                  <c:v>-444.10577908265759</c:v>
                </c:pt>
                <c:pt idx="23">
                  <c:v>-457.57411945241699</c:v>
                </c:pt>
                <c:pt idx="24">
                  <c:v>-463.48769258885937</c:v>
                </c:pt>
                <c:pt idx="25">
                  <c:v>-473.65371762946614</c:v>
                </c:pt>
                <c:pt idx="26">
                  <c:v>-485.86669867956266</c:v>
                </c:pt>
                <c:pt idx="27">
                  <c:v>-541.07674738422531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ALL!$F$133:$AL$133</c:f>
              <c:numCache>
                <c:formatCode>General</c:formatCode>
                <c:ptCount val="33"/>
                <c:pt idx="0">
                  <c:v>-34.953798759971484</c:v>
                </c:pt>
                <c:pt idx="1">
                  <c:v>-34.688851177264375</c:v>
                </c:pt>
                <c:pt idx="2">
                  <c:v>-33.520723597659384</c:v>
                </c:pt>
                <c:pt idx="3">
                  <c:v>-31.644630815654164</c:v>
                </c:pt>
                <c:pt idx="4">
                  <c:v>-30.156000317347189</c:v>
                </c:pt>
                <c:pt idx="5">
                  <c:v>-28.641846235048202</c:v>
                </c:pt>
                <c:pt idx="6">
                  <c:v>-27.503500883896631</c:v>
                </c:pt>
                <c:pt idx="7">
                  <c:v>-25.874163235199106</c:v>
                </c:pt>
                <c:pt idx="8">
                  <c:v>-24.285712723790901</c:v>
                </c:pt>
                <c:pt idx="9">
                  <c:v>-23.20523978964874</c:v>
                </c:pt>
                <c:pt idx="10">
                  <c:v>-22.696479897197602</c:v>
                </c:pt>
                <c:pt idx="11">
                  <c:v>-22.562457763856504</c:v>
                </c:pt>
                <c:pt idx="12">
                  <c:v>-22.627099124028003</c:v>
                </c:pt>
                <c:pt idx="13">
                  <c:v>-22.784877445383355</c:v>
                </c:pt>
                <c:pt idx="14">
                  <c:v>-22.961214767279706</c:v>
                </c:pt>
                <c:pt idx="15">
                  <c:v>-23.06751946542866</c:v>
                </c:pt>
                <c:pt idx="16">
                  <c:v>-22.706017271191872</c:v>
                </c:pt>
                <c:pt idx="17">
                  <c:v>-20.545957074165006</c:v>
                </c:pt>
                <c:pt idx="18">
                  <c:v>-0.67562497822971768</c:v>
                </c:pt>
                <c:pt idx="19">
                  <c:v>-0.19701694552835669</c:v>
                </c:pt>
                <c:pt idx="20">
                  <c:v>-5.8243533663917463E-2</c:v>
                </c:pt>
                <c:pt idx="21">
                  <c:v>-1.7519358383587376E-2</c:v>
                </c:pt>
                <c:pt idx="22">
                  <c:v>-5.378805196809968E-3</c:v>
                </c:pt>
                <c:pt idx="23">
                  <c:v>-0.37394063325569593</c:v>
                </c:pt>
                <c:pt idx="24">
                  <c:v>-8.7722790601586631</c:v>
                </c:pt>
                <c:pt idx="25">
                  <c:v>-13.316810585537281</c:v>
                </c:pt>
                <c:pt idx="26">
                  <c:v>-16.196055143023553</c:v>
                </c:pt>
                <c:pt idx="27">
                  <c:v>-22.920139640818746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ALL!$A$118:$A$119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ALL!$B$118:$B$119</c:f>
              <c:numCache>
                <c:formatCode>0</c:formatCode>
                <c:ptCount val="2"/>
                <c:pt idx="0">
                  <c:v>-563.99747850000006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-196.1649047805</c:v>
                </c:pt>
                <c:pt idx="1">
                  <c:v>-198.87945322700003</c:v>
                </c:pt>
                <c:pt idx="2">
                  <c:v>-201.98510466750002</c:v>
                </c:pt>
                <c:pt idx="3">
                  <c:v>-205.55706098300001</c:v>
                </c:pt>
                <c:pt idx="4">
                  <c:v>-209.69246879149998</c:v>
                </c:pt>
                <c:pt idx="5">
                  <c:v>-229.82092072694999</c:v>
                </c:pt>
                <c:pt idx="6">
                  <c:v>-235.8570678566</c:v>
                </c:pt>
                <c:pt idx="7">
                  <c:v>-242.63166508654999</c:v>
                </c:pt>
                <c:pt idx="8">
                  <c:v>-250.35213812840001</c:v>
                </c:pt>
                <c:pt idx="9">
                  <c:v>-258.93599079030002</c:v>
                </c:pt>
                <c:pt idx="10">
                  <c:v>-268.28433290359999</c:v>
                </c:pt>
                <c:pt idx="11">
                  <c:v>-278.02674185299998</c:v>
                </c:pt>
                <c:pt idx="12">
                  <c:v>-288.11378793600005</c:v>
                </c:pt>
                <c:pt idx="13">
                  <c:v>-298.40945313850006</c:v>
                </c:pt>
                <c:pt idx="14">
                  <c:v>-308.78985750779998</c:v>
                </c:pt>
                <c:pt idx="15">
                  <c:v>-319.468482483</c:v>
                </c:pt>
                <c:pt idx="16">
                  <c:v>-330.27725820680001</c:v>
                </c:pt>
                <c:pt idx="17">
                  <c:v>-341.29058892249998</c:v>
                </c:pt>
                <c:pt idx="18">
                  <c:v>-390.35209626175009</c:v>
                </c:pt>
                <c:pt idx="19">
                  <c:v>-403.42564783169996</c:v>
                </c:pt>
                <c:pt idx="20">
                  <c:v>-416.8522621724</c:v>
                </c:pt>
                <c:pt idx="21">
                  <c:v>-430.36474090890005</c:v>
                </c:pt>
                <c:pt idx="22">
                  <c:v>-444.10711113600001</c:v>
                </c:pt>
                <c:pt idx="23">
                  <c:v>-457.94738570920009</c:v>
                </c:pt>
                <c:pt idx="24">
                  <c:v>-472.25699385259998</c:v>
                </c:pt>
                <c:pt idx="25">
                  <c:v>-486.97154308950007</c:v>
                </c:pt>
                <c:pt idx="26">
                  <c:v>-502.06603393560005</c:v>
                </c:pt>
                <c:pt idx="27">
                  <c:v>-563.99747850000006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-34.953798759971484</c:v>
                      </c:pt>
                      <c:pt idx="1">
                        <c:v>-34.688851177264375</c:v>
                      </c:pt>
                      <c:pt idx="2">
                        <c:v>-33.520723597659384</c:v>
                      </c:pt>
                      <c:pt idx="3">
                        <c:v>-31.644630815654164</c:v>
                      </c:pt>
                      <c:pt idx="4">
                        <c:v>-30.156000317347189</c:v>
                      </c:pt>
                      <c:pt idx="5">
                        <c:v>-28.641846235048202</c:v>
                      </c:pt>
                      <c:pt idx="6">
                        <c:v>-27.503500883896631</c:v>
                      </c:pt>
                      <c:pt idx="7">
                        <c:v>-25.874163235199106</c:v>
                      </c:pt>
                      <c:pt idx="8">
                        <c:v>-24.285712723790901</c:v>
                      </c:pt>
                      <c:pt idx="9">
                        <c:v>-23.20523978964874</c:v>
                      </c:pt>
                      <c:pt idx="10">
                        <c:v>-22.696479897197602</c:v>
                      </c:pt>
                      <c:pt idx="11">
                        <c:v>-22.562457763856504</c:v>
                      </c:pt>
                      <c:pt idx="12">
                        <c:v>-22.627099124028003</c:v>
                      </c:pt>
                      <c:pt idx="13">
                        <c:v>-22.784877445383355</c:v>
                      </c:pt>
                      <c:pt idx="14">
                        <c:v>-22.961214767279706</c:v>
                      </c:pt>
                      <c:pt idx="15">
                        <c:v>-23.06751946542866</c:v>
                      </c:pt>
                      <c:pt idx="16">
                        <c:v>-22.706017271191872</c:v>
                      </c:pt>
                      <c:pt idx="17">
                        <c:v>-20.545957074165006</c:v>
                      </c:pt>
                      <c:pt idx="18">
                        <c:v>-0.67562497822971768</c:v>
                      </c:pt>
                      <c:pt idx="19">
                        <c:v>-0.19701694552835669</c:v>
                      </c:pt>
                      <c:pt idx="20">
                        <c:v>-5.8243533663917407E-2</c:v>
                      </c:pt>
                      <c:pt idx="21">
                        <c:v>-1.7519358286429271E-2</c:v>
                      </c:pt>
                      <c:pt idx="22">
                        <c:v>-5.365918384833422E-3</c:v>
                      </c:pt>
                      <c:pt idx="23">
                        <c:v>-1.6671075426690639E-3</c:v>
                      </c:pt>
                      <c:pt idx="24">
                        <c:v>-3.0968978706519344E-4</c:v>
                      </c:pt>
                      <c:pt idx="25">
                        <c:v>-9.2696922850965657E-5</c:v>
                      </c:pt>
                      <c:pt idx="26">
                        <c:v>-5.9560949436893274E-5</c:v>
                      </c:pt>
                      <c:pt idx="27">
                        <c:v>-5.5162144992664493E-5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-70.357639563721492</c:v>
                      </c:pt>
                      <c:pt idx="1">
                        <c:v>-72.691035589764383</c:v>
                      </c:pt>
                      <c:pt idx="2">
                        <c:v>-74.14017403515939</c:v>
                      </c:pt>
                      <c:pt idx="3">
                        <c:v>-74.88134727815418</c:v>
                      </c:pt>
                      <c:pt idx="4">
                        <c:v>-76.059024497347195</c:v>
                      </c:pt>
                      <c:pt idx="5">
                        <c:v>-85.356443413798203</c:v>
                      </c:pt>
                      <c:pt idx="6">
                        <c:v>-86.979634520146647</c:v>
                      </c:pt>
                      <c:pt idx="7">
                        <c:v>-88.090111697699115</c:v>
                      </c:pt>
                      <c:pt idx="8">
                        <c:v>-89.271068703790917</c:v>
                      </c:pt>
                      <c:pt idx="9">
                        <c:v>-90.984295484648754</c:v>
                      </c:pt>
                      <c:pt idx="10">
                        <c:v>-93.280432167197617</c:v>
                      </c:pt>
                      <c:pt idx="11">
                        <c:v>-95.962503468856497</c:v>
                      </c:pt>
                      <c:pt idx="12">
                        <c:v>-98.854435124028029</c:v>
                      </c:pt>
                      <c:pt idx="13">
                        <c:v>-101.85070060038338</c:v>
                      </c:pt>
                      <c:pt idx="14">
                        <c:v>-104.87672193727973</c:v>
                      </c:pt>
                      <c:pt idx="15">
                        <c:v>-107.88801593292868</c:v>
                      </c:pt>
                      <c:pt idx="16">
                        <c:v>-110.39999108119189</c:v>
                      </c:pt>
                      <c:pt idx="17">
                        <c:v>-111.07769744916503</c:v>
                      </c:pt>
                      <c:pt idx="18">
                        <c:v>-102.68145156947976</c:v>
                      </c:pt>
                      <c:pt idx="19">
                        <c:v>-105.13787589427838</c:v>
                      </c:pt>
                      <c:pt idx="20">
                        <c:v>-107.94533169991395</c:v>
                      </c:pt>
                      <c:pt idx="21">
                        <c:v>-110.86203360203648</c:v>
                      </c:pt>
                      <c:pt idx="22">
                        <c:v>-113.81850309963487</c:v>
                      </c:pt>
                      <c:pt idx="23">
                        <c:v>-116.73512691004274</c:v>
                      </c:pt>
                      <c:pt idx="24">
                        <c:v>-119.72338654228709</c:v>
                      </c:pt>
                      <c:pt idx="25">
                        <c:v>-122.71033382192287</c:v>
                      </c:pt>
                      <c:pt idx="26">
                        <c:v>-125.72228374094946</c:v>
                      </c:pt>
                      <c:pt idx="27">
                        <c:v>-137.74360516214506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At val="0"/>
        <c:crossBetween val="midCat"/>
      </c:valAx>
      <c:valAx>
        <c:axId val="1103702336"/>
        <c:scaling>
          <c:orientation val="minMax"/>
          <c:max val="40"/>
          <c:min val="-5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6.1877999999999997E-9</c:v>
                </c:pt>
                <c:pt idx="1">
                  <c:v>5.5165000000000001E-9</c:v>
                </c:pt>
                <c:pt idx="2">
                  <c:v>7.4244000000000001E-9</c:v>
                </c:pt>
                <c:pt idx="3">
                  <c:v>1.3577999999999999E-8</c:v>
                </c:pt>
                <c:pt idx="4">
                  <c:v>2.9451E-8</c:v>
                </c:pt>
                <c:pt idx="5">
                  <c:v>1.5819999999999999E-8</c:v>
                </c:pt>
                <c:pt idx="6">
                  <c:v>2.8747E-9</c:v>
                </c:pt>
                <c:pt idx="7">
                  <c:v>2.4480999999999999E-13</c:v>
                </c:pt>
                <c:pt idx="8">
                  <c:v>9.9445000000000001E-21</c:v>
                </c:pt>
                <c:pt idx="9">
                  <c:v>7.3141000000000006E-30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1.1499999999999999E-31</c:v>
                </c:pt>
                <c:pt idx="20">
                  <c:v>9.5558000000000007E-24</c:v>
                </c:pt>
                <c:pt idx="21">
                  <c:v>1.4482E-16</c:v>
                </c:pt>
                <c:pt idx="22">
                  <c:v>1.0933999999999999E-10</c:v>
                </c:pt>
                <c:pt idx="23">
                  <c:v>3.2417999999999998E-7</c:v>
                </c:pt>
                <c:pt idx="24">
                  <c:v>1.2376E-5</c:v>
                </c:pt>
                <c:pt idx="25">
                  <c:v>2.1126999999999999E-5</c:v>
                </c:pt>
                <c:pt idx="26">
                  <c:v>2.3708000000000001E-5</c:v>
                </c:pt>
                <c:pt idx="27">
                  <c:v>2.8283999999999999E-6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9.5128000000000004E-28</c:v>
                </c:pt>
                <c:pt idx="3">
                  <c:v>1.5372000000000001E-22</c:v>
                </c:pt>
                <c:pt idx="4">
                  <c:v>1.1156E-19</c:v>
                </c:pt>
                <c:pt idx="5">
                  <c:v>1.7943999999999999E-13</c:v>
                </c:pt>
                <c:pt idx="6">
                  <c:v>4.2096999999999999E-10</c:v>
                </c:pt>
                <c:pt idx="7">
                  <c:v>4.2095000000000004E-9</c:v>
                </c:pt>
                <c:pt idx="8">
                  <c:v>7.7497000000000002E-9</c:v>
                </c:pt>
                <c:pt idx="9">
                  <c:v>1.3306E-8</c:v>
                </c:pt>
                <c:pt idx="10">
                  <c:v>1.2213999999999999E-8</c:v>
                </c:pt>
                <c:pt idx="11">
                  <c:v>2.3015999999999999E-8</c:v>
                </c:pt>
                <c:pt idx="12">
                  <c:v>1.5737999999999998E-8</c:v>
                </c:pt>
                <c:pt idx="13">
                  <c:v>1.6776000000000001E-8</c:v>
                </c:pt>
                <c:pt idx="14">
                  <c:v>1.7397E-8</c:v>
                </c:pt>
                <c:pt idx="15">
                  <c:v>1.768E-8</c:v>
                </c:pt>
                <c:pt idx="16">
                  <c:v>1.8666E-8</c:v>
                </c:pt>
                <c:pt idx="17">
                  <c:v>2.2871E-8</c:v>
                </c:pt>
                <c:pt idx="18">
                  <c:v>2.7468000000000002E-8</c:v>
                </c:pt>
                <c:pt idx="19">
                  <c:v>2.7864000000000001E-8</c:v>
                </c:pt>
                <c:pt idx="20">
                  <c:v>2.7649999999999999E-8</c:v>
                </c:pt>
                <c:pt idx="21">
                  <c:v>2.8200000000000001E-8</c:v>
                </c:pt>
                <c:pt idx="22">
                  <c:v>6.5486999999999999E-9</c:v>
                </c:pt>
                <c:pt idx="23">
                  <c:v>6.0900999999999995E-32</c:v>
                </c:pt>
                <c:pt idx="24">
                  <c:v>4.7079000000000003E-30</c:v>
                </c:pt>
                <c:pt idx="25">
                  <c:v>8.2700999999999997E-29</c:v>
                </c:pt>
                <c:pt idx="26">
                  <c:v>4.4598999999999997E-28</c:v>
                </c:pt>
                <c:pt idx="27">
                  <c:v>2.2786000000000001E-23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1.2300000000000001E-9</c:v>
                </c:pt>
                <c:pt idx="1">
                  <c:v>4.5156E-11</c:v>
                </c:pt>
                <c:pt idx="2">
                  <c:v>6.8465000000000003E-15</c:v>
                </c:pt>
                <c:pt idx="3">
                  <c:v>3.7467999999999999E-23</c:v>
                </c:pt>
                <c:pt idx="4">
                  <c:v>3.8006E-35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0.11787</c:v>
                </c:pt>
                <c:pt idx="1">
                  <c:v>0.11068</c:v>
                </c:pt>
                <c:pt idx="2">
                  <c:v>9.0792999999999999E-2</c:v>
                </c:pt>
                <c:pt idx="3">
                  <c:v>5.8309E-2</c:v>
                </c:pt>
                <c:pt idx="4">
                  <c:v>2.8580999999999999E-2</c:v>
                </c:pt>
                <c:pt idx="5">
                  <c:v>8.4281999999999998E-4</c:v>
                </c:pt>
                <c:pt idx="6">
                  <c:v>3.6653E-4</c:v>
                </c:pt>
                <c:pt idx="7">
                  <c:v>1.4880000000000001E-4</c:v>
                </c:pt>
                <c:pt idx="8">
                  <c:v>5.2157000000000002E-5</c:v>
                </c:pt>
                <c:pt idx="9">
                  <c:v>1.5631999999999999E-5</c:v>
                </c:pt>
                <c:pt idx="10">
                  <c:v>4.2572999999999999E-6</c:v>
                </c:pt>
                <c:pt idx="11">
                  <c:v>1.1320999999999999E-6</c:v>
                </c:pt>
                <c:pt idx="12">
                  <c:v>3.0759999999999998E-7</c:v>
                </c:pt>
                <c:pt idx="13">
                  <c:v>8.7147999999999994E-8</c:v>
                </c:pt>
                <c:pt idx="14">
                  <c:v>2.5918999999999999E-8</c:v>
                </c:pt>
                <c:pt idx="15">
                  <c:v>8.1001000000000002E-9</c:v>
                </c:pt>
                <c:pt idx="16">
                  <c:v>2.6604E-9</c:v>
                </c:pt>
                <c:pt idx="17">
                  <c:v>9.2248999999999999E-10</c:v>
                </c:pt>
                <c:pt idx="18">
                  <c:v>2.0673000000000001E-11</c:v>
                </c:pt>
                <c:pt idx="19">
                  <c:v>8.4606999999999993E-12</c:v>
                </c:pt>
                <c:pt idx="20">
                  <c:v>3.5548000000000002E-12</c:v>
                </c:pt>
                <c:pt idx="21">
                  <c:v>1.5325E-12</c:v>
                </c:pt>
                <c:pt idx="22">
                  <c:v>6.7700999999999996E-13</c:v>
                </c:pt>
                <c:pt idx="23">
                  <c:v>3.0721000000000001E-13</c:v>
                </c:pt>
                <c:pt idx="24">
                  <c:v>1.5357999999999999E-13</c:v>
                </c:pt>
                <c:pt idx="25">
                  <c:v>7.5448000000000003E-14</c:v>
                </c:pt>
                <c:pt idx="26">
                  <c:v>3.7177999999999999E-14</c:v>
                </c:pt>
                <c:pt idx="27">
                  <c:v>2.4715E-15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0.12213</c:v>
                </c:pt>
                <c:pt idx="1">
                  <c:v>0.12931999999999999</c:v>
                </c:pt>
                <c:pt idx="2">
                  <c:v>0.1492</c:v>
                </c:pt>
                <c:pt idx="3">
                  <c:v>0.18165999999999999</c:v>
                </c:pt>
                <c:pt idx="4">
                  <c:v>0.21128</c:v>
                </c:pt>
                <c:pt idx="5">
                  <c:v>0.21623999999999999</c:v>
                </c:pt>
                <c:pt idx="6">
                  <c:v>0.18673000000000001</c:v>
                </c:pt>
                <c:pt idx="7">
                  <c:v>0.14158000000000001</c:v>
                </c:pt>
                <c:pt idx="8">
                  <c:v>9.1116000000000003E-2</c:v>
                </c:pt>
                <c:pt idx="9">
                  <c:v>5.0257000000000003E-2</c:v>
                </c:pt>
                <c:pt idx="10">
                  <c:v>2.5132000000000002E-2</c:v>
                </c:pt>
                <c:pt idx="11">
                  <c:v>1.2115000000000001E-2</c:v>
                </c:pt>
                <c:pt idx="12">
                  <c:v>5.8520999999999998E-3</c:v>
                </c:pt>
                <c:pt idx="13">
                  <c:v>2.8841000000000001E-3</c:v>
                </c:pt>
                <c:pt idx="14">
                  <c:v>1.4599999999999999E-3</c:v>
                </c:pt>
                <c:pt idx="15">
                  <c:v>7.6039E-4</c:v>
                </c:pt>
                <c:pt idx="16">
                  <c:v>4.0761999999999998E-4</c:v>
                </c:pt>
                <c:pt idx="17">
                  <c:v>2.2541E-4</c:v>
                </c:pt>
                <c:pt idx="18">
                  <c:v>2.7175E-5</c:v>
                </c:pt>
                <c:pt idx="19">
                  <c:v>1.6592999999999999E-5</c:v>
                </c:pt>
                <c:pt idx="20">
                  <c:v>1.0291E-5</c:v>
                </c:pt>
                <c:pt idx="21">
                  <c:v>6.4810999999999997E-6</c:v>
                </c:pt>
                <c:pt idx="22">
                  <c:v>4.1408000000000002E-6</c:v>
                </c:pt>
                <c:pt idx="23">
                  <c:v>2.6863999999999998E-6</c:v>
                </c:pt>
                <c:pt idx="24">
                  <c:v>1.8275000000000001E-6</c:v>
                </c:pt>
                <c:pt idx="25">
                  <c:v>1.2358000000000001E-6</c:v>
                </c:pt>
                <c:pt idx="26">
                  <c:v>8.3857000000000002E-7</c:v>
                </c:pt>
                <c:pt idx="27">
                  <c:v>1.9167E-7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2.1905999999999998E-2</c:v>
                </c:pt>
                <c:pt idx="1">
                  <c:v>2.2196E-2</c:v>
                </c:pt>
                <c:pt idx="2">
                  <c:v>2.2950000000000002E-2</c:v>
                </c:pt>
                <c:pt idx="3">
                  <c:v>2.4055E-2</c:v>
                </c:pt>
                <c:pt idx="4">
                  <c:v>2.495E-2</c:v>
                </c:pt>
                <c:pt idx="5">
                  <c:v>2.6256000000000002E-2</c:v>
                </c:pt>
                <c:pt idx="6">
                  <c:v>2.6939999999999999E-2</c:v>
                </c:pt>
                <c:pt idx="7">
                  <c:v>2.7844000000000001E-2</c:v>
                </c:pt>
                <c:pt idx="8">
                  <c:v>2.8712999999999999E-2</c:v>
                </c:pt>
                <c:pt idx="9">
                  <c:v>2.9329000000000001E-2</c:v>
                </c:pt>
                <c:pt idx="10">
                  <c:v>2.9676000000000001E-2</c:v>
                </c:pt>
                <c:pt idx="11">
                  <c:v>2.9846000000000001E-2</c:v>
                </c:pt>
                <c:pt idx="12">
                  <c:v>2.9926000000000001E-2</c:v>
                </c:pt>
                <c:pt idx="13">
                  <c:v>2.9959E-2</c:v>
                </c:pt>
                <c:pt idx="14">
                  <c:v>2.9951999999999999E-2</c:v>
                </c:pt>
                <c:pt idx="15">
                  <c:v>2.9828E-2</c:v>
                </c:pt>
                <c:pt idx="16">
                  <c:v>2.9187999999999999E-2</c:v>
                </c:pt>
                <c:pt idx="17">
                  <c:v>2.6589999999999999E-2</c:v>
                </c:pt>
                <c:pt idx="18">
                  <c:v>9.5122999999999996E-4</c:v>
                </c:pt>
                <c:pt idx="19">
                  <c:v>2.7313000000000001E-4</c:v>
                </c:pt>
                <c:pt idx="20">
                  <c:v>7.9382999999999995E-5</c:v>
                </c:pt>
                <c:pt idx="21">
                  <c:v>2.3487999999999999E-5</c:v>
                </c:pt>
                <c:pt idx="22">
                  <c:v>7.0636999999999998E-6</c:v>
                </c:pt>
                <c:pt idx="23">
                  <c:v>2.1115999999999998E-6</c:v>
                </c:pt>
                <c:pt idx="24">
                  <c:v>3.2650999999999998E-7</c:v>
                </c:pt>
                <c:pt idx="25">
                  <c:v>5.0575000000000001E-8</c:v>
                </c:pt>
                <c:pt idx="26">
                  <c:v>8.1415000000000005E-9</c:v>
                </c:pt>
                <c:pt idx="27">
                  <c:v>8.8611000000000007E-12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1.4219000000000001E-28</c:v>
                </c:pt>
                <c:pt idx="1">
                  <c:v>1.2244E-26</c:v>
                </c:pt>
                <c:pt idx="2">
                  <c:v>9.3656999999999993E-25</c:v>
                </c:pt>
                <c:pt idx="3">
                  <c:v>8.2229999999999995E-23</c:v>
                </c:pt>
                <c:pt idx="4">
                  <c:v>7.5761000000000006E-21</c:v>
                </c:pt>
                <c:pt idx="5">
                  <c:v>3.6578999999999997E-14</c:v>
                </c:pt>
                <c:pt idx="6">
                  <c:v>7.0040000000000002E-13</c:v>
                </c:pt>
                <c:pt idx="7">
                  <c:v>1.0294E-11</c:v>
                </c:pt>
                <c:pt idx="8">
                  <c:v>1.2805000000000001E-10</c:v>
                </c:pt>
                <c:pt idx="9">
                  <c:v>1.4134999999999999E-9</c:v>
                </c:pt>
                <c:pt idx="10">
                  <c:v>1.3907E-8</c:v>
                </c:pt>
                <c:pt idx="11">
                  <c:v>1.2118999999999999E-7</c:v>
                </c:pt>
                <c:pt idx="12">
                  <c:v>9.3500000000000005E-7</c:v>
                </c:pt>
                <c:pt idx="13">
                  <c:v>6.4214E-6</c:v>
                </c:pt>
                <c:pt idx="14">
                  <c:v>3.9548999999999997E-5</c:v>
                </c:pt>
                <c:pt idx="15">
                  <c:v>2.1958000000000001E-4</c:v>
                </c:pt>
                <c:pt idx="16">
                  <c:v>1.0908999999999999E-3</c:v>
                </c:pt>
                <c:pt idx="17">
                  <c:v>4.5948999999999999E-3</c:v>
                </c:pt>
                <c:pt idx="18">
                  <c:v>3.5118000000000003E-2</c:v>
                </c:pt>
                <c:pt idx="19">
                  <c:v>3.4089000000000001E-2</c:v>
                </c:pt>
                <c:pt idx="20">
                  <c:v>3.1904000000000002E-2</c:v>
                </c:pt>
                <c:pt idx="21">
                  <c:v>2.9024000000000001E-2</c:v>
                </c:pt>
                <c:pt idx="22">
                  <c:v>2.5696E-2</c:v>
                </c:pt>
                <c:pt idx="23">
                  <c:v>2.1628000000000001E-2</c:v>
                </c:pt>
                <c:pt idx="24">
                  <c:v>8.3616999999999997E-3</c:v>
                </c:pt>
                <c:pt idx="25">
                  <c:v>3.2523999999999999E-3</c:v>
                </c:pt>
                <c:pt idx="26">
                  <c:v>1.2936E-3</c:v>
                </c:pt>
                <c:pt idx="27">
                  <c:v>4.1288000000000002E-5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4.5409000000000001E-7</c:v>
                </c:pt>
                <c:pt idx="1">
                  <c:v>1.1596000000000001E-6</c:v>
                </c:pt>
                <c:pt idx="2">
                  <c:v>3.6376000000000001E-6</c:v>
                </c:pt>
                <c:pt idx="3">
                  <c:v>1.4951E-5</c:v>
                </c:pt>
                <c:pt idx="4">
                  <c:v>6.8635999999999998E-5</c:v>
                </c:pt>
                <c:pt idx="5">
                  <c:v>1.1455999999999999E-2</c:v>
                </c:pt>
                <c:pt idx="6">
                  <c:v>2.6453999999999998E-2</c:v>
                </c:pt>
                <c:pt idx="7">
                  <c:v>4.9137E-2</c:v>
                </c:pt>
                <c:pt idx="8">
                  <c:v>7.4415999999999996E-2</c:v>
                </c:pt>
                <c:pt idx="9">
                  <c:v>9.4864000000000004E-2</c:v>
                </c:pt>
                <c:pt idx="10">
                  <c:v>0.10743</c:v>
                </c:pt>
                <c:pt idx="11">
                  <c:v>0.11394</c:v>
                </c:pt>
                <c:pt idx="12">
                  <c:v>0.11706999999999999</c:v>
                </c:pt>
                <c:pt idx="13">
                  <c:v>0.11856</c:v>
                </c:pt>
                <c:pt idx="14">
                  <c:v>0.11927</c:v>
                </c:pt>
                <c:pt idx="15">
                  <c:v>0.11962</c:v>
                </c:pt>
                <c:pt idx="16">
                  <c:v>0.1198</c:v>
                </c:pt>
                <c:pt idx="17">
                  <c:v>0.11989</c:v>
                </c:pt>
                <c:pt idx="18">
                  <c:v>0.11999</c:v>
                </c:pt>
                <c:pt idx="19">
                  <c:v>0.11999</c:v>
                </c:pt>
                <c:pt idx="20">
                  <c:v>0.11999</c:v>
                </c:pt>
                <c:pt idx="21">
                  <c:v>0.12</c:v>
                </c:pt>
                <c:pt idx="22">
                  <c:v>0.12</c:v>
                </c:pt>
                <c:pt idx="23">
                  <c:v>0.11996999999999999</c:v>
                </c:pt>
                <c:pt idx="24">
                  <c:v>0.11926</c:v>
                </c:pt>
                <c:pt idx="25">
                  <c:v>0.11877</c:v>
                </c:pt>
                <c:pt idx="26">
                  <c:v>0.11837</c:v>
                </c:pt>
                <c:pt idx="27">
                  <c:v>0.11694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3.6374999999999999E-28</c:v>
                </c:pt>
                <c:pt idx="1">
                  <c:v>2.9487000000000001E-26</c:v>
                </c:pt>
                <c:pt idx="2">
                  <c:v>2.0040999999999999E-24</c:v>
                </c:pt>
                <c:pt idx="3">
                  <c:v>1.4044000000000001E-22</c:v>
                </c:pt>
                <c:pt idx="4">
                  <c:v>9.4172000000000002E-21</c:v>
                </c:pt>
                <c:pt idx="5">
                  <c:v>1.3252E-14</c:v>
                </c:pt>
                <c:pt idx="6">
                  <c:v>2.1316999999999999E-13</c:v>
                </c:pt>
                <c:pt idx="7">
                  <c:v>2.7485999999999998E-12</c:v>
                </c:pt>
                <c:pt idx="8">
                  <c:v>3.0313999999999999E-11</c:v>
                </c:pt>
                <c:pt idx="9">
                  <c:v>2.9357999999999998E-10</c:v>
                </c:pt>
                <c:pt idx="10">
                  <c:v>2.5024E-9</c:v>
                </c:pt>
                <c:pt idx="11">
                  <c:v>1.8787000000000001E-8</c:v>
                </c:pt>
                <c:pt idx="12">
                  <c:v>1.2485999999999999E-7</c:v>
                </c:pt>
                <c:pt idx="13">
                  <c:v>7.4010999999999997E-7</c:v>
                </c:pt>
                <c:pt idx="14">
                  <c:v>3.9424999999999999E-6</c:v>
                </c:pt>
                <c:pt idx="15">
                  <c:v>1.8986000000000001E-5</c:v>
                </c:pt>
                <c:pt idx="16">
                  <c:v>8.2616999999999999E-5</c:v>
                </c:pt>
                <c:pt idx="17">
                  <c:v>3.1750000000000002E-4</c:v>
                </c:pt>
                <c:pt idx="18">
                  <c:v>7.3359999999999996E-3</c:v>
                </c:pt>
                <c:pt idx="19">
                  <c:v>1.1124999999999999E-2</c:v>
                </c:pt>
                <c:pt idx="20">
                  <c:v>1.5989E-2</c:v>
                </c:pt>
                <c:pt idx="21">
                  <c:v>2.1892999999999999E-2</c:v>
                </c:pt>
                <c:pt idx="22">
                  <c:v>2.8590999999999998E-2</c:v>
                </c:pt>
                <c:pt idx="23">
                  <c:v>3.5165000000000002E-2</c:v>
                </c:pt>
                <c:pt idx="24">
                  <c:v>2.7507E-2</c:v>
                </c:pt>
                <c:pt idx="25">
                  <c:v>2.1121999999999998E-2</c:v>
                </c:pt>
                <c:pt idx="26">
                  <c:v>1.5965E-2</c:v>
                </c:pt>
                <c:pt idx="27">
                  <c:v>4.3797999999999997E-3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2.5337E-9</c:v>
                </c:pt>
                <c:pt idx="1">
                  <c:v>8.7521E-9</c:v>
                </c:pt>
                <c:pt idx="2">
                  <c:v>2.1410000000000001E-8</c:v>
                </c:pt>
                <c:pt idx="3">
                  <c:v>3.5043999999999999E-8</c:v>
                </c:pt>
                <c:pt idx="4">
                  <c:v>4.0088000000000001E-8</c:v>
                </c:pt>
                <c:pt idx="5">
                  <c:v>2.18E-8</c:v>
                </c:pt>
                <c:pt idx="6">
                  <c:v>2.0435000000000001E-8</c:v>
                </c:pt>
                <c:pt idx="7">
                  <c:v>1.9989999999999999E-8</c:v>
                </c:pt>
                <c:pt idx="8">
                  <c:v>1.9168E-8</c:v>
                </c:pt>
                <c:pt idx="9">
                  <c:v>1.8243E-8</c:v>
                </c:pt>
                <c:pt idx="10">
                  <c:v>1.6292999999999999E-8</c:v>
                </c:pt>
                <c:pt idx="11">
                  <c:v>1.3986E-8</c:v>
                </c:pt>
                <c:pt idx="12">
                  <c:v>1.1771E-8</c:v>
                </c:pt>
                <c:pt idx="13">
                  <c:v>9.8201E-9</c:v>
                </c:pt>
                <c:pt idx="14">
                  <c:v>8.1651999999999999E-9</c:v>
                </c:pt>
                <c:pt idx="15">
                  <c:v>6.7876E-9</c:v>
                </c:pt>
                <c:pt idx="16">
                  <c:v>5.6655000000000003E-9</c:v>
                </c:pt>
                <c:pt idx="17">
                  <c:v>4.8032999999999997E-9</c:v>
                </c:pt>
                <c:pt idx="18">
                  <c:v>2.7602E-9</c:v>
                </c:pt>
                <c:pt idx="19">
                  <c:v>2.3245E-9</c:v>
                </c:pt>
                <c:pt idx="20">
                  <c:v>1.9566E-9</c:v>
                </c:pt>
                <c:pt idx="21">
                  <c:v>1.6493000000000001E-9</c:v>
                </c:pt>
                <c:pt idx="22">
                  <c:v>1.3927E-9</c:v>
                </c:pt>
                <c:pt idx="23">
                  <c:v>1.179E-9</c:v>
                </c:pt>
                <c:pt idx="24">
                  <c:v>1.0190000000000001E-9</c:v>
                </c:pt>
                <c:pt idx="25">
                  <c:v>8.6608999999999995E-10</c:v>
                </c:pt>
                <c:pt idx="26">
                  <c:v>7.3197999999999999E-10</c:v>
                </c:pt>
                <c:pt idx="27">
                  <c:v>3.7200000000000001E-10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(1)Se[a]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5.8400000000000005E-10</c:v>
                </c:pt>
                <c:pt idx="1">
                  <c:v>2.3464000000000001E-9</c:v>
                </c:pt>
                <c:pt idx="2">
                  <c:v>6.5551000000000002E-9</c:v>
                </c:pt>
                <c:pt idx="3">
                  <c:v>1.2069E-8</c:v>
                </c:pt>
                <c:pt idx="4">
                  <c:v>1.5332000000000001E-8</c:v>
                </c:pt>
                <c:pt idx="5">
                  <c:v>1.1541000000000001E-8</c:v>
                </c:pt>
                <c:pt idx="6">
                  <c:v>1.153E-8</c:v>
                </c:pt>
                <c:pt idx="7">
                  <c:v>1.1954000000000001E-8</c:v>
                </c:pt>
                <c:pt idx="8">
                  <c:v>1.2058E-8</c:v>
                </c:pt>
                <c:pt idx="9">
                  <c:v>1.1358999999999999E-8</c:v>
                </c:pt>
                <c:pt idx="10">
                  <c:v>1.0034000000000001E-8</c:v>
                </c:pt>
                <c:pt idx="11">
                  <c:v>8.5150000000000005E-9</c:v>
                </c:pt>
                <c:pt idx="12">
                  <c:v>7.0818999999999997E-9</c:v>
                </c:pt>
                <c:pt idx="13">
                  <c:v>5.8369999999999996E-9</c:v>
                </c:pt>
                <c:pt idx="14">
                  <c:v>4.7939999999999998E-9</c:v>
                </c:pt>
                <c:pt idx="15">
                  <c:v>3.9361000000000001E-9</c:v>
                </c:pt>
                <c:pt idx="16">
                  <c:v>3.2447999999999998E-9</c:v>
                </c:pt>
                <c:pt idx="17">
                  <c:v>2.717E-9</c:v>
                </c:pt>
                <c:pt idx="18">
                  <c:v>1.4865E-9</c:v>
                </c:pt>
                <c:pt idx="19">
                  <c:v>1.2368999999999999E-9</c:v>
                </c:pt>
                <c:pt idx="20">
                  <c:v>1.0288E-9</c:v>
                </c:pt>
                <c:pt idx="21">
                  <c:v>8.5701000000000002E-10</c:v>
                </c:pt>
                <c:pt idx="22">
                  <c:v>7.1524999999999999E-10</c:v>
                </c:pt>
                <c:pt idx="23">
                  <c:v>5.9853E-10</c:v>
                </c:pt>
                <c:pt idx="24">
                  <c:v>5.1136999999999996E-10</c:v>
                </c:pt>
                <c:pt idx="25">
                  <c:v>4.2971000000000001E-10</c:v>
                </c:pt>
                <c:pt idx="26">
                  <c:v>3.5909E-10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2.1339000000000002E-3</c:v>
                </c:pt>
                <c:pt idx="1">
                  <c:v>9.3252000000000005E-3</c:v>
                </c:pt>
                <c:pt idx="2">
                  <c:v>2.9215000000000001E-2</c:v>
                </c:pt>
                <c:pt idx="3">
                  <c:v>6.1720999999999998E-2</c:v>
                </c:pt>
                <c:pt idx="4">
                  <c:v>9.1555999999999998E-2</c:v>
                </c:pt>
                <c:pt idx="5">
                  <c:v>0.14207</c:v>
                </c:pt>
                <c:pt idx="6">
                  <c:v>0.17254</c:v>
                </c:pt>
                <c:pt idx="7">
                  <c:v>0.21812000000000001</c:v>
                </c:pt>
                <c:pt idx="8">
                  <c:v>0.26878000000000002</c:v>
                </c:pt>
                <c:pt idx="9">
                  <c:v>0.30970999999999999</c:v>
                </c:pt>
                <c:pt idx="10">
                  <c:v>0.33485999999999999</c:v>
                </c:pt>
                <c:pt idx="11">
                  <c:v>0.34788000000000002</c:v>
                </c:pt>
                <c:pt idx="12">
                  <c:v>0.35415000000000002</c:v>
                </c:pt>
                <c:pt idx="13">
                  <c:v>0.35713</c:v>
                </c:pt>
                <c:pt idx="14">
                  <c:v>0.35861999999999999</c:v>
                </c:pt>
                <c:pt idx="15">
                  <c:v>0.35970999999999997</c:v>
                </c:pt>
                <c:pt idx="16">
                  <c:v>0.3619</c:v>
                </c:pt>
                <c:pt idx="17">
                  <c:v>0.36943999999999999</c:v>
                </c:pt>
                <c:pt idx="18">
                  <c:v>0.44120999999999999</c:v>
                </c:pt>
                <c:pt idx="19">
                  <c:v>0.44485000000000002</c:v>
                </c:pt>
                <c:pt idx="20">
                  <c:v>0.44778000000000001</c:v>
                </c:pt>
                <c:pt idx="21">
                  <c:v>0.45088</c:v>
                </c:pt>
                <c:pt idx="22">
                  <c:v>0.45427000000000001</c:v>
                </c:pt>
                <c:pt idx="23">
                  <c:v>0.45835999999999999</c:v>
                </c:pt>
                <c:pt idx="24">
                  <c:v>0.47164</c:v>
                </c:pt>
                <c:pt idx="25">
                  <c:v>0.47675000000000001</c:v>
                </c:pt>
                <c:pt idx="26">
                  <c:v>0.47871000000000002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6.4788000000000002E-12</c:v>
                </c:pt>
                <c:pt idx="1">
                  <c:v>3.6438999999999997E-11</c:v>
                </c:pt>
                <c:pt idx="2">
                  <c:v>1.3745E-10</c:v>
                </c:pt>
                <c:pt idx="3">
                  <c:v>3.3158000000000001E-10</c:v>
                </c:pt>
                <c:pt idx="4">
                  <c:v>5.3816000000000003E-10</c:v>
                </c:pt>
                <c:pt idx="5">
                  <c:v>8.9524999999999998E-10</c:v>
                </c:pt>
                <c:pt idx="6">
                  <c:v>1.0527000000000001E-9</c:v>
                </c:pt>
                <c:pt idx="7">
                  <c:v>1.2709E-9</c:v>
                </c:pt>
                <c:pt idx="8">
                  <c:v>1.4783E-9</c:v>
                </c:pt>
                <c:pt idx="9">
                  <c:v>1.5923E-9</c:v>
                </c:pt>
                <c:pt idx="10">
                  <c:v>1.5959E-9</c:v>
                </c:pt>
                <c:pt idx="11">
                  <c:v>1.5259000000000001E-9</c:v>
                </c:pt>
                <c:pt idx="12">
                  <c:v>1.421E-9</c:v>
                </c:pt>
                <c:pt idx="13">
                  <c:v>1.3038E-9</c:v>
                </c:pt>
                <c:pt idx="14">
                  <c:v>1.1859E-9</c:v>
                </c:pt>
                <c:pt idx="15">
                  <c:v>1.0730999999999999E-9</c:v>
                </c:pt>
                <c:pt idx="16">
                  <c:v>9.7069999999999997E-10</c:v>
                </c:pt>
                <c:pt idx="17">
                  <c:v>8.8829000000000004E-10</c:v>
                </c:pt>
                <c:pt idx="18">
                  <c:v>6.6946999999999996E-10</c:v>
                </c:pt>
                <c:pt idx="19">
                  <c:v>5.9896999999999995E-10</c:v>
                </c:pt>
                <c:pt idx="20">
                  <c:v>5.3429000000000002E-10</c:v>
                </c:pt>
                <c:pt idx="21">
                  <c:v>4.7617000000000002E-10</c:v>
                </c:pt>
                <c:pt idx="22">
                  <c:v>4.2419000000000001E-10</c:v>
                </c:pt>
                <c:pt idx="23">
                  <c:v>3.7808E-10</c:v>
                </c:pt>
                <c:pt idx="24">
                  <c:v>3.4335000000000001E-10</c:v>
                </c:pt>
                <c:pt idx="25">
                  <c:v>3.0610000000000001E-10</c:v>
                </c:pt>
                <c:pt idx="26">
                  <c:v>2.7088999999999998E-10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(1)Ge[c]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4.5409000000000001E-7</c:v>
                </c:pt>
                <c:pt idx="1">
                  <c:v>1.1596000000000001E-6</c:v>
                </c:pt>
                <c:pt idx="2">
                  <c:v>3.6376000000000001E-6</c:v>
                </c:pt>
                <c:pt idx="3">
                  <c:v>1.4951E-5</c:v>
                </c:pt>
                <c:pt idx="4">
                  <c:v>6.8635999999999998E-5</c:v>
                </c:pt>
                <c:pt idx="5">
                  <c:v>1.1455999999999999E-2</c:v>
                </c:pt>
                <c:pt idx="6">
                  <c:v>2.6453999999999998E-2</c:v>
                </c:pt>
                <c:pt idx="7">
                  <c:v>4.9137E-2</c:v>
                </c:pt>
                <c:pt idx="8">
                  <c:v>7.4415999999999996E-2</c:v>
                </c:pt>
                <c:pt idx="9">
                  <c:v>9.4864000000000004E-2</c:v>
                </c:pt>
                <c:pt idx="10">
                  <c:v>0.10743</c:v>
                </c:pt>
                <c:pt idx="11">
                  <c:v>0.11394</c:v>
                </c:pt>
                <c:pt idx="12">
                  <c:v>0.11706999999999999</c:v>
                </c:pt>
                <c:pt idx="13">
                  <c:v>0.11856</c:v>
                </c:pt>
                <c:pt idx="14">
                  <c:v>0.11927</c:v>
                </c:pt>
                <c:pt idx="15">
                  <c:v>0.11962</c:v>
                </c:pt>
                <c:pt idx="16">
                  <c:v>0.1198</c:v>
                </c:pt>
                <c:pt idx="17">
                  <c:v>0.11989</c:v>
                </c:pt>
                <c:pt idx="18">
                  <c:v>0.11999</c:v>
                </c:pt>
                <c:pt idx="19">
                  <c:v>0.11999</c:v>
                </c:pt>
                <c:pt idx="20">
                  <c:v>0.11999</c:v>
                </c:pt>
                <c:pt idx="21">
                  <c:v>0.12</c:v>
                </c:pt>
                <c:pt idx="22">
                  <c:v>0.12</c:v>
                </c:pt>
                <c:pt idx="23">
                  <c:v>0.11996999999999999</c:v>
                </c:pt>
                <c:pt idx="24">
                  <c:v>0.11926</c:v>
                </c:pt>
                <c:pt idx="25">
                  <c:v>0.11877</c:v>
                </c:pt>
                <c:pt idx="26">
                  <c:v>0.11837</c:v>
                </c:pt>
                <c:pt idx="27">
                  <c:v>0.11694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ALL!$F$23:$AL$23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2.9604E-33</c:v>
                </c:pt>
                <c:pt idx="19">
                  <c:v>3.7014000000000003E-26</c:v>
                </c:pt>
                <c:pt idx="20">
                  <c:v>2.1821E-19</c:v>
                </c:pt>
                <c:pt idx="21">
                  <c:v>3.8508999999999998E-13</c:v>
                </c:pt>
                <c:pt idx="22">
                  <c:v>5.2928000000000003E-8</c:v>
                </c:pt>
                <c:pt idx="23">
                  <c:v>1.5735E-3</c:v>
                </c:pt>
                <c:pt idx="24">
                  <c:v>3.5756999999999997E-2</c:v>
                </c:pt>
                <c:pt idx="25">
                  <c:v>5.2352000000000003E-2</c:v>
                </c:pt>
                <c:pt idx="26">
                  <c:v>6.1423999999999999E-2</c:v>
                </c:pt>
                <c:pt idx="27">
                  <c:v>7.5535000000000005E-2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ALL!$F$24:$AL$24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6.6405999999999999E-34</c:v>
                </c:pt>
                <c:pt idx="19">
                  <c:v>5.4394E-27</c:v>
                </c:pt>
                <c:pt idx="20">
                  <c:v>2.1702999999999999E-20</c:v>
                </c:pt>
                <c:pt idx="21">
                  <c:v>2.6639000000000001E-14</c:v>
                </c:pt>
                <c:pt idx="22">
                  <c:v>2.6133000000000001E-9</c:v>
                </c:pt>
                <c:pt idx="23">
                  <c:v>5.7606999999999999E-5</c:v>
                </c:pt>
                <c:pt idx="24">
                  <c:v>1.4848999999999999E-3</c:v>
                </c:pt>
                <c:pt idx="25">
                  <c:v>2.4618999999999999E-3</c:v>
                </c:pt>
                <c:pt idx="26">
                  <c:v>3.2528000000000001E-3</c:v>
                </c:pt>
                <c:pt idx="27">
                  <c:v>6.1139000000000002E-3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1.8093999999999999E-2</c:v>
                      </c:pt>
                      <c:pt idx="1">
                        <c:v>1.7804E-2</c:v>
                      </c:pt>
                      <c:pt idx="2">
                        <c:v>1.7049999999999999E-2</c:v>
                      </c:pt>
                      <c:pt idx="3">
                        <c:v>1.5945000000000001E-2</c:v>
                      </c:pt>
                      <c:pt idx="4">
                        <c:v>1.5049999999999999E-2</c:v>
                      </c:pt>
                      <c:pt idx="5">
                        <c:v>1.3743999999999999E-2</c:v>
                      </c:pt>
                      <c:pt idx="6">
                        <c:v>1.306E-2</c:v>
                      </c:pt>
                      <c:pt idx="7">
                        <c:v>1.2156E-2</c:v>
                      </c:pt>
                      <c:pt idx="8">
                        <c:v>1.1287E-2</c:v>
                      </c:pt>
                      <c:pt idx="9">
                        <c:v>1.0671E-2</c:v>
                      </c:pt>
                      <c:pt idx="10">
                        <c:v>1.0324E-2</c:v>
                      </c:pt>
                      <c:pt idx="11">
                        <c:v>1.0154E-2</c:v>
                      </c:pt>
                      <c:pt idx="12">
                        <c:v>1.0073E-2</c:v>
                      </c:pt>
                      <c:pt idx="13">
                        <c:v>1.0034E-2</c:v>
                      </c:pt>
                      <c:pt idx="14">
                        <c:v>1.0005999999999999E-2</c:v>
                      </c:pt>
                      <c:pt idx="15">
                        <c:v>9.9433999999999998E-3</c:v>
                      </c:pt>
                      <c:pt idx="16">
                        <c:v>9.6798000000000006E-3</c:v>
                      </c:pt>
                      <c:pt idx="17">
                        <c:v>8.6563000000000005E-3</c:v>
                      </c:pt>
                      <c:pt idx="18">
                        <c:v>2.6289E-4</c:v>
                      </c:pt>
                      <c:pt idx="19">
                        <c:v>7.4824000000000001E-5</c:v>
                      </c:pt>
                      <c:pt idx="20">
                        <c:v>2.1580999999999999E-5</c:v>
                      </c:pt>
                      <c:pt idx="21">
                        <c:v>6.3327999999999997E-6</c:v>
                      </c:pt>
                      <c:pt idx="22">
                        <c:v>1.8872999999999999E-6</c:v>
                      </c:pt>
                      <c:pt idx="23">
                        <c:v>5.5927999999999996E-7</c:v>
                      </c:pt>
                      <c:pt idx="24">
                        <c:v>8.7534999999999996E-8</c:v>
                      </c:pt>
                      <c:pt idx="25">
                        <c:v>1.3694E-8</c:v>
                      </c:pt>
                      <c:pt idx="26">
                        <c:v>2.2223000000000001E-9</c:v>
                      </c:pt>
                      <c:pt idx="27">
                        <c:v>2.4674000000000002E-12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1.7552999999999999E-34</c:v>
                      </c:pt>
                      <c:pt idx="7">
                        <c:v>5.9637999999999997E-32</c:v>
                      </c:pt>
                      <c:pt idx="8">
                        <c:v>1.3317E-29</c:v>
                      </c:pt>
                      <c:pt idx="9">
                        <c:v>2.1693E-27</c:v>
                      </c:pt>
                      <c:pt idx="10">
                        <c:v>2.6676999999999999E-25</c:v>
                      </c:pt>
                      <c:pt idx="11">
                        <c:v>2.4886000000000001E-23</c:v>
                      </c:pt>
                      <c:pt idx="12">
                        <c:v>1.7740000000000002E-21</c:v>
                      </c:pt>
                      <c:pt idx="13">
                        <c:v>9.8104000000000004E-20</c:v>
                      </c:pt>
                      <c:pt idx="14">
                        <c:v>4.2854000000000003E-18</c:v>
                      </c:pt>
                      <c:pt idx="15">
                        <c:v>1.5015000000000001E-16</c:v>
                      </c:pt>
                      <c:pt idx="16">
                        <c:v>4.2180000000000003E-15</c:v>
                      </c:pt>
                      <c:pt idx="17">
                        <c:v>8.9942999999999996E-14</c:v>
                      </c:pt>
                      <c:pt idx="18">
                        <c:v>1.8166E-10</c:v>
                      </c:pt>
                      <c:pt idx="19">
                        <c:v>6.1698999999999995E-10</c:v>
                      </c:pt>
                      <c:pt idx="20">
                        <c:v>1.9062999999999999E-9</c:v>
                      </c:pt>
                      <c:pt idx="21">
                        <c:v>5.4154999999999998E-9</c:v>
                      </c:pt>
                      <c:pt idx="22">
                        <c:v>1.4215E-8</c:v>
                      </c:pt>
                      <c:pt idx="23">
                        <c:v>3.3835999999999999E-8</c:v>
                      </c:pt>
                      <c:pt idx="24">
                        <c:v>3.6131000000000001E-8</c:v>
                      </c:pt>
                      <c:pt idx="25">
                        <c:v>3.7158000000000001E-8</c:v>
                      </c:pt>
                      <c:pt idx="26">
                        <c:v>3.7517999999999999E-8</c:v>
                      </c:pt>
                      <c:pt idx="27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7.4216000000000001E-36</c:v>
                      </c:pt>
                      <c:pt idx="8">
                        <c:v>1.2279E-33</c:v>
                      </c:pt>
                      <c:pt idx="9">
                        <c:v>1.4772000000000001E-31</c:v>
                      </c:pt>
                      <c:pt idx="10">
                        <c:v>1.3357000000000001E-29</c:v>
                      </c:pt>
                      <c:pt idx="11">
                        <c:v>9.1925000000000003E-28</c:v>
                      </c:pt>
                      <c:pt idx="12">
                        <c:v>4.8815000000000001E-26</c:v>
                      </c:pt>
                      <c:pt idx="13">
                        <c:v>2.0363E-24</c:v>
                      </c:pt>
                      <c:pt idx="14">
                        <c:v>6.8009999999999997E-23</c:v>
                      </c:pt>
                      <c:pt idx="15">
                        <c:v>1.8494000000000001E-21</c:v>
                      </c:pt>
                      <c:pt idx="16">
                        <c:v>4.1246999999999999E-20</c:v>
                      </c:pt>
                      <c:pt idx="17">
                        <c:v>7.3727999999999996E-19</c:v>
                      </c:pt>
                      <c:pt idx="18">
                        <c:v>3.723E-15</c:v>
                      </c:pt>
                      <c:pt idx="19">
                        <c:v>1.9612000000000001E-14</c:v>
                      </c:pt>
                      <c:pt idx="20">
                        <c:v>9.3993000000000001E-14</c:v>
                      </c:pt>
                      <c:pt idx="21">
                        <c:v>4.132E-13</c:v>
                      </c:pt>
                      <c:pt idx="22">
                        <c:v>1.6752999999999999E-12</c:v>
                      </c:pt>
                      <c:pt idx="23">
                        <c:v>6.2173999999999997E-12</c:v>
                      </c:pt>
                      <c:pt idx="24">
                        <c:v>1.4609999999999999E-11</c:v>
                      </c:pt>
                      <c:pt idx="25">
                        <c:v>3.2901E-11</c:v>
                      </c:pt>
                      <c:pt idx="26">
                        <c:v>7.1446000000000001E-11</c:v>
                      </c:pt>
                      <c:pt idx="27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-18.71</c:v>
                      </c:pt>
                      <c:pt idx="1">
                        <c:v>-18.7</c:v>
                      </c:pt>
                      <c:pt idx="2">
                        <c:v>-18.7</c:v>
                      </c:pt>
                      <c:pt idx="3">
                        <c:v>-18.7</c:v>
                      </c:pt>
                      <c:pt idx="4">
                        <c:v>-18.72</c:v>
                      </c:pt>
                      <c:pt idx="5">
                        <c:v>-18.829999999999998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-18.940000000000001</c:v>
                      </c:pt>
                      <c:pt idx="9">
                        <c:v>-18.98</c:v>
                      </c:pt>
                      <c:pt idx="10">
                        <c:v>-19.02</c:v>
                      </c:pt>
                      <c:pt idx="11">
                        <c:v>-19.059999999999999</c:v>
                      </c:pt>
                      <c:pt idx="12">
                        <c:v>-19.100000000000001</c:v>
                      </c:pt>
                      <c:pt idx="13">
                        <c:v>-19.14</c:v>
                      </c:pt>
                      <c:pt idx="14">
                        <c:v>-19.18</c:v>
                      </c:pt>
                      <c:pt idx="15">
                        <c:v>-19.23</c:v>
                      </c:pt>
                      <c:pt idx="16">
                        <c:v>-19.27</c:v>
                      </c:pt>
                      <c:pt idx="17">
                        <c:v>-19.3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-19.62</c:v>
                      </c:pt>
                      <c:pt idx="24">
                        <c:v>-19.66</c:v>
                      </c:pt>
                      <c:pt idx="25">
                        <c:v>-19.7</c:v>
                      </c:pt>
                      <c:pt idx="26">
                        <c:v>-19.739999999999998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-66.75</c:v>
                      </c:pt>
                      <c:pt idx="1">
                        <c:v>-62.38</c:v>
                      </c:pt>
                      <c:pt idx="2">
                        <c:v>-58.23</c:v>
                      </c:pt>
                      <c:pt idx="3">
                        <c:v>-54.11</c:v>
                      </c:pt>
                      <c:pt idx="4">
                        <c:v>-50.02</c:v>
                      </c:pt>
                      <c:pt idx="5">
                        <c:v>-36.159999999999997</c:v>
                      </c:pt>
                      <c:pt idx="6">
                        <c:v>-33.5</c:v>
                      </c:pt>
                      <c:pt idx="7">
                        <c:v>-31.09</c:v>
                      </c:pt>
                      <c:pt idx="8">
                        <c:v>-28.84</c:v>
                      </c:pt>
                      <c:pt idx="9">
                        <c:v>-26.68</c:v>
                      </c:pt>
                      <c:pt idx="10">
                        <c:v>-24.62</c:v>
                      </c:pt>
                      <c:pt idx="11">
                        <c:v>-22.66</c:v>
                      </c:pt>
                      <c:pt idx="12">
                        <c:v>-20.81</c:v>
                      </c:pt>
                      <c:pt idx="13">
                        <c:v>-19.059999999999999</c:v>
                      </c:pt>
                      <c:pt idx="14">
                        <c:v>-17.399999999999999</c:v>
                      </c:pt>
                      <c:pt idx="15">
                        <c:v>-15.83</c:v>
                      </c:pt>
                      <c:pt idx="16">
                        <c:v>-14.36</c:v>
                      </c:pt>
                      <c:pt idx="17">
                        <c:v>-13.01</c:v>
                      </c:pt>
                      <c:pt idx="18">
                        <c:v>-9.8030000000000008</c:v>
                      </c:pt>
                      <c:pt idx="19">
                        <c:v>-9.3119999999999994</c:v>
                      </c:pt>
                      <c:pt idx="20">
                        <c:v>-8.8580000000000005</c:v>
                      </c:pt>
                      <c:pt idx="21">
                        <c:v>-8.4390000000000001</c:v>
                      </c:pt>
                      <c:pt idx="22">
                        <c:v>-8.0500000000000007</c:v>
                      </c:pt>
                      <c:pt idx="23">
                        <c:v>-7.7050000000000001</c:v>
                      </c:pt>
                      <c:pt idx="24">
                        <c:v>-7.774</c:v>
                      </c:pt>
                      <c:pt idx="25">
                        <c:v>-7.8449999999999998</c:v>
                      </c:pt>
                      <c:pt idx="26">
                        <c:v>-7.915</c:v>
                      </c:pt>
                      <c:pt idx="27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-17.02</c:v>
                      </c:pt>
                      <c:pt idx="1">
                        <c:v>-16.100000000000001</c:v>
                      </c:pt>
                      <c:pt idx="2">
                        <c:v>-15.04</c:v>
                      </c:pt>
                      <c:pt idx="3">
                        <c:v>-13.75</c:v>
                      </c:pt>
                      <c:pt idx="4">
                        <c:v>-12.33</c:v>
                      </c:pt>
                      <c:pt idx="5">
                        <c:v>-7.4930000000000003</c:v>
                      </c:pt>
                      <c:pt idx="6">
                        <c:v>-6.7720000000000002</c:v>
                      </c:pt>
                      <c:pt idx="7">
                        <c:v>-6.2990000000000004</c:v>
                      </c:pt>
                      <c:pt idx="8">
                        <c:v>-6.0309999999999997</c:v>
                      </c:pt>
                      <c:pt idx="9">
                        <c:v>-5.9109999999999996</c:v>
                      </c:pt>
                      <c:pt idx="10">
                        <c:v>-5.8780000000000001</c:v>
                      </c:pt>
                      <c:pt idx="11">
                        <c:v>-5.89</c:v>
                      </c:pt>
                      <c:pt idx="12">
                        <c:v>-5.923</c:v>
                      </c:pt>
                      <c:pt idx="13">
                        <c:v>-5.9649999999999999</c:v>
                      </c:pt>
                      <c:pt idx="14">
                        <c:v>-6.0110000000000001</c:v>
                      </c:pt>
                      <c:pt idx="15">
                        <c:v>-6.06</c:v>
                      </c:pt>
                      <c:pt idx="16">
                        <c:v>-6.1130000000000004</c:v>
                      </c:pt>
                      <c:pt idx="17">
                        <c:v>-6.1749999999999998</c:v>
                      </c:pt>
                      <c:pt idx="18">
                        <c:v>-6.4939999999999998</c:v>
                      </c:pt>
                      <c:pt idx="19">
                        <c:v>-6.55</c:v>
                      </c:pt>
                      <c:pt idx="20">
                        <c:v>-6.6059999999999999</c:v>
                      </c:pt>
                      <c:pt idx="21">
                        <c:v>-6.6609999999999996</c:v>
                      </c:pt>
                      <c:pt idx="22">
                        <c:v>-6.718</c:v>
                      </c:pt>
                      <c:pt idx="23">
                        <c:v>-6.7729999999999997</c:v>
                      </c:pt>
                      <c:pt idx="24">
                        <c:v>-6.8140000000000001</c:v>
                      </c:pt>
                      <c:pt idx="25">
                        <c:v>-6.8540000000000001</c:v>
                      </c:pt>
                      <c:pt idx="26">
                        <c:v>-6.8940000000000001</c:v>
                      </c:pt>
                      <c:pt idx="27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-22.33</c:v>
                      </c:pt>
                      <c:pt idx="2">
                        <c:v>-21.52</c:v>
                      </c:pt>
                      <c:pt idx="3">
                        <c:v>-21.15</c:v>
                      </c:pt>
                      <c:pt idx="4">
                        <c:v>-21.13</c:v>
                      </c:pt>
                      <c:pt idx="5">
                        <c:v>-22.02</c:v>
                      </c:pt>
                      <c:pt idx="6">
                        <c:v>-22.21</c:v>
                      </c:pt>
                      <c:pt idx="7">
                        <c:v>-22.38</c:v>
                      </c:pt>
                      <c:pt idx="8">
                        <c:v>-22.58</c:v>
                      </c:pt>
                      <c:pt idx="9">
                        <c:v>-22.81</c:v>
                      </c:pt>
                      <c:pt idx="10">
                        <c:v>-23.08</c:v>
                      </c:pt>
                      <c:pt idx="11">
                        <c:v>-23.36</c:v>
                      </c:pt>
                      <c:pt idx="12">
                        <c:v>-23.65</c:v>
                      </c:pt>
                      <c:pt idx="13">
                        <c:v>-23.94</c:v>
                      </c:pt>
                      <c:pt idx="14">
                        <c:v>-24.22</c:v>
                      </c:pt>
                      <c:pt idx="15">
                        <c:v>-24.51</c:v>
                      </c:pt>
                      <c:pt idx="16">
                        <c:v>-24.79</c:v>
                      </c:pt>
                      <c:pt idx="17">
                        <c:v>-25.06</c:v>
                      </c:pt>
                      <c:pt idx="18">
                        <c:v>-26.1</c:v>
                      </c:pt>
                      <c:pt idx="19">
                        <c:v>-26.36</c:v>
                      </c:pt>
                      <c:pt idx="20">
                        <c:v>-26.63</c:v>
                      </c:pt>
                      <c:pt idx="21">
                        <c:v>-26.89</c:v>
                      </c:pt>
                      <c:pt idx="22">
                        <c:v>-27.15</c:v>
                      </c:pt>
                      <c:pt idx="23">
                        <c:v>-27.4</c:v>
                      </c:pt>
                      <c:pt idx="24">
                        <c:v>-27.61</c:v>
                      </c:pt>
                      <c:pt idx="25">
                        <c:v>-27.84</c:v>
                      </c:pt>
                      <c:pt idx="26">
                        <c:v>-28.08</c:v>
                      </c:pt>
                      <c:pt idx="27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-9.9123185284000037</c:v>
                </c:pt>
                <c:pt idx="1">
                  <c:v>-26.592367341199999</c:v>
                </c:pt>
                <c:pt idx="2">
                  <c:v>-45.413844729750004</c:v>
                </c:pt>
                <c:pt idx="3">
                  <c:v>-65.900954484720003</c:v>
                </c:pt>
                <c:pt idx="4">
                  <c:v>-87.763889886200005</c:v>
                </c:pt>
                <c:pt idx="5">
                  <c:v>-110.82023174650001</c:v>
                </c:pt>
                <c:pt idx="6">
                  <c:v>-135.02988483055003</c:v>
                </c:pt>
                <c:pt idx="7">
                  <c:v>-160.39111999949998</c:v>
                </c:pt>
                <c:pt idx="8">
                  <c:v>-186.80768499840005</c:v>
                </c:pt>
                <c:pt idx="9">
                  <c:v>-214.6166455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2-4069-8B7D-46697EC8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59448089071"/>
          <c:h val="0.80009272463502523"/>
        </c:manualLayout>
      </c:layout>
      <c:scatterChart>
        <c:scatterStyle val="smoothMarker"/>
        <c:varyColors val="0"/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4.5515999999999997E-18</c:v>
                </c:pt>
                <c:pt idx="2">
                  <c:v>1.1457000000000001E-13</c:v>
                </c:pt>
                <c:pt idx="3">
                  <c:v>9.9512000000000005E-11</c:v>
                </c:pt>
                <c:pt idx="4">
                  <c:v>1.2369E-8</c:v>
                </c:pt>
                <c:pt idx="5">
                  <c:v>4.6673E-7</c:v>
                </c:pt>
                <c:pt idx="6">
                  <c:v>7.8967000000000001E-6</c:v>
                </c:pt>
                <c:pt idx="7">
                  <c:v>7.2719999999999995E-5</c:v>
                </c:pt>
                <c:pt idx="8">
                  <c:v>4.1031999999999999E-4</c:v>
                </c:pt>
                <c:pt idx="9">
                  <c:v>1.4090000000000001E-3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96-4DE2-99DA-C7F0C20F8110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9.2949999999999999E-17</c:v>
                </c:pt>
                <c:pt idx="2">
                  <c:v>7.6946999999999995E-13</c:v>
                </c:pt>
                <c:pt idx="3">
                  <c:v>2.9715999999999999E-10</c:v>
                </c:pt>
                <c:pt idx="4">
                  <c:v>1.9913999999999999E-8</c:v>
                </c:pt>
                <c:pt idx="5">
                  <c:v>4.6399000000000001E-7</c:v>
                </c:pt>
                <c:pt idx="6">
                  <c:v>5.3253999999999999E-6</c:v>
                </c:pt>
                <c:pt idx="7">
                  <c:v>3.5135000000000002E-5</c:v>
                </c:pt>
                <c:pt idx="8">
                  <c:v>1.4407999999999999E-4</c:v>
                </c:pt>
                <c:pt idx="9">
                  <c:v>3.4330999999999999E-4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96-4DE2-99DA-C7F0C20F8110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8.2633999999999998E-20</c:v>
                </c:pt>
                <c:pt idx="1">
                  <c:v>7.1755000000000006E-14</c:v>
                </c:pt>
                <c:pt idx="2">
                  <c:v>2.4208999999999999E-10</c:v>
                </c:pt>
                <c:pt idx="3">
                  <c:v>4.8461E-8</c:v>
                </c:pt>
                <c:pt idx="4">
                  <c:v>1.9645999999999998E-6</c:v>
                </c:pt>
                <c:pt idx="5">
                  <c:v>3.0911999999999998E-5</c:v>
                </c:pt>
                <c:pt idx="6">
                  <c:v>2.5855000000000002E-4</c:v>
                </c:pt>
                <c:pt idx="7">
                  <c:v>1.2959E-3</c:v>
                </c:pt>
                <c:pt idx="8">
                  <c:v>4.0553999999999998E-3</c:v>
                </c:pt>
                <c:pt idx="9">
                  <c:v>6.9873000000000001E-3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96-4DE2-99DA-C7F0C20F8110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2.8145000000000002E-12</c:v>
                </c:pt>
                <c:pt idx="2">
                  <c:v>2.1021E-9</c:v>
                </c:pt>
                <c:pt idx="3">
                  <c:v>1.4306000000000001E-7</c:v>
                </c:pt>
                <c:pt idx="4">
                  <c:v>2.576E-6</c:v>
                </c:pt>
                <c:pt idx="5">
                  <c:v>2.1617E-5</c:v>
                </c:pt>
                <c:pt idx="6">
                  <c:v>1.0938E-4</c:v>
                </c:pt>
                <c:pt idx="7">
                  <c:v>3.5818999999999998E-4</c:v>
                </c:pt>
                <c:pt idx="8">
                  <c:v>7.5535000000000001E-4</c:v>
                </c:pt>
                <c:pt idx="9">
                  <c:v>8.4774000000000004E-4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696-4DE2-99DA-C7F0C20F8110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4.5969000000000003E-13</c:v>
                </c:pt>
                <c:pt idx="2">
                  <c:v>4.7612000000000001E-10</c:v>
                </c:pt>
                <c:pt idx="3">
                  <c:v>3.8772999999999999E-8</c:v>
                </c:pt>
                <c:pt idx="4">
                  <c:v>7.7553000000000001E-7</c:v>
                </c:pt>
                <c:pt idx="5">
                  <c:v>6.9723000000000001E-6</c:v>
                </c:pt>
                <c:pt idx="6">
                  <c:v>3.6933E-5</c:v>
                </c:pt>
                <c:pt idx="7">
                  <c:v>1.2303999999999999E-4</c:v>
                </c:pt>
                <c:pt idx="8">
                  <c:v>2.5179E-4</c:v>
                </c:pt>
                <c:pt idx="9">
                  <c:v>2.4991E-4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696-4DE2-99DA-C7F0C20F8110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696-4DE2-99DA-C7F0C20F8110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1.3799E-14</c:v>
                </c:pt>
                <c:pt idx="2">
                  <c:v>1.8275E-11</c:v>
                </c:pt>
                <c:pt idx="3">
                  <c:v>1.6851999999999999E-9</c:v>
                </c:pt>
                <c:pt idx="4">
                  <c:v>3.5975000000000003E-8</c:v>
                </c:pt>
                <c:pt idx="5">
                  <c:v>3.3615E-7</c:v>
                </c:pt>
                <c:pt idx="6">
                  <c:v>1.8204E-6</c:v>
                </c:pt>
                <c:pt idx="7">
                  <c:v>6.0522999999999996E-6</c:v>
                </c:pt>
                <c:pt idx="8">
                  <c:v>1.1833E-5</c:v>
                </c:pt>
                <c:pt idx="9">
                  <c:v>1.025E-5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696-4DE2-99DA-C7F0C20F8110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3.2498000000000001E-14</c:v>
                </c:pt>
                <c:pt idx="2">
                  <c:v>1.4395E-10</c:v>
                </c:pt>
                <c:pt idx="3">
                  <c:v>4.0954999999999998E-8</c:v>
                </c:pt>
                <c:pt idx="4">
                  <c:v>2.3640000000000002E-6</c:v>
                </c:pt>
                <c:pt idx="5">
                  <c:v>5.1038000000000002E-5</c:v>
                </c:pt>
                <c:pt idx="6">
                  <c:v>5.6714000000000005E-4</c:v>
                </c:pt>
                <c:pt idx="7">
                  <c:v>3.8249999999999998E-3</c:v>
                </c:pt>
                <c:pt idx="8">
                  <c:v>1.7559000000000002E-2</c:v>
                </c:pt>
                <c:pt idx="9">
                  <c:v>5.6219999999999999E-2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696-4DE2-99DA-C7F0C20F8110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1.7529999999999999E-29</c:v>
                </c:pt>
                <c:pt idx="2">
                  <c:v>4.0370000000000001E-23</c:v>
                </c:pt>
                <c:pt idx="3">
                  <c:v>8.9280999999999991E-19</c:v>
                </c:pt>
                <c:pt idx="4">
                  <c:v>1.2809E-15</c:v>
                </c:pt>
                <c:pt idx="5">
                  <c:v>3.2693E-13</c:v>
                </c:pt>
                <c:pt idx="6">
                  <c:v>2.5864999999999999E-11</c:v>
                </c:pt>
                <c:pt idx="7">
                  <c:v>8.7663E-10</c:v>
                </c:pt>
                <c:pt idx="8">
                  <c:v>1.6053999999999999E-8</c:v>
                </c:pt>
                <c:pt idx="9">
                  <c:v>1.822E-7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5696-4DE2-99DA-C7F0C20F8110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2.0007000000000001E-11</c:v>
                </c:pt>
                <c:pt idx="1">
                  <c:v>6.6300000000000005E-8</c:v>
                </c:pt>
                <c:pt idx="2">
                  <c:v>8.8271000000000006E-6</c:v>
                </c:pt>
                <c:pt idx="3">
                  <c:v>2.2261000000000001E-4</c:v>
                </c:pt>
                <c:pt idx="4">
                  <c:v>2.0268999999999999E-3</c:v>
                </c:pt>
                <c:pt idx="5">
                  <c:v>8.2603999999999993E-3</c:v>
                </c:pt>
                <c:pt idx="6">
                  <c:v>1.7273E-2</c:v>
                </c:pt>
                <c:pt idx="7">
                  <c:v>2.4695000000000002E-2</c:v>
                </c:pt>
                <c:pt idx="8">
                  <c:v>2.9939E-2</c:v>
                </c:pt>
                <c:pt idx="9">
                  <c:v>3.3692E-2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696-4DE2-99DA-C7F0C20F8110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CF-4AE5-880A-63C83CDD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2.2434000000000001E-8</c:v>
                      </c:pt>
                      <c:pt idx="1">
                        <c:v>2.2944E-8</c:v>
                      </c:pt>
                      <c:pt idx="2">
                        <c:v>1.9741999999999999E-8</c:v>
                      </c:pt>
                      <c:pt idx="3">
                        <c:v>2.0131E-8</c:v>
                      </c:pt>
                      <c:pt idx="4">
                        <c:v>2.2853E-8</c:v>
                      </c:pt>
                      <c:pt idx="5">
                        <c:v>3.2886000000000001E-8</c:v>
                      </c:pt>
                      <c:pt idx="6">
                        <c:v>3.1802000000000002E-8</c:v>
                      </c:pt>
                      <c:pt idx="7">
                        <c:v>2.9719E-8</c:v>
                      </c:pt>
                      <c:pt idx="8">
                        <c:v>2.0085999999999999E-8</c:v>
                      </c:pt>
                      <c:pt idx="9">
                        <c:v>1.5793999999999999E-8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696-4DE2-99DA-C7F0C20F811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696-4DE2-99DA-C7F0C20F811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7.9981999999999998E-2</c:v>
                      </c:pt>
                      <c:pt idx="3">
                        <c:v>7.9555000000000001E-2</c:v>
                      </c:pt>
                      <c:pt idx="4">
                        <c:v>7.5946E-2</c:v>
                      </c:pt>
                      <c:pt idx="5">
                        <c:v>6.3478999999999994E-2</c:v>
                      </c:pt>
                      <c:pt idx="6">
                        <c:v>4.5453E-2</c:v>
                      </c:pt>
                      <c:pt idx="7">
                        <c:v>3.0609000000000001E-2</c:v>
                      </c:pt>
                      <c:pt idx="8">
                        <c:v>2.0122000000000001E-2</c:v>
                      </c:pt>
                      <c:pt idx="9">
                        <c:v>1.2617E-2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696-4DE2-99DA-C7F0C20F811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696-4DE2-99DA-C7F0C20F811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0.47999000000000003</c:v>
                      </c:pt>
                      <c:pt idx="3">
                        <c:v>0.47977999999999998</c:v>
                      </c:pt>
                      <c:pt idx="4">
                        <c:v>0.47793999999999998</c:v>
                      </c:pt>
                      <c:pt idx="5">
                        <c:v>0.4713</c:v>
                      </c:pt>
                      <c:pt idx="6">
                        <c:v>0.45933000000000002</c:v>
                      </c:pt>
                      <c:pt idx="7">
                        <c:v>0.43775999999999998</c:v>
                      </c:pt>
                      <c:pt idx="8">
                        <c:v>0.38646999999999998</c:v>
                      </c:pt>
                      <c:pt idx="9">
                        <c:v>0.28641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696-4DE2-99DA-C7F0C20F811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-19.100000000000001</c:v>
                      </c:pt>
                      <c:pt idx="5">
                        <c:v>-19.3</c:v>
                      </c:pt>
                      <c:pt idx="6">
                        <c:v>-19.510000000000002</c:v>
                      </c:pt>
                      <c:pt idx="7">
                        <c:v>-19.73</c:v>
                      </c:pt>
                      <c:pt idx="8">
                        <c:v>-19.97</c:v>
                      </c:pt>
                      <c:pt idx="9">
                        <c:v>-20.29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696-4DE2-99DA-C7F0C20F811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-6.97</c:v>
                      </c:pt>
                      <c:pt idx="1">
                        <c:v>-7.5640000000000001</c:v>
                      </c:pt>
                      <c:pt idx="2">
                        <c:v>-8.0820000000000007</c:v>
                      </c:pt>
                      <c:pt idx="3">
                        <c:v>-8.5380000000000003</c:v>
                      </c:pt>
                      <c:pt idx="4">
                        <c:v>-8.9749999999999996</c:v>
                      </c:pt>
                      <c:pt idx="5">
                        <c:v>-9.4849999999999994</c:v>
                      </c:pt>
                      <c:pt idx="6">
                        <c:v>-10.1</c:v>
                      </c:pt>
                      <c:pt idx="7">
                        <c:v>-10.74</c:v>
                      </c:pt>
                      <c:pt idx="8">
                        <c:v>-11.33</c:v>
                      </c:pt>
                      <c:pt idx="9">
                        <c:v>-11.86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96-4DE2-99DA-C7F0C20F811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7.3579999999999997</c:v>
                      </c:pt>
                      <c:pt idx="1">
                        <c:v>3.758</c:v>
                      </c:pt>
                      <c:pt idx="2">
                        <c:v>1.355</c:v>
                      </c:pt>
                      <c:pt idx="3">
                        <c:v>-0.39240000000000003</c:v>
                      </c:pt>
                      <c:pt idx="4">
                        <c:v>-1.7310000000000001</c:v>
                      </c:pt>
                      <c:pt idx="5">
                        <c:v>-2.7839999999999998</c:v>
                      </c:pt>
                      <c:pt idx="6">
                        <c:v>-3.6349999999999998</c:v>
                      </c:pt>
                      <c:pt idx="7">
                        <c:v>-4.3380000000000001</c:v>
                      </c:pt>
                      <c:pt idx="8">
                        <c:v>-4.8959999999999999</c:v>
                      </c:pt>
                      <c:pt idx="9">
                        <c:v>-5.2809999999999997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96-4DE2-99DA-C7F0C20F811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-5.1369999999999996</c:v>
                      </c:pt>
                      <c:pt idx="2">
                        <c:v>-5.6130000000000004</c:v>
                      </c:pt>
                      <c:pt idx="3">
                        <c:v>-6.07</c:v>
                      </c:pt>
                      <c:pt idx="4">
                        <c:v>-6.4909999999999997</c:v>
                      </c:pt>
                      <c:pt idx="5">
                        <c:v>-6.8710000000000004</c:v>
                      </c:pt>
                      <c:pt idx="6">
                        <c:v>-7.2160000000000002</c:v>
                      </c:pt>
                      <c:pt idx="7">
                        <c:v>-7.5439999999999996</c:v>
                      </c:pt>
                      <c:pt idx="8">
                        <c:v>-7.8849999999999998</c:v>
                      </c:pt>
                      <c:pt idx="9">
                        <c:v>-8.2889999999999997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696-4DE2-99DA-C7F0C20F811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696-4DE2-99DA-C7F0C20F811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696-4DE2-99DA-C7F0C20F811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696-4DE2-99DA-C7F0C20F811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696-4DE2-99DA-C7F0C20F811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696-4DE2-99DA-C7F0C20F811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696-4DE2-99DA-C7F0C20F811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696-4DE2-99DA-C7F0C20F811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696-4DE2-99DA-C7F0C20F8110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696-4DE2-99DA-C7F0C20F8110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696-4DE2-99DA-C7F0C20F8110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696-4DE2-99DA-C7F0C20F8110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4.7294133830119246E-2"/>
          <c:w val="0.83553361749524424"/>
          <c:h val="0.84652359165606239"/>
        </c:manualLayout>
      </c:layout>
      <c:scatterChart>
        <c:scatterStyle val="smooth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7.9981999999999998E-2</c:v>
                </c:pt>
                <c:pt idx="3">
                  <c:v>7.9555000000000001E-2</c:v>
                </c:pt>
                <c:pt idx="4">
                  <c:v>7.5946E-2</c:v>
                </c:pt>
                <c:pt idx="5">
                  <c:v>6.3478999999999994E-2</c:v>
                </c:pt>
                <c:pt idx="6">
                  <c:v>4.5453E-2</c:v>
                </c:pt>
                <c:pt idx="7">
                  <c:v>3.0609000000000001E-2</c:v>
                </c:pt>
                <c:pt idx="8">
                  <c:v>2.0122000000000001E-2</c:v>
                </c:pt>
                <c:pt idx="9">
                  <c:v>1.2617E-2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A61-4FB5-94E6-BE91A525E719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7A61-4FB5-94E6-BE91A525E719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0.48</c:v>
                </c:pt>
                <c:pt idx="2">
                  <c:v>0.47999000000000003</c:v>
                </c:pt>
                <c:pt idx="3">
                  <c:v>0.47977999999999998</c:v>
                </c:pt>
                <c:pt idx="4">
                  <c:v>0.47793999999999998</c:v>
                </c:pt>
                <c:pt idx="5">
                  <c:v>0.4713</c:v>
                </c:pt>
                <c:pt idx="6">
                  <c:v>0.45933000000000002</c:v>
                </c:pt>
                <c:pt idx="7">
                  <c:v>0.43775999999999998</c:v>
                </c:pt>
                <c:pt idx="8">
                  <c:v>0.38646999999999998</c:v>
                </c:pt>
                <c:pt idx="9">
                  <c:v>0.28641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7A61-4FB5-94E6-BE91A525E719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A61-4FB5-94E6-BE91A525E719}"/>
              </c:ext>
            </c:extLst>
          </c:dPt>
          <c:xVal>
            <c:numRef>
              <c:f>FLUID!$A$34:$A$35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7A61-4FB5-94E6-BE91A525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2.2434000000000001E-8</c:v>
                      </c:pt>
                      <c:pt idx="1">
                        <c:v>2.2944E-8</c:v>
                      </c:pt>
                      <c:pt idx="2">
                        <c:v>1.9741999999999999E-8</c:v>
                      </c:pt>
                      <c:pt idx="3">
                        <c:v>2.0131E-8</c:v>
                      </c:pt>
                      <c:pt idx="4">
                        <c:v>2.2853E-8</c:v>
                      </c:pt>
                      <c:pt idx="5">
                        <c:v>3.2886000000000001E-8</c:v>
                      </c:pt>
                      <c:pt idx="6">
                        <c:v>3.1802000000000002E-8</c:v>
                      </c:pt>
                      <c:pt idx="7">
                        <c:v>2.9719E-8</c:v>
                      </c:pt>
                      <c:pt idx="8">
                        <c:v>2.0085999999999999E-8</c:v>
                      </c:pt>
                      <c:pt idx="9">
                        <c:v>1.5793999999999999E-8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A61-4FB5-94E6-BE91A525E71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4.5515999999999997E-18</c:v>
                      </c:pt>
                      <c:pt idx="2">
                        <c:v>1.1457000000000001E-13</c:v>
                      </c:pt>
                      <c:pt idx="3">
                        <c:v>9.9512000000000005E-11</c:v>
                      </c:pt>
                      <c:pt idx="4">
                        <c:v>1.2369E-8</c:v>
                      </c:pt>
                      <c:pt idx="5">
                        <c:v>4.6673E-7</c:v>
                      </c:pt>
                      <c:pt idx="6">
                        <c:v>7.8967000000000001E-6</c:v>
                      </c:pt>
                      <c:pt idx="7">
                        <c:v>7.2719999999999995E-5</c:v>
                      </c:pt>
                      <c:pt idx="8">
                        <c:v>4.1031999999999999E-4</c:v>
                      </c:pt>
                      <c:pt idx="9">
                        <c:v>1.4090000000000001E-3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A61-4FB5-94E6-BE91A525E7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9.2949999999999999E-17</c:v>
                      </c:pt>
                      <c:pt idx="2">
                        <c:v>7.6946999999999995E-13</c:v>
                      </c:pt>
                      <c:pt idx="3">
                        <c:v>2.9715999999999999E-10</c:v>
                      </c:pt>
                      <c:pt idx="4">
                        <c:v>1.9913999999999999E-8</c:v>
                      </c:pt>
                      <c:pt idx="5">
                        <c:v>4.6399000000000001E-7</c:v>
                      </c:pt>
                      <c:pt idx="6">
                        <c:v>5.3253999999999999E-6</c:v>
                      </c:pt>
                      <c:pt idx="7">
                        <c:v>3.5135000000000002E-5</c:v>
                      </c:pt>
                      <c:pt idx="8">
                        <c:v>1.4407999999999999E-4</c:v>
                      </c:pt>
                      <c:pt idx="9">
                        <c:v>3.4330999999999999E-4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A61-4FB5-94E6-BE91A525E71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8.2633999999999998E-20</c:v>
                      </c:pt>
                      <c:pt idx="1">
                        <c:v>7.1755000000000006E-14</c:v>
                      </c:pt>
                      <c:pt idx="2">
                        <c:v>2.4208999999999999E-10</c:v>
                      </c:pt>
                      <c:pt idx="3">
                        <c:v>4.8461E-8</c:v>
                      </c:pt>
                      <c:pt idx="4">
                        <c:v>1.9645999999999998E-6</c:v>
                      </c:pt>
                      <c:pt idx="5">
                        <c:v>3.0911999999999998E-5</c:v>
                      </c:pt>
                      <c:pt idx="6">
                        <c:v>2.5855000000000002E-4</c:v>
                      </c:pt>
                      <c:pt idx="7">
                        <c:v>1.2959E-3</c:v>
                      </c:pt>
                      <c:pt idx="8">
                        <c:v>4.0553999999999998E-3</c:v>
                      </c:pt>
                      <c:pt idx="9">
                        <c:v>6.9873000000000001E-3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A61-4FB5-94E6-BE91A525E71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2.8145000000000002E-12</c:v>
                      </c:pt>
                      <c:pt idx="2">
                        <c:v>2.1021E-9</c:v>
                      </c:pt>
                      <c:pt idx="3">
                        <c:v>1.4306000000000001E-7</c:v>
                      </c:pt>
                      <c:pt idx="4">
                        <c:v>2.576E-6</c:v>
                      </c:pt>
                      <c:pt idx="5">
                        <c:v>2.1617E-5</c:v>
                      </c:pt>
                      <c:pt idx="6">
                        <c:v>1.0938E-4</c:v>
                      </c:pt>
                      <c:pt idx="7">
                        <c:v>3.5818999999999998E-4</c:v>
                      </c:pt>
                      <c:pt idx="8">
                        <c:v>7.5535000000000001E-4</c:v>
                      </c:pt>
                      <c:pt idx="9">
                        <c:v>8.4774000000000004E-4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A61-4FB5-94E6-BE91A525E71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4.5969000000000003E-13</c:v>
                      </c:pt>
                      <c:pt idx="2">
                        <c:v>4.7612000000000001E-10</c:v>
                      </c:pt>
                      <c:pt idx="3">
                        <c:v>3.8772999999999999E-8</c:v>
                      </c:pt>
                      <c:pt idx="4">
                        <c:v>7.7553000000000001E-7</c:v>
                      </c:pt>
                      <c:pt idx="5">
                        <c:v>6.9723000000000001E-6</c:v>
                      </c:pt>
                      <c:pt idx="6">
                        <c:v>3.6933E-5</c:v>
                      </c:pt>
                      <c:pt idx="7">
                        <c:v>1.2303999999999999E-4</c:v>
                      </c:pt>
                      <c:pt idx="8">
                        <c:v>2.5179E-4</c:v>
                      </c:pt>
                      <c:pt idx="9">
                        <c:v>2.4991E-4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A61-4FB5-94E6-BE91A525E71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7A61-4FB5-94E6-BE91A525E7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1.3799E-14</c:v>
                      </c:pt>
                      <c:pt idx="2">
                        <c:v>1.8275E-11</c:v>
                      </c:pt>
                      <c:pt idx="3">
                        <c:v>1.6851999999999999E-9</c:v>
                      </c:pt>
                      <c:pt idx="4">
                        <c:v>3.5975000000000003E-8</c:v>
                      </c:pt>
                      <c:pt idx="5">
                        <c:v>3.3615E-7</c:v>
                      </c:pt>
                      <c:pt idx="6">
                        <c:v>1.8204E-6</c:v>
                      </c:pt>
                      <c:pt idx="7">
                        <c:v>6.0522999999999996E-6</c:v>
                      </c:pt>
                      <c:pt idx="8">
                        <c:v>1.1833E-5</c:v>
                      </c:pt>
                      <c:pt idx="9">
                        <c:v>1.025E-5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61-4FB5-94E6-BE91A525E71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3.2498000000000001E-14</c:v>
                      </c:pt>
                      <c:pt idx="2">
                        <c:v>1.4395E-10</c:v>
                      </c:pt>
                      <c:pt idx="3">
                        <c:v>4.0954999999999998E-8</c:v>
                      </c:pt>
                      <c:pt idx="4">
                        <c:v>2.3640000000000002E-6</c:v>
                      </c:pt>
                      <c:pt idx="5">
                        <c:v>5.1038000000000002E-5</c:v>
                      </c:pt>
                      <c:pt idx="6">
                        <c:v>5.6714000000000005E-4</c:v>
                      </c:pt>
                      <c:pt idx="7">
                        <c:v>3.8249999999999998E-3</c:v>
                      </c:pt>
                      <c:pt idx="8">
                        <c:v>1.7559000000000002E-2</c:v>
                      </c:pt>
                      <c:pt idx="9">
                        <c:v>5.6219999999999999E-2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A61-4FB5-94E6-BE91A525E71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1.7529999999999999E-29</c:v>
                      </c:pt>
                      <c:pt idx="2">
                        <c:v>4.0370000000000001E-23</c:v>
                      </c:pt>
                      <c:pt idx="3">
                        <c:v>8.9280999999999991E-19</c:v>
                      </c:pt>
                      <c:pt idx="4">
                        <c:v>1.2809E-15</c:v>
                      </c:pt>
                      <c:pt idx="5">
                        <c:v>3.2693E-13</c:v>
                      </c:pt>
                      <c:pt idx="6">
                        <c:v>2.5864999999999999E-11</c:v>
                      </c:pt>
                      <c:pt idx="7">
                        <c:v>8.7663E-10</c:v>
                      </c:pt>
                      <c:pt idx="8">
                        <c:v>1.6053999999999999E-8</c:v>
                      </c:pt>
                      <c:pt idx="9">
                        <c:v>1.822E-7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A61-4FB5-94E6-BE91A525E71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2.0007000000000001E-11</c:v>
                      </c:pt>
                      <c:pt idx="1">
                        <c:v>6.6300000000000005E-8</c:v>
                      </c:pt>
                      <c:pt idx="2">
                        <c:v>8.8271000000000006E-6</c:v>
                      </c:pt>
                      <c:pt idx="3">
                        <c:v>2.2261000000000001E-4</c:v>
                      </c:pt>
                      <c:pt idx="4">
                        <c:v>2.0268999999999999E-3</c:v>
                      </c:pt>
                      <c:pt idx="5">
                        <c:v>8.2603999999999993E-3</c:v>
                      </c:pt>
                      <c:pt idx="6">
                        <c:v>1.7273E-2</c:v>
                      </c:pt>
                      <c:pt idx="7">
                        <c:v>2.4695000000000002E-2</c:v>
                      </c:pt>
                      <c:pt idx="8">
                        <c:v>2.9939E-2</c:v>
                      </c:pt>
                      <c:pt idx="9">
                        <c:v>3.3692E-2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61-4FB5-94E6-BE91A525E71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61-4FB5-94E6-BE91A525E71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-19.100000000000001</c:v>
                      </c:pt>
                      <c:pt idx="5">
                        <c:v>-19.3</c:v>
                      </c:pt>
                      <c:pt idx="6">
                        <c:v>-19.510000000000002</c:v>
                      </c:pt>
                      <c:pt idx="7">
                        <c:v>-19.73</c:v>
                      </c:pt>
                      <c:pt idx="8">
                        <c:v>-19.97</c:v>
                      </c:pt>
                      <c:pt idx="9">
                        <c:v>-20.29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61-4FB5-94E6-BE91A525E71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-6.97</c:v>
                      </c:pt>
                      <c:pt idx="1">
                        <c:v>-7.5640000000000001</c:v>
                      </c:pt>
                      <c:pt idx="2">
                        <c:v>-8.0820000000000007</c:v>
                      </c:pt>
                      <c:pt idx="3">
                        <c:v>-8.5380000000000003</c:v>
                      </c:pt>
                      <c:pt idx="4">
                        <c:v>-8.9749999999999996</c:v>
                      </c:pt>
                      <c:pt idx="5">
                        <c:v>-9.4849999999999994</c:v>
                      </c:pt>
                      <c:pt idx="6">
                        <c:v>-10.1</c:v>
                      </c:pt>
                      <c:pt idx="7">
                        <c:v>-10.74</c:v>
                      </c:pt>
                      <c:pt idx="8">
                        <c:v>-11.33</c:v>
                      </c:pt>
                      <c:pt idx="9">
                        <c:v>-11.86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A61-4FB5-94E6-BE91A525E71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7.3579999999999997</c:v>
                      </c:pt>
                      <c:pt idx="1">
                        <c:v>3.758</c:v>
                      </c:pt>
                      <c:pt idx="2">
                        <c:v>1.355</c:v>
                      </c:pt>
                      <c:pt idx="3">
                        <c:v>-0.39240000000000003</c:v>
                      </c:pt>
                      <c:pt idx="4">
                        <c:v>-1.7310000000000001</c:v>
                      </c:pt>
                      <c:pt idx="5">
                        <c:v>-2.7839999999999998</c:v>
                      </c:pt>
                      <c:pt idx="6">
                        <c:v>-3.6349999999999998</c:v>
                      </c:pt>
                      <c:pt idx="7">
                        <c:v>-4.3380000000000001</c:v>
                      </c:pt>
                      <c:pt idx="8">
                        <c:v>-4.8959999999999999</c:v>
                      </c:pt>
                      <c:pt idx="9">
                        <c:v>-5.2809999999999997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A61-4FB5-94E6-BE91A525E719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-5.1369999999999996</c:v>
                      </c:pt>
                      <c:pt idx="2">
                        <c:v>-5.6130000000000004</c:v>
                      </c:pt>
                      <c:pt idx="3">
                        <c:v>-6.07</c:v>
                      </c:pt>
                      <c:pt idx="4">
                        <c:v>-6.4909999999999997</c:v>
                      </c:pt>
                      <c:pt idx="5">
                        <c:v>-6.8710000000000004</c:v>
                      </c:pt>
                      <c:pt idx="6">
                        <c:v>-7.2160000000000002</c:v>
                      </c:pt>
                      <c:pt idx="7">
                        <c:v>-7.5439999999999996</c:v>
                      </c:pt>
                      <c:pt idx="8">
                        <c:v>-7.8849999999999998</c:v>
                      </c:pt>
                      <c:pt idx="9">
                        <c:v>-8.2889999999999997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A61-4FB5-94E6-BE91A525E719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A61-4FB5-94E6-BE91A525E719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A61-4FB5-94E6-BE91A525E719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A61-4FB5-94E6-BE91A525E719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A61-4FB5-94E6-BE91A525E719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A61-4FB5-94E6-BE91A525E719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A61-4FB5-94E6-BE91A525E719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A61-4FB5-94E6-BE91A525E719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A61-4FB5-94E6-BE91A525E719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A61-4FB5-94E6-BE91A525E719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A61-4FB5-94E6-BE91A525E719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A61-4FB5-94E6-BE91A525E719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-9.9123185284000037</c:v>
                </c:pt>
                <c:pt idx="1">
                  <c:v>-26.592367341199999</c:v>
                </c:pt>
                <c:pt idx="2">
                  <c:v>-45.410808616346188</c:v>
                </c:pt>
                <c:pt idx="3">
                  <c:v>-65.809270456012612</c:v>
                </c:pt>
                <c:pt idx="4">
                  <c:v>-86.736197150008607</c:v>
                </c:pt>
                <c:pt idx="5">
                  <c:v>-105.74296348759854</c:v>
                </c:pt>
                <c:pt idx="6">
                  <c:v>-121.95551454100026</c:v>
                </c:pt>
                <c:pt idx="7">
                  <c:v>-135.72527721344724</c:v>
                </c:pt>
                <c:pt idx="8">
                  <c:v>-141.71895089018238</c:v>
                </c:pt>
                <c:pt idx="9">
                  <c:v>-131.33896374831249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4FDC-4DA9-88D2-BC4A05D23606}"/>
            </c:ext>
          </c:extLst>
        </c:ser>
        <c:ser>
          <c:idx val="4"/>
          <c:order val="3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-9.9123185319283866</c:v>
                </c:pt>
                <c:pt idx="1">
                  <c:v>-26.592383815230473</c:v>
                </c:pt>
                <c:pt idx="2">
                  <c:v>-45.413704983966333</c:v>
                </c:pt>
                <c:pt idx="3">
                  <c:v>-65.901430109699959</c:v>
                </c:pt>
                <c:pt idx="4">
                  <c:v>-87.764220196937572</c:v>
                </c:pt>
                <c:pt idx="5">
                  <c:v>-110.82042728129643</c:v>
                </c:pt>
                <c:pt idx="6">
                  <c:v>-135.03045237251683</c:v>
                </c:pt>
                <c:pt idx="7">
                  <c:v>-160.39125491085349</c:v>
                </c:pt>
                <c:pt idx="8">
                  <c:v>-186.80783315751262</c:v>
                </c:pt>
                <c:pt idx="9">
                  <c:v>-214.61611798674843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4FDC-4DA9-88D2-BC4A05D23606}"/>
            </c:ext>
          </c:extLst>
        </c:ser>
        <c:ser>
          <c:idx val="3"/>
          <c:order val="13"/>
          <c:tx>
            <c:v>temp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FLUID!$A$118:$A$119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FLUID!$B$118:$B$119</c:f>
              <c:numCache>
                <c:formatCode>0</c:formatCode>
                <c:ptCount val="2"/>
                <c:pt idx="0">
                  <c:v>-214.6166455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4FDC-4DA9-88D2-BC4A05D23606}"/>
            </c:ext>
          </c:extLst>
        </c:ser>
        <c:ser>
          <c:idx val="13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-9.9123185284000037</c:v>
                </c:pt>
                <c:pt idx="1">
                  <c:v>-26.592367341199999</c:v>
                </c:pt>
                <c:pt idx="2">
                  <c:v>-45.413844729750004</c:v>
                </c:pt>
                <c:pt idx="3">
                  <c:v>-65.900954484720003</c:v>
                </c:pt>
                <c:pt idx="4">
                  <c:v>-87.763889886200005</c:v>
                </c:pt>
                <c:pt idx="5">
                  <c:v>-110.82023174650001</c:v>
                </c:pt>
                <c:pt idx="6">
                  <c:v>-135.02988483055003</c:v>
                </c:pt>
                <c:pt idx="7">
                  <c:v>-160.39111999949998</c:v>
                </c:pt>
                <c:pt idx="8">
                  <c:v>-186.80768499840005</c:v>
                </c:pt>
                <c:pt idx="9">
                  <c:v>-214.6166455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4FDC-4DA9-88D2-BC4A05D2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-3.5283822254549341E-9</c:v>
                      </c:pt>
                      <c:pt idx="1">
                        <c:v>-1.6474030472918424E-5</c:v>
                      </c:pt>
                      <c:pt idx="2">
                        <c:v>-2.8963676201447059E-3</c:v>
                      </c:pt>
                      <c:pt idx="3">
                        <c:v>-9.215965368734029E-2</c:v>
                      </c:pt>
                      <c:pt idx="4">
                        <c:v>-1.0280230469289584</c:v>
                      </c:pt>
                      <c:pt idx="5">
                        <c:v>-5.0774637936978921</c:v>
                      </c:pt>
                      <c:pt idx="6">
                        <c:v>-13.07493783151657</c:v>
                      </c:pt>
                      <c:pt idx="7">
                        <c:v>-24.665977697406237</c:v>
                      </c:pt>
                      <c:pt idx="8">
                        <c:v>-45.088882267330241</c:v>
                      </c:pt>
                      <c:pt idx="9">
                        <c:v>-83.277154238435941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4FDC-4DA9-88D2-BC4A05D23606}"/>
                  </c:ext>
                </c:extLst>
              </c15:ser>
            </c15:filteredScatterSeries>
            <c15:filteredScatterSeries>
              <c15:ser>
                <c:idx val="2"/>
                <c:order val="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-15.516666670195054</c:v>
                      </c:pt>
                      <c:pt idx="1">
                        <c:v>-15.54168314069714</c:v>
                      </c:pt>
                      <c:pt idx="2">
                        <c:v>-15.644563034286813</c:v>
                      </c:pt>
                      <c:pt idx="3">
                        <c:v>-15.867159653687342</c:v>
                      </c:pt>
                      <c:pt idx="4">
                        <c:v>-16.944689713595629</c:v>
                      </c:pt>
                      <c:pt idx="5">
                        <c:v>-21.160797127031227</c:v>
                      </c:pt>
                      <c:pt idx="6">
                        <c:v>-29.333271164849904</c:v>
                      </c:pt>
                      <c:pt idx="7">
                        <c:v>-41.107644364072911</c:v>
                      </c:pt>
                      <c:pt idx="8">
                        <c:v>-61.730548933996914</c:v>
                      </c:pt>
                      <c:pt idx="9">
                        <c:v>-100.18548757176927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FDC-4DA9-88D2-BC4A05D23606}"/>
                  </c:ext>
                </c:extLst>
              </c15:ser>
            </c15:filteredScatterSeries>
            <c15:filteredScatterSeries>
              <c15:ser>
                <c:idx val="5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-25.428985198595058</c:v>
                      </c:pt>
                      <c:pt idx="1">
                        <c:v>-42.134050481897141</c:v>
                      </c:pt>
                      <c:pt idx="2">
                        <c:v>-61.055371650632999</c:v>
                      </c:pt>
                      <c:pt idx="3">
                        <c:v>-81.67643010969995</c:v>
                      </c:pt>
                      <c:pt idx="4">
                        <c:v>-103.68088686360423</c:v>
                      </c:pt>
                      <c:pt idx="5">
                        <c:v>-126.90376061462977</c:v>
                      </c:pt>
                      <c:pt idx="6">
                        <c:v>-151.28878570585016</c:v>
                      </c:pt>
                      <c:pt idx="7">
                        <c:v>-176.83292157752015</c:v>
                      </c:pt>
                      <c:pt idx="8">
                        <c:v>-203.4494998241793</c:v>
                      </c:pt>
                      <c:pt idx="9">
                        <c:v>-231.52445132008177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FDC-4DA9-88D2-BC4A05D23606}"/>
                  </c:ext>
                </c:extLst>
              </c15:ser>
            </c15:filteredScatterSeries>
            <c15:filteredScatterSeries>
              <c15:ser>
                <c:idx val="6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FDC-4DA9-88D2-BC4A05D23606}"/>
                  </c:ext>
                </c:extLst>
              </c15:ser>
            </c15:filteredScatterSeries>
            <c15:filteredScatterSeries>
              <c15:ser>
                <c:idx val="7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FDC-4DA9-88D2-BC4A05D23606}"/>
                  </c:ext>
                </c:extLst>
              </c15:ser>
            </c15:filteredScatterSeries>
            <c15:filteredScatterSeries>
              <c15:ser>
                <c:idx val="8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FDC-4DA9-88D2-BC4A05D23606}"/>
                  </c:ext>
                </c:extLst>
              </c15:ser>
            </c15:filteredScatterSeries>
            <c15:filteredScatterSeries>
              <c15:ser>
                <c:idx val="9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FDC-4DA9-88D2-BC4A05D23606}"/>
                  </c:ext>
                </c:extLst>
              </c15:ser>
            </c15:filteredScatterSeries>
            <c15:filteredScatterSeries>
              <c15:ser>
                <c:idx val="10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FDC-4DA9-88D2-BC4A05D23606}"/>
                  </c:ext>
                </c:extLst>
              </c15:ser>
            </c15:filteredScatterSeries>
            <c15:filteredScatterSeries>
              <c15:ser>
                <c:idx val="11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FDC-4DA9-88D2-BC4A05D23606}"/>
                  </c:ext>
                </c:extLst>
              </c15:ser>
            </c15:filteredScatterSeries>
            <c15:filteredScatterSeries>
              <c15:ser>
                <c:idx val="12"/>
                <c:order val="11"/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4FDC-4DA9-88D2-BC4A05D23606}"/>
                  </c:ext>
                </c:extLst>
              </c15:ser>
            </c15:filteredScatterSeries>
            <c15:filteredScatterSeries>
              <c15:ser>
                <c:idx val="14"/>
                <c:order val="12"/>
                <c:spPr>
                  <a:ln>
                    <a:noFill/>
                  </a:ln>
                </c:spPr>
                <c:marker>
                  <c:symbol val="square"/>
                  <c:size val="5"/>
                  <c:spPr>
                    <a:solidFill>
                      <a:srgbClr val="00206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FDC-4DA9-88D2-BC4A05D23606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2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</c:plotArea>
    <c:plotVisOnly val="0"/>
    <c:dispBlanksAs val="span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-194.1061458925</c:v>
                </c:pt>
                <c:pt idx="1">
                  <c:v>-196.62777299550001</c:v>
                </c:pt>
                <c:pt idx="2">
                  <c:v>-199.23080182500004</c:v>
                </c:pt>
                <c:pt idx="3">
                  <c:v>-201.95939623349997</c:v>
                </c:pt>
                <c:pt idx="4">
                  <c:v>-205.72990003749996</c:v>
                </c:pt>
                <c:pt idx="5">
                  <c:v>-225.07412278995</c:v>
                </c:pt>
                <c:pt idx="6">
                  <c:v>-230.17988651554998</c:v>
                </c:pt>
                <c:pt idx="7">
                  <c:v>-235.48703574565002</c:v>
                </c:pt>
                <c:pt idx="8">
                  <c:v>-240.77794925159998</c:v>
                </c:pt>
                <c:pt idx="9">
                  <c:v>-246.26723536440002</c:v>
                </c:pt>
                <c:pt idx="10">
                  <c:v>-255.74992926599998</c:v>
                </c:pt>
                <c:pt idx="11">
                  <c:v>-265.33384832500002</c:v>
                </c:pt>
                <c:pt idx="12">
                  <c:v>-275.00428252800003</c:v>
                </c:pt>
                <c:pt idx="13">
                  <c:v>-284.86333781510001</c:v>
                </c:pt>
                <c:pt idx="14">
                  <c:v>-325.90863643350002</c:v>
                </c:pt>
                <c:pt idx="15">
                  <c:v>-336.53148746555001</c:v>
                </c:pt>
                <c:pt idx="16">
                  <c:v>-347.25137924430004</c:v>
                </c:pt>
                <c:pt idx="17">
                  <c:v>-358.13617471874994</c:v>
                </c:pt>
                <c:pt idx="18">
                  <c:v>-370.06642904875008</c:v>
                </c:pt>
                <c:pt idx="19">
                  <c:v>-382.63582342815005</c:v>
                </c:pt>
                <c:pt idx="20">
                  <c:v>-395.43410379794994</c:v>
                </c:pt>
                <c:pt idx="21">
                  <c:v>-409.52937410875001</c:v>
                </c:pt>
                <c:pt idx="22">
                  <c:v>-423.82408793400003</c:v>
                </c:pt>
                <c:pt idx="23">
                  <c:v>-482.37846861720004</c:v>
                </c:pt>
                <c:pt idx="24">
                  <c:v>-423.82408793400003</c:v>
                </c:pt>
                <c:pt idx="25">
                  <c:v>-482.37846861720004</c:v>
                </c:pt>
                <c:pt idx="26">
                  <c:v>-543.746128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F-483C-BCE0-647F459C0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4355674994144814"/>
          <c:h val="0.79988254071377496"/>
        </c:manualLayout>
      </c:layout>
      <c:scatterChart>
        <c:scatterStyle val="smooth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1.5765000000000001E-2</c:v>
                </c:pt>
                <c:pt idx="19" formatCode="General">
                  <c:v>4.4145E-3</c:v>
                </c:pt>
                <c:pt idx="20" formatCode="General">
                  <c:v>1.1531E-3</c:v>
                </c:pt>
                <c:pt idx="21" formatCode="General">
                  <c:v>1.1998999999999999E-4</c:v>
                </c:pt>
                <c:pt idx="22" formatCode="General">
                  <c:v>1.3539E-5</c:v>
                </c:pt>
                <c:pt idx="23" formatCode="General">
                  <c:v>4.1901999999999999E-9</c:v>
                </c:pt>
                <c:pt idx="24" formatCode="General">
                  <c:v>1.3539E-5</c:v>
                </c:pt>
                <c:pt idx="25" formatCode="General">
                  <c:v>4.1901999999999999E-9</c:v>
                </c:pt>
                <c:pt idx="26" formatCode="General">
                  <c:v>2.8184000000000002E-12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F12-4D25-930A-3BF236421612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8.2863999999999999E-35</c:v>
                </c:pt>
                <c:pt idx="7">
                  <c:v>3.9535999999999999E-32</c:v>
                </c:pt>
                <c:pt idx="8">
                  <c:v>1.1802E-29</c:v>
                </c:pt>
                <c:pt idx="9">
                  <c:v>2.318E-27</c:v>
                </c:pt>
                <c:pt idx="10">
                  <c:v>3.1711999999999998E-25</c:v>
                </c:pt>
                <c:pt idx="11">
                  <c:v>3.1093000000000001E-23</c:v>
                </c:pt>
                <c:pt idx="12">
                  <c:v>2.2684999999999999E-21</c:v>
                </c:pt>
                <c:pt idx="13">
                  <c:v>1.2683999999999999E-19</c:v>
                </c:pt>
                <c:pt idx="14">
                  <c:v>1.3808E-13</c:v>
                </c:pt>
                <c:pt idx="15">
                  <c:v>2.8290000000000002E-12</c:v>
                </c:pt>
                <c:pt idx="16">
                  <c:v>4.9786000000000001E-11</c:v>
                </c:pt>
                <c:pt idx="17">
                  <c:v>7.6181999999999996E-10</c:v>
                </c:pt>
                <c:pt idx="18">
                  <c:v>4.0387000000000001E-9</c:v>
                </c:pt>
                <c:pt idx="19" formatCode="General">
                  <c:v>1.3505000000000001E-8</c:v>
                </c:pt>
                <c:pt idx="20" formatCode="General">
                  <c:v>3.7726999999999998E-8</c:v>
                </c:pt>
                <c:pt idx="21" formatCode="General">
                  <c:v>3.7906000000000002E-8</c:v>
                </c:pt>
                <c:pt idx="22" formatCode="General">
                  <c:v>3.7554E-8</c:v>
                </c:pt>
                <c:pt idx="23" formatCode="General">
                  <c:v>3.0196000000000001E-8</c:v>
                </c:pt>
                <c:pt idx="24" formatCode="General">
                  <c:v>3.7554E-8</c:v>
                </c:pt>
                <c:pt idx="25" formatCode="General">
                  <c:v>3.0196000000000001E-8</c:v>
                </c:pt>
                <c:pt idx="26" formatCode="General">
                  <c:v>1.7782E-8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F12-4D25-930A-3BF23642161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F12-4D25-930A-3BF23642161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B7-4871-B625-DDFFBF00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3.8258999999999998E-18</c:v>
                      </c:pt>
                      <c:pt idx="6">
                        <c:v>1.6139000000000001E-13</c:v>
                      </c:pt>
                      <c:pt idx="7">
                        <c:v>8.4388000000000001E-11</c:v>
                      </c:pt>
                      <c:pt idx="8">
                        <c:v>1.4055E-9</c:v>
                      </c:pt>
                      <c:pt idx="9">
                        <c:v>6.719E-2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0.11315</c:v>
                      </c:pt>
                      <c:pt idx="21" formatCode="General">
                        <c:v>0.11173</c:v>
                      </c:pt>
                      <c:pt idx="22" formatCode="General">
                        <c:v>0.11027000000000001</c:v>
                      </c:pt>
                      <c:pt idx="23" formatCode="General">
                        <c:v>0.10192</c:v>
                      </c:pt>
                      <c:pt idx="24" formatCode="General">
                        <c:v>0.11027000000000001</c:v>
                      </c:pt>
                      <c:pt idx="25" formatCode="General">
                        <c:v>0.10192</c:v>
                      </c:pt>
                      <c:pt idx="26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6F12-4D25-930A-3BF23642161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0.10562000000000001</c:v>
                      </c:pt>
                      <c:pt idx="10">
                        <c:v>5.8947000000000003E-9</c:v>
                      </c:pt>
                      <c:pt idx="11">
                        <c:v>2.9583999999999998E-10</c:v>
                      </c:pt>
                      <c:pt idx="12">
                        <c:v>5.7976000000000003E-12</c:v>
                      </c:pt>
                      <c:pt idx="13">
                        <c:v>3.5656000000000001E-12</c:v>
                      </c:pt>
                      <c:pt idx="14">
                        <c:v>6.6780000000000004E-22</c:v>
                      </c:pt>
                      <c:pt idx="15">
                        <c:v>5.9907000000000002E-27</c:v>
                      </c:pt>
                      <c:pt idx="16">
                        <c:v>2.7018000000000001E-32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F12-4D25-930A-3BF23642161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2.1572000000000002E-31</c:v>
                      </c:pt>
                      <c:pt idx="15">
                        <c:v>1.5057E-27</c:v>
                      </c:pt>
                      <c:pt idx="16">
                        <c:v>6.8638000000000005E-23</c:v>
                      </c:pt>
                      <c:pt idx="17">
                        <c:v>7.9580000000000003E-23</c:v>
                      </c:pt>
                      <c:pt idx="18">
                        <c:v>6.1874000000000002E-17</c:v>
                      </c:pt>
                      <c:pt idx="19" formatCode="General">
                        <c:v>5.1635999999999997E-16</c:v>
                      </c:pt>
                      <c:pt idx="20" formatCode="General">
                        <c:v>3.1504999999999998E-9</c:v>
                      </c:pt>
                      <c:pt idx="21" formatCode="General">
                        <c:v>3.9756000000000002E-7</c:v>
                      </c:pt>
                      <c:pt idx="22" formatCode="General">
                        <c:v>2.9050000000000001E-7</c:v>
                      </c:pt>
                      <c:pt idx="23" formatCode="General">
                        <c:v>6.5820000000000003E-8</c:v>
                      </c:pt>
                      <c:pt idx="24" formatCode="General">
                        <c:v>2.9050000000000001E-7</c:v>
                      </c:pt>
                      <c:pt idx="25" formatCode="General">
                        <c:v>6.5820000000000003E-8</c:v>
                      </c:pt>
                      <c:pt idx="26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F12-4D25-930A-3BF23642161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2.482E-22</c:v>
                      </c:pt>
                      <c:pt idx="15">
                        <c:v>4.1234E-18</c:v>
                      </c:pt>
                      <c:pt idx="16">
                        <c:v>4.5319000000000001E-13</c:v>
                      </c:pt>
                      <c:pt idx="17">
                        <c:v>2.2366E-8</c:v>
                      </c:pt>
                      <c:pt idx="18">
                        <c:v>2.4235E-2</c:v>
                      </c:pt>
                      <c:pt idx="19" formatCode="General">
                        <c:v>3.5584999999999999E-2</c:v>
                      </c:pt>
                      <c:pt idx="20" formatCode="General">
                        <c:v>2.9937000000000001E-7</c:v>
                      </c:pt>
                      <c:pt idx="21" formatCode="General">
                        <c:v>2.7884000000000001E-21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F12-4D25-930A-3BF23642161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3.8258999999999998E-18</c:v>
                      </c:pt>
                      <c:pt idx="6">
                        <c:v>1.6139000000000001E-13</c:v>
                      </c:pt>
                      <c:pt idx="7">
                        <c:v>8.4388000000000001E-11</c:v>
                      </c:pt>
                      <c:pt idx="8">
                        <c:v>1.4055E-9</c:v>
                      </c:pt>
                      <c:pt idx="9">
                        <c:v>6.719E-2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0.11315</c:v>
                      </c:pt>
                      <c:pt idx="21" formatCode="General">
                        <c:v>0.11173</c:v>
                      </c:pt>
                      <c:pt idx="22" formatCode="General">
                        <c:v>0.11027000000000001</c:v>
                      </c:pt>
                      <c:pt idx="23" formatCode="General">
                        <c:v>0.10192</c:v>
                      </c:pt>
                      <c:pt idx="24" formatCode="General">
                        <c:v>0.11027000000000001</c:v>
                      </c:pt>
                      <c:pt idx="25" formatCode="General">
                        <c:v>0.10192</c:v>
                      </c:pt>
                      <c:pt idx="26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12-4D25-930A-3BF23642161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4.6744E-24</c:v>
                      </c:pt>
                      <c:pt idx="1">
                        <c:v>8.8713000000000006E-17</c:v>
                      </c:pt>
                      <c:pt idx="2">
                        <c:v>7.5023000000000003E-11</c:v>
                      </c:pt>
                      <c:pt idx="3">
                        <c:v>2.4996999999999999E-8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0.25438</c:v>
                      </c:pt>
                      <c:pt idx="10">
                        <c:v>0.36</c:v>
                      </c:pt>
                      <c:pt idx="11">
                        <c:v>0.36</c:v>
                      </c:pt>
                      <c:pt idx="12">
                        <c:v>0.36</c:v>
                      </c:pt>
                      <c:pt idx="13">
                        <c:v>0.36</c:v>
                      </c:pt>
                      <c:pt idx="14">
                        <c:v>0.36</c:v>
                      </c:pt>
                      <c:pt idx="15">
                        <c:v>0.36</c:v>
                      </c:pt>
                      <c:pt idx="16">
                        <c:v>0.36</c:v>
                      </c:pt>
                      <c:pt idx="17">
                        <c:v>0.36</c:v>
                      </c:pt>
                      <c:pt idx="18">
                        <c:v>0.40847</c:v>
                      </c:pt>
                      <c:pt idx="19" formatCode="General">
                        <c:v>0.43117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0.47996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F12-4D25-930A-3BF23642161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12-4D25-930A-3BF23642161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6.8576999999999996E-9</c:v>
                      </c:pt>
                      <c:pt idx="5">
                        <c:v>3.5479000000000002E-18</c:v>
                      </c:pt>
                      <c:pt idx="6">
                        <c:v>3.3890000000000001E-21</c:v>
                      </c:pt>
                      <c:pt idx="7">
                        <c:v>2.8891000000000001E-29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12-4D25-930A-3BF23642161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1.5435999999999999E-32</c:v>
                      </c:pt>
                      <c:pt idx="12">
                        <c:v>2.2441000000000001E-26</c:v>
                      </c:pt>
                      <c:pt idx="13">
                        <c:v>2.012E-20</c:v>
                      </c:pt>
                      <c:pt idx="14">
                        <c:v>3.7214000000000002E-13</c:v>
                      </c:pt>
                      <c:pt idx="15">
                        <c:v>8.3488999999999999E-13</c:v>
                      </c:pt>
                      <c:pt idx="16">
                        <c:v>1.2235E-11</c:v>
                      </c:pt>
                      <c:pt idx="17">
                        <c:v>5.7031000000000002E-13</c:v>
                      </c:pt>
                      <c:pt idx="18">
                        <c:v>4.5874000000000001E-9</c:v>
                      </c:pt>
                      <c:pt idx="19" formatCode="General">
                        <c:v>3.9656000000000001E-8</c:v>
                      </c:pt>
                      <c:pt idx="20" formatCode="General">
                        <c:v>7.7692999999999998E-2</c:v>
                      </c:pt>
                      <c:pt idx="21" formatCode="General">
                        <c:v>7.9759999999999998E-2</c:v>
                      </c:pt>
                      <c:pt idx="22" formatCode="General">
                        <c:v>7.9973000000000002E-2</c:v>
                      </c:pt>
                      <c:pt idx="23" formatCode="General">
                        <c:v>0.08</c:v>
                      </c:pt>
                      <c:pt idx="24" formatCode="General">
                        <c:v>7.9973000000000002E-2</c:v>
                      </c:pt>
                      <c:pt idx="25" formatCode="General">
                        <c:v>0.08</c:v>
                      </c:pt>
                      <c:pt idx="26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F12-4D25-930A-3BF23642161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2.9877999999999998E-27</c:v>
                      </c:pt>
                      <c:pt idx="12">
                        <c:v>7.9918999999999997E-22</c:v>
                      </c:pt>
                      <c:pt idx="13">
                        <c:v>1.449E-16</c:v>
                      </c:pt>
                      <c:pt idx="14">
                        <c:v>9.8116000000000007E-12</c:v>
                      </c:pt>
                      <c:pt idx="15">
                        <c:v>6.3760999999999999E-12</c:v>
                      </c:pt>
                      <c:pt idx="16">
                        <c:v>2.8513E-11</c:v>
                      </c:pt>
                      <c:pt idx="17">
                        <c:v>4.2784000000000002E-13</c:v>
                      </c:pt>
                      <c:pt idx="18">
                        <c:v>1.7531999999999999E-9</c:v>
                      </c:pt>
                      <c:pt idx="19" formatCode="General">
                        <c:v>9.8190000000000001E-9</c:v>
                      </c:pt>
                      <c:pt idx="20" formatCode="General">
                        <c:v>1.3691E-2</c:v>
                      </c:pt>
                      <c:pt idx="21" formatCode="General">
                        <c:v>1.6542000000000001E-2</c:v>
                      </c:pt>
                      <c:pt idx="22" formatCode="General">
                        <c:v>1.9453999999999999E-2</c:v>
                      </c:pt>
                      <c:pt idx="23" formatCode="General">
                        <c:v>3.6164000000000002E-2</c:v>
                      </c:pt>
                      <c:pt idx="24" formatCode="General">
                        <c:v>1.9453999999999999E-2</c:v>
                      </c:pt>
                      <c:pt idx="25" formatCode="General">
                        <c:v>3.6164000000000002E-2</c:v>
                      </c:pt>
                      <c:pt idx="26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12-4D25-930A-3BF23642161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</c:v>
                      </c:pt>
                      <c:pt idx="1">
                        <c:v>-18.79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-18.829999999999998</c:v>
                      </c:pt>
                      <c:pt idx="5">
                        <c:v>-18.95</c:v>
                      </c:pt>
                      <c:pt idx="6">
                        <c:v>-18.989999999999998</c:v>
                      </c:pt>
                      <c:pt idx="7">
                        <c:v>-19.03</c:v>
                      </c:pt>
                      <c:pt idx="8">
                        <c:v>-19.07</c:v>
                      </c:pt>
                      <c:pt idx="9">
                        <c:v>-19.11</c:v>
                      </c:pt>
                      <c:pt idx="10">
                        <c:v>-19.149999999999999</c:v>
                      </c:pt>
                      <c:pt idx="11">
                        <c:v>-19.190000000000001</c:v>
                      </c:pt>
                      <c:pt idx="12">
                        <c:v>-19.23</c:v>
                      </c:pt>
                      <c:pt idx="13">
                        <c:v>-19.28</c:v>
                      </c:pt>
                      <c:pt idx="14">
                        <c:v>-19.440000000000001</c:v>
                      </c:pt>
                      <c:pt idx="15">
                        <c:v>-19.489999999999998</c:v>
                      </c:pt>
                      <c:pt idx="16">
                        <c:v>-19.53</c:v>
                      </c:pt>
                      <c:pt idx="17">
                        <c:v>-19.57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-19.59</c:v>
                      </c:pt>
                      <c:pt idx="25" formatCode="General">
                        <c:v>-19.739999999999998</c:v>
                      </c:pt>
                      <c:pt idx="26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12-4D25-930A-3BF23642161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-66.459999999999994</c:v>
                      </c:pt>
                      <c:pt idx="1">
                        <c:v>-62.25</c:v>
                      </c:pt>
                      <c:pt idx="2">
                        <c:v>-58.6</c:v>
                      </c:pt>
                      <c:pt idx="3">
                        <c:v>-55.41</c:v>
                      </c:pt>
                      <c:pt idx="4">
                        <c:v>-51.62</c:v>
                      </c:pt>
                      <c:pt idx="5">
                        <c:v>-37.26</c:v>
                      </c:pt>
                      <c:pt idx="6">
                        <c:v>-34.4</c:v>
                      </c:pt>
                      <c:pt idx="7">
                        <c:v>-31.76</c:v>
                      </c:pt>
                      <c:pt idx="8">
                        <c:v>-29.31</c:v>
                      </c:pt>
                      <c:pt idx="9">
                        <c:v>-27.03</c:v>
                      </c:pt>
                      <c:pt idx="10">
                        <c:v>-24.9</c:v>
                      </c:pt>
                      <c:pt idx="11">
                        <c:v>-22.91</c:v>
                      </c:pt>
                      <c:pt idx="12">
                        <c:v>-21.04</c:v>
                      </c:pt>
                      <c:pt idx="13">
                        <c:v>-19.28</c:v>
                      </c:pt>
                      <c:pt idx="14">
                        <c:v>-13.14</c:v>
                      </c:pt>
                      <c:pt idx="15">
                        <c:v>-11.8</c:v>
                      </c:pt>
                      <c:pt idx="16">
                        <c:v>-10.52</c:v>
                      </c:pt>
                      <c:pt idx="17">
                        <c:v>-9.2940000000000005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-7.8150000000000004</c:v>
                      </c:pt>
                      <c:pt idx="25" formatCode="General">
                        <c:v>-8.2360000000000007</c:v>
                      </c:pt>
                      <c:pt idx="26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12-4D25-930A-3BF23642161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-4.0979999999999999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-4.8869999999999996</c:v>
                      </c:pt>
                      <c:pt idx="25" formatCode="General">
                        <c:v>-5.0709999999999997</c:v>
                      </c:pt>
                      <c:pt idx="26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12-4D25-930A-3BF23642161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-22.18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-26.65</c:v>
                      </c:pt>
                      <c:pt idx="25" formatCode="General">
                        <c:v>-27.65</c:v>
                      </c:pt>
                      <c:pt idx="26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12-4D25-930A-3BF23642161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12-4D25-930A-3BF23642161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12-4D25-930A-3BF23642161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12-4D25-930A-3BF23642161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12-4D25-930A-3BF23642161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12-4D25-930A-3BF23642161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12-4D25-930A-3BF23642161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12-4D25-930A-3BF23642161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12-4D25-930A-3BF23642161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12-4D25-930A-3BF23642161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12-4D25-930A-3BF23642161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12-4D25-930A-3BF23642161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12-4D25-930A-3BF23642161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12-4D25-930A-3BF23642161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-2.416331360551476E-25</c:v>
                </c:pt>
                <c:pt idx="12">
                  <c:v>-6.7771099755617479E-20</c:v>
                </c:pt>
                <c:pt idx="13">
                  <c:v>-1.2874283308126365E-14</c:v>
                </c:pt>
                <c:pt idx="14">
                  <c:v>-1.149994864726175E-9</c:v>
                </c:pt>
                <c:pt idx="15">
                  <c:v>-9.3839257293185501E-10</c:v>
                </c:pt>
                <c:pt idx="16">
                  <c:v>-6.4563921984541171E-9</c:v>
                </c:pt>
                <c:pt idx="17">
                  <c:v>-1.8622288071749536E-10</c:v>
                </c:pt>
                <c:pt idx="18">
                  <c:v>-1.2441156914934824E-6</c:v>
                </c:pt>
                <c:pt idx="19">
                  <c:v>-9.8338275468824105E-6</c:v>
                </c:pt>
                <c:pt idx="20">
                  <c:v>-18.176426567311626</c:v>
                </c:pt>
                <c:pt idx="21">
                  <c:v>-19.714212242718705</c:v>
                </c:pt>
                <c:pt idx="22">
                  <c:v>-20.916887807870076</c:v>
                </c:pt>
                <c:pt idx="23">
                  <c:v>-26.821621468725546</c:v>
                </c:pt>
                <c:pt idx="24">
                  <c:v>-20.916887807870076</c:v>
                </c:pt>
                <c:pt idx="25">
                  <c:v>-26.821621468725546</c:v>
                </c:pt>
                <c:pt idx="26">
                  <c:v>-36.569349260425007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6-4B09-963C-81925246AA85}"/>
            </c:ext>
          </c:extLst>
        </c:ser>
        <c:ser>
          <c:idx val="1"/>
          <c:order val="3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-77.006665171000009</c:v>
                </c:pt>
                <c:pt idx="1">
                  <c:v>-77.646388344000016</c:v>
                </c:pt>
                <c:pt idx="2">
                  <c:v>-78.310824982500023</c:v>
                </c:pt>
                <c:pt idx="3">
                  <c:v>-79.005272808750021</c:v>
                </c:pt>
                <c:pt idx="4">
                  <c:v>-79.717271158750009</c:v>
                </c:pt>
                <c:pt idx="5">
                  <c:v>-82.785842700750024</c:v>
                </c:pt>
                <c:pt idx="6">
                  <c:v>-83.594383481750015</c:v>
                </c:pt>
                <c:pt idx="7">
                  <c:v>-84.442513754500013</c:v>
                </c:pt>
                <c:pt idx="8">
                  <c:v>-85.270119684000008</c:v>
                </c:pt>
                <c:pt idx="9">
                  <c:v>-86.134395330000018</c:v>
                </c:pt>
                <c:pt idx="10">
                  <c:v>-87.038696979000008</c:v>
                </c:pt>
                <c:pt idx="11">
                  <c:v>-87.949120871500014</c:v>
                </c:pt>
                <c:pt idx="12">
                  <c:v>-88.854733440000004</c:v>
                </c:pt>
                <c:pt idx="13">
                  <c:v>-89.78143158050004</c:v>
                </c:pt>
                <c:pt idx="14">
                  <c:v>-93.637025978814492</c:v>
                </c:pt>
                <c:pt idx="15">
                  <c:v>-94.639639664494482</c:v>
                </c:pt>
                <c:pt idx="16">
                  <c:v>-95.642533327990407</c:v>
                </c:pt>
                <c:pt idx="17">
                  <c:v>-96.657830186270346</c:v>
                </c:pt>
                <c:pt idx="18">
                  <c:v>-38.847363238558387</c:v>
                </c:pt>
                <c:pt idx="19">
                  <c:v>-11.143044561616689</c:v>
                </c:pt>
                <c:pt idx="20">
                  <c:v>-21.161414973315381</c:v>
                </c:pt>
                <c:pt idx="21">
                  <c:v>-20.036047992261974</c:v>
                </c:pt>
                <c:pt idx="22">
                  <c:v>-20.95452473181177</c:v>
                </c:pt>
                <c:pt idx="23">
                  <c:v>-26.821677161823121</c:v>
                </c:pt>
                <c:pt idx="24">
                  <c:v>-20.95452473181177</c:v>
                </c:pt>
                <c:pt idx="25">
                  <c:v>-26.821677161823121</c:v>
                </c:pt>
                <c:pt idx="26">
                  <c:v>-36.569377651252125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D96-4B09-963C-81925246AA85}"/>
            </c:ext>
          </c:extLst>
        </c:ser>
        <c:ser>
          <c:idx val="2"/>
          <c:order val="4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D96-4B09-963C-81925246AA85}"/>
            </c:ext>
          </c:extLst>
        </c:ser>
        <c:ser>
          <c:idx val="4"/>
          <c:order val="5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D96-4B09-963C-81925246AA85}"/>
            </c:ext>
          </c:extLst>
        </c:ser>
        <c:ser>
          <c:idx val="5"/>
          <c:order val="6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D96-4B09-963C-81925246AA85}"/>
            </c:ext>
          </c:extLst>
        </c:ser>
        <c:ser>
          <c:idx val="6"/>
          <c:order val="7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D96-4B09-963C-81925246AA85}"/>
            </c:ext>
          </c:extLst>
        </c:ser>
        <c:ser>
          <c:idx val="7"/>
          <c:order val="8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D96-4B09-963C-81925246AA85}"/>
            </c:ext>
          </c:extLst>
        </c:ser>
        <c:ser>
          <c:idx val="8"/>
          <c:order val="9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D96-4B09-963C-81925246AA85}"/>
            </c:ext>
          </c:extLst>
        </c:ser>
        <c:ser>
          <c:idx val="9"/>
          <c:order val="10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SOLID!$F$137:$AL$137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D96-4B09-963C-81925246AA85}"/>
            </c:ext>
          </c:extLst>
        </c:ser>
        <c:ser>
          <c:idx val="10"/>
          <c:order val="11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SOLID!$F$138:$AL$138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D96-4B09-963C-81925246AA85}"/>
            </c:ext>
          </c:extLst>
        </c:ser>
        <c:ser>
          <c:idx val="11"/>
          <c:order val="12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SOLID!$F$139:$AL$139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D96-4B09-963C-81925246AA85}"/>
            </c:ext>
          </c:extLst>
        </c:ser>
        <c:ser>
          <c:idx val="12"/>
          <c:order val="13"/>
          <c:tx>
            <c:v>temp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SOLID!$A$118:$A$119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SOLID!$B$118:$B$119</c:f>
              <c:numCache>
                <c:formatCode>0</c:formatCode>
                <c:ptCount val="2"/>
                <c:pt idx="0">
                  <c:v>-543.746128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D96-4B09-963C-81925246AA85}"/>
            </c:ext>
          </c:extLst>
        </c:ser>
        <c:ser>
          <c:idx val="14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838.5</c:v>
                </c:pt>
                <c:pt idx="25">
                  <c:v>919.2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-194.1061458925</c:v>
                </c:pt>
                <c:pt idx="1">
                  <c:v>-196.62777299550001</c:v>
                </c:pt>
                <c:pt idx="2">
                  <c:v>-199.23080182500004</c:v>
                </c:pt>
                <c:pt idx="3">
                  <c:v>-201.95939623349997</c:v>
                </c:pt>
                <c:pt idx="4">
                  <c:v>-205.72990003749996</c:v>
                </c:pt>
                <c:pt idx="5">
                  <c:v>-225.07412278995</c:v>
                </c:pt>
                <c:pt idx="6">
                  <c:v>-230.17988651554998</c:v>
                </c:pt>
                <c:pt idx="7">
                  <c:v>-235.48703574565002</c:v>
                </c:pt>
                <c:pt idx="8">
                  <c:v>-240.77794925159998</c:v>
                </c:pt>
                <c:pt idx="9">
                  <c:v>-246.26723536440002</c:v>
                </c:pt>
                <c:pt idx="10">
                  <c:v>-255.74992926599998</c:v>
                </c:pt>
                <c:pt idx="11">
                  <c:v>-265.33384832500002</c:v>
                </c:pt>
                <c:pt idx="12">
                  <c:v>-275.00428252800003</c:v>
                </c:pt>
                <c:pt idx="13">
                  <c:v>-284.86333781510001</c:v>
                </c:pt>
                <c:pt idx="14">
                  <c:v>-325.90863643350002</c:v>
                </c:pt>
                <c:pt idx="15">
                  <c:v>-336.53148746555001</c:v>
                </c:pt>
                <c:pt idx="16">
                  <c:v>-347.25137924430004</c:v>
                </c:pt>
                <c:pt idx="17">
                  <c:v>-358.13617471874994</c:v>
                </c:pt>
                <c:pt idx="18">
                  <c:v>-370.06642904875008</c:v>
                </c:pt>
                <c:pt idx="19">
                  <c:v>-382.63582342815005</c:v>
                </c:pt>
                <c:pt idx="20">
                  <c:v>-395.43410379794994</c:v>
                </c:pt>
                <c:pt idx="21">
                  <c:v>-409.52937410875001</c:v>
                </c:pt>
                <c:pt idx="22">
                  <c:v>-423.82408793400003</c:v>
                </c:pt>
                <c:pt idx="23">
                  <c:v>-482.37846861720004</c:v>
                </c:pt>
                <c:pt idx="24">
                  <c:v>-423.82408793400003</c:v>
                </c:pt>
                <c:pt idx="25">
                  <c:v>-482.37846861720004</c:v>
                </c:pt>
                <c:pt idx="26">
                  <c:v>-543.746128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D96-4B09-963C-81925246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838.5</c:v>
                      </c:pt>
                      <c:pt idx="25">
                        <c:v>919.2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-77.006665171000009</c:v>
                      </c:pt>
                      <c:pt idx="1">
                        <c:v>-77.646388344000016</c:v>
                      </c:pt>
                      <c:pt idx="2">
                        <c:v>-78.310824982500023</c:v>
                      </c:pt>
                      <c:pt idx="3">
                        <c:v>-79.005272808750021</c:v>
                      </c:pt>
                      <c:pt idx="4">
                        <c:v>-79.717271158750009</c:v>
                      </c:pt>
                      <c:pt idx="5">
                        <c:v>-82.785842700750024</c:v>
                      </c:pt>
                      <c:pt idx="6">
                        <c:v>-83.594383481750015</c:v>
                      </c:pt>
                      <c:pt idx="7">
                        <c:v>-84.442513754500013</c:v>
                      </c:pt>
                      <c:pt idx="8">
                        <c:v>-85.270119684000008</c:v>
                      </c:pt>
                      <c:pt idx="9">
                        <c:v>-86.134395330000018</c:v>
                      </c:pt>
                      <c:pt idx="10">
                        <c:v>-87.038696979000008</c:v>
                      </c:pt>
                      <c:pt idx="11">
                        <c:v>-87.949120871500014</c:v>
                      </c:pt>
                      <c:pt idx="12">
                        <c:v>-88.854733440000004</c:v>
                      </c:pt>
                      <c:pt idx="13">
                        <c:v>-89.781431580500026</c:v>
                      </c:pt>
                      <c:pt idx="14">
                        <c:v>-93.637025977664493</c:v>
                      </c:pt>
                      <c:pt idx="15">
                        <c:v>-94.639639663556082</c:v>
                      </c:pt>
                      <c:pt idx="16">
                        <c:v>-95.642533321534017</c:v>
                      </c:pt>
                      <c:pt idx="17">
                        <c:v>-96.657830186084126</c:v>
                      </c:pt>
                      <c:pt idx="18">
                        <c:v>-38.847361994442693</c:v>
                      </c:pt>
                      <c:pt idx="19">
                        <c:v>-11.143034727789143</c:v>
                      </c:pt>
                      <c:pt idx="20">
                        <c:v>-2.984988406003755</c:v>
                      </c:pt>
                      <c:pt idx="21">
                        <c:v>-0.32183574954326805</c:v>
                      </c:pt>
                      <c:pt idx="22">
                        <c:v>-3.7636923941692838E-2</c:v>
                      </c:pt>
                      <c:pt idx="23">
                        <c:v>-5.5693097577178986E-5</c:v>
                      </c:pt>
                      <c:pt idx="24">
                        <c:v>-3.7636923941692838E-2</c:v>
                      </c:pt>
                      <c:pt idx="25">
                        <c:v>-5.5693097577178986E-5</c:v>
                      </c:pt>
                      <c:pt idx="26">
                        <c:v>-2.8390827119092951E-5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D96-4B09-963C-81925246AA85}"/>
                  </c:ext>
                </c:extLst>
              </c15:ser>
            </c15:filteredScatterSeries>
            <c15:filteredScatterSeries>
              <c15:ser>
                <c:idx val="13"/>
                <c:order val="2"/>
                <c:tx>
                  <c:v>Ряд3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0D96-4B09-963C-81925246AA8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838.5</c:v>
                      </c:pt>
                      <c:pt idx="25">
                        <c:v>919.2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-112.58080772100003</c:v>
                      </c:pt>
                      <c:pt idx="1">
                        <c:v>-115.83147097025001</c:v>
                      </c:pt>
                      <c:pt idx="2">
                        <c:v>-119.14749173250004</c:v>
                      </c:pt>
                      <c:pt idx="3">
                        <c:v>-122.49632289750002</c:v>
                      </c:pt>
                      <c:pt idx="4">
                        <c:v>-125.89002464750001</c:v>
                      </c:pt>
                      <c:pt idx="5">
                        <c:v>-139.86187119450003</c:v>
                      </c:pt>
                      <c:pt idx="6">
                        <c:v>-143.44874372300004</c:v>
                      </c:pt>
                      <c:pt idx="7">
                        <c:v>-147.08640260325006</c:v>
                      </c:pt>
                      <c:pt idx="8">
                        <c:v>-150.70152087400004</c:v>
                      </c:pt>
                      <c:pt idx="9">
                        <c:v>-154.37769113250005</c:v>
                      </c:pt>
                      <c:pt idx="10">
                        <c:v>-158.10508425400005</c:v>
                      </c:pt>
                      <c:pt idx="11">
                        <c:v>-161.84979647900005</c:v>
                      </c:pt>
                      <c:pt idx="12">
                        <c:v>-165.60089424</c:v>
                      </c:pt>
                      <c:pt idx="13">
                        <c:v>-169.42558364050009</c:v>
                      </c:pt>
                      <c:pt idx="14">
                        <c:v>-184.82547327766451</c:v>
                      </c:pt>
                      <c:pt idx="15">
                        <c:v>-188.77695603480609</c:v>
                      </c:pt>
                      <c:pt idx="16">
                        <c:v>-192.70648440528404</c:v>
                      </c:pt>
                      <c:pt idx="17">
                        <c:v>-196.65961284233418</c:v>
                      </c:pt>
                      <c:pt idx="18">
                        <c:v>-141.22068255694271</c:v>
                      </c:pt>
                      <c:pt idx="19">
                        <c:v>-116.19169116903915</c:v>
                      </c:pt>
                      <c:pt idx="20">
                        <c:v>-110.87207657225379</c:v>
                      </c:pt>
                      <c:pt idx="21">
                        <c:v>-111.16634999329332</c:v>
                      </c:pt>
                      <c:pt idx="22">
                        <c:v>-113.85077410519173</c:v>
                      </c:pt>
                      <c:pt idx="23">
                        <c:v>-125.72227987309762</c:v>
                      </c:pt>
                      <c:pt idx="24">
                        <c:v>-113.85077410519173</c:v>
                      </c:pt>
                      <c:pt idx="25">
                        <c:v>-125.72227987309762</c:v>
                      </c:pt>
                      <c:pt idx="26">
                        <c:v>-137.74357839082714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D96-4B09-963C-81925246AA8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55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950914030483"/>
          <c:y val="4.3911525859608953E-2"/>
          <c:w val="0.86827784684809139"/>
          <c:h val="0.85021393527448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3.8258999999999998E-18</c:v>
                </c:pt>
                <c:pt idx="6">
                  <c:v>1.6139000000000001E-13</c:v>
                </c:pt>
                <c:pt idx="7">
                  <c:v>8.4388000000000001E-11</c:v>
                </c:pt>
                <c:pt idx="8">
                  <c:v>1.4055E-9</c:v>
                </c:pt>
                <c:pt idx="9">
                  <c:v>6.719E-2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 formatCode="General">
                  <c:v>0.12</c:v>
                </c:pt>
                <c:pt idx="20" formatCode="General">
                  <c:v>0.11315</c:v>
                </c:pt>
                <c:pt idx="21" formatCode="General">
                  <c:v>0.11173</c:v>
                </c:pt>
                <c:pt idx="22" formatCode="General">
                  <c:v>0.11027000000000001</c:v>
                </c:pt>
                <c:pt idx="23" formatCode="General">
                  <c:v>0.10192</c:v>
                </c:pt>
                <c:pt idx="24" formatCode="General">
                  <c:v>0.11027000000000001</c:v>
                </c:pt>
                <c:pt idx="25" formatCode="General">
                  <c:v>0.10192</c:v>
                </c:pt>
                <c:pt idx="26" formatCode="General">
                  <c:v>8.5938000000000001E-2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F2-4C72-9FE2-1C7299990DB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0.10562000000000001</c:v>
                </c:pt>
                <c:pt idx="10">
                  <c:v>5.8947000000000003E-9</c:v>
                </c:pt>
                <c:pt idx="11">
                  <c:v>2.9583999999999998E-10</c:v>
                </c:pt>
                <c:pt idx="12">
                  <c:v>5.7976000000000003E-12</c:v>
                </c:pt>
                <c:pt idx="13">
                  <c:v>3.5656000000000001E-12</c:v>
                </c:pt>
                <c:pt idx="14">
                  <c:v>6.6780000000000004E-22</c:v>
                </c:pt>
                <c:pt idx="15">
                  <c:v>5.9907000000000002E-27</c:v>
                </c:pt>
                <c:pt idx="16">
                  <c:v>2.7018000000000001E-32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F2-4C72-9FE2-1C7299990DB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2.1572000000000002E-31</c:v>
                </c:pt>
                <c:pt idx="15">
                  <c:v>1.5057E-27</c:v>
                </c:pt>
                <c:pt idx="16">
                  <c:v>6.8638000000000005E-23</c:v>
                </c:pt>
                <c:pt idx="17">
                  <c:v>7.9580000000000003E-23</c:v>
                </c:pt>
                <c:pt idx="18">
                  <c:v>6.1874000000000002E-17</c:v>
                </c:pt>
                <c:pt idx="19" formatCode="General">
                  <c:v>5.1635999999999997E-16</c:v>
                </c:pt>
                <c:pt idx="20" formatCode="General">
                  <c:v>3.1504999999999998E-9</c:v>
                </c:pt>
                <c:pt idx="21" formatCode="General">
                  <c:v>3.9756000000000002E-7</c:v>
                </c:pt>
                <c:pt idx="22" formatCode="General">
                  <c:v>2.9050000000000001E-7</c:v>
                </c:pt>
                <c:pt idx="23" formatCode="General">
                  <c:v>6.5820000000000003E-8</c:v>
                </c:pt>
                <c:pt idx="24" formatCode="General">
                  <c:v>2.9050000000000001E-7</c:v>
                </c:pt>
                <c:pt idx="25" formatCode="General">
                  <c:v>6.5820000000000003E-8</c:v>
                </c:pt>
                <c:pt idx="26" formatCode="General">
                  <c:v>1.1147E-8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F2-4C72-9FE2-1C7299990DB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2.482E-22</c:v>
                </c:pt>
                <c:pt idx="15">
                  <c:v>4.1234E-18</c:v>
                </c:pt>
                <c:pt idx="16">
                  <c:v>4.5319000000000001E-13</c:v>
                </c:pt>
                <c:pt idx="17">
                  <c:v>2.2366E-8</c:v>
                </c:pt>
                <c:pt idx="18">
                  <c:v>2.4235E-2</c:v>
                </c:pt>
                <c:pt idx="19" formatCode="General">
                  <c:v>3.5584999999999999E-2</c:v>
                </c:pt>
                <c:pt idx="20" formatCode="General">
                  <c:v>2.9937000000000001E-7</c:v>
                </c:pt>
                <c:pt idx="21" formatCode="General">
                  <c:v>2.7884000000000001E-21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F2-4C72-9FE2-1C7299990DB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3.8258999999999998E-18</c:v>
                </c:pt>
                <c:pt idx="6">
                  <c:v>1.6139000000000001E-13</c:v>
                </c:pt>
                <c:pt idx="7">
                  <c:v>8.4388000000000001E-11</c:v>
                </c:pt>
                <c:pt idx="8">
                  <c:v>1.4055E-9</c:v>
                </c:pt>
                <c:pt idx="9">
                  <c:v>6.719E-2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 formatCode="General">
                  <c:v>0.12</c:v>
                </c:pt>
                <c:pt idx="20" formatCode="General">
                  <c:v>0.11315</c:v>
                </c:pt>
                <c:pt idx="21" formatCode="General">
                  <c:v>0.11173</c:v>
                </c:pt>
                <c:pt idx="22" formatCode="General">
                  <c:v>0.11027000000000001</c:v>
                </c:pt>
                <c:pt idx="23" formatCode="General">
                  <c:v>0.10192</c:v>
                </c:pt>
                <c:pt idx="24" formatCode="General">
                  <c:v>0.11027000000000001</c:v>
                </c:pt>
                <c:pt idx="25" formatCode="General">
                  <c:v>0.10192</c:v>
                </c:pt>
                <c:pt idx="26" formatCode="General">
                  <c:v>8.5938000000000001E-2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F2-4C72-9FE2-1C7299990DB3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4.6744E-24</c:v>
                </c:pt>
                <c:pt idx="1">
                  <c:v>8.8713000000000006E-17</c:v>
                </c:pt>
                <c:pt idx="2">
                  <c:v>7.5023000000000003E-11</c:v>
                </c:pt>
                <c:pt idx="3">
                  <c:v>2.4996999999999999E-8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0.25438</c:v>
                </c:pt>
                <c:pt idx="10">
                  <c:v>0.36</c:v>
                </c:pt>
                <c:pt idx="11">
                  <c:v>0.36</c:v>
                </c:pt>
                <c:pt idx="12">
                  <c:v>0.36</c:v>
                </c:pt>
                <c:pt idx="13">
                  <c:v>0.36</c:v>
                </c:pt>
                <c:pt idx="14">
                  <c:v>0.36</c:v>
                </c:pt>
                <c:pt idx="15">
                  <c:v>0.36</c:v>
                </c:pt>
                <c:pt idx="16">
                  <c:v>0.36</c:v>
                </c:pt>
                <c:pt idx="17">
                  <c:v>0.36</c:v>
                </c:pt>
                <c:pt idx="18">
                  <c:v>0.40847</c:v>
                </c:pt>
                <c:pt idx="19" formatCode="General">
                  <c:v>0.43117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0.47996</c:v>
                </c:pt>
                <c:pt idx="25" formatCode="General">
                  <c:v>0.48</c:v>
                </c:pt>
                <c:pt idx="26" formatCode="General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EF2-4C72-9FE2-1C7299990DB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EF2-4C72-9FE2-1C7299990DB3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6.8576999999999996E-9</c:v>
                </c:pt>
                <c:pt idx="5">
                  <c:v>3.5479000000000002E-18</c:v>
                </c:pt>
                <c:pt idx="6">
                  <c:v>3.3890000000000001E-21</c:v>
                </c:pt>
                <c:pt idx="7">
                  <c:v>2.8891000000000001E-29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EF2-4C72-9FE2-1C7299990DB3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1.5435999999999999E-32</c:v>
                </c:pt>
                <c:pt idx="12">
                  <c:v>2.2441000000000001E-26</c:v>
                </c:pt>
                <c:pt idx="13">
                  <c:v>2.012E-20</c:v>
                </c:pt>
                <c:pt idx="14">
                  <c:v>3.7214000000000002E-13</c:v>
                </c:pt>
                <c:pt idx="15">
                  <c:v>8.3488999999999999E-13</c:v>
                </c:pt>
                <c:pt idx="16">
                  <c:v>1.2235E-11</c:v>
                </c:pt>
                <c:pt idx="17">
                  <c:v>5.7031000000000002E-13</c:v>
                </c:pt>
                <c:pt idx="18">
                  <c:v>4.5874000000000001E-9</c:v>
                </c:pt>
                <c:pt idx="19" formatCode="General">
                  <c:v>3.9656000000000001E-8</c:v>
                </c:pt>
                <c:pt idx="20" formatCode="General">
                  <c:v>7.7692999999999998E-2</c:v>
                </c:pt>
                <c:pt idx="21" formatCode="General">
                  <c:v>7.9759999999999998E-2</c:v>
                </c:pt>
                <c:pt idx="22" formatCode="General">
                  <c:v>7.9973000000000002E-2</c:v>
                </c:pt>
                <c:pt idx="23" formatCode="General">
                  <c:v>0.08</c:v>
                </c:pt>
                <c:pt idx="24" formatCode="General">
                  <c:v>7.9973000000000002E-2</c:v>
                </c:pt>
                <c:pt idx="25" formatCode="General">
                  <c:v>0.08</c:v>
                </c:pt>
                <c:pt idx="26" formatCode="General">
                  <c:v>0.08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EF2-4C72-9FE2-1C7299990DB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838.5</c:v>
                </c:pt>
                <c:pt idx="25" formatCode="0">
                  <c:v>919.2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2.9877999999999998E-27</c:v>
                </c:pt>
                <c:pt idx="12">
                  <c:v>7.9918999999999997E-22</c:v>
                </c:pt>
                <c:pt idx="13">
                  <c:v>1.449E-16</c:v>
                </c:pt>
                <c:pt idx="14">
                  <c:v>9.8116000000000007E-12</c:v>
                </c:pt>
                <c:pt idx="15">
                  <c:v>6.3760999999999999E-12</c:v>
                </c:pt>
                <c:pt idx="16">
                  <c:v>2.8513E-11</c:v>
                </c:pt>
                <c:pt idx="17">
                  <c:v>4.2784000000000002E-13</c:v>
                </c:pt>
                <c:pt idx="18">
                  <c:v>1.7531999999999999E-9</c:v>
                </c:pt>
                <c:pt idx="19" formatCode="General">
                  <c:v>9.8190000000000001E-9</c:v>
                </c:pt>
                <c:pt idx="20" formatCode="General">
                  <c:v>1.3691E-2</c:v>
                </c:pt>
                <c:pt idx="21" formatCode="General">
                  <c:v>1.6542000000000001E-2</c:v>
                </c:pt>
                <c:pt idx="22" formatCode="General">
                  <c:v>1.9453999999999999E-2</c:v>
                </c:pt>
                <c:pt idx="23" formatCode="General">
                  <c:v>3.6164000000000002E-2</c:v>
                </c:pt>
                <c:pt idx="24" formatCode="General">
                  <c:v>1.9453999999999999E-2</c:v>
                </c:pt>
                <c:pt idx="25" formatCode="General">
                  <c:v>3.6164000000000002E-2</c:v>
                </c:pt>
                <c:pt idx="26" formatCode="General">
                  <c:v>6.8124000000000004E-2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EF2-4C72-9FE2-1C7299990D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EF2-4C72-9FE2-1C729999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0.04</c:v>
                      </c:pt>
                      <c:pt idx="9">
                        <c:v>0.04</c:v>
                      </c:pt>
                      <c:pt idx="10">
                        <c:v>0.04</c:v>
                      </c:pt>
                      <c:pt idx="11">
                        <c:v>0.04</c:v>
                      </c:pt>
                      <c:pt idx="12">
                        <c:v>0.04</c:v>
                      </c:pt>
                      <c:pt idx="13">
                        <c:v>0.04</c:v>
                      </c:pt>
                      <c:pt idx="14">
                        <c:v>0.04</c:v>
                      </c:pt>
                      <c:pt idx="15">
                        <c:v>0.04</c:v>
                      </c:pt>
                      <c:pt idx="16">
                        <c:v>0.04</c:v>
                      </c:pt>
                      <c:pt idx="17">
                        <c:v>0.04</c:v>
                      </c:pt>
                      <c:pt idx="18">
                        <c:v>1.5765000000000001E-2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1.3539E-5</c:v>
                      </c:pt>
                      <c:pt idx="25" formatCode="General">
                        <c:v>4.1901999999999999E-9</c:v>
                      </c:pt>
                      <c:pt idx="26" formatCode="General">
                        <c:v>2.8184000000000002E-12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5EF2-4C72-9FE2-1C7299990D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8.2863999999999999E-35</c:v>
                      </c:pt>
                      <c:pt idx="7">
                        <c:v>3.9535999999999999E-32</c:v>
                      </c:pt>
                      <c:pt idx="8">
                        <c:v>1.1802E-29</c:v>
                      </c:pt>
                      <c:pt idx="9">
                        <c:v>2.318E-27</c:v>
                      </c:pt>
                      <c:pt idx="10">
                        <c:v>3.1711999999999998E-25</c:v>
                      </c:pt>
                      <c:pt idx="11">
                        <c:v>3.1093000000000001E-23</c:v>
                      </c:pt>
                      <c:pt idx="12">
                        <c:v>2.2684999999999999E-21</c:v>
                      </c:pt>
                      <c:pt idx="13">
                        <c:v>1.2683999999999999E-19</c:v>
                      </c:pt>
                      <c:pt idx="14">
                        <c:v>1.3808E-13</c:v>
                      </c:pt>
                      <c:pt idx="15">
                        <c:v>2.8290000000000002E-12</c:v>
                      </c:pt>
                      <c:pt idx="16">
                        <c:v>4.9786000000000001E-11</c:v>
                      </c:pt>
                      <c:pt idx="17">
                        <c:v>7.6181999999999996E-10</c:v>
                      </c:pt>
                      <c:pt idx="18">
                        <c:v>4.0387000000000001E-9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3.7554E-8</c:v>
                      </c:pt>
                      <c:pt idx="25" formatCode="General">
                        <c:v>3.0196000000000001E-8</c:v>
                      </c:pt>
                      <c:pt idx="26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F2-4C72-9FE2-1C7299990D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2-4C72-9FE2-1C7299990D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</c:v>
                      </c:pt>
                      <c:pt idx="1">
                        <c:v>-18.79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-18.829999999999998</c:v>
                      </c:pt>
                      <c:pt idx="5">
                        <c:v>-18.95</c:v>
                      </c:pt>
                      <c:pt idx="6">
                        <c:v>-18.989999999999998</c:v>
                      </c:pt>
                      <c:pt idx="7">
                        <c:v>-19.03</c:v>
                      </c:pt>
                      <c:pt idx="8">
                        <c:v>-19.07</c:v>
                      </c:pt>
                      <c:pt idx="9">
                        <c:v>-19.11</c:v>
                      </c:pt>
                      <c:pt idx="10">
                        <c:v>-19.149999999999999</c:v>
                      </c:pt>
                      <c:pt idx="11">
                        <c:v>-19.190000000000001</c:v>
                      </c:pt>
                      <c:pt idx="12">
                        <c:v>-19.23</c:v>
                      </c:pt>
                      <c:pt idx="13">
                        <c:v>-19.28</c:v>
                      </c:pt>
                      <c:pt idx="14">
                        <c:v>-19.440000000000001</c:v>
                      </c:pt>
                      <c:pt idx="15">
                        <c:v>-19.489999999999998</c:v>
                      </c:pt>
                      <c:pt idx="16">
                        <c:v>-19.53</c:v>
                      </c:pt>
                      <c:pt idx="17">
                        <c:v>-19.57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-19.59</c:v>
                      </c:pt>
                      <c:pt idx="25" formatCode="General">
                        <c:v>-19.739999999999998</c:v>
                      </c:pt>
                      <c:pt idx="26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F2-4C72-9FE2-1C7299990D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-66.459999999999994</c:v>
                      </c:pt>
                      <c:pt idx="1">
                        <c:v>-62.25</c:v>
                      </c:pt>
                      <c:pt idx="2">
                        <c:v>-58.6</c:v>
                      </c:pt>
                      <c:pt idx="3">
                        <c:v>-55.41</c:v>
                      </c:pt>
                      <c:pt idx="4">
                        <c:v>-51.62</c:v>
                      </c:pt>
                      <c:pt idx="5">
                        <c:v>-37.26</c:v>
                      </c:pt>
                      <c:pt idx="6">
                        <c:v>-34.4</c:v>
                      </c:pt>
                      <c:pt idx="7">
                        <c:v>-31.76</c:v>
                      </c:pt>
                      <c:pt idx="8">
                        <c:v>-29.31</c:v>
                      </c:pt>
                      <c:pt idx="9">
                        <c:v>-27.03</c:v>
                      </c:pt>
                      <c:pt idx="10">
                        <c:v>-24.9</c:v>
                      </c:pt>
                      <c:pt idx="11">
                        <c:v>-22.91</c:v>
                      </c:pt>
                      <c:pt idx="12">
                        <c:v>-21.04</c:v>
                      </c:pt>
                      <c:pt idx="13">
                        <c:v>-19.28</c:v>
                      </c:pt>
                      <c:pt idx="14">
                        <c:v>-13.14</c:v>
                      </c:pt>
                      <c:pt idx="15">
                        <c:v>-11.8</c:v>
                      </c:pt>
                      <c:pt idx="16">
                        <c:v>-10.52</c:v>
                      </c:pt>
                      <c:pt idx="17">
                        <c:v>-9.2940000000000005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-7.8150000000000004</c:v>
                      </c:pt>
                      <c:pt idx="25" formatCode="General">
                        <c:v>-8.2360000000000007</c:v>
                      </c:pt>
                      <c:pt idx="26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F2-4C72-9FE2-1C7299990D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-4.0979999999999999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-4.8869999999999996</c:v>
                      </c:pt>
                      <c:pt idx="25" formatCode="General">
                        <c:v>-5.0709999999999997</c:v>
                      </c:pt>
                      <c:pt idx="26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EF2-4C72-9FE2-1C7299990DB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-22.18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-26.65</c:v>
                      </c:pt>
                      <c:pt idx="25" formatCode="General">
                        <c:v>-27.65</c:v>
                      </c:pt>
                      <c:pt idx="26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EF2-4C72-9FE2-1C7299990DB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F2-4C72-9FE2-1C7299990DB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EF2-4C72-9FE2-1C7299990DB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EF2-4C72-9FE2-1C7299990DB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EF2-4C72-9FE2-1C7299990DB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EF2-4C72-9FE2-1C7299990DB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EF2-4C72-9FE2-1C7299990DB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EF2-4C72-9FE2-1C7299990DB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EF2-4C72-9FE2-1C7299990DB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EF2-4C72-9FE2-1C7299990DB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EF2-4C72-9FE2-1C7299990DB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EF2-4C72-9FE2-1C7299990DB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EF2-4C72-9FE2-1C7299990DB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838.5</c:v>
                      </c:pt>
                      <c:pt idx="25" formatCode="0">
                        <c:v>919.2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EF2-4C72-9FE2-1C7299990D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5426066075994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EVALUATION!$A$101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-15.64579207920792</c:v>
                </c:pt>
                <c:pt idx="1">
                  <c:v>-15.366435643564357</c:v>
                </c:pt>
                <c:pt idx="2" formatCode="General">
                  <c:v>-15.105049504950495</c:v>
                </c:pt>
                <c:pt idx="3" formatCode="General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-4.8310396039603951</c:v>
                </c:pt>
                <c:pt idx="27" formatCode="General">
                  <c:v>-4.4940099009900978</c:v>
                </c:pt>
                <c:pt idx="28" formatCode="General">
                  <c:v>-4.1569801980198005</c:v>
                </c:pt>
                <c:pt idx="29" formatCode="General">
                  <c:v>-4.1149900990099013</c:v>
                </c:pt>
                <c:pt idx="30" formatCode="General">
                  <c:v>-4.1355841584158419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-5.1124158415841583</c:v>
                </c:pt>
                <c:pt idx="80" formatCode="General">
                  <c:v>-5.1300396039603955</c:v>
                </c:pt>
                <c:pt idx="81" formatCode="General">
                  <c:v>-5.1476633663366336</c:v>
                </c:pt>
                <c:pt idx="82" formatCode="General">
                  <c:v>-5.1652871287128708</c:v>
                </c:pt>
                <c:pt idx="83" formatCode="General">
                  <c:v>-5.1829108910891089</c:v>
                </c:pt>
                <c:pt idx="84" formatCode="General">
                  <c:v>-5.200534653465346</c:v>
                </c:pt>
                <c:pt idx="85" formatCode="General">
                  <c:v>-5.2181584158415841</c:v>
                </c:pt>
                <c:pt idx="86" formatCode="General">
                  <c:v>-5.2357821782178213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04-46F0-833E-2788F418E0A5}"/>
            </c:ext>
          </c:extLst>
        </c:ser>
        <c:ser>
          <c:idx val="42"/>
          <c:order val="43"/>
          <c:tx>
            <c:strRef>
              <c:f>EVALUATION!$A$144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EVALUATION!$B$144:$CP$144</c:f>
              <c:numCache>
                <c:formatCode>0</c:formatCode>
                <c:ptCount val="93"/>
                <c:pt idx="0">
                  <c:v>-16.250297029702971</c:v>
                </c:pt>
                <c:pt idx="1">
                  <c:v>-15.853366336633664</c:v>
                </c:pt>
                <c:pt idx="2" formatCode="General">
                  <c:v>-15.433564356435644</c:v>
                </c:pt>
                <c:pt idx="3" formatCode="General">
                  <c:v>-15.008069306930691</c:v>
                </c:pt>
                <c:pt idx="4" formatCode="General">
                  <c:v>-14.497178217821782</c:v>
                </c:pt>
                <c:pt idx="5" formatCode="General">
                  <c:v>-13.98628712871287</c:v>
                </c:pt>
                <c:pt idx="6" formatCode="General">
                  <c:v>-13.447722772277228</c:v>
                </c:pt>
                <c:pt idx="7" formatCode="General">
                  <c:v>-12.885346534653465</c:v>
                </c:pt>
                <c:pt idx="8" formatCode="General">
                  <c:v>-12.324013613861386</c:v>
                </c:pt>
                <c:pt idx="9" formatCode="General">
                  <c:v>-11.845102722772276</c:v>
                </c:pt>
                <c:pt idx="10" formatCode="General">
                  <c:v>-11.366191831683167</c:v>
                </c:pt>
                <c:pt idx="11" formatCode="General">
                  <c:v>-10.887280940594058</c:v>
                </c:pt>
                <c:pt idx="12" formatCode="General">
                  <c:v>-10.408370049504949</c:v>
                </c:pt>
                <c:pt idx="13" formatCode="General">
                  <c:v>-9.92945915841584</c:v>
                </c:pt>
                <c:pt idx="14" formatCode="General">
                  <c:v>-9.4505482673267309</c:v>
                </c:pt>
                <c:pt idx="15" formatCode="General">
                  <c:v>-8.9716373762376236</c:v>
                </c:pt>
                <c:pt idx="16" formatCode="General">
                  <c:v>-8.4927264851485145</c:v>
                </c:pt>
                <c:pt idx="17" formatCode="General">
                  <c:v>-8.0138155940594054</c:v>
                </c:pt>
                <c:pt idx="18" formatCode="General">
                  <c:v>-7.5349047029702962</c:v>
                </c:pt>
                <c:pt idx="19" formatCode="General">
                  <c:v>-7.2324405940594056</c:v>
                </c:pt>
                <c:pt idx="20" formatCode="General">
                  <c:v>-6.9468960396039598</c:v>
                </c:pt>
                <c:pt idx="21" formatCode="General">
                  <c:v>-6.6994108910891086</c:v>
                </c:pt>
                <c:pt idx="22" formatCode="General">
                  <c:v>-6.512084158415842</c:v>
                </c:pt>
                <c:pt idx="23" formatCode="General">
                  <c:v>-6.3247574257425754</c:v>
                </c:pt>
                <c:pt idx="24" formatCode="General">
                  <c:v>-6.2070000000000007</c:v>
                </c:pt>
                <c:pt idx="25" formatCode="General">
                  <c:v>-6.1003333333333334</c:v>
                </c:pt>
                <c:pt idx="26" formatCode="General">
                  <c:v>-6.014366336633663</c:v>
                </c:pt>
                <c:pt idx="27" formatCode="General">
                  <c:v>-5.9668415841584155</c:v>
                </c:pt>
                <c:pt idx="28" formatCode="General">
                  <c:v>-5.9193168316831679</c:v>
                </c:pt>
                <c:pt idx="29" formatCode="General">
                  <c:v>-5.9002178217821779</c:v>
                </c:pt>
                <c:pt idx="30" formatCode="General">
                  <c:v>-5.8871485148514848</c:v>
                </c:pt>
                <c:pt idx="31" formatCode="General">
                  <c:v>-5.8794257425742575</c:v>
                </c:pt>
                <c:pt idx="32" formatCode="General">
                  <c:v>-5.8841782178217823</c:v>
                </c:pt>
                <c:pt idx="33" formatCode="General">
                  <c:v>-5.8889306930693071</c:v>
                </c:pt>
                <c:pt idx="34" formatCode="General">
                  <c:v>-5.9001287128712869</c:v>
                </c:pt>
                <c:pt idx="35" formatCode="General">
                  <c:v>-5.91319801980198</c:v>
                </c:pt>
                <c:pt idx="36" formatCode="General">
                  <c:v>-5.9271584158415838</c:v>
                </c:pt>
                <c:pt idx="37" formatCode="General">
                  <c:v>-5.9437920792079204</c:v>
                </c:pt>
                <c:pt idx="38" formatCode="General">
                  <c:v>-5.9604257425742571</c:v>
                </c:pt>
                <c:pt idx="39" formatCode="General">
                  <c:v>-5.9782079207920793</c:v>
                </c:pt>
                <c:pt idx="40" formatCode="General">
                  <c:v>-5.9964257425742575</c:v>
                </c:pt>
                <c:pt idx="41" formatCode="General">
                  <c:v>-6.014881188118812</c:v>
                </c:pt>
                <c:pt idx="42" formatCode="General">
                  <c:v>-6.0342871287128714</c:v>
                </c:pt>
                <c:pt idx="43" formatCode="General">
                  <c:v>-6.05369306930693</c:v>
                </c:pt>
                <c:pt idx="44" formatCode="General">
                  <c:v>-6.0741683168316829</c:v>
                </c:pt>
                <c:pt idx="45" formatCode="General">
                  <c:v>-6.0951584158415848</c:v>
                </c:pt>
                <c:pt idx="46" formatCode="General">
                  <c:v>-6.1166831683168326</c:v>
                </c:pt>
                <c:pt idx="47" formatCode="General">
                  <c:v>-6.1412376237623763</c:v>
                </c:pt>
                <c:pt idx="48" formatCode="General">
                  <c:v>-6.1657920792079208</c:v>
                </c:pt>
                <c:pt idx="49" formatCode="General">
                  <c:v>-6.1947645600991326</c:v>
                </c:pt>
                <c:pt idx="50" formatCode="General">
                  <c:v>-6.2263878562577446</c:v>
                </c:pt>
                <c:pt idx="51" formatCode="General">
                  <c:v>-6.2580111524163566</c:v>
                </c:pt>
                <c:pt idx="52" formatCode="General">
                  <c:v>-6.2896344485749687</c:v>
                </c:pt>
                <c:pt idx="53" formatCode="General">
                  <c:v>-6.3212577447335807</c:v>
                </c:pt>
                <c:pt idx="54" formatCode="General">
                  <c:v>-6.3528810408921927</c:v>
                </c:pt>
                <c:pt idx="55" formatCode="General">
                  <c:v>-6.3845043370508048</c:v>
                </c:pt>
                <c:pt idx="56" formatCode="General">
                  <c:v>-6.4161276332094168</c:v>
                </c:pt>
                <c:pt idx="57" formatCode="General">
                  <c:v>-6.4477509293680297</c:v>
                </c:pt>
                <c:pt idx="58" formatCode="General">
                  <c:v>-6.4793742255266418</c:v>
                </c:pt>
                <c:pt idx="59" formatCode="General">
                  <c:v>-6.5059207920792073</c:v>
                </c:pt>
                <c:pt idx="60" formatCode="General">
                  <c:v>-6.5280990099009895</c:v>
                </c:pt>
                <c:pt idx="61" formatCode="General">
                  <c:v>-6.5502772277227725</c:v>
                </c:pt>
                <c:pt idx="62" formatCode="General">
                  <c:v>-6.5724554455445547</c:v>
                </c:pt>
                <c:pt idx="63" formatCode="General">
                  <c:v>-6.5946336633663361</c:v>
                </c:pt>
                <c:pt idx="64" formatCode="General">
                  <c:v>-6.6166188118811879</c:v>
                </c:pt>
                <c:pt idx="65" formatCode="General">
                  <c:v>-6.6384009900990097</c:v>
                </c:pt>
                <c:pt idx="66" formatCode="General">
                  <c:v>-6.6601831683168315</c:v>
                </c:pt>
                <c:pt idx="67" formatCode="General">
                  <c:v>-6.6827277227722774</c:v>
                </c:pt>
                <c:pt idx="68" formatCode="General">
                  <c:v>-6.70530198019802</c:v>
                </c:pt>
                <c:pt idx="69" formatCode="General">
                  <c:v>-6.7275297029702967</c:v>
                </c:pt>
                <c:pt idx="70" formatCode="General">
                  <c:v>-6.7493118811881185</c:v>
                </c:pt>
                <c:pt idx="71" formatCode="General">
                  <c:v>-6.7710940594059403</c:v>
                </c:pt>
                <c:pt idx="72" formatCode="General">
                  <c:v>-6.787816831683168</c:v>
                </c:pt>
                <c:pt idx="73" formatCode="General">
                  <c:v>-6.8040544554455442</c:v>
                </c:pt>
                <c:pt idx="74" formatCode="General">
                  <c:v>-6.8201691542288554</c:v>
                </c:pt>
                <c:pt idx="75" formatCode="General">
                  <c:v>-6.8360895522388061</c:v>
                </c:pt>
                <c:pt idx="76" formatCode="General">
                  <c:v>-6.8520099502487559</c:v>
                </c:pt>
                <c:pt idx="77" formatCode="General">
                  <c:v>-6.867861386138614</c:v>
                </c:pt>
                <c:pt idx="78" formatCode="General">
                  <c:v>-6.8837029702970298</c:v>
                </c:pt>
                <c:pt idx="79" formatCode="General">
                  <c:v>-6.8998910891089107</c:v>
                </c:pt>
                <c:pt idx="80" formatCode="General">
                  <c:v>-6.916722772277228</c:v>
                </c:pt>
                <c:pt idx="81" formatCode="General">
                  <c:v>-6.9335544554455444</c:v>
                </c:pt>
                <c:pt idx="82" formatCode="General">
                  <c:v>-6.9503861386138617</c:v>
                </c:pt>
                <c:pt idx="83" formatCode="General">
                  <c:v>-6.9672178217821781</c:v>
                </c:pt>
                <c:pt idx="84" formatCode="General">
                  <c:v>-6.9840495049504954</c:v>
                </c:pt>
                <c:pt idx="85" formatCode="General">
                  <c:v>-7.0008811881188118</c:v>
                </c:pt>
                <c:pt idx="86" formatCode="General">
                  <c:v>-7.0177128712871291</c:v>
                </c:pt>
                <c:pt idx="87" formatCode="General">
                  <c:v>-7.0345445544554455</c:v>
                </c:pt>
                <c:pt idx="88" formatCode="General">
                  <c:v>-7.0513762376237628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4A04-46F0-833E-2788F418E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 formatCode="General">
                        <c:v>-36.555742574257422</c:v>
                      </c:pt>
                      <c:pt idx="3" formatCode="General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-26.752623762376238</c:v>
                      </c:pt>
                      <c:pt idx="27" formatCode="General">
                        <c:v>-26.534405940594059</c:v>
                      </c:pt>
                      <c:pt idx="28" formatCode="General">
                        <c:v>-26.31618811881188</c:v>
                      </c:pt>
                      <c:pt idx="29" formatCode="General">
                        <c:v>-26.39627722772277</c:v>
                      </c:pt>
                      <c:pt idx="30" formatCode="General">
                        <c:v>-26.539643564356435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-32.988108910891086</c:v>
                      </c:pt>
                      <c:pt idx="80" formatCode="General">
                        <c:v>-33.101772277227717</c:v>
                      </c:pt>
                      <c:pt idx="81" formatCode="General">
                        <c:v>-33.215435643564355</c:v>
                      </c:pt>
                      <c:pt idx="82" formatCode="General">
                        <c:v>-33.329099009900986</c:v>
                      </c:pt>
                      <c:pt idx="83" formatCode="General">
                        <c:v>-33.442762376237624</c:v>
                      </c:pt>
                      <c:pt idx="84" formatCode="General">
                        <c:v>-33.556425742574255</c:v>
                      </c:pt>
                      <c:pt idx="85" formatCode="General">
                        <c:v>-33.670089108910894</c:v>
                      </c:pt>
                      <c:pt idx="86" formatCode="General">
                        <c:v>-33.783752475247525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A04-46F0-833E-2788F418E0A5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4A04-46F0-833E-2788F418E0A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A04-46F0-833E-2788F418E0A5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A04-46F0-833E-2788F418E0A5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A04-46F0-833E-2788F418E0A5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A04-46F0-833E-2788F418E0A5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 formatCode="General">
                        <c:v>-58.006435643564352</c:v>
                      </c:pt>
                      <c:pt idx="3" formatCode="General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-48.674207920792078</c:v>
                      </c:pt>
                      <c:pt idx="27" formatCode="General">
                        <c:v>-48.574801980198018</c:v>
                      </c:pt>
                      <c:pt idx="28" formatCode="General">
                        <c:v>-48.475396039603957</c:v>
                      </c:pt>
                      <c:pt idx="29" formatCode="General">
                        <c:v>-48.677564356435639</c:v>
                      </c:pt>
                      <c:pt idx="30" formatCode="General">
                        <c:v>-48.943702970297025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-60.863801980198019</c:v>
                      </c:pt>
                      <c:pt idx="80" formatCode="General">
                        <c:v>-61.07350495049505</c:v>
                      </c:pt>
                      <c:pt idx="81" formatCode="General">
                        <c:v>-61.28320792079208</c:v>
                      </c:pt>
                      <c:pt idx="82" formatCode="General">
                        <c:v>-61.49291089108911</c:v>
                      </c:pt>
                      <c:pt idx="83" formatCode="General">
                        <c:v>-61.702613861386141</c:v>
                      </c:pt>
                      <c:pt idx="84" formatCode="General">
                        <c:v>-61.912316831683171</c:v>
                      </c:pt>
                      <c:pt idx="85" formatCode="General">
                        <c:v>-62.122019801980201</c:v>
                      </c:pt>
                      <c:pt idx="86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A04-46F0-833E-2788F418E0A5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-193.07227722772276</c:v>
                      </c:pt>
                      <c:pt idx="1">
                        <c:v>-188.53178217821781</c:v>
                      </c:pt>
                      <c:pt idx="2" formatCode="General">
                        <c:v>-184.26247524752475</c:v>
                      </c:pt>
                      <c:pt idx="3" formatCode="General">
                        <c:v>-180.02707920792079</c:v>
                      </c:pt>
                      <c:pt idx="4" formatCode="General">
                        <c:v>-176.30034653465344</c:v>
                      </c:pt>
                      <c:pt idx="5" formatCode="General">
                        <c:v>-172.57361386138612</c:v>
                      </c:pt>
                      <c:pt idx="6" formatCode="General">
                        <c:v>-169.08316831683169</c:v>
                      </c:pt>
                      <c:pt idx="7" formatCode="General">
                        <c:v>-165.79603960396039</c:v>
                      </c:pt>
                      <c:pt idx="8" formatCode="General">
                        <c:v>-162.51891089108912</c:v>
                      </c:pt>
                      <c:pt idx="9" formatCode="General">
                        <c:v>-160.03178217821784</c:v>
                      </c:pt>
                      <c:pt idx="10" formatCode="General">
                        <c:v>-157.54465346534653</c:v>
                      </c:pt>
                      <c:pt idx="11" formatCode="General">
                        <c:v>-155.05752475247525</c:v>
                      </c:pt>
                      <c:pt idx="12" formatCode="General">
                        <c:v>-152.57039603960396</c:v>
                      </c:pt>
                      <c:pt idx="13" formatCode="General">
                        <c:v>-150.08326732673268</c:v>
                      </c:pt>
                      <c:pt idx="14" formatCode="General">
                        <c:v>-147.5961386138614</c:v>
                      </c:pt>
                      <c:pt idx="15" formatCode="General">
                        <c:v>-145.10900990099009</c:v>
                      </c:pt>
                      <c:pt idx="16" formatCode="General">
                        <c:v>-142.62188118811881</c:v>
                      </c:pt>
                      <c:pt idx="17" formatCode="General">
                        <c:v>-140.13475247524752</c:v>
                      </c:pt>
                      <c:pt idx="18" formatCode="General">
                        <c:v>-137.64762376237624</c:v>
                      </c:pt>
                      <c:pt idx="19" formatCode="General">
                        <c:v>-135.6881188118812</c:v>
                      </c:pt>
                      <c:pt idx="20" formatCode="General">
                        <c:v>-133.77920792079209</c:v>
                      </c:pt>
                      <c:pt idx="21" formatCode="General">
                        <c:v>-131.94242574257427</c:v>
                      </c:pt>
                      <c:pt idx="22" formatCode="General">
                        <c:v>-130.21965346534654</c:v>
                      </c:pt>
                      <c:pt idx="23" formatCode="General">
                        <c:v>-128.49688118811881</c:v>
                      </c:pt>
                      <c:pt idx="24" formatCode="General">
                        <c:v>-126.88686567164179</c:v>
                      </c:pt>
                      <c:pt idx="25" formatCode="General">
                        <c:v>-125.29482587064676</c:v>
                      </c:pt>
                      <c:pt idx="26" formatCode="General">
                        <c:v>-123.75267326732673</c:v>
                      </c:pt>
                      <c:pt idx="27" formatCode="General">
                        <c:v>-122.30316831683167</c:v>
                      </c:pt>
                      <c:pt idx="28" formatCode="General">
                        <c:v>-120.85366336633662</c:v>
                      </c:pt>
                      <c:pt idx="29" formatCode="General">
                        <c:v>-119.5119801980198</c:v>
                      </c:pt>
                      <c:pt idx="30" formatCode="General">
                        <c:v>-118.19316831683167</c:v>
                      </c:pt>
                      <c:pt idx="31" formatCode="General">
                        <c:v>-116.90405940594059</c:v>
                      </c:pt>
                      <c:pt idx="32" formatCode="General">
                        <c:v>-115.68425742574257</c:v>
                      </c:pt>
                      <c:pt idx="33" formatCode="General">
                        <c:v>-114.46445544554454</c:v>
                      </c:pt>
                      <c:pt idx="34" formatCode="General">
                        <c:v>-113.30910891089108</c:v>
                      </c:pt>
                      <c:pt idx="35" formatCode="General">
                        <c:v>-112.17247524752474</c:v>
                      </c:pt>
                      <c:pt idx="36" formatCode="General">
                        <c:v>-111.05762376237624</c:v>
                      </c:pt>
                      <c:pt idx="37" formatCode="General">
                        <c:v>-110.00811881188119</c:v>
                      </c:pt>
                      <c:pt idx="38" formatCode="General">
                        <c:v>-108.95861386138614</c:v>
                      </c:pt>
                      <c:pt idx="39" formatCode="General">
                        <c:v>-108.0340099009901</c:v>
                      </c:pt>
                      <c:pt idx="40" formatCode="General">
                        <c:v>-107.15678217821782</c:v>
                      </c:pt>
                      <c:pt idx="41" formatCode="General">
                        <c:v>-106.27955445544555</c:v>
                      </c:pt>
                      <c:pt idx="42" formatCode="General">
                        <c:v>-105.40232673267327</c:v>
                      </c:pt>
                      <c:pt idx="43" formatCode="General">
                        <c:v>-104.525099009901</c:v>
                      </c:pt>
                      <c:pt idx="44" formatCode="General">
                        <c:v>-103.64787128712872</c:v>
                      </c:pt>
                      <c:pt idx="45" formatCode="General">
                        <c:v>-102.77064356435643</c:v>
                      </c:pt>
                      <c:pt idx="46" formatCode="General">
                        <c:v>-101.89341584158416</c:v>
                      </c:pt>
                      <c:pt idx="47" formatCode="General">
                        <c:v>-101.01618811881188</c:v>
                      </c:pt>
                      <c:pt idx="48" formatCode="General">
                        <c:v>-100.13896039603961</c:v>
                      </c:pt>
                      <c:pt idx="49" formatCode="General">
                        <c:v>-99.352288557213939</c:v>
                      </c:pt>
                      <c:pt idx="50" formatCode="General">
                        <c:v>-98.619950248756226</c:v>
                      </c:pt>
                      <c:pt idx="51" formatCode="General">
                        <c:v>-97.892029702970291</c:v>
                      </c:pt>
                      <c:pt idx="52" formatCode="General">
                        <c:v>-97.198960396039595</c:v>
                      </c:pt>
                      <c:pt idx="53" formatCode="General">
                        <c:v>-96.5058910891089</c:v>
                      </c:pt>
                      <c:pt idx="54" formatCode="General">
                        <c:v>-95.837950495049498</c:v>
                      </c:pt>
                      <c:pt idx="55" formatCode="General">
                        <c:v>-95.187653465346528</c:v>
                      </c:pt>
                      <c:pt idx="56" formatCode="General">
                        <c:v>-94.560574257425742</c:v>
                      </c:pt>
                      <c:pt idx="57" formatCode="General">
                        <c:v>-94.281762376237637</c:v>
                      </c:pt>
                      <c:pt idx="58" formatCode="General">
                        <c:v>-94.002950495049518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-100.32663366336634</c:v>
                      </c:pt>
                      <c:pt idx="80" formatCode="General">
                        <c:v>-100.71158415841583</c:v>
                      </c:pt>
                      <c:pt idx="81" formatCode="General">
                        <c:v>-101.09653465346534</c:v>
                      </c:pt>
                      <c:pt idx="82" formatCode="General">
                        <c:v>-101.48148514851485</c:v>
                      </c:pt>
                      <c:pt idx="83" formatCode="General">
                        <c:v>-101.86643564356436</c:v>
                      </c:pt>
                      <c:pt idx="84" formatCode="General">
                        <c:v>-102.25138613861387</c:v>
                      </c:pt>
                      <c:pt idx="85" formatCode="General">
                        <c:v>-102.63633663366336</c:v>
                      </c:pt>
                      <c:pt idx="86" formatCode="General">
                        <c:v>-103.02128712871287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04-46F0-833E-2788F418E0A5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A04-46F0-833E-2788F418E0A5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A04-46F0-833E-2788F418E0A5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04-46F0-833E-2788F418E0A5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04-46F0-833E-2788F418E0A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A04-46F0-833E-2788F418E0A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A04-46F0-833E-2788F418E0A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>
                    <a:solidFill>
                      <a:schemeClr val="accent1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A04-46F0-833E-2788F418E0A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A04-46F0-833E-2788F418E0A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4A04-46F0-833E-2788F418E0A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4A04-46F0-833E-2788F418E0A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4A04-46F0-833E-2788F418E0A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4A04-46F0-833E-2788F418E0A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4A04-46F0-833E-2788F418E0A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4A04-46F0-833E-2788F418E0A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4A04-46F0-833E-2788F418E0A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4A04-46F0-833E-2788F418E0A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4A04-46F0-833E-2788F418E0A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A04-46F0-833E-2788F418E0A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4A04-46F0-833E-2788F418E0A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4A04-46F0-833E-2788F418E0A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4A04-46F0-833E-2788F418E0A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92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A04-46F0-833E-2788F418E0A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 formatCode="General">
                        <c:v>306</c:v>
                      </c:pt>
                      <c:pt idx="3" formatCode="General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4A04-46F0-833E-2788F418E0A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A04-46F0-833E-2788F418E0A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4A04-46F0-833E-2788F418E0A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A04-46F0-833E-2788F418E0A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4A04-46F0-833E-2788F418E0A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A04-46F0-833E-2788F418E0A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4A04-46F0-833E-2788F418E0A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A04-46F0-833E-2788F418E0A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chemeClr val="accent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4A04-46F0-833E-2788F418E0A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A04-46F0-833E-2788F418E0A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4-4A04-46F0-833E-2788F418E0A5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A04-46F0-833E-2788F418E0A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6-4A04-46F0-833E-2788F418E0A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8-4A04-46F0-833E-2788F418E0A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A04-46F0-833E-2788F418E0A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A-4A04-46F0-833E-2788F418E0A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B-4A04-46F0-833E-2788F418E0A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C-4A04-46F0-833E-2788F418E0A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4A04-46F0-833E-2788F418E0A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E-4A04-46F0-833E-2788F418E0A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F-4A04-46F0-833E-2788F418E0A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0-4A04-46F0-833E-2788F418E0A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1-4A04-46F0-833E-2788F418E0A5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EVALUATION!$B$155:$CP$155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2-4A04-46F0-833E-2788F418E0A5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EVALUATION!$B$156:$CP$156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3-4A04-46F0-833E-2788F418E0A5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EVALUATION!$B$157:$CP$157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4-4A04-46F0-833E-2788F418E0A5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EVALUATION!$B$158:$CP$158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5-4A04-46F0-833E-2788F418E0A5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EVALUATION!$B$159:$CP$159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6-4A04-46F0-833E-2788F418E0A5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EVALUATION!$B$160:$CP$160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7-4A04-46F0-833E-2788F418E0A5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  <c:pt idx="0">
                        <c:v>End2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EVALUATION!$B$161:$CP$161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4A04-46F0-833E-2788F418E0A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23929986372433"/>
          <c:y val="1.364941582918454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tx>
            <c:strRef>
              <c:f>EVALUATION!$A$103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dPt>
            <c:idx val="1"/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41A2-4E8C-B290-4D717775A019}"/>
              </c:ext>
            </c:extLst>
          </c:dPt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-62.937772277227722</c:v>
                </c:pt>
                <c:pt idx="1">
                  <c:v>-61.400742574257428</c:v>
                </c:pt>
                <c:pt idx="2" formatCode="General">
                  <c:v>-59.955198019801983</c:v>
                </c:pt>
                <c:pt idx="3" formatCode="General">
                  <c:v>-58.521039603960396</c:v>
                </c:pt>
                <c:pt idx="4" formatCode="General">
                  <c:v>-57.25767326732673</c:v>
                </c:pt>
                <c:pt idx="5" formatCode="General">
                  <c:v>-55.994306930693064</c:v>
                </c:pt>
                <c:pt idx="6" formatCode="General">
                  <c:v>-54.603217821782174</c:v>
                </c:pt>
                <c:pt idx="7" formatCode="General">
                  <c:v>-53.10222772277227</c:v>
                </c:pt>
                <c:pt idx="8" formatCode="General">
                  <c:v>-51.60222772277227</c:v>
                </c:pt>
                <c:pt idx="9" formatCode="General">
                  <c:v>-50.180445544554452</c:v>
                </c:pt>
                <c:pt idx="10" formatCode="General">
                  <c:v>-48.758663366336627</c:v>
                </c:pt>
                <c:pt idx="11" formatCode="General">
                  <c:v>-47.336881188118809</c:v>
                </c:pt>
                <c:pt idx="12" formatCode="General">
                  <c:v>-45.915099009900985</c:v>
                </c:pt>
                <c:pt idx="13" formatCode="General">
                  <c:v>-44.49331683168316</c:v>
                </c:pt>
                <c:pt idx="14" formatCode="General">
                  <c:v>-43.071534653465342</c:v>
                </c:pt>
                <c:pt idx="15" formatCode="General">
                  <c:v>-41.649752475247524</c:v>
                </c:pt>
                <c:pt idx="16" formatCode="General">
                  <c:v>-40.2279702970297</c:v>
                </c:pt>
                <c:pt idx="17" formatCode="General">
                  <c:v>-38.806188118811875</c:v>
                </c:pt>
                <c:pt idx="18" formatCode="General">
                  <c:v>-37.384405940594057</c:v>
                </c:pt>
                <c:pt idx="19" formatCode="General">
                  <c:v>-36.226435643564351</c:v>
                </c:pt>
                <c:pt idx="20" formatCode="General">
                  <c:v>-35.093762376237621</c:v>
                </c:pt>
                <c:pt idx="21" formatCode="General">
                  <c:v>-33.994851485148509</c:v>
                </c:pt>
                <c:pt idx="22" formatCode="General">
                  <c:v>-32.949306930693069</c:v>
                </c:pt>
                <c:pt idx="23" formatCode="General">
                  <c:v>-31.903762376237626</c:v>
                </c:pt>
                <c:pt idx="24" formatCode="General">
                  <c:v>-30.918955223880598</c:v>
                </c:pt>
                <c:pt idx="25" formatCode="General">
                  <c:v>-29.943830845771142</c:v>
                </c:pt>
                <c:pt idx="26" formatCode="General">
                  <c:v>-28.993960396039601</c:v>
                </c:pt>
                <c:pt idx="27" formatCode="General">
                  <c:v>-28.0909900990099</c:v>
                </c:pt>
                <c:pt idx="28" formatCode="General">
                  <c:v>-27.188019801980197</c:v>
                </c:pt>
                <c:pt idx="29" formatCode="General">
                  <c:v>-26.334059405940593</c:v>
                </c:pt>
                <c:pt idx="30" formatCode="General">
                  <c:v>-25.49049504950495</c:v>
                </c:pt>
                <c:pt idx="31" formatCode="General">
                  <c:v>-24.663564356435643</c:v>
                </c:pt>
                <c:pt idx="32" formatCode="General">
                  <c:v>-23.875445544554452</c:v>
                </c:pt>
                <c:pt idx="33" formatCode="General">
                  <c:v>-23.087326732673262</c:v>
                </c:pt>
                <c:pt idx="34" formatCode="General">
                  <c:v>-22.336039603960394</c:v>
                </c:pt>
                <c:pt idx="35" formatCode="General">
                  <c:v>-21.595445544554455</c:v>
                </c:pt>
                <c:pt idx="36" formatCode="General">
                  <c:v>-20.865742574257425</c:v>
                </c:pt>
                <c:pt idx="37" formatCode="General">
                  <c:v>-20.168712871287131</c:v>
                </c:pt>
                <c:pt idx="38" formatCode="General">
                  <c:v>-19.471683168316837</c:v>
                </c:pt>
                <c:pt idx="39" formatCode="General">
                  <c:v>-18.839257425742577</c:v>
                </c:pt>
                <c:pt idx="40" formatCode="General">
                  <c:v>-18.231336633663371</c:v>
                </c:pt>
                <c:pt idx="41" formatCode="General">
                  <c:v>-17.623415841584162</c:v>
                </c:pt>
                <c:pt idx="42" formatCode="General">
                  <c:v>-17.015495049504953</c:v>
                </c:pt>
                <c:pt idx="43" formatCode="General">
                  <c:v>-16.407574257425743</c:v>
                </c:pt>
                <c:pt idx="44" formatCode="General">
                  <c:v>-15.799653465346537</c:v>
                </c:pt>
                <c:pt idx="45" formatCode="General">
                  <c:v>-15.191732673267328</c:v>
                </c:pt>
                <c:pt idx="46" formatCode="General">
                  <c:v>-14.583811881188119</c:v>
                </c:pt>
                <c:pt idx="47" formatCode="General">
                  <c:v>-13.975891089108913</c:v>
                </c:pt>
                <c:pt idx="48" formatCode="General">
                  <c:v>-13.367970297029704</c:v>
                </c:pt>
                <c:pt idx="49" formatCode="General">
                  <c:v>-12.806666666666668</c:v>
                </c:pt>
                <c:pt idx="50" formatCode="General">
                  <c:v>-12.273333333333335</c:v>
                </c:pt>
                <c:pt idx="51" formatCode="General">
                  <c:v>-11.742970297029705</c:v>
                </c:pt>
                <c:pt idx="52" formatCode="General">
                  <c:v>-11.236039603960396</c:v>
                </c:pt>
                <c:pt idx="53" formatCode="General">
                  <c:v>-10.729108910891087</c:v>
                </c:pt>
                <c:pt idx="54" formatCode="General">
                  <c:v>-10.234742574257423</c:v>
                </c:pt>
                <c:pt idx="55" formatCode="General">
                  <c:v>-9.7491980198019785</c:v>
                </c:pt>
                <c:pt idx="56" formatCode="General">
                  <c:v>-9.2752623762376238</c:v>
                </c:pt>
                <c:pt idx="57" formatCode="General">
                  <c:v>-8.9754603960396047</c:v>
                </c:pt>
                <c:pt idx="58" formatCode="General">
                  <c:v>-8.6756584158415855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-8.3497772277227718</c:v>
                </c:pt>
                <c:pt idx="80" formatCode="General">
                  <c:v>-8.3981930693069309</c:v>
                </c:pt>
                <c:pt idx="81" formatCode="General">
                  <c:v>-8.44660891089109</c:v>
                </c:pt>
                <c:pt idx="82" formatCode="General">
                  <c:v>-8.4950247524752474</c:v>
                </c:pt>
                <c:pt idx="83" formatCode="General">
                  <c:v>-8.5434405940594065</c:v>
                </c:pt>
                <c:pt idx="84" formatCode="General">
                  <c:v>-8.5918564356435638</c:v>
                </c:pt>
                <c:pt idx="85" formatCode="General">
                  <c:v>-8.640272277227723</c:v>
                </c:pt>
                <c:pt idx="86" formatCode="General">
                  <c:v>-8.6886881188118803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1A2-4E8C-B290-4D717775A019}"/>
            </c:ext>
          </c:extLst>
        </c:ser>
        <c:ser>
          <c:idx val="43"/>
          <c:order val="44"/>
          <c:tx>
            <c:strRef>
              <c:f>EVALUATION!$A$145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EVALUATION!$B$145:$CP$145</c:f>
              <c:numCache>
                <c:formatCode>0</c:formatCode>
                <c:ptCount val="93"/>
                <c:pt idx="0">
                  <c:v>-63.093910891089116</c:v>
                </c:pt>
                <c:pt idx="1">
                  <c:v>-61.414405940594065</c:v>
                </c:pt>
                <c:pt idx="2" formatCode="General">
                  <c:v>-59.770841584158418</c:v>
                </c:pt>
                <c:pt idx="3" formatCode="General">
                  <c:v>-58.128019801980194</c:v>
                </c:pt>
                <c:pt idx="4" formatCode="General">
                  <c:v>-56.496336633663361</c:v>
                </c:pt>
                <c:pt idx="5" formatCode="General">
                  <c:v>-54.864653465346535</c:v>
                </c:pt>
                <c:pt idx="6" formatCode="General">
                  <c:v>-53.239356435643565</c:v>
                </c:pt>
                <c:pt idx="7" formatCode="General">
                  <c:v>-51.619554455445545</c:v>
                </c:pt>
                <c:pt idx="8" formatCode="General">
                  <c:v>-50.002846534653465</c:v>
                </c:pt>
                <c:pt idx="9" formatCode="General">
                  <c:v>-48.630569306930688</c:v>
                </c:pt>
                <c:pt idx="10" formatCode="General">
                  <c:v>-47.258292079207919</c:v>
                </c:pt>
                <c:pt idx="11" formatCode="General">
                  <c:v>-45.886014851485143</c:v>
                </c:pt>
                <c:pt idx="12" formatCode="General">
                  <c:v>-44.513737623762374</c:v>
                </c:pt>
                <c:pt idx="13" formatCode="General">
                  <c:v>-43.141460396039598</c:v>
                </c:pt>
                <c:pt idx="14" formatCode="General">
                  <c:v>-41.769183168316829</c:v>
                </c:pt>
                <c:pt idx="15" formatCode="General">
                  <c:v>-40.396905940594053</c:v>
                </c:pt>
                <c:pt idx="16" formatCode="General">
                  <c:v>-39.024628712871284</c:v>
                </c:pt>
                <c:pt idx="17" formatCode="General">
                  <c:v>-37.652351485148507</c:v>
                </c:pt>
                <c:pt idx="18" formatCode="General">
                  <c:v>-36.280074257425738</c:v>
                </c:pt>
                <c:pt idx="19" formatCode="General">
                  <c:v>-35.198712871287121</c:v>
                </c:pt>
                <c:pt idx="20" formatCode="General">
                  <c:v>-34.14524752475247</c:v>
                </c:pt>
                <c:pt idx="21" formatCode="General">
                  <c:v>-33.130148514851484</c:v>
                </c:pt>
                <c:pt idx="22" formatCode="General">
                  <c:v>-32.175693069306931</c:v>
                </c:pt>
                <c:pt idx="23" formatCode="General">
                  <c:v>-31.221237623762377</c:v>
                </c:pt>
                <c:pt idx="24" formatCode="General">
                  <c:v>-30.317611940298509</c:v>
                </c:pt>
                <c:pt idx="25" formatCode="General">
                  <c:v>-29.422089552238806</c:v>
                </c:pt>
                <c:pt idx="26" formatCode="General">
                  <c:v>-28.54059405940594</c:v>
                </c:pt>
                <c:pt idx="27" formatCode="General">
                  <c:v>-27.685148514851484</c:v>
                </c:pt>
                <c:pt idx="28" formatCode="General">
                  <c:v>-26.829702970297028</c:v>
                </c:pt>
                <c:pt idx="29" formatCode="General">
                  <c:v>-26.006930693069307</c:v>
                </c:pt>
                <c:pt idx="30" formatCode="General">
                  <c:v>-25.191089108910894</c:v>
                </c:pt>
                <c:pt idx="31" formatCode="General">
                  <c:v>-24.387128712871288</c:v>
                </c:pt>
                <c:pt idx="32" formatCode="General">
                  <c:v>-23.610891089108911</c:v>
                </c:pt>
                <c:pt idx="33" formatCode="General">
                  <c:v>-22.834653465346531</c:v>
                </c:pt>
                <c:pt idx="34" formatCode="General">
                  <c:v>-22.092178217821779</c:v>
                </c:pt>
                <c:pt idx="35" formatCode="General">
                  <c:v>-21.359504950495047</c:v>
                </c:pt>
                <c:pt idx="36" formatCode="General">
                  <c:v>-20.636732673267325</c:v>
                </c:pt>
                <c:pt idx="37" formatCode="General">
                  <c:v>-19.943663366336633</c:v>
                </c:pt>
                <c:pt idx="38" formatCode="General">
                  <c:v>-19.250594059405941</c:v>
                </c:pt>
                <c:pt idx="39" formatCode="General">
                  <c:v>-18.583366336633663</c:v>
                </c:pt>
                <c:pt idx="40" formatCode="General">
                  <c:v>-17.925940594059405</c:v>
                </c:pt>
                <c:pt idx="41" formatCode="General">
                  <c:v>-17.275643564356432</c:v>
                </c:pt>
                <c:pt idx="42" formatCode="General">
                  <c:v>-16.653861386138612</c:v>
                </c:pt>
                <c:pt idx="43" formatCode="General">
                  <c:v>-16.032079207920795</c:v>
                </c:pt>
                <c:pt idx="44" formatCode="General">
                  <c:v>-15.437029702970298</c:v>
                </c:pt>
                <c:pt idx="45" formatCode="General">
                  <c:v>-14.854851485148513</c:v>
                </c:pt>
                <c:pt idx="46" formatCode="General">
                  <c:v>-14.279801980198016</c:v>
                </c:pt>
                <c:pt idx="47" formatCode="General">
                  <c:v>-13.745148514851483</c:v>
                </c:pt>
                <c:pt idx="48" formatCode="General">
                  <c:v>-13.210495049504949</c:v>
                </c:pt>
                <c:pt idx="49" formatCode="General">
                  <c:v>-12.811301115241635</c:v>
                </c:pt>
                <c:pt idx="50" formatCode="General">
                  <c:v>-12.493382899628253</c:v>
                </c:pt>
                <c:pt idx="51" formatCode="General">
                  <c:v>-12.175464684014869</c:v>
                </c:pt>
                <c:pt idx="52" formatCode="General">
                  <c:v>-11.857546468401488</c:v>
                </c:pt>
                <c:pt idx="53" formatCode="General">
                  <c:v>-11.539628252788106</c:v>
                </c:pt>
                <c:pt idx="54" formatCode="General">
                  <c:v>-11.221710037174722</c:v>
                </c:pt>
                <c:pt idx="55" formatCode="General">
                  <c:v>-10.90379182156134</c:v>
                </c:pt>
                <c:pt idx="56" formatCode="General">
                  <c:v>-10.585873605947958</c:v>
                </c:pt>
                <c:pt idx="57" formatCode="General">
                  <c:v>-10.267955390334574</c:v>
                </c:pt>
                <c:pt idx="58" formatCode="General">
                  <c:v>-9.9500371747211922</c:v>
                </c:pt>
                <c:pt idx="59" formatCode="General">
                  <c:v>-9.6984801980198032</c:v>
                </c:pt>
                <c:pt idx="60" formatCode="General">
                  <c:v>-9.5040247524752477</c:v>
                </c:pt>
                <c:pt idx="61" formatCode="General">
                  <c:v>-9.3097524752475245</c:v>
                </c:pt>
                <c:pt idx="62" formatCode="General">
                  <c:v>-9.1299504950495045</c:v>
                </c:pt>
                <c:pt idx="63" formatCode="General">
                  <c:v>-8.9501485148514863</c:v>
                </c:pt>
                <c:pt idx="64" formatCode="General">
                  <c:v>-8.7771039603960403</c:v>
                </c:pt>
                <c:pt idx="65" formatCode="General">
                  <c:v>-8.6111633663366334</c:v>
                </c:pt>
                <c:pt idx="66" formatCode="General">
                  <c:v>-8.4452227722772264</c:v>
                </c:pt>
                <c:pt idx="67" formatCode="General">
                  <c:v>-8.2907178217821773</c:v>
                </c:pt>
                <c:pt idx="68" formatCode="General">
                  <c:v>-8.136658415841584</c:v>
                </c:pt>
                <c:pt idx="69" formatCode="General">
                  <c:v>-7.9902227722772281</c:v>
                </c:pt>
                <c:pt idx="70" formatCode="General">
                  <c:v>-7.8535891089108922</c:v>
                </c:pt>
                <c:pt idx="71" formatCode="General">
                  <c:v>-7.7169554455445555</c:v>
                </c:pt>
                <c:pt idx="72" formatCode="General">
                  <c:v>-7.7299356435643567</c:v>
                </c:pt>
                <c:pt idx="73" formatCode="General">
                  <c:v>-7.757262376237624</c:v>
                </c:pt>
                <c:pt idx="74" formatCode="General">
                  <c:v>-7.7849502487562185</c:v>
                </c:pt>
                <c:pt idx="75" formatCode="General">
                  <c:v>-7.8132089552238808</c:v>
                </c:pt>
                <c:pt idx="76" formatCode="General">
                  <c:v>-7.8414676616915422</c:v>
                </c:pt>
                <c:pt idx="77" formatCode="General">
                  <c:v>-7.8692574257425738</c:v>
                </c:pt>
                <c:pt idx="78" formatCode="General">
                  <c:v>-7.8969801980198016</c:v>
                </c:pt>
                <c:pt idx="79" formatCode="General">
                  <c:v>-7.9244257425742575</c:v>
                </c:pt>
                <c:pt idx="80" formatCode="General">
                  <c:v>-7.9513564356435644</c:v>
                </c:pt>
                <c:pt idx="81" formatCode="General">
                  <c:v>-7.9782871287128714</c:v>
                </c:pt>
                <c:pt idx="82" formatCode="General">
                  <c:v>-8.0052178217821783</c:v>
                </c:pt>
                <c:pt idx="83" formatCode="General">
                  <c:v>-8.0321485148514853</c:v>
                </c:pt>
                <c:pt idx="84" formatCode="General">
                  <c:v>-8.0590792079207922</c:v>
                </c:pt>
                <c:pt idx="85" formatCode="General">
                  <c:v>-8.0860099009900992</c:v>
                </c:pt>
                <c:pt idx="86" formatCode="General">
                  <c:v>-8.1129405940594062</c:v>
                </c:pt>
                <c:pt idx="87" formatCode="General">
                  <c:v>-8.1398712871287131</c:v>
                </c:pt>
                <c:pt idx="88" formatCode="General">
                  <c:v>-8.1668019801980201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1A2-4E8C-B290-4D717775A019}"/>
            </c:ext>
          </c:extLst>
        </c:ser>
        <c:ser>
          <c:idx val="49"/>
          <c:order val="50"/>
          <c:tx>
            <c:strRef>
              <c:f>EVALUATION!$A$151</c:f>
              <c:strCache>
                <c:ptCount val="1"/>
                <c:pt idx="0">
                  <c:v>(3)Ga[l]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EVALUATION!$B$151:$CP$151</c:f>
              <c:numCache>
                <c:formatCode>0</c:formatCode>
                <c:ptCount val="93"/>
                <c:pt idx="0">
                  <c:v>-63.093910891089116</c:v>
                </c:pt>
                <c:pt idx="1">
                  <c:v>-61.414405940594065</c:v>
                </c:pt>
                <c:pt idx="2" formatCode="General">
                  <c:v>-59.770841584158418</c:v>
                </c:pt>
                <c:pt idx="3" formatCode="General">
                  <c:v>-58.128019801980194</c:v>
                </c:pt>
                <c:pt idx="4" formatCode="General">
                  <c:v>-56.496336633663361</c:v>
                </c:pt>
                <c:pt idx="5" formatCode="General">
                  <c:v>-54.864653465346535</c:v>
                </c:pt>
                <c:pt idx="6" formatCode="General">
                  <c:v>-53.239356435643565</c:v>
                </c:pt>
                <c:pt idx="7" formatCode="General">
                  <c:v>-51.619554455445545</c:v>
                </c:pt>
                <c:pt idx="8" formatCode="General">
                  <c:v>-50.002846534653465</c:v>
                </c:pt>
                <c:pt idx="9" formatCode="General">
                  <c:v>-48.630569306930688</c:v>
                </c:pt>
                <c:pt idx="10" formatCode="General">
                  <c:v>-47.258292079207919</c:v>
                </c:pt>
                <c:pt idx="11" formatCode="General">
                  <c:v>-45.886014851485143</c:v>
                </c:pt>
                <c:pt idx="12" formatCode="General">
                  <c:v>-44.513737623762374</c:v>
                </c:pt>
                <c:pt idx="13" formatCode="General">
                  <c:v>-43.141460396039598</c:v>
                </c:pt>
                <c:pt idx="14" formatCode="General">
                  <c:v>-41.769183168316829</c:v>
                </c:pt>
                <c:pt idx="15" formatCode="General">
                  <c:v>-40.396905940594053</c:v>
                </c:pt>
                <c:pt idx="16" formatCode="General">
                  <c:v>-39.024628712871284</c:v>
                </c:pt>
                <c:pt idx="17" formatCode="General">
                  <c:v>-37.652351485148507</c:v>
                </c:pt>
                <c:pt idx="18" formatCode="General">
                  <c:v>-36.280074257425738</c:v>
                </c:pt>
                <c:pt idx="19" formatCode="General">
                  <c:v>-35.198712871287121</c:v>
                </c:pt>
                <c:pt idx="20" formatCode="General">
                  <c:v>-34.14524752475247</c:v>
                </c:pt>
                <c:pt idx="21" formatCode="General">
                  <c:v>-33.130148514851484</c:v>
                </c:pt>
                <c:pt idx="22" formatCode="General">
                  <c:v>-32.175693069306931</c:v>
                </c:pt>
                <c:pt idx="23" formatCode="General">
                  <c:v>-31.221237623762377</c:v>
                </c:pt>
                <c:pt idx="24" formatCode="General">
                  <c:v>-30.317611940298509</c:v>
                </c:pt>
                <c:pt idx="25" formatCode="General">
                  <c:v>-29.422089552238806</c:v>
                </c:pt>
                <c:pt idx="26" formatCode="General">
                  <c:v>-28.54059405940594</c:v>
                </c:pt>
                <c:pt idx="27" formatCode="General">
                  <c:v>-27.685148514851484</c:v>
                </c:pt>
                <c:pt idx="28" formatCode="General">
                  <c:v>-26.829702970297028</c:v>
                </c:pt>
                <c:pt idx="29" formatCode="General">
                  <c:v>-26.006930693069307</c:v>
                </c:pt>
                <c:pt idx="30" formatCode="General">
                  <c:v>-25.191089108910894</c:v>
                </c:pt>
                <c:pt idx="31" formatCode="General">
                  <c:v>-24.387128712871288</c:v>
                </c:pt>
                <c:pt idx="32" formatCode="General">
                  <c:v>-23.610891089108911</c:v>
                </c:pt>
                <c:pt idx="33" formatCode="General">
                  <c:v>-22.834653465346531</c:v>
                </c:pt>
                <c:pt idx="34" formatCode="General">
                  <c:v>-22.092178217821779</c:v>
                </c:pt>
                <c:pt idx="35" formatCode="General">
                  <c:v>-21.359504950495047</c:v>
                </c:pt>
                <c:pt idx="36" formatCode="General">
                  <c:v>-20.636732673267325</c:v>
                </c:pt>
                <c:pt idx="37" formatCode="General">
                  <c:v>-19.943663366336633</c:v>
                </c:pt>
                <c:pt idx="38" formatCode="General">
                  <c:v>-19.250594059405941</c:v>
                </c:pt>
                <c:pt idx="39" formatCode="General">
                  <c:v>-18.583366336633663</c:v>
                </c:pt>
                <c:pt idx="40" formatCode="General">
                  <c:v>-17.925940594059405</c:v>
                </c:pt>
                <c:pt idx="41" formatCode="General">
                  <c:v>-17.275643564356432</c:v>
                </c:pt>
                <c:pt idx="42" formatCode="General">
                  <c:v>-16.653861386138612</c:v>
                </c:pt>
                <c:pt idx="43" formatCode="General">
                  <c:v>-16.032079207920795</c:v>
                </c:pt>
                <c:pt idx="44" formatCode="General">
                  <c:v>-15.437029702970298</c:v>
                </c:pt>
                <c:pt idx="45" formatCode="General">
                  <c:v>-14.854851485148513</c:v>
                </c:pt>
                <c:pt idx="46" formatCode="General">
                  <c:v>-14.279801980198016</c:v>
                </c:pt>
                <c:pt idx="47" formatCode="General">
                  <c:v>-13.745148514851483</c:v>
                </c:pt>
                <c:pt idx="48" formatCode="General">
                  <c:v>-13.210495049504949</c:v>
                </c:pt>
                <c:pt idx="49" formatCode="General">
                  <c:v>-12.811301115241635</c:v>
                </c:pt>
                <c:pt idx="50" formatCode="General">
                  <c:v>-12.493382899628253</c:v>
                </c:pt>
                <c:pt idx="51" formatCode="General">
                  <c:v>-12.175464684014869</c:v>
                </c:pt>
                <c:pt idx="52" formatCode="General">
                  <c:v>-11.857546468401488</c:v>
                </c:pt>
                <c:pt idx="53" formatCode="General">
                  <c:v>-11.539628252788106</c:v>
                </c:pt>
                <c:pt idx="54" formatCode="General">
                  <c:v>-11.221710037174722</c:v>
                </c:pt>
                <c:pt idx="55" formatCode="General">
                  <c:v>-10.90379182156134</c:v>
                </c:pt>
                <c:pt idx="56" formatCode="General">
                  <c:v>-10.585873605947958</c:v>
                </c:pt>
                <c:pt idx="57" formatCode="General">
                  <c:v>-10.267955390334574</c:v>
                </c:pt>
                <c:pt idx="58" formatCode="General">
                  <c:v>-9.9500371747211922</c:v>
                </c:pt>
                <c:pt idx="59" formatCode="General">
                  <c:v>-9.6984801980198032</c:v>
                </c:pt>
                <c:pt idx="60" formatCode="General">
                  <c:v>-9.5040247524752477</c:v>
                </c:pt>
                <c:pt idx="61" formatCode="General">
                  <c:v>-9.3097524752475245</c:v>
                </c:pt>
                <c:pt idx="62" formatCode="General">
                  <c:v>-9.1299504950495045</c:v>
                </c:pt>
                <c:pt idx="63" formatCode="General">
                  <c:v>-8.9501485148514863</c:v>
                </c:pt>
                <c:pt idx="64" formatCode="General">
                  <c:v>-8.7771039603960403</c:v>
                </c:pt>
                <c:pt idx="65" formatCode="General">
                  <c:v>-8.6111633663366334</c:v>
                </c:pt>
                <c:pt idx="66" formatCode="General">
                  <c:v>-8.4452227722772264</c:v>
                </c:pt>
                <c:pt idx="67" formatCode="General">
                  <c:v>-8.2907178217821773</c:v>
                </c:pt>
                <c:pt idx="68" formatCode="General">
                  <c:v>-8.136658415841584</c:v>
                </c:pt>
                <c:pt idx="69" formatCode="General">
                  <c:v>-7.9902227722772281</c:v>
                </c:pt>
                <c:pt idx="70" formatCode="General">
                  <c:v>-7.8535891089108922</c:v>
                </c:pt>
                <c:pt idx="71" formatCode="General">
                  <c:v>-7.7169554455445555</c:v>
                </c:pt>
                <c:pt idx="72" formatCode="General">
                  <c:v>-7.7299356435643567</c:v>
                </c:pt>
                <c:pt idx="73" formatCode="General">
                  <c:v>-7.757262376237624</c:v>
                </c:pt>
                <c:pt idx="74" formatCode="General">
                  <c:v>-7.7849502487562185</c:v>
                </c:pt>
                <c:pt idx="75" formatCode="General">
                  <c:v>-7.8132089552238808</c:v>
                </c:pt>
                <c:pt idx="76" formatCode="General">
                  <c:v>-7.8414676616915422</c:v>
                </c:pt>
                <c:pt idx="77" formatCode="General">
                  <c:v>-7.8692574257425738</c:v>
                </c:pt>
                <c:pt idx="78" formatCode="General">
                  <c:v>-7.8969801980198016</c:v>
                </c:pt>
                <c:pt idx="79" formatCode="General">
                  <c:v>-7.9244257425742575</c:v>
                </c:pt>
                <c:pt idx="80" formatCode="General">
                  <c:v>-7.9513564356435644</c:v>
                </c:pt>
                <c:pt idx="81" formatCode="General">
                  <c:v>-7.9782871287128714</c:v>
                </c:pt>
                <c:pt idx="82" formatCode="General">
                  <c:v>-8.0052178217821783</c:v>
                </c:pt>
                <c:pt idx="83" formatCode="General">
                  <c:v>-8.0321485148514853</c:v>
                </c:pt>
                <c:pt idx="84" formatCode="General">
                  <c:v>-8.0590792079207922</c:v>
                </c:pt>
                <c:pt idx="85" formatCode="General">
                  <c:v>-8.0860099009900992</c:v>
                </c:pt>
                <c:pt idx="86" formatCode="General">
                  <c:v>-8.1129405940594062</c:v>
                </c:pt>
                <c:pt idx="87" formatCode="General">
                  <c:v>-8.1398712871287131</c:v>
                </c:pt>
                <c:pt idx="88" formatCode="General">
                  <c:v>-8.1668019801980201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1A2-4E8C-B290-4D717775A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1A2-4E8C-B290-4D717775A019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 formatCode="General">
                        <c:v>-36.555742574257422</c:v>
                      </c:pt>
                      <c:pt idx="3" formatCode="General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-26.752623762376238</c:v>
                      </c:pt>
                      <c:pt idx="27" formatCode="General">
                        <c:v>-26.534405940594059</c:v>
                      </c:pt>
                      <c:pt idx="28" formatCode="General">
                        <c:v>-26.31618811881188</c:v>
                      </c:pt>
                      <c:pt idx="29" formatCode="General">
                        <c:v>-26.39627722772277</c:v>
                      </c:pt>
                      <c:pt idx="30" formatCode="General">
                        <c:v>-26.539643564356435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-32.988108910891086</c:v>
                      </c:pt>
                      <c:pt idx="80" formatCode="General">
                        <c:v>-33.101772277227717</c:v>
                      </c:pt>
                      <c:pt idx="81" formatCode="General">
                        <c:v>-33.215435643564355</c:v>
                      </c:pt>
                      <c:pt idx="82" formatCode="General">
                        <c:v>-33.329099009900986</c:v>
                      </c:pt>
                      <c:pt idx="83" formatCode="General">
                        <c:v>-33.442762376237624</c:v>
                      </c:pt>
                      <c:pt idx="84" formatCode="General">
                        <c:v>-33.556425742574255</c:v>
                      </c:pt>
                      <c:pt idx="85" formatCode="General">
                        <c:v>-33.670089108910894</c:v>
                      </c:pt>
                      <c:pt idx="86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1A2-4E8C-B290-4D717775A019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1A2-4E8C-B290-4D717775A019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1A2-4E8C-B290-4D717775A019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1A2-4E8C-B290-4D717775A019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 formatCode="General">
                        <c:v>-58.006435643564352</c:v>
                      </c:pt>
                      <c:pt idx="3" formatCode="General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-48.674207920792078</c:v>
                      </c:pt>
                      <c:pt idx="27" formatCode="General">
                        <c:v>-48.574801980198018</c:v>
                      </c:pt>
                      <c:pt idx="28" formatCode="General">
                        <c:v>-48.475396039603957</c:v>
                      </c:pt>
                      <c:pt idx="29" formatCode="General">
                        <c:v>-48.677564356435639</c:v>
                      </c:pt>
                      <c:pt idx="30" formatCode="General">
                        <c:v>-48.943702970297025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-60.863801980198019</c:v>
                      </c:pt>
                      <c:pt idx="80" formatCode="General">
                        <c:v>-61.07350495049505</c:v>
                      </c:pt>
                      <c:pt idx="81" formatCode="General">
                        <c:v>-61.28320792079208</c:v>
                      </c:pt>
                      <c:pt idx="82" formatCode="General">
                        <c:v>-61.49291089108911</c:v>
                      </c:pt>
                      <c:pt idx="83" formatCode="General">
                        <c:v>-61.702613861386141</c:v>
                      </c:pt>
                      <c:pt idx="84" formatCode="General">
                        <c:v>-61.912316831683171</c:v>
                      </c:pt>
                      <c:pt idx="85" formatCode="General">
                        <c:v>-62.122019801980201</c:v>
                      </c:pt>
                      <c:pt idx="86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1A2-4E8C-B290-4D717775A019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-193.07227722772276</c:v>
                      </c:pt>
                      <c:pt idx="1">
                        <c:v>-188.53178217821781</c:v>
                      </c:pt>
                      <c:pt idx="2" formatCode="General">
                        <c:v>-184.26247524752475</c:v>
                      </c:pt>
                      <c:pt idx="3" formatCode="General">
                        <c:v>-180.02707920792079</c:v>
                      </c:pt>
                      <c:pt idx="4" formatCode="General">
                        <c:v>-176.30034653465344</c:v>
                      </c:pt>
                      <c:pt idx="5" formatCode="General">
                        <c:v>-172.57361386138612</c:v>
                      </c:pt>
                      <c:pt idx="6" formatCode="General">
                        <c:v>-169.08316831683169</c:v>
                      </c:pt>
                      <c:pt idx="7" formatCode="General">
                        <c:v>-165.79603960396039</c:v>
                      </c:pt>
                      <c:pt idx="8" formatCode="General">
                        <c:v>-162.51891089108912</c:v>
                      </c:pt>
                      <c:pt idx="9" formatCode="General">
                        <c:v>-160.03178217821784</c:v>
                      </c:pt>
                      <c:pt idx="10" formatCode="General">
                        <c:v>-157.54465346534653</c:v>
                      </c:pt>
                      <c:pt idx="11" formatCode="General">
                        <c:v>-155.05752475247525</c:v>
                      </c:pt>
                      <c:pt idx="12" formatCode="General">
                        <c:v>-152.57039603960396</c:v>
                      </c:pt>
                      <c:pt idx="13" formatCode="General">
                        <c:v>-150.08326732673268</c:v>
                      </c:pt>
                      <c:pt idx="14" formatCode="General">
                        <c:v>-147.5961386138614</c:v>
                      </c:pt>
                      <c:pt idx="15" formatCode="General">
                        <c:v>-145.10900990099009</c:v>
                      </c:pt>
                      <c:pt idx="16" formatCode="General">
                        <c:v>-142.62188118811881</c:v>
                      </c:pt>
                      <c:pt idx="17" formatCode="General">
                        <c:v>-140.13475247524752</c:v>
                      </c:pt>
                      <c:pt idx="18" formatCode="General">
                        <c:v>-137.64762376237624</c:v>
                      </c:pt>
                      <c:pt idx="19" formatCode="General">
                        <c:v>-135.6881188118812</c:v>
                      </c:pt>
                      <c:pt idx="20" formatCode="General">
                        <c:v>-133.77920792079209</c:v>
                      </c:pt>
                      <c:pt idx="21" formatCode="General">
                        <c:v>-131.94242574257427</c:v>
                      </c:pt>
                      <c:pt idx="22" formatCode="General">
                        <c:v>-130.21965346534654</c:v>
                      </c:pt>
                      <c:pt idx="23" formatCode="General">
                        <c:v>-128.49688118811881</c:v>
                      </c:pt>
                      <c:pt idx="24" formatCode="General">
                        <c:v>-126.88686567164179</c:v>
                      </c:pt>
                      <c:pt idx="25" formatCode="General">
                        <c:v>-125.29482587064676</c:v>
                      </c:pt>
                      <c:pt idx="26" formatCode="General">
                        <c:v>-123.75267326732673</c:v>
                      </c:pt>
                      <c:pt idx="27" formatCode="General">
                        <c:v>-122.30316831683167</c:v>
                      </c:pt>
                      <c:pt idx="28" formatCode="General">
                        <c:v>-120.85366336633662</c:v>
                      </c:pt>
                      <c:pt idx="29" formatCode="General">
                        <c:v>-119.5119801980198</c:v>
                      </c:pt>
                      <c:pt idx="30" formatCode="General">
                        <c:v>-118.19316831683167</c:v>
                      </c:pt>
                      <c:pt idx="31" formatCode="General">
                        <c:v>-116.90405940594059</c:v>
                      </c:pt>
                      <c:pt idx="32" formatCode="General">
                        <c:v>-115.68425742574257</c:v>
                      </c:pt>
                      <c:pt idx="33" formatCode="General">
                        <c:v>-114.46445544554454</c:v>
                      </c:pt>
                      <c:pt idx="34" formatCode="General">
                        <c:v>-113.30910891089108</c:v>
                      </c:pt>
                      <c:pt idx="35" formatCode="General">
                        <c:v>-112.17247524752474</c:v>
                      </c:pt>
                      <c:pt idx="36" formatCode="General">
                        <c:v>-111.05762376237624</c:v>
                      </c:pt>
                      <c:pt idx="37" formatCode="General">
                        <c:v>-110.00811881188119</c:v>
                      </c:pt>
                      <c:pt idx="38" formatCode="General">
                        <c:v>-108.95861386138614</c:v>
                      </c:pt>
                      <c:pt idx="39" formatCode="General">
                        <c:v>-108.0340099009901</c:v>
                      </c:pt>
                      <c:pt idx="40" formatCode="General">
                        <c:v>-107.15678217821782</c:v>
                      </c:pt>
                      <c:pt idx="41" formatCode="General">
                        <c:v>-106.27955445544555</c:v>
                      </c:pt>
                      <c:pt idx="42" formatCode="General">
                        <c:v>-105.40232673267327</c:v>
                      </c:pt>
                      <c:pt idx="43" formatCode="General">
                        <c:v>-104.525099009901</c:v>
                      </c:pt>
                      <c:pt idx="44" formatCode="General">
                        <c:v>-103.64787128712872</c:v>
                      </c:pt>
                      <c:pt idx="45" formatCode="General">
                        <c:v>-102.77064356435643</c:v>
                      </c:pt>
                      <c:pt idx="46" formatCode="General">
                        <c:v>-101.89341584158416</c:v>
                      </c:pt>
                      <c:pt idx="47" formatCode="General">
                        <c:v>-101.01618811881188</c:v>
                      </c:pt>
                      <c:pt idx="48" formatCode="General">
                        <c:v>-100.13896039603961</c:v>
                      </c:pt>
                      <c:pt idx="49" formatCode="General">
                        <c:v>-99.352288557213939</c:v>
                      </c:pt>
                      <c:pt idx="50" formatCode="General">
                        <c:v>-98.619950248756226</c:v>
                      </c:pt>
                      <c:pt idx="51" formatCode="General">
                        <c:v>-97.892029702970291</c:v>
                      </c:pt>
                      <c:pt idx="52" formatCode="General">
                        <c:v>-97.198960396039595</c:v>
                      </c:pt>
                      <c:pt idx="53" formatCode="General">
                        <c:v>-96.5058910891089</c:v>
                      </c:pt>
                      <c:pt idx="54" formatCode="General">
                        <c:v>-95.837950495049498</c:v>
                      </c:pt>
                      <c:pt idx="55" formatCode="General">
                        <c:v>-95.187653465346528</c:v>
                      </c:pt>
                      <c:pt idx="56" formatCode="General">
                        <c:v>-94.560574257425742</c:v>
                      </c:pt>
                      <c:pt idx="57" formatCode="General">
                        <c:v>-94.281762376237637</c:v>
                      </c:pt>
                      <c:pt idx="58" formatCode="General">
                        <c:v>-94.002950495049518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-100.32663366336634</c:v>
                      </c:pt>
                      <c:pt idx="80" formatCode="General">
                        <c:v>-100.71158415841583</c:v>
                      </c:pt>
                      <c:pt idx="81" formatCode="General">
                        <c:v>-101.09653465346534</c:v>
                      </c:pt>
                      <c:pt idx="82" formatCode="General">
                        <c:v>-101.48148514851485</c:v>
                      </c:pt>
                      <c:pt idx="83" formatCode="General">
                        <c:v>-101.86643564356436</c:v>
                      </c:pt>
                      <c:pt idx="84" formatCode="General">
                        <c:v>-102.25138613861387</c:v>
                      </c:pt>
                      <c:pt idx="85" formatCode="General">
                        <c:v>-102.63633663366336</c:v>
                      </c:pt>
                      <c:pt idx="86" formatCode="General">
                        <c:v>-103.02128712871287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1A2-4E8C-B290-4D717775A019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1A2-4E8C-B290-4D717775A019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1A2-4E8C-B290-4D717775A019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1A2-4E8C-B290-4D717775A019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1A2-4E8C-B290-4D717775A019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1A2-4E8C-B290-4D717775A019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1A2-4E8C-B290-4D717775A019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1A2-4E8C-B290-4D717775A019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1A2-4E8C-B290-4D717775A019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1A2-4E8C-B290-4D717775A019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1A2-4E8C-B290-4D717775A019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1A2-4E8C-B290-4D717775A019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1A2-4E8C-B290-4D717775A019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1A2-4E8C-B290-4D717775A019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1A2-4E8C-B290-4D717775A019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1A2-4E8C-B290-4D717775A019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1A2-4E8C-B290-4D717775A019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1A2-4E8C-B290-4D717775A019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1A2-4E8C-B290-4D717775A019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1A2-4E8C-B290-4D717775A019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1A2-4E8C-B290-4D717775A019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1A2-4E8C-B290-4D717775A019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92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1A2-4E8C-B290-4D717775A019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 formatCode="General">
                        <c:v>306</c:v>
                      </c:pt>
                      <c:pt idx="3" formatCode="General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1A2-4E8C-B290-4D717775A019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1A2-4E8C-B290-4D717775A019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1A2-4E8C-B290-4D717775A019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1A2-4E8C-B290-4D717775A019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1A2-4E8C-B290-4D717775A019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1A2-4E8C-B290-4D717775A019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1A2-4E8C-B290-4D717775A019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1A2-4E8C-B290-4D717775A019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1A2-4E8C-B290-4D717775A019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1A2-4E8C-B290-4D717775A019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1A2-4E8C-B290-4D717775A019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1A2-4E8C-B290-4D717775A019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1A2-4E8C-B290-4D717775A019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1A2-4E8C-B290-4D717775A019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1A2-4E8C-B290-4D717775A019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1A2-4E8C-B290-4D717775A019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1A2-4E8C-B290-4D717775A019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1A2-4E8C-B290-4D717775A019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1A2-4E8C-B290-4D717775A019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1A2-4E8C-B290-4D717775A019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1A2-4E8C-B290-4D717775A019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1A2-4E8C-B290-4D717775A019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EVALUATION!$B$155:$CP$155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1A2-4E8C-B290-4D717775A01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EVALUATION!$B$156:$CP$156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1A2-4E8C-B290-4D717775A01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EVALUATION!$B$157:$CP$157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1A2-4E8C-B290-4D717775A01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EVALUATION!$B$158:$CP$158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1A2-4E8C-B290-4D717775A01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EVALUATION!$B$159:$CP$159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1A2-4E8C-B290-4D717775A01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EVALUATION!$B$160:$CP$160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41A2-4E8C-B290-4D717775A01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  <c:pt idx="0">
                        <c:v>End2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EVALUATION!$B$161:$CP$161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41A2-4E8C-B290-4D717775A01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"/>
          <c:order val="5"/>
          <c:tx>
            <c:strRef>
              <c:f>EVALUATION!$A$106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-22.398910891089109</c:v>
                </c:pt>
                <c:pt idx="1">
                  <c:v>-21.910099009900989</c:v>
                </c:pt>
                <c:pt idx="2" formatCode="General">
                  <c:v>-21.450693069306929</c:v>
                </c:pt>
                <c:pt idx="3" formatCode="General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-21.92158415841584</c:v>
                </c:pt>
                <c:pt idx="27" formatCode="General">
                  <c:v>-22.040396039603959</c:v>
                </c:pt>
                <c:pt idx="28" formatCode="General">
                  <c:v>-22.159207920792078</c:v>
                </c:pt>
                <c:pt idx="29" formatCode="General">
                  <c:v>-22.281287128712872</c:v>
                </c:pt>
                <c:pt idx="30" formatCode="General">
                  <c:v>-22.404059405940593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-27.87569306930693</c:v>
                </c:pt>
                <c:pt idx="80" formatCode="General">
                  <c:v>-27.971732673267326</c:v>
                </c:pt>
                <c:pt idx="81" formatCode="General">
                  <c:v>-28.067772277227721</c:v>
                </c:pt>
                <c:pt idx="82" formatCode="General">
                  <c:v>-28.163811881188117</c:v>
                </c:pt>
                <c:pt idx="83" formatCode="General">
                  <c:v>-28.259851485148516</c:v>
                </c:pt>
                <c:pt idx="84" formatCode="General">
                  <c:v>-28.355891089108912</c:v>
                </c:pt>
                <c:pt idx="85" formatCode="General">
                  <c:v>-28.451930693069308</c:v>
                </c:pt>
                <c:pt idx="86" formatCode="General">
                  <c:v>-28.547970297029703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95-4676-9F1A-1D55DEC238F8}"/>
            </c:ext>
          </c:extLst>
        </c:ser>
        <c:ser>
          <c:idx val="44"/>
          <c:order val="45"/>
          <c:tx>
            <c:strRef>
              <c:f>EVALUATION!$A$146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EVALUATION!$B$146:$CP$146</c:f>
              <c:numCache>
                <c:formatCode>0</c:formatCode>
                <c:ptCount val="93"/>
                <c:pt idx="0">
                  <c:v>-22.530940594059405</c:v>
                </c:pt>
                <c:pt idx="1">
                  <c:v>-22.141534653465346</c:v>
                </c:pt>
                <c:pt idx="2" formatCode="General">
                  <c:v>-21.820742574257427</c:v>
                </c:pt>
                <c:pt idx="3" formatCode="General">
                  <c:v>-21.510841584158417</c:v>
                </c:pt>
                <c:pt idx="4" formatCode="General">
                  <c:v>-21.364306930693068</c:v>
                </c:pt>
                <c:pt idx="5" formatCode="General">
                  <c:v>-21.21777227722772</c:v>
                </c:pt>
                <c:pt idx="6" formatCode="General">
                  <c:v>-21.145742574257426</c:v>
                </c:pt>
                <c:pt idx="7" formatCode="General">
                  <c:v>-21.137821782178218</c:v>
                </c:pt>
                <c:pt idx="8" formatCode="General">
                  <c:v>-21.131101485148513</c:v>
                </c:pt>
                <c:pt idx="9" formatCode="General">
                  <c:v>-21.219220297029704</c:v>
                </c:pt>
                <c:pt idx="10" formatCode="General">
                  <c:v>-21.307339108910892</c:v>
                </c:pt>
                <c:pt idx="11" formatCode="General">
                  <c:v>-21.395457920792079</c:v>
                </c:pt>
                <c:pt idx="12" formatCode="General">
                  <c:v>-21.483576732673267</c:v>
                </c:pt>
                <c:pt idx="13" formatCode="General">
                  <c:v>-21.571695544554455</c:v>
                </c:pt>
                <c:pt idx="14" formatCode="General">
                  <c:v>-21.659814356435643</c:v>
                </c:pt>
                <c:pt idx="15" formatCode="General">
                  <c:v>-21.74793316831683</c:v>
                </c:pt>
                <c:pt idx="16" formatCode="General">
                  <c:v>-21.836051980198018</c:v>
                </c:pt>
                <c:pt idx="17" formatCode="General">
                  <c:v>-21.924170792079206</c:v>
                </c:pt>
                <c:pt idx="18" formatCode="General">
                  <c:v>-22.012289603960397</c:v>
                </c:pt>
                <c:pt idx="19" formatCode="General">
                  <c:v>-22.088663366336633</c:v>
                </c:pt>
                <c:pt idx="20" formatCode="General">
                  <c:v>-22.16391089108911</c:v>
                </c:pt>
                <c:pt idx="21" formatCode="General">
                  <c:v>-22.236089108910893</c:v>
                </c:pt>
                <c:pt idx="22" formatCode="General">
                  <c:v>-22.303415841584158</c:v>
                </c:pt>
                <c:pt idx="23" formatCode="General">
                  <c:v>-22.370742574257424</c:v>
                </c:pt>
                <c:pt idx="24" formatCode="General">
                  <c:v>-22.448656716417908</c:v>
                </c:pt>
                <c:pt idx="25" formatCode="General">
                  <c:v>-22.52825870646766</c:v>
                </c:pt>
                <c:pt idx="26" formatCode="General">
                  <c:v>-22.611881188118812</c:v>
                </c:pt>
                <c:pt idx="27" formatCode="General">
                  <c:v>-22.702970297029701</c:v>
                </c:pt>
                <c:pt idx="28" formatCode="General">
                  <c:v>-22.794059405940594</c:v>
                </c:pt>
                <c:pt idx="29" formatCode="General">
                  <c:v>-22.898217821782175</c:v>
                </c:pt>
                <c:pt idx="30" formatCode="General">
                  <c:v>-23.005148514851484</c:v>
                </c:pt>
                <c:pt idx="31" formatCode="General">
                  <c:v>-23.113267326732672</c:v>
                </c:pt>
                <c:pt idx="32" formatCode="General">
                  <c:v>-23.224158415841583</c:v>
                </c:pt>
                <c:pt idx="33" formatCode="General">
                  <c:v>-23.335049504950494</c:v>
                </c:pt>
                <c:pt idx="34" formatCode="General">
                  <c:v>-23.449009900990099</c:v>
                </c:pt>
                <c:pt idx="35" formatCode="General">
                  <c:v>-23.563861386138612</c:v>
                </c:pt>
                <c:pt idx="36" formatCode="General">
                  <c:v>-23.678712871287129</c:v>
                </c:pt>
                <c:pt idx="37" formatCode="General">
                  <c:v>-23.793564356435642</c:v>
                </c:pt>
                <c:pt idx="38" formatCode="General">
                  <c:v>-23.908415841584159</c:v>
                </c:pt>
                <c:pt idx="39" formatCode="General">
                  <c:v>-24.020396039603959</c:v>
                </c:pt>
                <c:pt idx="40" formatCode="General">
                  <c:v>-24.13128712871287</c:v>
                </c:pt>
                <c:pt idx="41" formatCode="General">
                  <c:v>-24.242970297029704</c:v>
                </c:pt>
                <c:pt idx="42" formatCode="General">
                  <c:v>-24.357821782178217</c:v>
                </c:pt>
                <c:pt idx="43" formatCode="General">
                  <c:v>-24.472673267326734</c:v>
                </c:pt>
                <c:pt idx="44" formatCode="General">
                  <c:v>-24.584851485148516</c:v>
                </c:pt>
                <c:pt idx="45" formatCode="General">
                  <c:v>-24.695742574257427</c:v>
                </c:pt>
                <c:pt idx="46" formatCode="General">
                  <c:v>-24.806039603960397</c:v>
                </c:pt>
                <c:pt idx="47" formatCode="General">
                  <c:v>-24.912970297029702</c:v>
                </c:pt>
                <c:pt idx="48" formatCode="General">
                  <c:v>-25.019900990099007</c:v>
                </c:pt>
                <c:pt idx="49" formatCode="General">
                  <c:v>-25.124436183395289</c:v>
                </c:pt>
                <c:pt idx="50" formatCode="General">
                  <c:v>-25.227534076827755</c:v>
                </c:pt>
                <c:pt idx="51" formatCode="General">
                  <c:v>-25.330631970260221</c:v>
                </c:pt>
                <c:pt idx="52" formatCode="General">
                  <c:v>-25.433729863692687</c:v>
                </c:pt>
                <c:pt idx="53" formatCode="General">
                  <c:v>-25.536827757125156</c:v>
                </c:pt>
                <c:pt idx="54" formatCode="General">
                  <c:v>-25.639925650557622</c:v>
                </c:pt>
                <c:pt idx="55" formatCode="General">
                  <c:v>-25.743023543990088</c:v>
                </c:pt>
                <c:pt idx="56" formatCode="General">
                  <c:v>-25.846121437422553</c:v>
                </c:pt>
                <c:pt idx="57" formatCode="General">
                  <c:v>-25.949219330855019</c:v>
                </c:pt>
                <c:pt idx="58" formatCode="General">
                  <c:v>-26.052317224287485</c:v>
                </c:pt>
                <c:pt idx="59" formatCode="General">
                  <c:v>-26.155346534653464</c:v>
                </c:pt>
                <c:pt idx="60" formatCode="General">
                  <c:v>-26.258316831683167</c:v>
                </c:pt>
                <c:pt idx="61" formatCode="General">
                  <c:v>-26.361336633663367</c:v>
                </c:pt>
                <c:pt idx="62" formatCode="General">
                  <c:v>-26.468267326732672</c:v>
                </c:pt>
                <c:pt idx="63" formatCode="General">
                  <c:v>-26.575198019801981</c:v>
                </c:pt>
                <c:pt idx="64" formatCode="General">
                  <c:v>-26.680198019801978</c:v>
                </c:pt>
                <c:pt idx="65" formatCode="General">
                  <c:v>-26.783168316831684</c:v>
                </c:pt>
                <c:pt idx="66" formatCode="General">
                  <c:v>-26.886138613861387</c:v>
                </c:pt>
                <c:pt idx="67" formatCode="General">
                  <c:v>-26.98910891089109</c:v>
                </c:pt>
                <c:pt idx="68" formatCode="General">
                  <c:v>-27.09207920792079</c:v>
                </c:pt>
                <c:pt idx="69" formatCode="General">
                  <c:v>-27.193316831683166</c:v>
                </c:pt>
                <c:pt idx="70" formatCode="General">
                  <c:v>-27.292326732673267</c:v>
                </c:pt>
                <c:pt idx="71" formatCode="General">
                  <c:v>-27.391336633663364</c:v>
                </c:pt>
                <c:pt idx="72" formatCode="General">
                  <c:v>-27.475891089108909</c:v>
                </c:pt>
                <c:pt idx="73" formatCode="General">
                  <c:v>-27.559059405940594</c:v>
                </c:pt>
                <c:pt idx="74" formatCode="General">
                  <c:v>-27.645472636815921</c:v>
                </c:pt>
                <c:pt idx="75" formatCode="General">
                  <c:v>-27.737014925373135</c:v>
                </c:pt>
                <c:pt idx="76" formatCode="General">
                  <c:v>-27.828557213930349</c:v>
                </c:pt>
                <c:pt idx="77" formatCode="General">
                  <c:v>-27.923168316831681</c:v>
                </c:pt>
                <c:pt idx="78" formatCode="General">
                  <c:v>-28.018217821782176</c:v>
                </c:pt>
                <c:pt idx="79" formatCode="General">
                  <c:v>-28.112574257425742</c:v>
                </c:pt>
                <c:pt idx="80" formatCode="General">
                  <c:v>-28.205643564356432</c:v>
                </c:pt>
                <c:pt idx="81" formatCode="General">
                  <c:v>-28.298712871287126</c:v>
                </c:pt>
                <c:pt idx="82" formatCode="General">
                  <c:v>-28.39178217821782</c:v>
                </c:pt>
                <c:pt idx="83" formatCode="General">
                  <c:v>-28.484851485148514</c:v>
                </c:pt>
                <c:pt idx="84" formatCode="General">
                  <c:v>-28.577920792079208</c:v>
                </c:pt>
                <c:pt idx="85" formatCode="General">
                  <c:v>-28.670990099009899</c:v>
                </c:pt>
                <c:pt idx="86" formatCode="General">
                  <c:v>-28.764059405940593</c:v>
                </c:pt>
                <c:pt idx="87" formatCode="General">
                  <c:v>-28.857128712871287</c:v>
                </c:pt>
                <c:pt idx="88" formatCode="General">
                  <c:v>-28.950198019801981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B395-4676-9F1A-1D55DEC23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B395-4676-9F1A-1D55DEC238F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 formatCode="General">
                        <c:v>-36.555742574257422</c:v>
                      </c:pt>
                      <c:pt idx="3" formatCode="General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-26.752623762376238</c:v>
                      </c:pt>
                      <c:pt idx="27" formatCode="General">
                        <c:v>-26.534405940594059</c:v>
                      </c:pt>
                      <c:pt idx="28" formatCode="General">
                        <c:v>-26.31618811881188</c:v>
                      </c:pt>
                      <c:pt idx="29" formatCode="General">
                        <c:v>-26.39627722772277</c:v>
                      </c:pt>
                      <c:pt idx="30" formatCode="General">
                        <c:v>-26.539643564356435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-32.988108910891086</c:v>
                      </c:pt>
                      <c:pt idx="80" formatCode="General">
                        <c:v>-33.101772277227717</c:v>
                      </c:pt>
                      <c:pt idx="81" formatCode="General">
                        <c:v>-33.215435643564355</c:v>
                      </c:pt>
                      <c:pt idx="82" formatCode="General">
                        <c:v>-33.329099009900986</c:v>
                      </c:pt>
                      <c:pt idx="83" formatCode="General">
                        <c:v>-33.442762376237624</c:v>
                      </c:pt>
                      <c:pt idx="84" formatCode="General">
                        <c:v>-33.556425742574255</c:v>
                      </c:pt>
                      <c:pt idx="85" formatCode="General">
                        <c:v>-33.670089108910894</c:v>
                      </c:pt>
                      <c:pt idx="86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395-4676-9F1A-1D55DEC238F8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B395-4676-9F1A-1D55DEC238F8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395-4676-9F1A-1D55DEC238F8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395-4676-9F1A-1D55DEC238F8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395-4676-9F1A-1D55DEC238F8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 formatCode="General">
                        <c:v>-58.006435643564352</c:v>
                      </c:pt>
                      <c:pt idx="3" formatCode="General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-48.674207920792078</c:v>
                      </c:pt>
                      <c:pt idx="27" formatCode="General">
                        <c:v>-48.574801980198018</c:v>
                      </c:pt>
                      <c:pt idx="28" formatCode="General">
                        <c:v>-48.475396039603957</c:v>
                      </c:pt>
                      <c:pt idx="29" formatCode="General">
                        <c:v>-48.677564356435639</c:v>
                      </c:pt>
                      <c:pt idx="30" formatCode="General">
                        <c:v>-48.943702970297025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-60.863801980198019</c:v>
                      </c:pt>
                      <c:pt idx="80" formatCode="General">
                        <c:v>-61.07350495049505</c:v>
                      </c:pt>
                      <c:pt idx="81" formatCode="General">
                        <c:v>-61.28320792079208</c:v>
                      </c:pt>
                      <c:pt idx="82" formatCode="General">
                        <c:v>-61.49291089108911</c:v>
                      </c:pt>
                      <c:pt idx="83" formatCode="General">
                        <c:v>-61.702613861386141</c:v>
                      </c:pt>
                      <c:pt idx="84" formatCode="General">
                        <c:v>-61.912316831683171</c:v>
                      </c:pt>
                      <c:pt idx="85" formatCode="General">
                        <c:v>-62.122019801980201</c:v>
                      </c:pt>
                      <c:pt idx="86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395-4676-9F1A-1D55DEC238F8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-193.07227722772276</c:v>
                      </c:pt>
                      <c:pt idx="1">
                        <c:v>-188.53178217821781</c:v>
                      </c:pt>
                      <c:pt idx="2" formatCode="General">
                        <c:v>-184.26247524752475</c:v>
                      </c:pt>
                      <c:pt idx="3" formatCode="General">
                        <c:v>-180.02707920792079</c:v>
                      </c:pt>
                      <c:pt idx="4" formatCode="General">
                        <c:v>-176.30034653465344</c:v>
                      </c:pt>
                      <c:pt idx="5" formatCode="General">
                        <c:v>-172.57361386138612</c:v>
                      </c:pt>
                      <c:pt idx="6" formatCode="General">
                        <c:v>-169.08316831683169</c:v>
                      </c:pt>
                      <c:pt idx="7" formatCode="General">
                        <c:v>-165.79603960396039</c:v>
                      </c:pt>
                      <c:pt idx="8" formatCode="General">
                        <c:v>-162.51891089108912</c:v>
                      </c:pt>
                      <c:pt idx="9" formatCode="General">
                        <c:v>-160.03178217821784</c:v>
                      </c:pt>
                      <c:pt idx="10" formatCode="General">
                        <c:v>-157.54465346534653</c:v>
                      </c:pt>
                      <c:pt idx="11" formatCode="General">
                        <c:v>-155.05752475247525</c:v>
                      </c:pt>
                      <c:pt idx="12" formatCode="General">
                        <c:v>-152.57039603960396</c:v>
                      </c:pt>
                      <c:pt idx="13" formatCode="General">
                        <c:v>-150.08326732673268</c:v>
                      </c:pt>
                      <c:pt idx="14" formatCode="General">
                        <c:v>-147.5961386138614</c:v>
                      </c:pt>
                      <c:pt idx="15" formatCode="General">
                        <c:v>-145.10900990099009</c:v>
                      </c:pt>
                      <c:pt idx="16" formatCode="General">
                        <c:v>-142.62188118811881</c:v>
                      </c:pt>
                      <c:pt idx="17" formatCode="General">
                        <c:v>-140.13475247524752</c:v>
                      </c:pt>
                      <c:pt idx="18" formatCode="General">
                        <c:v>-137.64762376237624</c:v>
                      </c:pt>
                      <c:pt idx="19" formatCode="General">
                        <c:v>-135.6881188118812</c:v>
                      </c:pt>
                      <c:pt idx="20" formatCode="General">
                        <c:v>-133.77920792079209</c:v>
                      </c:pt>
                      <c:pt idx="21" formatCode="General">
                        <c:v>-131.94242574257427</c:v>
                      </c:pt>
                      <c:pt idx="22" formatCode="General">
                        <c:v>-130.21965346534654</c:v>
                      </c:pt>
                      <c:pt idx="23" formatCode="General">
                        <c:v>-128.49688118811881</c:v>
                      </c:pt>
                      <c:pt idx="24" formatCode="General">
                        <c:v>-126.88686567164179</c:v>
                      </c:pt>
                      <c:pt idx="25" formatCode="General">
                        <c:v>-125.29482587064676</c:v>
                      </c:pt>
                      <c:pt idx="26" formatCode="General">
                        <c:v>-123.75267326732673</c:v>
                      </c:pt>
                      <c:pt idx="27" formatCode="General">
                        <c:v>-122.30316831683167</c:v>
                      </c:pt>
                      <c:pt idx="28" formatCode="General">
                        <c:v>-120.85366336633662</c:v>
                      </c:pt>
                      <c:pt idx="29" formatCode="General">
                        <c:v>-119.5119801980198</c:v>
                      </c:pt>
                      <c:pt idx="30" formatCode="General">
                        <c:v>-118.19316831683167</c:v>
                      </c:pt>
                      <c:pt idx="31" formatCode="General">
                        <c:v>-116.90405940594059</c:v>
                      </c:pt>
                      <c:pt idx="32" formatCode="General">
                        <c:v>-115.68425742574257</c:v>
                      </c:pt>
                      <c:pt idx="33" formatCode="General">
                        <c:v>-114.46445544554454</c:v>
                      </c:pt>
                      <c:pt idx="34" formatCode="General">
                        <c:v>-113.30910891089108</c:v>
                      </c:pt>
                      <c:pt idx="35" formatCode="General">
                        <c:v>-112.17247524752474</c:v>
                      </c:pt>
                      <c:pt idx="36" formatCode="General">
                        <c:v>-111.05762376237624</c:v>
                      </c:pt>
                      <c:pt idx="37" formatCode="General">
                        <c:v>-110.00811881188119</c:v>
                      </c:pt>
                      <c:pt idx="38" formatCode="General">
                        <c:v>-108.95861386138614</c:v>
                      </c:pt>
                      <c:pt idx="39" formatCode="General">
                        <c:v>-108.0340099009901</c:v>
                      </c:pt>
                      <c:pt idx="40" formatCode="General">
                        <c:v>-107.15678217821782</c:v>
                      </c:pt>
                      <c:pt idx="41" formatCode="General">
                        <c:v>-106.27955445544555</c:v>
                      </c:pt>
                      <c:pt idx="42" formatCode="General">
                        <c:v>-105.40232673267327</c:v>
                      </c:pt>
                      <c:pt idx="43" formatCode="General">
                        <c:v>-104.525099009901</c:v>
                      </c:pt>
                      <c:pt idx="44" formatCode="General">
                        <c:v>-103.64787128712872</c:v>
                      </c:pt>
                      <c:pt idx="45" formatCode="General">
                        <c:v>-102.77064356435643</c:v>
                      </c:pt>
                      <c:pt idx="46" formatCode="General">
                        <c:v>-101.89341584158416</c:v>
                      </c:pt>
                      <c:pt idx="47" formatCode="General">
                        <c:v>-101.01618811881188</c:v>
                      </c:pt>
                      <c:pt idx="48" formatCode="General">
                        <c:v>-100.13896039603961</c:v>
                      </c:pt>
                      <c:pt idx="49" formatCode="General">
                        <c:v>-99.352288557213939</c:v>
                      </c:pt>
                      <c:pt idx="50" formatCode="General">
                        <c:v>-98.619950248756226</c:v>
                      </c:pt>
                      <c:pt idx="51" formatCode="General">
                        <c:v>-97.892029702970291</c:v>
                      </c:pt>
                      <c:pt idx="52" formatCode="General">
                        <c:v>-97.198960396039595</c:v>
                      </c:pt>
                      <c:pt idx="53" formatCode="General">
                        <c:v>-96.5058910891089</c:v>
                      </c:pt>
                      <c:pt idx="54" formatCode="General">
                        <c:v>-95.837950495049498</c:v>
                      </c:pt>
                      <c:pt idx="55" formatCode="General">
                        <c:v>-95.187653465346528</c:v>
                      </c:pt>
                      <c:pt idx="56" formatCode="General">
                        <c:v>-94.560574257425742</c:v>
                      </c:pt>
                      <c:pt idx="57" formatCode="General">
                        <c:v>-94.281762376237637</c:v>
                      </c:pt>
                      <c:pt idx="58" formatCode="General">
                        <c:v>-94.002950495049518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-100.32663366336634</c:v>
                      </c:pt>
                      <c:pt idx="80" formatCode="General">
                        <c:v>-100.71158415841583</c:v>
                      </c:pt>
                      <c:pt idx="81" formatCode="General">
                        <c:v>-101.09653465346534</c:v>
                      </c:pt>
                      <c:pt idx="82" formatCode="General">
                        <c:v>-101.48148514851485</c:v>
                      </c:pt>
                      <c:pt idx="83" formatCode="General">
                        <c:v>-101.86643564356436</c:v>
                      </c:pt>
                      <c:pt idx="84" formatCode="General">
                        <c:v>-102.25138613861387</c:v>
                      </c:pt>
                      <c:pt idx="85" formatCode="General">
                        <c:v>-102.63633663366336</c:v>
                      </c:pt>
                      <c:pt idx="86" formatCode="General">
                        <c:v>-103.02128712871287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395-4676-9F1A-1D55DEC238F8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395-4676-9F1A-1D55DEC238F8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395-4676-9F1A-1D55DEC238F8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395-4676-9F1A-1D55DEC238F8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395-4676-9F1A-1D55DEC238F8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395-4676-9F1A-1D55DEC238F8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395-4676-9F1A-1D55DEC238F8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395-4676-9F1A-1D55DEC238F8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395-4676-9F1A-1D55DEC238F8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395-4676-9F1A-1D55DEC238F8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395-4676-9F1A-1D55DEC238F8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395-4676-9F1A-1D55DEC238F8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395-4676-9F1A-1D55DEC238F8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395-4676-9F1A-1D55DEC238F8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395-4676-9F1A-1D55DEC238F8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395-4676-9F1A-1D55DEC238F8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395-4676-9F1A-1D55DEC238F8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395-4676-9F1A-1D55DEC238F8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395-4676-9F1A-1D55DEC238F8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395-4676-9F1A-1D55DEC238F8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395-4676-9F1A-1D55DEC238F8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395-4676-9F1A-1D55DEC238F8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92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395-4676-9F1A-1D55DEC238F8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 formatCode="General">
                        <c:v>306</c:v>
                      </c:pt>
                      <c:pt idx="3" formatCode="General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395-4676-9F1A-1D55DEC238F8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395-4676-9F1A-1D55DEC238F8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395-4676-9F1A-1D55DEC238F8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395-4676-9F1A-1D55DEC238F8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395-4676-9F1A-1D55DEC238F8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395-4676-9F1A-1D55DEC238F8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395-4676-9F1A-1D55DEC238F8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395-4676-9F1A-1D55DEC238F8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395-4676-9F1A-1D55DEC238F8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395-4676-9F1A-1D55DEC238F8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395-4676-9F1A-1D55DEC238F8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395-4676-9F1A-1D55DEC238F8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395-4676-9F1A-1D55DEC238F8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395-4676-9F1A-1D55DEC238F8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395-4676-9F1A-1D55DEC238F8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395-4676-9F1A-1D55DEC238F8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395-4676-9F1A-1D55DEC238F8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395-4676-9F1A-1D55DEC238F8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395-4676-9F1A-1D55DEC238F8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395-4676-9F1A-1D55DEC238F8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395-4676-9F1A-1D55DEC238F8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395-4676-9F1A-1D55DEC238F8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395-4676-9F1A-1D55DEC238F8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EVALUATION!$B$155:$CP$155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395-4676-9F1A-1D55DEC238F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EVALUATION!$B$156:$CP$156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395-4676-9F1A-1D55DEC238F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EVALUATION!$B$157:$CP$157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395-4676-9F1A-1D55DEC238F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EVALUATION!$B$158:$CP$158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395-4676-9F1A-1D55DEC238F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EVALUATION!$B$159:$CP$159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395-4676-9F1A-1D55DEC238F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EVALUATION!$B$160:$CP$160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395-4676-9F1A-1D55DEC238F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  <c:pt idx="0">
                        <c:v>End2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EVALUATION!$B$161:$CP$161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395-4676-9F1A-1D55DEC238F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EVALUATION!$A$102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EVALUATION!$B$102:$CP$102</c:f>
              <c:numCache>
                <c:formatCode>0</c:formatCode>
                <c:ptCount val="93"/>
                <c:pt idx="0">
                  <c:v>-38.044702970297031</c:v>
                </c:pt>
                <c:pt idx="1">
                  <c:v>-37.276534653465347</c:v>
                </c:pt>
                <c:pt idx="2" formatCode="General">
                  <c:v>-36.555742574257422</c:v>
                </c:pt>
                <c:pt idx="3" formatCode="General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-26.752623762376238</c:v>
                </c:pt>
                <c:pt idx="27" formatCode="General">
                  <c:v>-26.534405940594059</c:v>
                </c:pt>
                <c:pt idx="28" formatCode="General">
                  <c:v>-26.31618811881188</c:v>
                </c:pt>
                <c:pt idx="29" formatCode="General">
                  <c:v>-26.39627722772277</c:v>
                </c:pt>
                <c:pt idx="30" formatCode="General">
                  <c:v>-26.539643564356435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-32.988108910891086</c:v>
                </c:pt>
                <c:pt idx="80" formatCode="General">
                  <c:v>-33.101772277227717</c:v>
                </c:pt>
                <c:pt idx="81" formatCode="General">
                  <c:v>-33.215435643564355</c:v>
                </c:pt>
                <c:pt idx="82" formatCode="General">
                  <c:v>-33.329099009900986</c:v>
                </c:pt>
                <c:pt idx="83" formatCode="General">
                  <c:v>-33.442762376237624</c:v>
                </c:pt>
                <c:pt idx="84" formatCode="General">
                  <c:v>-33.556425742574255</c:v>
                </c:pt>
                <c:pt idx="85" formatCode="General">
                  <c:v>-33.670089108910894</c:v>
                </c:pt>
                <c:pt idx="86" formatCode="General">
                  <c:v>-33.783752475247525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D28-491D-BECC-52CBAB10CB6C}"/>
            </c:ext>
          </c:extLst>
        </c:ser>
        <c:ser>
          <c:idx val="38"/>
          <c:order val="40"/>
          <c:tx>
            <c:strRef>
              <c:f>EVALUATION!$A$141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EVALUATION!$B$141:$CP$141</c:f>
              <c:numCache>
                <c:formatCode>0</c:formatCode>
                <c:ptCount val="93"/>
                <c:pt idx="0">
                  <c:v>-38.781237623762379</c:v>
                </c:pt>
                <c:pt idx="1">
                  <c:v>-37.994900990099012</c:v>
                </c:pt>
                <c:pt idx="2" formatCode="General">
                  <c:v>-37.254306930693069</c:v>
                </c:pt>
                <c:pt idx="3" formatCode="General">
                  <c:v>-36.518910891089114</c:v>
                </c:pt>
                <c:pt idx="4" formatCode="General">
                  <c:v>-35.861485148514852</c:v>
                </c:pt>
                <c:pt idx="5" formatCode="General">
                  <c:v>-35.20405940594059</c:v>
                </c:pt>
                <c:pt idx="6" formatCode="General">
                  <c:v>-34.59346534653465</c:v>
                </c:pt>
                <c:pt idx="7" formatCode="General">
                  <c:v>-34.023168316831679</c:v>
                </c:pt>
                <c:pt idx="8" formatCode="General">
                  <c:v>-33.455115099009902</c:v>
                </c:pt>
                <c:pt idx="9" formatCode="General">
                  <c:v>-33.064323019801982</c:v>
                </c:pt>
                <c:pt idx="10" formatCode="General">
                  <c:v>-32.673530940594055</c:v>
                </c:pt>
                <c:pt idx="11" formatCode="General">
                  <c:v>-32.282738861386136</c:v>
                </c:pt>
                <c:pt idx="12" formatCode="General">
                  <c:v>-31.891946782178216</c:v>
                </c:pt>
                <c:pt idx="13" formatCode="General">
                  <c:v>-31.501154702970297</c:v>
                </c:pt>
                <c:pt idx="14" formatCode="General">
                  <c:v>-31.110362623762374</c:v>
                </c:pt>
                <c:pt idx="15" formatCode="General">
                  <c:v>-30.719570544554454</c:v>
                </c:pt>
                <c:pt idx="16" formatCode="General">
                  <c:v>-30.328778465346531</c:v>
                </c:pt>
                <c:pt idx="17" formatCode="General">
                  <c:v>-29.937986386138611</c:v>
                </c:pt>
                <c:pt idx="18" formatCode="General">
                  <c:v>-29.547194306930692</c:v>
                </c:pt>
                <c:pt idx="19" formatCode="General">
                  <c:v>-29.321103960396037</c:v>
                </c:pt>
                <c:pt idx="20" formatCode="General">
                  <c:v>-29.110806930693069</c:v>
                </c:pt>
                <c:pt idx="21" formatCode="General">
                  <c:v>-28.935499999999998</c:v>
                </c:pt>
                <c:pt idx="22" formatCode="General">
                  <c:v>-28.8155</c:v>
                </c:pt>
                <c:pt idx="23" formatCode="General">
                  <c:v>-28.695499999999999</c:v>
                </c:pt>
                <c:pt idx="24" formatCode="General">
                  <c:v>-28.655656716417909</c:v>
                </c:pt>
                <c:pt idx="25" formatCode="General">
                  <c:v>-28.628592039800992</c:v>
                </c:pt>
                <c:pt idx="26" formatCode="General">
                  <c:v>-28.626247524752472</c:v>
                </c:pt>
                <c:pt idx="27" formatCode="General">
                  <c:v>-28.669811881188117</c:v>
                </c:pt>
                <c:pt idx="28" formatCode="General">
                  <c:v>-28.713376237623759</c:v>
                </c:pt>
                <c:pt idx="29" formatCode="General">
                  <c:v>-28.798435643564353</c:v>
                </c:pt>
                <c:pt idx="30" formatCode="General">
                  <c:v>-28.892297029702966</c:v>
                </c:pt>
                <c:pt idx="31" formatCode="General">
                  <c:v>-28.992693069306927</c:v>
                </c:pt>
                <c:pt idx="32" formatCode="General">
                  <c:v>-29.108336633663367</c:v>
                </c:pt>
                <c:pt idx="33" formatCode="General">
                  <c:v>-29.223980198019802</c:v>
                </c:pt>
                <c:pt idx="34" formatCode="General">
                  <c:v>-29.349138613861388</c:v>
                </c:pt>
                <c:pt idx="35" formatCode="General">
                  <c:v>-29.477059405940594</c:v>
                </c:pt>
                <c:pt idx="36" formatCode="General">
                  <c:v>-29.605871287128714</c:v>
                </c:pt>
                <c:pt idx="37" formatCode="General">
                  <c:v>-29.737356435643566</c:v>
                </c:pt>
                <c:pt idx="38" formatCode="General">
                  <c:v>-29.868841584158417</c:v>
                </c:pt>
                <c:pt idx="39" formatCode="General">
                  <c:v>-29.998603960396039</c:v>
                </c:pt>
                <c:pt idx="40" formatCode="General">
                  <c:v>-30.127712871287127</c:v>
                </c:pt>
                <c:pt idx="41" formatCode="General">
                  <c:v>-30.257851485148514</c:v>
                </c:pt>
                <c:pt idx="42" formatCode="General">
                  <c:v>-30.392108910891089</c:v>
                </c:pt>
                <c:pt idx="43" formatCode="General">
                  <c:v>-30.526366336633664</c:v>
                </c:pt>
                <c:pt idx="44" formatCode="General">
                  <c:v>-30.659019801980197</c:v>
                </c:pt>
                <c:pt idx="45" formatCode="General">
                  <c:v>-30.790900990099008</c:v>
                </c:pt>
                <c:pt idx="46" formatCode="General">
                  <c:v>-30.922722772277226</c:v>
                </c:pt>
                <c:pt idx="47" formatCode="General">
                  <c:v>-31.054207920792077</c:v>
                </c:pt>
                <c:pt idx="48" formatCode="General">
                  <c:v>-31.185693069306929</c:v>
                </c:pt>
                <c:pt idx="49" formatCode="General">
                  <c:v>-31.319200743494424</c:v>
                </c:pt>
                <c:pt idx="50" formatCode="General">
                  <c:v>-31.4539219330855</c:v>
                </c:pt>
                <c:pt idx="51" formatCode="General">
                  <c:v>-31.588643122676579</c:v>
                </c:pt>
                <c:pt idx="52" formatCode="General">
                  <c:v>-31.723364312267659</c:v>
                </c:pt>
                <c:pt idx="53" formatCode="General">
                  <c:v>-31.858085501858735</c:v>
                </c:pt>
                <c:pt idx="54" formatCode="General">
                  <c:v>-31.992806691449815</c:v>
                </c:pt>
                <c:pt idx="55" formatCode="General">
                  <c:v>-32.127527881040891</c:v>
                </c:pt>
                <c:pt idx="56" formatCode="General">
                  <c:v>-32.262249070631974</c:v>
                </c:pt>
                <c:pt idx="57" formatCode="General">
                  <c:v>-32.39697026022305</c:v>
                </c:pt>
                <c:pt idx="58" formatCode="General">
                  <c:v>-32.531691449814126</c:v>
                </c:pt>
                <c:pt idx="59" formatCode="General">
                  <c:v>-32.66126732673267</c:v>
                </c:pt>
                <c:pt idx="60" formatCode="General">
                  <c:v>-32.786415841584159</c:v>
                </c:pt>
                <c:pt idx="61" formatCode="General">
                  <c:v>-32.911613861386137</c:v>
                </c:pt>
                <c:pt idx="62" formatCode="General">
                  <c:v>-33.040722772277228</c:v>
                </c:pt>
                <c:pt idx="63" formatCode="General">
                  <c:v>-33.169831683168312</c:v>
                </c:pt>
                <c:pt idx="64" formatCode="General">
                  <c:v>-33.296816831683167</c:v>
                </c:pt>
                <c:pt idx="65" formatCode="General">
                  <c:v>-33.421569306930692</c:v>
                </c:pt>
                <c:pt idx="66" formatCode="General">
                  <c:v>-33.546321782178218</c:v>
                </c:pt>
                <c:pt idx="67" formatCode="General">
                  <c:v>-33.671836633663368</c:v>
                </c:pt>
                <c:pt idx="68" formatCode="General">
                  <c:v>-33.797381188118806</c:v>
                </c:pt>
                <c:pt idx="69" formatCode="General">
                  <c:v>-33.920846534653464</c:v>
                </c:pt>
                <c:pt idx="70" formatCode="General">
                  <c:v>-34.041638613861387</c:v>
                </c:pt>
                <c:pt idx="71" formatCode="General">
                  <c:v>-34.162430693069311</c:v>
                </c:pt>
                <c:pt idx="72" formatCode="General">
                  <c:v>-34.263707920792079</c:v>
                </c:pt>
                <c:pt idx="73" formatCode="General">
                  <c:v>-34.36311386138614</c:v>
                </c:pt>
                <c:pt idx="74" formatCode="General">
                  <c:v>-34.465641791044774</c:v>
                </c:pt>
                <c:pt idx="75" formatCode="General">
                  <c:v>-34.573104477611942</c:v>
                </c:pt>
                <c:pt idx="76" formatCode="General">
                  <c:v>-34.680567164179109</c:v>
                </c:pt>
                <c:pt idx="77" formatCode="General">
                  <c:v>-34.791029702970299</c:v>
                </c:pt>
                <c:pt idx="78" formatCode="General">
                  <c:v>-34.901920792079203</c:v>
                </c:pt>
                <c:pt idx="79" formatCode="General">
                  <c:v>-35.012465346534647</c:v>
                </c:pt>
                <c:pt idx="80" formatCode="General">
                  <c:v>-35.122366336633661</c:v>
                </c:pt>
                <c:pt idx="81" formatCode="General">
                  <c:v>-35.232267326732668</c:v>
                </c:pt>
                <c:pt idx="82" formatCode="General">
                  <c:v>-35.342168316831682</c:v>
                </c:pt>
                <c:pt idx="83" formatCode="General">
                  <c:v>-35.452069306930689</c:v>
                </c:pt>
                <c:pt idx="84" formatCode="General">
                  <c:v>-35.561970297029703</c:v>
                </c:pt>
                <c:pt idx="85" formatCode="General">
                  <c:v>-35.671871287128717</c:v>
                </c:pt>
                <c:pt idx="86" formatCode="General">
                  <c:v>-35.781772277227724</c:v>
                </c:pt>
                <c:pt idx="87" formatCode="General">
                  <c:v>-35.891673267326738</c:v>
                </c:pt>
                <c:pt idx="88" formatCode="General">
                  <c:v>-36.001574257425744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D28-491D-BECC-52CBAB10C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D28-491D-BECC-52CBAB10CB6C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0-3D28-491D-BECC-52CBAB10CB6C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D28-491D-BECC-52CBAB10CB6C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D28-491D-BECC-52CBAB10CB6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D28-491D-BECC-52CBAB10CB6C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D28-491D-BECC-52CBAB10CB6C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 formatCode="General">
                        <c:v>-58.006435643564352</c:v>
                      </c:pt>
                      <c:pt idx="3" formatCode="General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-48.674207920792078</c:v>
                      </c:pt>
                      <c:pt idx="27" formatCode="General">
                        <c:v>-48.574801980198018</c:v>
                      </c:pt>
                      <c:pt idx="28" formatCode="General">
                        <c:v>-48.475396039603957</c:v>
                      </c:pt>
                      <c:pt idx="29" formatCode="General">
                        <c:v>-48.677564356435639</c:v>
                      </c:pt>
                      <c:pt idx="30" formatCode="General">
                        <c:v>-48.943702970297025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-60.863801980198019</c:v>
                      </c:pt>
                      <c:pt idx="80" formatCode="General">
                        <c:v>-61.07350495049505</c:v>
                      </c:pt>
                      <c:pt idx="81" formatCode="General">
                        <c:v>-61.28320792079208</c:v>
                      </c:pt>
                      <c:pt idx="82" formatCode="General">
                        <c:v>-61.49291089108911</c:v>
                      </c:pt>
                      <c:pt idx="83" formatCode="General">
                        <c:v>-61.702613861386141</c:v>
                      </c:pt>
                      <c:pt idx="84" formatCode="General">
                        <c:v>-61.912316831683171</c:v>
                      </c:pt>
                      <c:pt idx="85" formatCode="General">
                        <c:v>-62.122019801980201</c:v>
                      </c:pt>
                      <c:pt idx="86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D28-491D-BECC-52CBAB10CB6C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-193.07227722772276</c:v>
                      </c:pt>
                      <c:pt idx="1">
                        <c:v>-188.53178217821781</c:v>
                      </c:pt>
                      <c:pt idx="2" formatCode="General">
                        <c:v>-184.26247524752475</c:v>
                      </c:pt>
                      <c:pt idx="3" formatCode="General">
                        <c:v>-180.02707920792079</c:v>
                      </c:pt>
                      <c:pt idx="4" formatCode="General">
                        <c:v>-176.30034653465344</c:v>
                      </c:pt>
                      <c:pt idx="5" formatCode="General">
                        <c:v>-172.57361386138612</c:v>
                      </c:pt>
                      <c:pt idx="6" formatCode="General">
                        <c:v>-169.08316831683169</c:v>
                      </c:pt>
                      <c:pt idx="7" formatCode="General">
                        <c:v>-165.79603960396039</c:v>
                      </c:pt>
                      <c:pt idx="8" formatCode="General">
                        <c:v>-162.51891089108912</c:v>
                      </c:pt>
                      <c:pt idx="9" formatCode="General">
                        <c:v>-160.03178217821784</c:v>
                      </c:pt>
                      <c:pt idx="10" formatCode="General">
                        <c:v>-157.54465346534653</c:v>
                      </c:pt>
                      <c:pt idx="11" formatCode="General">
                        <c:v>-155.05752475247525</c:v>
                      </c:pt>
                      <c:pt idx="12" formatCode="General">
                        <c:v>-152.57039603960396</c:v>
                      </c:pt>
                      <c:pt idx="13" formatCode="General">
                        <c:v>-150.08326732673268</c:v>
                      </c:pt>
                      <c:pt idx="14" formatCode="General">
                        <c:v>-147.5961386138614</c:v>
                      </c:pt>
                      <c:pt idx="15" formatCode="General">
                        <c:v>-145.10900990099009</c:v>
                      </c:pt>
                      <c:pt idx="16" formatCode="General">
                        <c:v>-142.62188118811881</c:v>
                      </c:pt>
                      <c:pt idx="17" formatCode="General">
                        <c:v>-140.13475247524752</c:v>
                      </c:pt>
                      <c:pt idx="18" formatCode="General">
                        <c:v>-137.64762376237624</c:v>
                      </c:pt>
                      <c:pt idx="19" formatCode="General">
                        <c:v>-135.6881188118812</c:v>
                      </c:pt>
                      <c:pt idx="20" formatCode="General">
                        <c:v>-133.77920792079209</c:v>
                      </c:pt>
                      <c:pt idx="21" formatCode="General">
                        <c:v>-131.94242574257427</c:v>
                      </c:pt>
                      <c:pt idx="22" formatCode="General">
                        <c:v>-130.21965346534654</c:v>
                      </c:pt>
                      <c:pt idx="23" formatCode="General">
                        <c:v>-128.49688118811881</c:v>
                      </c:pt>
                      <c:pt idx="24" formatCode="General">
                        <c:v>-126.88686567164179</c:v>
                      </c:pt>
                      <c:pt idx="25" formatCode="General">
                        <c:v>-125.29482587064676</c:v>
                      </c:pt>
                      <c:pt idx="26" formatCode="General">
                        <c:v>-123.75267326732673</c:v>
                      </c:pt>
                      <c:pt idx="27" formatCode="General">
                        <c:v>-122.30316831683167</c:v>
                      </c:pt>
                      <c:pt idx="28" formatCode="General">
                        <c:v>-120.85366336633662</c:v>
                      </c:pt>
                      <c:pt idx="29" formatCode="General">
                        <c:v>-119.5119801980198</c:v>
                      </c:pt>
                      <c:pt idx="30" formatCode="General">
                        <c:v>-118.19316831683167</c:v>
                      </c:pt>
                      <c:pt idx="31" formatCode="General">
                        <c:v>-116.90405940594059</c:v>
                      </c:pt>
                      <c:pt idx="32" formatCode="General">
                        <c:v>-115.68425742574257</c:v>
                      </c:pt>
                      <c:pt idx="33" formatCode="General">
                        <c:v>-114.46445544554454</c:v>
                      </c:pt>
                      <c:pt idx="34" formatCode="General">
                        <c:v>-113.30910891089108</c:v>
                      </c:pt>
                      <c:pt idx="35" formatCode="General">
                        <c:v>-112.17247524752474</c:v>
                      </c:pt>
                      <c:pt idx="36" formatCode="General">
                        <c:v>-111.05762376237624</c:v>
                      </c:pt>
                      <c:pt idx="37" formatCode="General">
                        <c:v>-110.00811881188119</c:v>
                      </c:pt>
                      <c:pt idx="38" formatCode="General">
                        <c:v>-108.95861386138614</c:v>
                      </c:pt>
                      <c:pt idx="39" formatCode="General">
                        <c:v>-108.0340099009901</c:v>
                      </c:pt>
                      <c:pt idx="40" formatCode="General">
                        <c:v>-107.15678217821782</c:v>
                      </c:pt>
                      <c:pt idx="41" formatCode="General">
                        <c:v>-106.27955445544555</c:v>
                      </c:pt>
                      <c:pt idx="42" formatCode="General">
                        <c:v>-105.40232673267327</c:v>
                      </c:pt>
                      <c:pt idx="43" formatCode="General">
                        <c:v>-104.525099009901</c:v>
                      </c:pt>
                      <c:pt idx="44" formatCode="General">
                        <c:v>-103.64787128712872</c:v>
                      </c:pt>
                      <c:pt idx="45" formatCode="General">
                        <c:v>-102.77064356435643</c:v>
                      </c:pt>
                      <c:pt idx="46" formatCode="General">
                        <c:v>-101.89341584158416</c:v>
                      </c:pt>
                      <c:pt idx="47" formatCode="General">
                        <c:v>-101.01618811881188</c:v>
                      </c:pt>
                      <c:pt idx="48" formatCode="General">
                        <c:v>-100.13896039603961</c:v>
                      </c:pt>
                      <c:pt idx="49" formatCode="General">
                        <c:v>-99.352288557213939</c:v>
                      </c:pt>
                      <c:pt idx="50" formatCode="General">
                        <c:v>-98.619950248756226</c:v>
                      </c:pt>
                      <c:pt idx="51" formatCode="General">
                        <c:v>-97.892029702970291</c:v>
                      </c:pt>
                      <c:pt idx="52" formatCode="General">
                        <c:v>-97.198960396039595</c:v>
                      </c:pt>
                      <c:pt idx="53" formatCode="General">
                        <c:v>-96.5058910891089</c:v>
                      </c:pt>
                      <c:pt idx="54" formatCode="General">
                        <c:v>-95.837950495049498</c:v>
                      </c:pt>
                      <c:pt idx="55" formatCode="General">
                        <c:v>-95.187653465346528</c:v>
                      </c:pt>
                      <c:pt idx="56" formatCode="General">
                        <c:v>-94.560574257425742</c:v>
                      </c:pt>
                      <c:pt idx="57" formatCode="General">
                        <c:v>-94.281762376237637</c:v>
                      </c:pt>
                      <c:pt idx="58" formatCode="General">
                        <c:v>-94.002950495049518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-100.32663366336634</c:v>
                      </c:pt>
                      <c:pt idx="80" formatCode="General">
                        <c:v>-100.71158415841583</c:v>
                      </c:pt>
                      <c:pt idx="81" formatCode="General">
                        <c:v>-101.09653465346534</c:v>
                      </c:pt>
                      <c:pt idx="82" formatCode="General">
                        <c:v>-101.48148514851485</c:v>
                      </c:pt>
                      <c:pt idx="83" formatCode="General">
                        <c:v>-101.86643564356436</c:v>
                      </c:pt>
                      <c:pt idx="84" formatCode="General">
                        <c:v>-102.25138613861387</c:v>
                      </c:pt>
                      <c:pt idx="85" formatCode="General">
                        <c:v>-102.63633663366336</c:v>
                      </c:pt>
                      <c:pt idx="86" formatCode="General">
                        <c:v>-103.02128712871287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D28-491D-BECC-52CBAB10CB6C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D28-491D-BECC-52CBAB10CB6C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D28-491D-BECC-52CBAB10CB6C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D28-491D-BECC-52CBAB10CB6C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D28-491D-BECC-52CBAB10CB6C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D28-491D-BECC-52CBAB10CB6C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D28-491D-BECC-52CBAB10CB6C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D28-491D-BECC-52CBAB10CB6C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D28-491D-BECC-52CBAB10CB6C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D28-491D-BECC-52CBAB10CB6C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D28-491D-BECC-52CBAB10CB6C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D28-491D-BECC-52CBAB10CB6C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D28-491D-BECC-52CBAB10CB6C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D28-491D-BECC-52CBAB10CB6C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D28-491D-BECC-52CBAB10CB6C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D28-491D-BECC-52CBAB10CB6C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D28-491D-BECC-52CBAB10CB6C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D28-491D-BECC-52CBAB10CB6C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D28-491D-BECC-52CBAB10CB6C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D28-491D-BECC-52CBAB10CB6C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D28-491D-BECC-52CBAB10CB6C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D28-491D-BECC-52CBAB10CB6C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92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28-491D-BECC-52CBAB10CB6C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 formatCode="General">
                        <c:v>306</c:v>
                      </c:pt>
                      <c:pt idx="3" formatCode="General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D28-491D-BECC-52CBAB10CB6C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D28-491D-BECC-52CBAB10CB6C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D28-491D-BECC-52CBAB10CB6C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D28-491D-BECC-52CBAB10CB6C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D28-491D-BECC-52CBAB10CB6C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D28-491D-BECC-52CBAB10CB6C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D28-491D-BECC-52CBAB10CB6C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D28-491D-BECC-52CBAB10CB6C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D28-491D-BECC-52CBAB10CB6C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D28-491D-BECC-52CBAB10CB6C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28-491D-BECC-52CBAB10CB6C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D28-491D-BECC-52CBAB10CB6C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D28-491D-BECC-52CBAB10CB6C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D28-491D-BECC-52CBAB10CB6C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D28-491D-BECC-52CBAB10CB6C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D28-491D-BECC-52CBAB10CB6C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D28-491D-BECC-52CBAB10CB6C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D28-491D-BECC-52CBAB10CB6C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D28-491D-BECC-52CBAB10CB6C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D28-491D-BECC-52CBAB10CB6C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D28-491D-BECC-52CBAB10CB6C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28-491D-BECC-52CBAB10CB6C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D28-491D-BECC-52CBAB10CB6C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EVALUATION!$B$155:$CP$155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D28-491D-BECC-52CBAB10CB6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EVALUATION!$B$156:$CP$156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D28-491D-BECC-52CBAB10CB6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EVALUATION!$B$157:$CP$157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D28-491D-BECC-52CBAB10CB6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EVALUATION!$B$158:$CP$158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D28-491D-BECC-52CBAB10CB6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EVALUATION!$B$159:$CP$159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D28-491D-BECC-52CBAB10CB6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EVALUATION!$B$160:$CP$160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D28-491D-BECC-52CBAB10CB6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  <c:pt idx="0">
                        <c:v>End2</c:v>
                      </c:pt>
                    </c:strCache>
                  </c:strRef>
                </c:tx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EVALUATION!$B$161:$CP$161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D28-491D-BECC-52CBAB10CB6C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4124708095687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6"/>
          <c:tx>
            <c:strRef>
              <c:f>EVALUATION!$A$107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-60.44361386138614</c:v>
                </c:pt>
                <c:pt idx="1">
                  <c:v>-59.186633663366337</c:v>
                </c:pt>
                <c:pt idx="2" formatCode="General">
                  <c:v>-58.006435643564352</c:v>
                </c:pt>
                <c:pt idx="3" formatCode="General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-48.674207920792078</c:v>
                </c:pt>
                <c:pt idx="27" formatCode="General">
                  <c:v>-48.574801980198018</c:v>
                </c:pt>
                <c:pt idx="28" formatCode="General">
                  <c:v>-48.475396039603957</c:v>
                </c:pt>
                <c:pt idx="29" formatCode="General">
                  <c:v>-48.677564356435639</c:v>
                </c:pt>
                <c:pt idx="30" formatCode="General">
                  <c:v>-48.943702970297025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-60.863801980198019</c:v>
                </c:pt>
                <c:pt idx="80" formatCode="General">
                  <c:v>-61.07350495049505</c:v>
                </c:pt>
                <c:pt idx="81" formatCode="General">
                  <c:v>-61.28320792079208</c:v>
                </c:pt>
                <c:pt idx="82" formatCode="General">
                  <c:v>-61.49291089108911</c:v>
                </c:pt>
                <c:pt idx="83" formatCode="General">
                  <c:v>-61.702613861386141</c:v>
                </c:pt>
                <c:pt idx="84" formatCode="General">
                  <c:v>-61.912316831683171</c:v>
                </c:pt>
                <c:pt idx="85" formatCode="General">
                  <c:v>-62.122019801980201</c:v>
                </c:pt>
                <c:pt idx="86" formatCode="General">
                  <c:v>-62.331722772277232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F7-49C8-9739-2EE48172F8F6}"/>
            </c:ext>
          </c:extLst>
        </c:ser>
        <c:ser>
          <c:idx val="37"/>
          <c:order val="39"/>
          <c:tx>
            <c:strRef>
              <c:f>EVALUATION!$A$140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EVALUATION!$B$140:$CP$140</c:f>
              <c:numCache>
                <c:formatCode>0</c:formatCode>
                <c:ptCount val="93"/>
                <c:pt idx="0">
                  <c:v>-61.312178217821781</c:v>
                </c:pt>
                <c:pt idx="1">
                  <c:v>-60.136435643564354</c:v>
                </c:pt>
                <c:pt idx="2" formatCode="General">
                  <c:v>-59.075049504950492</c:v>
                </c:pt>
                <c:pt idx="3" formatCode="General">
                  <c:v>-58.02975247524752</c:v>
                </c:pt>
                <c:pt idx="4" formatCode="General">
                  <c:v>-57.22579207920792</c:v>
                </c:pt>
                <c:pt idx="5" formatCode="General">
                  <c:v>-56.421831683168314</c:v>
                </c:pt>
                <c:pt idx="6" formatCode="General">
                  <c:v>-55.739207920792076</c:v>
                </c:pt>
                <c:pt idx="7" formatCode="General">
                  <c:v>-55.160990099009894</c:v>
                </c:pt>
                <c:pt idx="8" formatCode="General">
                  <c:v>-54.586216584158414</c:v>
                </c:pt>
                <c:pt idx="9" formatCode="General">
                  <c:v>-54.283543316831683</c:v>
                </c:pt>
                <c:pt idx="10" formatCode="General">
                  <c:v>-53.980870049504944</c:v>
                </c:pt>
                <c:pt idx="11" formatCode="General">
                  <c:v>-53.678196782178212</c:v>
                </c:pt>
                <c:pt idx="12" formatCode="General">
                  <c:v>-53.37552351485148</c:v>
                </c:pt>
                <c:pt idx="13" formatCode="General">
                  <c:v>-53.072850247524748</c:v>
                </c:pt>
                <c:pt idx="14" formatCode="General">
                  <c:v>-52.770176980198016</c:v>
                </c:pt>
                <c:pt idx="15" formatCode="General">
                  <c:v>-52.467503712871284</c:v>
                </c:pt>
                <c:pt idx="16" formatCode="General">
                  <c:v>-52.164830445544553</c:v>
                </c:pt>
                <c:pt idx="17" formatCode="General">
                  <c:v>-51.862157178217821</c:v>
                </c:pt>
                <c:pt idx="18" formatCode="General">
                  <c:v>-51.559483910891089</c:v>
                </c:pt>
                <c:pt idx="19" formatCode="General">
                  <c:v>-51.409767326732677</c:v>
                </c:pt>
                <c:pt idx="20" formatCode="General">
                  <c:v>-51.274717821782176</c:v>
                </c:pt>
                <c:pt idx="21" formatCode="General">
                  <c:v>-51.171589108910894</c:v>
                </c:pt>
                <c:pt idx="22" formatCode="General">
                  <c:v>-51.118915841584155</c:v>
                </c:pt>
                <c:pt idx="23" formatCode="General">
                  <c:v>-51.066242574257423</c:v>
                </c:pt>
                <c:pt idx="24" formatCode="General">
                  <c:v>-51.104313432835816</c:v>
                </c:pt>
                <c:pt idx="25" formatCode="General">
                  <c:v>-51.156850746268653</c:v>
                </c:pt>
                <c:pt idx="26" formatCode="General">
                  <c:v>-51.23812871287128</c:v>
                </c:pt>
                <c:pt idx="27" formatCode="General">
                  <c:v>-51.372782178217818</c:v>
                </c:pt>
                <c:pt idx="28" formatCode="General">
                  <c:v>-51.507435643564357</c:v>
                </c:pt>
                <c:pt idx="29" formatCode="General">
                  <c:v>-51.696653465346536</c:v>
                </c:pt>
                <c:pt idx="30" formatCode="General">
                  <c:v>-51.897445544554451</c:v>
                </c:pt>
                <c:pt idx="31" formatCode="General">
                  <c:v>-52.105960396039599</c:v>
                </c:pt>
                <c:pt idx="32" formatCode="General">
                  <c:v>-52.332495049504949</c:v>
                </c:pt>
                <c:pt idx="33" formatCode="General">
                  <c:v>-52.5590297029703</c:v>
                </c:pt>
                <c:pt idx="34" formatCode="General">
                  <c:v>-52.798148514851484</c:v>
                </c:pt>
                <c:pt idx="35" formatCode="General">
                  <c:v>-53.040920792079206</c:v>
                </c:pt>
                <c:pt idx="36" formatCode="General">
                  <c:v>-53.284584158415839</c:v>
                </c:pt>
                <c:pt idx="37" formatCode="General">
                  <c:v>-53.530920792079208</c:v>
                </c:pt>
                <c:pt idx="38" formatCode="General">
                  <c:v>-53.777257425742569</c:v>
                </c:pt>
                <c:pt idx="39" formatCode="General">
                  <c:v>-54.018999999999998</c:v>
                </c:pt>
                <c:pt idx="40" formatCode="General">
                  <c:v>-54.259</c:v>
                </c:pt>
                <c:pt idx="41" formatCode="General">
                  <c:v>-54.500821782178221</c:v>
                </c:pt>
                <c:pt idx="42" formatCode="General">
                  <c:v>-54.749930693069309</c:v>
                </c:pt>
                <c:pt idx="43" formatCode="General">
                  <c:v>-54.999039603960398</c:v>
                </c:pt>
                <c:pt idx="44" formatCode="General">
                  <c:v>-55.243871287128719</c:v>
                </c:pt>
                <c:pt idx="45" formatCode="General">
                  <c:v>-55.486643564356434</c:v>
                </c:pt>
                <c:pt idx="46" formatCode="General">
                  <c:v>-55.728762376237626</c:v>
                </c:pt>
                <c:pt idx="47" formatCode="General">
                  <c:v>-55.967178217821782</c:v>
                </c:pt>
                <c:pt idx="48" formatCode="General">
                  <c:v>-56.205594059405939</c:v>
                </c:pt>
                <c:pt idx="49" formatCode="General">
                  <c:v>-56.44363692688971</c:v>
                </c:pt>
                <c:pt idx="50" formatCode="General">
                  <c:v>-56.681456009913255</c:v>
                </c:pt>
                <c:pt idx="51" formatCode="General">
                  <c:v>-56.9192750929368</c:v>
                </c:pt>
                <c:pt idx="52" formatCode="General">
                  <c:v>-57.157094175960346</c:v>
                </c:pt>
                <c:pt idx="53" formatCode="General">
                  <c:v>-57.394913258983891</c:v>
                </c:pt>
                <c:pt idx="54" formatCode="General">
                  <c:v>-57.632732342007436</c:v>
                </c:pt>
                <c:pt idx="55" formatCode="General">
                  <c:v>-57.870551425030975</c:v>
                </c:pt>
                <c:pt idx="56" formatCode="General">
                  <c:v>-58.10837050805452</c:v>
                </c:pt>
                <c:pt idx="57" formatCode="General">
                  <c:v>-58.346189591078065</c:v>
                </c:pt>
                <c:pt idx="58" formatCode="General">
                  <c:v>-58.584008674101611</c:v>
                </c:pt>
                <c:pt idx="59" formatCode="General">
                  <c:v>-58.816613861386138</c:v>
                </c:pt>
                <c:pt idx="60" formatCode="General">
                  <c:v>-59.044732673267326</c:v>
                </c:pt>
                <c:pt idx="61" formatCode="General">
                  <c:v>-59.2729504950495</c:v>
                </c:pt>
                <c:pt idx="62" formatCode="General">
                  <c:v>-59.5089900990099</c:v>
                </c:pt>
                <c:pt idx="63" formatCode="General">
                  <c:v>-59.745029702970292</c:v>
                </c:pt>
                <c:pt idx="64" formatCode="General">
                  <c:v>-59.977014851485151</c:v>
                </c:pt>
                <c:pt idx="65" formatCode="General">
                  <c:v>-60.204737623762377</c:v>
                </c:pt>
                <c:pt idx="66" formatCode="General">
                  <c:v>-60.432460396039609</c:v>
                </c:pt>
                <c:pt idx="67" formatCode="General">
                  <c:v>-60.660945544554458</c:v>
                </c:pt>
                <c:pt idx="68" formatCode="General">
                  <c:v>-60.889460396039603</c:v>
                </c:pt>
                <c:pt idx="69" formatCode="General">
                  <c:v>-61.114163366336633</c:v>
                </c:pt>
                <c:pt idx="70" formatCode="General">
                  <c:v>-61.333965346534647</c:v>
                </c:pt>
                <c:pt idx="71" formatCode="General">
                  <c:v>-61.553767326732668</c:v>
                </c:pt>
                <c:pt idx="72" formatCode="General">
                  <c:v>-61.739599009900985</c:v>
                </c:pt>
                <c:pt idx="73" formatCode="General">
                  <c:v>-61.922173267326727</c:v>
                </c:pt>
                <c:pt idx="74" formatCode="General">
                  <c:v>-62.111114427860699</c:v>
                </c:pt>
                <c:pt idx="75" formatCode="General">
                  <c:v>-62.310119402985073</c:v>
                </c:pt>
                <c:pt idx="76" formatCode="General">
                  <c:v>-62.509124378109455</c:v>
                </c:pt>
                <c:pt idx="77" formatCode="General">
                  <c:v>-62.714198019801977</c:v>
                </c:pt>
                <c:pt idx="78" formatCode="General">
                  <c:v>-62.920138613861383</c:v>
                </c:pt>
                <c:pt idx="79" formatCode="General">
                  <c:v>-63.125039603960388</c:v>
                </c:pt>
                <c:pt idx="80" formatCode="General">
                  <c:v>-63.328009900990097</c:v>
                </c:pt>
                <c:pt idx="81" formatCode="General">
                  <c:v>-63.530980198019797</c:v>
                </c:pt>
                <c:pt idx="82" formatCode="General">
                  <c:v>-63.733950495049498</c:v>
                </c:pt>
                <c:pt idx="83" formatCode="General">
                  <c:v>-63.936920792079206</c:v>
                </c:pt>
                <c:pt idx="84" formatCode="General">
                  <c:v>-64.139891089108914</c:v>
                </c:pt>
                <c:pt idx="85" formatCode="General">
                  <c:v>-64.342861386138608</c:v>
                </c:pt>
                <c:pt idx="86" formatCode="General">
                  <c:v>-64.545831683168316</c:v>
                </c:pt>
                <c:pt idx="87" formatCode="General">
                  <c:v>-64.748801980198024</c:v>
                </c:pt>
                <c:pt idx="88" formatCode="General">
                  <c:v>-64.951772277227718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7BF7-49C8-9739-2EE48172F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BF7-49C8-9739-2EE48172F8F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 formatCode="General">
                        <c:v>-36.555742574257422</c:v>
                      </c:pt>
                      <c:pt idx="3" formatCode="General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-26.752623762376238</c:v>
                      </c:pt>
                      <c:pt idx="27" formatCode="General">
                        <c:v>-26.534405940594059</c:v>
                      </c:pt>
                      <c:pt idx="28" formatCode="General">
                        <c:v>-26.31618811881188</c:v>
                      </c:pt>
                      <c:pt idx="29" formatCode="General">
                        <c:v>-26.39627722772277</c:v>
                      </c:pt>
                      <c:pt idx="30" formatCode="General">
                        <c:v>-26.539643564356435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-32.988108910891086</c:v>
                      </c:pt>
                      <c:pt idx="80" formatCode="General">
                        <c:v>-33.101772277227717</c:v>
                      </c:pt>
                      <c:pt idx="81" formatCode="General">
                        <c:v>-33.215435643564355</c:v>
                      </c:pt>
                      <c:pt idx="82" formatCode="General">
                        <c:v>-33.329099009900986</c:v>
                      </c:pt>
                      <c:pt idx="83" formatCode="General">
                        <c:v>-33.442762376237624</c:v>
                      </c:pt>
                      <c:pt idx="84" formatCode="General">
                        <c:v>-33.556425742574255</c:v>
                      </c:pt>
                      <c:pt idx="85" formatCode="General">
                        <c:v>-33.670089108910894</c:v>
                      </c:pt>
                      <c:pt idx="86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BF7-49C8-9739-2EE48172F8F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7BF7-49C8-9739-2EE48172F8F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BF7-49C8-9739-2EE48172F8F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BF7-49C8-9739-2EE48172F8F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BF7-49C8-9739-2EE48172F8F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BF7-49C8-9739-2EE48172F8F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-193.07227722772276</c:v>
                      </c:pt>
                      <c:pt idx="1">
                        <c:v>-188.53178217821781</c:v>
                      </c:pt>
                      <c:pt idx="2" formatCode="General">
                        <c:v>-184.26247524752475</c:v>
                      </c:pt>
                      <c:pt idx="3" formatCode="General">
                        <c:v>-180.02707920792079</c:v>
                      </c:pt>
                      <c:pt idx="4" formatCode="General">
                        <c:v>-176.30034653465344</c:v>
                      </c:pt>
                      <c:pt idx="5" formatCode="General">
                        <c:v>-172.57361386138612</c:v>
                      </c:pt>
                      <c:pt idx="6" formatCode="General">
                        <c:v>-169.08316831683169</c:v>
                      </c:pt>
                      <c:pt idx="7" formatCode="General">
                        <c:v>-165.79603960396039</c:v>
                      </c:pt>
                      <c:pt idx="8" formatCode="General">
                        <c:v>-162.51891089108912</c:v>
                      </c:pt>
                      <c:pt idx="9" formatCode="General">
                        <c:v>-160.03178217821784</c:v>
                      </c:pt>
                      <c:pt idx="10" formatCode="General">
                        <c:v>-157.54465346534653</c:v>
                      </c:pt>
                      <c:pt idx="11" formatCode="General">
                        <c:v>-155.05752475247525</c:v>
                      </c:pt>
                      <c:pt idx="12" formatCode="General">
                        <c:v>-152.57039603960396</c:v>
                      </c:pt>
                      <c:pt idx="13" formatCode="General">
                        <c:v>-150.08326732673268</c:v>
                      </c:pt>
                      <c:pt idx="14" formatCode="General">
                        <c:v>-147.5961386138614</c:v>
                      </c:pt>
                      <c:pt idx="15" formatCode="General">
                        <c:v>-145.10900990099009</c:v>
                      </c:pt>
                      <c:pt idx="16" formatCode="General">
                        <c:v>-142.62188118811881</c:v>
                      </c:pt>
                      <c:pt idx="17" formatCode="General">
                        <c:v>-140.13475247524752</c:v>
                      </c:pt>
                      <c:pt idx="18" formatCode="General">
                        <c:v>-137.64762376237624</c:v>
                      </c:pt>
                      <c:pt idx="19" formatCode="General">
                        <c:v>-135.6881188118812</c:v>
                      </c:pt>
                      <c:pt idx="20" formatCode="General">
                        <c:v>-133.77920792079209</c:v>
                      </c:pt>
                      <c:pt idx="21" formatCode="General">
                        <c:v>-131.94242574257427</c:v>
                      </c:pt>
                      <c:pt idx="22" formatCode="General">
                        <c:v>-130.21965346534654</c:v>
                      </c:pt>
                      <c:pt idx="23" formatCode="General">
                        <c:v>-128.49688118811881</c:v>
                      </c:pt>
                      <c:pt idx="24" formatCode="General">
                        <c:v>-126.88686567164179</c:v>
                      </c:pt>
                      <c:pt idx="25" formatCode="General">
                        <c:v>-125.29482587064676</c:v>
                      </c:pt>
                      <c:pt idx="26" formatCode="General">
                        <c:v>-123.75267326732673</c:v>
                      </c:pt>
                      <c:pt idx="27" formatCode="General">
                        <c:v>-122.30316831683167</c:v>
                      </c:pt>
                      <c:pt idx="28" formatCode="General">
                        <c:v>-120.85366336633662</c:v>
                      </c:pt>
                      <c:pt idx="29" formatCode="General">
                        <c:v>-119.5119801980198</c:v>
                      </c:pt>
                      <c:pt idx="30" formatCode="General">
                        <c:v>-118.19316831683167</c:v>
                      </c:pt>
                      <c:pt idx="31" formatCode="General">
                        <c:v>-116.90405940594059</c:v>
                      </c:pt>
                      <c:pt idx="32" formatCode="General">
                        <c:v>-115.68425742574257</c:v>
                      </c:pt>
                      <c:pt idx="33" formatCode="General">
                        <c:v>-114.46445544554454</c:v>
                      </c:pt>
                      <c:pt idx="34" formatCode="General">
                        <c:v>-113.30910891089108</c:v>
                      </c:pt>
                      <c:pt idx="35" formatCode="General">
                        <c:v>-112.17247524752474</c:v>
                      </c:pt>
                      <c:pt idx="36" formatCode="General">
                        <c:v>-111.05762376237624</c:v>
                      </c:pt>
                      <c:pt idx="37" formatCode="General">
                        <c:v>-110.00811881188119</c:v>
                      </c:pt>
                      <c:pt idx="38" formatCode="General">
                        <c:v>-108.95861386138614</c:v>
                      </c:pt>
                      <c:pt idx="39" formatCode="General">
                        <c:v>-108.0340099009901</c:v>
                      </c:pt>
                      <c:pt idx="40" formatCode="General">
                        <c:v>-107.15678217821782</c:v>
                      </c:pt>
                      <c:pt idx="41" formatCode="General">
                        <c:v>-106.27955445544555</c:v>
                      </c:pt>
                      <c:pt idx="42" formatCode="General">
                        <c:v>-105.40232673267327</c:v>
                      </c:pt>
                      <c:pt idx="43" formatCode="General">
                        <c:v>-104.525099009901</c:v>
                      </c:pt>
                      <c:pt idx="44" formatCode="General">
                        <c:v>-103.64787128712872</c:v>
                      </c:pt>
                      <c:pt idx="45" formatCode="General">
                        <c:v>-102.77064356435643</c:v>
                      </c:pt>
                      <c:pt idx="46" formatCode="General">
                        <c:v>-101.89341584158416</c:v>
                      </c:pt>
                      <c:pt idx="47" formatCode="General">
                        <c:v>-101.01618811881188</c:v>
                      </c:pt>
                      <c:pt idx="48" formatCode="General">
                        <c:v>-100.13896039603961</c:v>
                      </c:pt>
                      <c:pt idx="49" formatCode="General">
                        <c:v>-99.352288557213939</c:v>
                      </c:pt>
                      <c:pt idx="50" formatCode="General">
                        <c:v>-98.619950248756226</c:v>
                      </c:pt>
                      <c:pt idx="51" formatCode="General">
                        <c:v>-97.892029702970291</c:v>
                      </c:pt>
                      <c:pt idx="52" formatCode="General">
                        <c:v>-97.198960396039595</c:v>
                      </c:pt>
                      <c:pt idx="53" formatCode="General">
                        <c:v>-96.5058910891089</c:v>
                      </c:pt>
                      <c:pt idx="54" formatCode="General">
                        <c:v>-95.837950495049498</c:v>
                      </c:pt>
                      <c:pt idx="55" formatCode="General">
                        <c:v>-95.187653465346528</c:v>
                      </c:pt>
                      <c:pt idx="56" formatCode="General">
                        <c:v>-94.560574257425742</c:v>
                      </c:pt>
                      <c:pt idx="57" formatCode="General">
                        <c:v>-94.281762376237637</c:v>
                      </c:pt>
                      <c:pt idx="58" formatCode="General">
                        <c:v>-94.002950495049518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-100.32663366336634</c:v>
                      </c:pt>
                      <c:pt idx="80" formatCode="General">
                        <c:v>-100.71158415841583</c:v>
                      </c:pt>
                      <c:pt idx="81" formatCode="General">
                        <c:v>-101.09653465346534</c:v>
                      </c:pt>
                      <c:pt idx="82" formatCode="General">
                        <c:v>-101.48148514851485</c:v>
                      </c:pt>
                      <c:pt idx="83" formatCode="General">
                        <c:v>-101.86643564356436</c:v>
                      </c:pt>
                      <c:pt idx="84" formatCode="General">
                        <c:v>-102.25138613861387</c:v>
                      </c:pt>
                      <c:pt idx="85" formatCode="General">
                        <c:v>-102.63633663366336</c:v>
                      </c:pt>
                      <c:pt idx="86" formatCode="General">
                        <c:v>-103.02128712871287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BF7-49C8-9739-2EE48172F8F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BF7-49C8-9739-2EE48172F8F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BF7-49C8-9739-2EE48172F8F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BF7-49C8-9739-2EE48172F8F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BF7-49C8-9739-2EE48172F8F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BF7-49C8-9739-2EE48172F8F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BF7-49C8-9739-2EE48172F8F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BF7-49C8-9739-2EE48172F8F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BF7-49C8-9739-2EE48172F8F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BF7-49C8-9739-2EE48172F8F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BF7-49C8-9739-2EE48172F8F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BF7-49C8-9739-2EE48172F8F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BF7-49C8-9739-2EE48172F8F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BF7-49C8-9739-2EE48172F8F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BF7-49C8-9739-2EE48172F8F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BF7-49C8-9739-2EE48172F8F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BF7-49C8-9739-2EE48172F8F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BF7-49C8-9739-2EE48172F8F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BF7-49C8-9739-2EE48172F8F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BF7-49C8-9739-2EE48172F8F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BF7-49C8-9739-2EE48172F8F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BF7-49C8-9739-2EE48172F8F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92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BF7-49C8-9739-2EE48172F8F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 formatCode="General">
                        <c:v>306</c:v>
                      </c:pt>
                      <c:pt idx="3" formatCode="General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BF7-49C8-9739-2EE48172F8F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BF7-49C8-9739-2EE48172F8F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BF7-49C8-9739-2EE48172F8F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BF7-49C8-9739-2EE48172F8F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BF7-49C8-9739-2EE48172F8F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BF7-49C8-9739-2EE48172F8F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BF7-49C8-9739-2EE48172F8F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BF7-49C8-9739-2EE48172F8F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BF7-49C8-9739-2EE48172F8F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BF7-49C8-9739-2EE48172F8F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BF7-49C8-9739-2EE48172F8F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BF7-49C8-9739-2EE48172F8F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BF7-49C8-9739-2EE48172F8F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BF7-49C8-9739-2EE48172F8F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BF7-49C8-9739-2EE48172F8F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BF7-49C8-9739-2EE48172F8F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BF7-49C8-9739-2EE48172F8F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BF7-49C8-9739-2EE48172F8F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BF7-49C8-9739-2EE48172F8F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BF7-49C8-9739-2EE48172F8F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BF7-49C8-9739-2EE48172F8F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BF7-49C8-9739-2EE48172F8F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BF7-49C8-9739-2EE48172F8F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EVALUATION!$B$155:$CP$155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BF7-49C8-9739-2EE48172F8F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EVALUATION!$B$156:$CP$156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BF7-49C8-9739-2EE48172F8F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EVALUATION!$B$157:$CP$157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BF7-49C8-9739-2EE48172F8F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EVALUATION!$B$158:$CP$158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BF7-49C8-9739-2EE48172F8F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EVALUATION!$B$159:$CP$159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BF7-49C8-9739-2EE48172F8F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EVALUATION!$B$160:$CP$160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BF7-49C8-9739-2EE48172F8F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  <c:pt idx="0">
                        <c:v>End2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EVALUATION!$B$161:$CP$161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BF7-49C8-9739-2EE48172F8F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tx>
            <c:strRef>
              <c:f>EVALUATION!$A$104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EVALUATION!$B$104:$CP$104</c:f>
              <c:numCache>
                <c:formatCode>0</c:formatCode>
                <c:ptCount val="93"/>
                <c:pt idx="0">
                  <c:v>-148.27445544554456</c:v>
                </c:pt>
                <c:pt idx="1">
                  <c:v>-144.71158415841586</c:v>
                </c:pt>
                <c:pt idx="2" formatCode="General">
                  <c:v>-141.3610891089109</c:v>
                </c:pt>
                <c:pt idx="3" formatCode="General">
                  <c:v>-138.03707920792078</c:v>
                </c:pt>
                <c:pt idx="4" formatCode="General">
                  <c:v>-135.11034653465344</c:v>
                </c:pt>
                <c:pt idx="5" formatCode="General">
                  <c:v>-132.18361386138614</c:v>
                </c:pt>
                <c:pt idx="6" formatCode="General">
                  <c:v>-129.16534653465345</c:v>
                </c:pt>
                <c:pt idx="7" formatCode="General">
                  <c:v>-126.06831683168315</c:v>
                </c:pt>
                <c:pt idx="8" formatCode="General">
                  <c:v>-122.9759405940594</c:v>
                </c:pt>
                <c:pt idx="9" formatCode="General">
                  <c:v>-120.25118811881187</c:v>
                </c:pt>
                <c:pt idx="10" formatCode="General">
                  <c:v>-117.52643564356434</c:v>
                </c:pt>
                <c:pt idx="11" formatCode="General">
                  <c:v>-114.80168316831681</c:v>
                </c:pt>
                <c:pt idx="12" formatCode="General">
                  <c:v>-112.0769306930693</c:v>
                </c:pt>
                <c:pt idx="13" formatCode="General">
                  <c:v>-109.35217821782177</c:v>
                </c:pt>
                <c:pt idx="14" formatCode="General">
                  <c:v>-106.62742574257425</c:v>
                </c:pt>
                <c:pt idx="15" formatCode="General">
                  <c:v>-103.90267326732672</c:v>
                </c:pt>
                <c:pt idx="16" formatCode="General">
                  <c:v>-101.17792079207919</c:v>
                </c:pt>
                <c:pt idx="17" formatCode="General">
                  <c:v>-98.453168316831665</c:v>
                </c:pt>
                <c:pt idx="18" formatCode="General">
                  <c:v>-95.728415841584152</c:v>
                </c:pt>
                <c:pt idx="19" formatCode="General">
                  <c:v>-93.531287128712862</c:v>
                </c:pt>
                <c:pt idx="20" formatCode="General">
                  <c:v>-91.38475247524751</c:v>
                </c:pt>
                <c:pt idx="21" formatCode="General">
                  <c:v>-89.307277227722764</c:v>
                </c:pt>
                <c:pt idx="22" formatCode="General">
                  <c:v>-87.338960396039596</c:v>
                </c:pt>
                <c:pt idx="23" formatCode="General">
                  <c:v>-85.370643564356442</c:v>
                </c:pt>
                <c:pt idx="24" formatCode="General">
                  <c:v>-83.520895522388059</c:v>
                </c:pt>
                <c:pt idx="25" formatCode="General">
                  <c:v>-81.690049751243777</c:v>
                </c:pt>
                <c:pt idx="26" formatCode="General">
                  <c:v>-79.909504950495048</c:v>
                </c:pt>
                <c:pt idx="27" formatCode="General">
                  <c:v>-78.222376237623763</c:v>
                </c:pt>
                <c:pt idx="28" formatCode="General">
                  <c:v>-76.535247524752478</c:v>
                </c:pt>
                <c:pt idx="29" formatCode="General">
                  <c:v>-74.949405940594062</c:v>
                </c:pt>
                <c:pt idx="30" formatCode="General">
                  <c:v>-73.385049504950487</c:v>
                </c:pt>
                <c:pt idx="31" formatCode="General">
                  <c:v>-71.852772277227714</c:v>
                </c:pt>
                <c:pt idx="32" formatCode="General">
                  <c:v>-70.395346534653456</c:v>
                </c:pt>
                <c:pt idx="33" formatCode="General">
                  <c:v>-68.937920792079197</c:v>
                </c:pt>
                <c:pt idx="34" formatCode="General">
                  <c:v>-67.551089108910887</c:v>
                </c:pt>
                <c:pt idx="35" formatCode="General">
                  <c:v>-66.184752475247521</c:v>
                </c:pt>
                <c:pt idx="36" formatCode="General">
                  <c:v>-64.840198019801974</c:v>
                </c:pt>
                <c:pt idx="37" formatCode="General">
                  <c:v>-63.560990099009906</c:v>
                </c:pt>
                <c:pt idx="38" formatCode="General">
                  <c:v>-62.281782178217831</c:v>
                </c:pt>
                <c:pt idx="39" formatCode="General">
                  <c:v>-61.130346534653476</c:v>
                </c:pt>
                <c:pt idx="40" formatCode="General">
                  <c:v>-60.027376237623777</c:v>
                </c:pt>
                <c:pt idx="41" formatCode="General">
                  <c:v>-58.92440594059407</c:v>
                </c:pt>
                <c:pt idx="42" formatCode="General">
                  <c:v>-57.821435643564364</c:v>
                </c:pt>
                <c:pt idx="43" formatCode="General">
                  <c:v>-56.718465346534664</c:v>
                </c:pt>
                <c:pt idx="44" formatCode="General">
                  <c:v>-55.615495049504958</c:v>
                </c:pt>
                <c:pt idx="45" formatCode="General">
                  <c:v>-54.512524752475258</c:v>
                </c:pt>
                <c:pt idx="46" formatCode="General">
                  <c:v>-53.409554455445551</c:v>
                </c:pt>
                <c:pt idx="47" formatCode="General">
                  <c:v>-52.306584158415845</c:v>
                </c:pt>
                <c:pt idx="48" formatCode="General">
                  <c:v>-51.203613861386145</c:v>
                </c:pt>
                <c:pt idx="49" formatCode="General">
                  <c:v>-50.192985074626868</c:v>
                </c:pt>
                <c:pt idx="50" formatCode="General">
                  <c:v>-49.237761194029858</c:v>
                </c:pt>
                <c:pt idx="51" formatCode="General">
                  <c:v>-48.287970297029709</c:v>
                </c:pt>
                <c:pt idx="52" formatCode="General">
                  <c:v>-47.381039603960396</c:v>
                </c:pt>
                <c:pt idx="53" formatCode="General">
                  <c:v>-46.474108910891083</c:v>
                </c:pt>
                <c:pt idx="54" formatCode="General">
                  <c:v>-45.592306930693063</c:v>
                </c:pt>
                <c:pt idx="55" formatCode="General">
                  <c:v>-44.728148514851483</c:v>
                </c:pt>
                <c:pt idx="56" formatCode="General">
                  <c:v>-43.887207920792079</c:v>
                </c:pt>
                <c:pt idx="57" formatCode="General">
                  <c:v>-43.39453465346535</c:v>
                </c:pt>
                <c:pt idx="58" formatCode="General">
                  <c:v>-42.90186138613862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-44.575247524752477</c:v>
                </c:pt>
                <c:pt idx="80" formatCode="General">
                  <c:v>-44.768118811881187</c:v>
                </c:pt>
                <c:pt idx="81" formatCode="General">
                  <c:v>-44.960990099009898</c:v>
                </c:pt>
                <c:pt idx="82" formatCode="General">
                  <c:v>-45.153861386138615</c:v>
                </c:pt>
                <c:pt idx="83" formatCode="General">
                  <c:v>-45.346732673267326</c:v>
                </c:pt>
                <c:pt idx="84" formatCode="General">
                  <c:v>-45.539603960396036</c:v>
                </c:pt>
                <c:pt idx="85" formatCode="General">
                  <c:v>-45.732475247524754</c:v>
                </c:pt>
                <c:pt idx="86" formatCode="General">
                  <c:v>-45.925346534653464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3CD-4D1D-9629-50E1E2551323}"/>
            </c:ext>
          </c:extLst>
        </c:ser>
        <c:ser>
          <c:idx val="34"/>
          <c:order val="36"/>
          <c:tx>
            <c:strRef>
              <c:f>EVALUATION!$A$137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EVALUATION!$B$137:$CP$137</c:f>
              <c:numCache>
                <c:formatCode>0</c:formatCode>
                <c:ptCount val="93"/>
                <c:pt idx="0">
                  <c:v>-148.71876237623763</c:v>
                </c:pt>
                <c:pt idx="1">
                  <c:v>-144.97034653465346</c:v>
                </c:pt>
                <c:pt idx="2" formatCode="General">
                  <c:v>-141.36242574257426</c:v>
                </c:pt>
                <c:pt idx="3" formatCode="General">
                  <c:v>-137.76688118811879</c:v>
                </c:pt>
                <c:pt idx="4" formatCode="General">
                  <c:v>-134.35698019801978</c:v>
                </c:pt>
                <c:pt idx="5" formatCode="General">
                  <c:v>-130.94707920792078</c:v>
                </c:pt>
                <c:pt idx="6" formatCode="General">
                  <c:v>-127.62445544554456</c:v>
                </c:pt>
                <c:pt idx="7" formatCode="General">
                  <c:v>-124.3769306930693</c:v>
                </c:pt>
                <c:pt idx="8" formatCode="General">
                  <c:v>-121.13679455445543</c:v>
                </c:pt>
                <c:pt idx="9" formatCode="General">
                  <c:v>-118.48035891089108</c:v>
                </c:pt>
                <c:pt idx="10" formatCode="General">
                  <c:v>-115.82392326732672</c:v>
                </c:pt>
                <c:pt idx="11" formatCode="General">
                  <c:v>-113.16748762376237</c:v>
                </c:pt>
                <c:pt idx="12" formatCode="General">
                  <c:v>-110.511051980198</c:v>
                </c:pt>
                <c:pt idx="13" formatCode="General">
                  <c:v>-107.85461633663365</c:v>
                </c:pt>
                <c:pt idx="14" formatCode="General">
                  <c:v>-105.19818069306929</c:v>
                </c:pt>
                <c:pt idx="15" formatCode="General">
                  <c:v>-102.54174504950494</c:v>
                </c:pt>
                <c:pt idx="16" formatCode="General">
                  <c:v>-99.885309405940575</c:v>
                </c:pt>
                <c:pt idx="17" formatCode="General">
                  <c:v>-97.228873762376224</c:v>
                </c:pt>
                <c:pt idx="18" formatCode="General">
                  <c:v>-94.57243811881186</c:v>
                </c:pt>
                <c:pt idx="19" formatCode="General">
                  <c:v>-92.486089108910889</c:v>
                </c:pt>
                <c:pt idx="20" formatCode="General">
                  <c:v>-90.454405940594057</c:v>
                </c:pt>
                <c:pt idx="21" formatCode="General">
                  <c:v>-88.496386138613872</c:v>
                </c:pt>
                <c:pt idx="22" formatCode="General">
                  <c:v>-86.65480198019803</c:v>
                </c:pt>
                <c:pt idx="23" formatCode="General">
                  <c:v>-84.813217821782189</c:v>
                </c:pt>
                <c:pt idx="24" formatCode="General">
                  <c:v>-83.083880597014925</c:v>
                </c:pt>
                <c:pt idx="25" formatCode="General">
                  <c:v>-81.372437810945272</c:v>
                </c:pt>
                <c:pt idx="26" formatCode="General">
                  <c:v>-79.693069306930681</c:v>
                </c:pt>
                <c:pt idx="27" formatCode="General">
                  <c:v>-78.073267326732662</c:v>
                </c:pt>
                <c:pt idx="28" formatCode="General">
                  <c:v>-76.453465346534657</c:v>
                </c:pt>
                <c:pt idx="29" formatCode="General">
                  <c:v>-74.912079207920783</c:v>
                </c:pt>
                <c:pt idx="30" formatCode="General">
                  <c:v>-73.387326732673259</c:v>
                </c:pt>
                <c:pt idx="31" formatCode="General">
                  <c:v>-71.887524752475244</c:v>
                </c:pt>
                <c:pt idx="32" formatCode="General">
                  <c:v>-70.445940594059408</c:v>
                </c:pt>
                <c:pt idx="33" formatCode="General">
                  <c:v>-69.004356435643558</c:v>
                </c:pt>
                <c:pt idx="34" formatCode="General">
                  <c:v>-67.633366336633657</c:v>
                </c:pt>
                <c:pt idx="35" formatCode="General">
                  <c:v>-66.282871287128714</c:v>
                </c:pt>
                <c:pt idx="36" formatCode="General">
                  <c:v>-64.952178217821782</c:v>
                </c:pt>
                <c:pt idx="37" formatCode="General">
                  <c:v>-63.680891089108911</c:v>
                </c:pt>
                <c:pt idx="38" formatCode="General">
                  <c:v>-62.409603960396048</c:v>
                </c:pt>
                <c:pt idx="39" formatCode="General">
                  <c:v>-61.187128712871292</c:v>
                </c:pt>
                <c:pt idx="40" formatCode="General">
                  <c:v>-59.98316831683168</c:v>
                </c:pt>
                <c:pt idx="41" formatCode="General">
                  <c:v>-58.794257425742565</c:v>
                </c:pt>
                <c:pt idx="42" formatCode="General">
                  <c:v>-57.665544554455444</c:v>
                </c:pt>
                <c:pt idx="43" formatCode="General">
                  <c:v>-56.536831683168323</c:v>
                </c:pt>
                <c:pt idx="44" formatCode="General">
                  <c:v>-55.458910891089111</c:v>
                </c:pt>
                <c:pt idx="45" formatCode="General">
                  <c:v>-54.405445544554453</c:v>
                </c:pt>
                <c:pt idx="46" formatCode="General">
                  <c:v>-53.365643564356425</c:v>
                </c:pt>
                <c:pt idx="47" formatCode="General">
                  <c:v>-52.403267326732667</c:v>
                </c:pt>
                <c:pt idx="48" formatCode="General">
                  <c:v>-51.440891089108909</c:v>
                </c:pt>
                <c:pt idx="49" formatCode="General">
                  <c:v>-50.747038413878563</c:v>
                </c:pt>
                <c:pt idx="50" formatCode="General">
                  <c:v>-50.214299876084262</c:v>
                </c:pt>
                <c:pt idx="51" formatCode="General">
                  <c:v>-49.68156133828996</c:v>
                </c:pt>
                <c:pt idx="52" formatCode="General">
                  <c:v>-49.148822800495665</c:v>
                </c:pt>
                <c:pt idx="53" formatCode="General">
                  <c:v>-48.616084262701364</c:v>
                </c:pt>
                <c:pt idx="54" formatCode="General">
                  <c:v>-48.083345724907062</c:v>
                </c:pt>
                <c:pt idx="55" formatCode="General">
                  <c:v>-47.550607187112767</c:v>
                </c:pt>
                <c:pt idx="56" formatCode="General">
                  <c:v>-47.017868649318466</c:v>
                </c:pt>
                <c:pt idx="57" formatCode="General">
                  <c:v>-46.485130111524171</c:v>
                </c:pt>
                <c:pt idx="58" formatCode="General">
                  <c:v>-45.952391573729869</c:v>
                </c:pt>
                <c:pt idx="59" formatCode="General">
                  <c:v>-45.552306930693071</c:v>
                </c:pt>
                <c:pt idx="60" formatCode="General">
                  <c:v>-45.266366336633659</c:v>
                </c:pt>
                <c:pt idx="61" formatCode="General">
                  <c:v>-44.980841584158412</c:v>
                </c:pt>
                <c:pt idx="62" formatCode="General">
                  <c:v>-44.728168316831685</c:v>
                </c:pt>
                <c:pt idx="63" formatCode="General">
                  <c:v>-44.47549504950495</c:v>
                </c:pt>
                <c:pt idx="64" formatCode="General">
                  <c:v>-44.234405940594065</c:v>
                </c:pt>
                <c:pt idx="65" formatCode="General">
                  <c:v>-44.005495049504951</c:v>
                </c:pt>
                <c:pt idx="66" formatCode="General">
                  <c:v>-43.776584158415844</c:v>
                </c:pt>
                <c:pt idx="67" formatCode="General">
                  <c:v>-43.570544554455445</c:v>
                </c:pt>
                <c:pt idx="68" formatCode="General">
                  <c:v>-43.365396039603958</c:v>
                </c:pt>
                <c:pt idx="69" formatCode="General">
                  <c:v>-43.173762376237626</c:v>
                </c:pt>
                <c:pt idx="70" formatCode="General">
                  <c:v>-42.999504950495052</c:v>
                </c:pt>
                <c:pt idx="71" formatCode="General">
                  <c:v>-42.825247524752477</c:v>
                </c:pt>
                <c:pt idx="72" formatCode="General">
                  <c:v>-42.935762376237626</c:v>
                </c:pt>
                <c:pt idx="73" formatCode="General">
                  <c:v>-43.073584158415841</c:v>
                </c:pt>
                <c:pt idx="74" formatCode="General">
                  <c:v>-43.21537313432836</c:v>
                </c:pt>
                <c:pt idx="75" formatCode="General">
                  <c:v>-43.363432835820895</c:v>
                </c:pt>
                <c:pt idx="76" formatCode="General">
                  <c:v>-43.511492537313437</c:v>
                </c:pt>
                <c:pt idx="77" formatCode="General">
                  <c:v>-43.661683168316834</c:v>
                </c:pt>
                <c:pt idx="78" formatCode="General">
                  <c:v>-43.812178217821781</c:v>
                </c:pt>
                <c:pt idx="79" formatCode="General">
                  <c:v>-43.961425742574257</c:v>
                </c:pt>
                <c:pt idx="80" formatCode="General">
                  <c:v>-44.108356435643557</c:v>
                </c:pt>
                <c:pt idx="81" formatCode="General">
                  <c:v>-44.255287128712865</c:v>
                </c:pt>
                <c:pt idx="82" formatCode="General">
                  <c:v>-44.402217821782173</c:v>
                </c:pt>
                <c:pt idx="83" formatCode="General">
                  <c:v>-44.549148514851481</c:v>
                </c:pt>
                <c:pt idx="84" formatCode="General">
                  <c:v>-44.696079207920789</c:v>
                </c:pt>
                <c:pt idx="85" formatCode="General">
                  <c:v>-44.843009900990097</c:v>
                </c:pt>
                <c:pt idx="86" formatCode="General">
                  <c:v>-44.989940594059405</c:v>
                </c:pt>
                <c:pt idx="87" formatCode="General">
                  <c:v>-45.136871287128713</c:v>
                </c:pt>
                <c:pt idx="88" formatCode="General">
                  <c:v>-45.283801980198021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3CD-4D1D-9629-50E1E2551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23CD-4D1D-9629-50E1E255132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 formatCode="General">
                        <c:v>-36.555742574257422</c:v>
                      </c:pt>
                      <c:pt idx="3" formatCode="General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-26.752623762376238</c:v>
                      </c:pt>
                      <c:pt idx="27" formatCode="General">
                        <c:v>-26.534405940594059</c:v>
                      </c:pt>
                      <c:pt idx="28" formatCode="General">
                        <c:v>-26.31618811881188</c:v>
                      </c:pt>
                      <c:pt idx="29" formatCode="General">
                        <c:v>-26.39627722772277</c:v>
                      </c:pt>
                      <c:pt idx="30" formatCode="General">
                        <c:v>-26.539643564356435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-32.988108910891086</c:v>
                      </c:pt>
                      <c:pt idx="80" formatCode="General">
                        <c:v>-33.101772277227717</c:v>
                      </c:pt>
                      <c:pt idx="81" formatCode="General">
                        <c:v>-33.215435643564355</c:v>
                      </c:pt>
                      <c:pt idx="82" formatCode="General">
                        <c:v>-33.329099009900986</c:v>
                      </c:pt>
                      <c:pt idx="83" formatCode="General">
                        <c:v>-33.442762376237624</c:v>
                      </c:pt>
                      <c:pt idx="84" formatCode="General">
                        <c:v>-33.556425742574255</c:v>
                      </c:pt>
                      <c:pt idx="85" formatCode="General">
                        <c:v>-33.670089108910894</c:v>
                      </c:pt>
                      <c:pt idx="86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3CD-4D1D-9629-50E1E255132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23CD-4D1D-9629-50E1E255132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3CD-4D1D-9629-50E1E255132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3CD-4D1D-9629-50E1E255132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3CD-4D1D-9629-50E1E255132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 formatCode="General">
                        <c:v>-58.006435643564352</c:v>
                      </c:pt>
                      <c:pt idx="3" formatCode="General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-48.674207920792078</c:v>
                      </c:pt>
                      <c:pt idx="27" formatCode="General">
                        <c:v>-48.574801980198018</c:v>
                      </c:pt>
                      <c:pt idx="28" formatCode="General">
                        <c:v>-48.475396039603957</c:v>
                      </c:pt>
                      <c:pt idx="29" formatCode="General">
                        <c:v>-48.677564356435639</c:v>
                      </c:pt>
                      <c:pt idx="30" formatCode="General">
                        <c:v>-48.943702970297025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-60.863801980198019</c:v>
                      </c:pt>
                      <c:pt idx="80" formatCode="General">
                        <c:v>-61.07350495049505</c:v>
                      </c:pt>
                      <c:pt idx="81" formatCode="General">
                        <c:v>-61.28320792079208</c:v>
                      </c:pt>
                      <c:pt idx="82" formatCode="General">
                        <c:v>-61.49291089108911</c:v>
                      </c:pt>
                      <c:pt idx="83" formatCode="General">
                        <c:v>-61.702613861386141</c:v>
                      </c:pt>
                      <c:pt idx="84" formatCode="General">
                        <c:v>-61.912316831683171</c:v>
                      </c:pt>
                      <c:pt idx="85" formatCode="General">
                        <c:v>-62.122019801980201</c:v>
                      </c:pt>
                      <c:pt idx="86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3CD-4D1D-9629-50E1E255132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-193.07227722772276</c:v>
                      </c:pt>
                      <c:pt idx="1">
                        <c:v>-188.53178217821781</c:v>
                      </c:pt>
                      <c:pt idx="2" formatCode="General">
                        <c:v>-184.26247524752475</c:v>
                      </c:pt>
                      <c:pt idx="3" formatCode="General">
                        <c:v>-180.02707920792079</c:v>
                      </c:pt>
                      <c:pt idx="4" formatCode="General">
                        <c:v>-176.30034653465344</c:v>
                      </c:pt>
                      <c:pt idx="5" formatCode="General">
                        <c:v>-172.57361386138612</c:v>
                      </c:pt>
                      <c:pt idx="6" formatCode="General">
                        <c:v>-169.08316831683169</c:v>
                      </c:pt>
                      <c:pt idx="7" formatCode="General">
                        <c:v>-165.79603960396039</c:v>
                      </c:pt>
                      <c:pt idx="8" formatCode="General">
                        <c:v>-162.51891089108912</c:v>
                      </c:pt>
                      <c:pt idx="9" formatCode="General">
                        <c:v>-160.03178217821784</c:v>
                      </c:pt>
                      <c:pt idx="10" formatCode="General">
                        <c:v>-157.54465346534653</c:v>
                      </c:pt>
                      <c:pt idx="11" formatCode="General">
                        <c:v>-155.05752475247525</c:v>
                      </c:pt>
                      <c:pt idx="12" formatCode="General">
                        <c:v>-152.57039603960396</c:v>
                      </c:pt>
                      <c:pt idx="13" formatCode="General">
                        <c:v>-150.08326732673268</c:v>
                      </c:pt>
                      <c:pt idx="14" formatCode="General">
                        <c:v>-147.5961386138614</c:v>
                      </c:pt>
                      <c:pt idx="15" formatCode="General">
                        <c:v>-145.10900990099009</c:v>
                      </c:pt>
                      <c:pt idx="16" formatCode="General">
                        <c:v>-142.62188118811881</c:v>
                      </c:pt>
                      <c:pt idx="17" formatCode="General">
                        <c:v>-140.13475247524752</c:v>
                      </c:pt>
                      <c:pt idx="18" formatCode="General">
                        <c:v>-137.64762376237624</c:v>
                      </c:pt>
                      <c:pt idx="19" formatCode="General">
                        <c:v>-135.6881188118812</c:v>
                      </c:pt>
                      <c:pt idx="20" formatCode="General">
                        <c:v>-133.77920792079209</c:v>
                      </c:pt>
                      <c:pt idx="21" formatCode="General">
                        <c:v>-131.94242574257427</c:v>
                      </c:pt>
                      <c:pt idx="22" formatCode="General">
                        <c:v>-130.21965346534654</c:v>
                      </c:pt>
                      <c:pt idx="23" formatCode="General">
                        <c:v>-128.49688118811881</c:v>
                      </c:pt>
                      <c:pt idx="24" formatCode="General">
                        <c:v>-126.88686567164179</c:v>
                      </c:pt>
                      <c:pt idx="25" formatCode="General">
                        <c:v>-125.29482587064676</c:v>
                      </c:pt>
                      <c:pt idx="26" formatCode="General">
                        <c:v>-123.75267326732673</c:v>
                      </c:pt>
                      <c:pt idx="27" formatCode="General">
                        <c:v>-122.30316831683167</c:v>
                      </c:pt>
                      <c:pt idx="28" formatCode="General">
                        <c:v>-120.85366336633662</c:v>
                      </c:pt>
                      <c:pt idx="29" formatCode="General">
                        <c:v>-119.5119801980198</c:v>
                      </c:pt>
                      <c:pt idx="30" formatCode="General">
                        <c:v>-118.19316831683167</c:v>
                      </c:pt>
                      <c:pt idx="31" formatCode="General">
                        <c:v>-116.90405940594059</c:v>
                      </c:pt>
                      <c:pt idx="32" formatCode="General">
                        <c:v>-115.68425742574257</c:v>
                      </c:pt>
                      <c:pt idx="33" formatCode="General">
                        <c:v>-114.46445544554454</c:v>
                      </c:pt>
                      <c:pt idx="34" formatCode="General">
                        <c:v>-113.30910891089108</c:v>
                      </c:pt>
                      <c:pt idx="35" formatCode="General">
                        <c:v>-112.17247524752474</c:v>
                      </c:pt>
                      <c:pt idx="36" formatCode="General">
                        <c:v>-111.05762376237624</c:v>
                      </c:pt>
                      <c:pt idx="37" formatCode="General">
                        <c:v>-110.00811881188119</c:v>
                      </c:pt>
                      <c:pt idx="38" formatCode="General">
                        <c:v>-108.95861386138614</c:v>
                      </c:pt>
                      <c:pt idx="39" formatCode="General">
                        <c:v>-108.0340099009901</c:v>
                      </c:pt>
                      <c:pt idx="40" formatCode="General">
                        <c:v>-107.15678217821782</c:v>
                      </c:pt>
                      <c:pt idx="41" formatCode="General">
                        <c:v>-106.27955445544555</c:v>
                      </c:pt>
                      <c:pt idx="42" formatCode="General">
                        <c:v>-105.40232673267327</c:v>
                      </c:pt>
                      <c:pt idx="43" formatCode="General">
                        <c:v>-104.525099009901</c:v>
                      </c:pt>
                      <c:pt idx="44" formatCode="General">
                        <c:v>-103.64787128712872</c:v>
                      </c:pt>
                      <c:pt idx="45" formatCode="General">
                        <c:v>-102.77064356435643</c:v>
                      </c:pt>
                      <c:pt idx="46" formatCode="General">
                        <c:v>-101.89341584158416</c:v>
                      </c:pt>
                      <c:pt idx="47" formatCode="General">
                        <c:v>-101.01618811881188</c:v>
                      </c:pt>
                      <c:pt idx="48" formatCode="General">
                        <c:v>-100.13896039603961</c:v>
                      </c:pt>
                      <c:pt idx="49" formatCode="General">
                        <c:v>-99.352288557213939</c:v>
                      </c:pt>
                      <c:pt idx="50" formatCode="General">
                        <c:v>-98.619950248756226</c:v>
                      </c:pt>
                      <c:pt idx="51" formatCode="General">
                        <c:v>-97.892029702970291</c:v>
                      </c:pt>
                      <c:pt idx="52" formatCode="General">
                        <c:v>-97.198960396039595</c:v>
                      </c:pt>
                      <c:pt idx="53" formatCode="General">
                        <c:v>-96.5058910891089</c:v>
                      </c:pt>
                      <c:pt idx="54" formatCode="General">
                        <c:v>-95.837950495049498</c:v>
                      </c:pt>
                      <c:pt idx="55" formatCode="General">
                        <c:v>-95.187653465346528</c:v>
                      </c:pt>
                      <c:pt idx="56" formatCode="General">
                        <c:v>-94.560574257425742</c:v>
                      </c:pt>
                      <c:pt idx="57" formatCode="General">
                        <c:v>-94.281762376237637</c:v>
                      </c:pt>
                      <c:pt idx="58" formatCode="General">
                        <c:v>-94.002950495049518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-100.32663366336634</c:v>
                      </c:pt>
                      <c:pt idx="80" formatCode="General">
                        <c:v>-100.71158415841583</c:v>
                      </c:pt>
                      <c:pt idx="81" formatCode="General">
                        <c:v>-101.09653465346534</c:v>
                      </c:pt>
                      <c:pt idx="82" formatCode="General">
                        <c:v>-101.48148514851485</c:v>
                      </c:pt>
                      <c:pt idx="83" formatCode="General">
                        <c:v>-101.86643564356436</c:v>
                      </c:pt>
                      <c:pt idx="84" formatCode="General">
                        <c:v>-102.25138613861387</c:v>
                      </c:pt>
                      <c:pt idx="85" formatCode="General">
                        <c:v>-102.63633663366336</c:v>
                      </c:pt>
                      <c:pt idx="86" formatCode="General">
                        <c:v>-103.02128712871287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3CD-4D1D-9629-50E1E255132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3CD-4D1D-9629-50E1E255132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3CD-4D1D-9629-50E1E255132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3CD-4D1D-9629-50E1E255132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3CD-4D1D-9629-50E1E255132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3CD-4D1D-9629-50E1E255132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3CD-4D1D-9629-50E1E255132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3CD-4D1D-9629-50E1E255132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3CD-4D1D-9629-50E1E255132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3CD-4D1D-9629-50E1E255132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3CD-4D1D-9629-50E1E255132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3CD-4D1D-9629-50E1E255132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3CD-4D1D-9629-50E1E255132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3CD-4D1D-9629-50E1E255132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3CD-4D1D-9629-50E1E255132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3CD-4D1D-9629-50E1E255132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3CD-4D1D-9629-50E1E255132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3CD-4D1D-9629-50E1E255132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3CD-4D1D-9629-50E1E255132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3CD-4D1D-9629-50E1E255132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3CD-4D1D-9629-50E1E255132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3CD-4D1D-9629-50E1E255132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92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3CD-4D1D-9629-50E1E255132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 formatCode="General">
                        <c:v>306</c:v>
                      </c:pt>
                      <c:pt idx="3" formatCode="General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3CD-4D1D-9629-50E1E255132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3CD-4D1D-9629-50E1E255132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3CD-4D1D-9629-50E1E255132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3CD-4D1D-9629-50E1E255132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3CD-4D1D-9629-50E1E255132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3CD-4D1D-9629-50E1E255132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3CD-4D1D-9629-50E1E255132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3CD-4D1D-9629-50E1E255132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3CD-4D1D-9629-50E1E255132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3CD-4D1D-9629-50E1E255132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3CD-4D1D-9629-50E1E255132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3CD-4D1D-9629-50E1E255132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3CD-4D1D-9629-50E1E255132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3CD-4D1D-9629-50E1E255132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3CD-4D1D-9629-50E1E255132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3CD-4D1D-9629-50E1E255132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3CD-4D1D-9629-50E1E255132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3CD-4D1D-9629-50E1E255132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3CD-4D1D-9629-50E1E255132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3CD-4D1D-9629-50E1E255132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3CD-4D1D-9629-50E1E255132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3CD-4D1D-9629-50E1E255132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3CD-4D1D-9629-50E1E255132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EVALUATION!$B$155:$CP$155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3CD-4D1D-9629-50E1E255132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EVALUATION!$B$156:$CP$156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23CD-4D1D-9629-50E1E255132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EVALUATION!$B$157:$CP$157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23CD-4D1D-9629-50E1E255132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EVALUATION!$B$158:$CP$158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23CD-4D1D-9629-50E1E255132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EVALUATION!$B$159:$CP$159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23CD-4D1D-9629-50E1E255132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EVALUATION!$B$160:$CP$160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23CD-4D1D-9629-50E1E255132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  <c:pt idx="0">
                        <c:v>End2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EVALUATION!$B$161:$CP$161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23CD-4D1D-9629-50E1E255132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tx>
            <c:strRef>
              <c:f>EVALUATION!$A$108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-193.07227722772276</c:v>
                </c:pt>
                <c:pt idx="1">
                  <c:v>-188.53178217821781</c:v>
                </c:pt>
                <c:pt idx="2" formatCode="General">
                  <c:v>-184.26247524752475</c:v>
                </c:pt>
                <c:pt idx="3" formatCode="General">
                  <c:v>-180.02707920792079</c:v>
                </c:pt>
                <c:pt idx="4" formatCode="General">
                  <c:v>-176.30034653465344</c:v>
                </c:pt>
                <c:pt idx="5" formatCode="General">
                  <c:v>-172.57361386138612</c:v>
                </c:pt>
                <c:pt idx="6" formatCode="General">
                  <c:v>-169.08316831683169</c:v>
                </c:pt>
                <c:pt idx="7" formatCode="General">
                  <c:v>-165.79603960396039</c:v>
                </c:pt>
                <c:pt idx="8" formatCode="General">
                  <c:v>-162.51891089108912</c:v>
                </c:pt>
                <c:pt idx="9" formatCode="General">
                  <c:v>-160.03178217821784</c:v>
                </c:pt>
                <c:pt idx="10" formatCode="General">
                  <c:v>-157.54465346534653</c:v>
                </c:pt>
                <c:pt idx="11" formatCode="General">
                  <c:v>-155.05752475247525</c:v>
                </c:pt>
                <c:pt idx="12" formatCode="General">
                  <c:v>-152.57039603960396</c:v>
                </c:pt>
                <c:pt idx="13" formatCode="General">
                  <c:v>-150.08326732673268</c:v>
                </c:pt>
                <c:pt idx="14" formatCode="General">
                  <c:v>-147.5961386138614</c:v>
                </c:pt>
                <c:pt idx="15" formatCode="General">
                  <c:v>-145.10900990099009</c:v>
                </c:pt>
                <c:pt idx="16" formatCode="General">
                  <c:v>-142.62188118811881</c:v>
                </c:pt>
                <c:pt idx="17" formatCode="General">
                  <c:v>-140.13475247524752</c:v>
                </c:pt>
                <c:pt idx="18" formatCode="General">
                  <c:v>-137.64762376237624</c:v>
                </c:pt>
                <c:pt idx="19" formatCode="General">
                  <c:v>-135.6881188118812</c:v>
                </c:pt>
                <c:pt idx="20" formatCode="General">
                  <c:v>-133.77920792079209</c:v>
                </c:pt>
                <c:pt idx="21" formatCode="General">
                  <c:v>-131.94242574257427</c:v>
                </c:pt>
                <c:pt idx="22" formatCode="General">
                  <c:v>-130.21965346534654</c:v>
                </c:pt>
                <c:pt idx="23" formatCode="General">
                  <c:v>-128.49688118811881</c:v>
                </c:pt>
                <c:pt idx="24" formatCode="General">
                  <c:v>-126.88686567164179</c:v>
                </c:pt>
                <c:pt idx="25" formatCode="General">
                  <c:v>-125.29482587064676</c:v>
                </c:pt>
                <c:pt idx="26" formatCode="General">
                  <c:v>-123.75267326732673</c:v>
                </c:pt>
                <c:pt idx="27" formatCode="General">
                  <c:v>-122.30316831683167</c:v>
                </c:pt>
                <c:pt idx="28" formatCode="General">
                  <c:v>-120.85366336633662</c:v>
                </c:pt>
                <c:pt idx="29" formatCode="General">
                  <c:v>-119.5119801980198</c:v>
                </c:pt>
                <c:pt idx="30" formatCode="General">
                  <c:v>-118.19316831683167</c:v>
                </c:pt>
                <c:pt idx="31" formatCode="General">
                  <c:v>-116.90405940594059</c:v>
                </c:pt>
                <c:pt idx="32" formatCode="General">
                  <c:v>-115.68425742574257</c:v>
                </c:pt>
                <c:pt idx="33" formatCode="General">
                  <c:v>-114.46445544554454</c:v>
                </c:pt>
                <c:pt idx="34" formatCode="General">
                  <c:v>-113.30910891089108</c:v>
                </c:pt>
                <c:pt idx="35" formatCode="General">
                  <c:v>-112.17247524752474</c:v>
                </c:pt>
                <c:pt idx="36" formatCode="General">
                  <c:v>-111.05762376237624</c:v>
                </c:pt>
                <c:pt idx="37" formatCode="General">
                  <c:v>-110.00811881188119</c:v>
                </c:pt>
                <c:pt idx="38" formatCode="General">
                  <c:v>-108.95861386138614</c:v>
                </c:pt>
                <c:pt idx="39" formatCode="General">
                  <c:v>-108.0340099009901</c:v>
                </c:pt>
                <c:pt idx="40" formatCode="General">
                  <c:v>-107.15678217821782</c:v>
                </c:pt>
                <c:pt idx="41" formatCode="General">
                  <c:v>-106.27955445544555</c:v>
                </c:pt>
                <c:pt idx="42" formatCode="General">
                  <c:v>-105.40232673267327</c:v>
                </c:pt>
                <c:pt idx="43" formatCode="General">
                  <c:v>-104.525099009901</c:v>
                </c:pt>
                <c:pt idx="44" formatCode="General">
                  <c:v>-103.64787128712872</c:v>
                </c:pt>
                <c:pt idx="45" formatCode="General">
                  <c:v>-102.77064356435643</c:v>
                </c:pt>
                <c:pt idx="46" formatCode="General">
                  <c:v>-101.89341584158416</c:v>
                </c:pt>
                <c:pt idx="47" formatCode="General">
                  <c:v>-101.01618811881188</c:v>
                </c:pt>
                <c:pt idx="48" formatCode="General">
                  <c:v>-100.13896039603961</c:v>
                </c:pt>
                <c:pt idx="49" formatCode="General">
                  <c:v>-99.352288557213939</c:v>
                </c:pt>
                <c:pt idx="50" formatCode="General">
                  <c:v>-98.619950248756226</c:v>
                </c:pt>
                <c:pt idx="51" formatCode="General">
                  <c:v>-97.892029702970291</c:v>
                </c:pt>
                <c:pt idx="52" formatCode="General">
                  <c:v>-97.198960396039595</c:v>
                </c:pt>
                <c:pt idx="53" formatCode="General">
                  <c:v>-96.5058910891089</c:v>
                </c:pt>
                <c:pt idx="54" formatCode="General">
                  <c:v>-95.837950495049498</c:v>
                </c:pt>
                <c:pt idx="55" formatCode="General">
                  <c:v>-95.187653465346528</c:v>
                </c:pt>
                <c:pt idx="56" formatCode="General">
                  <c:v>-94.560574257425742</c:v>
                </c:pt>
                <c:pt idx="57" formatCode="General">
                  <c:v>-94.281762376237637</c:v>
                </c:pt>
                <c:pt idx="58" formatCode="General">
                  <c:v>-94.002950495049518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-100.32663366336634</c:v>
                </c:pt>
                <c:pt idx="80" formatCode="General">
                  <c:v>-100.71158415841583</c:v>
                </c:pt>
                <c:pt idx="81" formatCode="General">
                  <c:v>-101.09653465346534</c:v>
                </c:pt>
                <c:pt idx="82" formatCode="General">
                  <c:v>-101.48148514851485</c:v>
                </c:pt>
                <c:pt idx="83" formatCode="General">
                  <c:v>-101.86643564356436</c:v>
                </c:pt>
                <c:pt idx="84" formatCode="General">
                  <c:v>-102.25138613861387</c:v>
                </c:pt>
                <c:pt idx="85" formatCode="General">
                  <c:v>-102.63633663366336</c:v>
                </c:pt>
                <c:pt idx="86" formatCode="General">
                  <c:v>-103.02128712871287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94-4788-9014-A895E877B9FE}"/>
            </c:ext>
          </c:extLst>
        </c:ser>
        <c:ser>
          <c:idx val="40"/>
          <c:order val="41"/>
          <c:tx>
            <c:strRef>
              <c:f>EVALUATION!$A$142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-193.78064356435644</c:v>
                </c:pt>
                <c:pt idx="1">
                  <c:v>-189.25341584158417</c:v>
                </c:pt>
                <c:pt idx="2" formatCode="General">
                  <c:v>-185.00391089108911</c:v>
                </c:pt>
                <c:pt idx="3" formatCode="General">
                  <c:v>-180.78856435643561</c:v>
                </c:pt>
                <c:pt idx="4" formatCode="General">
                  <c:v>-177.08559405940593</c:v>
                </c:pt>
                <c:pt idx="5" formatCode="General">
                  <c:v>-173.38262376237623</c:v>
                </c:pt>
                <c:pt idx="6" formatCode="General">
                  <c:v>-169.91594059405938</c:v>
                </c:pt>
                <c:pt idx="7" formatCode="General">
                  <c:v>-166.65257425742573</c:v>
                </c:pt>
                <c:pt idx="8" formatCode="General">
                  <c:v>-163.39899752475247</c:v>
                </c:pt>
                <c:pt idx="9" formatCode="General">
                  <c:v>-160.9187995049505</c:v>
                </c:pt>
                <c:pt idx="10" formatCode="General">
                  <c:v>-158.43860148514852</c:v>
                </c:pt>
                <c:pt idx="11" formatCode="General">
                  <c:v>-155.95840346534652</c:v>
                </c:pt>
                <c:pt idx="12" formatCode="General">
                  <c:v>-153.47820544554455</c:v>
                </c:pt>
                <c:pt idx="13" formatCode="General">
                  <c:v>-150.99800742574257</c:v>
                </c:pt>
                <c:pt idx="14" formatCode="General">
                  <c:v>-148.5178094059406</c:v>
                </c:pt>
                <c:pt idx="15" formatCode="General">
                  <c:v>-146.03761138613862</c:v>
                </c:pt>
                <c:pt idx="16" formatCode="General">
                  <c:v>-143.55741336633662</c:v>
                </c:pt>
                <c:pt idx="17" formatCode="General">
                  <c:v>-141.07721534653464</c:v>
                </c:pt>
                <c:pt idx="18" formatCode="General">
                  <c:v>-138.59701732673267</c:v>
                </c:pt>
                <c:pt idx="19" formatCode="General">
                  <c:v>-136.66341584158414</c:v>
                </c:pt>
                <c:pt idx="20" formatCode="General">
                  <c:v>-134.78222772277226</c:v>
                </c:pt>
                <c:pt idx="21" formatCode="General">
                  <c:v>-132.96856435643562</c:v>
                </c:pt>
                <c:pt idx="22" formatCode="General">
                  <c:v>-131.26163366336633</c:v>
                </c:pt>
                <c:pt idx="23" formatCode="General">
                  <c:v>-129.55470297029703</c:v>
                </c:pt>
                <c:pt idx="24" formatCode="General">
                  <c:v>-127.98119402985074</c:v>
                </c:pt>
                <c:pt idx="25" formatCode="General">
                  <c:v>-126.42895522388059</c:v>
                </c:pt>
                <c:pt idx="26" formatCode="General">
                  <c:v>-124.9168316831683</c:v>
                </c:pt>
                <c:pt idx="27" formatCode="General">
                  <c:v>-123.47920792079206</c:v>
                </c:pt>
                <c:pt idx="28" formatCode="General">
                  <c:v>-122.04158415841583</c:v>
                </c:pt>
                <c:pt idx="29" formatCode="General">
                  <c:v>-120.70851485148513</c:v>
                </c:pt>
                <c:pt idx="30" formatCode="General">
                  <c:v>-119.39762376237623</c:v>
                </c:pt>
                <c:pt idx="31" formatCode="General">
                  <c:v>-118.11405940594059</c:v>
                </c:pt>
                <c:pt idx="32" formatCode="General">
                  <c:v>-116.89425742574257</c:v>
                </c:pt>
                <c:pt idx="33" formatCode="General">
                  <c:v>-115.67445544554455</c:v>
                </c:pt>
                <c:pt idx="34" formatCode="General">
                  <c:v>-114.53138613861385</c:v>
                </c:pt>
                <c:pt idx="35" formatCode="General">
                  <c:v>-113.41059405940594</c:v>
                </c:pt>
                <c:pt idx="36" formatCode="General">
                  <c:v>-112.30960396039603</c:v>
                </c:pt>
                <c:pt idx="37" formatCode="General">
                  <c:v>-111.2680198019802</c:v>
                </c:pt>
                <c:pt idx="38" formatCode="General">
                  <c:v>-110.22643564356436</c:v>
                </c:pt>
                <c:pt idx="39" formatCode="General">
                  <c:v>-109.2279207920792</c:v>
                </c:pt>
                <c:pt idx="40" formatCode="General">
                  <c:v>-108.24574257425742</c:v>
                </c:pt>
                <c:pt idx="41" formatCode="General">
                  <c:v>-107.28019801980197</c:v>
                </c:pt>
                <c:pt idx="42" formatCode="General">
                  <c:v>-106.38118811881188</c:v>
                </c:pt>
                <c:pt idx="43" formatCode="General">
                  <c:v>-105.48217821782178</c:v>
                </c:pt>
                <c:pt idx="44" formatCode="General">
                  <c:v>-104.62861386138614</c:v>
                </c:pt>
                <c:pt idx="45" formatCode="General">
                  <c:v>-103.7969306930693</c:v>
                </c:pt>
                <c:pt idx="46" formatCode="General">
                  <c:v>-102.97772277227723</c:v>
                </c:pt>
                <c:pt idx="47" formatCode="General">
                  <c:v>-102.22920792079208</c:v>
                </c:pt>
                <c:pt idx="48" formatCode="General">
                  <c:v>-101.48069306930692</c:v>
                </c:pt>
                <c:pt idx="49" formatCode="General">
                  <c:v>-100.99591078066913</c:v>
                </c:pt>
                <c:pt idx="50" formatCode="General">
                  <c:v>-100.66936802973977</c:v>
                </c:pt>
                <c:pt idx="51" formatCode="General">
                  <c:v>-100.34282527881041</c:v>
                </c:pt>
                <c:pt idx="52" formatCode="General">
                  <c:v>-100.01628252788103</c:v>
                </c:pt>
                <c:pt idx="53" formatCode="General">
                  <c:v>-99.689739776951669</c:v>
                </c:pt>
                <c:pt idx="54" formatCode="General">
                  <c:v>-99.363197026022306</c:v>
                </c:pt>
                <c:pt idx="55" formatCode="General">
                  <c:v>-99.036654275092943</c:v>
                </c:pt>
                <c:pt idx="56" formatCode="General">
                  <c:v>-98.710111524163565</c:v>
                </c:pt>
                <c:pt idx="57" formatCode="General">
                  <c:v>-98.383568773234202</c:v>
                </c:pt>
                <c:pt idx="58" formatCode="General">
                  <c:v>-98.057026022304839</c:v>
                </c:pt>
                <c:pt idx="59" formatCode="General">
                  <c:v>-97.863</c:v>
                </c:pt>
                <c:pt idx="60" formatCode="General">
                  <c:v>-97.783000000000001</c:v>
                </c:pt>
                <c:pt idx="61" formatCode="General">
                  <c:v>-97.703514851485139</c:v>
                </c:pt>
                <c:pt idx="62" formatCode="General">
                  <c:v>-97.664702970297029</c:v>
                </c:pt>
                <c:pt idx="63" formatCode="General">
                  <c:v>-97.625891089108904</c:v>
                </c:pt>
                <c:pt idx="64" formatCode="General">
                  <c:v>-97.594801980198014</c:v>
                </c:pt>
                <c:pt idx="65" formatCode="General">
                  <c:v>-97.571831683168313</c:v>
                </c:pt>
                <c:pt idx="66" formatCode="General">
                  <c:v>-97.548861386138611</c:v>
                </c:pt>
                <c:pt idx="67" formatCode="General">
                  <c:v>-97.548762376237619</c:v>
                </c:pt>
                <c:pt idx="68" formatCode="General">
                  <c:v>-97.549554455445531</c:v>
                </c:pt>
                <c:pt idx="69" formatCode="General">
                  <c:v>-97.560396039603944</c:v>
                </c:pt>
                <c:pt idx="70" formatCode="General">
                  <c:v>-97.584158415841571</c:v>
                </c:pt>
                <c:pt idx="71" formatCode="General">
                  <c:v>-97.607920792079199</c:v>
                </c:pt>
                <c:pt idx="72" formatCode="General">
                  <c:v>-97.887544554455431</c:v>
                </c:pt>
                <c:pt idx="73" formatCode="General">
                  <c:v>-98.19170297029703</c:v>
                </c:pt>
                <c:pt idx="74" formatCode="General">
                  <c:v>-98.506318407960194</c:v>
                </c:pt>
                <c:pt idx="75" formatCode="General">
                  <c:v>-98.837462686567164</c:v>
                </c:pt>
                <c:pt idx="76" formatCode="General">
                  <c:v>-99.168606965174121</c:v>
                </c:pt>
                <c:pt idx="77" formatCode="General">
                  <c:v>-99.508019801980197</c:v>
                </c:pt>
                <c:pt idx="78" formatCode="General">
                  <c:v>-99.848613861386127</c:v>
                </c:pt>
                <c:pt idx="79" formatCode="General">
                  <c:v>-100.18657425742573</c:v>
                </c:pt>
                <c:pt idx="80" formatCode="General">
                  <c:v>-100.51964356435643</c:v>
                </c:pt>
                <c:pt idx="81" formatCode="General">
                  <c:v>-100.85271287128712</c:v>
                </c:pt>
                <c:pt idx="82" formatCode="General">
                  <c:v>-101.18578217821782</c:v>
                </c:pt>
                <c:pt idx="83" formatCode="General">
                  <c:v>-101.5188514851485</c:v>
                </c:pt>
                <c:pt idx="84" formatCode="General">
                  <c:v>-101.8519207920792</c:v>
                </c:pt>
                <c:pt idx="85" formatCode="General">
                  <c:v>-102.18499009900989</c:v>
                </c:pt>
                <c:pt idx="86" formatCode="General">
                  <c:v>-102.51805940594059</c:v>
                </c:pt>
                <c:pt idx="87" formatCode="General">
                  <c:v>-102.85112871287129</c:v>
                </c:pt>
                <c:pt idx="88" formatCode="General">
                  <c:v>-103.18419801980198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A694-4788-9014-A895E877B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A694-4788-9014-A895E877B9F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 formatCode="General">
                        <c:v>-36.555742574257422</c:v>
                      </c:pt>
                      <c:pt idx="3" formatCode="General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-26.752623762376238</c:v>
                      </c:pt>
                      <c:pt idx="27" formatCode="General">
                        <c:v>-26.534405940594059</c:v>
                      </c:pt>
                      <c:pt idx="28" formatCode="General">
                        <c:v>-26.31618811881188</c:v>
                      </c:pt>
                      <c:pt idx="29" formatCode="General">
                        <c:v>-26.39627722772277</c:v>
                      </c:pt>
                      <c:pt idx="30" formatCode="General">
                        <c:v>-26.539643564356435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-32.988108910891086</c:v>
                      </c:pt>
                      <c:pt idx="80" formatCode="General">
                        <c:v>-33.101772277227717</c:v>
                      </c:pt>
                      <c:pt idx="81" formatCode="General">
                        <c:v>-33.215435643564355</c:v>
                      </c:pt>
                      <c:pt idx="82" formatCode="General">
                        <c:v>-33.329099009900986</c:v>
                      </c:pt>
                      <c:pt idx="83" formatCode="General">
                        <c:v>-33.442762376237624</c:v>
                      </c:pt>
                      <c:pt idx="84" formatCode="General">
                        <c:v>-33.556425742574255</c:v>
                      </c:pt>
                      <c:pt idx="85" formatCode="General">
                        <c:v>-33.670089108910894</c:v>
                      </c:pt>
                      <c:pt idx="86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694-4788-9014-A895E877B9FE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694-4788-9014-A895E877B9F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694-4788-9014-A895E877B9FE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694-4788-9014-A895E877B9FE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694-4788-9014-A895E877B9FE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694-4788-9014-A895E877B9FE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 formatCode="General">
                        <c:v>-58.006435643564352</c:v>
                      </c:pt>
                      <c:pt idx="3" formatCode="General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-48.674207920792078</c:v>
                      </c:pt>
                      <c:pt idx="27" formatCode="General">
                        <c:v>-48.574801980198018</c:v>
                      </c:pt>
                      <c:pt idx="28" formatCode="General">
                        <c:v>-48.475396039603957</c:v>
                      </c:pt>
                      <c:pt idx="29" formatCode="General">
                        <c:v>-48.677564356435639</c:v>
                      </c:pt>
                      <c:pt idx="30" formatCode="General">
                        <c:v>-48.943702970297025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-60.863801980198019</c:v>
                      </c:pt>
                      <c:pt idx="80" formatCode="General">
                        <c:v>-61.07350495049505</c:v>
                      </c:pt>
                      <c:pt idx="81" formatCode="General">
                        <c:v>-61.28320792079208</c:v>
                      </c:pt>
                      <c:pt idx="82" formatCode="General">
                        <c:v>-61.49291089108911</c:v>
                      </c:pt>
                      <c:pt idx="83" formatCode="General">
                        <c:v>-61.702613861386141</c:v>
                      </c:pt>
                      <c:pt idx="84" formatCode="General">
                        <c:v>-61.912316831683171</c:v>
                      </c:pt>
                      <c:pt idx="85" formatCode="General">
                        <c:v>-62.122019801980201</c:v>
                      </c:pt>
                      <c:pt idx="86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694-4788-9014-A895E877B9FE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-148.27445544554456</c:v>
                      </c:pt>
                      <c:pt idx="1">
                        <c:v>-144.71158415841586</c:v>
                      </c:pt>
                      <c:pt idx="2" formatCode="General">
                        <c:v>-141.3610891089109</c:v>
                      </c:pt>
                      <c:pt idx="3" formatCode="General">
                        <c:v>-138.03707920792078</c:v>
                      </c:pt>
                      <c:pt idx="4" formatCode="General">
                        <c:v>-135.11034653465344</c:v>
                      </c:pt>
                      <c:pt idx="5" formatCode="General">
                        <c:v>-132.18361386138614</c:v>
                      </c:pt>
                      <c:pt idx="6" formatCode="General">
                        <c:v>-129.16534653465345</c:v>
                      </c:pt>
                      <c:pt idx="7" formatCode="General">
                        <c:v>-126.06831683168315</c:v>
                      </c:pt>
                      <c:pt idx="8" formatCode="General">
                        <c:v>-122.9759405940594</c:v>
                      </c:pt>
                      <c:pt idx="9" formatCode="General">
                        <c:v>-120.25118811881187</c:v>
                      </c:pt>
                      <c:pt idx="10" formatCode="General">
                        <c:v>-117.52643564356434</c:v>
                      </c:pt>
                      <c:pt idx="11" formatCode="General">
                        <c:v>-114.80168316831681</c:v>
                      </c:pt>
                      <c:pt idx="12" formatCode="General">
                        <c:v>-112.0769306930693</c:v>
                      </c:pt>
                      <c:pt idx="13" formatCode="General">
                        <c:v>-109.35217821782177</c:v>
                      </c:pt>
                      <c:pt idx="14" formatCode="General">
                        <c:v>-106.62742574257425</c:v>
                      </c:pt>
                      <c:pt idx="15" formatCode="General">
                        <c:v>-103.90267326732672</c:v>
                      </c:pt>
                      <c:pt idx="16" formatCode="General">
                        <c:v>-101.17792079207919</c:v>
                      </c:pt>
                      <c:pt idx="17" formatCode="General">
                        <c:v>-98.453168316831665</c:v>
                      </c:pt>
                      <c:pt idx="18" formatCode="General">
                        <c:v>-95.728415841584152</c:v>
                      </c:pt>
                      <c:pt idx="19" formatCode="General">
                        <c:v>-93.531287128712862</c:v>
                      </c:pt>
                      <c:pt idx="20" formatCode="General">
                        <c:v>-91.38475247524751</c:v>
                      </c:pt>
                      <c:pt idx="21" formatCode="General">
                        <c:v>-89.307277227722764</c:v>
                      </c:pt>
                      <c:pt idx="22" formatCode="General">
                        <c:v>-87.338960396039596</c:v>
                      </c:pt>
                      <c:pt idx="23" formatCode="General">
                        <c:v>-85.370643564356442</c:v>
                      </c:pt>
                      <c:pt idx="24" formatCode="General">
                        <c:v>-83.520895522388059</c:v>
                      </c:pt>
                      <c:pt idx="25" formatCode="General">
                        <c:v>-81.690049751243777</c:v>
                      </c:pt>
                      <c:pt idx="26" formatCode="General">
                        <c:v>-79.909504950495048</c:v>
                      </c:pt>
                      <c:pt idx="27" formatCode="General">
                        <c:v>-78.222376237623763</c:v>
                      </c:pt>
                      <c:pt idx="28" formatCode="General">
                        <c:v>-76.535247524752478</c:v>
                      </c:pt>
                      <c:pt idx="29" formatCode="General">
                        <c:v>-74.949405940594062</c:v>
                      </c:pt>
                      <c:pt idx="30" formatCode="General">
                        <c:v>-73.385049504950487</c:v>
                      </c:pt>
                      <c:pt idx="31" formatCode="General">
                        <c:v>-71.852772277227714</c:v>
                      </c:pt>
                      <c:pt idx="32" formatCode="General">
                        <c:v>-70.395346534653456</c:v>
                      </c:pt>
                      <c:pt idx="33" formatCode="General">
                        <c:v>-68.937920792079197</c:v>
                      </c:pt>
                      <c:pt idx="34" formatCode="General">
                        <c:v>-67.551089108910887</c:v>
                      </c:pt>
                      <c:pt idx="35" formatCode="General">
                        <c:v>-66.184752475247521</c:v>
                      </c:pt>
                      <c:pt idx="36" formatCode="General">
                        <c:v>-64.840198019801974</c:v>
                      </c:pt>
                      <c:pt idx="37" formatCode="General">
                        <c:v>-63.560990099009906</c:v>
                      </c:pt>
                      <c:pt idx="38" formatCode="General">
                        <c:v>-62.281782178217831</c:v>
                      </c:pt>
                      <c:pt idx="39" formatCode="General">
                        <c:v>-61.130346534653476</c:v>
                      </c:pt>
                      <c:pt idx="40" formatCode="General">
                        <c:v>-60.027376237623777</c:v>
                      </c:pt>
                      <c:pt idx="41" formatCode="General">
                        <c:v>-58.92440594059407</c:v>
                      </c:pt>
                      <c:pt idx="42" formatCode="General">
                        <c:v>-57.821435643564364</c:v>
                      </c:pt>
                      <c:pt idx="43" formatCode="General">
                        <c:v>-56.718465346534664</c:v>
                      </c:pt>
                      <c:pt idx="44" formatCode="General">
                        <c:v>-55.615495049504958</c:v>
                      </c:pt>
                      <c:pt idx="45" formatCode="General">
                        <c:v>-54.512524752475258</c:v>
                      </c:pt>
                      <c:pt idx="46" formatCode="General">
                        <c:v>-53.409554455445551</c:v>
                      </c:pt>
                      <c:pt idx="47" formatCode="General">
                        <c:v>-52.306584158415845</c:v>
                      </c:pt>
                      <c:pt idx="48" formatCode="General">
                        <c:v>-51.203613861386145</c:v>
                      </c:pt>
                      <c:pt idx="49" formatCode="General">
                        <c:v>-50.192985074626868</c:v>
                      </c:pt>
                      <c:pt idx="50" formatCode="General">
                        <c:v>-49.237761194029858</c:v>
                      </c:pt>
                      <c:pt idx="51" formatCode="General">
                        <c:v>-48.287970297029709</c:v>
                      </c:pt>
                      <c:pt idx="52" formatCode="General">
                        <c:v>-47.381039603960396</c:v>
                      </c:pt>
                      <c:pt idx="53" formatCode="General">
                        <c:v>-46.474108910891083</c:v>
                      </c:pt>
                      <c:pt idx="54" formatCode="General">
                        <c:v>-45.592306930693063</c:v>
                      </c:pt>
                      <c:pt idx="55" formatCode="General">
                        <c:v>-44.728148514851483</c:v>
                      </c:pt>
                      <c:pt idx="56" formatCode="General">
                        <c:v>-43.887207920792079</c:v>
                      </c:pt>
                      <c:pt idx="57" formatCode="General">
                        <c:v>-43.39453465346535</c:v>
                      </c:pt>
                      <c:pt idx="58" formatCode="General">
                        <c:v>-42.90186138613862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-44.575247524752477</c:v>
                      </c:pt>
                      <c:pt idx="80" formatCode="General">
                        <c:v>-44.768118811881187</c:v>
                      </c:pt>
                      <c:pt idx="81" formatCode="General">
                        <c:v>-44.960990099009898</c:v>
                      </c:pt>
                      <c:pt idx="82" formatCode="General">
                        <c:v>-45.153861386138615</c:v>
                      </c:pt>
                      <c:pt idx="83" formatCode="General">
                        <c:v>-45.346732673267326</c:v>
                      </c:pt>
                      <c:pt idx="84" formatCode="General">
                        <c:v>-45.539603960396036</c:v>
                      </c:pt>
                      <c:pt idx="85" formatCode="General">
                        <c:v>-45.732475247524754</c:v>
                      </c:pt>
                      <c:pt idx="86" formatCode="General">
                        <c:v>-45.925346534653464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694-4788-9014-A895E877B9FE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694-4788-9014-A895E877B9FE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694-4788-9014-A895E877B9FE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694-4788-9014-A895E877B9F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-18.791633663366337</c:v>
                      </c:pt>
                      <c:pt idx="1">
                        <c:v>-18.792326732673267</c:v>
                      </c:pt>
                      <c:pt idx="2" formatCode="General">
                        <c:v>-18.796287128712873</c:v>
                      </c:pt>
                      <c:pt idx="3" formatCode="General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-18.814257425742571</c:v>
                      </c:pt>
                      <c:pt idx="7" formatCode="General">
                        <c:v>-18.822178217821779</c:v>
                      </c:pt>
                      <c:pt idx="8" formatCode="General">
                        <c:v>-18.830148514851484</c:v>
                      </c:pt>
                      <c:pt idx="9" formatCode="General">
                        <c:v>-18.842029702970297</c:v>
                      </c:pt>
                      <c:pt idx="10" formatCode="General">
                        <c:v>-18.853910891089107</c:v>
                      </c:pt>
                      <c:pt idx="11" formatCode="General">
                        <c:v>-18.865792079207921</c:v>
                      </c:pt>
                      <c:pt idx="12" formatCode="General">
                        <c:v>-18.877673267326731</c:v>
                      </c:pt>
                      <c:pt idx="13" formatCode="General">
                        <c:v>-18.889554455445545</c:v>
                      </c:pt>
                      <c:pt idx="14" formatCode="General">
                        <c:v>-18.901435643564355</c:v>
                      </c:pt>
                      <c:pt idx="15" formatCode="General">
                        <c:v>-18.913316831683169</c:v>
                      </c:pt>
                      <c:pt idx="16" formatCode="General">
                        <c:v>-18.925198019801979</c:v>
                      </c:pt>
                      <c:pt idx="17" formatCode="General">
                        <c:v>-18.937079207920792</c:v>
                      </c:pt>
                      <c:pt idx="18" formatCode="General">
                        <c:v>-18.948960396039602</c:v>
                      </c:pt>
                      <c:pt idx="19" formatCode="General">
                        <c:v>-18.964455445544555</c:v>
                      </c:pt>
                      <c:pt idx="20" formatCode="General">
                        <c:v>-18.980297029702967</c:v>
                      </c:pt>
                      <c:pt idx="21" formatCode="General">
                        <c:v>-18.996138613861383</c:v>
                      </c:pt>
                      <c:pt idx="22" formatCode="General">
                        <c:v>-19.011980198019803</c:v>
                      </c:pt>
                      <c:pt idx="23" formatCode="General">
                        <c:v>-19.027821782178219</c:v>
                      </c:pt>
                      <c:pt idx="24" formatCode="General">
                        <c:v>-19.043731343283582</c:v>
                      </c:pt>
                      <c:pt idx="25" formatCode="General">
                        <c:v>-19.059651741293532</c:v>
                      </c:pt>
                      <c:pt idx="26" formatCode="General">
                        <c:v>-19.075544554455444</c:v>
                      </c:pt>
                      <c:pt idx="27" formatCode="General">
                        <c:v>-19.09138613861386</c:v>
                      </c:pt>
                      <c:pt idx="28" formatCode="General">
                        <c:v>-19.107227722772276</c:v>
                      </c:pt>
                      <c:pt idx="29" formatCode="General">
                        <c:v>-19.123069306930692</c:v>
                      </c:pt>
                      <c:pt idx="30" formatCode="General">
                        <c:v>-19.138910891089107</c:v>
                      </c:pt>
                      <c:pt idx="31" formatCode="General">
                        <c:v>-19.154752475247523</c:v>
                      </c:pt>
                      <c:pt idx="32" formatCode="General">
                        <c:v>-19.170594059405939</c:v>
                      </c:pt>
                      <c:pt idx="33" formatCode="General">
                        <c:v>-19.186435643564359</c:v>
                      </c:pt>
                      <c:pt idx="34" formatCode="General">
                        <c:v>-19.202277227722774</c:v>
                      </c:pt>
                      <c:pt idx="35" formatCode="General">
                        <c:v>-19.21811881188119</c:v>
                      </c:pt>
                      <c:pt idx="36" formatCode="General">
                        <c:v>-19.234950495049507</c:v>
                      </c:pt>
                      <c:pt idx="37" formatCode="General">
                        <c:v>-19.254752475247525</c:v>
                      </c:pt>
                      <c:pt idx="38" formatCode="General">
                        <c:v>-19.274554455445546</c:v>
                      </c:pt>
                      <c:pt idx="39" formatCode="General">
                        <c:v>-19.291485148514852</c:v>
                      </c:pt>
                      <c:pt idx="40" formatCode="General">
                        <c:v>-19.307326732673268</c:v>
                      </c:pt>
                      <c:pt idx="41" formatCode="General">
                        <c:v>-19.323168316831683</c:v>
                      </c:pt>
                      <c:pt idx="42" formatCode="General">
                        <c:v>-19.339009900990099</c:v>
                      </c:pt>
                      <c:pt idx="43" formatCode="General">
                        <c:v>-19.354851485148515</c:v>
                      </c:pt>
                      <c:pt idx="44" formatCode="General">
                        <c:v>-19.370693069306931</c:v>
                      </c:pt>
                      <c:pt idx="45" formatCode="General">
                        <c:v>-19.386534653465347</c:v>
                      </c:pt>
                      <c:pt idx="46" formatCode="General">
                        <c:v>-19.402376237623763</c:v>
                      </c:pt>
                      <c:pt idx="47" formatCode="General">
                        <c:v>-19.418217821782179</c:v>
                      </c:pt>
                      <c:pt idx="48" formatCode="General">
                        <c:v>-19.434059405940594</c:v>
                      </c:pt>
                      <c:pt idx="49" formatCode="General">
                        <c:v>-19.452437810945273</c:v>
                      </c:pt>
                      <c:pt idx="50" formatCode="General">
                        <c:v>-19.472338308457712</c:v>
                      </c:pt>
                      <c:pt idx="51" formatCode="General">
                        <c:v>-19.491782178217822</c:v>
                      </c:pt>
                      <c:pt idx="52" formatCode="General">
                        <c:v>-19.507623762376237</c:v>
                      </c:pt>
                      <c:pt idx="53" formatCode="General">
                        <c:v>-19.523465346534653</c:v>
                      </c:pt>
                      <c:pt idx="54" formatCode="General">
                        <c:v>-19.539306930693069</c:v>
                      </c:pt>
                      <c:pt idx="55" formatCode="General">
                        <c:v>-19.555148514851485</c:v>
                      </c:pt>
                      <c:pt idx="56" formatCode="General">
                        <c:v>-19.568267326732673</c:v>
                      </c:pt>
                      <c:pt idx="57" formatCode="General">
                        <c:v>-19.540544554455447</c:v>
                      </c:pt>
                      <c:pt idx="58" formatCode="General">
                        <c:v>-19.512821782178218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-19.772574257425742</c:v>
                      </c:pt>
                      <c:pt idx="80" formatCode="General">
                        <c:v>-19.786435643564356</c:v>
                      </c:pt>
                      <c:pt idx="81" formatCode="General">
                        <c:v>-19.800297029702968</c:v>
                      </c:pt>
                      <c:pt idx="82" formatCode="General">
                        <c:v>-19.814158415841582</c:v>
                      </c:pt>
                      <c:pt idx="83" formatCode="General">
                        <c:v>-19.828019801980197</c:v>
                      </c:pt>
                      <c:pt idx="84" formatCode="General">
                        <c:v>-19.841881188118812</c:v>
                      </c:pt>
                      <c:pt idx="85" formatCode="General">
                        <c:v>-19.855742574257423</c:v>
                      </c:pt>
                      <c:pt idx="86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94-4788-9014-A895E877B9F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-62.937772277227722</c:v>
                      </c:pt>
                      <c:pt idx="1">
                        <c:v>-61.400742574257428</c:v>
                      </c:pt>
                      <c:pt idx="2" formatCode="General">
                        <c:v>-59.955198019801983</c:v>
                      </c:pt>
                      <c:pt idx="3" formatCode="General">
                        <c:v>-58.521039603960396</c:v>
                      </c:pt>
                      <c:pt idx="4" formatCode="General">
                        <c:v>-57.25767326732673</c:v>
                      </c:pt>
                      <c:pt idx="5" formatCode="General">
                        <c:v>-55.994306930693064</c:v>
                      </c:pt>
                      <c:pt idx="6" formatCode="General">
                        <c:v>-54.603217821782174</c:v>
                      </c:pt>
                      <c:pt idx="7" formatCode="General">
                        <c:v>-53.10222772277227</c:v>
                      </c:pt>
                      <c:pt idx="8" formatCode="General">
                        <c:v>-51.60222772277227</c:v>
                      </c:pt>
                      <c:pt idx="9" formatCode="General">
                        <c:v>-50.180445544554452</c:v>
                      </c:pt>
                      <c:pt idx="10" formatCode="General">
                        <c:v>-48.758663366336627</c:v>
                      </c:pt>
                      <c:pt idx="11" formatCode="General">
                        <c:v>-47.336881188118809</c:v>
                      </c:pt>
                      <c:pt idx="12" formatCode="General">
                        <c:v>-45.915099009900985</c:v>
                      </c:pt>
                      <c:pt idx="13" formatCode="General">
                        <c:v>-44.49331683168316</c:v>
                      </c:pt>
                      <c:pt idx="14" formatCode="General">
                        <c:v>-43.071534653465342</c:v>
                      </c:pt>
                      <c:pt idx="15" formatCode="General">
                        <c:v>-41.649752475247524</c:v>
                      </c:pt>
                      <c:pt idx="16" formatCode="General">
                        <c:v>-40.2279702970297</c:v>
                      </c:pt>
                      <c:pt idx="17" formatCode="General">
                        <c:v>-38.806188118811875</c:v>
                      </c:pt>
                      <c:pt idx="18" formatCode="General">
                        <c:v>-37.384405940594057</c:v>
                      </c:pt>
                      <c:pt idx="19" formatCode="General">
                        <c:v>-36.226435643564351</c:v>
                      </c:pt>
                      <c:pt idx="20" formatCode="General">
                        <c:v>-35.093762376237621</c:v>
                      </c:pt>
                      <c:pt idx="21" formatCode="General">
                        <c:v>-33.994851485148509</c:v>
                      </c:pt>
                      <c:pt idx="22" formatCode="General">
                        <c:v>-32.949306930693069</c:v>
                      </c:pt>
                      <c:pt idx="23" formatCode="General">
                        <c:v>-31.903762376237626</c:v>
                      </c:pt>
                      <c:pt idx="24" formatCode="General">
                        <c:v>-30.918955223880598</c:v>
                      </c:pt>
                      <c:pt idx="25" formatCode="General">
                        <c:v>-29.943830845771142</c:v>
                      </c:pt>
                      <c:pt idx="26" formatCode="General">
                        <c:v>-28.993960396039601</c:v>
                      </c:pt>
                      <c:pt idx="27" formatCode="General">
                        <c:v>-28.0909900990099</c:v>
                      </c:pt>
                      <c:pt idx="28" formatCode="General">
                        <c:v>-27.188019801980197</c:v>
                      </c:pt>
                      <c:pt idx="29" formatCode="General">
                        <c:v>-26.334059405940593</c:v>
                      </c:pt>
                      <c:pt idx="30" formatCode="General">
                        <c:v>-25.49049504950495</c:v>
                      </c:pt>
                      <c:pt idx="31" formatCode="General">
                        <c:v>-24.663564356435643</c:v>
                      </c:pt>
                      <c:pt idx="32" formatCode="General">
                        <c:v>-23.875445544554452</c:v>
                      </c:pt>
                      <c:pt idx="33" formatCode="General">
                        <c:v>-23.087326732673262</c:v>
                      </c:pt>
                      <c:pt idx="34" formatCode="General">
                        <c:v>-22.336039603960394</c:v>
                      </c:pt>
                      <c:pt idx="35" formatCode="General">
                        <c:v>-21.595445544554455</c:v>
                      </c:pt>
                      <c:pt idx="36" formatCode="General">
                        <c:v>-20.865742574257425</c:v>
                      </c:pt>
                      <c:pt idx="37" formatCode="General">
                        <c:v>-20.168712871287131</c:v>
                      </c:pt>
                      <c:pt idx="38" formatCode="General">
                        <c:v>-19.471683168316837</c:v>
                      </c:pt>
                      <c:pt idx="39" formatCode="General">
                        <c:v>-18.839257425742577</c:v>
                      </c:pt>
                      <c:pt idx="40" formatCode="General">
                        <c:v>-18.231336633663371</c:v>
                      </c:pt>
                      <c:pt idx="41" formatCode="General">
                        <c:v>-17.623415841584162</c:v>
                      </c:pt>
                      <c:pt idx="42" formatCode="General">
                        <c:v>-17.015495049504953</c:v>
                      </c:pt>
                      <c:pt idx="43" formatCode="General">
                        <c:v>-16.407574257425743</c:v>
                      </c:pt>
                      <c:pt idx="44" formatCode="General">
                        <c:v>-15.799653465346537</c:v>
                      </c:pt>
                      <c:pt idx="45" formatCode="General">
                        <c:v>-15.191732673267328</c:v>
                      </c:pt>
                      <c:pt idx="46" formatCode="General">
                        <c:v>-14.583811881188119</c:v>
                      </c:pt>
                      <c:pt idx="47" formatCode="General">
                        <c:v>-13.975891089108913</c:v>
                      </c:pt>
                      <c:pt idx="48" formatCode="General">
                        <c:v>-13.367970297029704</c:v>
                      </c:pt>
                      <c:pt idx="49" formatCode="General">
                        <c:v>-12.806666666666668</c:v>
                      </c:pt>
                      <c:pt idx="50" formatCode="General">
                        <c:v>-12.273333333333335</c:v>
                      </c:pt>
                      <c:pt idx="51" formatCode="General">
                        <c:v>-11.742970297029705</c:v>
                      </c:pt>
                      <c:pt idx="52" formatCode="General">
                        <c:v>-11.236039603960396</c:v>
                      </c:pt>
                      <c:pt idx="53" formatCode="General">
                        <c:v>-10.729108910891087</c:v>
                      </c:pt>
                      <c:pt idx="54" formatCode="General">
                        <c:v>-10.234742574257423</c:v>
                      </c:pt>
                      <c:pt idx="55" formatCode="General">
                        <c:v>-9.7491980198019785</c:v>
                      </c:pt>
                      <c:pt idx="56" formatCode="General">
                        <c:v>-9.2752623762376238</c:v>
                      </c:pt>
                      <c:pt idx="57" formatCode="General">
                        <c:v>-8.9754603960396047</c:v>
                      </c:pt>
                      <c:pt idx="58" formatCode="General">
                        <c:v>-8.6756584158415855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-8.3497772277227718</c:v>
                      </c:pt>
                      <c:pt idx="80" formatCode="General">
                        <c:v>-8.3981930693069309</c:v>
                      </c:pt>
                      <c:pt idx="81" formatCode="General">
                        <c:v>-8.44660891089109</c:v>
                      </c:pt>
                      <c:pt idx="82" formatCode="General">
                        <c:v>-8.4950247524752474</c:v>
                      </c:pt>
                      <c:pt idx="83" formatCode="General">
                        <c:v>-8.5434405940594065</c:v>
                      </c:pt>
                      <c:pt idx="84" formatCode="General">
                        <c:v>-8.5918564356435638</c:v>
                      </c:pt>
                      <c:pt idx="85" formatCode="General">
                        <c:v>-8.640272277227723</c:v>
                      </c:pt>
                      <c:pt idx="86" formatCode="General">
                        <c:v>-8.6886881188118803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94-4788-9014-A895E877B9F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 formatCode="General">
                        <c:v>-15.105049504950495</c:v>
                      </c:pt>
                      <c:pt idx="3" formatCode="General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-4.8310396039603951</c:v>
                      </c:pt>
                      <c:pt idx="27" formatCode="General">
                        <c:v>-4.4940099009900978</c:v>
                      </c:pt>
                      <c:pt idx="28" formatCode="General">
                        <c:v>-4.1569801980198005</c:v>
                      </c:pt>
                      <c:pt idx="29" formatCode="General">
                        <c:v>-4.1149900990099013</c:v>
                      </c:pt>
                      <c:pt idx="30" formatCode="General">
                        <c:v>-4.1355841584158419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-5.1124158415841583</c:v>
                      </c:pt>
                      <c:pt idx="80" formatCode="General">
                        <c:v>-5.1300396039603955</c:v>
                      </c:pt>
                      <c:pt idx="81" formatCode="General">
                        <c:v>-5.1476633663366336</c:v>
                      </c:pt>
                      <c:pt idx="82" formatCode="General">
                        <c:v>-5.1652871287128708</c:v>
                      </c:pt>
                      <c:pt idx="83" formatCode="General">
                        <c:v>-5.1829108910891089</c:v>
                      </c:pt>
                      <c:pt idx="84" formatCode="General">
                        <c:v>-5.200534653465346</c:v>
                      </c:pt>
                      <c:pt idx="85" formatCode="General">
                        <c:v>-5.2181584158415841</c:v>
                      </c:pt>
                      <c:pt idx="86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694-4788-9014-A895E877B9F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 formatCode="General">
                        <c:v>-21.450693069306929</c:v>
                      </c:pt>
                      <c:pt idx="3" formatCode="General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-27.87569306930693</c:v>
                      </c:pt>
                      <c:pt idx="80" formatCode="General">
                        <c:v>-27.971732673267326</c:v>
                      </c:pt>
                      <c:pt idx="81" formatCode="General">
                        <c:v>-28.067772277227721</c:v>
                      </c:pt>
                      <c:pt idx="82" formatCode="General">
                        <c:v>-28.163811881188117</c:v>
                      </c:pt>
                      <c:pt idx="83" formatCode="General">
                        <c:v>-28.259851485148516</c:v>
                      </c:pt>
                      <c:pt idx="84" formatCode="General">
                        <c:v>-28.355891089108912</c:v>
                      </c:pt>
                      <c:pt idx="85" formatCode="General">
                        <c:v>-28.451930693069308</c:v>
                      </c:pt>
                      <c:pt idx="86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694-4788-9014-A895E877B9F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694-4788-9014-A895E877B9F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694-4788-9014-A895E877B9F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694-4788-9014-A895E877B9F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694-4788-9014-A895E877B9F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694-4788-9014-A895E877B9F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694-4788-9014-A895E877B9F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694-4788-9014-A895E877B9F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694-4788-9014-A895E877B9F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694-4788-9014-A895E877B9F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694-4788-9014-A895E877B9F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694-4788-9014-A895E877B9F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694-4788-9014-A895E877B9F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694-4788-9014-A895E877B9F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92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694-4788-9014-A895E877B9F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 formatCode="General">
                        <c:v>306</c:v>
                      </c:pt>
                      <c:pt idx="3" formatCode="General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694-4788-9014-A895E877B9F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A694-4788-9014-A895E877B9FE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694-4788-9014-A895E877B9FE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694-4788-9014-A895E877B9F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694-4788-9014-A895E877B9F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-193.78064356435644</c:v>
                      </c:pt>
                      <c:pt idx="1">
                        <c:v>-189.25341584158417</c:v>
                      </c:pt>
                      <c:pt idx="2" formatCode="General">
                        <c:v>-185.00391089108911</c:v>
                      </c:pt>
                      <c:pt idx="3" formatCode="General">
                        <c:v>-180.78856435643561</c:v>
                      </c:pt>
                      <c:pt idx="4" formatCode="General">
                        <c:v>-177.08559405940593</c:v>
                      </c:pt>
                      <c:pt idx="5" formatCode="General">
                        <c:v>-173.38262376237623</c:v>
                      </c:pt>
                      <c:pt idx="6" formatCode="General">
                        <c:v>-169.91594059405938</c:v>
                      </c:pt>
                      <c:pt idx="7" formatCode="General">
                        <c:v>-166.65257425742573</c:v>
                      </c:pt>
                      <c:pt idx="8" formatCode="General">
                        <c:v>-163.39899752475247</c:v>
                      </c:pt>
                      <c:pt idx="9" formatCode="General">
                        <c:v>-160.9187995049505</c:v>
                      </c:pt>
                      <c:pt idx="10" formatCode="General">
                        <c:v>-158.43860148514852</c:v>
                      </c:pt>
                      <c:pt idx="11" formatCode="General">
                        <c:v>-155.95840346534652</c:v>
                      </c:pt>
                      <c:pt idx="12" formatCode="General">
                        <c:v>-153.47820544554455</c:v>
                      </c:pt>
                      <c:pt idx="13" formatCode="General">
                        <c:v>-150.99800742574257</c:v>
                      </c:pt>
                      <c:pt idx="14" formatCode="General">
                        <c:v>-148.5178094059406</c:v>
                      </c:pt>
                      <c:pt idx="15" formatCode="General">
                        <c:v>-146.03761138613862</c:v>
                      </c:pt>
                      <c:pt idx="16" formatCode="General">
                        <c:v>-143.55741336633662</c:v>
                      </c:pt>
                      <c:pt idx="17" formatCode="General">
                        <c:v>-141.07721534653464</c:v>
                      </c:pt>
                      <c:pt idx="18" formatCode="General">
                        <c:v>-138.59701732673267</c:v>
                      </c:pt>
                      <c:pt idx="19" formatCode="General">
                        <c:v>-136.66341584158414</c:v>
                      </c:pt>
                      <c:pt idx="20" formatCode="General">
                        <c:v>-134.78222772277226</c:v>
                      </c:pt>
                      <c:pt idx="21" formatCode="General">
                        <c:v>-132.96856435643562</c:v>
                      </c:pt>
                      <c:pt idx="22" formatCode="General">
                        <c:v>-131.26163366336633</c:v>
                      </c:pt>
                      <c:pt idx="23" formatCode="General">
                        <c:v>-129.55470297029703</c:v>
                      </c:pt>
                      <c:pt idx="24" formatCode="General">
                        <c:v>-127.98119402985074</c:v>
                      </c:pt>
                      <c:pt idx="25" formatCode="General">
                        <c:v>-126.42895522388059</c:v>
                      </c:pt>
                      <c:pt idx="26" formatCode="General">
                        <c:v>-124.9168316831683</c:v>
                      </c:pt>
                      <c:pt idx="27" formatCode="General">
                        <c:v>-123.47920792079206</c:v>
                      </c:pt>
                      <c:pt idx="28" formatCode="General">
                        <c:v>-122.04158415841583</c:v>
                      </c:pt>
                      <c:pt idx="29" formatCode="General">
                        <c:v>-120.70851485148513</c:v>
                      </c:pt>
                      <c:pt idx="30" formatCode="General">
                        <c:v>-119.39762376237623</c:v>
                      </c:pt>
                      <c:pt idx="31" formatCode="General">
                        <c:v>-118.11405940594059</c:v>
                      </c:pt>
                      <c:pt idx="32" formatCode="General">
                        <c:v>-116.89425742574257</c:v>
                      </c:pt>
                      <c:pt idx="33" formatCode="General">
                        <c:v>-115.67445544554455</c:v>
                      </c:pt>
                      <c:pt idx="34" formatCode="General">
                        <c:v>-114.53138613861385</c:v>
                      </c:pt>
                      <c:pt idx="35" formatCode="General">
                        <c:v>-113.41059405940594</c:v>
                      </c:pt>
                      <c:pt idx="36" formatCode="General">
                        <c:v>-112.30960396039603</c:v>
                      </c:pt>
                      <c:pt idx="37" formatCode="General">
                        <c:v>-111.2680198019802</c:v>
                      </c:pt>
                      <c:pt idx="38" formatCode="General">
                        <c:v>-110.22643564356436</c:v>
                      </c:pt>
                      <c:pt idx="39" formatCode="General">
                        <c:v>-109.2279207920792</c:v>
                      </c:pt>
                      <c:pt idx="40" formatCode="General">
                        <c:v>-108.24574257425742</c:v>
                      </c:pt>
                      <c:pt idx="41" formatCode="General">
                        <c:v>-107.28019801980197</c:v>
                      </c:pt>
                      <c:pt idx="42" formatCode="General">
                        <c:v>-106.38118811881188</c:v>
                      </c:pt>
                      <c:pt idx="43" formatCode="General">
                        <c:v>-105.48217821782178</c:v>
                      </c:pt>
                      <c:pt idx="44" formatCode="General">
                        <c:v>-104.62861386138614</c:v>
                      </c:pt>
                      <c:pt idx="45" formatCode="General">
                        <c:v>-103.7969306930693</c:v>
                      </c:pt>
                      <c:pt idx="46" formatCode="General">
                        <c:v>-102.97772277227723</c:v>
                      </c:pt>
                      <c:pt idx="47" formatCode="General">
                        <c:v>-102.22920792079208</c:v>
                      </c:pt>
                      <c:pt idx="48" formatCode="General">
                        <c:v>-101.48069306930692</c:v>
                      </c:pt>
                      <c:pt idx="49" formatCode="General">
                        <c:v>-100.99591078066913</c:v>
                      </c:pt>
                      <c:pt idx="50" formatCode="General">
                        <c:v>-100.66936802973977</c:v>
                      </c:pt>
                      <c:pt idx="51" formatCode="General">
                        <c:v>-100.34282527881041</c:v>
                      </c:pt>
                      <c:pt idx="52" formatCode="General">
                        <c:v>-100.01628252788103</c:v>
                      </c:pt>
                      <c:pt idx="53" formatCode="General">
                        <c:v>-99.689739776951669</c:v>
                      </c:pt>
                      <c:pt idx="54" formatCode="General">
                        <c:v>-99.363197026022306</c:v>
                      </c:pt>
                      <c:pt idx="55" formatCode="General">
                        <c:v>-99.036654275092943</c:v>
                      </c:pt>
                      <c:pt idx="56" formatCode="General">
                        <c:v>-98.710111524163565</c:v>
                      </c:pt>
                      <c:pt idx="57" formatCode="General">
                        <c:v>-98.383568773234202</c:v>
                      </c:pt>
                      <c:pt idx="58" formatCode="General">
                        <c:v>-98.057026022304839</c:v>
                      </c:pt>
                      <c:pt idx="59" formatCode="General">
                        <c:v>-97.863</c:v>
                      </c:pt>
                      <c:pt idx="60" formatCode="General">
                        <c:v>-97.783000000000001</c:v>
                      </c:pt>
                      <c:pt idx="61" formatCode="General">
                        <c:v>-97.703514851485139</c:v>
                      </c:pt>
                      <c:pt idx="62" formatCode="General">
                        <c:v>-97.664702970297029</c:v>
                      </c:pt>
                      <c:pt idx="63" formatCode="General">
                        <c:v>-97.625891089108904</c:v>
                      </c:pt>
                      <c:pt idx="64" formatCode="General">
                        <c:v>-97.594801980198014</c:v>
                      </c:pt>
                      <c:pt idx="65" formatCode="General">
                        <c:v>-97.571831683168313</c:v>
                      </c:pt>
                      <c:pt idx="66" formatCode="General">
                        <c:v>-97.548861386138611</c:v>
                      </c:pt>
                      <c:pt idx="67" formatCode="General">
                        <c:v>-97.548762376237619</c:v>
                      </c:pt>
                      <c:pt idx="68" formatCode="General">
                        <c:v>-97.549554455445531</c:v>
                      </c:pt>
                      <c:pt idx="69" formatCode="General">
                        <c:v>-97.560396039603944</c:v>
                      </c:pt>
                      <c:pt idx="70" formatCode="General">
                        <c:v>-97.584158415841571</c:v>
                      </c:pt>
                      <c:pt idx="71" formatCode="General">
                        <c:v>-97.607920792079199</c:v>
                      </c:pt>
                      <c:pt idx="72" formatCode="General">
                        <c:v>-97.887544554455431</c:v>
                      </c:pt>
                      <c:pt idx="73" formatCode="General">
                        <c:v>-98.19170297029703</c:v>
                      </c:pt>
                      <c:pt idx="74" formatCode="General">
                        <c:v>-98.506318407960194</c:v>
                      </c:pt>
                      <c:pt idx="75" formatCode="General">
                        <c:v>-98.837462686567164</c:v>
                      </c:pt>
                      <c:pt idx="76" formatCode="General">
                        <c:v>-99.168606965174121</c:v>
                      </c:pt>
                      <c:pt idx="77" formatCode="General">
                        <c:v>-99.508019801980197</c:v>
                      </c:pt>
                      <c:pt idx="78" formatCode="General">
                        <c:v>-99.848613861386127</c:v>
                      </c:pt>
                      <c:pt idx="79" formatCode="General">
                        <c:v>-100.18657425742573</c:v>
                      </c:pt>
                      <c:pt idx="80" formatCode="General">
                        <c:v>-100.51964356435643</c:v>
                      </c:pt>
                      <c:pt idx="81" formatCode="General">
                        <c:v>-100.85271287128712</c:v>
                      </c:pt>
                      <c:pt idx="82" formatCode="General">
                        <c:v>-101.18578217821782</c:v>
                      </c:pt>
                      <c:pt idx="83" formatCode="General">
                        <c:v>-101.5188514851485</c:v>
                      </c:pt>
                      <c:pt idx="84" formatCode="General">
                        <c:v>-101.8519207920792</c:v>
                      </c:pt>
                      <c:pt idx="85" formatCode="General">
                        <c:v>-102.18499009900989</c:v>
                      </c:pt>
                      <c:pt idx="86" formatCode="General">
                        <c:v>-102.51805940594059</c:v>
                      </c:pt>
                      <c:pt idx="87" formatCode="General">
                        <c:v>-102.85112871287129</c:v>
                      </c:pt>
                      <c:pt idx="88" formatCode="General">
                        <c:v>-103.18419801980198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694-4788-9014-A895E877B9F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694-4788-9014-A895E877B9FE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694-4788-9014-A895E877B9F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694-4788-9014-A895E877B9F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-61.312178217821781</c:v>
                      </c:pt>
                      <c:pt idx="1">
                        <c:v>-60.136435643564354</c:v>
                      </c:pt>
                      <c:pt idx="2" formatCode="General">
                        <c:v>-59.075049504950492</c:v>
                      </c:pt>
                      <c:pt idx="3" formatCode="General">
                        <c:v>-58.02975247524752</c:v>
                      </c:pt>
                      <c:pt idx="4" formatCode="General">
                        <c:v>-57.22579207920792</c:v>
                      </c:pt>
                      <c:pt idx="5" formatCode="General">
                        <c:v>-56.421831683168314</c:v>
                      </c:pt>
                      <c:pt idx="6" formatCode="General">
                        <c:v>-55.739207920792076</c:v>
                      </c:pt>
                      <c:pt idx="7" formatCode="General">
                        <c:v>-55.160990099009894</c:v>
                      </c:pt>
                      <c:pt idx="8" formatCode="General">
                        <c:v>-54.586216584158414</c:v>
                      </c:pt>
                      <c:pt idx="9" formatCode="General">
                        <c:v>-54.283543316831683</c:v>
                      </c:pt>
                      <c:pt idx="10" formatCode="General">
                        <c:v>-53.980870049504944</c:v>
                      </c:pt>
                      <c:pt idx="11" formatCode="General">
                        <c:v>-53.678196782178212</c:v>
                      </c:pt>
                      <c:pt idx="12" formatCode="General">
                        <c:v>-53.37552351485148</c:v>
                      </c:pt>
                      <c:pt idx="13" formatCode="General">
                        <c:v>-53.072850247524748</c:v>
                      </c:pt>
                      <c:pt idx="14" formatCode="General">
                        <c:v>-52.770176980198016</c:v>
                      </c:pt>
                      <c:pt idx="15" formatCode="General">
                        <c:v>-52.467503712871284</c:v>
                      </c:pt>
                      <c:pt idx="16" formatCode="General">
                        <c:v>-52.164830445544553</c:v>
                      </c:pt>
                      <c:pt idx="17" formatCode="General">
                        <c:v>-51.862157178217821</c:v>
                      </c:pt>
                      <c:pt idx="18" formatCode="General">
                        <c:v>-51.559483910891089</c:v>
                      </c:pt>
                      <c:pt idx="19" formatCode="General">
                        <c:v>-51.409767326732677</c:v>
                      </c:pt>
                      <c:pt idx="20" formatCode="General">
                        <c:v>-51.274717821782176</c:v>
                      </c:pt>
                      <c:pt idx="21" formatCode="General">
                        <c:v>-51.171589108910894</c:v>
                      </c:pt>
                      <c:pt idx="22" formatCode="General">
                        <c:v>-51.118915841584155</c:v>
                      </c:pt>
                      <c:pt idx="23" formatCode="General">
                        <c:v>-51.066242574257423</c:v>
                      </c:pt>
                      <c:pt idx="24" formatCode="General">
                        <c:v>-51.104313432835816</c:v>
                      </c:pt>
                      <c:pt idx="25" formatCode="General">
                        <c:v>-51.156850746268653</c:v>
                      </c:pt>
                      <c:pt idx="26" formatCode="General">
                        <c:v>-51.23812871287128</c:v>
                      </c:pt>
                      <c:pt idx="27" formatCode="General">
                        <c:v>-51.372782178217818</c:v>
                      </c:pt>
                      <c:pt idx="28" formatCode="General">
                        <c:v>-51.507435643564357</c:v>
                      </c:pt>
                      <c:pt idx="29" formatCode="General">
                        <c:v>-51.696653465346536</c:v>
                      </c:pt>
                      <c:pt idx="30" formatCode="General">
                        <c:v>-51.897445544554451</c:v>
                      </c:pt>
                      <c:pt idx="31" formatCode="General">
                        <c:v>-52.105960396039599</c:v>
                      </c:pt>
                      <c:pt idx="32" formatCode="General">
                        <c:v>-52.332495049504949</c:v>
                      </c:pt>
                      <c:pt idx="33" formatCode="General">
                        <c:v>-52.5590297029703</c:v>
                      </c:pt>
                      <c:pt idx="34" formatCode="General">
                        <c:v>-52.798148514851484</c:v>
                      </c:pt>
                      <c:pt idx="35" formatCode="General">
                        <c:v>-53.040920792079206</c:v>
                      </c:pt>
                      <c:pt idx="36" formatCode="General">
                        <c:v>-53.284584158415839</c:v>
                      </c:pt>
                      <c:pt idx="37" formatCode="General">
                        <c:v>-53.530920792079208</c:v>
                      </c:pt>
                      <c:pt idx="38" formatCode="General">
                        <c:v>-53.777257425742569</c:v>
                      </c:pt>
                      <c:pt idx="39" formatCode="General">
                        <c:v>-54.018999999999998</c:v>
                      </c:pt>
                      <c:pt idx="40" formatCode="General">
                        <c:v>-54.259</c:v>
                      </c:pt>
                      <c:pt idx="41" formatCode="General">
                        <c:v>-54.500821782178221</c:v>
                      </c:pt>
                      <c:pt idx="42" formatCode="General">
                        <c:v>-54.749930693069309</c:v>
                      </c:pt>
                      <c:pt idx="43" formatCode="General">
                        <c:v>-54.999039603960398</c:v>
                      </c:pt>
                      <c:pt idx="44" formatCode="General">
                        <c:v>-55.243871287128719</c:v>
                      </c:pt>
                      <c:pt idx="45" formatCode="General">
                        <c:v>-55.486643564356434</c:v>
                      </c:pt>
                      <c:pt idx="46" formatCode="General">
                        <c:v>-55.728762376237626</c:v>
                      </c:pt>
                      <c:pt idx="47" formatCode="General">
                        <c:v>-55.967178217821782</c:v>
                      </c:pt>
                      <c:pt idx="48" formatCode="General">
                        <c:v>-56.205594059405939</c:v>
                      </c:pt>
                      <c:pt idx="49" formatCode="General">
                        <c:v>-56.44363692688971</c:v>
                      </c:pt>
                      <c:pt idx="50" formatCode="General">
                        <c:v>-56.681456009913255</c:v>
                      </c:pt>
                      <c:pt idx="51" formatCode="General">
                        <c:v>-56.9192750929368</c:v>
                      </c:pt>
                      <c:pt idx="52" formatCode="General">
                        <c:v>-57.157094175960346</c:v>
                      </c:pt>
                      <c:pt idx="53" formatCode="General">
                        <c:v>-57.394913258983891</c:v>
                      </c:pt>
                      <c:pt idx="54" formatCode="General">
                        <c:v>-57.632732342007436</c:v>
                      </c:pt>
                      <c:pt idx="55" formatCode="General">
                        <c:v>-57.870551425030975</c:v>
                      </c:pt>
                      <c:pt idx="56" formatCode="General">
                        <c:v>-58.10837050805452</c:v>
                      </c:pt>
                      <c:pt idx="57" formatCode="General">
                        <c:v>-58.346189591078065</c:v>
                      </c:pt>
                      <c:pt idx="58" formatCode="General">
                        <c:v>-58.584008674101611</c:v>
                      </c:pt>
                      <c:pt idx="59" formatCode="General">
                        <c:v>-58.816613861386138</c:v>
                      </c:pt>
                      <c:pt idx="60" formatCode="General">
                        <c:v>-59.044732673267326</c:v>
                      </c:pt>
                      <c:pt idx="61" formatCode="General">
                        <c:v>-59.2729504950495</c:v>
                      </c:pt>
                      <c:pt idx="62" formatCode="General">
                        <c:v>-59.5089900990099</c:v>
                      </c:pt>
                      <c:pt idx="63" formatCode="General">
                        <c:v>-59.745029702970292</c:v>
                      </c:pt>
                      <c:pt idx="64" formatCode="General">
                        <c:v>-59.977014851485151</c:v>
                      </c:pt>
                      <c:pt idx="65" formatCode="General">
                        <c:v>-60.204737623762377</c:v>
                      </c:pt>
                      <c:pt idx="66" formatCode="General">
                        <c:v>-60.432460396039609</c:v>
                      </c:pt>
                      <c:pt idx="67" formatCode="General">
                        <c:v>-60.660945544554458</c:v>
                      </c:pt>
                      <c:pt idx="68" formatCode="General">
                        <c:v>-60.889460396039603</c:v>
                      </c:pt>
                      <c:pt idx="69" formatCode="General">
                        <c:v>-61.114163366336633</c:v>
                      </c:pt>
                      <c:pt idx="70" formatCode="General">
                        <c:v>-61.333965346534647</c:v>
                      </c:pt>
                      <c:pt idx="71" formatCode="General">
                        <c:v>-61.553767326732668</c:v>
                      </c:pt>
                      <c:pt idx="72" formatCode="General">
                        <c:v>-61.739599009900985</c:v>
                      </c:pt>
                      <c:pt idx="73" formatCode="General">
                        <c:v>-61.922173267326727</c:v>
                      </c:pt>
                      <c:pt idx="74" formatCode="General">
                        <c:v>-62.111114427860699</c:v>
                      </c:pt>
                      <c:pt idx="75" formatCode="General">
                        <c:v>-62.310119402985073</c:v>
                      </c:pt>
                      <c:pt idx="76" formatCode="General">
                        <c:v>-62.509124378109455</c:v>
                      </c:pt>
                      <c:pt idx="77" formatCode="General">
                        <c:v>-62.714198019801977</c:v>
                      </c:pt>
                      <c:pt idx="78" formatCode="General">
                        <c:v>-62.920138613861383</c:v>
                      </c:pt>
                      <c:pt idx="79" formatCode="General">
                        <c:v>-63.125039603960388</c:v>
                      </c:pt>
                      <c:pt idx="80" formatCode="General">
                        <c:v>-63.328009900990097</c:v>
                      </c:pt>
                      <c:pt idx="81" formatCode="General">
                        <c:v>-63.530980198019797</c:v>
                      </c:pt>
                      <c:pt idx="82" formatCode="General">
                        <c:v>-63.733950495049498</c:v>
                      </c:pt>
                      <c:pt idx="83" formatCode="General">
                        <c:v>-63.936920792079206</c:v>
                      </c:pt>
                      <c:pt idx="84" formatCode="General">
                        <c:v>-64.139891089108914</c:v>
                      </c:pt>
                      <c:pt idx="85" formatCode="General">
                        <c:v>-64.342861386138608</c:v>
                      </c:pt>
                      <c:pt idx="86" formatCode="General">
                        <c:v>-64.545831683168316</c:v>
                      </c:pt>
                      <c:pt idx="87" formatCode="General">
                        <c:v>-64.748801980198024</c:v>
                      </c:pt>
                      <c:pt idx="88" formatCode="General">
                        <c:v>-64.951772277227718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694-4788-9014-A895E877B9FE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-38.781237623762379</c:v>
                      </c:pt>
                      <c:pt idx="1">
                        <c:v>-37.994900990099012</c:v>
                      </c:pt>
                      <c:pt idx="2" formatCode="General">
                        <c:v>-37.254306930693069</c:v>
                      </c:pt>
                      <c:pt idx="3" formatCode="General">
                        <c:v>-36.518910891089114</c:v>
                      </c:pt>
                      <c:pt idx="4" formatCode="General">
                        <c:v>-35.861485148514852</c:v>
                      </c:pt>
                      <c:pt idx="5" formatCode="General">
                        <c:v>-35.20405940594059</c:v>
                      </c:pt>
                      <c:pt idx="6" formatCode="General">
                        <c:v>-34.59346534653465</c:v>
                      </c:pt>
                      <c:pt idx="7" formatCode="General">
                        <c:v>-34.023168316831679</c:v>
                      </c:pt>
                      <c:pt idx="8" formatCode="General">
                        <c:v>-33.455115099009902</c:v>
                      </c:pt>
                      <c:pt idx="9" formatCode="General">
                        <c:v>-33.064323019801982</c:v>
                      </c:pt>
                      <c:pt idx="10" formatCode="General">
                        <c:v>-32.673530940594055</c:v>
                      </c:pt>
                      <c:pt idx="11" formatCode="General">
                        <c:v>-32.282738861386136</c:v>
                      </c:pt>
                      <c:pt idx="12" formatCode="General">
                        <c:v>-31.891946782178216</c:v>
                      </c:pt>
                      <c:pt idx="13" formatCode="General">
                        <c:v>-31.501154702970297</c:v>
                      </c:pt>
                      <c:pt idx="14" formatCode="General">
                        <c:v>-31.110362623762374</c:v>
                      </c:pt>
                      <c:pt idx="15" formatCode="General">
                        <c:v>-30.719570544554454</c:v>
                      </c:pt>
                      <c:pt idx="16" formatCode="General">
                        <c:v>-30.328778465346531</c:v>
                      </c:pt>
                      <c:pt idx="17" formatCode="General">
                        <c:v>-29.937986386138611</c:v>
                      </c:pt>
                      <c:pt idx="18" formatCode="General">
                        <c:v>-29.547194306930692</c:v>
                      </c:pt>
                      <c:pt idx="19" formatCode="General">
                        <c:v>-29.321103960396037</c:v>
                      </c:pt>
                      <c:pt idx="20" formatCode="General">
                        <c:v>-29.110806930693069</c:v>
                      </c:pt>
                      <c:pt idx="21" formatCode="General">
                        <c:v>-28.935499999999998</c:v>
                      </c:pt>
                      <c:pt idx="22" formatCode="General">
                        <c:v>-28.8155</c:v>
                      </c:pt>
                      <c:pt idx="23" formatCode="General">
                        <c:v>-28.695499999999999</c:v>
                      </c:pt>
                      <c:pt idx="24" formatCode="General">
                        <c:v>-28.655656716417909</c:v>
                      </c:pt>
                      <c:pt idx="25" formatCode="General">
                        <c:v>-28.628592039800992</c:v>
                      </c:pt>
                      <c:pt idx="26" formatCode="General">
                        <c:v>-28.626247524752472</c:v>
                      </c:pt>
                      <c:pt idx="27" formatCode="General">
                        <c:v>-28.669811881188117</c:v>
                      </c:pt>
                      <c:pt idx="28" formatCode="General">
                        <c:v>-28.713376237623759</c:v>
                      </c:pt>
                      <c:pt idx="29" formatCode="General">
                        <c:v>-28.798435643564353</c:v>
                      </c:pt>
                      <c:pt idx="30" formatCode="General">
                        <c:v>-28.892297029702966</c:v>
                      </c:pt>
                      <c:pt idx="31" formatCode="General">
                        <c:v>-28.992693069306927</c:v>
                      </c:pt>
                      <c:pt idx="32" formatCode="General">
                        <c:v>-29.108336633663367</c:v>
                      </c:pt>
                      <c:pt idx="33" formatCode="General">
                        <c:v>-29.223980198019802</c:v>
                      </c:pt>
                      <c:pt idx="34" formatCode="General">
                        <c:v>-29.349138613861388</c:v>
                      </c:pt>
                      <c:pt idx="35" formatCode="General">
                        <c:v>-29.477059405940594</c:v>
                      </c:pt>
                      <c:pt idx="36" formatCode="General">
                        <c:v>-29.605871287128714</c:v>
                      </c:pt>
                      <c:pt idx="37" formatCode="General">
                        <c:v>-29.737356435643566</c:v>
                      </c:pt>
                      <c:pt idx="38" formatCode="General">
                        <c:v>-29.868841584158417</c:v>
                      </c:pt>
                      <c:pt idx="39" formatCode="General">
                        <c:v>-29.998603960396039</c:v>
                      </c:pt>
                      <c:pt idx="40" formatCode="General">
                        <c:v>-30.127712871287127</c:v>
                      </c:pt>
                      <c:pt idx="41" formatCode="General">
                        <c:v>-30.257851485148514</c:v>
                      </c:pt>
                      <c:pt idx="42" formatCode="General">
                        <c:v>-30.392108910891089</c:v>
                      </c:pt>
                      <c:pt idx="43" formatCode="General">
                        <c:v>-30.526366336633664</c:v>
                      </c:pt>
                      <c:pt idx="44" formatCode="General">
                        <c:v>-30.659019801980197</c:v>
                      </c:pt>
                      <c:pt idx="45" formatCode="General">
                        <c:v>-30.790900990099008</c:v>
                      </c:pt>
                      <c:pt idx="46" formatCode="General">
                        <c:v>-30.922722772277226</c:v>
                      </c:pt>
                      <c:pt idx="47" formatCode="General">
                        <c:v>-31.054207920792077</c:v>
                      </c:pt>
                      <c:pt idx="48" formatCode="General">
                        <c:v>-31.185693069306929</c:v>
                      </c:pt>
                      <c:pt idx="49" formatCode="General">
                        <c:v>-31.319200743494424</c:v>
                      </c:pt>
                      <c:pt idx="50" formatCode="General">
                        <c:v>-31.4539219330855</c:v>
                      </c:pt>
                      <c:pt idx="51" formatCode="General">
                        <c:v>-31.588643122676579</c:v>
                      </c:pt>
                      <c:pt idx="52" formatCode="General">
                        <c:v>-31.723364312267659</c:v>
                      </c:pt>
                      <c:pt idx="53" formatCode="General">
                        <c:v>-31.858085501858735</c:v>
                      </c:pt>
                      <c:pt idx="54" formatCode="General">
                        <c:v>-31.992806691449815</c:v>
                      </c:pt>
                      <c:pt idx="55" formatCode="General">
                        <c:v>-32.127527881040891</c:v>
                      </c:pt>
                      <c:pt idx="56" formatCode="General">
                        <c:v>-32.262249070631974</c:v>
                      </c:pt>
                      <c:pt idx="57" formatCode="General">
                        <c:v>-32.39697026022305</c:v>
                      </c:pt>
                      <c:pt idx="58" formatCode="General">
                        <c:v>-32.531691449814126</c:v>
                      </c:pt>
                      <c:pt idx="59" formatCode="General">
                        <c:v>-32.66126732673267</c:v>
                      </c:pt>
                      <c:pt idx="60" formatCode="General">
                        <c:v>-32.786415841584159</c:v>
                      </c:pt>
                      <c:pt idx="61" formatCode="General">
                        <c:v>-32.911613861386137</c:v>
                      </c:pt>
                      <c:pt idx="62" formatCode="General">
                        <c:v>-33.040722772277228</c:v>
                      </c:pt>
                      <c:pt idx="63" formatCode="General">
                        <c:v>-33.169831683168312</c:v>
                      </c:pt>
                      <c:pt idx="64" formatCode="General">
                        <c:v>-33.296816831683167</c:v>
                      </c:pt>
                      <c:pt idx="65" formatCode="General">
                        <c:v>-33.421569306930692</c:v>
                      </c:pt>
                      <c:pt idx="66" formatCode="General">
                        <c:v>-33.546321782178218</c:v>
                      </c:pt>
                      <c:pt idx="67" formatCode="General">
                        <c:v>-33.671836633663368</c:v>
                      </c:pt>
                      <c:pt idx="68" formatCode="General">
                        <c:v>-33.797381188118806</c:v>
                      </c:pt>
                      <c:pt idx="69" formatCode="General">
                        <c:v>-33.920846534653464</c:v>
                      </c:pt>
                      <c:pt idx="70" formatCode="General">
                        <c:v>-34.041638613861387</c:v>
                      </c:pt>
                      <c:pt idx="71" formatCode="General">
                        <c:v>-34.162430693069311</c:v>
                      </c:pt>
                      <c:pt idx="72" formatCode="General">
                        <c:v>-34.263707920792079</c:v>
                      </c:pt>
                      <c:pt idx="73" formatCode="General">
                        <c:v>-34.36311386138614</c:v>
                      </c:pt>
                      <c:pt idx="74" formatCode="General">
                        <c:v>-34.465641791044774</c:v>
                      </c:pt>
                      <c:pt idx="75" formatCode="General">
                        <c:v>-34.573104477611942</c:v>
                      </c:pt>
                      <c:pt idx="76" formatCode="General">
                        <c:v>-34.680567164179109</c:v>
                      </c:pt>
                      <c:pt idx="77" formatCode="General">
                        <c:v>-34.791029702970299</c:v>
                      </c:pt>
                      <c:pt idx="78" formatCode="General">
                        <c:v>-34.901920792079203</c:v>
                      </c:pt>
                      <c:pt idx="79" formatCode="General">
                        <c:v>-35.012465346534647</c:v>
                      </c:pt>
                      <c:pt idx="80" formatCode="General">
                        <c:v>-35.122366336633661</c:v>
                      </c:pt>
                      <c:pt idx="81" formatCode="General">
                        <c:v>-35.232267326732668</c:v>
                      </c:pt>
                      <c:pt idx="82" formatCode="General">
                        <c:v>-35.342168316831682</c:v>
                      </c:pt>
                      <c:pt idx="83" formatCode="General">
                        <c:v>-35.452069306930689</c:v>
                      </c:pt>
                      <c:pt idx="84" formatCode="General">
                        <c:v>-35.561970297029703</c:v>
                      </c:pt>
                      <c:pt idx="85" formatCode="General">
                        <c:v>-35.671871287128717</c:v>
                      </c:pt>
                      <c:pt idx="86" formatCode="General">
                        <c:v>-35.781772277227724</c:v>
                      </c:pt>
                      <c:pt idx="87" formatCode="General">
                        <c:v>-35.891673267326738</c:v>
                      </c:pt>
                      <c:pt idx="88" formatCode="General">
                        <c:v>-36.001574257425744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694-4788-9014-A895E877B9F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-148.71876237623763</c:v>
                      </c:pt>
                      <c:pt idx="1">
                        <c:v>-144.97034653465346</c:v>
                      </c:pt>
                      <c:pt idx="2" formatCode="General">
                        <c:v>-141.36242574257426</c:v>
                      </c:pt>
                      <c:pt idx="3" formatCode="General">
                        <c:v>-137.76688118811879</c:v>
                      </c:pt>
                      <c:pt idx="4" formatCode="General">
                        <c:v>-134.35698019801978</c:v>
                      </c:pt>
                      <c:pt idx="5" formatCode="General">
                        <c:v>-130.94707920792078</c:v>
                      </c:pt>
                      <c:pt idx="6" formatCode="General">
                        <c:v>-127.62445544554456</c:v>
                      </c:pt>
                      <c:pt idx="7" formatCode="General">
                        <c:v>-124.3769306930693</c:v>
                      </c:pt>
                      <c:pt idx="8" formatCode="General">
                        <c:v>-121.13679455445543</c:v>
                      </c:pt>
                      <c:pt idx="9" formatCode="General">
                        <c:v>-118.48035891089108</c:v>
                      </c:pt>
                      <c:pt idx="10" formatCode="General">
                        <c:v>-115.82392326732672</c:v>
                      </c:pt>
                      <c:pt idx="11" formatCode="General">
                        <c:v>-113.16748762376237</c:v>
                      </c:pt>
                      <c:pt idx="12" formatCode="General">
                        <c:v>-110.511051980198</c:v>
                      </c:pt>
                      <c:pt idx="13" formatCode="General">
                        <c:v>-107.85461633663365</c:v>
                      </c:pt>
                      <c:pt idx="14" formatCode="General">
                        <c:v>-105.19818069306929</c:v>
                      </c:pt>
                      <c:pt idx="15" formatCode="General">
                        <c:v>-102.54174504950494</c:v>
                      </c:pt>
                      <c:pt idx="16" formatCode="General">
                        <c:v>-99.885309405940575</c:v>
                      </c:pt>
                      <c:pt idx="17" formatCode="General">
                        <c:v>-97.228873762376224</c:v>
                      </c:pt>
                      <c:pt idx="18" formatCode="General">
                        <c:v>-94.57243811881186</c:v>
                      </c:pt>
                      <c:pt idx="19" formatCode="General">
                        <c:v>-92.486089108910889</c:v>
                      </c:pt>
                      <c:pt idx="20" formatCode="General">
                        <c:v>-90.454405940594057</c:v>
                      </c:pt>
                      <c:pt idx="21" formatCode="General">
                        <c:v>-88.496386138613872</c:v>
                      </c:pt>
                      <c:pt idx="22" formatCode="General">
                        <c:v>-86.65480198019803</c:v>
                      </c:pt>
                      <c:pt idx="23" formatCode="General">
                        <c:v>-84.813217821782189</c:v>
                      </c:pt>
                      <c:pt idx="24" formatCode="General">
                        <c:v>-83.083880597014925</c:v>
                      </c:pt>
                      <c:pt idx="25" formatCode="General">
                        <c:v>-81.372437810945272</c:v>
                      </c:pt>
                      <c:pt idx="26" formatCode="General">
                        <c:v>-79.693069306930681</c:v>
                      </c:pt>
                      <c:pt idx="27" formatCode="General">
                        <c:v>-78.073267326732662</c:v>
                      </c:pt>
                      <c:pt idx="28" formatCode="General">
                        <c:v>-76.453465346534657</c:v>
                      </c:pt>
                      <c:pt idx="29" formatCode="General">
                        <c:v>-74.912079207920783</c:v>
                      </c:pt>
                      <c:pt idx="30" formatCode="General">
                        <c:v>-73.387326732673259</c:v>
                      </c:pt>
                      <c:pt idx="31" formatCode="General">
                        <c:v>-71.887524752475244</c:v>
                      </c:pt>
                      <c:pt idx="32" formatCode="General">
                        <c:v>-70.445940594059408</c:v>
                      </c:pt>
                      <c:pt idx="33" formatCode="General">
                        <c:v>-69.004356435643558</c:v>
                      </c:pt>
                      <c:pt idx="34" formatCode="General">
                        <c:v>-67.633366336633657</c:v>
                      </c:pt>
                      <c:pt idx="35" formatCode="General">
                        <c:v>-66.282871287128714</c:v>
                      </c:pt>
                      <c:pt idx="36" formatCode="General">
                        <c:v>-64.952178217821782</c:v>
                      </c:pt>
                      <c:pt idx="37" formatCode="General">
                        <c:v>-63.680891089108911</c:v>
                      </c:pt>
                      <c:pt idx="38" formatCode="General">
                        <c:v>-62.409603960396048</c:v>
                      </c:pt>
                      <c:pt idx="39" formatCode="General">
                        <c:v>-61.187128712871292</c:v>
                      </c:pt>
                      <c:pt idx="40" formatCode="General">
                        <c:v>-59.98316831683168</c:v>
                      </c:pt>
                      <c:pt idx="41" formatCode="General">
                        <c:v>-58.794257425742565</c:v>
                      </c:pt>
                      <c:pt idx="42" formatCode="General">
                        <c:v>-57.665544554455444</c:v>
                      </c:pt>
                      <c:pt idx="43" formatCode="General">
                        <c:v>-56.536831683168323</c:v>
                      </c:pt>
                      <c:pt idx="44" formatCode="General">
                        <c:v>-55.458910891089111</c:v>
                      </c:pt>
                      <c:pt idx="45" formatCode="General">
                        <c:v>-54.405445544554453</c:v>
                      </c:pt>
                      <c:pt idx="46" formatCode="General">
                        <c:v>-53.365643564356425</c:v>
                      </c:pt>
                      <c:pt idx="47" formatCode="General">
                        <c:v>-52.403267326732667</c:v>
                      </c:pt>
                      <c:pt idx="48" formatCode="General">
                        <c:v>-51.440891089108909</c:v>
                      </c:pt>
                      <c:pt idx="49" formatCode="General">
                        <c:v>-50.747038413878563</c:v>
                      </c:pt>
                      <c:pt idx="50" formatCode="General">
                        <c:v>-50.214299876084262</c:v>
                      </c:pt>
                      <c:pt idx="51" formatCode="General">
                        <c:v>-49.68156133828996</c:v>
                      </c:pt>
                      <c:pt idx="52" formatCode="General">
                        <c:v>-49.148822800495665</c:v>
                      </c:pt>
                      <c:pt idx="53" formatCode="General">
                        <c:v>-48.616084262701364</c:v>
                      </c:pt>
                      <c:pt idx="54" formatCode="General">
                        <c:v>-48.083345724907062</c:v>
                      </c:pt>
                      <c:pt idx="55" formatCode="General">
                        <c:v>-47.550607187112767</c:v>
                      </c:pt>
                      <c:pt idx="56" formatCode="General">
                        <c:v>-47.017868649318466</c:v>
                      </c:pt>
                      <c:pt idx="57" formatCode="General">
                        <c:v>-46.485130111524171</c:v>
                      </c:pt>
                      <c:pt idx="58" formatCode="General">
                        <c:v>-45.952391573729869</c:v>
                      </c:pt>
                      <c:pt idx="59" formatCode="General">
                        <c:v>-45.552306930693071</c:v>
                      </c:pt>
                      <c:pt idx="60" formatCode="General">
                        <c:v>-45.266366336633659</c:v>
                      </c:pt>
                      <c:pt idx="61" formatCode="General">
                        <c:v>-44.980841584158412</c:v>
                      </c:pt>
                      <c:pt idx="62" formatCode="General">
                        <c:v>-44.728168316831685</c:v>
                      </c:pt>
                      <c:pt idx="63" formatCode="General">
                        <c:v>-44.47549504950495</c:v>
                      </c:pt>
                      <c:pt idx="64" formatCode="General">
                        <c:v>-44.234405940594065</c:v>
                      </c:pt>
                      <c:pt idx="65" formatCode="General">
                        <c:v>-44.005495049504951</c:v>
                      </c:pt>
                      <c:pt idx="66" formatCode="General">
                        <c:v>-43.776584158415844</c:v>
                      </c:pt>
                      <c:pt idx="67" formatCode="General">
                        <c:v>-43.570544554455445</c:v>
                      </c:pt>
                      <c:pt idx="68" formatCode="General">
                        <c:v>-43.365396039603958</c:v>
                      </c:pt>
                      <c:pt idx="69" formatCode="General">
                        <c:v>-43.173762376237626</c:v>
                      </c:pt>
                      <c:pt idx="70" formatCode="General">
                        <c:v>-42.999504950495052</c:v>
                      </c:pt>
                      <c:pt idx="71" formatCode="General">
                        <c:v>-42.825247524752477</c:v>
                      </c:pt>
                      <c:pt idx="72" formatCode="General">
                        <c:v>-42.935762376237626</c:v>
                      </c:pt>
                      <c:pt idx="73" formatCode="General">
                        <c:v>-43.073584158415841</c:v>
                      </c:pt>
                      <c:pt idx="74" formatCode="General">
                        <c:v>-43.21537313432836</c:v>
                      </c:pt>
                      <c:pt idx="75" formatCode="General">
                        <c:v>-43.363432835820895</c:v>
                      </c:pt>
                      <c:pt idx="76" formatCode="General">
                        <c:v>-43.511492537313437</c:v>
                      </c:pt>
                      <c:pt idx="77" formatCode="General">
                        <c:v>-43.661683168316834</c:v>
                      </c:pt>
                      <c:pt idx="78" formatCode="General">
                        <c:v>-43.812178217821781</c:v>
                      </c:pt>
                      <c:pt idx="79" formatCode="General">
                        <c:v>-43.961425742574257</c:v>
                      </c:pt>
                      <c:pt idx="80" formatCode="General">
                        <c:v>-44.108356435643557</c:v>
                      </c:pt>
                      <c:pt idx="81" formatCode="General">
                        <c:v>-44.255287128712865</c:v>
                      </c:pt>
                      <c:pt idx="82" formatCode="General">
                        <c:v>-44.402217821782173</c:v>
                      </c:pt>
                      <c:pt idx="83" formatCode="General">
                        <c:v>-44.549148514851481</c:v>
                      </c:pt>
                      <c:pt idx="84" formatCode="General">
                        <c:v>-44.696079207920789</c:v>
                      </c:pt>
                      <c:pt idx="85" formatCode="General">
                        <c:v>-44.843009900990097</c:v>
                      </c:pt>
                      <c:pt idx="86" formatCode="General">
                        <c:v>-44.989940594059405</c:v>
                      </c:pt>
                      <c:pt idx="87" formatCode="General">
                        <c:v>-45.136871287128713</c:v>
                      </c:pt>
                      <c:pt idx="88" formatCode="General">
                        <c:v>-45.283801980198021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694-4788-9014-A895E877B9F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694-4788-9014-A895E877B9F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694-4788-9014-A895E877B9F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694-4788-9014-A895E877B9F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694-4788-9014-A895E877B9F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694-4788-9014-A895E877B9F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694-4788-9014-A895E877B9F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694-4788-9014-A895E877B9F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694-4788-9014-A895E877B9F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694-4788-9014-A895E877B9F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-18.701633663366337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</c:v>
                      </c:pt>
                      <c:pt idx="5" formatCode="General">
                        <c:v>-18.7</c:v>
                      </c:pt>
                      <c:pt idx="6" formatCode="General">
                        <c:v>-18.704257425742572</c:v>
                      </c:pt>
                      <c:pt idx="7" formatCode="General">
                        <c:v>-18.71217821782178</c:v>
                      </c:pt>
                      <c:pt idx="8" formatCode="General">
                        <c:v>-18.72013613861386</c:v>
                      </c:pt>
                      <c:pt idx="9" formatCode="General">
                        <c:v>-18.73102722772277</c:v>
                      </c:pt>
                      <c:pt idx="10" formatCode="General">
                        <c:v>-18.741918316831683</c:v>
                      </c:pt>
                      <c:pt idx="11" formatCode="General">
                        <c:v>-18.752809405940592</c:v>
                      </c:pt>
                      <c:pt idx="12" formatCode="General">
                        <c:v>-18.763700495049502</c:v>
                      </c:pt>
                      <c:pt idx="13" formatCode="General">
                        <c:v>-18.774591584158415</c:v>
                      </c:pt>
                      <c:pt idx="14" formatCode="General">
                        <c:v>-18.785482673267325</c:v>
                      </c:pt>
                      <c:pt idx="15" formatCode="General">
                        <c:v>-18.796373762376238</c:v>
                      </c:pt>
                      <c:pt idx="16" formatCode="General">
                        <c:v>-18.807264851485147</c:v>
                      </c:pt>
                      <c:pt idx="17" formatCode="General">
                        <c:v>-18.818155940594057</c:v>
                      </c:pt>
                      <c:pt idx="18" formatCode="General">
                        <c:v>-18.82904702970297</c:v>
                      </c:pt>
                      <c:pt idx="19" formatCode="General">
                        <c:v>-18.844455445544554</c:v>
                      </c:pt>
                      <c:pt idx="20" formatCode="General">
                        <c:v>-18.86029702970297</c:v>
                      </c:pt>
                      <c:pt idx="21" formatCode="General">
                        <c:v>-18.87460396039604</c:v>
                      </c:pt>
                      <c:pt idx="22" formatCode="General">
                        <c:v>-18.886485148514851</c:v>
                      </c:pt>
                      <c:pt idx="23" formatCode="General">
                        <c:v>-18.898366336633661</c:v>
                      </c:pt>
                      <c:pt idx="24" formatCode="General">
                        <c:v>-18.913731343283583</c:v>
                      </c:pt>
                      <c:pt idx="25" formatCode="General">
                        <c:v>-18.929651741293533</c:v>
                      </c:pt>
                      <c:pt idx="26" formatCode="General">
                        <c:v>-18.945544554455445</c:v>
                      </c:pt>
                      <c:pt idx="27" formatCode="General">
                        <c:v>-18.961386138613861</c:v>
                      </c:pt>
                      <c:pt idx="28" formatCode="General">
                        <c:v>-18.977227722772277</c:v>
                      </c:pt>
                      <c:pt idx="29" formatCode="General">
                        <c:v>-18.993069306930693</c:v>
                      </c:pt>
                      <c:pt idx="30" formatCode="General">
                        <c:v>-19.008910891089108</c:v>
                      </c:pt>
                      <c:pt idx="31" formatCode="General">
                        <c:v>-19.024752475247524</c:v>
                      </c:pt>
                      <c:pt idx="32" formatCode="General">
                        <c:v>-19.04059405940594</c:v>
                      </c:pt>
                      <c:pt idx="33" formatCode="General">
                        <c:v>-19.056435643564356</c:v>
                      </c:pt>
                      <c:pt idx="34" formatCode="General">
                        <c:v>-19.072277227722772</c:v>
                      </c:pt>
                      <c:pt idx="35" formatCode="General">
                        <c:v>-19.088118811881188</c:v>
                      </c:pt>
                      <c:pt idx="36" formatCode="General">
                        <c:v>-19.103960396039604</c:v>
                      </c:pt>
                      <c:pt idx="37" formatCode="General">
                        <c:v>-19.119801980198019</c:v>
                      </c:pt>
                      <c:pt idx="38" formatCode="General">
                        <c:v>-19.135643564356435</c:v>
                      </c:pt>
                      <c:pt idx="39" formatCode="General">
                        <c:v>-19.151485148514851</c:v>
                      </c:pt>
                      <c:pt idx="40" formatCode="General">
                        <c:v>-19.167326732673267</c:v>
                      </c:pt>
                      <c:pt idx="41" formatCode="General">
                        <c:v>-19.183960396039605</c:v>
                      </c:pt>
                      <c:pt idx="42" formatCode="General">
                        <c:v>-19.203762376237623</c:v>
                      </c:pt>
                      <c:pt idx="43" formatCode="General">
                        <c:v>-19.223564356435645</c:v>
                      </c:pt>
                      <c:pt idx="44" formatCode="General">
                        <c:v>-19.240693069306932</c:v>
                      </c:pt>
                      <c:pt idx="45" formatCode="General">
                        <c:v>-19.256534653465348</c:v>
                      </c:pt>
                      <c:pt idx="46" formatCode="General">
                        <c:v>-19.271782178217823</c:v>
                      </c:pt>
                      <c:pt idx="47" formatCode="General">
                        <c:v>-19.283663366336633</c:v>
                      </c:pt>
                      <c:pt idx="48" formatCode="General">
                        <c:v>-19.295544554455446</c:v>
                      </c:pt>
                      <c:pt idx="49" formatCode="General">
                        <c:v>-19.308054522924412</c:v>
                      </c:pt>
                      <c:pt idx="50" formatCode="General">
                        <c:v>-19.320941759603471</c:v>
                      </c:pt>
                      <c:pt idx="51" formatCode="General">
                        <c:v>-19.333828996282527</c:v>
                      </c:pt>
                      <c:pt idx="52" formatCode="General">
                        <c:v>-19.346716232961587</c:v>
                      </c:pt>
                      <c:pt idx="53" formatCode="General">
                        <c:v>-19.359603469640646</c:v>
                      </c:pt>
                      <c:pt idx="54" formatCode="General">
                        <c:v>-19.372490706319702</c:v>
                      </c:pt>
                      <c:pt idx="55" formatCode="General">
                        <c:v>-19.385377942998762</c:v>
                      </c:pt>
                      <c:pt idx="56" formatCode="General">
                        <c:v>-19.398265179677818</c:v>
                      </c:pt>
                      <c:pt idx="57" formatCode="General">
                        <c:v>-19.411152416356877</c:v>
                      </c:pt>
                      <c:pt idx="58" formatCode="General">
                        <c:v>-19.424039653035937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-19.59519801980198</c:v>
                      </c:pt>
                      <c:pt idx="70" formatCode="General">
                        <c:v>-19.607079207920794</c:v>
                      </c:pt>
                      <c:pt idx="71" formatCode="General">
                        <c:v>-19.618960396039604</c:v>
                      </c:pt>
                      <c:pt idx="72" formatCode="General">
                        <c:v>-19.634455445544557</c:v>
                      </c:pt>
                      <c:pt idx="73" formatCode="General">
                        <c:v>-19.650297029702969</c:v>
                      </c:pt>
                      <c:pt idx="74" formatCode="General">
                        <c:v>-19.666169154228857</c:v>
                      </c:pt>
                      <c:pt idx="75" formatCode="General">
                        <c:v>-19.682089552238807</c:v>
                      </c:pt>
                      <c:pt idx="76" formatCode="General">
                        <c:v>-19.698009950248757</c:v>
                      </c:pt>
                      <c:pt idx="77" formatCode="General">
                        <c:v>-19.713861386138614</c:v>
                      </c:pt>
                      <c:pt idx="78" formatCode="General">
                        <c:v>-19.72970297029703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694-4788-9014-A895E877B9F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-63.093910891089116</c:v>
                      </c:pt>
                      <c:pt idx="1">
                        <c:v>-61.414405940594065</c:v>
                      </c:pt>
                      <c:pt idx="2" formatCode="General">
                        <c:v>-59.770841584158418</c:v>
                      </c:pt>
                      <c:pt idx="3" formatCode="General">
                        <c:v>-58.128019801980194</c:v>
                      </c:pt>
                      <c:pt idx="4" formatCode="General">
                        <c:v>-56.496336633663361</c:v>
                      </c:pt>
                      <c:pt idx="5" formatCode="General">
                        <c:v>-54.864653465346535</c:v>
                      </c:pt>
                      <c:pt idx="6" formatCode="General">
                        <c:v>-53.239356435643565</c:v>
                      </c:pt>
                      <c:pt idx="7" formatCode="General">
                        <c:v>-51.619554455445545</c:v>
                      </c:pt>
                      <c:pt idx="8" formatCode="General">
                        <c:v>-50.002846534653465</c:v>
                      </c:pt>
                      <c:pt idx="9" formatCode="General">
                        <c:v>-48.630569306930688</c:v>
                      </c:pt>
                      <c:pt idx="10" formatCode="General">
                        <c:v>-47.258292079207919</c:v>
                      </c:pt>
                      <c:pt idx="11" formatCode="General">
                        <c:v>-45.886014851485143</c:v>
                      </c:pt>
                      <c:pt idx="12" formatCode="General">
                        <c:v>-44.513737623762374</c:v>
                      </c:pt>
                      <c:pt idx="13" formatCode="General">
                        <c:v>-43.141460396039598</c:v>
                      </c:pt>
                      <c:pt idx="14" formatCode="General">
                        <c:v>-41.769183168316829</c:v>
                      </c:pt>
                      <c:pt idx="15" formatCode="General">
                        <c:v>-40.396905940594053</c:v>
                      </c:pt>
                      <c:pt idx="16" formatCode="General">
                        <c:v>-39.024628712871284</c:v>
                      </c:pt>
                      <c:pt idx="17" formatCode="General">
                        <c:v>-37.652351485148507</c:v>
                      </c:pt>
                      <c:pt idx="18" formatCode="General">
                        <c:v>-36.280074257425738</c:v>
                      </c:pt>
                      <c:pt idx="19" formatCode="General">
                        <c:v>-35.198712871287121</c:v>
                      </c:pt>
                      <c:pt idx="20" formatCode="General">
                        <c:v>-34.14524752475247</c:v>
                      </c:pt>
                      <c:pt idx="21" formatCode="General">
                        <c:v>-33.130148514851484</c:v>
                      </c:pt>
                      <c:pt idx="22" formatCode="General">
                        <c:v>-32.175693069306931</c:v>
                      </c:pt>
                      <c:pt idx="23" formatCode="General">
                        <c:v>-31.221237623762377</c:v>
                      </c:pt>
                      <c:pt idx="24" formatCode="General">
                        <c:v>-30.317611940298509</c:v>
                      </c:pt>
                      <c:pt idx="25" formatCode="General">
                        <c:v>-29.422089552238806</c:v>
                      </c:pt>
                      <c:pt idx="26" formatCode="General">
                        <c:v>-28.54059405940594</c:v>
                      </c:pt>
                      <c:pt idx="27" formatCode="General">
                        <c:v>-27.685148514851484</c:v>
                      </c:pt>
                      <c:pt idx="28" formatCode="General">
                        <c:v>-26.829702970297028</c:v>
                      </c:pt>
                      <c:pt idx="29" formatCode="General">
                        <c:v>-26.006930693069307</c:v>
                      </c:pt>
                      <c:pt idx="30" formatCode="General">
                        <c:v>-25.191089108910894</c:v>
                      </c:pt>
                      <c:pt idx="31" formatCode="General">
                        <c:v>-24.387128712871288</c:v>
                      </c:pt>
                      <c:pt idx="32" formatCode="General">
                        <c:v>-23.610891089108911</c:v>
                      </c:pt>
                      <c:pt idx="33" formatCode="General">
                        <c:v>-22.834653465346531</c:v>
                      </c:pt>
                      <c:pt idx="34" formatCode="General">
                        <c:v>-22.092178217821779</c:v>
                      </c:pt>
                      <c:pt idx="35" formatCode="General">
                        <c:v>-21.359504950495047</c:v>
                      </c:pt>
                      <c:pt idx="36" formatCode="General">
                        <c:v>-20.636732673267325</c:v>
                      </c:pt>
                      <c:pt idx="37" formatCode="General">
                        <c:v>-19.943663366336633</c:v>
                      </c:pt>
                      <c:pt idx="38" formatCode="General">
                        <c:v>-19.250594059405941</c:v>
                      </c:pt>
                      <c:pt idx="39" formatCode="General">
                        <c:v>-18.583366336633663</c:v>
                      </c:pt>
                      <c:pt idx="40" formatCode="General">
                        <c:v>-17.925940594059405</c:v>
                      </c:pt>
                      <c:pt idx="41" formatCode="General">
                        <c:v>-17.275643564356432</c:v>
                      </c:pt>
                      <c:pt idx="42" formatCode="General">
                        <c:v>-16.653861386138612</c:v>
                      </c:pt>
                      <c:pt idx="43" formatCode="General">
                        <c:v>-16.032079207920795</c:v>
                      </c:pt>
                      <c:pt idx="44" formatCode="General">
                        <c:v>-15.437029702970298</c:v>
                      </c:pt>
                      <c:pt idx="45" formatCode="General">
                        <c:v>-14.854851485148513</c:v>
                      </c:pt>
                      <c:pt idx="46" formatCode="General">
                        <c:v>-14.279801980198016</c:v>
                      </c:pt>
                      <c:pt idx="47" formatCode="General">
                        <c:v>-13.745148514851483</c:v>
                      </c:pt>
                      <c:pt idx="48" formatCode="General">
                        <c:v>-13.210495049504949</c:v>
                      </c:pt>
                      <c:pt idx="49" formatCode="General">
                        <c:v>-12.811301115241635</c:v>
                      </c:pt>
                      <c:pt idx="50" formatCode="General">
                        <c:v>-12.493382899628253</c:v>
                      </c:pt>
                      <c:pt idx="51" formatCode="General">
                        <c:v>-12.175464684014869</c:v>
                      </c:pt>
                      <c:pt idx="52" formatCode="General">
                        <c:v>-11.857546468401488</c:v>
                      </c:pt>
                      <c:pt idx="53" formatCode="General">
                        <c:v>-11.539628252788106</c:v>
                      </c:pt>
                      <c:pt idx="54" formatCode="General">
                        <c:v>-11.221710037174722</c:v>
                      </c:pt>
                      <c:pt idx="55" formatCode="General">
                        <c:v>-10.90379182156134</c:v>
                      </c:pt>
                      <c:pt idx="56" formatCode="General">
                        <c:v>-10.585873605947958</c:v>
                      </c:pt>
                      <c:pt idx="57" formatCode="General">
                        <c:v>-10.267955390334574</c:v>
                      </c:pt>
                      <c:pt idx="58" formatCode="General">
                        <c:v>-9.9500371747211922</c:v>
                      </c:pt>
                      <c:pt idx="59" formatCode="General">
                        <c:v>-9.6984801980198032</c:v>
                      </c:pt>
                      <c:pt idx="60" formatCode="General">
                        <c:v>-9.5040247524752477</c:v>
                      </c:pt>
                      <c:pt idx="61" formatCode="General">
                        <c:v>-9.3097524752475245</c:v>
                      </c:pt>
                      <c:pt idx="62" formatCode="General">
                        <c:v>-9.1299504950495045</c:v>
                      </c:pt>
                      <c:pt idx="63" formatCode="General">
                        <c:v>-8.9501485148514863</c:v>
                      </c:pt>
                      <c:pt idx="64" formatCode="General">
                        <c:v>-8.7771039603960403</c:v>
                      </c:pt>
                      <c:pt idx="65" formatCode="General">
                        <c:v>-8.6111633663366334</c:v>
                      </c:pt>
                      <c:pt idx="66" formatCode="General">
                        <c:v>-8.4452227722772264</c:v>
                      </c:pt>
                      <c:pt idx="67" formatCode="General">
                        <c:v>-8.2907178217821773</c:v>
                      </c:pt>
                      <c:pt idx="68" formatCode="General">
                        <c:v>-8.136658415841584</c:v>
                      </c:pt>
                      <c:pt idx="69" formatCode="General">
                        <c:v>-7.9902227722772281</c:v>
                      </c:pt>
                      <c:pt idx="70" formatCode="General">
                        <c:v>-7.8535891089108922</c:v>
                      </c:pt>
                      <c:pt idx="71" formatCode="General">
                        <c:v>-7.7169554455445555</c:v>
                      </c:pt>
                      <c:pt idx="72" formatCode="General">
                        <c:v>-7.7299356435643567</c:v>
                      </c:pt>
                      <c:pt idx="73" formatCode="General">
                        <c:v>-7.757262376237624</c:v>
                      </c:pt>
                      <c:pt idx="74" formatCode="General">
                        <c:v>-7.7849502487562185</c:v>
                      </c:pt>
                      <c:pt idx="75" formatCode="General">
                        <c:v>-7.8132089552238808</c:v>
                      </c:pt>
                      <c:pt idx="76" formatCode="General">
                        <c:v>-7.8414676616915422</c:v>
                      </c:pt>
                      <c:pt idx="77" formatCode="General">
                        <c:v>-7.8692574257425738</c:v>
                      </c:pt>
                      <c:pt idx="78" formatCode="General">
                        <c:v>-7.8969801980198016</c:v>
                      </c:pt>
                      <c:pt idx="79" formatCode="General">
                        <c:v>-7.9244257425742575</c:v>
                      </c:pt>
                      <c:pt idx="80" formatCode="General">
                        <c:v>-7.9513564356435644</c:v>
                      </c:pt>
                      <c:pt idx="81" formatCode="General">
                        <c:v>-7.9782871287128714</c:v>
                      </c:pt>
                      <c:pt idx="82" formatCode="General">
                        <c:v>-8.0052178217821783</c:v>
                      </c:pt>
                      <c:pt idx="83" formatCode="General">
                        <c:v>-8.0321485148514853</c:v>
                      </c:pt>
                      <c:pt idx="84" formatCode="General">
                        <c:v>-8.0590792079207922</c:v>
                      </c:pt>
                      <c:pt idx="85" formatCode="General">
                        <c:v>-8.0860099009900992</c:v>
                      </c:pt>
                      <c:pt idx="86" formatCode="General">
                        <c:v>-8.1129405940594062</c:v>
                      </c:pt>
                      <c:pt idx="87" formatCode="General">
                        <c:v>-8.1398712871287131</c:v>
                      </c:pt>
                      <c:pt idx="88" formatCode="General">
                        <c:v>-8.1668019801980201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694-4788-9014-A895E877B9FE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EVALUATION!$B$155:$CP$155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-16.250297029702971</c:v>
                      </c:pt>
                      <c:pt idx="1">
                        <c:v>-15.853366336633664</c:v>
                      </c:pt>
                      <c:pt idx="2" formatCode="General">
                        <c:v>-15.433564356435644</c:v>
                      </c:pt>
                      <c:pt idx="3" formatCode="General">
                        <c:v>-15.008069306930691</c:v>
                      </c:pt>
                      <c:pt idx="4" formatCode="General">
                        <c:v>-14.497178217821782</c:v>
                      </c:pt>
                      <c:pt idx="5" formatCode="General">
                        <c:v>-13.98628712871287</c:v>
                      </c:pt>
                      <c:pt idx="6" formatCode="General">
                        <c:v>-13.447722772277228</c:v>
                      </c:pt>
                      <c:pt idx="7" formatCode="General">
                        <c:v>-12.885346534653465</c:v>
                      </c:pt>
                      <c:pt idx="8" formatCode="General">
                        <c:v>-12.324013613861386</c:v>
                      </c:pt>
                      <c:pt idx="9" formatCode="General">
                        <c:v>-11.845102722772276</c:v>
                      </c:pt>
                      <c:pt idx="10" formatCode="General">
                        <c:v>-11.366191831683167</c:v>
                      </c:pt>
                      <c:pt idx="11" formatCode="General">
                        <c:v>-10.887280940594058</c:v>
                      </c:pt>
                      <c:pt idx="12" formatCode="General">
                        <c:v>-10.408370049504949</c:v>
                      </c:pt>
                      <c:pt idx="13" formatCode="General">
                        <c:v>-9.92945915841584</c:v>
                      </c:pt>
                      <c:pt idx="14" formatCode="General">
                        <c:v>-9.4505482673267309</c:v>
                      </c:pt>
                      <c:pt idx="15" formatCode="General">
                        <c:v>-8.9716373762376236</c:v>
                      </c:pt>
                      <c:pt idx="16" formatCode="General">
                        <c:v>-8.4927264851485145</c:v>
                      </c:pt>
                      <c:pt idx="17" formatCode="General">
                        <c:v>-8.0138155940594054</c:v>
                      </c:pt>
                      <c:pt idx="18" formatCode="General">
                        <c:v>-7.5349047029702962</c:v>
                      </c:pt>
                      <c:pt idx="19" formatCode="General">
                        <c:v>-7.2324405940594056</c:v>
                      </c:pt>
                      <c:pt idx="20" formatCode="General">
                        <c:v>-6.9468960396039598</c:v>
                      </c:pt>
                      <c:pt idx="21" formatCode="General">
                        <c:v>-6.6994108910891086</c:v>
                      </c:pt>
                      <c:pt idx="22" formatCode="General">
                        <c:v>-6.512084158415842</c:v>
                      </c:pt>
                      <c:pt idx="23" formatCode="General">
                        <c:v>-6.3247574257425754</c:v>
                      </c:pt>
                      <c:pt idx="24" formatCode="General">
                        <c:v>-6.2070000000000007</c:v>
                      </c:pt>
                      <c:pt idx="25" formatCode="General">
                        <c:v>-6.1003333333333334</c:v>
                      </c:pt>
                      <c:pt idx="26" formatCode="General">
                        <c:v>-6.014366336633663</c:v>
                      </c:pt>
                      <c:pt idx="27" formatCode="General">
                        <c:v>-5.9668415841584155</c:v>
                      </c:pt>
                      <c:pt idx="28" formatCode="General">
                        <c:v>-5.9193168316831679</c:v>
                      </c:pt>
                      <c:pt idx="29" formatCode="General">
                        <c:v>-5.9002178217821779</c:v>
                      </c:pt>
                      <c:pt idx="30" formatCode="General">
                        <c:v>-5.8871485148514848</c:v>
                      </c:pt>
                      <c:pt idx="31" formatCode="General">
                        <c:v>-5.8794257425742575</c:v>
                      </c:pt>
                      <c:pt idx="32" formatCode="General">
                        <c:v>-5.8841782178217823</c:v>
                      </c:pt>
                      <c:pt idx="33" formatCode="General">
                        <c:v>-5.8889306930693071</c:v>
                      </c:pt>
                      <c:pt idx="34" formatCode="General">
                        <c:v>-5.9001287128712869</c:v>
                      </c:pt>
                      <c:pt idx="35" formatCode="General">
                        <c:v>-5.91319801980198</c:v>
                      </c:pt>
                      <c:pt idx="36" formatCode="General">
                        <c:v>-5.9271584158415838</c:v>
                      </c:pt>
                      <c:pt idx="37" formatCode="General">
                        <c:v>-5.9437920792079204</c:v>
                      </c:pt>
                      <c:pt idx="38" formatCode="General">
                        <c:v>-5.9604257425742571</c:v>
                      </c:pt>
                      <c:pt idx="39" formatCode="General">
                        <c:v>-5.9782079207920793</c:v>
                      </c:pt>
                      <c:pt idx="40" formatCode="General">
                        <c:v>-5.9964257425742575</c:v>
                      </c:pt>
                      <c:pt idx="41" formatCode="General">
                        <c:v>-6.014881188118812</c:v>
                      </c:pt>
                      <c:pt idx="42" formatCode="General">
                        <c:v>-6.0342871287128714</c:v>
                      </c:pt>
                      <c:pt idx="43" formatCode="General">
                        <c:v>-6.05369306930693</c:v>
                      </c:pt>
                      <c:pt idx="44" formatCode="General">
                        <c:v>-6.0741683168316829</c:v>
                      </c:pt>
                      <c:pt idx="45" formatCode="General">
                        <c:v>-6.0951584158415848</c:v>
                      </c:pt>
                      <c:pt idx="46" formatCode="General">
                        <c:v>-6.1166831683168326</c:v>
                      </c:pt>
                      <c:pt idx="47" formatCode="General">
                        <c:v>-6.1412376237623763</c:v>
                      </c:pt>
                      <c:pt idx="48" formatCode="General">
                        <c:v>-6.1657920792079208</c:v>
                      </c:pt>
                      <c:pt idx="49" formatCode="General">
                        <c:v>-6.1947645600991326</c:v>
                      </c:pt>
                      <c:pt idx="50" formatCode="General">
                        <c:v>-6.2263878562577446</c:v>
                      </c:pt>
                      <c:pt idx="51" formatCode="General">
                        <c:v>-6.2580111524163566</c:v>
                      </c:pt>
                      <c:pt idx="52" formatCode="General">
                        <c:v>-6.2896344485749687</c:v>
                      </c:pt>
                      <c:pt idx="53" formatCode="General">
                        <c:v>-6.3212577447335807</c:v>
                      </c:pt>
                      <c:pt idx="54" formatCode="General">
                        <c:v>-6.3528810408921927</c:v>
                      </c:pt>
                      <c:pt idx="55" formatCode="General">
                        <c:v>-6.3845043370508048</c:v>
                      </c:pt>
                      <c:pt idx="56" formatCode="General">
                        <c:v>-6.4161276332094168</c:v>
                      </c:pt>
                      <c:pt idx="57" formatCode="General">
                        <c:v>-6.4477509293680297</c:v>
                      </c:pt>
                      <c:pt idx="58" formatCode="General">
                        <c:v>-6.4793742255266418</c:v>
                      </c:pt>
                      <c:pt idx="59" formatCode="General">
                        <c:v>-6.5059207920792073</c:v>
                      </c:pt>
                      <c:pt idx="60" formatCode="General">
                        <c:v>-6.5280990099009895</c:v>
                      </c:pt>
                      <c:pt idx="61" formatCode="General">
                        <c:v>-6.5502772277227725</c:v>
                      </c:pt>
                      <c:pt idx="62" formatCode="General">
                        <c:v>-6.5724554455445547</c:v>
                      </c:pt>
                      <c:pt idx="63" formatCode="General">
                        <c:v>-6.5946336633663361</c:v>
                      </c:pt>
                      <c:pt idx="64" formatCode="General">
                        <c:v>-6.6166188118811879</c:v>
                      </c:pt>
                      <c:pt idx="65" formatCode="General">
                        <c:v>-6.6384009900990097</c:v>
                      </c:pt>
                      <c:pt idx="66" formatCode="General">
                        <c:v>-6.6601831683168315</c:v>
                      </c:pt>
                      <c:pt idx="67" formatCode="General">
                        <c:v>-6.6827277227722774</c:v>
                      </c:pt>
                      <c:pt idx="68" formatCode="General">
                        <c:v>-6.70530198019802</c:v>
                      </c:pt>
                      <c:pt idx="69" formatCode="General">
                        <c:v>-6.7275297029702967</c:v>
                      </c:pt>
                      <c:pt idx="70" formatCode="General">
                        <c:v>-6.7493118811881185</c:v>
                      </c:pt>
                      <c:pt idx="71" formatCode="General">
                        <c:v>-6.7710940594059403</c:v>
                      </c:pt>
                      <c:pt idx="72" formatCode="General">
                        <c:v>-6.787816831683168</c:v>
                      </c:pt>
                      <c:pt idx="73" formatCode="General">
                        <c:v>-6.8040544554455442</c:v>
                      </c:pt>
                      <c:pt idx="74" formatCode="General">
                        <c:v>-6.8201691542288554</c:v>
                      </c:pt>
                      <c:pt idx="75" formatCode="General">
                        <c:v>-6.8360895522388061</c:v>
                      </c:pt>
                      <c:pt idx="76" formatCode="General">
                        <c:v>-6.8520099502487559</c:v>
                      </c:pt>
                      <c:pt idx="77" formatCode="General">
                        <c:v>-6.867861386138614</c:v>
                      </c:pt>
                      <c:pt idx="78" formatCode="General">
                        <c:v>-6.8837029702970298</c:v>
                      </c:pt>
                      <c:pt idx="79" formatCode="General">
                        <c:v>-6.8998910891089107</c:v>
                      </c:pt>
                      <c:pt idx="80" formatCode="General">
                        <c:v>-6.916722772277228</c:v>
                      </c:pt>
                      <c:pt idx="81" formatCode="General">
                        <c:v>-6.9335544554455444</c:v>
                      </c:pt>
                      <c:pt idx="82" formatCode="General">
                        <c:v>-6.9503861386138617</c:v>
                      </c:pt>
                      <c:pt idx="83" formatCode="General">
                        <c:v>-6.9672178217821781</c:v>
                      </c:pt>
                      <c:pt idx="84" formatCode="General">
                        <c:v>-6.9840495049504954</c:v>
                      </c:pt>
                      <c:pt idx="85" formatCode="General">
                        <c:v>-7.0008811881188118</c:v>
                      </c:pt>
                      <c:pt idx="86" formatCode="General">
                        <c:v>-7.0177128712871291</c:v>
                      </c:pt>
                      <c:pt idx="87" formatCode="General">
                        <c:v>-7.0345445544554455</c:v>
                      </c:pt>
                      <c:pt idx="88" formatCode="General">
                        <c:v>-7.0513762376237628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694-4788-9014-A895E877B9F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EVALUATION!$B$156:$CP$156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-22.530940594059405</c:v>
                      </c:pt>
                      <c:pt idx="1">
                        <c:v>-22.141534653465346</c:v>
                      </c:pt>
                      <c:pt idx="2" formatCode="General">
                        <c:v>-21.820742574257427</c:v>
                      </c:pt>
                      <c:pt idx="3" formatCode="General">
                        <c:v>-21.510841584158417</c:v>
                      </c:pt>
                      <c:pt idx="4" formatCode="General">
                        <c:v>-21.364306930693068</c:v>
                      </c:pt>
                      <c:pt idx="5" formatCode="General">
                        <c:v>-21.21777227722772</c:v>
                      </c:pt>
                      <c:pt idx="6" formatCode="General">
                        <c:v>-21.145742574257426</c:v>
                      </c:pt>
                      <c:pt idx="7" formatCode="General">
                        <c:v>-21.137821782178218</c:v>
                      </c:pt>
                      <c:pt idx="8" formatCode="General">
                        <c:v>-21.131101485148513</c:v>
                      </c:pt>
                      <c:pt idx="9" formatCode="General">
                        <c:v>-21.219220297029704</c:v>
                      </c:pt>
                      <c:pt idx="10" formatCode="General">
                        <c:v>-21.307339108910892</c:v>
                      </c:pt>
                      <c:pt idx="11" formatCode="General">
                        <c:v>-21.395457920792079</c:v>
                      </c:pt>
                      <c:pt idx="12" formatCode="General">
                        <c:v>-21.483576732673267</c:v>
                      </c:pt>
                      <c:pt idx="13" formatCode="General">
                        <c:v>-21.571695544554455</c:v>
                      </c:pt>
                      <c:pt idx="14" formatCode="General">
                        <c:v>-21.659814356435643</c:v>
                      </c:pt>
                      <c:pt idx="15" formatCode="General">
                        <c:v>-21.74793316831683</c:v>
                      </c:pt>
                      <c:pt idx="16" formatCode="General">
                        <c:v>-21.836051980198018</c:v>
                      </c:pt>
                      <c:pt idx="17" formatCode="General">
                        <c:v>-21.924170792079206</c:v>
                      </c:pt>
                      <c:pt idx="18" formatCode="General">
                        <c:v>-22.012289603960397</c:v>
                      </c:pt>
                      <c:pt idx="19" formatCode="General">
                        <c:v>-22.088663366336633</c:v>
                      </c:pt>
                      <c:pt idx="20" formatCode="General">
                        <c:v>-22.16391089108911</c:v>
                      </c:pt>
                      <c:pt idx="21" formatCode="General">
                        <c:v>-22.236089108910893</c:v>
                      </c:pt>
                      <c:pt idx="22" formatCode="General">
                        <c:v>-22.303415841584158</c:v>
                      </c:pt>
                      <c:pt idx="23" formatCode="General">
                        <c:v>-22.370742574257424</c:v>
                      </c:pt>
                      <c:pt idx="24" formatCode="General">
                        <c:v>-22.448656716417908</c:v>
                      </c:pt>
                      <c:pt idx="25" formatCode="General">
                        <c:v>-22.52825870646766</c:v>
                      </c:pt>
                      <c:pt idx="26" formatCode="General">
                        <c:v>-22.611881188118812</c:v>
                      </c:pt>
                      <c:pt idx="27" formatCode="General">
                        <c:v>-22.702970297029701</c:v>
                      </c:pt>
                      <c:pt idx="28" formatCode="General">
                        <c:v>-22.794059405940594</c:v>
                      </c:pt>
                      <c:pt idx="29" formatCode="General">
                        <c:v>-22.898217821782175</c:v>
                      </c:pt>
                      <c:pt idx="30" formatCode="General">
                        <c:v>-23.005148514851484</c:v>
                      </c:pt>
                      <c:pt idx="31" formatCode="General">
                        <c:v>-23.113267326732672</c:v>
                      </c:pt>
                      <c:pt idx="32" formatCode="General">
                        <c:v>-23.224158415841583</c:v>
                      </c:pt>
                      <c:pt idx="33" formatCode="General">
                        <c:v>-23.335049504950494</c:v>
                      </c:pt>
                      <c:pt idx="34" formatCode="General">
                        <c:v>-23.449009900990099</c:v>
                      </c:pt>
                      <c:pt idx="35" formatCode="General">
                        <c:v>-23.563861386138612</c:v>
                      </c:pt>
                      <c:pt idx="36" formatCode="General">
                        <c:v>-23.678712871287129</c:v>
                      </c:pt>
                      <c:pt idx="37" formatCode="General">
                        <c:v>-23.793564356435642</c:v>
                      </c:pt>
                      <c:pt idx="38" formatCode="General">
                        <c:v>-23.908415841584159</c:v>
                      </c:pt>
                      <c:pt idx="39" formatCode="General">
                        <c:v>-24.020396039603959</c:v>
                      </c:pt>
                      <c:pt idx="40" formatCode="General">
                        <c:v>-24.13128712871287</c:v>
                      </c:pt>
                      <c:pt idx="41" formatCode="General">
                        <c:v>-24.242970297029704</c:v>
                      </c:pt>
                      <c:pt idx="42" formatCode="General">
                        <c:v>-24.357821782178217</c:v>
                      </c:pt>
                      <c:pt idx="43" formatCode="General">
                        <c:v>-24.472673267326734</c:v>
                      </c:pt>
                      <c:pt idx="44" formatCode="General">
                        <c:v>-24.584851485148516</c:v>
                      </c:pt>
                      <c:pt idx="45" formatCode="General">
                        <c:v>-24.695742574257427</c:v>
                      </c:pt>
                      <c:pt idx="46" formatCode="General">
                        <c:v>-24.806039603960397</c:v>
                      </c:pt>
                      <c:pt idx="47" formatCode="General">
                        <c:v>-24.912970297029702</c:v>
                      </c:pt>
                      <c:pt idx="48" formatCode="General">
                        <c:v>-25.019900990099007</c:v>
                      </c:pt>
                      <c:pt idx="49" formatCode="General">
                        <c:v>-25.124436183395289</c:v>
                      </c:pt>
                      <c:pt idx="50" formatCode="General">
                        <c:v>-25.227534076827755</c:v>
                      </c:pt>
                      <c:pt idx="51" formatCode="General">
                        <c:v>-25.330631970260221</c:v>
                      </c:pt>
                      <c:pt idx="52" formatCode="General">
                        <c:v>-25.433729863692687</c:v>
                      </c:pt>
                      <c:pt idx="53" formatCode="General">
                        <c:v>-25.536827757125156</c:v>
                      </c:pt>
                      <c:pt idx="54" formatCode="General">
                        <c:v>-25.639925650557622</c:v>
                      </c:pt>
                      <c:pt idx="55" formatCode="General">
                        <c:v>-25.743023543990088</c:v>
                      </c:pt>
                      <c:pt idx="56" formatCode="General">
                        <c:v>-25.846121437422553</c:v>
                      </c:pt>
                      <c:pt idx="57" formatCode="General">
                        <c:v>-25.949219330855019</c:v>
                      </c:pt>
                      <c:pt idx="58" formatCode="General">
                        <c:v>-26.052317224287485</c:v>
                      </c:pt>
                      <c:pt idx="59" formatCode="General">
                        <c:v>-26.155346534653464</c:v>
                      </c:pt>
                      <c:pt idx="60" formatCode="General">
                        <c:v>-26.258316831683167</c:v>
                      </c:pt>
                      <c:pt idx="61" formatCode="General">
                        <c:v>-26.361336633663367</c:v>
                      </c:pt>
                      <c:pt idx="62" formatCode="General">
                        <c:v>-26.468267326732672</c:v>
                      </c:pt>
                      <c:pt idx="63" formatCode="General">
                        <c:v>-26.575198019801981</c:v>
                      </c:pt>
                      <c:pt idx="64" formatCode="General">
                        <c:v>-26.680198019801978</c:v>
                      </c:pt>
                      <c:pt idx="65" formatCode="General">
                        <c:v>-26.783168316831684</c:v>
                      </c:pt>
                      <c:pt idx="66" formatCode="General">
                        <c:v>-26.886138613861387</c:v>
                      </c:pt>
                      <c:pt idx="67" formatCode="General">
                        <c:v>-26.98910891089109</c:v>
                      </c:pt>
                      <c:pt idx="68" formatCode="General">
                        <c:v>-27.09207920792079</c:v>
                      </c:pt>
                      <c:pt idx="69" formatCode="General">
                        <c:v>-27.193316831683166</c:v>
                      </c:pt>
                      <c:pt idx="70" formatCode="General">
                        <c:v>-27.292326732673267</c:v>
                      </c:pt>
                      <c:pt idx="71" formatCode="General">
                        <c:v>-27.391336633663364</c:v>
                      </c:pt>
                      <c:pt idx="72" formatCode="General">
                        <c:v>-27.475891089108909</c:v>
                      </c:pt>
                      <c:pt idx="73" formatCode="General">
                        <c:v>-27.559059405940594</c:v>
                      </c:pt>
                      <c:pt idx="74" formatCode="General">
                        <c:v>-27.645472636815921</c:v>
                      </c:pt>
                      <c:pt idx="75" formatCode="General">
                        <c:v>-27.737014925373135</c:v>
                      </c:pt>
                      <c:pt idx="76" formatCode="General">
                        <c:v>-27.828557213930349</c:v>
                      </c:pt>
                      <c:pt idx="77" formatCode="General">
                        <c:v>-27.923168316831681</c:v>
                      </c:pt>
                      <c:pt idx="78" formatCode="General">
                        <c:v>-28.018217821782176</c:v>
                      </c:pt>
                      <c:pt idx="79" formatCode="General">
                        <c:v>-28.112574257425742</c:v>
                      </c:pt>
                      <c:pt idx="80" formatCode="General">
                        <c:v>-28.205643564356432</c:v>
                      </c:pt>
                      <c:pt idx="81" formatCode="General">
                        <c:v>-28.298712871287126</c:v>
                      </c:pt>
                      <c:pt idx="82" formatCode="General">
                        <c:v>-28.39178217821782</c:v>
                      </c:pt>
                      <c:pt idx="83" formatCode="General">
                        <c:v>-28.484851485148514</c:v>
                      </c:pt>
                      <c:pt idx="84" formatCode="General">
                        <c:v>-28.577920792079208</c:v>
                      </c:pt>
                      <c:pt idx="85" formatCode="General">
                        <c:v>-28.670990099009899</c:v>
                      </c:pt>
                      <c:pt idx="86" formatCode="General">
                        <c:v>-28.764059405940593</c:v>
                      </c:pt>
                      <c:pt idx="87" formatCode="General">
                        <c:v>-28.857128712871287</c:v>
                      </c:pt>
                      <c:pt idx="88" formatCode="General">
                        <c:v>-28.950198019801981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694-4788-9014-A895E877B9F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EVALUATION!$B$157:$CP$157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694-4788-9014-A895E877B9F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EVALUATION!$B$158:$CP$158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694-4788-9014-A895E877B9F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EVALUATION!$B$159:$CP$159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694-4788-9014-A895E877B9F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EVALUATION!$B$160:$CP$160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694-4788-9014-A895E877B9F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  <c:pt idx="0">
                        <c:v>End2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EVALUATION!$B$161:$CP$161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694-4788-9014-A895E877B9F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50</xdr:col>
      <xdr:colOff>369794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41545</xdr:colOff>
      <xdr:row>114</xdr:row>
      <xdr:rowOff>266407</xdr:rowOff>
    </xdr:from>
    <xdr:to>
      <xdr:col>49</xdr:col>
      <xdr:colOff>791439</xdr:colOff>
      <xdr:row>133</xdr:row>
      <xdr:rowOff>99325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33617</xdr:rowOff>
    </xdr:from>
    <xdr:to>
      <xdr:col>49</xdr:col>
      <xdr:colOff>828335</xdr:colOff>
      <xdr:row>36</xdr:row>
      <xdr:rowOff>135476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46</xdr:col>
      <xdr:colOff>485775</xdr:colOff>
      <xdr:row>47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49</xdr:col>
      <xdr:colOff>876300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19050</xdr:colOff>
      <xdr:row>17</xdr:row>
      <xdr:rowOff>219074</xdr:rowOff>
    </xdr:from>
    <xdr:to>
      <xdr:col>49</xdr:col>
      <xdr:colOff>818250</xdr:colOff>
      <xdr:row>36</xdr:row>
      <xdr:rowOff>94574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857249</xdr:colOff>
      <xdr:row>115</xdr:row>
      <xdr:rowOff>238125</xdr:rowOff>
    </xdr:from>
    <xdr:to>
      <xdr:col>49</xdr:col>
      <xdr:colOff>751574</xdr:colOff>
      <xdr:row>134</xdr:row>
      <xdr:rowOff>113625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22493</xdr:colOff>
      <xdr:row>0</xdr:row>
      <xdr:rowOff>1108423</xdr:rowOff>
    </xdr:from>
    <xdr:to>
      <xdr:col>49</xdr:col>
      <xdr:colOff>717177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75163</xdr:colOff>
      <xdr:row>115</xdr:row>
      <xdr:rowOff>19876</xdr:rowOff>
    </xdr:from>
    <xdr:to>
      <xdr:col>49</xdr:col>
      <xdr:colOff>880263</xdr:colOff>
      <xdr:row>132</xdr:row>
      <xdr:rowOff>229476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56028</xdr:colOff>
      <xdr:row>17</xdr:row>
      <xdr:rowOff>190500</xdr:rowOff>
    </xdr:from>
    <xdr:to>
      <xdr:col>50</xdr:col>
      <xdr:colOff>4328</xdr:colOff>
      <xdr:row>36</xdr:row>
      <xdr:rowOff>129500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94</xdr:col>
          <xdr:colOff>647700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95</xdr:col>
      <xdr:colOff>907676</xdr:colOff>
      <xdr:row>98</xdr:row>
      <xdr:rowOff>246530</xdr:rowOff>
    </xdr:from>
    <xdr:to>
      <xdr:col>99</xdr:col>
      <xdr:colOff>890204</xdr:colOff>
      <xdr:row>111</xdr:row>
      <xdr:rowOff>200804</xdr:rowOff>
    </xdr:to>
    <xdr:graphicFrame macro="">
      <xdr:nvGraphicFramePr>
        <xdr:cNvPr id="34" name="Диаграмма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898231</xdr:colOff>
      <xdr:row>99</xdr:row>
      <xdr:rowOff>4081</xdr:rowOff>
    </xdr:from>
    <xdr:to>
      <xdr:col>103</xdr:col>
      <xdr:colOff>872595</xdr:colOff>
      <xdr:row>111</xdr:row>
      <xdr:rowOff>234420</xdr:rowOff>
    </xdr:to>
    <xdr:graphicFrame macro="">
      <xdr:nvGraphicFramePr>
        <xdr:cNvPr id="35" name="Диаграмма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96</xdr:col>
      <xdr:colOff>5444</xdr:colOff>
      <xdr:row>112</xdr:row>
      <xdr:rowOff>172892</xdr:rowOff>
    </xdr:from>
    <xdr:to>
      <xdr:col>99</xdr:col>
      <xdr:colOff>904875</xdr:colOff>
      <xdr:row>125</xdr:row>
      <xdr:rowOff>156999</xdr:rowOff>
    </xdr:to>
    <xdr:graphicFrame macro="">
      <xdr:nvGraphicFramePr>
        <xdr:cNvPr id="36" name="Диаграмма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96</xdr:col>
      <xdr:colOff>5444</xdr:colOff>
      <xdr:row>126</xdr:row>
      <xdr:rowOff>60833</xdr:rowOff>
    </xdr:from>
    <xdr:to>
      <xdr:col>99</xdr:col>
      <xdr:colOff>901411</xdr:colOff>
      <xdr:row>138</xdr:row>
      <xdr:rowOff>64854</xdr:rowOff>
    </xdr:to>
    <xdr:graphicFrame macro="">
      <xdr:nvGraphicFramePr>
        <xdr:cNvPr id="37" name="Диаграмма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895511</xdr:colOff>
      <xdr:row>126</xdr:row>
      <xdr:rowOff>60832</xdr:rowOff>
    </xdr:from>
    <xdr:to>
      <xdr:col>103</xdr:col>
      <xdr:colOff>901411</xdr:colOff>
      <xdr:row>139</xdr:row>
      <xdr:rowOff>133407</xdr:rowOff>
    </xdr:to>
    <xdr:graphicFrame macro="">
      <xdr:nvGraphicFramePr>
        <xdr:cNvPr id="38" name="Диаграмма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96</xdr:col>
      <xdr:colOff>5443</xdr:colOff>
      <xdr:row>138</xdr:row>
      <xdr:rowOff>228921</xdr:rowOff>
    </xdr:from>
    <xdr:to>
      <xdr:col>100</xdr:col>
      <xdr:colOff>11343</xdr:colOff>
      <xdr:row>152</xdr:row>
      <xdr:rowOff>25271</xdr:rowOff>
    </xdr:to>
    <xdr:graphicFrame macro="">
      <xdr:nvGraphicFramePr>
        <xdr:cNvPr id="39" name="Диаграмма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99</xdr:col>
      <xdr:colOff>895511</xdr:colOff>
      <xdr:row>138</xdr:row>
      <xdr:rowOff>228921</xdr:rowOff>
    </xdr:from>
    <xdr:to>
      <xdr:col>103</xdr:col>
      <xdr:colOff>901411</xdr:colOff>
      <xdr:row>152</xdr:row>
      <xdr:rowOff>25271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E7" sqref="E7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41" t="s">
        <v>35</v>
      </c>
      <c r="B1" s="66">
        <v>450</v>
      </c>
      <c r="D1" s="165" t="s">
        <v>25</v>
      </c>
      <c r="E1" s="166"/>
      <c r="F1" s="166"/>
      <c r="G1" s="166"/>
    </row>
    <row r="2" spans="1:7" ht="21.75" thickTop="1" x14ac:dyDescent="0.35">
      <c r="D2" s="18" t="s">
        <v>1</v>
      </c>
      <c r="E2" s="18" t="s">
        <v>3</v>
      </c>
      <c r="F2" s="18" t="s">
        <v>4</v>
      </c>
      <c r="G2" s="18" t="s">
        <v>2</v>
      </c>
    </row>
    <row r="3" spans="1:7" ht="27.75" customHeight="1" x14ac:dyDescent="0.35">
      <c r="D3" s="66">
        <v>25</v>
      </c>
      <c r="E3" s="66">
        <v>30</v>
      </c>
      <c r="F3" s="66">
        <v>10</v>
      </c>
      <c r="G3" s="66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8"/>
  <sheetViews>
    <sheetView topLeftCell="A5" zoomScale="85" zoomScaleNormal="85" zoomScaleSheetLayoutView="25" workbookViewId="0">
      <selection activeCell="E3" sqref="E3:E33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52" hidden="1" customWidth="1"/>
    <col min="22" max="22" width="8.6328125" style="53" hidden="1" customWidth="1"/>
    <col min="23" max="23" width="8.6328125" style="110" hidden="1" customWidth="1"/>
    <col min="24" max="37" width="8.6328125" hidden="1" customWidth="1"/>
    <col min="38" max="38" width="8.6328125" customWidth="1" collapsed="1"/>
  </cols>
  <sheetData>
    <row r="1" spans="1:54" ht="29.25" customHeight="1" thickBot="1" x14ac:dyDescent="0.4">
      <c r="A1" s="164" t="s">
        <v>33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</row>
    <row r="2" spans="1:54" ht="21" customHeight="1" thickBot="1" x14ac:dyDescent="0.45">
      <c r="A2" s="30">
        <f>Values!B1</f>
        <v>450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92"/>
      <c r="V2" s="93"/>
      <c r="W2" s="2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8" t="s">
        <v>1</v>
      </c>
      <c r="B3" s="68" t="s">
        <v>2</v>
      </c>
      <c r="C3" s="68" t="s">
        <v>3</v>
      </c>
      <c r="D3" s="69" t="s">
        <v>4</v>
      </c>
      <c r="E3" s="9" t="s">
        <v>95</v>
      </c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7">
        <v>616.4</v>
      </c>
      <c r="U3" s="94">
        <v>636.6</v>
      </c>
      <c r="V3" s="95">
        <v>656.8</v>
      </c>
      <c r="W3" s="1">
        <v>677</v>
      </c>
      <c r="X3" s="89">
        <v>757.7</v>
      </c>
      <c r="Y3" s="8">
        <v>777.9</v>
      </c>
      <c r="Z3" s="8">
        <v>798.1</v>
      </c>
      <c r="AA3" s="8">
        <v>818.3</v>
      </c>
      <c r="AB3" s="9">
        <v>838.5</v>
      </c>
      <c r="AC3" s="9">
        <v>858.7</v>
      </c>
      <c r="AD3" s="9">
        <v>878.9</v>
      </c>
      <c r="AE3" s="9">
        <v>899</v>
      </c>
      <c r="AF3" s="9">
        <v>919.2</v>
      </c>
      <c r="AG3" s="9">
        <v>1000</v>
      </c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70">
        <f>IF( ISNUMBER( FIND(A$3,$E4,1)),   IF( ISNUMBER( VALUE(MID($E4,FIND(A$3,$E4,1)+2,1)) ), VALUE( MID($E4,FIND(A$3,$E4,1)+2,1) ),1),0)</f>
        <v>0</v>
      </c>
      <c r="B4" s="70">
        <f t="shared" ref="B4:D19" si="0">IF( ISNUMBER( FIND(B$3,$E4,1)),   IF( ISNUMBER( VALUE(MID($E4,FIND(B$3,$E4,1)+2,1)) ), VALUE( MID($E4,FIND(B$3,$E4,1)+2,1) ),1),0)</f>
        <v>1</v>
      </c>
      <c r="C4" s="70">
        <f t="shared" si="0"/>
        <v>1</v>
      </c>
      <c r="D4" s="70">
        <f t="shared" si="0"/>
        <v>0</v>
      </c>
      <c r="E4" s="76" t="s">
        <v>56</v>
      </c>
      <c r="F4" s="12">
        <v>6.1877999999999997E-9</v>
      </c>
      <c r="G4" s="12">
        <v>5.5165000000000001E-9</v>
      </c>
      <c r="H4" s="12">
        <v>7.4244000000000001E-9</v>
      </c>
      <c r="I4" s="12">
        <v>1.3577999999999999E-8</v>
      </c>
      <c r="J4" s="12">
        <v>2.9451E-8</v>
      </c>
      <c r="K4" s="12">
        <v>1.5819999999999999E-8</v>
      </c>
      <c r="L4" s="12">
        <v>2.8747E-9</v>
      </c>
      <c r="M4" s="12">
        <v>2.4480999999999999E-13</v>
      </c>
      <c r="N4" s="12">
        <v>9.9445000000000001E-21</v>
      </c>
      <c r="O4" s="12">
        <v>7.3141000000000006E-30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/>
      <c r="AI4" s="12"/>
      <c r="AJ4" s="12"/>
      <c r="AK4" s="12"/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70">
        <f t="shared" ref="A5:D27" si="1">IF( ISNUMBER( FIND(A$3,$E5,1)),   IF( ISNUMBER( VALUE(MID($E5,FIND(A$3,$E5,1)+2,1)) ), VALUE( MID($E5,FIND(A$3,$E5,1)+2,1) ),1),0)</f>
        <v>0</v>
      </c>
      <c r="B5" s="70">
        <f t="shared" si="0"/>
        <v>0</v>
      </c>
      <c r="C5" s="70">
        <f t="shared" si="0"/>
        <v>0</v>
      </c>
      <c r="D5" s="70">
        <f t="shared" si="0"/>
        <v>1</v>
      </c>
      <c r="E5" s="76" t="s">
        <v>55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1.1499999999999999E-31</v>
      </c>
      <c r="Z5" s="12">
        <v>9.5558000000000007E-24</v>
      </c>
      <c r="AA5" s="12">
        <v>1.4482E-16</v>
      </c>
      <c r="AB5" s="12">
        <v>1.0933999999999999E-10</v>
      </c>
      <c r="AC5" s="12">
        <v>3.2417999999999998E-7</v>
      </c>
      <c r="AD5" s="12">
        <v>1.2376E-5</v>
      </c>
      <c r="AE5" s="12">
        <v>2.1126999999999999E-5</v>
      </c>
      <c r="AF5" s="12">
        <v>2.3708000000000001E-5</v>
      </c>
      <c r="AG5" s="12">
        <v>2.8283999999999999E-6</v>
      </c>
      <c r="AH5" s="12"/>
      <c r="AI5" s="12"/>
      <c r="AJ5" s="12"/>
      <c r="AK5" s="12"/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70">
        <f t="shared" si="1"/>
        <v>0</v>
      </c>
      <c r="B6" s="70">
        <f t="shared" si="0"/>
        <v>1</v>
      </c>
      <c r="C6" s="70">
        <f t="shared" si="0"/>
        <v>0</v>
      </c>
      <c r="D6" s="70">
        <f t="shared" si="0"/>
        <v>0</v>
      </c>
      <c r="E6" s="76" t="s">
        <v>52</v>
      </c>
      <c r="F6" s="12">
        <v>0</v>
      </c>
      <c r="G6" s="12">
        <v>0</v>
      </c>
      <c r="H6" s="12">
        <v>9.5128000000000004E-28</v>
      </c>
      <c r="I6" s="12">
        <v>1.5372000000000001E-22</v>
      </c>
      <c r="J6" s="12">
        <v>1.1156E-19</v>
      </c>
      <c r="K6" s="12">
        <v>1.7943999999999999E-13</v>
      </c>
      <c r="L6" s="12">
        <v>4.2096999999999999E-10</v>
      </c>
      <c r="M6" s="12">
        <v>4.2095000000000004E-9</v>
      </c>
      <c r="N6" s="12">
        <v>7.7497000000000002E-9</v>
      </c>
      <c r="O6" s="12">
        <v>1.3306E-8</v>
      </c>
      <c r="P6" s="12">
        <v>1.2213999999999999E-8</v>
      </c>
      <c r="Q6" s="12">
        <v>2.3015999999999999E-8</v>
      </c>
      <c r="R6" s="12">
        <v>1.5737999999999998E-8</v>
      </c>
      <c r="S6" s="12">
        <v>1.6776000000000001E-8</v>
      </c>
      <c r="T6" s="12">
        <v>1.7397E-8</v>
      </c>
      <c r="U6" s="12">
        <v>1.768E-8</v>
      </c>
      <c r="V6" s="12">
        <v>1.8666E-8</v>
      </c>
      <c r="W6" s="12">
        <v>2.2871E-8</v>
      </c>
      <c r="X6" s="12">
        <v>2.7468000000000002E-8</v>
      </c>
      <c r="Y6" s="12">
        <v>2.7864000000000001E-8</v>
      </c>
      <c r="Z6" s="12">
        <v>2.7649999999999999E-8</v>
      </c>
      <c r="AA6" s="12">
        <v>2.8200000000000001E-8</v>
      </c>
      <c r="AB6" s="12">
        <v>6.5486999999999999E-9</v>
      </c>
      <c r="AC6" s="12">
        <v>6.0900999999999995E-32</v>
      </c>
      <c r="AD6" s="12">
        <v>4.7079000000000003E-30</v>
      </c>
      <c r="AE6" s="12">
        <v>8.2700999999999997E-29</v>
      </c>
      <c r="AF6" s="12">
        <v>4.4598999999999997E-28</v>
      </c>
      <c r="AG6" s="12">
        <v>2.2786000000000001E-23</v>
      </c>
      <c r="AH6" s="12"/>
      <c r="AI6" s="12"/>
      <c r="AJ6" s="12"/>
      <c r="AK6" s="12"/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70">
        <f t="shared" si="1"/>
        <v>0</v>
      </c>
      <c r="B7" s="70">
        <f t="shared" si="0"/>
        <v>2</v>
      </c>
      <c r="C7" s="70">
        <f t="shared" si="0"/>
        <v>1</v>
      </c>
      <c r="D7" s="70">
        <f t="shared" si="0"/>
        <v>0</v>
      </c>
      <c r="E7" s="76" t="s">
        <v>64</v>
      </c>
      <c r="F7" s="12">
        <v>1.2300000000000001E-9</v>
      </c>
      <c r="G7" s="12">
        <v>4.5156E-11</v>
      </c>
      <c r="H7" s="12">
        <v>6.8465000000000003E-15</v>
      </c>
      <c r="I7" s="12">
        <v>3.7467999999999999E-23</v>
      </c>
      <c r="J7" s="12">
        <v>3.8006E-35</v>
      </c>
      <c r="K7" s="12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/>
      <c r="AI7" s="12"/>
      <c r="AJ7" s="12"/>
      <c r="AK7" s="12"/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70">
        <f t="shared" si="1"/>
        <v>0</v>
      </c>
      <c r="B8" s="70">
        <f t="shared" si="0"/>
        <v>3</v>
      </c>
      <c r="C8" s="70">
        <f t="shared" si="0"/>
        <v>0</v>
      </c>
      <c r="D8" s="70">
        <f t="shared" si="0"/>
        <v>2</v>
      </c>
      <c r="E8" s="76" t="s">
        <v>63</v>
      </c>
      <c r="F8" s="12">
        <v>1.8093999999999999E-2</v>
      </c>
      <c r="G8" s="12">
        <v>1.7804E-2</v>
      </c>
      <c r="H8" s="12">
        <v>1.7049999999999999E-2</v>
      </c>
      <c r="I8" s="12">
        <v>1.5945000000000001E-2</v>
      </c>
      <c r="J8" s="12">
        <v>1.5049999999999999E-2</v>
      </c>
      <c r="K8" s="12">
        <v>1.3743999999999999E-2</v>
      </c>
      <c r="L8" s="12">
        <v>1.306E-2</v>
      </c>
      <c r="M8" s="12">
        <v>1.2156E-2</v>
      </c>
      <c r="N8" s="12">
        <v>1.1287E-2</v>
      </c>
      <c r="O8" s="12">
        <v>1.0671E-2</v>
      </c>
      <c r="P8" s="12">
        <v>1.0324E-2</v>
      </c>
      <c r="Q8" s="12">
        <v>1.0154E-2</v>
      </c>
      <c r="R8" s="12">
        <v>1.0073E-2</v>
      </c>
      <c r="S8" s="12">
        <v>1.0034E-2</v>
      </c>
      <c r="T8" s="12">
        <v>1.0005999999999999E-2</v>
      </c>
      <c r="U8" s="12">
        <v>9.9433999999999998E-3</v>
      </c>
      <c r="V8" s="12">
        <v>9.6798000000000006E-3</v>
      </c>
      <c r="W8" s="12">
        <v>8.6563000000000005E-3</v>
      </c>
      <c r="X8" s="12">
        <v>2.6289E-4</v>
      </c>
      <c r="Y8" s="12">
        <v>7.4824000000000001E-5</v>
      </c>
      <c r="Z8" s="12">
        <v>2.1580999999999999E-5</v>
      </c>
      <c r="AA8" s="12">
        <v>6.3327999999999997E-6</v>
      </c>
      <c r="AB8" s="12">
        <v>1.8872999999999999E-6</v>
      </c>
      <c r="AC8" s="12">
        <v>5.5927999999999996E-7</v>
      </c>
      <c r="AD8" s="12">
        <v>8.7534999999999996E-8</v>
      </c>
      <c r="AE8" s="12">
        <v>1.3694E-8</v>
      </c>
      <c r="AF8" s="12">
        <v>2.2223000000000001E-9</v>
      </c>
      <c r="AG8" s="12">
        <v>2.4674000000000002E-12</v>
      </c>
      <c r="AH8" s="12"/>
      <c r="AI8" s="12"/>
      <c r="AJ8" s="12"/>
      <c r="AK8" s="12"/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70">
        <f t="shared" si="1"/>
        <v>0</v>
      </c>
      <c r="B9" s="70">
        <f t="shared" si="0"/>
        <v>1</v>
      </c>
      <c r="C9" s="70">
        <f t="shared" si="0"/>
        <v>0</v>
      </c>
      <c r="D9" s="70">
        <f t="shared" si="0"/>
        <v>2</v>
      </c>
      <c r="E9" s="76" t="s">
        <v>71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1.7552999999999999E-34</v>
      </c>
      <c r="M9" s="12">
        <v>5.9637999999999997E-32</v>
      </c>
      <c r="N9" s="12">
        <v>1.3317E-29</v>
      </c>
      <c r="O9" s="12">
        <v>2.1693E-27</v>
      </c>
      <c r="P9" s="12">
        <v>2.6676999999999999E-25</v>
      </c>
      <c r="Q9" s="12">
        <v>2.4886000000000001E-23</v>
      </c>
      <c r="R9" s="12">
        <v>1.7740000000000002E-21</v>
      </c>
      <c r="S9" s="12">
        <v>9.8104000000000004E-20</v>
      </c>
      <c r="T9" s="12">
        <v>4.2854000000000003E-18</v>
      </c>
      <c r="U9" s="12">
        <v>1.5015000000000001E-16</v>
      </c>
      <c r="V9" s="12">
        <v>4.2180000000000003E-15</v>
      </c>
      <c r="W9" s="12">
        <v>8.9942999999999996E-14</v>
      </c>
      <c r="X9" s="12">
        <v>1.8166E-10</v>
      </c>
      <c r="Y9" s="12">
        <v>6.1698999999999995E-10</v>
      </c>
      <c r="Z9" s="12">
        <v>1.9062999999999999E-9</v>
      </c>
      <c r="AA9" s="12">
        <v>5.4154999999999998E-9</v>
      </c>
      <c r="AB9" s="12">
        <v>1.4215E-8</v>
      </c>
      <c r="AC9" s="12">
        <v>3.3835999999999999E-8</v>
      </c>
      <c r="AD9" s="12">
        <v>3.6131000000000001E-8</v>
      </c>
      <c r="AE9" s="12">
        <v>3.7158000000000001E-8</v>
      </c>
      <c r="AF9" s="12">
        <v>3.7517999999999999E-8</v>
      </c>
      <c r="AG9" s="12">
        <v>3.4862999999999999E-8</v>
      </c>
      <c r="AH9" s="12"/>
      <c r="AI9" s="12"/>
      <c r="AJ9" s="12"/>
      <c r="AK9" s="12"/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70">
        <f t="shared" si="1"/>
        <v>0</v>
      </c>
      <c r="B10" s="70">
        <f t="shared" si="0"/>
        <v>0</v>
      </c>
      <c r="C10" s="70">
        <f t="shared" si="0"/>
        <v>0</v>
      </c>
      <c r="D10" s="70">
        <f t="shared" si="0"/>
        <v>1</v>
      </c>
      <c r="E10" s="76" t="s">
        <v>4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7.4216000000000001E-36</v>
      </c>
      <c r="N10" s="12">
        <v>1.2279E-33</v>
      </c>
      <c r="O10" s="12">
        <v>1.4772000000000001E-31</v>
      </c>
      <c r="P10" s="12">
        <v>1.3357000000000001E-29</v>
      </c>
      <c r="Q10" s="12">
        <v>9.1925000000000003E-28</v>
      </c>
      <c r="R10" s="12">
        <v>4.8815000000000001E-26</v>
      </c>
      <c r="S10" s="12">
        <v>2.0363E-24</v>
      </c>
      <c r="T10" s="12">
        <v>6.8009999999999997E-23</v>
      </c>
      <c r="U10" s="12">
        <v>1.8494000000000001E-21</v>
      </c>
      <c r="V10" s="12">
        <v>4.1246999999999999E-20</v>
      </c>
      <c r="W10" s="12">
        <v>7.3727999999999996E-19</v>
      </c>
      <c r="X10" s="12">
        <v>3.723E-15</v>
      </c>
      <c r="Y10" s="12">
        <v>1.9612000000000001E-14</v>
      </c>
      <c r="Z10" s="12">
        <v>9.3993000000000001E-14</v>
      </c>
      <c r="AA10" s="12">
        <v>4.132E-13</v>
      </c>
      <c r="AB10" s="12">
        <v>1.6752999999999999E-12</v>
      </c>
      <c r="AC10" s="12">
        <v>6.2173999999999997E-12</v>
      </c>
      <c r="AD10" s="12">
        <v>1.4609999999999999E-11</v>
      </c>
      <c r="AE10" s="12">
        <v>3.2901E-11</v>
      </c>
      <c r="AF10" s="12">
        <v>7.1446000000000001E-11</v>
      </c>
      <c r="AG10" s="12">
        <v>1.1532999999999999E-9</v>
      </c>
      <c r="AH10" s="12"/>
      <c r="AI10" s="12"/>
      <c r="AJ10" s="12"/>
      <c r="AK10" s="12"/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70">
        <f t="shared" si="1"/>
        <v>1</v>
      </c>
      <c r="B11" s="70">
        <f t="shared" si="0"/>
        <v>0</v>
      </c>
      <c r="C11" s="70">
        <f t="shared" si="0"/>
        <v>0</v>
      </c>
      <c r="D11" s="70">
        <f t="shared" si="0"/>
        <v>0</v>
      </c>
      <c r="E11" s="76" t="s">
        <v>1</v>
      </c>
      <c r="F11" s="12">
        <v>0.2</v>
      </c>
      <c r="G11" s="12">
        <v>0.2</v>
      </c>
      <c r="H11" s="12">
        <v>0.2</v>
      </c>
      <c r="I11" s="12">
        <v>0.2</v>
      </c>
      <c r="J11" s="12">
        <v>0.2</v>
      </c>
      <c r="K11" s="12">
        <v>0.2</v>
      </c>
      <c r="L11" s="12">
        <v>0.2</v>
      </c>
      <c r="M11" s="12">
        <v>0.2</v>
      </c>
      <c r="N11" s="12">
        <v>0.2</v>
      </c>
      <c r="O11" s="12">
        <v>0.2</v>
      </c>
      <c r="P11" s="12">
        <v>0.2</v>
      </c>
      <c r="Q11" s="12">
        <v>0.2</v>
      </c>
      <c r="R11" s="12">
        <v>0.2</v>
      </c>
      <c r="S11" s="12">
        <v>0.2</v>
      </c>
      <c r="T11" s="12">
        <v>0.2</v>
      </c>
      <c r="U11" s="12">
        <v>0.2</v>
      </c>
      <c r="V11" s="12">
        <v>0.2</v>
      </c>
      <c r="W11" s="12">
        <v>0.2</v>
      </c>
      <c r="X11" s="12">
        <v>0.2</v>
      </c>
      <c r="Y11" s="12">
        <v>0.2</v>
      </c>
      <c r="Z11" s="12">
        <v>0.2</v>
      </c>
      <c r="AA11" s="12">
        <v>0.2</v>
      </c>
      <c r="AB11" s="12">
        <v>0.2</v>
      </c>
      <c r="AC11" s="12">
        <v>0.2</v>
      </c>
      <c r="AD11" s="12">
        <v>0.2</v>
      </c>
      <c r="AE11" s="12">
        <v>0.2</v>
      </c>
      <c r="AF11" s="12">
        <v>0.2</v>
      </c>
      <c r="AG11" s="12">
        <v>0.2</v>
      </c>
      <c r="AH11" s="12"/>
      <c r="AI11" s="12"/>
      <c r="AJ11" s="12"/>
      <c r="AK11" s="12"/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70">
        <f t="shared" si="1"/>
        <v>0</v>
      </c>
      <c r="B12" s="70">
        <f t="shared" si="0"/>
        <v>2</v>
      </c>
      <c r="C12" s="70">
        <f t="shared" si="0"/>
        <v>1</v>
      </c>
      <c r="D12" s="70">
        <f t="shared" si="0"/>
        <v>0</v>
      </c>
      <c r="E12" s="76" t="s">
        <v>85</v>
      </c>
      <c r="F12" s="12">
        <v>0.11787</v>
      </c>
      <c r="G12" s="12">
        <v>0.11068</v>
      </c>
      <c r="H12" s="12">
        <v>9.0792999999999999E-2</v>
      </c>
      <c r="I12" s="12">
        <v>5.8309E-2</v>
      </c>
      <c r="J12" s="12">
        <v>2.8580999999999999E-2</v>
      </c>
      <c r="K12" s="12">
        <v>8.4281999999999998E-4</v>
      </c>
      <c r="L12" s="12">
        <v>3.6653E-4</v>
      </c>
      <c r="M12" s="12">
        <v>1.4880000000000001E-4</v>
      </c>
      <c r="N12" s="12">
        <v>5.2157000000000002E-5</v>
      </c>
      <c r="O12" s="12">
        <v>1.5631999999999999E-5</v>
      </c>
      <c r="P12" s="12">
        <v>4.2572999999999999E-6</v>
      </c>
      <c r="Q12" s="12">
        <v>1.1320999999999999E-6</v>
      </c>
      <c r="R12" s="12">
        <v>3.0759999999999998E-7</v>
      </c>
      <c r="S12" s="12">
        <v>8.7147999999999994E-8</v>
      </c>
      <c r="T12" s="12">
        <v>2.5918999999999999E-8</v>
      </c>
      <c r="U12" s="12">
        <v>8.1001000000000002E-9</v>
      </c>
      <c r="V12" s="12">
        <v>2.6604E-9</v>
      </c>
      <c r="W12" s="12">
        <v>9.2248999999999999E-10</v>
      </c>
      <c r="X12" s="12">
        <v>2.0673000000000001E-11</v>
      </c>
      <c r="Y12" s="12">
        <v>8.4606999999999993E-12</v>
      </c>
      <c r="Z12" s="12">
        <v>3.5548000000000002E-12</v>
      </c>
      <c r="AA12" s="12">
        <v>1.5325E-12</v>
      </c>
      <c r="AB12" s="12">
        <v>6.7700999999999996E-13</v>
      </c>
      <c r="AC12" s="12">
        <v>3.0721000000000001E-13</v>
      </c>
      <c r="AD12" s="12">
        <v>1.5357999999999999E-13</v>
      </c>
      <c r="AE12" s="12">
        <v>7.5448000000000003E-14</v>
      </c>
      <c r="AF12" s="12">
        <v>3.7177999999999999E-14</v>
      </c>
      <c r="AG12" s="12">
        <v>2.4715E-15</v>
      </c>
      <c r="AH12" s="12"/>
      <c r="AI12" s="12"/>
      <c r="AJ12" s="12"/>
      <c r="AK12" s="12"/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70">
        <f t="shared" si="1"/>
        <v>0</v>
      </c>
      <c r="B13" s="70">
        <f t="shared" si="0"/>
        <v>1</v>
      </c>
      <c r="C13" s="70">
        <f t="shared" si="0"/>
        <v>1</v>
      </c>
      <c r="D13" s="70">
        <f t="shared" si="0"/>
        <v>0</v>
      </c>
      <c r="E13" s="76" t="s">
        <v>86</v>
      </c>
      <c r="F13" s="12">
        <v>0.12213</v>
      </c>
      <c r="G13" s="12">
        <v>0.12931999999999999</v>
      </c>
      <c r="H13" s="12">
        <v>0.1492</v>
      </c>
      <c r="I13" s="12">
        <v>0.18165999999999999</v>
      </c>
      <c r="J13" s="12">
        <v>0.21128</v>
      </c>
      <c r="K13" s="12">
        <v>0.21623999999999999</v>
      </c>
      <c r="L13" s="12">
        <v>0.18673000000000001</v>
      </c>
      <c r="M13" s="12">
        <v>0.14158000000000001</v>
      </c>
      <c r="N13" s="12">
        <v>9.1116000000000003E-2</v>
      </c>
      <c r="O13" s="12">
        <v>5.0257000000000003E-2</v>
      </c>
      <c r="P13" s="12">
        <v>2.5132000000000002E-2</v>
      </c>
      <c r="Q13" s="12">
        <v>1.2115000000000001E-2</v>
      </c>
      <c r="R13" s="12">
        <v>5.8520999999999998E-3</v>
      </c>
      <c r="S13" s="12">
        <v>2.8841000000000001E-3</v>
      </c>
      <c r="T13" s="12">
        <v>1.4599999999999999E-3</v>
      </c>
      <c r="U13" s="12">
        <v>7.6039E-4</v>
      </c>
      <c r="V13" s="12">
        <v>4.0761999999999998E-4</v>
      </c>
      <c r="W13" s="12">
        <v>2.2541E-4</v>
      </c>
      <c r="X13" s="12">
        <v>2.7175E-5</v>
      </c>
      <c r="Y13" s="12">
        <v>1.6592999999999999E-5</v>
      </c>
      <c r="Z13" s="12">
        <v>1.0291E-5</v>
      </c>
      <c r="AA13" s="12">
        <v>6.4810999999999997E-6</v>
      </c>
      <c r="AB13" s="12">
        <v>4.1408000000000002E-6</v>
      </c>
      <c r="AC13" s="12">
        <v>2.6863999999999998E-6</v>
      </c>
      <c r="AD13" s="12">
        <v>1.8275000000000001E-6</v>
      </c>
      <c r="AE13" s="12">
        <v>1.2358000000000001E-6</v>
      </c>
      <c r="AF13" s="12">
        <v>8.3857000000000002E-7</v>
      </c>
      <c r="AG13" s="12">
        <v>1.9167E-7</v>
      </c>
      <c r="AH13" s="12"/>
      <c r="AI13" s="12"/>
      <c r="AJ13" s="12"/>
      <c r="AK13" s="12"/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70">
        <f t="shared" si="1"/>
        <v>0</v>
      </c>
      <c r="B14" s="70">
        <f t="shared" si="0"/>
        <v>3</v>
      </c>
      <c r="C14" s="70">
        <f t="shared" si="0"/>
        <v>0</v>
      </c>
      <c r="D14" s="70">
        <f t="shared" si="0"/>
        <v>2</v>
      </c>
      <c r="E14" s="76" t="s">
        <v>87</v>
      </c>
      <c r="F14" s="12">
        <v>2.1905999999999998E-2</v>
      </c>
      <c r="G14" s="12">
        <v>2.2196E-2</v>
      </c>
      <c r="H14" s="12">
        <v>2.2950000000000002E-2</v>
      </c>
      <c r="I14" s="12">
        <v>2.4055E-2</v>
      </c>
      <c r="J14" s="12">
        <v>2.495E-2</v>
      </c>
      <c r="K14" s="12">
        <v>2.6256000000000002E-2</v>
      </c>
      <c r="L14" s="12">
        <v>2.6939999999999999E-2</v>
      </c>
      <c r="M14" s="12">
        <v>2.7844000000000001E-2</v>
      </c>
      <c r="N14" s="12">
        <v>2.8712999999999999E-2</v>
      </c>
      <c r="O14" s="12">
        <v>2.9329000000000001E-2</v>
      </c>
      <c r="P14" s="12">
        <v>2.9676000000000001E-2</v>
      </c>
      <c r="Q14" s="12">
        <v>2.9846000000000001E-2</v>
      </c>
      <c r="R14" s="12">
        <v>2.9926000000000001E-2</v>
      </c>
      <c r="S14" s="12">
        <v>2.9959E-2</v>
      </c>
      <c r="T14" s="12">
        <v>2.9951999999999999E-2</v>
      </c>
      <c r="U14" s="12">
        <v>2.9828E-2</v>
      </c>
      <c r="V14" s="12">
        <v>2.9187999999999999E-2</v>
      </c>
      <c r="W14" s="12">
        <v>2.6589999999999999E-2</v>
      </c>
      <c r="X14" s="12">
        <v>9.5122999999999996E-4</v>
      </c>
      <c r="Y14" s="12">
        <v>2.7313000000000001E-4</v>
      </c>
      <c r="Z14" s="12">
        <v>7.9382999999999995E-5</v>
      </c>
      <c r="AA14" s="12">
        <v>2.3487999999999999E-5</v>
      </c>
      <c r="AB14" s="12">
        <v>7.0636999999999998E-6</v>
      </c>
      <c r="AC14" s="12">
        <v>2.1115999999999998E-6</v>
      </c>
      <c r="AD14" s="12">
        <v>3.2650999999999998E-7</v>
      </c>
      <c r="AE14" s="12">
        <v>5.0575000000000001E-8</v>
      </c>
      <c r="AF14" s="12">
        <v>8.1415000000000005E-9</v>
      </c>
      <c r="AG14" s="12">
        <v>8.8611000000000007E-12</v>
      </c>
      <c r="AH14" s="12"/>
      <c r="AI14" s="12"/>
      <c r="AJ14" s="12"/>
      <c r="AK14" s="12"/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70">
        <f t="shared" si="1"/>
        <v>0</v>
      </c>
      <c r="B15" s="70">
        <f t="shared" si="0"/>
        <v>1</v>
      </c>
      <c r="C15" s="70">
        <f t="shared" si="0"/>
        <v>0</v>
      </c>
      <c r="D15" s="70">
        <f t="shared" si="0"/>
        <v>2</v>
      </c>
      <c r="E15" s="76" t="s">
        <v>88</v>
      </c>
      <c r="F15" s="12">
        <v>1.4219000000000001E-28</v>
      </c>
      <c r="G15" s="12">
        <v>1.2244E-26</v>
      </c>
      <c r="H15" s="12">
        <v>9.3656999999999993E-25</v>
      </c>
      <c r="I15" s="12">
        <v>8.2229999999999995E-23</v>
      </c>
      <c r="J15" s="12">
        <v>7.5761000000000006E-21</v>
      </c>
      <c r="K15" s="12">
        <v>3.6578999999999997E-14</v>
      </c>
      <c r="L15" s="12">
        <v>7.0040000000000002E-13</v>
      </c>
      <c r="M15" s="12">
        <v>1.0294E-11</v>
      </c>
      <c r="N15" s="12">
        <v>1.2805000000000001E-10</v>
      </c>
      <c r="O15" s="12">
        <v>1.4134999999999999E-9</v>
      </c>
      <c r="P15" s="12">
        <v>1.3907E-8</v>
      </c>
      <c r="Q15" s="12">
        <v>1.2118999999999999E-7</v>
      </c>
      <c r="R15" s="12">
        <v>9.3500000000000005E-7</v>
      </c>
      <c r="S15" s="12">
        <v>6.4214E-6</v>
      </c>
      <c r="T15" s="12">
        <v>3.9548999999999997E-5</v>
      </c>
      <c r="U15" s="12">
        <v>2.1958000000000001E-4</v>
      </c>
      <c r="V15" s="12">
        <v>1.0908999999999999E-3</v>
      </c>
      <c r="W15" s="12">
        <v>4.5948999999999999E-3</v>
      </c>
      <c r="X15" s="12">
        <v>3.5118000000000003E-2</v>
      </c>
      <c r="Y15" s="12">
        <v>3.4089000000000001E-2</v>
      </c>
      <c r="Z15" s="12">
        <v>3.1904000000000002E-2</v>
      </c>
      <c r="AA15" s="12">
        <v>2.9024000000000001E-2</v>
      </c>
      <c r="AB15" s="12">
        <v>2.5696E-2</v>
      </c>
      <c r="AC15" s="12">
        <v>2.1628000000000001E-2</v>
      </c>
      <c r="AD15" s="12">
        <v>8.3616999999999997E-3</v>
      </c>
      <c r="AE15" s="12">
        <v>3.2523999999999999E-3</v>
      </c>
      <c r="AF15" s="12">
        <v>1.2936E-3</v>
      </c>
      <c r="AG15" s="12">
        <v>4.1288000000000002E-5</v>
      </c>
      <c r="AH15" s="12"/>
      <c r="AI15" s="12"/>
      <c r="AJ15" s="12"/>
      <c r="AK15" s="12"/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70">
        <f t="shared" si="1"/>
        <v>0</v>
      </c>
      <c r="B16" s="70">
        <f t="shared" si="0"/>
        <v>0</v>
      </c>
      <c r="C16" s="70">
        <f t="shared" si="0"/>
        <v>1</v>
      </c>
      <c r="D16" s="70">
        <f t="shared" si="0"/>
        <v>0</v>
      </c>
      <c r="E16" s="76" t="s">
        <v>89</v>
      </c>
      <c r="F16" s="12">
        <v>4.5409000000000001E-7</v>
      </c>
      <c r="G16" s="12">
        <v>1.1596000000000001E-6</v>
      </c>
      <c r="H16" s="12">
        <v>3.6376000000000001E-6</v>
      </c>
      <c r="I16" s="12">
        <v>1.4951E-5</v>
      </c>
      <c r="J16" s="12">
        <v>6.8635999999999998E-5</v>
      </c>
      <c r="K16" s="12">
        <v>1.1455999999999999E-2</v>
      </c>
      <c r="L16" s="12">
        <v>2.6453999999999998E-2</v>
      </c>
      <c r="M16" s="12">
        <v>4.9137E-2</v>
      </c>
      <c r="N16" s="12">
        <v>7.4415999999999996E-2</v>
      </c>
      <c r="O16" s="12">
        <v>9.4864000000000004E-2</v>
      </c>
      <c r="P16" s="12">
        <v>0.10743</v>
      </c>
      <c r="Q16" s="12">
        <v>0.11394</v>
      </c>
      <c r="R16" s="12">
        <v>0.11706999999999999</v>
      </c>
      <c r="S16" s="12">
        <v>0.11856</v>
      </c>
      <c r="T16" s="12">
        <v>0.11927</v>
      </c>
      <c r="U16" s="12">
        <v>0.11962</v>
      </c>
      <c r="V16" s="12">
        <v>0.1198</v>
      </c>
      <c r="W16" s="12">
        <v>0.11989</v>
      </c>
      <c r="X16" s="12">
        <v>0.11999</v>
      </c>
      <c r="Y16" s="12">
        <v>0.11999</v>
      </c>
      <c r="Z16" s="12">
        <v>0.11999</v>
      </c>
      <c r="AA16" s="12">
        <v>0.12</v>
      </c>
      <c r="AB16" s="12">
        <v>0.12</v>
      </c>
      <c r="AC16" s="12">
        <v>0.11996999999999999</v>
      </c>
      <c r="AD16" s="12">
        <v>0.11926</v>
      </c>
      <c r="AE16" s="12">
        <v>0.11877</v>
      </c>
      <c r="AF16" s="12">
        <v>0.11837</v>
      </c>
      <c r="AG16" s="12">
        <v>0.11694</v>
      </c>
      <c r="AH16" s="12"/>
      <c r="AI16" s="12"/>
      <c r="AJ16" s="12"/>
      <c r="AK16" s="12"/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70">
        <f t="shared" si="1"/>
        <v>0</v>
      </c>
      <c r="B17" s="70">
        <f t="shared" si="0"/>
        <v>0</v>
      </c>
      <c r="C17" s="70">
        <f t="shared" si="0"/>
        <v>0</v>
      </c>
      <c r="D17" s="70">
        <f t="shared" si="0"/>
        <v>1</v>
      </c>
      <c r="E17" s="76" t="s">
        <v>90</v>
      </c>
      <c r="F17" s="12">
        <v>3.6374999999999999E-28</v>
      </c>
      <c r="G17" s="12">
        <v>2.9487000000000001E-26</v>
      </c>
      <c r="H17" s="12">
        <v>2.0040999999999999E-24</v>
      </c>
      <c r="I17" s="12">
        <v>1.4044000000000001E-22</v>
      </c>
      <c r="J17" s="12">
        <v>9.4172000000000002E-21</v>
      </c>
      <c r="K17" s="12">
        <v>1.3252E-14</v>
      </c>
      <c r="L17" s="12">
        <v>2.1316999999999999E-13</v>
      </c>
      <c r="M17" s="12">
        <v>2.7485999999999998E-12</v>
      </c>
      <c r="N17" s="12">
        <v>3.0313999999999999E-11</v>
      </c>
      <c r="O17" s="12">
        <v>2.9357999999999998E-10</v>
      </c>
      <c r="P17" s="12">
        <v>2.5024E-9</v>
      </c>
      <c r="Q17" s="12">
        <v>1.8787000000000001E-8</v>
      </c>
      <c r="R17" s="12">
        <v>1.2485999999999999E-7</v>
      </c>
      <c r="S17" s="12">
        <v>7.4010999999999997E-7</v>
      </c>
      <c r="T17" s="12">
        <v>3.9424999999999999E-6</v>
      </c>
      <c r="U17" s="12">
        <v>1.8986000000000001E-5</v>
      </c>
      <c r="V17" s="12">
        <v>8.2616999999999999E-5</v>
      </c>
      <c r="W17" s="12">
        <v>3.1750000000000002E-4</v>
      </c>
      <c r="X17" s="12">
        <v>7.3359999999999996E-3</v>
      </c>
      <c r="Y17" s="12">
        <v>1.1124999999999999E-2</v>
      </c>
      <c r="Z17" s="12">
        <v>1.5989E-2</v>
      </c>
      <c r="AA17" s="12">
        <v>2.1892999999999999E-2</v>
      </c>
      <c r="AB17" s="12">
        <v>2.8590999999999998E-2</v>
      </c>
      <c r="AC17" s="12">
        <v>3.5165000000000002E-2</v>
      </c>
      <c r="AD17" s="12">
        <v>2.7507E-2</v>
      </c>
      <c r="AE17" s="12">
        <v>2.1121999999999998E-2</v>
      </c>
      <c r="AF17" s="12">
        <v>1.5965E-2</v>
      </c>
      <c r="AG17" s="12">
        <v>4.3797999999999997E-3</v>
      </c>
      <c r="AH17" s="12"/>
      <c r="AI17" s="12"/>
      <c r="AJ17" s="12"/>
      <c r="AK17" s="12"/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70">
        <f t="shared" si="1"/>
        <v>0</v>
      </c>
      <c r="B18" s="70">
        <f t="shared" si="0"/>
        <v>1</v>
      </c>
      <c r="C18" s="70">
        <f t="shared" si="0"/>
        <v>0</v>
      </c>
      <c r="D18" s="70">
        <f t="shared" si="0"/>
        <v>0</v>
      </c>
      <c r="E18" s="76" t="s">
        <v>91</v>
      </c>
      <c r="F18" s="12">
        <v>2.5337E-9</v>
      </c>
      <c r="G18" s="12">
        <v>8.7521E-9</v>
      </c>
      <c r="H18" s="12">
        <v>2.1410000000000001E-8</v>
      </c>
      <c r="I18" s="12">
        <v>3.5043999999999999E-8</v>
      </c>
      <c r="J18" s="12">
        <v>4.0088000000000001E-8</v>
      </c>
      <c r="K18" s="12">
        <v>2.18E-8</v>
      </c>
      <c r="L18" s="12">
        <v>2.0435000000000001E-8</v>
      </c>
      <c r="M18" s="12">
        <v>1.9989999999999999E-8</v>
      </c>
      <c r="N18" s="12">
        <v>1.9168E-8</v>
      </c>
      <c r="O18" s="12">
        <v>1.8243E-8</v>
      </c>
      <c r="P18" s="12">
        <v>1.6292999999999999E-8</v>
      </c>
      <c r="Q18" s="12">
        <v>1.3986E-8</v>
      </c>
      <c r="R18" s="12">
        <v>1.1771E-8</v>
      </c>
      <c r="S18" s="12">
        <v>9.8201E-9</v>
      </c>
      <c r="T18" s="12">
        <v>8.1651999999999999E-9</v>
      </c>
      <c r="U18" s="12">
        <v>6.7876E-9</v>
      </c>
      <c r="V18" s="12">
        <v>5.6655000000000003E-9</v>
      </c>
      <c r="W18" s="12">
        <v>4.8032999999999997E-9</v>
      </c>
      <c r="X18" s="12">
        <v>2.7602E-9</v>
      </c>
      <c r="Y18" s="12">
        <v>2.3245E-9</v>
      </c>
      <c r="Z18" s="12">
        <v>1.9566E-9</v>
      </c>
      <c r="AA18" s="12">
        <v>1.6493000000000001E-9</v>
      </c>
      <c r="AB18" s="12">
        <v>1.3927E-9</v>
      </c>
      <c r="AC18" s="12">
        <v>1.179E-9</v>
      </c>
      <c r="AD18" s="12">
        <v>1.0190000000000001E-9</v>
      </c>
      <c r="AE18" s="12">
        <v>8.6608999999999995E-10</v>
      </c>
      <c r="AF18" s="12">
        <v>7.3197999999999999E-10</v>
      </c>
      <c r="AG18" s="12">
        <v>3.7200000000000001E-10</v>
      </c>
      <c r="AH18" s="12"/>
      <c r="AI18" s="12"/>
      <c r="AJ18" s="12"/>
      <c r="AK18" s="12"/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70">
        <f t="shared" si="1"/>
        <v>0</v>
      </c>
      <c r="B19" s="70">
        <f t="shared" si="0"/>
        <v>1</v>
      </c>
      <c r="C19" s="70">
        <f t="shared" si="0"/>
        <v>0</v>
      </c>
      <c r="D19" s="70">
        <f t="shared" si="0"/>
        <v>0</v>
      </c>
      <c r="E19" s="76" t="s">
        <v>92</v>
      </c>
      <c r="F19" s="12">
        <v>5.8400000000000005E-10</v>
      </c>
      <c r="G19" s="12">
        <v>2.3464000000000001E-9</v>
      </c>
      <c r="H19" s="12">
        <v>6.5551000000000002E-9</v>
      </c>
      <c r="I19" s="12">
        <v>1.2069E-8</v>
      </c>
      <c r="J19" s="12">
        <v>1.5332000000000001E-8</v>
      </c>
      <c r="K19" s="12">
        <v>1.1541000000000001E-8</v>
      </c>
      <c r="L19" s="12">
        <v>1.153E-8</v>
      </c>
      <c r="M19" s="12">
        <v>1.1954000000000001E-8</v>
      </c>
      <c r="N19" s="12">
        <v>1.2058E-8</v>
      </c>
      <c r="O19" s="12">
        <v>1.1358999999999999E-8</v>
      </c>
      <c r="P19" s="12">
        <v>1.0034000000000001E-8</v>
      </c>
      <c r="Q19" s="12">
        <v>8.5150000000000005E-9</v>
      </c>
      <c r="R19" s="12">
        <v>7.0818999999999997E-9</v>
      </c>
      <c r="S19" s="12">
        <v>5.8369999999999996E-9</v>
      </c>
      <c r="T19" s="12">
        <v>4.7939999999999998E-9</v>
      </c>
      <c r="U19" s="12">
        <v>3.9361000000000001E-9</v>
      </c>
      <c r="V19" s="12">
        <v>3.2447999999999998E-9</v>
      </c>
      <c r="W19" s="12">
        <v>2.717E-9</v>
      </c>
      <c r="X19" s="12">
        <v>1.4865E-9</v>
      </c>
      <c r="Y19" s="12">
        <v>1.2368999999999999E-9</v>
      </c>
      <c r="Z19" s="12">
        <v>1.0288E-9</v>
      </c>
      <c r="AA19" s="12">
        <v>8.5701000000000002E-10</v>
      </c>
      <c r="AB19" s="12">
        <v>7.1524999999999999E-10</v>
      </c>
      <c r="AC19" s="12">
        <v>5.9853E-10</v>
      </c>
      <c r="AD19" s="12">
        <v>5.1136999999999996E-10</v>
      </c>
      <c r="AE19" s="12">
        <v>4.2971000000000001E-10</v>
      </c>
      <c r="AF19" s="12">
        <v>3.5909E-10</v>
      </c>
      <c r="AG19" s="12">
        <v>1.7455999999999999E-10</v>
      </c>
      <c r="AH19" s="12"/>
      <c r="AI19" s="12"/>
      <c r="AJ19" s="12"/>
      <c r="AK19" s="12"/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70">
        <f t="shared" si="1"/>
        <v>0</v>
      </c>
      <c r="B20" s="70">
        <f t="shared" si="1"/>
        <v>1</v>
      </c>
      <c r="C20" s="70">
        <f t="shared" si="1"/>
        <v>0</v>
      </c>
      <c r="D20" s="70">
        <f t="shared" si="1"/>
        <v>0</v>
      </c>
      <c r="E20" s="76" t="s">
        <v>93</v>
      </c>
      <c r="F20" s="12">
        <v>2.1339000000000002E-3</v>
      </c>
      <c r="G20" s="12">
        <v>9.3252000000000005E-3</v>
      </c>
      <c r="H20" s="12">
        <v>2.9215000000000001E-2</v>
      </c>
      <c r="I20" s="12">
        <v>6.1720999999999998E-2</v>
      </c>
      <c r="J20" s="12">
        <v>9.1555999999999998E-2</v>
      </c>
      <c r="K20" s="12">
        <v>0.14207</v>
      </c>
      <c r="L20" s="12">
        <v>0.17254</v>
      </c>
      <c r="M20" s="12">
        <v>0.21812000000000001</v>
      </c>
      <c r="N20" s="12">
        <v>0.26878000000000002</v>
      </c>
      <c r="O20" s="12">
        <v>0.30970999999999999</v>
      </c>
      <c r="P20" s="12">
        <v>0.33485999999999999</v>
      </c>
      <c r="Q20" s="12">
        <v>0.34788000000000002</v>
      </c>
      <c r="R20" s="12">
        <v>0.35415000000000002</v>
      </c>
      <c r="S20" s="12">
        <v>0.35713</v>
      </c>
      <c r="T20" s="12">
        <v>0.35861999999999999</v>
      </c>
      <c r="U20" s="12">
        <v>0.35970999999999997</v>
      </c>
      <c r="V20" s="12">
        <v>0.3619</v>
      </c>
      <c r="W20" s="12">
        <v>0.36943999999999999</v>
      </c>
      <c r="X20" s="12">
        <v>0.44120999999999999</v>
      </c>
      <c r="Y20" s="12">
        <v>0.44485000000000002</v>
      </c>
      <c r="Z20" s="12">
        <v>0.44778000000000001</v>
      </c>
      <c r="AA20" s="12">
        <v>0.45088</v>
      </c>
      <c r="AB20" s="12">
        <v>0.45427000000000001</v>
      </c>
      <c r="AC20" s="12">
        <v>0.45835999999999999</v>
      </c>
      <c r="AD20" s="12">
        <v>0.47164</v>
      </c>
      <c r="AE20" s="12">
        <v>0.47675000000000001</v>
      </c>
      <c r="AF20" s="12">
        <v>0.47871000000000002</v>
      </c>
      <c r="AG20" s="12">
        <v>0.47996</v>
      </c>
      <c r="AH20" s="12"/>
      <c r="AI20" s="12"/>
      <c r="AJ20" s="12"/>
      <c r="AK20" s="12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70">
        <f t="shared" si="1"/>
        <v>0</v>
      </c>
      <c r="B21" s="70">
        <f t="shared" si="1"/>
        <v>1</v>
      </c>
      <c r="C21" s="70">
        <f t="shared" si="1"/>
        <v>0</v>
      </c>
      <c r="D21" s="70">
        <f t="shared" si="1"/>
        <v>0</v>
      </c>
      <c r="E21" s="76" t="s">
        <v>94</v>
      </c>
      <c r="F21" s="12">
        <v>6.4788000000000002E-12</v>
      </c>
      <c r="G21" s="12">
        <v>3.6438999999999997E-11</v>
      </c>
      <c r="H21" s="12">
        <v>1.3745E-10</v>
      </c>
      <c r="I21" s="12">
        <v>3.3158000000000001E-10</v>
      </c>
      <c r="J21" s="12">
        <v>5.3816000000000003E-10</v>
      </c>
      <c r="K21" s="12">
        <v>8.9524999999999998E-10</v>
      </c>
      <c r="L21" s="12">
        <v>1.0527000000000001E-9</v>
      </c>
      <c r="M21" s="12">
        <v>1.2709E-9</v>
      </c>
      <c r="N21" s="12">
        <v>1.4783E-9</v>
      </c>
      <c r="O21" s="12">
        <v>1.5923E-9</v>
      </c>
      <c r="P21" s="12">
        <v>1.5959E-9</v>
      </c>
      <c r="Q21" s="12">
        <v>1.5259000000000001E-9</v>
      </c>
      <c r="R21" s="12">
        <v>1.421E-9</v>
      </c>
      <c r="S21" s="12">
        <v>1.3038E-9</v>
      </c>
      <c r="T21" s="12">
        <v>1.1859E-9</v>
      </c>
      <c r="U21" s="12">
        <v>1.0730999999999999E-9</v>
      </c>
      <c r="V21" s="12">
        <v>9.7069999999999997E-10</v>
      </c>
      <c r="W21" s="12">
        <v>8.8829000000000004E-10</v>
      </c>
      <c r="X21" s="12">
        <v>6.6946999999999996E-10</v>
      </c>
      <c r="Y21" s="12">
        <v>5.9896999999999995E-10</v>
      </c>
      <c r="Z21" s="12">
        <v>5.3429000000000002E-10</v>
      </c>
      <c r="AA21" s="12">
        <v>4.7617000000000002E-10</v>
      </c>
      <c r="AB21" s="12">
        <v>4.2419000000000001E-10</v>
      </c>
      <c r="AC21" s="12">
        <v>3.7808E-10</v>
      </c>
      <c r="AD21" s="12">
        <v>3.4335000000000001E-10</v>
      </c>
      <c r="AE21" s="12">
        <v>3.0610000000000001E-10</v>
      </c>
      <c r="AF21" s="12">
        <v>2.7088999999999998E-10</v>
      </c>
      <c r="AG21" s="12">
        <v>1.6297000000000001E-10</v>
      </c>
      <c r="AH21" s="12"/>
      <c r="AI21" s="12"/>
      <c r="AJ21" s="12"/>
      <c r="AK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70">
        <f t="shared" si="1"/>
        <v>0</v>
      </c>
      <c r="B22" s="70">
        <f t="shared" si="1"/>
        <v>0</v>
      </c>
      <c r="C22" s="70">
        <f t="shared" si="1"/>
        <v>1</v>
      </c>
      <c r="D22" s="70">
        <f t="shared" si="1"/>
        <v>0</v>
      </c>
      <c r="E22" s="76" t="s">
        <v>100</v>
      </c>
      <c r="F22" s="12">
        <v>4.5409000000000001E-7</v>
      </c>
      <c r="G22" s="12">
        <v>1.1596000000000001E-6</v>
      </c>
      <c r="H22" s="12">
        <v>3.6376000000000001E-6</v>
      </c>
      <c r="I22" s="12">
        <v>1.4951E-5</v>
      </c>
      <c r="J22" s="12">
        <v>6.8635999999999998E-5</v>
      </c>
      <c r="K22" s="12">
        <v>1.1455999999999999E-2</v>
      </c>
      <c r="L22" s="12">
        <v>2.6453999999999998E-2</v>
      </c>
      <c r="M22" s="12">
        <v>4.9137E-2</v>
      </c>
      <c r="N22" s="12">
        <v>7.4415999999999996E-2</v>
      </c>
      <c r="O22" s="12">
        <v>9.4864000000000004E-2</v>
      </c>
      <c r="P22" s="12">
        <v>0.10743</v>
      </c>
      <c r="Q22" s="12">
        <v>0.11394</v>
      </c>
      <c r="R22" s="12">
        <v>0.11706999999999999</v>
      </c>
      <c r="S22" s="12">
        <v>0.11856</v>
      </c>
      <c r="T22" s="12">
        <v>0.11927</v>
      </c>
      <c r="U22" s="12">
        <v>0.11962</v>
      </c>
      <c r="V22" s="12">
        <v>0.1198</v>
      </c>
      <c r="W22" s="12">
        <v>0.11989</v>
      </c>
      <c r="X22" s="12">
        <v>0.11999</v>
      </c>
      <c r="Y22" s="12">
        <v>0.11999</v>
      </c>
      <c r="Z22" s="12">
        <v>0.11999</v>
      </c>
      <c r="AA22" s="12">
        <v>0.12</v>
      </c>
      <c r="AB22" s="12">
        <v>0.12</v>
      </c>
      <c r="AC22" s="12">
        <v>0.11996999999999999</v>
      </c>
      <c r="AD22" s="12">
        <v>0.11926</v>
      </c>
      <c r="AE22" s="12">
        <v>0.11877</v>
      </c>
      <c r="AF22" s="12">
        <v>0.11837</v>
      </c>
      <c r="AG22" s="12">
        <v>0.11694</v>
      </c>
      <c r="AH22" s="12"/>
      <c r="AI22" s="12"/>
      <c r="AJ22" s="12"/>
      <c r="AK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70">
        <f t="shared" si="1"/>
        <v>0</v>
      </c>
      <c r="B23" s="70">
        <f t="shared" si="1"/>
        <v>0</v>
      </c>
      <c r="C23" s="70">
        <f t="shared" si="1"/>
        <v>0</v>
      </c>
      <c r="D23" s="70">
        <f t="shared" si="1"/>
        <v>1</v>
      </c>
      <c r="E23" s="67" t="s">
        <v>68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2.9604E-33</v>
      </c>
      <c r="Y23" s="12">
        <v>3.7014000000000003E-26</v>
      </c>
      <c r="Z23" s="12">
        <v>2.1821E-19</v>
      </c>
      <c r="AA23" s="12">
        <v>3.8508999999999998E-13</v>
      </c>
      <c r="AB23" s="12">
        <v>5.2928000000000003E-8</v>
      </c>
      <c r="AC23" s="12">
        <v>1.5735E-3</v>
      </c>
      <c r="AD23" s="12">
        <v>3.5756999999999997E-2</v>
      </c>
      <c r="AE23" s="12">
        <v>5.2352000000000003E-2</v>
      </c>
      <c r="AF23" s="12">
        <v>6.1423999999999999E-2</v>
      </c>
      <c r="AG23" s="12">
        <v>7.5535000000000005E-2</v>
      </c>
      <c r="AH23" s="12"/>
      <c r="AI23" s="12"/>
      <c r="AJ23" s="12"/>
      <c r="AK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70">
        <f t="shared" si="1"/>
        <v>0</v>
      </c>
      <c r="B24" s="70">
        <f t="shared" si="1"/>
        <v>0</v>
      </c>
      <c r="C24" s="70">
        <f t="shared" si="1"/>
        <v>1</v>
      </c>
      <c r="D24" s="70">
        <f t="shared" si="1"/>
        <v>0</v>
      </c>
      <c r="E24" s="67" t="s">
        <v>67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6.6405999999999999E-34</v>
      </c>
      <c r="Y24" s="12">
        <v>5.4394E-27</v>
      </c>
      <c r="Z24" s="12">
        <v>2.1702999999999999E-20</v>
      </c>
      <c r="AA24" s="12">
        <v>2.6639000000000001E-14</v>
      </c>
      <c r="AB24" s="12">
        <v>2.6133000000000001E-9</v>
      </c>
      <c r="AC24" s="12">
        <v>5.7606999999999999E-5</v>
      </c>
      <c r="AD24" s="12">
        <v>1.4848999999999999E-3</v>
      </c>
      <c r="AE24" s="12">
        <v>2.4618999999999999E-3</v>
      </c>
      <c r="AF24" s="12">
        <v>3.2528000000000001E-3</v>
      </c>
      <c r="AG24" s="12">
        <v>6.1139000000000002E-3</v>
      </c>
      <c r="AH24" s="12"/>
      <c r="AI24" s="12"/>
      <c r="AJ24" s="12"/>
      <c r="AK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70">
        <f t="shared" si="1"/>
        <v>1</v>
      </c>
      <c r="B25" s="70">
        <f t="shared" si="1"/>
        <v>0</v>
      </c>
      <c r="C25" s="70">
        <f t="shared" si="1"/>
        <v>0</v>
      </c>
      <c r="D25" s="70">
        <f t="shared" si="1"/>
        <v>0</v>
      </c>
      <c r="E25" s="67" t="s">
        <v>36</v>
      </c>
      <c r="F25" s="12">
        <v>-18.71</v>
      </c>
      <c r="G25" s="12">
        <v>-18.7</v>
      </c>
      <c r="H25" s="12">
        <v>-18.7</v>
      </c>
      <c r="I25" s="12">
        <v>-18.7</v>
      </c>
      <c r="J25" s="12">
        <v>-18.72</v>
      </c>
      <c r="K25" s="12">
        <v>-18.829999999999998</v>
      </c>
      <c r="L25" s="12">
        <v>-18.87</v>
      </c>
      <c r="M25" s="12">
        <v>-18.899999999999999</v>
      </c>
      <c r="N25" s="12">
        <v>-18.940000000000001</v>
      </c>
      <c r="O25" s="12">
        <v>-18.98</v>
      </c>
      <c r="P25" s="12">
        <v>-19.02</v>
      </c>
      <c r="Q25" s="12">
        <v>-19.059999999999999</v>
      </c>
      <c r="R25" s="12">
        <v>-19.100000000000001</v>
      </c>
      <c r="S25" s="12">
        <v>-19.14</v>
      </c>
      <c r="T25" s="12">
        <v>-19.18</v>
      </c>
      <c r="U25" s="12">
        <v>-19.23</v>
      </c>
      <c r="V25" s="12">
        <v>-19.27</v>
      </c>
      <c r="W25" s="12">
        <v>-19.3</v>
      </c>
      <c r="X25" s="12">
        <v>-19.43</v>
      </c>
      <c r="Y25" s="12">
        <v>-19.47</v>
      </c>
      <c r="Z25" s="12">
        <v>-19.510000000000002</v>
      </c>
      <c r="AA25" s="12">
        <v>-19.55</v>
      </c>
      <c r="AB25" s="12">
        <v>-19.59</v>
      </c>
      <c r="AC25" s="12">
        <v>-19.62</v>
      </c>
      <c r="AD25" s="12">
        <v>-19.66</v>
      </c>
      <c r="AE25" s="12">
        <v>-19.7</v>
      </c>
      <c r="AF25" s="12">
        <v>-19.739999999999998</v>
      </c>
      <c r="AG25" s="12">
        <v>-19.88</v>
      </c>
      <c r="AH25" s="12"/>
      <c r="AI25" s="12"/>
      <c r="AJ25" s="12"/>
      <c r="AK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70">
        <f t="shared" si="1"/>
        <v>0</v>
      </c>
      <c r="B26" s="70">
        <f t="shared" si="1"/>
        <v>0</v>
      </c>
      <c r="C26" s="70">
        <f t="shared" si="1"/>
        <v>0</v>
      </c>
      <c r="D26" s="70">
        <f t="shared" si="1"/>
        <v>1</v>
      </c>
      <c r="E26" s="67" t="s">
        <v>5</v>
      </c>
      <c r="F26" s="12">
        <v>-66.75</v>
      </c>
      <c r="G26" s="12">
        <v>-62.38</v>
      </c>
      <c r="H26" s="12">
        <v>-58.23</v>
      </c>
      <c r="I26" s="12">
        <v>-54.11</v>
      </c>
      <c r="J26" s="12">
        <v>-50.02</v>
      </c>
      <c r="K26" s="12">
        <v>-36.159999999999997</v>
      </c>
      <c r="L26" s="12">
        <v>-33.5</v>
      </c>
      <c r="M26" s="12">
        <v>-31.09</v>
      </c>
      <c r="N26" s="12">
        <v>-28.84</v>
      </c>
      <c r="O26" s="12">
        <v>-26.68</v>
      </c>
      <c r="P26" s="12">
        <v>-24.62</v>
      </c>
      <c r="Q26" s="12">
        <v>-22.66</v>
      </c>
      <c r="R26" s="12">
        <v>-20.81</v>
      </c>
      <c r="S26" s="12">
        <v>-19.059999999999999</v>
      </c>
      <c r="T26" s="12">
        <v>-17.399999999999999</v>
      </c>
      <c r="U26" s="12">
        <v>-15.83</v>
      </c>
      <c r="V26" s="12">
        <v>-14.36</v>
      </c>
      <c r="W26" s="12">
        <v>-13.01</v>
      </c>
      <c r="X26" s="12">
        <v>-9.8030000000000008</v>
      </c>
      <c r="Y26" s="12">
        <v>-9.3119999999999994</v>
      </c>
      <c r="Z26" s="12">
        <v>-8.8580000000000005</v>
      </c>
      <c r="AA26" s="12">
        <v>-8.4390000000000001</v>
      </c>
      <c r="AB26" s="12">
        <v>-8.0500000000000007</v>
      </c>
      <c r="AC26" s="12">
        <v>-7.7050000000000001</v>
      </c>
      <c r="AD26" s="12">
        <v>-7.774</v>
      </c>
      <c r="AE26" s="12">
        <v>-7.8449999999999998</v>
      </c>
      <c r="AF26" s="12">
        <v>-7.915</v>
      </c>
      <c r="AG26" s="12">
        <v>-8.1869999999999994</v>
      </c>
      <c r="AH26" s="12"/>
      <c r="AI26" s="12"/>
      <c r="AJ26" s="12"/>
      <c r="AK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70">
        <f t="shared" si="1"/>
        <v>0</v>
      </c>
      <c r="B27" s="70">
        <f t="shared" si="1"/>
        <v>0</v>
      </c>
      <c r="C27" s="70">
        <f t="shared" si="1"/>
        <v>1</v>
      </c>
      <c r="D27" s="70">
        <f t="shared" si="1"/>
        <v>0</v>
      </c>
      <c r="E27" s="67" t="s">
        <v>6</v>
      </c>
      <c r="F27" s="12">
        <v>-17.02</v>
      </c>
      <c r="G27" s="12">
        <v>-16.100000000000001</v>
      </c>
      <c r="H27" s="12">
        <v>-15.04</v>
      </c>
      <c r="I27" s="12">
        <v>-13.75</v>
      </c>
      <c r="J27" s="12">
        <v>-12.33</v>
      </c>
      <c r="K27" s="12">
        <v>-7.4930000000000003</v>
      </c>
      <c r="L27" s="12">
        <v>-6.7720000000000002</v>
      </c>
      <c r="M27" s="12">
        <v>-6.2990000000000004</v>
      </c>
      <c r="N27" s="12">
        <v>-6.0309999999999997</v>
      </c>
      <c r="O27" s="12">
        <v>-5.9109999999999996</v>
      </c>
      <c r="P27" s="12">
        <v>-5.8780000000000001</v>
      </c>
      <c r="Q27" s="12">
        <v>-5.89</v>
      </c>
      <c r="R27" s="12">
        <v>-5.923</v>
      </c>
      <c r="S27" s="12">
        <v>-5.9649999999999999</v>
      </c>
      <c r="T27" s="12">
        <v>-6.0110000000000001</v>
      </c>
      <c r="U27" s="12">
        <v>-6.06</v>
      </c>
      <c r="V27" s="12">
        <v>-6.1130000000000004</v>
      </c>
      <c r="W27" s="12">
        <v>-6.1749999999999998</v>
      </c>
      <c r="X27" s="12">
        <v>-6.4939999999999998</v>
      </c>
      <c r="Y27" s="12">
        <v>-6.55</v>
      </c>
      <c r="Z27" s="12">
        <v>-6.6059999999999999</v>
      </c>
      <c r="AA27" s="12">
        <v>-6.6609999999999996</v>
      </c>
      <c r="AB27" s="12">
        <v>-6.718</v>
      </c>
      <c r="AC27" s="12">
        <v>-6.7729999999999997</v>
      </c>
      <c r="AD27" s="12">
        <v>-6.8140000000000001</v>
      </c>
      <c r="AE27" s="12">
        <v>-6.8540000000000001</v>
      </c>
      <c r="AF27" s="12">
        <v>-6.8940000000000001</v>
      </c>
      <c r="AG27" s="12">
        <v>-7.0640000000000001</v>
      </c>
      <c r="AH27" s="12"/>
      <c r="AI27" s="12"/>
      <c r="AJ27" s="12"/>
      <c r="AK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70">
        <f t="shared" ref="A28:D32" si="2">IF( ISNUMBER( FIND(A$3,$E28,1)),   IF( ISNUMBER( VALUE(MID($E28,FIND(A$3,$E28,1)+2,1)) ), VALUE( MID($E28,FIND(A$3,$E28,1)+2,1) ),1),0)</f>
        <v>0</v>
      </c>
      <c r="B28" s="70">
        <f t="shared" si="2"/>
        <v>1</v>
      </c>
      <c r="C28" s="70">
        <f t="shared" si="2"/>
        <v>0</v>
      </c>
      <c r="D28" s="70">
        <f t="shared" si="2"/>
        <v>0</v>
      </c>
      <c r="E28" s="67" t="s">
        <v>7</v>
      </c>
      <c r="F28" s="12">
        <v>-23.56</v>
      </c>
      <c r="G28" s="12">
        <v>-22.33</v>
      </c>
      <c r="H28" s="12">
        <v>-21.52</v>
      </c>
      <c r="I28" s="12">
        <v>-21.15</v>
      </c>
      <c r="J28" s="12">
        <v>-21.13</v>
      </c>
      <c r="K28" s="12">
        <v>-22.02</v>
      </c>
      <c r="L28" s="12">
        <v>-22.21</v>
      </c>
      <c r="M28" s="12">
        <v>-22.38</v>
      </c>
      <c r="N28" s="12">
        <v>-22.58</v>
      </c>
      <c r="O28" s="12">
        <v>-22.81</v>
      </c>
      <c r="P28" s="12">
        <v>-23.08</v>
      </c>
      <c r="Q28" s="12">
        <v>-23.36</v>
      </c>
      <c r="R28" s="12">
        <v>-23.65</v>
      </c>
      <c r="S28" s="12">
        <v>-23.94</v>
      </c>
      <c r="T28" s="12">
        <v>-24.22</v>
      </c>
      <c r="U28" s="12">
        <v>-24.51</v>
      </c>
      <c r="V28" s="12">
        <v>-24.79</v>
      </c>
      <c r="W28" s="12">
        <v>-25.06</v>
      </c>
      <c r="X28" s="12">
        <v>-26.1</v>
      </c>
      <c r="Y28" s="12">
        <v>-26.36</v>
      </c>
      <c r="Z28" s="12">
        <v>-26.63</v>
      </c>
      <c r="AA28" s="12">
        <v>-26.89</v>
      </c>
      <c r="AB28" s="12">
        <v>-27.15</v>
      </c>
      <c r="AC28" s="12">
        <v>-27.4</v>
      </c>
      <c r="AD28" s="12">
        <v>-27.61</v>
      </c>
      <c r="AE28" s="12">
        <v>-27.84</v>
      </c>
      <c r="AF28" s="12">
        <v>-28.08</v>
      </c>
      <c r="AG28" s="12">
        <v>-29.02</v>
      </c>
      <c r="AH28" s="12"/>
      <c r="AI28" s="12"/>
      <c r="AJ28" s="12"/>
      <c r="AK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70">
        <f t="shared" si="2"/>
        <v>0</v>
      </c>
      <c r="B29" s="70">
        <f t="shared" si="2"/>
        <v>0</v>
      </c>
      <c r="C29" s="70">
        <f t="shared" si="2"/>
        <v>0</v>
      </c>
      <c r="D29" s="70">
        <f t="shared" si="2"/>
        <v>0</v>
      </c>
      <c r="E29" s="67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70">
        <f t="shared" si="2"/>
        <v>0</v>
      </c>
      <c r="B30" s="70">
        <f t="shared" si="2"/>
        <v>0</v>
      </c>
      <c r="C30" s="70">
        <f t="shared" si="2"/>
        <v>0</v>
      </c>
      <c r="D30" s="70">
        <f t="shared" si="2"/>
        <v>0</v>
      </c>
      <c r="E30" s="67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70">
        <f t="shared" si="2"/>
        <v>0</v>
      </c>
      <c r="B31" s="70">
        <f t="shared" si="2"/>
        <v>0</v>
      </c>
      <c r="C31" s="70">
        <f t="shared" si="2"/>
        <v>0</v>
      </c>
      <c r="D31" s="70">
        <f t="shared" si="2"/>
        <v>0</v>
      </c>
      <c r="E31" s="67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70">
        <f t="shared" si="2"/>
        <v>0</v>
      </c>
      <c r="B32" s="70">
        <f t="shared" si="2"/>
        <v>0</v>
      </c>
      <c r="C32" s="70">
        <f t="shared" si="2"/>
        <v>0</v>
      </c>
      <c r="D32" s="70">
        <f t="shared" si="2"/>
        <v>0</v>
      </c>
      <c r="E32" s="67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70">
        <f t="shared" ref="A33:D33" si="3">IF( ISNUMBER( FIND(A$3,$E33,1)),   IF( ISNUMBER( VALUE(MID($E33,FIND(A$3,$E33,1)+2,1)) ), VALUE( MID($E33,FIND(A$3,$E33,1)+2,1) ),1),0)</f>
        <v>0</v>
      </c>
      <c r="B33" s="70">
        <f t="shared" si="3"/>
        <v>0</v>
      </c>
      <c r="C33" s="70">
        <f t="shared" si="3"/>
        <v>0</v>
      </c>
      <c r="D33" s="70">
        <f t="shared" si="3"/>
        <v>0</v>
      </c>
      <c r="E33" s="67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450</v>
      </c>
      <c r="B34" s="51">
        <v>0</v>
      </c>
      <c r="C34" s="24" t="s">
        <v>36</v>
      </c>
      <c r="D34" s="75">
        <f>MATCH(C34,$E$4:$E$33)</f>
        <v>22</v>
      </c>
      <c r="E34" s="24" t="str">
        <f ca="1">OFFSET($E$3:$AL$3,$D34,0)</f>
        <v>H (Ar)</v>
      </c>
      <c r="F34" s="28">
        <f t="shared" ref="F34:AL37" ca="1" si="4">OFFSET($E$3:$AL$3,$D34,0)</f>
        <v>-18.71</v>
      </c>
      <c r="G34" s="28">
        <f t="shared" ca="1" si="4"/>
        <v>-18.7</v>
      </c>
      <c r="H34" s="28">
        <f t="shared" ca="1" si="4"/>
        <v>-18.7</v>
      </c>
      <c r="I34" s="28">
        <f t="shared" ca="1" si="4"/>
        <v>-18.7</v>
      </c>
      <c r="J34" s="28">
        <f t="shared" ca="1" si="4"/>
        <v>-18.72</v>
      </c>
      <c r="K34" s="28">
        <f t="shared" ca="1" si="4"/>
        <v>-18.829999999999998</v>
      </c>
      <c r="L34" s="28">
        <f t="shared" ca="1" si="4"/>
        <v>-18.87</v>
      </c>
      <c r="M34" s="28">
        <f t="shared" ca="1" si="4"/>
        <v>-18.899999999999999</v>
      </c>
      <c r="N34" s="28">
        <f t="shared" ca="1" si="4"/>
        <v>-18.940000000000001</v>
      </c>
      <c r="O34" s="28">
        <f t="shared" ca="1" si="4"/>
        <v>-18.98</v>
      </c>
      <c r="P34" s="28">
        <f t="shared" ca="1" si="4"/>
        <v>-19.02</v>
      </c>
      <c r="Q34" s="28">
        <f t="shared" ca="1" si="4"/>
        <v>-19.059999999999999</v>
      </c>
      <c r="R34" s="28">
        <f t="shared" ca="1" si="4"/>
        <v>-19.100000000000001</v>
      </c>
      <c r="S34" s="28">
        <f t="shared" ca="1" si="4"/>
        <v>-19.14</v>
      </c>
      <c r="T34" s="28">
        <f t="shared" ca="1" si="4"/>
        <v>-19.18</v>
      </c>
      <c r="U34" s="96">
        <f t="shared" ca="1" si="4"/>
        <v>-19.23</v>
      </c>
      <c r="V34" s="97">
        <f t="shared" ca="1" si="4"/>
        <v>-19.27</v>
      </c>
      <c r="W34" s="109">
        <f t="shared" ca="1" si="4"/>
        <v>-19.3</v>
      </c>
      <c r="X34" s="28">
        <f t="shared" ca="1" si="4"/>
        <v>-19.43</v>
      </c>
      <c r="Y34" s="28">
        <f t="shared" ca="1" si="4"/>
        <v>-19.47</v>
      </c>
      <c r="Z34" s="28">
        <f t="shared" ca="1" si="4"/>
        <v>-19.510000000000002</v>
      </c>
      <c r="AA34" s="28">
        <f t="shared" ca="1" si="4"/>
        <v>-19.55</v>
      </c>
      <c r="AB34" s="28">
        <f t="shared" ca="1" si="4"/>
        <v>-19.59</v>
      </c>
      <c r="AC34" s="28">
        <f t="shared" ca="1" si="4"/>
        <v>-19.62</v>
      </c>
      <c r="AD34" s="28">
        <f t="shared" ca="1" si="4"/>
        <v>-19.66</v>
      </c>
      <c r="AE34" s="28">
        <f t="shared" ca="1" si="4"/>
        <v>-19.7</v>
      </c>
      <c r="AF34" s="28">
        <f t="shared" ca="1" si="4"/>
        <v>-19.739999999999998</v>
      </c>
      <c r="AG34" s="28">
        <f t="shared" ca="1" si="4"/>
        <v>-19.88</v>
      </c>
      <c r="AH34" s="28">
        <f t="shared" ca="1" si="4"/>
        <v>0</v>
      </c>
      <c r="AI34" s="28">
        <f t="shared" ca="1" si="4"/>
        <v>0</v>
      </c>
      <c r="AJ34" s="28">
        <f t="shared" ca="1" si="4"/>
        <v>0</v>
      </c>
      <c r="AK34" s="28">
        <f t="shared" ca="1" si="4"/>
        <v>0</v>
      </c>
      <c r="AL34" s="28">
        <f t="shared" ca="1" si="4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s="63" customFormat="1" ht="21" customHeight="1" outlineLevel="1" thickBot="1" x14ac:dyDescent="0.4">
      <c r="A35" s="55">
        <f>$A$2</f>
        <v>450</v>
      </c>
      <c r="B35" s="86">
        <v>1</v>
      </c>
      <c r="C35" s="24" t="s">
        <v>5</v>
      </c>
      <c r="D35" s="75">
        <f t="shared" ref="D35:D37" si="5">MATCH(C35,$E$4:$E$33)</f>
        <v>23</v>
      </c>
      <c r="E35" s="24" t="str">
        <f t="shared" ref="E35:E37" ca="1" si="6">OFFSET($E$3:$AL$3,$D35,0)</f>
        <v>H (Ga)</v>
      </c>
      <c r="F35" s="28">
        <f t="shared" ca="1" si="4"/>
        <v>-66.75</v>
      </c>
      <c r="G35" s="28">
        <f t="shared" ca="1" si="4"/>
        <v>-62.38</v>
      </c>
      <c r="H35" s="28">
        <f t="shared" ca="1" si="4"/>
        <v>-58.23</v>
      </c>
      <c r="I35" s="28">
        <f t="shared" ca="1" si="4"/>
        <v>-54.11</v>
      </c>
      <c r="J35" s="28">
        <f t="shared" ca="1" si="4"/>
        <v>-50.02</v>
      </c>
      <c r="K35" s="28">
        <f t="shared" ca="1" si="4"/>
        <v>-36.159999999999997</v>
      </c>
      <c r="L35" s="28">
        <f t="shared" ca="1" si="4"/>
        <v>-33.5</v>
      </c>
      <c r="M35" s="28">
        <f t="shared" ca="1" si="4"/>
        <v>-31.09</v>
      </c>
      <c r="N35" s="28">
        <f t="shared" ca="1" si="4"/>
        <v>-28.84</v>
      </c>
      <c r="O35" s="28">
        <f t="shared" ca="1" si="4"/>
        <v>-26.68</v>
      </c>
      <c r="P35" s="28">
        <f t="shared" ca="1" si="4"/>
        <v>-24.62</v>
      </c>
      <c r="Q35" s="28">
        <f t="shared" ca="1" si="4"/>
        <v>-22.66</v>
      </c>
      <c r="R35" s="28">
        <f t="shared" ca="1" si="4"/>
        <v>-20.81</v>
      </c>
      <c r="S35" s="28">
        <f t="shared" ca="1" si="4"/>
        <v>-19.059999999999999</v>
      </c>
      <c r="T35" s="28">
        <f t="shared" ca="1" si="4"/>
        <v>-17.399999999999999</v>
      </c>
      <c r="U35" s="96">
        <f t="shared" ca="1" si="4"/>
        <v>-15.83</v>
      </c>
      <c r="V35" s="97">
        <f t="shared" ca="1" si="4"/>
        <v>-14.36</v>
      </c>
      <c r="W35" s="109">
        <f t="shared" ca="1" si="4"/>
        <v>-13.01</v>
      </c>
      <c r="X35" s="28">
        <f t="shared" ca="1" si="4"/>
        <v>-9.8030000000000008</v>
      </c>
      <c r="Y35" s="28">
        <f t="shared" ca="1" si="4"/>
        <v>-9.3119999999999994</v>
      </c>
      <c r="Z35" s="28">
        <f t="shared" ca="1" si="4"/>
        <v>-8.8580000000000005</v>
      </c>
      <c r="AA35" s="28">
        <f t="shared" ca="1" si="4"/>
        <v>-8.4390000000000001</v>
      </c>
      <c r="AB35" s="28">
        <f t="shared" ca="1" si="4"/>
        <v>-8.0500000000000007</v>
      </c>
      <c r="AC35" s="28">
        <f t="shared" ca="1" si="4"/>
        <v>-7.7050000000000001</v>
      </c>
      <c r="AD35" s="28">
        <f t="shared" ca="1" si="4"/>
        <v>-7.774</v>
      </c>
      <c r="AE35" s="28">
        <f t="shared" ca="1" si="4"/>
        <v>-7.8449999999999998</v>
      </c>
      <c r="AF35" s="28">
        <f t="shared" ca="1" si="4"/>
        <v>-7.915</v>
      </c>
      <c r="AG35" s="28">
        <f t="shared" ca="1" si="4"/>
        <v>-8.1869999999999994</v>
      </c>
      <c r="AH35" s="28">
        <f t="shared" ca="1" si="4"/>
        <v>0</v>
      </c>
      <c r="AI35" s="28">
        <f t="shared" ca="1" si="4"/>
        <v>0</v>
      </c>
      <c r="AJ35" s="28">
        <f t="shared" ca="1" si="4"/>
        <v>0</v>
      </c>
      <c r="AK35" s="28">
        <f t="shared" ca="1" si="4"/>
        <v>0</v>
      </c>
      <c r="AL35" s="28">
        <f t="shared" ca="1" si="4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s="63" customFormat="1" ht="21" customHeight="1" outlineLevel="1" x14ac:dyDescent="0.35">
      <c r="C36" s="24" t="s">
        <v>6</v>
      </c>
      <c r="D36" s="75">
        <f t="shared" si="5"/>
        <v>24</v>
      </c>
      <c r="E36" s="24" t="str">
        <f t="shared" ca="1" si="6"/>
        <v>H (Ge)</v>
      </c>
      <c r="F36" s="28">
        <f t="shared" ca="1" si="4"/>
        <v>-17.02</v>
      </c>
      <c r="G36" s="28">
        <f t="shared" ca="1" si="4"/>
        <v>-16.100000000000001</v>
      </c>
      <c r="H36" s="28">
        <f t="shared" ca="1" si="4"/>
        <v>-15.04</v>
      </c>
      <c r="I36" s="28">
        <f t="shared" ca="1" si="4"/>
        <v>-13.75</v>
      </c>
      <c r="J36" s="28">
        <f t="shared" ca="1" si="4"/>
        <v>-12.33</v>
      </c>
      <c r="K36" s="28">
        <f t="shared" ca="1" si="4"/>
        <v>-7.4930000000000003</v>
      </c>
      <c r="L36" s="28">
        <f t="shared" ca="1" si="4"/>
        <v>-6.7720000000000002</v>
      </c>
      <c r="M36" s="28">
        <f t="shared" ca="1" si="4"/>
        <v>-6.2990000000000004</v>
      </c>
      <c r="N36" s="28">
        <f t="shared" ca="1" si="4"/>
        <v>-6.0309999999999997</v>
      </c>
      <c r="O36" s="28">
        <f t="shared" ca="1" si="4"/>
        <v>-5.9109999999999996</v>
      </c>
      <c r="P36" s="28">
        <f t="shared" ca="1" si="4"/>
        <v>-5.8780000000000001</v>
      </c>
      <c r="Q36" s="28">
        <f t="shared" ca="1" si="4"/>
        <v>-5.89</v>
      </c>
      <c r="R36" s="28">
        <f t="shared" ca="1" si="4"/>
        <v>-5.923</v>
      </c>
      <c r="S36" s="28">
        <f t="shared" ca="1" si="4"/>
        <v>-5.9649999999999999</v>
      </c>
      <c r="T36" s="28">
        <f t="shared" ca="1" si="4"/>
        <v>-6.0110000000000001</v>
      </c>
      <c r="U36" s="97">
        <f t="shared" ca="1" si="4"/>
        <v>-6.06</v>
      </c>
      <c r="V36" s="97">
        <f t="shared" ca="1" si="4"/>
        <v>-6.1130000000000004</v>
      </c>
      <c r="W36" s="109">
        <f t="shared" ca="1" si="4"/>
        <v>-6.1749999999999998</v>
      </c>
      <c r="X36" s="28">
        <f t="shared" ca="1" si="4"/>
        <v>-6.4939999999999998</v>
      </c>
      <c r="Y36" s="28">
        <f t="shared" ca="1" si="4"/>
        <v>-6.55</v>
      </c>
      <c r="Z36" s="28">
        <f t="shared" ca="1" si="4"/>
        <v>-6.6059999999999999</v>
      </c>
      <c r="AA36" s="28">
        <f t="shared" ca="1" si="4"/>
        <v>-6.6609999999999996</v>
      </c>
      <c r="AB36" s="28">
        <f t="shared" ca="1" si="4"/>
        <v>-6.718</v>
      </c>
      <c r="AC36" s="28">
        <f t="shared" ca="1" si="4"/>
        <v>-6.7729999999999997</v>
      </c>
      <c r="AD36" s="28">
        <f t="shared" ca="1" si="4"/>
        <v>-6.8140000000000001</v>
      </c>
      <c r="AE36" s="28">
        <f t="shared" ca="1" si="4"/>
        <v>-6.8540000000000001</v>
      </c>
      <c r="AF36" s="28">
        <f t="shared" ca="1" si="4"/>
        <v>-6.8940000000000001</v>
      </c>
      <c r="AG36" s="28">
        <f t="shared" ca="1" si="4"/>
        <v>-7.0640000000000001</v>
      </c>
      <c r="AH36" s="28">
        <f t="shared" ca="1" si="4"/>
        <v>0</v>
      </c>
      <c r="AI36" s="28">
        <f t="shared" ca="1" si="4"/>
        <v>0</v>
      </c>
      <c r="AJ36" s="28">
        <f t="shared" ca="1" si="4"/>
        <v>0</v>
      </c>
      <c r="AK36" s="28">
        <f t="shared" ca="1" si="4"/>
        <v>0</v>
      </c>
      <c r="AL36" s="28">
        <f t="shared" ca="1" si="4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5">
        <f t="shared" si="5"/>
        <v>25</v>
      </c>
      <c r="E37" s="24" t="str">
        <f t="shared" ca="1" si="6"/>
        <v>H (Se)</v>
      </c>
      <c r="F37" s="28">
        <f t="shared" ca="1" si="4"/>
        <v>-23.56</v>
      </c>
      <c r="G37" s="28">
        <f t="shared" ca="1" si="4"/>
        <v>-22.33</v>
      </c>
      <c r="H37" s="28">
        <f t="shared" ca="1" si="4"/>
        <v>-21.52</v>
      </c>
      <c r="I37" s="28">
        <f t="shared" ca="1" si="4"/>
        <v>-21.15</v>
      </c>
      <c r="J37" s="28">
        <f t="shared" ca="1" si="4"/>
        <v>-21.13</v>
      </c>
      <c r="K37" s="28">
        <f t="shared" ca="1" si="4"/>
        <v>-22.02</v>
      </c>
      <c r="L37" s="28">
        <f t="shared" ca="1" si="4"/>
        <v>-22.21</v>
      </c>
      <c r="M37" s="28">
        <f t="shared" ca="1" si="4"/>
        <v>-22.38</v>
      </c>
      <c r="N37" s="28">
        <f t="shared" ca="1" si="4"/>
        <v>-22.58</v>
      </c>
      <c r="O37" s="28">
        <f t="shared" ca="1" si="4"/>
        <v>-22.81</v>
      </c>
      <c r="P37" s="28">
        <f t="shared" ca="1" si="4"/>
        <v>-23.08</v>
      </c>
      <c r="Q37" s="28">
        <f t="shared" ca="1" si="4"/>
        <v>-23.36</v>
      </c>
      <c r="R37" s="28">
        <f t="shared" ca="1" si="4"/>
        <v>-23.65</v>
      </c>
      <c r="S37" s="28">
        <f t="shared" ca="1" si="4"/>
        <v>-23.94</v>
      </c>
      <c r="T37" s="28">
        <f t="shared" ca="1" si="4"/>
        <v>-24.22</v>
      </c>
      <c r="U37" s="97">
        <f t="shared" ca="1" si="4"/>
        <v>-24.51</v>
      </c>
      <c r="V37" s="97">
        <f t="shared" ca="1" si="4"/>
        <v>-24.79</v>
      </c>
      <c r="W37" s="109">
        <f t="shared" ca="1" si="4"/>
        <v>-25.06</v>
      </c>
      <c r="X37" s="28">
        <f t="shared" ca="1" si="4"/>
        <v>-26.1</v>
      </c>
      <c r="Y37" s="28">
        <f t="shared" ca="1" si="4"/>
        <v>-26.36</v>
      </c>
      <c r="Z37" s="28">
        <f t="shared" ca="1" si="4"/>
        <v>-26.63</v>
      </c>
      <c r="AA37" s="28">
        <f t="shared" ca="1" si="4"/>
        <v>-26.89</v>
      </c>
      <c r="AB37" s="28">
        <f t="shared" ca="1" si="4"/>
        <v>-27.15</v>
      </c>
      <c r="AC37" s="28">
        <f t="shared" ca="1" si="4"/>
        <v>-27.4</v>
      </c>
      <c r="AD37" s="28">
        <f t="shared" ca="1" si="4"/>
        <v>-27.61</v>
      </c>
      <c r="AE37" s="28">
        <f t="shared" ca="1" si="4"/>
        <v>-27.84</v>
      </c>
      <c r="AF37" s="28">
        <f t="shared" ca="1" si="4"/>
        <v>-28.08</v>
      </c>
      <c r="AG37" s="28">
        <f t="shared" ca="1" si="4"/>
        <v>-29.02</v>
      </c>
      <c r="AH37" s="28">
        <f t="shared" ca="1" si="4"/>
        <v>0</v>
      </c>
      <c r="AI37" s="28">
        <f t="shared" ca="1" si="4"/>
        <v>0</v>
      </c>
      <c r="AJ37" s="28">
        <f t="shared" ca="1" si="4"/>
        <v>0</v>
      </c>
      <c r="AK37" s="28">
        <f t="shared" ca="1" si="4"/>
        <v>0</v>
      </c>
      <c r="AL37" s="28">
        <f t="shared" ca="1" si="4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s="63" customFormat="1" ht="21" customHeight="1" thickBot="1" x14ac:dyDescent="0.4">
      <c r="U38" s="52"/>
      <c r="V38" s="53"/>
      <c r="W38" s="110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98"/>
      <c r="V39" s="16"/>
      <c r="W39" s="111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hidden="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7">G3</f>
        <v>293.3</v>
      </c>
      <c r="H40" s="19">
        <f t="shared" si="7"/>
        <v>313.5</v>
      </c>
      <c r="I40" s="19">
        <f t="shared" si="7"/>
        <v>333.7</v>
      </c>
      <c r="J40" s="19">
        <f t="shared" si="7"/>
        <v>353.9</v>
      </c>
      <c r="K40" s="19">
        <f t="shared" si="7"/>
        <v>434.7</v>
      </c>
      <c r="L40" s="19">
        <f t="shared" si="7"/>
        <v>454.9</v>
      </c>
      <c r="M40" s="19">
        <f t="shared" si="7"/>
        <v>475.1</v>
      </c>
      <c r="N40" s="19">
        <f t="shared" si="7"/>
        <v>495.2</v>
      </c>
      <c r="O40" s="19">
        <f t="shared" si="7"/>
        <v>515.4</v>
      </c>
      <c r="P40" s="19">
        <f t="shared" si="7"/>
        <v>535.6</v>
      </c>
      <c r="Q40" s="19">
        <f t="shared" si="7"/>
        <v>555.79999999999995</v>
      </c>
      <c r="R40" s="19">
        <f t="shared" si="7"/>
        <v>576</v>
      </c>
      <c r="S40" s="19">
        <f t="shared" si="7"/>
        <v>596.20000000000005</v>
      </c>
      <c r="T40" s="88">
        <f t="shared" si="7"/>
        <v>616.4</v>
      </c>
      <c r="U40" s="99">
        <f t="shared" si="7"/>
        <v>636.6</v>
      </c>
      <c r="V40" s="19">
        <f t="shared" si="7"/>
        <v>656.8</v>
      </c>
      <c r="W40" s="112">
        <f t="shared" si="7"/>
        <v>677</v>
      </c>
      <c r="X40" s="90">
        <f t="shared" si="7"/>
        <v>757.7</v>
      </c>
      <c r="Y40" s="19">
        <f t="shared" si="7"/>
        <v>777.9</v>
      </c>
      <c r="Z40" s="19">
        <f t="shared" si="7"/>
        <v>798.1</v>
      </c>
      <c r="AA40" s="19">
        <f t="shared" si="7"/>
        <v>818.3</v>
      </c>
      <c r="AB40" s="19">
        <f t="shared" si="7"/>
        <v>838.5</v>
      </c>
      <c r="AC40" s="19">
        <f t="shared" si="7"/>
        <v>858.7</v>
      </c>
      <c r="AD40" s="19">
        <f t="shared" si="7"/>
        <v>878.9</v>
      </c>
      <c r="AE40" s="19">
        <f t="shared" si="7"/>
        <v>899</v>
      </c>
      <c r="AF40" s="19">
        <f t="shared" si="7"/>
        <v>919.2</v>
      </c>
      <c r="AG40" s="19">
        <f>AG3</f>
        <v>1000</v>
      </c>
      <c r="AH40" s="19">
        <f t="shared" si="7"/>
        <v>0</v>
      </c>
      <c r="AI40" s="19">
        <f>AI3</f>
        <v>0</v>
      </c>
      <c r="AJ40" s="19">
        <f t="shared" si="7"/>
        <v>0</v>
      </c>
      <c r="AK40" s="19">
        <f t="shared" si="7"/>
        <v>0</v>
      </c>
      <c r="AL40" s="19">
        <f t="shared" si="7"/>
        <v>0</v>
      </c>
    </row>
    <row r="41" spans="1:54" ht="21" hidden="1" customHeight="1" outlineLevel="1" thickTop="1" x14ac:dyDescent="0.35">
      <c r="A41" s="20">
        <f>A45/$B45</f>
        <v>0.83333333333333337</v>
      </c>
      <c r="B41" s="20">
        <f>B45/$B45</f>
        <v>1</v>
      </c>
      <c r="C41" s="20">
        <f>C45/$B45</f>
        <v>0.33333333333333331</v>
      </c>
      <c r="D41" s="20">
        <f>D45/$B45</f>
        <v>2</v>
      </c>
      <c r="E41" s="20">
        <f>SUM(A41:D41)</f>
        <v>4.166666666666667</v>
      </c>
      <c r="F41" s="21">
        <f t="shared" ref="F41:AL41" ca="1" si="8">($B$41*H.Ge+$C$41*H.Ga+$D$41*H.Se)*F$40*$B$2/1000</f>
        <v>-196.1649047805</v>
      </c>
      <c r="G41" s="21">
        <f t="shared" ca="1" si="8"/>
        <v>-198.87945322700003</v>
      </c>
      <c r="H41" s="21">
        <f t="shared" ca="1" si="8"/>
        <v>-201.98510466750002</v>
      </c>
      <c r="I41" s="21">
        <f t="shared" ca="1" si="8"/>
        <v>-205.55706098300001</v>
      </c>
      <c r="J41" s="21">
        <f t="shared" ca="1" si="8"/>
        <v>-209.69246879149998</v>
      </c>
      <c r="K41" s="21">
        <f t="shared" ca="1" si="8"/>
        <v>-229.82092072694999</v>
      </c>
      <c r="L41" s="21">
        <f t="shared" ca="1" si="8"/>
        <v>-235.8570678566</v>
      </c>
      <c r="M41" s="21">
        <f t="shared" ca="1" si="8"/>
        <v>-242.63166508654999</v>
      </c>
      <c r="N41" s="21">
        <f t="shared" ca="1" si="8"/>
        <v>-250.35213812840001</v>
      </c>
      <c r="O41" s="21">
        <f t="shared" ca="1" si="8"/>
        <v>-258.93599079030002</v>
      </c>
      <c r="P41" s="21">
        <f t="shared" ca="1" si="8"/>
        <v>-268.28433290359999</v>
      </c>
      <c r="Q41" s="21">
        <f t="shared" ca="1" si="8"/>
        <v>-278.02674185299998</v>
      </c>
      <c r="R41" s="21">
        <f t="shared" ca="1" si="8"/>
        <v>-288.11378793600005</v>
      </c>
      <c r="S41" s="21">
        <f t="shared" ca="1" si="8"/>
        <v>-298.40945313850006</v>
      </c>
      <c r="T41" s="21">
        <f t="shared" ca="1" si="8"/>
        <v>-308.78985750779998</v>
      </c>
      <c r="U41" s="100">
        <f t="shared" ca="1" si="8"/>
        <v>-319.468482483</v>
      </c>
      <c r="V41" s="101">
        <f t="shared" ca="1" si="8"/>
        <v>-330.27725820680001</v>
      </c>
      <c r="W41" s="113">
        <f t="shared" ca="1" si="8"/>
        <v>-341.29058892249998</v>
      </c>
      <c r="X41" s="21">
        <f t="shared" ca="1" si="8"/>
        <v>-390.35209626175009</v>
      </c>
      <c r="Y41" s="21">
        <f t="shared" ca="1" si="8"/>
        <v>-403.42564783169996</v>
      </c>
      <c r="Z41" s="21">
        <f t="shared" ca="1" si="8"/>
        <v>-416.8522621724</v>
      </c>
      <c r="AA41" s="21">
        <f t="shared" ca="1" si="8"/>
        <v>-430.36474090890005</v>
      </c>
      <c r="AB41" s="21">
        <f t="shared" ca="1" si="8"/>
        <v>-444.10711113600001</v>
      </c>
      <c r="AC41" s="21">
        <f t="shared" ca="1" si="8"/>
        <v>-457.94738570920009</v>
      </c>
      <c r="AD41" s="21">
        <f t="shared" ca="1" si="8"/>
        <v>-472.25699385259998</v>
      </c>
      <c r="AE41" s="21">
        <f t="shared" ca="1" si="8"/>
        <v>-486.97154308950007</v>
      </c>
      <c r="AF41" s="21">
        <f t="shared" ca="1" si="8"/>
        <v>-502.06603393560005</v>
      </c>
      <c r="AG41" s="21">
        <f t="shared" ca="1" si="8"/>
        <v>-563.99747850000006</v>
      </c>
      <c r="AH41" s="21">
        <f t="shared" ca="1" si="8"/>
        <v>0</v>
      </c>
      <c r="AI41" s="21">
        <f t="shared" ca="1" si="8"/>
        <v>0</v>
      </c>
      <c r="AJ41" s="21">
        <f t="shared" ca="1" si="8"/>
        <v>0</v>
      </c>
      <c r="AK41" s="21">
        <f t="shared" ca="1" si="8"/>
        <v>0</v>
      </c>
      <c r="AL41" s="21">
        <f t="shared" ca="1" si="8"/>
        <v>0</v>
      </c>
    </row>
    <row r="42" spans="1:54" ht="21" hidden="1" customHeight="1" outlineLevel="1" x14ac:dyDescent="0.35"/>
    <row r="43" spans="1:54" ht="21" hidden="1" customHeight="1" outlineLevel="1" thickBot="1" x14ac:dyDescent="0.4">
      <c r="A43" s="15" t="s">
        <v>10</v>
      </c>
      <c r="B43" s="15"/>
      <c r="C43" s="15"/>
      <c r="D43" s="73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102"/>
      <c r="V43" s="103"/>
      <c r="W43" s="11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</row>
    <row r="44" spans="1:54" ht="21" hidden="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E44" s="63"/>
    </row>
    <row r="45" spans="1:54" ht="21" hidden="1" customHeight="1" outlineLevel="1" thickTop="1" x14ac:dyDescent="0.35">
      <c r="A45" s="24">
        <f t="array" ref="A45:D45">Values!D3:G3</f>
        <v>25</v>
      </c>
      <c r="B45" s="24">
        <v>30</v>
      </c>
      <c r="C45" s="24">
        <v>10</v>
      </c>
      <c r="D45" s="24">
        <v>60</v>
      </c>
      <c r="W45" s="115"/>
    </row>
    <row r="46" spans="1:54" ht="21" hidden="1" customHeight="1" outlineLevel="1" x14ac:dyDescent="0.35"/>
    <row r="47" spans="1:54" ht="21" customHeight="1" collapsed="1" thickTop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104"/>
      <c r="V48" s="25"/>
      <c r="W48" s="116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 t="str">
        <f t="shared" ref="E49:F49" si="9">E3</f>
        <v>Temperature,К</v>
      </c>
      <c r="F49" s="8">
        <f t="shared" si="9"/>
        <v>273.10000000000002</v>
      </c>
      <c r="G49" s="8">
        <f t="shared" ref="G49:AL49" si="10">G3</f>
        <v>293.3</v>
      </c>
      <c r="H49" s="8">
        <f t="shared" si="10"/>
        <v>313.5</v>
      </c>
      <c r="I49" s="8">
        <f t="shared" si="10"/>
        <v>333.7</v>
      </c>
      <c r="J49" s="8">
        <f t="shared" si="10"/>
        <v>353.9</v>
      </c>
      <c r="K49" s="8">
        <f t="shared" si="10"/>
        <v>434.7</v>
      </c>
      <c r="L49" s="8">
        <f t="shared" si="10"/>
        <v>454.9</v>
      </c>
      <c r="M49" s="8">
        <f t="shared" si="10"/>
        <v>475.1</v>
      </c>
      <c r="N49" s="8">
        <f t="shared" si="10"/>
        <v>495.2</v>
      </c>
      <c r="O49" s="8">
        <f t="shared" si="10"/>
        <v>515.4</v>
      </c>
      <c r="P49" s="8">
        <f t="shared" si="10"/>
        <v>535.6</v>
      </c>
      <c r="Q49" s="8">
        <f t="shared" si="10"/>
        <v>555.79999999999995</v>
      </c>
      <c r="R49" s="8">
        <f t="shared" si="10"/>
        <v>576</v>
      </c>
      <c r="S49" s="8">
        <f t="shared" si="10"/>
        <v>596.20000000000005</v>
      </c>
      <c r="T49" s="8">
        <f t="shared" si="10"/>
        <v>616.4</v>
      </c>
      <c r="U49" s="8">
        <f t="shared" si="10"/>
        <v>636.6</v>
      </c>
      <c r="V49" s="8">
        <f t="shared" si="10"/>
        <v>656.8</v>
      </c>
      <c r="W49" s="8">
        <f t="shared" si="10"/>
        <v>677</v>
      </c>
      <c r="X49" s="8">
        <f t="shared" si="10"/>
        <v>757.7</v>
      </c>
      <c r="Y49" s="8">
        <f t="shared" si="10"/>
        <v>777.9</v>
      </c>
      <c r="Z49" s="8">
        <f t="shared" si="10"/>
        <v>798.1</v>
      </c>
      <c r="AA49" s="8">
        <f t="shared" si="10"/>
        <v>818.3</v>
      </c>
      <c r="AB49" s="8">
        <f t="shared" si="10"/>
        <v>838.5</v>
      </c>
      <c r="AC49" s="8">
        <f t="shared" si="10"/>
        <v>858.7</v>
      </c>
      <c r="AD49" s="8">
        <f t="shared" si="10"/>
        <v>878.9</v>
      </c>
      <c r="AE49" s="8">
        <f t="shared" si="10"/>
        <v>899</v>
      </c>
      <c r="AF49" s="8">
        <f t="shared" si="10"/>
        <v>919.2</v>
      </c>
      <c r="AG49" s="8">
        <f t="shared" si="10"/>
        <v>1000</v>
      </c>
      <c r="AH49" s="8">
        <f t="shared" si="10"/>
        <v>0</v>
      </c>
      <c r="AI49" s="8">
        <f t="shared" si="10"/>
        <v>0</v>
      </c>
      <c r="AJ49" s="8">
        <f t="shared" si="10"/>
        <v>0</v>
      </c>
      <c r="AK49" s="8">
        <f t="shared" si="10"/>
        <v>0</v>
      </c>
      <c r="AL49" s="8">
        <f t="shared" si="10"/>
        <v>0</v>
      </c>
    </row>
    <row r="50" spans="1:38" ht="21" hidden="1" customHeight="1" outlineLevel="1" thickTop="1" thickBot="1" x14ac:dyDescent="0.4">
      <c r="A50" s="10">
        <f t="shared" ref="A50:E59" si="11">A4</f>
        <v>0</v>
      </c>
      <c r="B50" s="10">
        <f t="shared" si="11"/>
        <v>1</v>
      </c>
      <c r="C50" s="10">
        <f t="shared" si="11"/>
        <v>1</v>
      </c>
      <c r="D50" s="10">
        <f t="shared" si="11"/>
        <v>0</v>
      </c>
      <c r="E50" s="11" t="str">
        <f t="shared" si="11"/>
        <v>*GeSe</v>
      </c>
      <c r="F50" s="28">
        <f t="shared" ref="F50:U59" ca="1" si="12">$A50*H.Ar + $B50*H.Se + $C50*H.Ge + $D50*H.Ga</f>
        <v>-40.58</v>
      </c>
      <c r="G50" s="28">
        <f t="shared" ca="1" si="12"/>
        <v>-38.43</v>
      </c>
      <c r="H50" s="28">
        <f t="shared" ca="1" si="12"/>
        <v>-36.56</v>
      </c>
      <c r="I50" s="28">
        <f t="shared" ca="1" si="12"/>
        <v>-34.9</v>
      </c>
      <c r="J50" s="28">
        <f t="shared" ca="1" si="12"/>
        <v>-33.46</v>
      </c>
      <c r="K50" s="28">
        <f t="shared" ca="1" si="12"/>
        <v>-29.512999999999998</v>
      </c>
      <c r="L50" s="28">
        <f t="shared" ca="1" si="12"/>
        <v>-28.981999999999999</v>
      </c>
      <c r="M50" s="28">
        <f t="shared" ca="1" si="12"/>
        <v>-28.678999999999998</v>
      </c>
      <c r="N50" s="28">
        <f t="shared" ca="1" si="12"/>
        <v>-28.610999999999997</v>
      </c>
      <c r="O50" s="28">
        <f t="shared" ca="1" si="12"/>
        <v>-28.720999999999997</v>
      </c>
      <c r="P50" s="28">
        <f t="shared" ca="1" si="12"/>
        <v>-28.957999999999998</v>
      </c>
      <c r="Q50" s="28">
        <f t="shared" ca="1" si="12"/>
        <v>-29.25</v>
      </c>
      <c r="R50" s="28">
        <f t="shared" ca="1" si="12"/>
        <v>-29.573</v>
      </c>
      <c r="S50" s="28">
        <f t="shared" ca="1" si="12"/>
        <v>-29.905000000000001</v>
      </c>
      <c r="T50" s="28">
        <f t="shared" ca="1" si="12"/>
        <v>-30.230999999999998</v>
      </c>
      <c r="U50" s="28">
        <f t="shared" ca="1" si="12"/>
        <v>-30.57</v>
      </c>
      <c r="V50" s="28">
        <f t="shared" ref="G50:AL58" ca="1" si="13">$A50*H.Ar + $B50*H.Se + $C50*H.Ge + $D50*H.Ga</f>
        <v>-30.902999999999999</v>
      </c>
      <c r="W50" s="28">
        <f t="shared" ca="1" si="13"/>
        <v>-31.234999999999999</v>
      </c>
      <c r="X50" s="28">
        <f t="shared" ca="1" si="13"/>
        <v>-32.594000000000001</v>
      </c>
      <c r="Y50" s="28">
        <f t="shared" ca="1" si="13"/>
        <v>-32.909999999999997</v>
      </c>
      <c r="Z50" s="28">
        <f t="shared" ca="1" si="13"/>
        <v>-33.235999999999997</v>
      </c>
      <c r="AA50" s="28">
        <f t="shared" ca="1" si="13"/>
        <v>-33.551000000000002</v>
      </c>
      <c r="AB50" s="28">
        <f t="shared" ca="1" si="13"/>
        <v>-33.867999999999995</v>
      </c>
      <c r="AC50" s="28">
        <f t="shared" ca="1" si="13"/>
        <v>-34.173000000000002</v>
      </c>
      <c r="AD50" s="28">
        <f t="shared" ca="1" si="13"/>
        <v>-34.423999999999999</v>
      </c>
      <c r="AE50" s="28">
        <f t="shared" ca="1" si="13"/>
        <v>-34.694000000000003</v>
      </c>
      <c r="AF50" s="28">
        <f t="shared" ca="1" si="13"/>
        <v>-34.973999999999997</v>
      </c>
      <c r="AG50" s="28">
        <f t="shared" ca="1" si="13"/>
        <v>-36.084000000000003</v>
      </c>
      <c r="AH50" s="28">
        <f t="shared" ca="1" si="13"/>
        <v>0</v>
      </c>
      <c r="AI50" s="28">
        <f t="shared" ca="1" si="13"/>
        <v>0</v>
      </c>
      <c r="AJ50" s="28">
        <f t="shared" ca="1" si="13"/>
        <v>0</v>
      </c>
      <c r="AK50" s="28">
        <f t="shared" ca="1" si="13"/>
        <v>0</v>
      </c>
      <c r="AL50" s="28">
        <f t="shared" ca="1" si="13"/>
        <v>0</v>
      </c>
    </row>
    <row r="51" spans="1:38" ht="21" hidden="1" customHeight="1" outlineLevel="1" thickBot="1" x14ac:dyDescent="0.4">
      <c r="A51" s="10">
        <f t="shared" si="11"/>
        <v>0</v>
      </c>
      <c r="B51" s="10">
        <f t="shared" si="11"/>
        <v>0</v>
      </c>
      <c r="C51" s="10">
        <f t="shared" si="11"/>
        <v>0</v>
      </c>
      <c r="D51" s="10">
        <f t="shared" si="11"/>
        <v>1</v>
      </c>
      <c r="E51" s="11" t="str">
        <f t="shared" si="11"/>
        <v>*Ga[l]</v>
      </c>
      <c r="F51" s="28">
        <f t="shared" ca="1" si="12"/>
        <v>-66.75</v>
      </c>
      <c r="G51" s="28">
        <f t="shared" ca="1" si="13"/>
        <v>-62.38</v>
      </c>
      <c r="H51" s="28">
        <f t="shared" ca="1" si="13"/>
        <v>-58.23</v>
      </c>
      <c r="I51" s="28">
        <f t="shared" ca="1" si="13"/>
        <v>-54.11</v>
      </c>
      <c r="J51" s="28">
        <f t="shared" ca="1" si="13"/>
        <v>-50.02</v>
      </c>
      <c r="K51" s="28">
        <f t="shared" ca="1" si="13"/>
        <v>-36.159999999999997</v>
      </c>
      <c r="L51" s="28">
        <f t="shared" ca="1" si="13"/>
        <v>-33.5</v>
      </c>
      <c r="M51" s="28">
        <f t="shared" ca="1" si="13"/>
        <v>-31.09</v>
      </c>
      <c r="N51" s="28">
        <f t="shared" ca="1" si="13"/>
        <v>-28.84</v>
      </c>
      <c r="O51" s="28">
        <f t="shared" ca="1" si="13"/>
        <v>-26.68</v>
      </c>
      <c r="P51" s="28">
        <f t="shared" ca="1" si="13"/>
        <v>-24.62</v>
      </c>
      <c r="Q51" s="28">
        <f t="shared" ca="1" si="13"/>
        <v>-22.66</v>
      </c>
      <c r="R51" s="28">
        <f t="shared" ca="1" si="13"/>
        <v>-20.81</v>
      </c>
      <c r="S51" s="28">
        <f t="shared" ca="1" si="13"/>
        <v>-19.059999999999999</v>
      </c>
      <c r="T51" s="28">
        <f t="shared" ca="1" si="13"/>
        <v>-17.399999999999999</v>
      </c>
      <c r="U51" s="28">
        <f t="shared" ca="1" si="13"/>
        <v>-15.83</v>
      </c>
      <c r="V51" s="28">
        <f t="shared" ca="1" si="13"/>
        <v>-14.36</v>
      </c>
      <c r="W51" s="28">
        <f t="shared" ca="1" si="13"/>
        <v>-13.01</v>
      </c>
      <c r="X51" s="28">
        <f t="shared" ca="1" si="13"/>
        <v>-9.8030000000000008</v>
      </c>
      <c r="Y51" s="28">
        <f t="shared" ca="1" si="13"/>
        <v>-9.3119999999999994</v>
      </c>
      <c r="Z51" s="28">
        <f t="shared" ca="1" si="13"/>
        <v>-8.8580000000000005</v>
      </c>
      <c r="AA51" s="28">
        <f t="shared" ca="1" si="13"/>
        <v>-8.4390000000000001</v>
      </c>
      <c r="AB51" s="28">
        <f t="shared" ca="1" si="13"/>
        <v>-8.0500000000000007</v>
      </c>
      <c r="AC51" s="28">
        <f t="shared" ca="1" si="13"/>
        <v>-7.7050000000000001</v>
      </c>
      <c r="AD51" s="28">
        <f t="shared" ca="1" si="13"/>
        <v>-7.774</v>
      </c>
      <c r="AE51" s="28">
        <f t="shared" ca="1" si="13"/>
        <v>-7.8449999999999998</v>
      </c>
      <c r="AF51" s="28">
        <f t="shared" ca="1" si="13"/>
        <v>-7.915</v>
      </c>
      <c r="AG51" s="28">
        <f t="shared" ca="1" si="13"/>
        <v>-8.1869999999999994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11"/>
        <v>0</v>
      </c>
      <c r="B52" s="10">
        <f t="shared" si="11"/>
        <v>1</v>
      </c>
      <c r="C52" s="10">
        <f t="shared" si="11"/>
        <v>0</v>
      </c>
      <c r="D52" s="10">
        <f t="shared" si="11"/>
        <v>0</v>
      </c>
      <c r="E52" s="11" t="str">
        <f t="shared" si="11"/>
        <v>*Se[m]</v>
      </c>
      <c r="F52" s="28">
        <f t="shared" ca="1" si="12"/>
        <v>-23.56</v>
      </c>
      <c r="G52" s="28">
        <f t="shared" ca="1" si="13"/>
        <v>-22.33</v>
      </c>
      <c r="H52" s="28">
        <f t="shared" ca="1" si="13"/>
        <v>-21.52</v>
      </c>
      <c r="I52" s="28">
        <f t="shared" ca="1" si="13"/>
        <v>-21.15</v>
      </c>
      <c r="J52" s="28">
        <f t="shared" ca="1" si="13"/>
        <v>-21.13</v>
      </c>
      <c r="K52" s="28">
        <f t="shared" ca="1" si="13"/>
        <v>-22.02</v>
      </c>
      <c r="L52" s="28">
        <f t="shared" ca="1" si="13"/>
        <v>-22.21</v>
      </c>
      <c r="M52" s="28">
        <f t="shared" ca="1" si="13"/>
        <v>-22.38</v>
      </c>
      <c r="N52" s="28">
        <f t="shared" ca="1" si="13"/>
        <v>-22.58</v>
      </c>
      <c r="O52" s="28">
        <f t="shared" ca="1" si="13"/>
        <v>-22.81</v>
      </c>
      <c r="P52" s="28">
        <f t="shared" ca="1" si="13"/>
        <v>-23.08</v>
      </c>
      <c r="Q52" s="28">
        <f t="shared" ca="1" si="13"/>
        <v>-23.36</v>
      </c>
      <c r="R52" s="28">
        <f t="shared" ca="1" si="13"/>
        <v>-23.65</v>
      </c>
      <c r="S52" s="28">
        <f t="shared" ca="1" si="13"/>
        <v>-23.94</v>
      </c>
      <c r="T52" s="28">
        <f t="shared" ca="1" si="13"/>
        <v>-24.22</v>
      </c>
      <c r="U52" s="28">
        <f t="shared" ca="1" si="13"/>
        <v>-24.51</v>
      </c>
      <c r="V52" s="28">
        <f t="shared" ca="1" si="13"/>
        <v>-24.79</v>
      </c>
      <c r="W52" s="28">
        <f t="shared" ca="1" si="13"/>
        <v>-25.06</v>
      </c>
      <c r="X52" s="28">
        <f t="shared" ca="1" si="13"/>
        <v>-26.1</v>
      </c>
      <c r="Y52" s="28">
        <f t="shared" ca="1" si="13"/>
        <v>-26.36</v>
      </c>
      <c r="Z52" s="28">
        <f t="shared" ca="1" si="13"/>
        <v>-26.63</v>
      </c>
      <c r="AA52" s="28">
        <f t="shared" ca="1" si="13"/>
        <v>-26.89</v>
      </c>
      <c r="AB52" s="28">
        <f t="shared" ca="1" si="13"/>
        <v>-27.15</v>
      </c>
      <c r="AC52" s="28">
        <f t="shared" ca="1" si="13"/>
        <v>-27.4</v>
      </c>
      <c r="AD52" s="28">
        <f t="shared" ca="1" si="13"/>
        <v>-27.61</v>
      </c>
      <c r="AE52" s="28">
        <f t="shared" ca="1" si="13"/>
        <v>-27.84</v>
      </c>
      <c r="AF52" s="28">
        <f t="shared" ca="1" si="13"/>
        <v>-28.08</v>
      </c>
      <c r="AG52" s="28">
        <f t="shared" ca="1" si="13"/>
        <v>-29.02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11"/>
        <v>0</v>
      </c>
      <c r="B53" s="10">
        <f t="shared" si="11"/>
        <v>2</v>
      </c>
      <c r="C53" s="10">
        <f t="shared" si="11"/>
        <v>1</v>
      </c>
      <c r="D53" s="10">
        <f t="shared" si="11"/>
        <v>0</v>
      </c>
      <c r="E53" s="11" t="str">
        <f t="shared" si="11"/>
        <v>*GeSe2</v>
      </c>
      <c r="F53" s="28">
        <f t="shared" ca="1" si="12"/>
        <v>-64.14</v>
      </c>
      <c r="G53" s="28">
        <f t="shared" ca="1" si="13"/>
        <v>-60.76</v>
      </c>
      <c r="H53" s="28">
        <f t="shared" ca="1" si="13"/>
        <v>-58.08</v>
      </c>
      <c r="I53" s="28">
        <f t="shared" ca="1" si="13"/>
        <v>-56.05</v>
      </c>
      <c r="J53" s="28">
        <f t="shared" ca="1" si="13"/>
        <v>-54.589999999999996</v>
      </c>
      <c r="K53" s="28">
        <f t="shared" ca="1" si="13"/>
        <v>-51.533000000000001</v>
      </c>
      <c r="L53" s="28">
        <f t="shared" ca="1" si="13"/>
        <v>-51.192</v>
      </c>
      <c r="M53" s="28">
        <f t="shared" ca="1" si="13"/>
        <v>-51.058999999999997</v>
      </c>
      <c r="N53" s="28">
        <f t="shared" ca="1" si="13"/>
        <v>-51.190999999999995</v>
      </c>
      <c r="O53" s="28">
        <f t="shared" ca="1" si="13"/>
        <v>-51.530999999999999</v>
      </c>
      <c r="P53" s="28">
        <f t="shared" ca="1" si="13"/>
        <v>-52.037999999999997</v>
      </c>
      <c r="Q53" s="28">
        <f t="shared" ca="1" si="13"/>
        <v>-52.61</v>
      </c>
      <c r="R53" s="28">
        <f t="shared" ca="1" si="13"/>
        <v>-53.222999999999999</v>
      </c>
      <c r="S53" s="28">
        <f t="shared" ca="1" si="13"/>
        <v>-53.844999999999999</v>
      </c>
      <c r="T53" s="28">
        <f t="shared" ca="1" si="13"/>
        <v>-54.451000000000001</v>
      </c>
      <c r="U53" s="28">
        <f t="shared" ca="1" si="13"/>
        <v>-55.080000000000005</v>
      </c>
      <c r="V53" s="28">
        <f t="shared" ca="1" si="13"/>
        <v>-55.692999999999998</v>
      </c>
      <c r="W53" s="28">
        <f t="shared" ca="1" si="13"/>
        <v>-56.294999999999995</v>
      </c>
      <c r="X53" s="28">
        <f t="shared" ca="1" si="13"/>
        <v>-58.694000000000003</v>
      </c>
      <c r="Y53" s="28">
        <f t="shared" ca="1" si="13"/>
        <v>-59.269999999999996</v>
      </c>
      <c r="Z53" s="28">
        <f t="shared" ca="1" si="13"/>
        <v>-59.866</v>
      </c>
      <c r="AA53" s="28">
        <f t="shared" ca="1" si="13"/>
        <v>-60.441000000000003</v>
      </c>
      <c r="AB53" s="28">
        <f t="shared" ca="1" si="13"/>
        <v>-61.018000000000001</v>
      </c>
      <c r="AC53" s="28">
        <f t="shared" ca="1" si="13"/>
        <v>-61.572999999999993</v>
      </c>
      <c r="AD53" s="28">
        <f t="shared" ca="1" si="13"/>
        <v>-62.033999999999999</v>
      </c>
      <c r="AE53" s="28">
        <f t="shared" ca="1" si="13"/>
        <v>-62.533999999999999</v>
      </c>
      <c r="AF53" s="28">
        <f t="shared" ca="1" si="13"/>
        <v>-63.053999999999995</v>
      </c>
      <c r="AG53" s="28">
        <f t="shared" ca="1" si="13"/>
        <v>-65.103999999999999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11"/>
        <v>0</v>
      </c>
      <c r="B54" s="10">
        <f t="shared" si="11"/>
        <v>3</v>
      </c>
      <c r="C54" s="10">
        <f t="shared" si="11"/>
        <v>0</v>
      </c>
      <c r="D54" s="10">
        <f t="shared" si="11"/>
        <v>2</v>
      </c>
      <c r="E54" s="11" t="str">
        <f t="shared" si="11"/>
        <v>Ga2Se3</v>
      </c>
      <c r="F54" s="28">
        <f t="shared" ca="1" si="12"/>
        <v>-204.18</v>
      </c>
      <c r="G54" s="28">
        <f t="shared" ca="1" si="13"/>
        <v>-191.75</v>
      </c>
      <c r="H54" s="28">
        <f t="shared" ca="1" si="13"/>
        <v>-181.01999999999998</v>
      </c>
      <c r="I54" s="28">
        <f t="shared" ca="1" si="13"/>
        <v>-171.67</v>
      </c>
      <c r="J54" s="28">
        <f t="shared" ca="1" si="13"/>
        <v>-163.43</v>
      </c>
      <c r="K54" s="28">
        <f t="shared" ca="1" si="13"/>
        <v>-138.38</v>
      </c>
      <c r="L54" s="28">
        <f t="shared" ca="1" si="13"/>
        <v>-133.63</v>
      </c>
      <c r="M54" s="28">
        <f t="shared" ca="1" si="13"/>
        <v>-129.32</v>
      </c>
      <c r="N54" s="28">
        <f t="shared" ca="1" si="13"/>
        <v>-125.41999999999999</v>
      </c>
      <c r="O54" s="28">
        <f t="shared" ca="1" si="13"/>
        <v>-121.78999999999999</v>
      </c>
      <c r="P54" s="28">
        <f t="shared" ca="1" si="13"/>
        <v>-118.47999999999999</v>
      </c>
      <c r="Q54" s="28">
        <f t="shared" ca="1" si="13"/>
        <v>-115.4</v>
      </c>
      <c r="R54" s="28">
        <f t="shared" ca="1" si="13"/>
        <v>-112.57</v>
      </c>
      <c r="S54" s="28">
        <f t="shared" ca="1" si="13"/>
        <v>-109.94</v>
      </c>
      <c r="T54" s="28">
        <f t="shared" ca="1" si="13"/>
        <v>-107.46</v>
      </c>
      <c r="U54" s="28">
        <f t="shared" ca="1" si="13"/>
        <v>-105.19</v>
      </c>
      <c r="V54" s="28">
        <f t="shared" ca="1" si="13"/>
        <v>-103.09</v>
      </c>
      <c r="W54" s="28">
        <f t="shared" ca="1" si="13"/>
        <v>-101.19999999999999</v>
      </c>
      <c r="X54" s="28">
        <f t="shared" ca="1" si="13"/>
        <v>-97.906000000000006</v>
      </c>
      <c r="Y54" s="28">
        <f t="shared" ca="1" si="13"/>
        <v>-97.703999999999994</v>
      </c>
      <c r="Z54" s="28">
        <f t="shared" ca="1" si="13"/>
        <v>-97.605999999999995</v>
      </c>
      <c r="AA54" s="28">
        <f t="shared" ca="1" si="13"/>
        <v>-97.548000000000002</v>
      </c>
      <c r="AB54" s="28">
        <f t="shared" ca="1" si="13"/>
        <v>-97.549999999999983</v>
      </c>
      <c r="AC54" s="28">
        <f t="shared" ca="1" si="13"/>
        <v>-97.609999999999985</v>
      </c>
      <c r="AD54" s="28">
        <f t="shared" ca="1" si="13"/>
        <v>-98.378</v>
      </c>
      <c r="AE54" s="28">
        <f t="shared" ca="1" si="13"/>
        <v>-99.21</v>
      </c>
      <c r="AF54" s="28">
        <f t="shared" ca="1" si="13"/>
        <v>-100.07</v>
      </c>
      <c r="AG54" s="28">
        <f t="shared" ca="1" si="13"/>
        <v>-103.434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11"/>
        <v>0</v>
      </c>
      <c r="B55" s="10">
        <f t="shared" si="11"/>
        <v>1</v>
      </c>
      <c r="C55" s="10">
        <f t="shared" si="11"/>
        <v>0</v>
      </c>
      <c r="D55" s="10">
        <f t="shared" si="11"/>
        <v>2</v>
      </c>
      <c r="E55" s="11" t="str">
        <f t="shared" si="11"/>
        <v>Ga2Se</v>
      </c>
      <c r="F55" s="28">
        <f t="shared" ca="1" si="12"/>
        <v>-157.06</v>
      </c>
      <c r="G55" s="28">
        <f t="shared" ca="1" si="13"/>
        <v>-147.09</v>
      </c>
      <c r="H55" s="28">
        <f t="shared" ca="1" si="13"/>
        <v>-137.97999999999999</v>
      </c>
      <c r="I55" s="28">
        <f t="shared" ca="1" si="13"/>
        <v>-129.37</v>
      </c>
      <c r="J55" s="28">
        <f t="shared" ca="1" si="13"/>
        <v>-121.17</v>
      </c>
      <c r="K55" s="28">
        <f t="shared" ca="1" si="13"/>
        <v>-94.339999999999989</v>
      </c>
      <c r="L55" s="28">
        <f t="shared" ca="1" si="13"/>
        <v>-89.210000000000008</v>
      </c>
      <c r="M55" s="28">
        <f t="shared" ca="1" si="13"/>
        <v>-84.56</v>
      </c>
      <c r="N55" s="28">
        <f t="shared" ca="1" si="13"/>
        <v>-80.259999999999991</v>
      </c>
      <c r="O55" s="28">
        <f t="shared" ca="1" si="13"/>
        <v>-76.17</v>
      </c>
      <c r="P55" s="28">
        <f t="shared" ca="1" si="13"/>
        <v>-72.319999999999993</v>
      </c>
      <c r="Q55" s="28">
        <f t="shared" ca="1" si="13"/>
        <v>-68.680000000000007</v>
      </c>
      <c r="R55" s="28">
        <f t="shared" ca="1" si="13"/>
        <v>-65.27</v>
      </c>
      <c r="S55" s="28">
        <f t="shared" ca="1" si="13"/>
        <v>-62.06</v>
      </c>
      <c r="T55" s="28">
        <f t="shared" ca="1" si="13"/>
        <v>-59.019999999999996</v>
      </c>
      <c r="U55" s="28">
        <f t="shared" ca="1" si="13"/>
        <v>-56.17</v>
      </c>
      <c r="V55" s="28">
        <f t="shared" ca="1" si="13"/>
        <v>-53.51</v>
      </c>
      <c r="W55" s="28">
        <f t="shared" ca="1" si="13"/>
        <v>-51.08</v>
      </c>
      <c r="X55" s="28">
        <f t="shared" ca="1" si="13"/>
        <v>-45.706000000000003</v>
      </c>
      <c r="Y55" s="28">
        <f t="shared" ca="1" si="13"/>
        <v>-44.983999999999995</v>
      </c>
      <c r="Z55" s="28">
        <f t="shared" ca="1" si="13"/>
        <v>-44.346000000000004</v>
      </c>
      <c r="AA55" s="28">
        <f t="shared" ca="1" si="13"/>
        <v>-43.768000000000001</v>
      </c>
      <c r="AB55" s="28">
        <f t="shared" ca="1" si="13"/>
        <v>-43.25</v>
      </c>
      <c r="AC55" s="28">
        <f t="shared" ca="1" si="13"/>
        <v>-42.81</v>
      </c>
      <c r="AD55" s="28">
        <f t="shared" ca="1" si="13"/>
        <v>-43.158000000000001</v>
      </c>
      <c r="AE55" s="28">
        <f t="shared" ca="1" si="13"/>
        <v>-43.53</v>
      </c>
      <c r="AF55" s="28">
        <f t="shared" ca="1" si="13"/>
        <v>-43.91</v>
      </c>
      <c r="AG55" s="28">
        <f t="shared" ca="1" si="13"/>
        <v>-45.393999999999998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11"/>
        <v>0</v>
      </c>
      <c r="B56" s="10">
        <f t="shared" si="11"/>
        <v>0</v>
      </c>
      <c r="C56" s="10">
        <f t="shared" si="11"/>
        <v>0</v>
      </c>
      <c r="D56" s="10">
        <f t="shared" si="11"/>
        <v>1</v>
      </c>
      <c r="E56" s="11" t="str">
        <f t="shared" si="11"/>
        <v>Ga</v>
      </c>
      <c r="F56" s="28">
        <f t="shared" ca="1" si="12"/>
        <v>-66.75</v>
      </c>
      <c r="G56" s="28">
        <f t="shared" ca="1" si="13"/>
        <v>-62.38</v>
      </c>
      <c r="H56" s="28">
        <f t="shared" ca="1" si="13"/>
        <v>-58.23</v>
      </c>
      <c r="I56" s="28">
        <f t="shared" ca="1" si="13"/>
        <v>-54.11</v>
      </c>
      <c r="J56" s="28">
        <f t="shared" ca="1" si="13"/>
        <v>-50.02</v>
      </c>
      <c r="K56" s="28">
        <f t="shared" ca="1" si="13"/>
        <v>-36.159999999999997</v>
      </c>
      <c r="L56" s="28">
        <f t="shared" ca="1" si="13"/>
        <v>-33.5</v>
      </c>
      <c r="M56" s="28">
        <f t="shared" ca="1" si="13"/>
        <v>-31.09</v>
      </c>
      <c r="N56" s="28">
        <f t="shared" ca="1" si="13"/>
        <v>-28.84</v>
      </c>
      <c r="O56" s="28">
        <f t="shared" ca="1" si="13"/>
        <v>-26.68</v>
      </c>
      <c r="P56" s="28">
        <f t="shared" ca="1" si="13"/>
        <v>-24.62</v>
      </c>
      <c r="Q56" s="28">
        <f t="shared" ca="1" si="13"/>
        <v>-22.66</v>
      </c>
      <c r="R56" s="28">
        <f t="shared" ca="1" si="13"/>
        <v>-20.81</v>
      </c>
      <c r="S56" s="28">
        <f t="shared" ca="1" si="13"/>
        <v>-19.059999999999999</v>
      </c>
      <c r="T56" s="28">
        <f t="shared" ca="1" si="13"/>
        <v>-17.399999999999999</v>
      </c>
      <c r="U56" s="28">
        <f t="shared" ca="1" si="13"/>
        <v>-15.83</v>
      </c>
      <c r="V56" s="28">
        <f t="shared" ca="1" si="13"/>
        <v>-14.36</v>
      </c>
      <c r="W56" s="28">
        <f t="shared" ca="1" si="13"/>
        <v>-13.01</v>
      </c>
      <c r="X56" s="28">
        <f t="shared" ca="1" si="13"/>
        <v>-9.8030000000000008</v>
      </c>
      <c r="Y56" s="28">
        <f t="shared" ca="1" si="13"/>
        <v>-9.3119999999999994</v>
      </c>
      <c r="Z56" s="28">
        <f t="shared" ca="1" si="13"/>
        <v>-8.8580000000000005</v>
      </c>
      <c r="AA56" s="28">
        <f t="shared" ca="1" si="13"/>
        <v>-8.4390000000000001</v>
      </c>
      <c r="AB56" s="28">
        <f t="shared" ca="1" si="13"/>
        <v>-8.0500000000000007</v>
      </c>
      <c r="AC56" s="28">
        <f t="shared" ca="1" si="13"/>
        <v>-7.7050000000000001</v>
      </c>
      <c r="AD56" s="28">
        <f t="shared" ca="1" si="13"/>
        <v>-7.774</v>
      </c>
      <c r="AE56" s="28">
        <f t="shared" ca="1" si="13"/>
        <v>-7.8449999999999998</v>
      </c>
      <c r="AF56" s="28">
        <f t="shared" ca="1" si="13"/>
        <v>-7.915</v>
      </c>
      <c r="AG56" s="28">
        <f t="shared" ca="1" si="13"/>
        <v>-8.1869999999999994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11"/>
        <v>1</v>
      </c>
      <c r="B57" s="10">
        <f t="shared" si="11"/>
        <v>0</v>
      </c>
      <c r="C57" s="10">
        <f t="shared" si="11"/>
        <v>0</v>
      </c>
      <c r="D57" s="10">
        <f t="shared" si="11"/>
        <v>0</v>
      </c>
      <c r="E57" s="11" t="str">
        <f t="shared" si="11"/>
        <v>Ar</v>
      </c>
      <c r="F57" s="28">
        <f t="shared" ca="1" si="12"/>
        <v>-18.71</v>
      </c>
      <c r="G57" s="28">
        <f t="shared" ca="1" si="13"/>
        <v>-18.7</v>
      </c>
      <c r="H57" s="28">
        <f t="shared" ca="1" si="13"/>
        <v>-18.7</v>
      </c>
      <c r="I57" s="28">
        <f t="shared" ca="1" si="13"/>
        <v>-18.7</v>
      </c>
      <c r="J57" s="28">
        <f t="shared" ca="1" si="13"/>
        <v>-18.72</v>
      </c>
      <c r="K57" s="28">
        <f t="shared" ca="1" si="13"/>
        <v>-18.829999999999998</v>
      </c>
      <c r="L57" s="28">
        <f t="shared" ca="1" si="13"/>
        <v>-18.87</v>
      </c>
      <c r="M57" s="28">
        <f t="shared" ca="1" si="13"/>
        <v>-18.899999999999999</v>
      </c>
      <c r="N57" s="28">
        <f t="shared" ca="1" si="13"/>
        <v>-18.940000000000001</v>
      </c>
      <c r="O57" s="28">
        <f t="shared" ca="1" si="13"/>
        <v>-18.98</v>
      </c>
      <c r="P57" s="28">
        <f t="shared" ca="1" si="13"/>
        <v>-19.02</v>
      </c>
      <c r="Q57" s="28">
        <f t="shared" ca="1" si="13"/>
        <v>-19.059999999999999</v>
      </c>
      <c r="R57" s="28">
        <f t="shared" ca="1" si="13"/>
        <v>-19.100000000000001</v>
      </c>
      <c r="S57" s="28">
        <f t="shared" ca="1" si="13"/>
        <v>-19.14</v>
      </c>
      <c r="T57" s="28">
        <f t="shared" ca="1" si="13"/>
        <v>-19.18</v>
      </c>
      <c r="U57" s="28">
        <f t="shared" ca="1" si="13"/>
        <v>-19.23</v>
      </c>
      <c r="V57" s="28">
        <f t="shared" ca="1" si="13"/>
        <v>-19.27</v>
      </c>
      <c r="W57" s="28">
        <f t="shared" ca="1" si="13"/>
        <v>-19.3</v>
      </c>
      <c r="X57" s="28">
        <f t="shared" ca="1" si="13"/>
        <v>-19.43</v>
      </c>
      <c r="Y57" s="28">
        <f t="shared" ca="1" si="13"/>
        <v>-19.47</v>
      </c>
      <c r="Z57" s="28">
        <f t="shared" ca="1" si="13"/>
        <v>-19.510000000000002</v>
      </c>
      <c r="AA57" s="28">
        <f t="shared" ca="1" si="13"/>
        <v>-19.55</v>
      </c>
      <c r="AB57" s="28">
        <f t="shared" ca="1" si="13"/>
        <v>-19.59</v>
      </c>
      <c r="AC57" s="28">
        <f t="shared" ca="1" si="13"/>
        <v>-19.62</v>
      </c>
      <c r="AD57" s="28">
        <f t="shared" ca="1" si="13"/>
        <v>-19.66</v>
      </c>
      <c r="AE57" s="28">
        <f t="shared" ca="1" si="13"/>
        <v>-19.7</v>
      </c>
      <c r="AF57" s="28">
        <f t="shared" ca="1" si="13"/>
        <v>-19.739999999999998</v>
      </c>
      <c r="AG57" s="28">
        <f t="shared" ca="1" si="13"/>
        <v>-19.88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11"/>
        <v>0</v>
      </c>
      <c r="B58" s="10">
        <f t="shared" si="11"/>
        <v>2</v>
      </c>
      <c r="C58" s="10">
        <f t="shared" si="11"/>
        <v>1</v>
      </c>
      <c r="D58" s="10">
        <f t="shared" si="11"/>
        <v>0</v>
      </c>
      <c r="E58" s="11" t="str">
        <f t="shared" si="11"/>
        <v>(1)GeSe2</v>
      </c>
      <c r="F58" s="28">
        <f t="shared" ca="1" si="12"/>
        <v>-64.14</v>
      </c>
      <c r="G58" s="28">
        <f t="shared" ca="1" si="13"/>
        <v>-60.76</v>
      </c>
      <c r="H58" s="28">
        <f t="shared" ca="1" si="13"/>
        <v>-58.08</v>
      </c>
      <c r="I58" s="28">
        <f t="shared" ca="1" si="13"/>
        <v>-56.05</v>
      </c>
      <c r="J58" s="28">
        <f t="shared" ca="1" si="13"/>
        <v>-54.589999999999996</v>
      </c>
      <c r="K58" s="28">
        <f t="shared" ca="1" si="13"/>
        <v>-51.533000000000001</v>
      </c>
      <c r="L58" s="28">
        <f t="shared" ca="1" si="13"/>
        <v>-51.192</v>
      </c>
      <c r="M58" s="28">
        <f t="shared" ca="1" si="13"/>
        <v>-51.058999999999997</v>
      </c>
      <c r="N58" s="28">
        <f t="shared" ca="1" si="13"/>
        <v>-51.190999999999995</v>
      </c>
      <c r="O58" s="28">
        <f t="shared" ca="1" si="13"/>
        <v>-51.530999999999999</v>
      </c>
      <c r="P58" s="28">
        <f t="shared" ca="1" si="13"/>
        <v>-52.037999999999997</v>
      </c>
      <c r="Q58" s="28">
        <f t="shared" ca="1" si="13"/>
        <v>-52.61</v>
      </c>
      <c r="R58" s="28">
        <f t="shared" ca="1" si="13"/>
        <v>-53.222999999999999</v>
      </c>
      <c r="S58" s="28">
        <f t="shared" ca="1" si="13"/>
        <v>-53.844999999999999</v>
      </c>
      <c r="T58" s="28">
        <f t="shared" ca="1" si="13"/>
        <v>-54.451000000000001</v>
      </c>
      <c r="U58" s="28">
        <f t="shared" ref="G58:AL66" ca="1" si="14">$A58*H.Ar + $B58*H.Se + $C58*H.Ge + $D58*H.Ga</f>
        <v>-55.080000000000005</v>
      </c>
      <c r="V58" s="28">
        <f t="shared" ca="1" si="14"/>
        <v>-55.692999999999998</v>
      </c>
      <c r="W58" s="28">
        <f t="shared" ca="1" si="14"/>
        <v>-56.294999999999995</v>
      </c>
      <c r="X58" s="28">
        <f t="shared" ca="1" si="14"/>
        <v>-58.694000000000003</v>
      </c>
      <c r="Y58" s="28">
        <f t="shared" ca="1" si="14"/>
        <v>-59.269999999999996</v>
      </c>
      <c r="Z58" s="28">
        <f t="shared" ca="1" si="14"/>
        <v>-59.866</v>
      </c>
      <c r="AA58" s="28">
        <f t="shared" ca="1" si="14"/>
        <v>-60.441000000000003</v>
      </c>
      <c r="AB58" s="28">
        <f t="shared" ca="1" si="14"/>
        <v>-61.018000000000001</v>
      </c>
      <c r="AC58" s="28">
        <f t="shared" ca="1" si="14"/>
        <v>-61.572999999999993</v>
      </c>
      <c r="AD58" s="28">
        <f t="shared" ca="1" si="14"/>
        <v>-62.033999999999999</v>
      </c>
      <c r="AE58" s="28">
        <f t="shared" ca="1" si="14"/>
        <v>-62.533999999999999</v>
      </c>
      <c r="AF58" s="28">
        <f t="shared" ca="1" si="14"/>
        <v>-63.053999999999995</v>
      </c>
      <c r="AG58" s="28">
        <f t="shared" ca="1" si="14"/>
        <v>-65.103999999999999</v>
      </c>
      <c r="AH58" s="28">
        <f t="shared" ca="1" si="14"/>
        <v>0</v>
      </c>
      <c r="AI58" s="28">
        <f t="shared" ca="1" si="14"/>
        <v>0</v>
      </c>
      <c r="AJ58" s="28">
        <f t="shared" ca="1" si="14"/>
        <v>0</v>
      </c>
      <c r="AK58" s="28">
        <f t="shared" ca="1" si="14"/>
        <v>0</v>
      </c>
      <c r="AL58" s="28">
        <f t="shared" ca="1" si="14"/>
        <v>0</v>
      </c>
    </row>
    <row r="59" spans="1:38" ht="21" hidden="1" customHeight="1" outlineLevel="1" thickBot="1" x14ac:dyDescent="0.4">
      <c r="A59" s="10">
        <f t="shared" si="11"/>
        <v>0</v>
      </c>
      <c r="B59" s="10">
        <f t="shared" si="11"/>
        <v>1</v>
      </c>
      <c r="C59" s="10">
        <f t="shared" si="11"/>
        <v>1</v>
      </c>
      <c r="D59" s="10">
        <f t="shared" si="11"/>
        <v>0</v>
      </c>
      <c r="E59" s="11" t="str">
        <f t="shared" si="11"/>
        <v>(1)GeSe</v>
      </c>
      <c r="F59" s="28">
        <f t="shared" ca="1" si="12"/>
        <v>-40.58</v>
      </c>
      <c r="G59" s="28">
        <f t="shared" ca="1" si="14"/>
        <v>-38.43</v>
      </c>
      <c r="H59" s="28">
        <f t="shared" ca="1" si="14"/>
        <v>-36.56</v>
      </c>
      <c r="I59" s="28">
        <f t="shared" ca="1" si="14"/>
        <v>-34.9</v>
      </c>
      <c r="J59" s="28">
        <f t="shared" ca="1" si="14"/>
        <v>-33.46</v>
      </c>
      <c r="K59" s="28">
        <f t="shared" ca="1" si="14"/>
        <v>-29.512999999999998</v>
      </c>
      <c r="L59" s="28">
        <f t="shared" ca="1" si="14"/>
        <v>-28.981999999999999</v>
      </c>
      <c r="M59" s="28">
        <f t="shared" ca="1" si="14"/>
        <v>-28.678999999999998</v>
      </c>
      <c r="N59" s="28">
        <f t="shared" ca="1" si="14"/>
        <v>-28.610999999999997</v>
      </c>
      <c r="O59" s="28">
        <f t="shared" ca="1" si="14"/>
        <v>-28.720999999999997</v>
      </c>
      <c r="P59" s="28">
        <f t="shared" ca="1" si="14"/>
        <v>-28.957999999999998</v>
      </c>
      <c r="Q59" s="28">
        <f t="shared" ca="1" si="14"/>
        <v>-29.25</v>
      </c>
      <c r="R59" s="28">
        <f t="shared" ca="1" si="14"/>
        <v>-29.573</v>
      </c>
      <c r="S59" s="28">
        <f t="shared" ca="1" si="14"/>
        <v>-29.905000000000001</v>
      </c>
      <c r="T59" s="28">
        <f t="shared" ca="1" si="14"/>
        <v>-30.230999999999998</v>
      </c>
      <c r="U59" s="28">
        <f t="shared" ca="1" si="14"/>
        <v>-30.57</v>
      </c>
      <c r="V59" s="28">
        <f t="shared" ca="1" si="14"/>
        <v>-30.902999999999999</v>
      </c>
      <c r="W59" s="28">
        <f t="shared" ca="1" si="14"/>
        <v>-31.234999999999999</v>
      </c>
      <c r="X59" s="28">
        <f t="shared" ca="1" si="14"/>
        <v>-32.594000000000001</v>
      </c>
      <c r="Y59" s="28">
        <f t="shared" ca="1" si="14"/>
        <v>-32.909999999999997</v>
      </c>
      <c r="Z59" s="28">
        <f t="shared" ca="1" si="14"/>
        <v>-33.235999999999997</v>
      </c>
      <c r="AA59" s="28">
        <f t="shared" ca="1" si="14"/>
        <v>-33.551000000000002</v>
      </c>
      <c r="AB59" s="28">
        <f t="shared" ca="1" si="14"/>
        <v>-33.867999999999995</v>
      </c>
      <c r="AC59" s="28">
        <f t="shared" ca="1" si="14"/>
        <v>-34.173000000000002</v>
      </c>
      <c r="AD59" s="28">
        <f t="shared" ca="1" si="14"/>
        <v>-34.423999999999999</v>
      </c>
      <c r="AE59" s="28">
        <f t="shared" ca="1" si="14"/>
        <v>-34.694000000000003</v>
      </c>
      <c r="AF59" s="28">
        <f t="shared" ca="1" si="14"/>
        <v>-34.973999999999997</v>
      </c>
      <c r="AG59" s="28">
        <f t="shared" ca="1" si="14"/>
        <v>-36.084000000000003</v>
      </c>
      <c r="AH59" s="28">
        <f t="shared" ca="1" si="14"/>
        <v>0</v>
      </c>
      <c r="AI59" s="28">
        <f t="shared" ca="1" si="14"/>
        <v>0</v>
      </c>
      <c r="AJ59" s="28">
        <f t="shared" ca="1" si="14"/>
        <v>0</v>
      </c>
      <c r="AK59" s="28">
        <f t="shared" ca="1" si="14"/>
        <v>0</v>
      </c>
      <c r="AL59" s="28">
        <f t="shared" ca="1" si="14"/>
        <v>0</v>
      </c>
    </row>
    <row r="60" spans="1:38" ht="21" hidden="1" customHeight="1" outlineLevel="1" thickBot="1" x14ac:dyDescent="0.4">
      <c r="A60" s="10">
        <f t="shared" ref="A60:E69" si="15">A14</f>
        <v>0</v>
      </c>
      <c r="B60" s="10">
        <f t="shared" si="15"/>
        <v>3</v>
      </c>
      <c r="C60" s="10">
        <f t="shared" si="15"/>
        <v>0</v>
      </c>
      <c r="D60" s="10">
        <f t="shared" si="15"/>
        <v>2</v>
      </c>
      <c r="E60" s="11" t="str">
        <f t="shared" si="15"/>
        <v>(1)Ga2Se3</v>
      </c>
      <c r="F60" s="28">
        <f t="shared" ref="F60:U69" ca="1" si="16">$A60*H.Ar + $B60*H.Se + $C60*H.Ge + $D60*H.Ga</f>
        <v>-204.18</v>
      </c>
      <c r="G60" s="28">
        <f t="shared" ca="1" si="16"/>
        <v>-191.75</v>
      </c>
      <c r="H60" s="28">
        <f t="shared" ca="1" si="16"/>
        <v>-181.01999999999998</v>
      </c>
      <c r="I60" s="28">
        <f t="shared" ca="1" si="16"/>
        <v>-171.67</v>
      </c>
      <c r="J60" s="28">
        <f t="shared" ca="1" si="16"/>
        <v>-163.43</v>
      </c>
      <c r="K60" s="28">
        <f t="shared" ca="1" si="16"/>
        <v>-138.38</v>
      </c>
      <c r="L60" s="28">
        <f t="shared" ca="1" si="16"/>
        <v>-133.63</v>
      </c>
      <c r="M60" s="28">
        <f t="shared" ca="1" si="16"/>
        <v>-129.32</v>
      </c>
      <c r="N60" s="28">
        <f t="shared" ca="1" si="16"/>
        <v>-125.41999999999999</v>
      </c>
      <c r="O60" s="28">
        <f t="shared" ca="1" si="16"/>
        <v>-121.78999999999999</v>
      </c>
      <c r="P60" s="28">
        <f t="shared" ca="1" si="16"/>
        <v>-118.47999999999999</v>
      </c>
      <c r="Q60" s="28">
        <f t="shared" ca="1" si="16"/>
        <v>-115.4</v>
      </c>
      <c r="R60" s="28">
        <f t="shared" ca="1" si="16"/>
        <v>-112.57</v>
      </c>
      <c r="S60" s="28">
        <f t="shared" ca="1" si="16"/>
        <v>-109.94</v>
      </c>
      <c r="T60" s="28">
        <f t="shared" ca="1" si="16"/>
        <v>-107.46</v>
      </c>
      <c r="U60" s="28">
        <f t="shared" ca="1" si="16"/>
        <v>-105.19</v>
      </c>
      <c r="V60" s="28">
        <f t="shared" ca="1" si="14"/>
        <v>-103.09</v>
      </c>
      <c r="W60" s="28">
        <f t="shared" ca="1" si="14"/>
        <v>-101.19999999999999</v>
      </c>
      <c r="X60" s="28">
        <f t="shared" ca="1" si="14"/>
        <v>-97.906000000000006</v>
      </c>
      <c r="Y60" s="28">
        <f t="shared" ca="1" si="14"/>
        <v>-97.703999999999994</v>
      </c>
      <c r="Z60" s="28">
        <f t="shared" ca="1" si="14"/>
        <v>-97.605999999999995</v>
      </c>
      <c r="AA60" s="28">
        <f t="shared" ca="1" si="14"/>
        <v>-97.548000000000002</v>
      </c>
      <c r="AB60" s="28">
        <f t="shared" ca="1" si="14"/>
        <v>-97.549999999999983</v>
      </c>
      <c r="AC60" s="28">
        <f t="shared" ca="1" si="14"/>
        <v>-97.609999999999985</v>
      </c>
      <c r="AD60" s="28">
        <f t="shared" ca="1" si="14"/>
        <v>-98.378</v>
      </c>
      <c r="AE60" s="28">
        <f t="shared" ca="1" si="14"/>
        <v>-99.21</v>
      </c>
      <c r="AF60" s="28">
        <f t="shared" ca="1" si="14"/>
        <v>-100.07</v>
      </c>
      <c r="AG60" s="28">
        <f t="shared" ca="1" si="14"/>
        <v>-103.434</v>
      </c>
      <c r="AH60" s="28">
        <f t="shared" ca="1" si="14"/>
        <v>0</v>
      </c>
      <c r="AI60" s="28">
        <f t="shared" ca="1" si="14"/>
        <v>0</v>
      </c>
      <c r="AJ60" s="28">
        <f t="shared" ca="1" si="14"/>
        <v>0</v>
      </c>
      <c r="AK60" s="28">
        <f t="shared" ca="1" si="14"/>
        <v>0</v>
      </c>
      <c r="AL60" s="28">
        <f t="shared" ca="1" si="14"/>
        <v>0</v>
      </c>
    </row>
    <row r="61" spans="1:38" ht="21" hidden="1" customHeight="1" outlineLevel="1" thickBot="1" x14ac:dyDescent="0.4">
      <c r="A61" s="10">
        <f t="shared" si="15"/>
        <v>0</v>
      </c>
      <c r="B61" s="10">
        <f t="shared" si="15"/>
        <v>1</v>
      </c>
      <c r="C61" s="10">
        <f t="shared" si="15"/>
        <v>0</v>
      </c>
      <c r="D61" s="10">
        <f t="shared" si="15"/>
        <v>2</v>
      </c>
      <c r="E61" s="11" t="str">
        <f t="shared" si="15"/>
        <v>(1)Ga2Se</v>
      </c>
      <c r="F61" s="28">
        <f t="shared" ca="1" si="16"/>
        <v>-157.06</v>
      </c>
      <c r="G61" s="28">
        <f t="shared" ca="1" si="14"/>
        <v>-147.09</v>
      </c>
      <c r="H61" s="28">
        <f t="shared" ca="1" si="14"/>
        <v>-137.97999999999999</v>
      </c>
      <c r="I61" s="28">
        <f t="shared" ca="1" si="14"/>
        <v>-129.37</v>
      </c>
      <c r="J61" s="28">
        <f t="shared" ca="1" si="14"/>
        <v>-121.17</v>
      </c>
      <c r="K61" s="28">
        <f t="shared" ca="1" si="14"/>
        <v>-94.339999999999989</v>
      </c>
      <c r="L61" s="28">
        <f t="shared" ca="1" si="14"/>
        <v>-89.210000000000008</v>
      </c>
      <c r="M61" s="28">
        <f t="shared" ca="1" si="14"/>
        <v>-84.56</v>
      </c>
      <c r="N61" s="28">
        <f t="shared" ca="1" si="14"/>
        <v>-80.259999999999991</v>
      </c>
      <c r="O61" s="28">
        <f t="shared" ca="1" si="14"/>
        <v>-76.17</v>
      </c>
      <c r="P61" s="28">
        <f t="shared" ca="1" si="14"/>
        <v>-72.319999999999993</v>
      </c>
      <c r="Q61" s="28">
        <f t="shared" ca="1" si="14"/>
        <v>-68.680000000000007</v>
      </c>
      <c r="R61" s="28">
        <f t="shared" ca="1" si="14"/>
        <v>-65.27</v>
      </c>
      <c r="S61" s="28">
        <f t="shared" ca="1" si="14"/>
        <v>-62.06</v>
      </c>
      <c r="T61" s="28">
        <f t="shared" ca="1" si="14"/>
        <v>-59.019999999999996</v>
      </c>
      <c r="U61" s="28">
        <f t="shared" ca="1" si="14"/>
        <v>-56.17</v>
      </c>
      <c r="V61" s="28">
        <f t="shared" ca="1" si="14"/>
        <v>-53.51</v>
      </c>
      <c r="W61" s="28">
        <f t="shared" ca="1" si="14"/>
        <v>-51.08</v>
      </c>
      <c r="X61" s="28">
        <f t="shared" ca="1" si="14"/>
        <v>-45.706000000000003</v>
      </c>
      <c r="Y61" s="28">
        <f t="shared" ca="1" si="14"/>
        <v>-44.983999999999995</v>
      </c>
      <c r="Z61" s="28">
        <f t="shared" ca="1" si="14"/>
        <v>-44.346000000000004</v>
      </c>
      <c r="AA61" s="28">
        <f t="shared" ca="1" si="14"/>
        <v>-43.768000000000001</v>
      </c>
      <c r="AB61" s="28">
        <f t="shared" ca="1" si="14"/>
        <v>-43.25</v>
      </c>
      <c r="AC61" s="28">
        <f t="shared" ca="1" si="14"/>
        <v>-42.81</v>
      </c>
      <c r="AD61" s="28">
        <f t="shared" ca="1" si="14"/>
        <v>-43.158000000000001</v>
      </c>
      <c r="AE61" s="28">
        <f t="shared" ca="1" si="14"/>
        <v>-43.53</v>
      </c>
      <c r="AF61" s="28">
        <f t="shared" ca="1" si="14"/>
        <v>-43.91</v>
      </c>
      <c r="AG61" s="28">
        <f t="shared" ca="1" si="14"/>
        <v>-45.393999999999998</v>
      </c>
      <c r="AH61" s="28">
        <f t="shared" ca="1" si="14"/>
        <v>0</v>
      </c>
      <c r="AI61" s="28">
        <f t="shared" ca="1" si="14"/>
        <v>0</v>
      </c>
      <c r="AJ61" s="28">
        <f t="shared" ca="1" si="14"/>
        <v>0</v>
      </c>
      <c r="AK61" s="28">
        <f t="shared" ca="1" si="14"/>
        <v>0</v>
      </c>
      <c r="AL61" s="28">
        <f t="shared" ca="1" si="14"/>
        <v>0</v>
      </c>
    </row>
    <row r="62" spans="1:38" ht="21" hidden="1" customHeight="1" outlineLevel="1" thickBot="1" x14ac:dyDescent="0.4">
      <c r="A62" s="10">
        <f t="shared" si="15"/>
        <v>0</v>
      </c>
      <c r="B62" s="10">
        <f t="shared" si="15"/>
        <v>0</v>
      </c>
      <c r="C62" s="10">
        <f t="shared" si="15"/>
        <v>1</v>
      </c>
      <c r="D62" s="10">
        <f t="shared" si="15"/>
        <v>0</v>
      </c>
      <c r="E62" s="11" t="str">
        <f t="shared" si="15"/>
        <v>(1)Ge</v>
      </c>
      <c r="F62" s="28">
        <f t="shared" ca="1" si="16"/>
        <v>-17.02</v>
      </c>
      <c r="G62" s="28">
        <f t="shared" ca="1" si="14"/>
        <v>-16.100000000000001</v>
      </c>
      <c r="H62" s="28">
        <f t="shared" ca="1" si="14"/>
        <v>-15.04</v>
      </c>
      <c r="I62" s="28">
        <f t="shared" ca="1" si="14"/>
        <v>-13.75</v>
      </c>
      <c r="J62" s="28">
        <f t="shared" ca="1" si="14"/>
        <v>-12.33</v>
      </c>
      <c r="K62" s="28">
        <f t="shared" ca="1" si="14"/>
        <v>-7.4930000000000003</v>
      </c>
      <c r="L62" s="28">
        <f t="shared" ca="1" si="14"/>
        <v>-6.7720000000000002</v>
      </c>
      <c r="M62" s="28">
        <f t="shared" ca="1" si="14"/>
        <v>-6.2990000000000004</v>
      </c>
      <c r="N62" s="28">
        <f t="shared" ca="1" si="14"/>
        <v>-6.0309999999999997</v>
      </c>
      <c r="O62" s="28">
        <f t="shared" ca="1" si="14"/>
        <v>-5.9109999999999996</v>
      </c>
      <c r="P62" s="28">
        <f t="shared" ca="1" si="14"/>
        <v>-5.8780000000000001</v>
      </c>
      <c r="Q62" s="28">
        <f t="shared" ca="1" si="14"/>
        <v>-5.89</v>
      </c>
      <c r="R62" s="28">
        <f t="shared" ca="1" si="14"/>
        <v>-5.923</v>
      </c>
      <c r="S62" s="28">
        <f t="shared" ca="1" si="14"/>
        <v>-5.9649999999999999</v>
      </c>
      <c r="T62" s="28">
        <f t="shared" ca="1" si="14"/>
        <v>-6.0110000000000001</v>
      </c>
      <c r="U62" s="28">
        <f t="shared" ca="1" si="14"/>
        <v>-6.06</v>
      </c>
      <c r="V62" s="28">
        <f t="shared" ca="1" si="14"/>
        <v>-6.1130000000000004</v>
      </c>
      <c r="W62" s="28">
        <f t="shared" ca="1" si="14"/>
        <v>-6.1749999999999998</v>
      </c>
      <c r="X62" s="28">
        <f t="shared" ca="1" si="14"/>
        <v>-6.4939999999999998</v>
      </c>
      <c r="Y62" s="28">
        <f t="shared" ca="1" si="14"/>
        <v>-6.55</v>
      </c>
      <c r="Z62" s="28">
        <f t="shared" ca="1" si="14"/>
        <v>-6.6059999999999999</v>
      </c>
      <c r="AA62" s="28">
        <f t="shared" ca="1" si="14"/>
        <v>-6.6609999999999996</v>
      </c>
      <c r="AB62" s="28">
        <f t="shared" ca="1" si="14"/>
        <v>-6.718</v>
      </c>
      <c r="AC62" s="28">
        <f t="shared" ca="1" si="14"/>
        <v>-6.7729999999999997</v>
      </c>
      <c r="AD62" s="28">
        <f t="shared" ca="1" si="14"/>
        <v>-6.8140000000000001</v>
      </c>
      <c r="AE62" s="28">
        <f t="shared" ca="1" si="14"/>
        <v>-6.8540000000000001</v>
      </c>
      <c r="AF62" s="28">
        <f t="shared" ca="1" si="14"/>
        <v>-6.8940000000000001</v>
      </c>
      <c r="AG62" s="28">
        <f t="shared" ca="1" si="14"/>
        <v>-7.0640000000000001</v>
      </c>
      <c r="AH62" s="28">
        <f t="shared" ca="1" si="14"/>
        <v>0</v>
      </c>
      <c r="AI62" s="28">
        <f t="shared" ca="1" si="14"/>
        <v>0</v>
      </c>
      <c r="AJ62" s="28">
        <f t="shared" ca="1" si="14"/>
        <v>0</v>
      </c>
      <c r="AK62" s="28">
        <f t="shared" ca="1" si="14"/>
        <v>0</v>
      </c>
      <c r="AL62" s="28">
        <f t="shared" ca="1" si="14"/>
        <v>0</v>
      </c>
    </row>
    <row r="63" spans="1:38" ht="21" hidden="1" customHeight="1" outlineLevel="1" thickBot="1" x14ac:dyDescent="0.4">
      <c r="A63" s="10">
        <f t="shared" si="15"/>
        <v>0</v>
      </c>
      <c r="B63" s="10">
        <f t="shared" si="15"/>
        <v>0</v>
      </c>
      <c r="C63" s="10">
        <f t="shared" si="15"/>
        <v>0</v>
      </c>
      <c r="D63" s="10">
        <f t="shared" si="15"/>
        <v>1</v>
      </c>
      <c r="E63" s="11" t="str">
        <f t="shared" si="15"/>
        <v>(1)Ga</v>
      </c>
      <c r="F63" s="28">
        <f t="shared" ca="1" si="16"/>
        <v>-66.75</v>
      </c>
      <c r="G63" s="28">
        <f t="shared" ca="1" si="14"/>
        <v>-62.38</v>
      </c>
      <c r="H63" s="28">
        <f t="shared" ca="1" si="14"/>
        <v>-58.23</v>
      </c>
      <c r="I63" s="28">
        <f t="shared" ca="1" si="14"/>
        <v>-54.11</v>
      </c>
      <c r="J63" s="28">
        <f t="shared" ca="1" si="14"/>
        <v>-50.02</v>
      </c>
      <c r="K63" s="28">
        <f t="shared" ca="1" si="14"/>
        <v>-36.159999999999997</v>
      </c>
      <c r="L63" s="28">
        <f t="shared" ca="1" si="14"/>
        <v>-33.5</v>
      </c>
      <c r="M63" s="28">
        <f t="shared" ca="1" si="14"/>
        <v>-31.09</v>
      </c>
      <c r="N63" s="28">
        <f t="shared" ca="1" si="14"/>
        <v>-28.84</v>
      </c>
      <c r="O63" s="28">
        <f t="shared" ca="1" si="14"/>
        <v>-26.68</v>
      </c>
      <c r="P63" s="28">
        <f t="shared" ca="1" si="14"/>
        <v>-24.62</v>
      </c>
      <c r="Q63" s="28">
        <f t="shared" ca="1" si="14"/>
        <v>-22.66</v>
      </c>
      <c r="R63" s="28">
        <f t="shared" ca="1" si="14"/>
        <v>-20.81</v>
      </c>
      <c r="S63" s="28">
        <f t="shared" ca="1" si="14"/>
        <v>-19.059999999999999</v>
      </c>
      <c r="T63" s="28">
        <f t="shared" ca="1" si="14"/>
        <v>-17.399999999999999</v>
      </c>
      <c r="U63" s="28">
        <f t="shared" ca="1" si="14"/>
        <v>-15.83</v>
      </c>
      <c r="V63" s="28">
        <f t="shared" ca="1" si="14"/>
        <v>-14.36</v>
      </c>
      <c r="W63" s="28">
        <f t="shared" ca="1" si="14"/>
        <v>-13.01</v>
      </c>
      <c r="X63" s="28">
        <f t="shared" ca="1" si="14"/>
        <v>-9.8030000000000008</v>
      </c>
      <c r="Y63" s="28">
        <f t="shared" ca="1" si="14"/>
        <v>-9.3119999999999994</v>
      </c>
      <c r="Z63" s="28">
        <f t="shared" ca="1" si="14"/>
        <v>-8.8580000000000005</v>
      </c>
      <c r="AA63" s="28">
        <f t="shared" ca="1" si="14"/>
        <v>-8.4390000000000001</v>
      </c>
      <c r="AB63" s="28">
        <f t="shared" ca="1" si="14"/>
        <v>-8.0500000000000007</v>
      </c>
      <c r="AC63" s="28">
        <f t="shared" ca="1" si="14"/>
        <v>-7.7050000000000001</v>
      </c>
      <c r="AD63" s="28">
        <f t="shared" ca="1" si="14"/>
        <v>-7.774</v>
      </c>
      <c r="AE63" s="28">
        <f t="shared" ca="1" si="14"/>
        <v>-7.8449999999999998</v>
      </c>
      <c r="AF63" s="28">
        <f t="shared" ca="1" si="14"/>
        <v>-7.915</v>
      </c>
      <c r="AG63" s="28">
        <f t="shared" ca="1" si="14"/>
        <v>-8.1869999999999994</v>
      </c>
      <c r="AH63" s="28">
        <f t="shared" ca="1" si="14"/>
        <v>0</v>
      </c>
      <c r="AI63" s="28">
        <f t="shared" ca="1" si="14"/>
        <v>0</v>
      </c>
      <c r="AJ63" s="28">
        <f t="shared" ca="1" si="14"/>
        <v>0</v>
      </c>
      <c r="AK63" s="28">
        <f t="shared" ca="1" si="14"/>
        <v>0</v>
      </c>
      <c r="AL63" s="28">
        <f t="shared" ca="1" si="14"/>
        <v>0</v>
      </c>
    </row>
    <row r="64" spans="1:38" ht="21" hidden="1" customHeight="1" outlineLevel="1" thickBot="1" x14ac:dyDescent="0.4">
      <c r="A64" s="10">
        <f t="shared" si="15"/>
        <v>0</v>
      </c>
      <c r="B64" s="10">
        <f t="shared" si="15"/>
        <v>1</v>
      </c>
      <c r="C64" s="10">
        <f t="shared" si="15"/>
        <v>0</v>
      </c>
      <c r="D64" s="10">
        <f t="shared" si="15"/>
        <v>0</v>
      </c>
      <c r="E64" s="11" t="str">
        <f t="shared" si="15"/>
        <v>(1)Se</v>
      </c>
      <c r="F64" s="28">
        <f t="shared" ca="1" si="16"/>
        <v>-23.56</v>
      </c>
      <c r="G64" s="28">
        <f t="shared" ca="1" si="14"/>
        <v>-22.33</v>
      </c>
      <c r="H64" s="28">
        <f t="shared" ca="1" si="14"/>
        <v>-21.52</v>
      </c>
      <c r="I64" s="28">
        <f t="shared" ca="1" si="14"/>
        <v>-21.15</v>
      </c>
      <c r="J64" s="28">
        <f t="shared" ca="1" si="14"/>
        <v>-21.13</v>
      </c>
      <c r="K64" s="28">
        <f t="shared" ca="1" si="14"/>
        <v>-22.02</v>
      </c>
      <c r="L64" s="28">
        <f t="shared" ca="1" si="14"/>
        <v>-22.21</v>
      </c>
      <c r="M64" s="28">
        <f t="shared" ca="1" si="14"/>
        <v>-22.38</v>
      </c>
      <c r="N64" s="28">
        <f t="shared" ca="1" si="14"/>
        <v>-22.58</v>
      </c>
      <c r="O64" s="28">
        <f t="shared" ca="1" si="14"/>
        <v>-22.81</v>
      </c>
      <c r="P64" s="28">
        <f t="shared" ca="1" si="14"/>
        <v>-23.08</v>
      </c>
      <c r="Q64" s="28">
        <f t="shared" ca="1" si="14"/>
        <v>-23.36</v>
      </c>
      <c r="R64" s="28">
        <f t="shared" ca="1" si="14"/>
        <v>-23.65</v>
      </c>
      <c r="S64" s="28">
        <f t="shared" ca="1" si="14"/>
        <v>-23.94</v>
      </c>
      <c r="T64" s="28">
        <f t="shared" ca="1" si="14"/>
        <v>-24.22</v>
      </c>
      <c r="U64" s="28">
        <f t="shared" ca="1" si="14"/>
        <v>-24.51</v>
      </c>
      <c r="V64" s="28">
        <f t="shared" ca="1" si="14"/>
        <v>-24.79</v>
      </c>
      <c r="W64" s="28">
        <f t="shared" ca="1" si="14"/>
        <v>-25.06</v>
      </c>
      <c r="X64" s="28">
        <f t="shared" ca="1" si="14"/>
        <v>-26.1</v>
      </c>
      <c r="Y64" s="28">
        <f t="shared" ca="1" si="14"/>
        <v>-26.36</v>
      </c>
      <c r="Z64" s="28">
        <f t="shared" ca="1" si="14"/>
        <v>-26.63</v>
      </c>
      <c r="AA64" s="28">
        <f t="shared" ca="1" si="14"/>
        <v>-26.89</v>
      </c>
      <c r="AB64" s="28">
        <f t="shared" ca="1" si="14"/>
        <v>-27.15</v>
      </c>
      <c r="AC64" s="28">
        <f t="shared" ca="1" si="14"/>
        <v>-27.4</v>
      </c>
      <c r="AD64" s="28">
        <f t="shared" ca="1" si="14"/>
        <v>-27.61</v>
      </c>
      <c r="AE64" s="28">
        <f t="shared" ca="1" si="14"/>
        <v>-27.84</v>
      </c>
      <c r="AF64" s="28">
        <f t="shared" ca="1" si="14"/>
        <v>-28.08</v>
      </c>
      <c r="AG64" s="28">
        <f t="shared" ca="1" si="14"/>
        <v>-29.02</v>
      </c>
      <c r="AH64" s="28">
        <f t="shared" ca="1" si="14"/>
        <v>0</v>
      </c>
      <c r="AI64" s="28">
        <f t="shared" ca="1" si="14"/>
        <v>0</v>
      </c>
      <c r="AJ64" s="28">
        <f t="shared" ca="1" si="14"/>
        <v>0</v>
      </c>
      <c r="AK64" s="28">
        <f t="shared" ca="1" si="14"/>
        <v>0</v>
      </c>
      <c r="AL64" s="28">
        <f t="shared" ca="1" si="14"/>
        <v>0</v>
      </c>
    </row>
    <row r="65" spans="1:38" ht="21" hidden="1" customHeight="1" outlineLevel="1" thickBot="1" x14ac:dyDescent="0.4">
      <c r="A65" s="10">
        <f t="shared" si="15"/>
        <v>0</v>
      </c>
      <c r="B65" s="10">
        <f t="shared" si="15"/>
        <v>1</v>
      </c>
      <c r="C65" s="10">
        <f t="shared" si="15"/>
        <v>0</v>
      </c>
      <c r="D65" s="10">
        <f t="shared" si="15"/>
        <v>0</v>
      </c>
      <c r="E65" s="11" t="str">
        <f t="shared" si="15"/>
        <v>(1)Se[a]</v>
      </c>
      <c r="F65" s="28">
        <f t="shared" ca="1" si="16"/>
        <v>-23.56</v>
      </c>
      <c r="G65" s="28">
        <f t="shared" ca="1" si="14"/>
        <v>-22.33</v>
      </c>
      <c r="H65" s="28">
        <f t="shared" ca="1" si="14"/>
        <v>-21.52</v>
      </c>
      <c r="I65" s="28">
        <f t="shared" ca="1" si="14"/>
        <v>-21.15</v>
      </c>
      <c r="J65" s="28">
        <f t="shared" ca="1" si="14"/>
        <v>-21.13</v>
      </c>
      <c r="K65" s="28">
        <f t="shared" ca="1" si="14"/>
        <v>-22.02</v>
      </c>
      <c r="L65" s="28">
        <f t="shared" ca="1" si="14"/>
        <v>-22.21</v>
      </c>
      <c r="M65" s="28">
        <f t="shared" ca="1" si="14"/>
        <v>-22.38</v>
      </c>
      <c r="N65" s="28">
        <f t="shared" ca="1" si="14"/>
        <v>-22.58</v>
      </c>
      <c r="O65" s="28">
        <f t="shared" ca="1" si="14"/>
        <v>-22.81</v>
      </c>
      <c r="P65" s="28">
        <f t="shared" ca="1" si="14"/>
        <v>-23.08</v>
      </c>
      <c r="Q65" s="28">
        <f t="shared" ca="1" si="14"/>
        <v>-23.36</v>
      </c>
      <c r="R65" s="28">
        <f t="shared" ca="1" si="14"/>
        <v>-23.65</v>
      </c>
      <c r="S65" s="28">
        <f t="shared" ca="1" si="14"/>
        <v>-23.94</v>
      </c>
      <c r="T65" s="28">
        <f t="shared" ca="1" si="14"/>
        <v>-24.22</v>
      </c>
      <c r="U65" s="28">
        <f t="shared" ca="1" si="14"/>
        <v>-24.51</v>
      </c>
      <c r="V65" s="28">
        <f t="shared" ca="1" si="14"/>
        <v>-24.79</v>
      </c>
      <c r="W65" s="28">
        <f t="shared" ca="1" si="14"/>
        <v>-25.06</v>
      </c>
      <c r="X65" s="28">
        <f t="shared" ca="1" si="14"/>
        <v>-26.1</v>
      </c>
      <c r="Y65" s="28">
        <f t="shared" ca="1" si="14"/>
        <v>-26.36</v>
      </c>
      <c r="Z65" s="28">
        <f t="shared" ca="1" si="14"/>
        <v>-26.63</v>
      </c>
      <c r="AA65" s="28">
        <f t="shared" ca="1" si="14"/>
        <v>-26.89</v>
      </c>
      <c r="AB65" s="28">
        <f t="shared" ca="1" si="14"/>
        <v>-27.15</v>
      </c>
      <c r="AC65" s="28">
        <f t="shared" ca="1" si="14"/>
        <v>-27.4</v>
      </c>
      <c r="AD65" s="28">
        <f t="shared" ca="1" si="14"/>
        <v>-27.61</v>
      </c>
      <c r="AE65" s="28">
        <f t="shared" ca="1" si="14"/>
        <v>-27.84</v>
      </c>
      <c r="AF65" s="28">
        <f t="shared" ca="1" si="14"/>
        <v>-28.08</v>
      </c>
      <c r="AG65" s="28">
        <f t="shared" ca="1" si="14"/>
        <v>-29.02</v>
      </c>
      <c r="AH65" s="28">
        <f t="shared" ca="1" si="14"/>
        <v>0</v>
      </c>
      <c r="AI65" s="28">
        <f t="shared" ca="1" si="14"/>
        <v>0</v>
      </c>
      <c r="AJ65" s="28">
        <f t="shared" ca="1" si="14"/>
        <v>0</v>
      </c>
      <c r="AK65" s="28">
        <f t="shared" ca="1" si="14"/>
        <v>0</v>
      </c>
      <c r="AL65" s="28">
        <f t="shared" ca="1" si="14"/>
        <v>0</v>
      </c>
    </row>
    <row r="66" spans="1:38" ht="21" hidden="1" customHeight="1" outlineLevel="1" thickBot="1" x14ac:dyDescent="0.4">
      <c r="A66" s="10">
        <f t="shared" si="15"/>
        <v>0</v>
      </c>
      <c r="B66" s="10">
        <f t="shared" si="15"/>
        <v>1</v>
      </c>
      <c r="C66" s="10">
        <f t="shared" si="15"/>
        <v>0</v>
      </c>
      <c r="D66" s="10">
        <f t="shared" si="15"/>
        <v>0</v>
      </c>
      <c r="E66" s="11" t="str">
        <f t="shared" si="15"/>
        <v>(1)Se[m]</v>
      </c>
      <c r="F66" s="28">
        <f t="shared" ca="1" si="16"/>
        <v>-23.56</v>
      </c>
      <c r="G66" s="28">
        <f t="shared" ca="1" si="14"/>
        <v>-22.33</v>
      </c>
      <c r="H66" s="28">
        <f t="shared" ca="1" si="14"/>
        <v>-21.52</v>
      </c>
      <c r="I66" s="28">
        <f t="shared" ca="1" si="14"/>
        <v>-21.15</v>
      </c>
      <c r="J66" s="28">
        <f t="shared" ca="1" si="14"/>
        <v>-21.13</v>
      </c>
      <c r="K66" s="28">
        <f t="shared" ca="1" si="14"/>
        <v>-22.02</v>
      </c>
      <c r="L66" s="28">
        <f t="shared" ca="1" si="14"/>
        <v>-22.21</v>
      </c>
      <c r="M66" s="28">
        <f t="shared" ca="1" si="14"/>
        <v>-22.38</v>
      </c>
      <c r="N66" s="28">
        <f t="shared" ca="1" si="14"/>
        <v>-22.58</v>
      </c>
      <c r="O66" s="28">
        <f t="shared" ca="1" si="14"/>
        <v>-22.81</v>
      </c>
      <c r="P66" s="28">
        <f t="shared" ca="1" si="14"/>
        <v>-23.08</v>
      </c>
      <c r="Q66" s="28">
        <f t="shared" ca="1" si="14"/>
        <v>-23.36</v>
      </c>
      <c r="R66" s="28">
        <f t="shared" ca="1" si="14"/>
        <v>-23.65</v>
      </c>
      <c r="S66" s="28">
        <f t="shared" ca="1" si="14"/>
        <v>-23.94</v>
      </c>
      <c r="T66" s="28">
        <f t="shared" ca="1" si="14"/>
        <v>-24.22</v>
      </c>
      <c r="U66" s="28">
        <f t="shared" ca="1" si="14"/>
        <v>-24.51</v>
      </c>
      <c r="V66" s="28">
        <f t="shared" ca="1" si="14"/>
        <v>-24.79</v>
      </c>
      <c r="W66" s="28">
        <f t="shared" ca="1" si="14"/>
        <v>-25.06</v>
      </c>
      <c r="X66" s="28">
        <f t="shared" ca="1" si="14"/>
        <v>-26.1</v>
      </c>
      <c r="Y66" s="28">
        <f t="shared" ca="1" si="14"/>
        <v>-26.36</v>
      </c>
      <c r="Z66" s="28">
        <f t="shared" ca="1" si="14"/>
        <v>-26.63</v>
      </c>
      <c r="AA66" s="28">
        <f t="shared" ca="1" si="14"/>
        <v>-26.89</v>
      </c>
      <c r="AB66" s="28">
        <f t="shared" ca="1" si="14"/>
        <v>-27.15</v>
      </c>
      <c r="AC66" s="28">
        <f t="shared" ca="1" si="14"/>
        <v>-27.4</v>
      </c>
      <c r="AD66" s="28">
        <f t="shared" ca="1" si="14"/>
        <v>-27.61</v>
      </c>
      <c r="AE66" s="28">
        <f t="shared" ca="1" si="14"/>
        <v>-27.84</v>
      </c>
      <c r="AF66" s="28">
        <f t="shared" ca="1" si="14"/>
        <v>-28.08</v>
      </c>
      <c r="AG66" s="28">
        <f t="shared" ca="1" si="14"/>
        <v>-29.02</v>
      </c>
      <c r="AH66" s="28">
        <f t="shared" ca="1" si="14"/>
        <v>0</v>
      </c>
      <c r="AI66" s="28">
        <f t="shared" ref="G66:AL75" ca="1" si="17">$A66*H.Ar + $B66*H.Se + $C66*H.Ge + $D66*H.Ga</f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(1)Se[r]</v>
      </c>
      <c r="F67" s="28">
        <f t="shared" ca="1" si="16"/>
        <v>-23.56</v>
      </c>
      <c r="G67" s="28">
        <f t="shared" ca="1" si="17"/>
        <v>-22.33</v>
      </c>
      <c r="H67" s="28">
        <f t="shared" ca="1" si="17"/>
        <v>-21.52</v>
      </c>
      <c r="I67" s="28">
        <f t="shared" ca="1" si="17"/>
        <v>-21.15</v>
      </c>
      <c r="J67" s="28">
        <f t="shared" ca="1" si="17"/>
        <v>-21.13</v>
      </c>
      <c r="K67" s="28">
        <f t="shared" ca="1" si="17"/>
        <v>-22.02</v>
      </c>
      <c r="L67" s="28">
        <f t="shared" ca="1" si="17"/>
        <v>-22.21</v>
      </c>
      <c r="M67" s="28">
        <f t="shared" ca="1" si="17"/>
        <v>-22.38</v>
      </c>
      <c r="N67" s="28">
        <f t="shared" ca="1" si="17"/>
        <v>-22.58</v>
      </c>
      <c r="O67" s="28">
        <f t="shared" ca="1" si="17"/>
        <v>-22.81</v>
      </c>
      <c r="P67" s="28">
        <f t="shared" ca="1" si="17"/>
        <v>-23.08</v>
      </c>
      <c r="Q67" s="28">
        <f t="shared" ca="1" si="17"/>
        <v>-23.36</v>
      </c>
      <c r="R67" s="28">
        <f t="shared" ca="1" si="17"/>
        <v>-23.65</v>
      </c>
      <c r="S67" s="28">
        <f t="shared" ca="1" si="17"/>
        <v>-23.94</v>
      </c>
      <c r="T67" s="28">
        <f t="shared" ca="1" si="17"/>
        <v>-24.22</v>
      </c>
      <c r="U67" s="28">
        <f t="shared" ca="1" si="17"/>
        <v>-24.51</v>
      </c>
      <c r="V67" s="28">
        <f t="shared" ca="1" si="17"/>
        <v>-24.79</v>
      </c>
      <c r="W67" s="28">
        <f t="shared" ca="1" si="17"/>
        <v>-25.06</v>
      </c>
      <c r="X67" s="28">
        <f t="shared" ca="1" si="17"/>
        <v>-26.1</v>
      </c>
      <c r="Y67" s="28">
        <f t="shared" ca="1" si="17"/>
        <v>-26.36</v>
      </c>
      <c r="Z67" s="28">
        <f t="shared" ca="1" si="17"/>
        <v>-26.63</v>
      </c>
      <c r="AA67" s="28">
        <f t="shared" ca="1" si="17"/>
        <v>-26.89</v>
      </c>
      <c r="AB67" s="28">
        <f t="shared" ca="1" si="17"/>
        <v>-27.15</v>
      </c>
      <c r="AC67" s="28">
        <f t="shared" ca="1" si="17"/>
        <v>-27.4</v>
      </c>
      <c r="AD67" s="28">
        <f t="shared" ca="1" si="17"/>
        <v>-27.61</v>
      </c>
      <c r="AE67" s="28">
        <f t="shared" ca="1" si="17"/>
        <v>-27.84</v>
      </c>
      <c r="AF67" s="28">
        <f t="shared" ca="1" si="17"/>
        <v>-28.08</v>
      </c>
      <c r="AG67" s="28">
        <f t="shared" ca="1" si="17"/>
        <v>-29.02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1</v>
      </c>
      <c r="D68" s="10">
        <f t="shared" si="15"/>
        <v>0</v>
      </c>
      <c r="E68" s="11" t="str">
        <f t="shared" si="15"/>
        <v>(1)Ge[c]</v>
      </c>
      <c r="F68" s="28">
        <f t="shared" ca="1" si="16"/>
        <v>-17.02</v>
      </c>
      <c r="G68" s="28">
        <f t="shared" ca="1" si="17"/>
        <v>-16.100000000000001</v>
      </c>
      <c r="H68" s="28">
        <f t="shared" ca="1" si="17"/>
        <v>-15.04</v>
      </c>
      <c r="I68" s="28">
        <f t="shared" ca="1" si="17"/>
        <v>-13.75</v>
      </c>
      <c r="J68" s="28">
        <f t="shared" ca="1" si="17"/>
        <v>-12.33</v>
      </c>
      <c r="K68" s="28">
        <f t="shared" ca="1" si="17"/>
        <v>-7.4930000000000003</v>
      </c>
      <c r="L68" s="28">
        <f t="shared" ca="1" si="17"/>
        <v>-6.7720000000000002</v>
      </c>
      <c r="M68" s="28">
        <f t="shared" ca="1" si="17"/>
        <v>-6.2990000000000004</v>
      </c>
      <c r="N68" s="28">
        <f t="shared" ca="1" si="17"/>
        <v>-6.0309999999999997</v>
      </c>
      <c r="O68" s="28">
        <f t="shared" ca="1" si="17"/>
        <v>-5.9109999999999996</v>
      </c>
      <c r="P68" s="28">
        <f t="shared" ca="1" si="17"/>
        <v>-5.8780000000000001</v>
      </c>
      <c r="Q68" s="28">
        <f t="shared" ca="1" si="17"/>
        <v>-5.89</v>
      </c>
      <c r="R68" s="28">
        <f t="shared" ca="1" si="17"/>
        <v>-5.923</v>
      </c>
      <c r="S68" s="28">
        <f t="shared" ca="1" si="17"/>
        <v>-5.9649999999999999</v>
      </c>
      <c r="T68" s="28">
        <f t="shared" ca="1" si="17"/>
        <v>-6.0110000000000001</v>
      </c>
      <c r="U68" s="28">
        <f t="shared" ca="1" si="17"/>
        <v>-6.06</v>
      </c>
      <c r="V68" s="28">
        <f t="shared" ca="1" si="17"/>
        <v>-6.1130000000000004</v>
      </c>
      <c r="W68" s="28">
        <f t="shared" ca="1" si="17"/>
        <v>-6.1749999999999998</v>
      </c>
      <c r="X68" s="28">
        <f t="shared" ca="1" si="17"/>
        <v>-6.4939999999999998</v>
      </c>
      <c r="Y68" s="28">
        <f t="shared" ca="1" si="17"/>
        <v>-6.55</v>
      </c>
      <c r="Z68" s="28">
        <f t="shared" ca="1" si="17"/>
        <v>-6.6059999999999999</v>
      </c>
      <c r="AA68" s="28">
        <f t="shared" ca="1" si="17"/>
        <v>-6.6609999999999996</v>
      </c>
      <c r="AB68" s="28">
        <f t="shared" ca="1" si="17"/>
        <v>-6.718</v>
      </c>
      <c r="AC68" s="28">
        <f t="shared" ca="1" si="17"/>
        <v>-6.7729999999999997</v>
      </c>
      <c r="AD68" s="28">
        <f t="shared" ca="1" si="17"/>
        <v>-6.8140000000000001</v>
      </c>
      <c r="AE68" s="28">
        <f t="shared" ca="1" si="17"/>
        <v>-6.8540000000000001</v>
      </c>
      <c r="AF68" s="28">
        <f t="shared" ca="1" si="17"/>
        <v>-6.8940000000000001</v>
      </c>
      <c r="AG68" s="28">
        <f t="shared" ca="1" si="17"/>
        <v>-7.0640000000000001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1</v>
      </c>
      <c r="E69" s="11" t="str">
        <f t="shared" si="15"/>
        <v>(3)Ga[l]</v>
      </c>
      <c r="F69" s="28">
        <f t="shared" ca="1" si="16"/>
        <v>-66.75</v>
      </c>
      <c r="G69" s="28">
        <f t="shared" ca="1" si="17"/>
        <v>-62.38</v>
      </c>
      <c r="H69" s="28">
        <f t="shared" ca="1" si="17"/>
        <v>-58.23</v>
      </c>
      <c r="I69" s="28">
        <f t="shared" ca="1" si="17"/>
        <v>-54.11</v>
      </c>
      <c r="J69" s="28">
        <f t="shared" ca="1" si="17"/>
        <v>-50.02</v>
      </c>
      <c r="K69" s="28">
        <f t="shared" ca="1" si="17"/>
        <v>-36.159999999999997</v>
      </c>
      <c r="L69" s="28">
        <f t="shared" ca="1" si="17"/>
        <v>-33.5</v>
      </c>
      <c r="M69" s="28">
        <f t="shared" ca="1" si="17"/>
        <v>-31.09</v>
      </c>
      <c r="N69" s="28">
        <f t="shared" ca="1" si="17"/>
        <v>-28.84</v>
      </c>
      <c r="O69" s="28">
        <f t="shared" ca="1" si="17"/>
        <v>-26.68</v>
      </c>
      <c r="P69" s="28">
        <f t="shared" ca="1" si="17"/>
        <v>-24.62</v>
      </c>
      <c r="Q69" s="28">
        <f t="shared" ca="1" si="17"/>
        <v>-22.66</v>
      </c>
      <c r="R69" s="28">
        <f t="shared" ca="1" si="17"/>
        <v>-20.81</v>
      </c>
      <c r="S69" s="28">
        <f t="shared" ca="1" si="17"/>
        <v>-19.059999999999999</v>
      </c>
      <c r="T69" s="28">
        <f t="shared" ca="1" si="17"/>
        <v>-17.399999999999999</v>
      </c>
      <c r="U69" s="28">
        <f t="shared" ca="1" si="17"/>
        <v>-15.83</v>
      </c>
      <c r="V69" s="28">
        <f t="shared" ca="1" si="17"/>
        <v>-14.36</v>
      </c>
      <c r="W69" s="28">
        <f t="shared" ca="1" si="17"/>
        <v>-13.01</v>
      </c>
      <c r="X69" s="28">
        <f t="shared" ca="1" si="17"/>
        <v>-9.8030000000000008</v>
      </c>
      <c r="Y69" s="28">
        <f t="shared" ca="1" si="17"/>
        <v>-9.3119999999999994</v>
      </c>
      <c r="Z69" s="28">
        <f t="shared" ca="1" si="17"/>
        <v>-8.8580000000000005</v>
      </c>
      <c r="AA69" s="28">
        <f t="shared" ca="1" si="17"/>
        <v>-8.4390000000000001</v>
      </c>
      <c r="AB69" s="28">
        <f t="shared" ca="1" si="17"/>
        <v>-8.0500000000000007</v>
      </c>
      <c r="AC69" s="28">
        <f t="shared" ca="1" si="17"/>
        <v>-7.7050000000000001</v>
      </c>
      <c r="AD69" s="28">
        <f t="shared" ca="1" si="17"/>
        <v>-7.774</v>
      </c>
      <c r="AE69" s="28">
        <f t="shared" ca="1" si="17"/>
        <v>-7.8449999999999998</v>
      </c>
      <c r="AF69" s="28">
        <f t="shared" ca="1" si="17"/>
        <v>-7.915</v>
      </c>
      <c r="AG69" s="28">
        <f t="shared" ca="1" si="17"/>
        <v>-8.1869999999999994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ref="A70:E79" si="18">A24</f>
        <v>0</v>
      </c>
      <c r="B70" s="10">
        <f t="shared" si="18"/>
        <v>0</v>
      </c>
      <c r="C70" s="10">
        <f t="shared" si="18"/>
        <v>1</v>
      </c>
      <c r="D70" s="10">
        <f t="shared" si="18"/>
        <v>0</v>
      </c>
      <c r="E70" s="11" t="str">
        <f t="shared" si="18"/>
        <v>(3)Ge[l]</v>
      </c>
      <c r="F70" s="28">
        <f t="shared" ref="F70:U78" ca="1" si="19">$A70*H.Ar + $B70*H.Se + $C70*H.Ge + $D70*H.Ga</f>
        <v>-17.02</v>
      </c>
      <c r="G70" s="28">
        <f t="shared" ca="1" si="19"/>
        <v>-16.100000000000001</v>
      </c>
      <c r="H70" s="28">
        <f t="shared" ca="1" si="19"/>
        <v>-15.04</v>
      </c>
      <c r="I70" s="28">
        <f t="shared" ca="1" si="19"/>
        <v>-13.75</v>
      </c>
      <c r="J70" s="28">
        <f t="shared" ca="1" si="19"/>
        <v>-12.33</v>
      </c>
      <c r="K70" s="28">
        <f t="shared" ca="1" si="19"/>
        <v>-7.4930000000000003</v>
      </c>
      <c r="L70" s="28">
        <f t="shared" ca="1" si="19"/>
        <v>-6.7720000000000002</v>
      </c>
      <c r="M70" s="28">
        <f t="shared" ca="1" si="19"/>
        <v>-6.2990000000000004</v>
      </c>
      <c r="N70" s="28">
        <f t="shared" ca="1" si="19"/>
        <v>-6.0309999999999997</v>
      </c>
      <c r="O70" s="28">
        <f t="shared" ca="1" si="19"/>
        <v>-5.9109999999999996</v>
      </c>
      <c r="P70" s="28">
        <f t="shared" ca="1" si="19"/>
        <v>-5.8780000000000001</v>
      </c>
      <c r="Q70" s="28">
        <f t="shared" ca="1" si="19"/>
        <v>-5.89</v>
      </c>
      <c r="R70" s="28">
        <f t="shared" ca="1" si="19"/>
        <v>-5.923</v>
      </c>
      <c r="S70" s="28">
        <f t="shared" ca="1" si="19"/>
        <v>-5.9649999999999999</v>
      </c>
      <c r="T70" s="28">
        <f t="shared" ca="1" si="19"/>
        <v>-6.0110000000000001</v>
      </c>
      <c r="U70" s="28">
        <f t="shared" ca="1" si="19"/>
        <v>-6.06</v>
      </c>
      <c r="V70" s="28">
        <f t="shared" ca="1" si="17"/>
        <v>-6.1130000000000004</v>
      </c>
      <c r="W70" s="28">
        <f t="shared" ca="1" si="17"/>
        <v>-6.1749999999999998</v>
      </c>
      <c r="X70" s="28">
        <f t="shared" ca="1" si="17"/>
        <v>-6.4939999999999998</v>
      </c>
      <c r="Y70" s="28">
        <f t="shared" ca="1" si="17"/>
        <v>-6.55</v>
      </c>
      <c r="Z70" s="28">
        <f t="shared" ca="1" si="17"/>
        <v>-6.6059999999999999</v>
      </c>
      <c r="AA70" s="28">
        <f t="shared" ca="1" si="17"/>
        <v>-6.6609999999999996</v>
      </c>
      <c r="AB70" s="28">
        <f t="shared" ca="1" si="17"/>
        <v>-6.718</v>
      </c>
      <c r="AC70" s="28">
        <f t="shared" ca="1" si="17"/>
        <v>-6.7729999999999997</v>
      </c>
      <c r="AD70" s="28">
        <f t="shared" ca="1" si="17"/>
        <v>-6.8140000000000001</v>
      </c>
      <c r="AE70" s="28">
        <f t="shared" ca="1" si="17"/>
        <v>-6.8540000000000001</v>
      </c>
      <c r="AF70" s="28">
        <f t="shared" ca="1" si="17"/>
        <v>-6.8940000000000001</v>
      </c>
      <c r="AG70" s="28">
        <f t="shared" ca="1" si="17"/>
        <v>-7.0640000000000001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8"/>
        <v>1</v>
      </c>
      <c r="B71" s="10">
        <f t="shared" si="18"/>
        <v>0</v>
      </c>
      <c r="C71" s="10">
        <f t="shared" si="18"/>
        <v>0</v>
      </c>
      <c r="D71" s="10">
        <f t="shared" si="18"/>
        <v>0</v>
      </c>
      <c r="E71" s="11" t="str">
        <f t="shared" si="18"/>
        <v>H (Ar)</v>
      </c>
      <c r="F71" s="28">
        <f t="shared" ca="1" si="19"/>
        <v>-18.71</v>
      </c>
      <c r="G71" s="28">
        <f t="shared" ca="1" si="17"/>
        <v>-18.7</v>
      </c>
      <c r="H71" s="28">
        <f t="shared" ca="1" si="17"/>
        <v>-18.7</v>
      </c>
      <c r="I71" s="28">
        <f t="shared" ca="1" si="17"/>
        <v>-18.7</v>
      </c>
      <c r="J71" s="28">
        <f t="shared" ca="1" si="17"/>
        <v>-18.72</v>
      </c>
      <c r="K71" s="28">
        <f t="shared" ca="1" si="17"/>
        <v>-18.829999999999998</v>
      </c>
      <c r="L71" s="28">
        <f t="shared" ca="1" si="17"/>
        <v>-18.87</v>
      </c>
      <c r="M71" s="28">
        <f t="shared" ca="1" si="17"/>
        <v>-18.899999999999999</v>
      </c>
      <c r="N71" s="28">
        <f t="shared" ca="1" si="17"/>
        <v>-18.940000000000001</v>
      </c>
      <c r="O71" s="28">
        <f t="shared" ca="1" si="17"/>
        <v>-18.98</v>
      </c>
      <c r="P71" s="28">
        <f t="shared" ca="1" si="17"/>
        <v>-19.02</v>
      </c>
      <c r="Q71" s="28">
        <f t="shared" ca="1" si="17"/>
        <v>-19.059999999999999</v>
      </c>
      <c r="R71" s="28">
        <f t="shared" ca="1" si="17"/>
        <v>-19.100000000000001</v>
      </c>
      <c r="S71" s="28">
        <f t="shared" ca="1" si="17"/>
        <v>-19.14</v>
      </c>
      <c r="T71" s="28">
        <f t="shared" ca="1" si="17"/>
        <v>-19.18</v>
      </c>
      <c r="U71" s="28">
        <f t="shared" ca="1" si="17"/>
        <v>-19.23</v>
      </c>
      <c r="V71" s="28">
        <f t="shared" ca="1" si="17"/>
        <v>-19.27</v>
      </c>
      <c r="W71" s="28">
        <f t="shared" ca="1" si="17"/>
        <v>-19.3</v>
      </c>
      <c r="X71" s="28">
        <f t="shared" ca="1" si="17"/>
        <v>-19.43</v>
      </c>
      <c r="Y71" s="28">
        <f t="shared" ca="1" si="17"/>
        <v>-19.47</v>
      </c>
      <c r="Z71" s="28">
        <f t="shared" ca="1" si="17"/>
        <v>-19.510000000000002</v>
      </c>
      <c r="AA71" s="28">
        <f t="shared" ca="1" si="17"/>
        <v>-19.55</v>
      </c>
      <c r="AB71" s="28">
        <f t="shared" ca="1" si="17"/>
        <v>-19.59</v>
      </c>
      <c r="AC71" s="28">
        <f t="shared" ca="1" si="17"/>
        <v>-19.62</v>
      </c>
      <c r="AD71" s="28">
        <f t="shared" ca="1" si="17"/>
        <v>-19.66</v>
      </c>
      <c r="AE71" s="28">
        <f t="shared" ca="1" si="17"/>
        <v>-19.7</v>
      </c>
      <c r="AF71" s="28">
        <f t="shared" ca="1" si="17"/>
        <v>-19.739999999999998</v>
      </c>
      <c r="AG71" s="28">
        <f t="shared" ca="1" si="17"/>
        <v>-19.88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8"/>
        <v>0</v>
      </c>
      <c r="B72" s="10">
        <f t="shared" si="18"/>
        <v>0</v>
      </c>
      <c r="C72" s="10">
        <f t="shared" si="18"/>
        <v>0</v>
      </c>
      <c r="D72" s="10">
        <f t="shared" si="18"/>
        <v>1</v>
      </c>
      <c r="E72" s="11" t="str">
        <f t="shared" si="18"/>
        <v>H (Ga)</v>
      </c>
      <c r="F72" s="28">
        <f t="shared" ca="1" si="19"/>
        <v>-66.75</v>
      </c>
      <c r="G72" s="28">
        <f t="shared" ca="1" si="17"/>
        <v>-62.38</v>
      </c>
      <c r="H72" s="28">
        <f t="shared" ca="1" si="17"/>
        <v>-58.23</v>
      </c>
      <c r="I72" s="28">
        <f t="shared" ca="1" si="17"/>
        <v>-54.11</v>
      </c>
      <c r="J72" s="28">
        <f t="shared" ca="1" si="17"/>
        <v>-50.02</v>
      </c>
      <c r="K72" s="28">
        <f t="shared" ca="1" si="17"/>
        <v>-36.159999999999997</v>
      </c>
      <c r="L72" s="28">
        <f t="shared" ca="1" si="17"/>
        <v>-33.5</v>
      </c>
      <c r="M72" s="28">
        <f t="shared" ca="1" si="17"/>
        <v>-31.09</v>
      </c>
      <c r="N72" s="28">
        <f t="shared" ca="1" si="17"/>
        <v>-28.84</v>
      </c>
      <c r="O72" s="28">
        <f t="shared" ca="1" si="17"/>
        <v>-26.68</v>
      </c>
      <c r="P72" s="28">
        <f t="shared" ca="1" si="17"/>
        <v>-24.62</v>
      </c>
      <c r="Q72" s="28">
        <f t="shared" ca="1" si="17"/>
        <v>-22.66</v>
      </c>
      <c r="R72" s="28">
        <f t="shared" ca="1" si="17"/>
        <v>-20.81</v>
      </c>
      <c r="S72" s="28">
        <f t="shared" ca="1" si="17"/>
        <v>-19.059999999999999</v>
      </c>
      <c r="T72" s="28">
        <f t="shared" ca="1" si="17"/>
        <v>-17.399999999999999</v>
      </c>
      <c r="U72" s="28">
        <f t="shared" ca="1" si="17"/>
        <v>-15.83</v>
      </c>
      <c r="V72" s="28">
        <f t="shared" ca="1" si="17"/>
        <v>-14.36</v>
      </c>
      <c r="W72" s="28">
        <f t="shared" ca="1" si="17"/>
        <v>-13.01</v>
      </c>
      <c r="X72" s="28">
        <f t="shared" ca="1" si="17"/>
        <v>-9.8030000000000008</v>
      </c>
      <c r="Y72" s="28">
        <f t="shared" ca="1" si="17"/>
        <v>-9.3119999999999994</v>
      </c>
      <c r="Z72" s="28">
        <f t="shared" ca="1" si="17"/>
        <v>-8.8580000000000005</v>
      </c>
      <c r="AA72" s="28">
        <f t="shared" ca="1" si="17"/>
        <v>-8.4390000000000001</v>
      </c>
      <c r="AB72" s="28">
        <f t="shared" ca="1" si="17"/>
        <v>-8.0500000000000007</v>
      </c>
      <c r="AC72" s="28">
        <f t="shared" ca="1" si="17"/>
        <v>-7.7050000000000001</v>
      </c>
      <c r="AD72" s="28">
        <f t="shared" ca="1" si="17"/>
        <v>-7.774</v>
      </c>
      <c r="AE72" s="28">
        <f t="shared" ca="1" si="17"/>
        <v>-7.8449999999999998</v>
      </c>
      <c r="AF72" s="28">
        <f t="shared" ca="1" si="17"/>
        <v>-7.915</v>
      </c>
      <c r="AG72" s="28">
        <f t="shared" ca="1" si="17"/>
        <v>-8.1869999999999994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8"/>
        <v>0</v>
      </c>
      <c r="B73" s="10">
        <f t="shared" si="18"/>
        <v>0</v>
      </c>
      <c r="C73" s="10">
        <f t="shared" si="18"/>
        <v>1</v>
      </c>
      <c r="D73" s="10">
        <f t="shared" si="18"/>
        <v>0</v>
      </c>
      <c r="E73" s="11" t="str">
        <f t="shared" si="18"/>
        <v>H (Ge)</v>
      </c>
      <c r="F73" s="28">
        <f t="shared" ca="1" si="19"/>
        <v>-17.02</v>
      </c>
      <c r="G73" s="28">
        <f t="shared" ca="1" si="17"/>
        <v>-16.100000000000001</v>
      </c>
      <c r="H73" s="28">
        <f t="shared" ca="1" si="17"/>
        <v>-15.04</v>
      </c>
      <c r="I73" s="28">
        <f t="shared" ca="1" si="17"/>
        <v>-13.75</v>
      </c>
      <c r="J73" s="28">
        <f t="shared" ca="1" si="17"/>
        <v>-12.33</v>
      </c>
      <c r="K73" s="28">
        <f t="shared" ca="1" si="17"/>
        <v>-7.4930000000000003</v>
      </c>
      <c r="L73" s="28">
        <f t="shared" ca="1" si="17"/>
        <v>-6.7720000000000002</v>
      </c>
      <c r="M73" s="28">
        <f t="shared" ca="1" si="17"/>
        <v>-6.2990000000000004</v>
      </c>
      <c r="N73" s="28">
        <f t="shared" ca="1" si="17"/>
        <v>-6.0309999999999997</v>
      </c>
      <c r="O73" s="28">
        <f t="shared" ca="1" si="17"/>
        <v>-5.9109999999999996</v>
      </c>
      <c r="P73" s="28">
        <f t="shared" ca="1" si="17"/>
        <v>-5.8780000000000001</v>
      </c>
      <c r="Q73" s="28">
        <f t="shared" ca="1" si="17"/>
        <v>-5.89</v>
      </c>
      <c r="R73" s="28">
        <f t="shared" ca="1" si="17"/>
        <v>-5.923</v>
      </c>
      <c r="S73" s="28">
        <f t="shared" ca="1" si="17"/>
        <v>-5.9649999999999999</v>
      </c>
      <c r="T73" s="28">
        <f t="shared" ca="1" si="17"/>
        <v>-6.0110000000000001</v>
      </c>
      <c r="U73" s="28">
        <f t="shared" ca="1" si="17"/>
        <v>-6.06</v>
      </c>
      <c r="V73" s="28">
        <f t="shared" ca="1" si="17"/>
        <v>-6.1130000000000004</v>
      </c>
      <c r="W73" s="28">
        <f t="shared" ca="1" si="17"/>
        <v>-6.1749999999999998</v>
      </c>
      <c r="X73" s="28">
        <f t="shared" ca="1" si="17"/>
        <v>-6.4939999999999998</v>
      </c>
      <c r="Y73" s="28">
        <f t="shared" ca="1" si="17"/>
        <v>-6.55</v>
      </c>
      <c r="Z73" s="28">
        <f t="shared" ca="1" si="17"/>
        <v>-6.6059999999999999</v>
      </c>
      <c r="AA73" s="28">
        <f t="shared" ca="1" si="17"/>
        <v>-6.6609999999999996</v>
      </c>
      <c r="AB73" s="28">
        <f t="shared" ca="1" si="17"/>
        <v>-6.718</v>
      </c>
      <c r="AC73" s="28">
        <f t="shared" ca="1" si="17"/>
        <v>-6.7729999999999997</v>
      </c>
      <c r="AD73" s="28">
        <f t="shared" ca="1" si="17"/>
        <v>-6.8140000000000001</v>
      </c>
      <c r="AE73" s="28">
        <f t="shared" ca="1" si="17"/>
        <v>-6.8540000000000001</v>
      </c>
      <c r="AF73" s="28">
        <f t="shared" ca="1" si="17"/>
        <v>-6.8940000000000001</v>
      </c>
      <c r="AG73" s="28">
        <f t="shared" ca="1" si="17"/>
        <v>-7.0640000000000001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8"/>
        <v>0</v>
      </c>
      <c r="B74" s="10">
        <f t="shared" si="18"/>
        <v>1</v>
      </c>
      <c r="C74" s="10">
        <f t="shared" si="18"/>
        <v>0</v>
      </c>
      <c r="D74" s="10">
        <f t="shared" si="18"/>
        <v>0</v>
      </c>
      <c r="E74" s="11" t="str">
        <f t="shared" si="18"/>
        <v>H (Se)</v>
      </c>
      <c r="F74" s="28">
        <f t="shared" ca="1" si="19"/>
        <v>-23.56</v>
      </c>
      <c r="G74" s="28">
        <f t="shared" ca="1" si="17"/>
        <v>-22.33</v>
      </c>
      <c r="H74" s="28">
        <f t="shared" ca="1" si="17"/>
        <v>-21.52</v>
      </c>
      <c r="I74" s="28">
        <f t="shared" ca="1" si="17"/>
        <v>-21.15</v>
      </c>
      <c r="J74" s="28">
        <f t="shared" ca="1" si="17"/>
        <v>-21.13</v>
      </c>
      <c r="K74" s="28">
        <f t="shared" ca="1" si="17"/>
        <v>-22.02</v>
      </c>
      <c r="L74" s="28">
        <f t="shared" ca="1" si="17"/>
        <v>-22.21</v>
      </c>
      <c r="M74" s="28">
        <f t="shared" ca="1" si="17"/>
        <v>-22.38</v>
      </c>
      <c r="N74" s="28">
        <f t="shared" ca="1" si="17"/>
        <v>-22.58</v>
      </c>
      <c r="O74" s="28">
        <f t="shared" ca="1" si="17"/>
        <v>-22.81</v>
      </c>
      <c r="P74" s="28">
        <f t="shared" ca="1" si="17"/>
        <v>-23.08</v>
      </c>
      <c r="Q74" s="28">
        <f t="shared" ca="1" si="17"/>
        <v>-23.36</v>
      </c>
      <c r="R74" s="28">
        <f t="shared" ca="1" si="17"/>
        <v>-23.65</v>
      </c>
      <c r="S74" s="28">
        <f t="shared" ca="1" si="17"/>
        <v>-23.94</v>
      </c>
      <c r="T74" s="28">
        <f t="shared" ca="1" si="17"/>
        <v>-24.22</v>
      </c>
      <c r="U74" s="28">
        <f t="shared" ca="1" si="17"/>
        <v>-24.51</v>
      </c>
      <c r="V74" s="28">
        <f t="shared" ca="1" si="17"/>
        <v>-24.79</v>
      </c>
      <c r="W74" s="28">
        <f t="shared" ca="1" si="17"/>
        <v>-25.06</v>
      </c>
      <c r="X74" s="28">
        <f t="shared" ca="1" si="17"/>
        <v>-26.1</v>
      </c>
      <c r="Y74" s="28">
        <f t="shared" ca="1" si="17"/>
        <v>-26.36</v>
      </c>
      <c r="Z74" s="28">
        <f t="shared" ca="1" si="17"/>
        <v>-26.63</v>
      </c>
      <c r="AA74" s="28">
        <f t="shared" ca="1" si="17"/>
        <v>-26.89</v>
      </c>
      <c r="AB74" s="28">
        <f t="shared" ca="1" si="17"/>
        <v>-27.15</v>
      </c>
      <c r="AC74" s="28">
        <f t="shared" ca="1" si="17"/>
        <v>-27.4</v>
      </c>
      <c r="AD74" s="28">
        <f t="shared" ca="1" si="17"/>
        <v>-27.61</v>
      </c>
      <c r="AE74" s="28">
        <f t="shared" ca="1" si="17"/>
        <v>-27.84</v>
      </c>
      <c r="AF74" s="28">
        <f t="shared" ca="1" si="17"/>
        <v>-28.08</v>
      </c>
      <c r="AG74" s="28">
        <f t="shared" ca="1" si="17"/>
        <v>-29.02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8"/>
        <v>0</v>
      </c>
      <c r="B75" s="10">
        <f t="shared" si="18"/>
        <v>0</v>
      </c>
      <c r="C75" s="10">
        <f t="shared" si="18"/>
        <v>0</v>
      </c>
      <c r="D75" s="10">
        <f t="shared" si="18"/>
        <v>0</v>
      </c>
      <c r="E75" s="11">
        <f t="shared" si="18"/>
        <v>0</v>
      </c>
      <c r="F75" s="28">
        <f t="shared" ca="1" si="19"/>
        <v>0</v>
      </c>
      <c r="G75" s="28">
        <f t="shared" ca="1" si="17"/>
        <v>0</v>
      </c>
      <c r="H75" s="28">
        <f t="shared" ca="1" si="17"/>
        <v>0</v>
      </c>
      <c r="I75" s="28">
        <f t="shared" ca="1" si="17"/>
        <v>0</v>
      </c>
      <c r="J75" s="28">
        <f t="shared" ca="1" si="17"/>
        <v>0</v>
      </c>
      <c r="K75" s="28">
        <f t="shared" ca="1" si="17"/>
        <v>0</v>
      </c>
      <c r="L75" s="28">
        <f t="shared" ca="1" si="17"/>
        <v>0</v>
      </c>
      <c r="M75" s="28">
        <f t="shared" ca="1" si="17"/>
        <v>0</v>
      </c>
      <c r="N75" s="28">
        <f t="shared" ca="1" si="17"/>
        <v>0</v>
      </c>
      <c r="O75" s="28">
        <f t="shared" ca="1" si="17"/>
        <v>0</v>
      </c>
      <c r="P75" s="28">
        <f t="shared" ca="1" si="17"/>
        <v>0</v>
      </c>
      <c r="Q75" s="28">
        <f t="shared" ref="G75:AL78" ca="1" si="20">$A75*H.Ar + $B75*H.Se + $C75*H.Ge + $D75*H.Ga</f>
        <v>0</v>
      </c>
      <c r="R75" s="28">
        <f t="shared" ca="1" si="20"/>
        <v>0</v>
      </c>
      <c r="S75" s="28">
        <f t="shared" ca="1" si="20"/>
        <v>0</v>
      </c>
      <c r="T75" s="28">
        <f t="shared" ca="1" si="20"/>
        <v>0</v>
      </c>
      <c r="U75" s="28">
        <f t="shared" ca="1" si="20"/>
        <v>0</v>
      </c>
      <c r="V75" s="28">
        <f t="shared" ca="1" si="20"/>
        <v>0</v>
      </c>
      <c r="W75" s="28">
        <f t="shared" ca="1" si="20"/>
        <v>0</v>
      </c>
      <c r="X75" s="28">
        <f t="shared" ca="1" si="20"/>
        <v>0</v>
      </c>
      <c r="Y75" s="28">
        <f t="shared" ca="1" si="20"/>
        <v>0</v>
      </c>
      <c r="Z75" s="28">
        <f t="shared" ca="1" si="20"/>
        <v>0</v>
      </c>
      <c r="AA75" s="28">
        <f t="shared" ca="1" si="20"/>
        <v>0</v>
      </c>
      <c r="AB75" s="28">
        <f t="shared" ca="1" si="20"/>
        <v>0</v>
      </c>
      <c r="AC75" s="28">
        <f t="shared" ca="1" si="20"/>
        <v>0</v>
      </c>
      <c r="AD75" s="28">
        <f t="shared" ca="1" si="20"/>
        <v>0</v>
      </c>
      <c r="AE75" s="28">
        <f t="shared" ca="1" si="20"/>
        <v>0</v>
      </c>
      <c r="AF75" s="28">
        <f t="shared" ca="1" si="20"/>
        <v>0</v>
      </c>
      <c r="AG75" s="28">
        <f t="shared" ca="1" si="20"/>
        <v>0</v>
      </c>
      <c r="AH75" s="28">
        <f t="shared" ca="1" si="20"/>
        <v>0</v>
      </c>
      <c r="AI75" s="28">
        <f t="shared" ca="1" si="20"/>
        <v>0</v>
      </c>
      <c r="AJ75" s="28">
        <f t="shared" ca="1" si="20"/>
        <v>0</v>
      </c>
      <c r="AK75" s="28">
        <f t="shared" ca="1" si="20"/>
        <v>0</v>
      </c>
      <c r="AL75" s="28">
        <f t="shared" ca="1" si="20"/>
        <v>0</v>
      </c>
    </row>
    <row r="76" spans="1:38" ht="21" hidden="1" customHeight="1" outlineLevel="1" thickBot="1" x14ac:dyDescent="0.4">
      <c r="A76" s="10">
        <f t="shared" si="18"/>
        <v>0</v>
      </c>
      <c r="B76" s="10">
        <f t="shared" si="18"/>
        <v>0</v>
      </c>
      <c r="C76" s="10">
        <f t="shared" si="18"/>
        <v>0</v>
      </c>
      <c r="D76" s="10">
        <f t="shared" si="18"/>
        <v>0</v>
      </c>
      <c r="E76" s="11">
        <f t="shared" si="18"/>
        <v>0</v>
      </c>
      <c r="F76" s="28">
        <f t="shared" ca="1" si="19"/>
        <v>0</v>
      </c>
      <c r="G76" s="28">
        <f t="shared" ca="1" si="20"/>
        <v>0</v>
      </c>
      <c r="H76" s="28">
        <f t="shared" ca="1" si="20"/>
        <v>0</v>
      </c>
      <c r="I76" s="28">
        <f t="shared" ca="1" si="20"/>
        <v>0</v>
      </c>
      <c r="J76" s="28">
        <f t="shared" ca="1" si="20"/>
        <v>0</v>
      </c>
      <c r="K76" s="28">
        <f t="shared" ca="1" si="20"/>
        <v>0</v>
      </c>
      <c r="L76" s="28">
        <f t="shared" ca="1" si="20"/>
        <v>0</v>
      </c>
      <c r="M76" s="28">
        <f t="shared" ca="1" si="20"/>
        <v>0</v>
      </c>
      <c r="N76" s="28">
        <f t="shared" ca="1" si="20"/>
        <v>0</v>
      </c>
      <c r="O76" s="28">
        <f t="shared" ca="1" si="20"/>
        <v>0</v>
      </c>
      <c r="P76" s="28">
        <f t="shared" ca="1" si="20"/>
        <v>0</v>
      </c>
      <c r="Q76" s="28">
        <f t="shared" ca="1" si="20"/>
        <v>0</v>
      </c>
      <c r="R76" s="28">
        <f t="shared" ca="1" si="20"/>
        <v>0</v>
      </c>
      <c r="S76" s="28">
        <f t="shared" ca="1" si="20"/>
        <v>0</v>
      </c>
      <c r="T76" s="28">
        <f t="shared" ca="1" si="20"/>
        <v>0</v>
      </c>
      <c r="U76" s="28">
        <f t="shared" ca="1" si="20"/>
        <v>0</v>
      </c>
      <c r="V76" s="28">
        <f t="shared" ca="1" si="20"/>
        <v>0</v>
      </c>
      <c r="W76" s="28">
        <f t="shared" ca="1" si="20"/>
        <v>0</v>
      </c>
      <c r="X76" s="28">
        <f t="shared" ca="1" si="20"/>
        <v>0</v>
      </c>
      <c r="Y76" s="28">
        <f t="shared" ca="1" si="20"/>
        <v>0</v>
      </c>
      <c r="Z76" s="28">
        <f t="shared" ca="1" si="20"/>
        <v>0</v>
      </c>
      <c r="AA76" s="28">
        <f t="shared" ca="1" si="20"/>
        <v>0</v>
      </c>
      <c r="AB76" s="28">
        <f t="shared" ca="1" si="20"/>
        <v>0</v>
      </c>
      <c r="AC76" s="28">
        <f t="shared" ca="1" si="20"/>
        <v>0</v>
      </c>
      <c r="AD76" s="28">
        <f t="shared" ca="1" si="20"/>
        <v>0</v>
      </c>
      <c r="AE76" s="28">
        <f t="shared" ca="1" si="20"/>
        <v>0</v>
      </c>
      <c r="AF76" s="28">
        <f t="shared" ca="1" si="20"/>
        <v>0</v>
      </c>
      <c r="AG76" s="28">
        <f t="shared" ca="1" si="20"/>
        <v>0</v>
      </c>
      <c r="AH76" s="28">
        <f t="shared" ca="1" si="20"/>
        <v>0</v>
      </c>
      <c r="AI76" s="28">
        <f t="shared" ca="1" si="20"/>
        <v>0</v>
      </c>
      <c r="AJ76" s="28">
        <f t="shared" ca="1" si="20"/>
        <v>0</v>
      </c>
      <c r="AK76" s="28">
        <f t="shared" ca="1" si="20"/>
        <v>0</v>
      </c>
      <c r="AL76" s="28">
        <f t="shared" ca="1" si="20"/>
        <v>0</v>
      </c>
    </row>
    <row r="77" spans="1:38" ht="21" hidden="1" customHeight="1" outlineLevel="1" thickBot="1" x14ac:dyDescent="0.4">
      <c r="A77" s="10">
        <f t="shared" si="18"/>
        <v>0</v>
      </c>
      <c r="B77" s="10">
        <f t="shared" si="18"/>
        <v>0</v>
      </c>
      <c r="C77" s="10">
        <f t="shared" si="18"/>
        <v>0</v>
      </c>
      <c r="D77" s="10">
        <f t="shared" si="18"/>
        <v>0</v>
      </c>
      <c r="E77" s="11">
        <f t="shared" si="18"/>
        <v>0</v>
      </c>
      <c r="F77" s="28">
        <f t="shared" ca="1" si="19"/>
        <v>0</v>
      </c>
      <c r="G77" s="28">
        <f t="shared" ca="1" si="20"/>
        <v>0</v>
      </c>
      <c r="H77" s="28">
        <f t="shared" ca="1" si="20"/>
        <v>0</v>
      </c>
      <c r="I77" s="28">
        <f t="shared" ca="1" si="20"/>
        <v>0</v>
      </c>
      <c r="J77" s="28">
        <f t="shared" ca="1" si="20"/>
        <v>0</v>
      </c>
      <c r="K77" s="28">
        <f t="shared" ca="1" si="20"/>
        <v>0</v>
      </c>
      <c r="L77" s="28">
        <f t="shared" ca="1" si="20"/>
        <v>0</v>
      </c>
      <c r="M77" s="28">
        <f t="shared" ca="1" si="20"/>
        <v>0</v>
      </c>
      <c r="N77" s="28">
        <f t="shared" ca="1" si="20"/>
        <v>0</v>
      </c>
      <c r="O77" s="28">
        <f t="shared" ca="1" si="20"/>
        <v>0</v>
      </c>
      <c r="P77" s="28">
        <f t="shared" ca="1" si="20"/>
        <v>0</v>
      </c>
      <c r="Q77" s="28">
        <f t="shared" ca="1" si="20"/>
        <v>0</v>
      </c>
      <c r="R77" s="28">
        <f t="shared" ca="1" si="20"/>
        <v>0</v>
      </c>
      <c r="S77" s="28">
        <f t="shared" ca="1" si="20"/>
        <v>0</v>
      </c>
      <c r="T77" s="28">
        <f t="shared" ca="1" si="20"/>
        <v>0</v>
      </c>
      <c r="U77" s="28">
        <f t="shared" ca="1" si="20"/>
        <v>0</v>
      </c>
      <c r="V77" s="28">
        <f t="shared" ca="1" si="20"/>
        <v>0</v>
      </c>
      <c r="W77" s="28">
        <f t="shared" ca="1" si="20"/>
        <v>0</v>
      </c>
      <c r="X77" s="28">
        <f t="shared" ca="1" si="20"/>
        <v>0</v>
      </c>
      <c r="Y77" s="28">
        <f t="shared" ca="1" si="20"/>
        <v>0</v>
      </c>
      <c r="Z77" s="28">
        <f t="shared" ca="1" si="20"/>
        <v>0</v>
      </c>
      <c r="AA77" s="28">
        <f t="shared" ca="1" si="20"/>
        <v>0</v>
      </c>
      <c r="AB77" s="28">
        <f t="shared" ca="1" si="20"/>
        <v>0</v>
      </c>
      <c r="AC77" s="28">
        <f t="shared" ca="1" si="20"/>
        <v>0</v>
      </c>
      <c r="AD77" s="28">
        <f t="shared" ca="1" si="20"/>
        <v>0</v>
      </c>
      <c r="AE77" s="28">
        <f t="shared" ca="1" si="20"/>
        <v>0</v>
      </c>
      <c r="AF77" s="28">
        <f t="shared" ca="1" si="20"/>
        <v>0</v>
      </c>
      <c r="AG77" s="28">
        <f t="shared" ca="1" si="20"/>
        <v>0</v>
      </c>
      <c r="AH77" s="28">
        <f t="shared" ca="1" si="20"/>
        <v>0</v>
      </c>
      <c r="AI77" s="28">
        <f t="shared" ca="1" si="20"/>
        <v>0</v>
      </c>
      <c r="AJ77" s="28">
        <f t="shared" ca="1" si="20"/>
        <v>0</v>
      </c>
      <c r="AK77" s="28">
        <f t="shared" ca="1" si="20"/>
        <v>0</v>
      </c>
      <c r="AL77" s="28">
        <f t="shared" ca="1" si="20"/>
        <v>0</v>
      </c>
    </row>
    <row r="78" spans="1:38" ht="21" hidden="1" customHeight="1" outlineLevel="1" thickBot="1" x14ac:dyDescent="0.4">
      <c r="A78" s="10">
        <f t="shared" si="18"/>
        <v>0</v>
      </c>
      <c r="B78" s="10">
        <f t="shared" si="18"/>
        <v>0</v>
      </c>
      <c r="C78" s="10">
        <f t="shared" si="18"/>
        <v>0</v>
      </c>
      <c r="D78" s="10">
        <f t="shared" si="18"/>
        <v>0</v>
      </c>
      <c r="E78" s="11">
        <f t="shared" si="18"/>
        <v>0</v>
      </c>
      <c r="F78" s="28">
        <f t="shared" ca="1" si="19"/>
        <v>0</v>
      </c>
      <c r="G78" s="28">
        <f t="shared" ca="1" si="20"/>
        <v>0</v>
      </c>
      <c r="H78" s="28">
        <f t="shared" ca="1" si="20"/>
        <v>0</v>
      </c>
      <c r="I78" s="28">
        <f t="shared" ca="1" si="20"/>
        <v>0</v>
      </c>
      <c r="J78" s="28">
        <f t="shared" ca="1" si="20"/>
        <v>0</v>
      </c>
      <c r="K78" s="28">
        <f t="shared" ca="1" si="20"/>
        <v>0</v>
      </c>
      <c r="L78" s="28">
        <f t="shared" ca="1" si="20"/>
        <v>0</v>
      </c>
      <c r="M78" s="28">
        <f t="shared" ca="1" si="20"/>
        <v>0</v>
      </c>
      <c r="N78" s="28">
        <f t="shared" ca="1" si="20"/>
        <v>0</v>
      </c>
      <c r="O78" s="28">
        <f t="shared" ca="1" si="20"/>
        <v>0</v>
      </c>
      <c r="P78" s="28">
        <f t="shared" ca="1" si="20"/>
        <v>0</v>
      </c>
      <c r="Q78" s="28">
        <f t="shared" ca="1" si="20"/>
        <v>0</v>
      </c>
      <c r="R78" s="28">
        <f t="shared" ca="1" si="20"/>
        <v>0</v>
      </c>
      <c r="S78" s="28">
        <f t="shared" ca="1" si="20"/>
        <v>0</v>
      </c>
      <c r="T78" s="28">
        <f t="shared" ca="1" si="20"/>
        <v>0</v>
      </c>
      <c r="U78" s="28">
        <f t="shared" ca="1" si="20"/>
        <v>0</v>
      </c>
      <c r="V78" s="28">
        <f t="shared" ca="1" si="20"/>
        <v>0</v>
      </c>
      <c r="W78" s="28">
        <f t="shared" ca="1" si="20"/>
        <v>0</v>
      </c>
      <c r="X78" s="28">
        <f t="shared" ca="1" si="20"/>
        <v>0</v>
      </c>
      <c r="Y78" s="28">
        <f t="shared" ca="1" si="20"/>
        <v>0</v>
      </c>
      <c r="Z78" s="28">
        <f t="shared" ca="1" si="20"/>
        <v>0</v>
      </c>
      <c r="AA78" s="28">
        <f t="shared" ca="1" si="20"/>
        <v>0</v>
      </c>
      <c r="AB78" s="28">
        <f t="shared" ca="1" si="20"/>
        <v>0</v>
      </c>
      <c r="AC78" s="28">
        <f t="shared" ca="1" si="20"/>
        <v>0</v>
      </c>
      <c r="AD78" s="28">
        <f t="shared" ca="1" si="20"/>
        <v>0</v>
      </c>
      <c r="AE78" s="28">
        <f t="shared" ca="1" si="20"/>
        <v>0</v>
      </c>
      <c r="AF78" s="28">
        <f t="shared" ca="1" si="20"/>
        <v>0</v>
      </c>
      <c r="AG78" s="28">
        <f t="shared" ca="1" si="20"/>
        <v>0</v>
      </c>
      <c r="AH78" s="28">
        <f t="shared" ca="1" si="20"/>
        <v>0</v>
      </c>
      <c r="AI78" s="28">
        <f t="shared" ca="1" si="20"/>
        <v>0</v>
      </c>
      <c r="AJ78" s="28">
        <f t="shared" ca="1" si="20"/>
        <v>0</v>
      </c>
      <c r="AK78" s="28">
        <f t="shared" ca="1" si="20"/>
        <v>0</v>
      </c>
      <c r="AL78" s="28">
        <f t="shared" ca="1" si="20"/>
        <v>0</v>
      </c>
    </row>
    <row r="79" spans="1:38" ht="21" hidden="1" customHeight="1" outlineLevel="1" thickBot="1" x14ac:dyDescent="0.4">
      <c r="A79" s="10">
        <f t="shared" si="18"/>
        <v>0</v>
      </c>
      <c r="B79" s="10">
        <f t="shared" si="18"/>
        <v>0</v>
      </c>
      <c r="C79" s="10">
        <f t="shared" si="18"/>
        <v>0</v>
      </c>
      <c r="D79" s="10">
        <f t="shared" si="18"/>
        <v>0</v>
      </c>
      <c r="E79" s="11">
        <f t="shared" si="18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96"/>
      <c r="V79" s="97"/>
      <c r="W79" s="109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115"/>
    </row>
    <row r="82" spans="1:38" ht="21" customHeight="1" thickBot="1" x14ac:dyDescent="0.45">
      <c r="A82" s="28"/>
      <c r="B82" s="28"/>
      <c r="C82" s="40">
        <f>E41</f>
        <v>4.166666666666667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104"/>
      <c r="V82" s="25"/>
      <c r="W82" s="116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 t="str">
        <f t="shared" ref="E83:E113" si="21">E49</f>
        <v>Temperature,К</v>
      </c>
      <c r="F83" s="8">
        <f t="shared" ref="F83:AL83" si="22">F3</f>
        <v>273.10000000000002</v>
      </c>
      <c r="G83" s="8">
        <f t="shared" si="22"/>
        <v>293.3</v>
      </c>
      <c r="H83" s="8">
        <f t="shared" si="22"/>
        <v>313.5</v>
      </c>
      <c r="I83" s="8">
        <f t="shared" si="22"/>
        <v>333.7</v>
      </c>
      <c r="J83" s="8">
        <f t="shared" si="22"/>
        <v>353.9</v>
      </c>
      <c r="K83" s="8">
        <f t="shared" si="22"/>
        <v>434.7</v>
      </c>
      <c r="L83" s="8">
        <f t="shared" si="22"/>
        <v>454.9</v>
      </c>
      <c r="M83" s="8">
        <f t="shared" si="22"/>
        <v>475.1</v>
      </c>
      <c r="N83" s="8">
        <f t="shared" si="22"/>
        <v>495.2</v>
      </c>
      <c r="O83" s="8">
        <f t="shared" si="22"/>
        <v>515.4</v>
      </c>
      <c r="P83" s="8">
        <f t="shared" si="22"/>
        <v>535.6</v>
      </c>
      <c r="Q83" s="8">
        <f t="shared" si="22"/>
        <v>555.79999999999995</v>
      </c>
      <c r="R83" s="8">
        <f t="shared" si="22"/>
        <v>576</v>
      </c>
      <c r="S83" s="8">
        <f t="shared" si="22"/>
        <v>596.20000000000005</v>
      </c>
      <c r="T83" s="87">
        <f t="shared" si="22"/>
        <v>616.4</v>
      </c>
      <c r="U83" s="94">
        <f t="shared" si="22"/>
        <v>636.6</v>
      </c>
      <c r="V83" s="95">
        <f t="shared" si="22"/>
        <v>656.8</v>
      </c>
      <c r="W83" s="1">
        <f t="shared" si="22"/>
        <v>677</v>
      </c>
      <c r="X83" s="89">
        <f t="shared" si="22"/>
        <v>757.7</v>
      </c>
      <c r="Y83" s="8">
        <f t="shared" si="22"/>
        <v>777.9</v>
      </c>
      <c r="Z83" s="8">
        <f t="shared" si="22"/>
        <v>798.1</v>
      </c>
      <c r="AA83" s="8">
        <f t="shared" si="22"/>
        <v>818.3</v>
      </c>
      <c r="AB83" s="8">
        <f t="shared" si="22"/>
        <v>838.5</v>
      </c>
      <c r="AC83" s="8">
        <f t="shared" si="22"/>
        <v>858.7</v>
      </c>
      <c r="AD83" s="8">
        <f t="shared" si="22"/>
        <v>878.9</v>
      </c>
      <c r="AE83" s="8">
        <f t="shared" si="22"/>
        <v>899</v>
      </c>
      <c r="AF83" s="8">
        <f t="shared" si="22"/>
        <v>919.2</v>
      </c>
      <c r="AG83" s="8">
        <f>AG3</f>
        <v>1000</v>
      </c>
      <c r="AH83" s="8">
        <f t="shared" si="22"/>
        <v>0</v>
      </c>
      <c r="AI83" s="8">
        <f>AI3</f>
        <v>0</v>
      </c>
      <c r="AJ83" s="8">
        <f t="shared" si="22"/>
        <v>0</v>
      </c>
      <c r="AK83" s="8">
        <f t="shared" si="22"/>
        <v>0</v>
      </c>
      <c r="AL83" s="8">
        <f t="shared" si="22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3">B50</f>
        <v>1</v>
      </c>
      <c r="C84" s="10">
        <f t="shared" si="23"/>
        <v>1</v>
      </c>
      <c r="D84" s="10">
        <f t="shared" si="23"/>
        <v>0</v>
      </c>
      <c r="E84" s="11" t="str">
        <f t="shared" si="21"/>
        <v>*GeSe</v>
      </c>
      <c r="F84" s="28">
        <f t="shared" ref="F84" si="24">F4*$C$82</f>
        <v>2.5782499999999999E-8</v>
      </c>
      <c r="G84" s="28">
        <f t="shared" ref="G84:AL84" si="25">G4*$C$82</f>
        <v>2.2985416666666669E-8</v>
      </c>
      <c r="H84" s="28">
        <f t="shared" si="25"/>
        <v>3.0935000000000005E-8</v>
      </c>
      <c r="I84" s="28">
        <f t="shared" si="25"/>
        <v>5.6575000000000002E-8</v>
      </c>
      <c r="J84" s="28">
        <f t="shared" si="25"/>
        <v>1.2271250000000001E-7</v>
      </c>
      <c r="K84" s="28">
        <f t="shared" si="25"/>
        <v>6.5916666666666665E-8</v>
      </c>
      <c r="L84" s="28">
        <f t="shared" si="25"/>
        <v>1.1977916666666667E-8</v>
      </c>
      <c r="M84" s="28">
        <f t="shared" si="25"/>
        <v>1.0200416666666668E-12</v>
      </c>
      <c r="N84" s="28">
        <f t="shared" si="25"/>
        <v>4.1435416666666672E-20</v>
      </c>
      <c r="O84" s="28">
        <f t="shared" si="25"/>
        <v>3.047541666666667E-29</v>
      </c>
      <c r="P84" s="28">
        <f t="shared" si="25"/>
        <v>0</v>
      </c>
      <c r="Q84" s="28">
        <f t="shared" si="25"/>
        <v>0</v>
      </c>
      <c r="R84" s="28">
        <f t="shared" si="25"/>
        <v>0</v>
      </c>
      <c r="S84" s="28">
        <f t="shared" si="25"/>
        <v>0</v>
      </c>
      <c r="T84" s="28">
        <f t="shared" si="25"/>
        <v>0</v>
      </c>
      <c r="U84" s="28">
        <f t="shared" si="25"/>
        <v>0</v>
      </c>
      <c r="V84" s="28">
        <f t="shared" si="25"/>
        <v>0</v>
      </c>
      <c r="W84" s="28">
        <f t="shared" si="25"/>
        <v>0</v>
      </c>
      <c r="X84" s="28">
        <f t="shared" si="25"/>
        <v>0</v>
      </c>
      <c r="Y84" s="28">
        <f t="shared" si="25"/>
        <v>0</v>
      </c>
      <c r="Z84" s="28">
        <f t="shared" si="25"/>
        <v>0</v>
      </c>
      <c r="AA84" s="28">
        <f t="shared" si="25"/>
        <v>0</v>
      </c>
      <c r="AB84" s="28">
        <f t="shared" si="25"/>
        <v>0</v>
      </c>
      <c r="AC84" s="28">
        <f t="shared" si="25"/>
        <v>0</v>
      </c>
      <c r="AD84" s="28">
        <f t="shared" si="25"/>
        <v>0</v>
      </c>
      <c r="AE84" s="28">
        <f t="shared" si="25"/>
        <v>0</v>
      </c>
      <c r="AF84" s="28">
        <f t="shared" si="25"/>
        <v>0</v>
      </c>
      <c r="AG84" s="28">
        <f t="shared" si="25"/>
        <v>0</v>
      </c>
      <c r="AH84" s="28">
        <f t="shared" si="25"/>
        <v>0</v>
      </c>
      <c r="AI84" s="28">
        <f t="shared" si="25"/>
        <v>0</v>
      </c>
      <c r="AJ84" s="28">
        <f t="shared" si="25"/>
        <v>0</v>
      </c>
      <c r="AK84" s="28">
        <f t="shared" si="25"/>
        <v>0</v>
      </c>
      <c r="AL84" s="28">
        <f t="shared" si="25"/>
        <v>0</v>
      </c>
    </row>
    <row r="85" spans="1:38" ht="21" hidden="1" customHeight="1" outlineLevel="1" thickBot="1" x14ac:dyDescent="0.4">
      <c r="A85" s="10">
        <f t="shared" ref="A85:D100" si="26">A51</f>
        <v>0</v>
      </c>
      <c r="B85" s="10">
        <f t="shared" si="26"/>
        <v>0</v>
      </c>
      <c r="C85" s="10">
        <f t="shared" si="26"/>
        <v>0</v>
      </c>
      <c r="D85" s="10">
        <f t="shared" si="26"/>
        <v>1</v>
      </c>
      <c r="E85" s="11" t="str">
        <f t="shared" si="21"/>
        <v>*Ga[l]</v>
      </c>
      <c r="F85" s="28">
        <f t="shared" ref="F85" si="27">F5*$C$82</f>
        <v>0</v>
      </c>
      <c r="G85" s="28">
        <f t="shared" ref="G85:AL85" si="28">G5*$C$82</f>
        <v>0</v>
      </c>
      <c r="H85" s="28">
        <f t="shared" si="28"/>
        <v>0</v>
      </c>
      <c r="I85" s="28">
        <f t="shared" si="28"/>
        <v>0</v>
      </c>
      <c r="J85" s="28">
        <f t="shared" si="28"/>
        <v>0</v>
      </c>
      <c r="K85" s="28">
        <f t="shared" si="28"/>
        <v>0</v>
      </c>
      <c r="L85" s="28">
        <f t="shared" si="28"/>
        <v>0</v>
      </c>
      <c r="M85" s="28">
        <f t="shared" si="28"/>
        <v>0</v>
      </c>
      <c r="N85" s="28">
        <f t="shared" si="28"/>
        <v>0</v>
      </c>
      <c r="O85" s="28">
        <f t="shared" si="28"/>
        <v>0</v>
      </c>
      <c r="P85" s="28">
        <f t="shared" si="28"/>
        <v>0</v>
      </c>
      <c r="Q85" s="28">
        <f t="shared" si="28"/>
        <v>0</v>
      </c>
      <c r="R85" s="28">
        <f t="shared" si="28"/>
        <v>0</v>
      </c>
      <c r="S85" s="28">
        <f t="shared" si="28"/>
        <v>0</v>
      </c>
      <c r="T85" s="28">
        <f t="shared" si="28"/>
        <v>0</v>
      </c>
      <c r="U85" s="28">
        <f t="shared" si="28"/>
        <v>0</v>
      </c>
      <c r="V85" s="28">
        <f t="shared" si="28"/>
        <v>0</v>
      </c>
      <c r="W85" s="28">
        <f t="shared" si="28"/>
        <v>0</v>
      </c>
      <c r="X85" s="28">
        <f t="shared" si="28"/>
        <v>0</v>
      </c>
      <c r="Y85" s="28">
        <f t="shared" si="28"/>
        <v>4.7916666666666665E-31</v>
      </c>
      <c r="Z85" s="28">
        <f t="shared" si="28"/>
        <v>3.981583333333334E-23</v>
      </c>
      <c r="AA85" s="28">
        <f t="shared" si="28"/>
        <v>6.0341666666666673E-16</v>
      </c>
      <c r="AB85" s="28">
        <f t="shared" si="28"/>
        <v>4.5558333333333334E-10</v>
      </c>
      <c r="AC85" s="28">
        <f t="shared" si="28"/>
        <v>1.3507499999999999E-6</v>
      </c>
      <c r="AD85" s="28">
        <f t="shared" si="28"/>
        <v>5.1566666666666669E-5</v>
      </c>
      <c r="AE85" s="28">
        <f t="shared" si="28"/>
        <v>8.8029166666666667E-5</v>
      </c>
      <c r="AF85" s="28">
        <f t="shared" si="28"/>
        <v>9.878333333333334E-5</v>
      </c>
      <c r="AG85" s="28">
        <f t="shared" si="28"/>
        <v>1.1785E-5</v>
      </c>
      <c r="AH85" s="28">
        <f t="shared" si="28"/>
        <v>0</v>
      </c>
      <c r="AI85" s="28">
        <f t="shared" si="28"/>
        <v>0</v>
      </c>
      <c r="AJ85" s="28">
        <f t="shared" si="28"/>
        <v>0</v>
      </c>
      <c r="AK85" s="28">
        <f t="shared" si="28"/>
        <v>0</v>
      </c>
      <c r="AL85" s="28">
        <f t="shared" si="28"/>
        <v>0</v>
      </c>
    </row>
    <row r="86" spans="1:38" ht="21" hidden="1" customHeight="1" outlineLevel="1" thickBot="1" x14ac:dyDescent="0.4">
      <c r="A86" s="10">
        <f t="shared" si="26"/>
        <v>0</v>
      </c>
      <c r="B86" s="10">
        <f t="shared" si="26"/>
        <v>1</v>
      </c>
      <c r="C86" s="10">
        <f t="shared" si="26"/>
        <v>0</v>
      </c>
      <c r="D86" s="10">
        <f t="shared" si="26"/>
        <v>0</v>
      </c>
      <c r="E86" s="11" t="str">
        <f t="shared" si="21"/>
        <v>*Se[m]</v>
      </c>
      <c r="F86" s="28">
        <f t="shared" ref="F86" si="29">F6*$C$82</f>
        <v>0</v>
      </c>
      <c r="G86" s="28">
        <f t="shared" ref="G86:AL86" si="30">G6*$C$82</f>
        <v>0</v>
      </c>
      <c r="H86" s="28">
        <f t="shared" si="30"/>
        <v>3.9636666666666673E-27</v>
      </c>
      <c r="I86" s="28">
        <f t="shared" si="30"/>
        <v>6.405000000000001E-22</v>
      </c>
      <c r="J86" s="28">
        <f t="shared" si="30"/>
        <v>4.6483333333333333E-19</v>
      </c>
      <c r="K86" s="28">
        <f t="shared" si="30"/>
        <v>7.4766666666666664E-13</v>
      </c>
      <c r="L86" s="28">
        <f t="shared" si="30"/>
        <v>1.7540416666666667E-9</v>
      </c>
      <c r="M86" s="28">
        <f t="shared" si="30"/>
        <v>1.7539583333333335E-8</v>
      </c>
      <c r="N86" s="28">
        <f t="shared" si="30"/>
        <v>3.2290416666666672E-8</v>
      </c>
      <c r="O86" s="28">
        <f t="shared" si="30"/>
        <v>5.5441666666666672E-8</v>
      </c>
      <c r="P86" s="28">
        <f t="shared" si="30"/>
        <v>5.0891666666666667E-8</v>
      </c>
      <c r="Q86" s="28">
        <f t="shared" si="30"/>
        <v>9.5900000000000005E-8</v>
      </c>
      <c r="R86" s="28">
        <f t="shared" si="30"/>
        <v>6.5575000000000003E-8</v>
      </c>
      <c r="S86" s="28">
        <f t="shared" si="30"/>
        <v>6.990000000000001E-8</v>
      </c>
      <c r="T86" s="28">
        <f t="shared" si="30"/>
        <v>7.2487500000000006E-8</v>
      </c>
      <c r="U86" s="28">
        <f t="shared" si="30"/>
        <v>7.3666666666666678E-8</v>
      </c>
      <c r="V86" s="28">
        <f t="shared" si="30"/>
        <v>7.7775000000000007E-8</v>
      </c>
      <c r="W86" s="28">
        <f t="shared" si="30"/>
        <v>9.5295833333333337E-8</v>
      </c>
      <c r="X86" s="28">
        <f t="shared" si="30"/>
        <v>1.1445000000000001E-7</v>
      </c>
      <c r="Y86" s="28">
        <f t="shared" si="30"/>
        <v>1.1610000000000001E-7</v>
      </c>
      <c r="Z86" s="28">
        <f t="shared" si="30"/>
        <v>1.1520833333333334E-7</v>
      </c>
      <c r="AA86" s="28">
        <f t="shared" si="30"/>
        <v>1.1750000000000001E-7</v>
      </c>
      <c r="AB86" s="28">
        <f t="shared" si="30"/>
        <v>2.7286250000000001E-8</v>
      </c>
      <c r="AC86" s="28">
        <f t="shared" si="30"/>
        <v>2.5375416666666664E-31</v>
      </c>
      <c r="AD86" s="28">
        <f t="shared" si="30"/>
        <v>1.9616250000000002E-29</v>
      </c>
      <c r="AE86" s="28">
        <f t="shared" si="30"/>
        <v>3.445875E-28</v>
      </c>
      <c r="AF86" s="28">
        <f t="shared" si="30"/>
        <v>1.8582916666666667E-27</v>
      </c>
      <c r="AG86" s="28">
        <f t="shared" si="30"/>
        <v>9.4941666666666681E-23</v>
      </c>
      <c r="AH86" s="28">
        <f t="shared" si="30"/>
        <v>0</v>
      </c>
      <c r="AI86" s="28">
        <f t="shared" si="30"/>
        <v>0</v>
      </c>
      <c r="AJ86" s="28">
        <f t="shared" si="30"/>
        <v>0</v>
      </c>
      <c r="AK86" s="28">
        <f t="shared" si="30"/>
        <v>0</v>
      </c>
      <c r="AL86" s="28">
        <f t="shared" si="30"/>
        <v>0</v>
      </c>
    </row>
    <row r="87" spans="1:38" ht="21" hidden="1" customHeight="1" outlineLevel="1" thickBot="1" x14ac:dyDescent="0.4">
      <c r="A87" s="10">
        <f t="shared" si="26"/>
        <v>0</v>
      </c>
      <c r="B87" s="10">
        <f t="shared" si="26"/>
        <v>2</v>
      </c>
      <c r="C87" s="10">
        <f t="shared" si="26"/>
        <v>1</v>
      </c>
      <c r="D87" s="10">
        <f t="shared" si="26"/>
        <v>0</v>
      </c>
      <c r="E87" s="11" t="str">
        <f t="shared" si="21"/>
        <v>*GeSe2</v>
      </c>
      <c r="F87" s="28">
        <f t="shared" ref="F87" si="31">F7*$C$82</f>
        <v>5.1250000000000004E-9</v>
      </c>
      <c r="G87" s="28">
        <f t="shared" ref="G87:AL87" si="32">G7*$C$82</f>
        <v>1.8815000000000002E-10</v>
      </c>
      <c r="H87" s="28">
        <f t="shared" si="32"/>
        <v>2.8527083333333334E-14</v>
      </c>
      <c r="I87" s="28">
        <f t="shared" si="32"/>
        <v>1.5611666666666667E-22</v>
      </c>
      <c r="J87" s="28">
        <f t="shared" si="32"/>
        <v>1.5835833333333335E-34</v>
      </c>
      <c r="K87" s="28">
        <f t="shared" si="32"/>
        <v>0</v>
      </c>
      <c r="L87" s="28">
        <f t="shared" si="32"/>
        <v>0</v>
      </c>
      <c r="M87" s="28">
        <f t="shared" si="32"/>
        <v>0</v>
      </c>
      <c r="N87" s="28">
        <f t="shared" si="32"/>
        <v>0</v>
      </c>
      <c r="O87" s="28">
        <f t="shared" si="32"/>
        <v>0</v>
      </c>
      <c r="P87" s="28">
        <f t="shared" si="32"/>
        <v>0</v>
      </c>
      <c r="Q87" s="28">
        <f t="shared" si="32"/>
        <v>0</v>
      </c>
      <c r="R87" s="28">
        <f t="shared" si="32"/>
        <v>0</v>
      </c>
      <c r="S87" s="28">
        <f t="shared" si="32"/>
        <v>0</v>
      </c>
      <c r="T87" s="28">
        <f t="shared" si="32"/>
        <v>0</v>
      </c>
      <c r="U87" s="28">
        <f t="shared" si="32"/>
        <v>0</v>
      </c>
      <c r="V87" s="28">
        <f t="shared" si="32"/>
        <v>0</v>
      </c>
      <c r="W87" s="28">
        <f t="shared" si="32"/>
        <v>0</v>
      </c>
      <c r="X87" s="28">
        <f t="shared" si="32"/>
        <v>0</v>
      </c>
      <c r="Y87" s="28">
        <f t="shared" si="32"/>
        <v>0</v>
      </c>
      <c r="Z87" s="28">
        <f t="shared" si="32"/>
        <v>0</v>
      </c>
      <c r="AA87" s="28">
        <f t="shared" si="32"/>
        <v>0</v>
      </c>
      <c r="AB87" s="28">
        <f t="shared" si="32"/>
        <v>0</v>
      </c>
      <c r="AC87" s="28">
        <f t="shared" si="32"/>
        <v>0</v>
      </c>
      <c r="AD87" s="28">
        <f t="shared" si="32"/>
        <v>0</v>
      </c>
      <c r="AE87" s="28">
        <f t="shared" si="32"/>
        <v>0</v>
      </c>
      <c r="AF87" s="28">
        <f t="shared" si="32"/>
        <v>0</v>
      </c>
      <c r="AG87" s="28">
        <f t="shared" si="32"/>
        <v>0</v>
      </c>
      <c r="AH87" s="28">
        <f t="shared" si="32"/>
        <v>0</v>
      </c>
      <c r="AI87" s="28">
        <f t="shared" si="32"/>
        <v>0</v>
      </c>
      <c r="AJ87" s="28">
        <f t="shared" si="32"/>
        <v>0</v>
      </c>
      <c r="AK87" s="28">
        <f t="shared" si="32"/>
        <v>0</v>
      </c>
      <c r="AL87" s="28">
        <f t="shared" si="32"/>
        <v>0</v>
      </c>
    </row>
    <row r="88" spans="1:38" ht="21" hidden="1" customHeight="1" outlineLevel="1" thickBot="1" x14ac:dyDescent="0.4">
      <c r="A88" s="10">
        <f t="shared" si="26"/>
        <v>0</v>
      </c>
      <c r="B88" s="10">
        <f t="shared" si="26"/>
        <v>3</v>
      </c>
      <c r="C88" s="10">
        <f t="shared" si="26"/>
        <v>0</v>
      </c>
      <c r="D88" s="10">
        <f t="shared" si="26"/>
        <v>2</v>
      </c>
      <c r="E88" s="11" t="str">
        <f t="shared" si="21"/>
        <v>Ga2Se3</v>
      </c>
      <c r="F88" s="28">
        <f t="shared" ref="F88" si="33">F8*$C$82</f>
        <v>7.5391666666666662E-2</v>
      </c>
      <c r="G88" s="28">
        <f t="shared" ref="G88:AL88" si="34">G8*$C$82</f>
        <v>7.4183333333333337E-2</v>
      </c>
      <c r="H88" s="28">
        <f t="shared" si="34"/>
        <v>7.104166666666667E-2</v>
      </c>
      <c r="I88" s="28">
        <f t="shared" si="34"/>
        <v>6.643750000000001E-2</v>
      </c>
      <c r="J88" s="28">
        <f t="shared" si="34"/>
        <v>6.2708333333333338E-2</v>
      </c>
      <c r="K88" s="28">
        <f t="shared" si="34"/>
        <v>5.7266666666666667E-2</v>
      </c>
      <c r="L88" s="28">
        <f t="shared" si="34"/>
        <v>5.4416666666666676E-2</v>
      </c>
      <c r="M88" s="28">
        <f t="shared" si="34"/>
        <v>5.0650000000000008E-2</v>
      </c>
      <c r="N88" s="28">
        <f t="shared" si="34"/>
        <v>4.7029166666666671E-2</v>
      </c>
      <c r="O88" s="28">
        <f t="shared" si="34"/>
        <v>4.4462500000000002E-2</v>
      </c>
      <c r="P88" s="28">
        <f t="shared" si="34"/>
        <v>4.3016666666666668E-2</v>
      </c>
      <c r="Q88" s="28">
        <f t="shared" si="34"/>
        <v>4.2308333333333337E-2</v>
      </c>
      <c r="R88" s="28">
        <f t="shared" si="34"/>
        <v>4.1970833333333339E-2</v>
      </c>
      <c r="S88" s="28">
        <f t="shared" si="34"/>
        <v>4.1808333333333336E-2</v>
      </c>
      <c r="T88" s="28">
        <f t="shared" si="34"/>
        <v>4.1691666666666669E-2</v>
      </c>
      <c r="U88" s="28">
        <f t="shared" si="34"/>
        <v>4.1430833333333333E-2</v>
      </c>
      <c r="V88" s="28">
        <f t="shared" si="34"/>
        <v>4.0332500000000007E-2</v>
      </c>
      <c r="W88" s="28">
        <f t="shared" si="34"/>
        <v>3.6067916666666672E-2</v>
      </c>
      <c r="X88" s="28">
        <f t="shared" si="34"/>
        <v>1.095375E-3</v>
      </c>
      <c r="Y88" s="28">
        <f t="shared" si="34"/>
        <v>3.1176666666666669E-4</v>
      </c>
      <c r="Z88" s="28">
        <f t="shared" si="34"/>
        <v>8.9920833333333335E-5</v>
      </c>
      <c r="AA88" s="28">
        <f t="shared" si="34"/>
        <v>2.6386666666666666E-5</v>
      </c>
      <c r="AB88" s="28">
        <f t="shared" si="34"/>
        <v>7.8637500000000007E-6</v>
      </c>
      <c r="AC88" s="28">
        <f t="shared" si="34"/>
        <v>2.3303333333333334E-6</v>
      </c>
      <c r="AD88" s="28">
        <f t="shared" si="34"/>
        <v>3.6472916666666665E-7</v>
      </c>
      <c r="AE88" s="28">
        <f t="shared" si="34"/>
        <v>5.7058333333333336E-8</v>
      </c>
      <c r="AF88" s="28">
        <f t="shared" si="34"/>
        <v>9.2595833333333349E-9</v>
      </c>
      <c r="AG88" s="28">
        <f t="shared" si="34"/>
        <v>1.0280833333333335E-11</v>
      </c>
      <c r="AH88" s="28">
        <f t="shared" si="34"/>
        <v>0</v>
      </c>
      <c r="AI88" s="28">
        <f t="shared" si="34"/>
        <v>0</v>
      </c>
      <c r="AJ88" s="28">
        <f t="shared" si="34"/>
        <v>0</v>
      </c>
      <c r="AK88" s="28">
        <f t="shared" si="34"/>
        <v>0</v>
      </c>
      <c r="AL88" s="28">
        <f t="shared" si="34"/>
        <v>0</v>
      </c>
    </row>
    <row r="89" spans="1:38" ht="21" hidden="1" customHeight="1" outlineLevel="1" thickBot="1" x14ac:dyDescent="0.4">
      <c r="A89" s="10">
        <f t="shared" si="26"/>
        <v>0</v>
      </c>
      <c r="B89" s="10">
        <f t="shared" si="26"/>
        <v>1</v>
      </c>
      <c r="C89" s="10">
        <f t="shared" si="26"/>
        <v>0</v>
      </c>
      <c r="D89" s="10">
        <f t="shared" si="26"/>
        <v>2</v>
      </c>
      <c r="E89" s="11" t="str">
        <f t="shared" si="21"/>
        <v>Ga2Se</v>
      </c>
      <c r="F89" s="28">
        <f t="shared" ref="F89" si="35">F9*$C$82</f>
        <v>0</v>
      </c>
      <c r="G89" s="28">
        <f t="shared" ref="G89:AL89" si="36">G9*$C$82</f>
        <v>0</v>
      </c>
      <c r="H89" s="28">
        <f t="shared" si="36"/>
        <v>0</v>
      </c>
      <c r="I89" s="28">
        <f t="shared" si="36"/>
        <v>0</v>
      </c>
      <c r="J89" s="28">
        <f t="shared" si="36"/>
        <v>0</v>
      </c>
      <c r="K89" s="28">
        <f t="shared" si="36"/>
        <v>0</v>
      </c>
      <c r="L89" s="28">
        <f t="shared" si="36"/>
        <v>7.31375E-34</v>
      </c>
      <c r="M89" s="28">
        <f t="shared" si="36"/>
        <v>2.4849166666666668E-31</v>
      </c>
      <c r="N89" s="28">
        <f t="shared" si="36"/>
        <v>5.5487500000000002E-29</v>
      </c>
      <c r="O89" s="28">
        <f t="shared" si="36"/>
        <v>9.0387500000000008E-27</v>
      </c>
      <c r="P89" s="28">
        <f t="shared" si="36"/>
        <v>1.1115416666666666E-24</v>
      </c>
      <c r="Q89" s="28">
        <f t="shared" si="36"/>
        <v>1.0369166666666668E-22</v>
      </c>
      <c r="R89" s="28">
        <f t="shared" si="36"/>
        <v>7.3916666666666673E-21</v>
      </c>
      <c r="S89" s="28">
        <f t="shared" si="36"/>
        <v>4.0876666666666669E-19</v>
      </c>
      <c r="T89" s="28">
        <f t="shared" si="36"/>
        <v>1.7855833333333337E-17</v>
      </c>
      <c r="U89" s="28">
        <f t="shared" si="36"/>
        <v>6.2562500000000008E-16</v>
      </c>
      <c r="V89" s="28">
        <f t="shared" si="36"/>
        <v>1.7575000000000003E-14</v>
      </c>
      <c r="W89" s="28">
        <f t="shared" si="36"/>
        <v>3.7476249999999999E-13</v>
      </c>
      <c r="X89" s="28">
        <f t="shared" si="36"/>
        <v>7.5691666666666672E-10</v>
      </c>
      <c r="Y89" s="28">
        <f t="shared" si="36"/>
        <v>2.5707916666666666E-9</v>
      </c>
      <c r="Z89" s="28">
        <f t="shared" si="36"/>
        <v>7.9429166666666664E-9</v>
      </c>
      <c r="AA89" s="28">
        <f t="shared" si="36"/>
        <v>2.2564583333333332E-8</v>
      </c>
      <c r="AB89" s="28">
        <f t="shared" si="36"/>
        <v>5.9229166666666672E-8</v>
      </c>
      <c r="AC89" s="28">
        <f t="shared" si="36"/>
        <v>1.4098333333333333E-7</v>
      </c>
      <c r="AD89" s="28">
        <f t="shared" si="36"/>
        <v>1.5054583333333336E-7</v>
      </c>
      <c r="AE89" s="28">
        <f t="shared" si="36"/>
        <v>1.5482500000000001E-7</v>
      </c>
      <c r="AF89" s="28">
        <f t="shared" si="36"/>
        <v>1.5632500000000002E-7</v>
      </c>
      <c r="AG89" s="28">
        <f t="shared" si="36"/>
        <v>1.4526250000000001E-7</v>
      </c>
      <c r="AH89" s="28">
        <f t="shared" si="36"/>
        <v>0</v>
      </c>
      <c r="AI89" s="28">
        <f t="shared" si="36"/>
        <v>0</v>
      </c>
      <c r="AJ89" s="28">
        <f t="shared" si="36"/>
        <v>0</v>
      </c>
      <c r="AK89" s="28">
        <f t="shared" si="36"/>
        <v>0</v>
      </c>
      <c r="AL89" s="28">
        <f t="shared" si="36"/>
        <v>0</v>
      </c>
    </row>
    <row r="90" spans="1:38" ht="21" hidden="1" customHeight="1" outlineLevel="1" thickBot="1" x14ac:dyDescent="0.4">
      <c r="A90" s="10">
        <f t="shared" si="26"/>
        <v>0</v>
      </c>
      <c r="B90" s="10">
        <f t="shared" si="26"/>
        <v>0</v>
      </c>
      <c r="C90" s="10">
        <f t="shared" si="26"/>
        <v>0</v>
      </c>
      <c r="D90" s="10">
        <f t="shared" si="26"/>
        <v>1</v>
      </c>
      <c r="E90" s="11" t="str">
        <f t="shared" si="21"/>
        <v>Ga</v>
      </c>
      <c r="F90" s="28">
        <f t="shared" ref="F90" si="37">F10*$C$82</f>
        <v>0</v>
      </c>
      <c r="G90" s="28">
        <f t="shared" ref="G90:AL90" si="38">G10*$C$82</f>
        <v>0</v>
      </c>
      <c r="H90" s="28">
        <f t="shared" si="38"/>
        <v>0</v>
      </c>
      <c r="I90" s="28">
        <f t="shared" si="38"/>
        <v>0</v>
      </c>
      <c r="J90" s="28">
        <f t="shared" si="38"/>
        <v>0</v>
      </c>
      <c r="K90" s="28">
        <f t="shared" si="38"/>
        <v>0</v>
      </c>
      <c r="L90" s="28">
        <f t="shared" si="38"/>
        <v>0</v>
      </c>
      <c r="M90" s="28">
        <f t="shared" si="38"/>
        <v>3.0923333333333338E-35</v>
      </c>
      <c r="N90" s="28">
        <f t="shared" si="38"/>
        <v>5.1162500000000006E-33</v>
      </c>
      <c r="O90" s="28">
        <f t="shared" si="38"/>
        <v>6.1550000000000005E-31</v>
      </c>
      <c r="P90" s="28">
        <f t="shared" si="38"/>
        <v>5.5654166666666679E-29</v>
      </c>
      <c r="Q90" s="28">
        <f t="shared" si="38"/>
        <v>3.830208333333334E-27</v>
      </c>
      <c r="R90" s="28">
        <f t="shared" si="38"/>
        <v>2.0339583333333334E-25</v>
      </c>
      <c r="S90" s="28">
        <f t="shared" si="38"/>
        <v>8.4845833333333334E-24</v>
      </c>
      <c r="T90" s="28">
        <f t="shared" si="38"/>
        <v>2.8337500000000002E-22</v>
      </c>
      <c r="U90" s="28">
        <f t="shared" si="38"/>
        <v>7.7058333333333347E-21</v>
      </c>
      <c r="V90" s="28">
        <f t="shared" si="38"/>
        <v>1.7186250000000001E-19</v>
      </c>
      <c r="W90" s="28">
        <f t="shared" si="38"/>
        <v>3.0719999999999999E-18</v>
      </c>
      <c r="X90" s="28">
        <f t="shared" si="38"/>
        <v>1.55125E-14</v>
      </c>
      <c r="Y90" s="28">
        <f t="shared" si="38"/>
        <v>8.1716666666666678E-14</v>
      </c>
      <c r="Z90" s="28">
        <f t="shared" si="38"/>
        <v>3.9163750000000006E-13</v>
      </c>
      <c r="AA90" s="28">
        <f t="shared" si="38"/>
        <v>1.7216666666666668E-12</v>
      </c>
      <c r="AB90" s="28">
        <f t="shared" si="38"/>
        <v>6.980416666666667E-12</v>
      </c>
      <c r="AC90" s="28">
        <f t="shared" si="38"/>
        <v>2.5905833333333333E-11</v>
      </c>
      <c r="AD90" s="28">
        <f t="shared" si="38"/>
        <v>6.0874999999999997E-11</v>
      </c>
      <c r="AE90" s="28">
        <f t="shared" si="38"/>
        <v>1.3708750000000002E-10</v>
      </c>
      <c r="AF90" s="28">
        <f t="shared" si="38"/>
        <v>2.9769166666666668E-10</v>
      </c>
      <c r="AG90" s="28">
        <f t="shared" si="38"/>
        <v>4.8054166666666664E-9</v>
      </c>
      <c r="AH90" s="28">
        <f t="shared" si="38"/>
        <v>0</v>
      </c>
      <c r="AI90" s="28">
        <f t="shared" si="38"/>
        <v>0</v>
      </c>
      <c r="AJ90" s="28">
        <f t="shared" si="38"/>
        <v>0</v>
      </c>
      <c r="AK90" s="28">
        <f t="shared" si="38"/>
        <v>0</v>
      </c>
      <c r="AL90" s="28">
        <f t="shared" si="38"/>
        <v>0</v>
      </c>
    </row>
    <row r="91" spans="1:38" ht="21" hidden="1" customHeight="1" outlineLevel="1" thickBot="1" x14ac:dyDescent="0.4">
      <c r="A91" s="10">
        <f t="shared" si="26"/>
        <v>1</v>
      </c>
      <c r="B91" s="10">
        <f t="shared" si="26"/>
        <v>0</v>
      </c>
      <c r="C91" s="10">
        <f t="shared" si="26"/>
        <v>0</v>
      </c>
      <c r="D91" s="10">
        <f t="shared" si="26"/>
        <v>0</v>
      </c>
      <c r="E91" s="11" t="str">
        <f t="shared" si="21"/>
        <v>Ar</v>
      </c>
      <c r="F91" s="28">
        <f t="shared" ref="F91" si="39">F11*$C$82</f>
        <v>0.83333333333333348</v>
      </c>
      <c r="G91" s="28">
        <f t="shared" ref="G91:AL91" si="40">G11*$C$82</f>
        <v>0.83333333333333348</v>
      </c>
      <c r="H91" s="28">
        <f t="shared" si="40"/>
        <v>0.83333333333333348</v>
      </c>
      <c r="I91" s="28">
        <f t="shared" si="40"/>
        <v>0.83333333333333348</v>
      </c>
      <c r="J91" s="28">
        <f t="shared" si="40"/>
        <v>0.83333333333333348</v>
      </c>
      <c r="K91" s="28">
        <f t="shared" si="40"/>
        <v>0.83333333333333348</v>
      </c>
      <c r="L91" s="28">
        <f t="shared" si="40"/>
        <v>0.83333333333333348</v>
      </c>
      <c r="M91" s="28">
        <f t="shared" si="40"/>
        <v>0.83333333333333348</v>
      </c>
      <c r="N91" s="28">
        <f t="shared" si="40"/>
        <v>0.83333333333333348</v>
      </c>
      <c r="O91" s="28">
        <f t="shared" si="40"/>
        <v>0.83333333333333348</v>
      </c>
      <c r="P91" s="28">
        <f t="shared" si="40"/>
        <v>0.83333333333333348</v>
      </c>
      <c r="Q91" s="28">
        <f t="shared" si="40"/>
        <v>0.83333333333333348</v>
      </c>
      <c r="R91" s="28">
        <f t="shared" si="40"/>
        <v>0.83333333333333348</v>
      </c>
      <c r="S91" s="28">
        <f t="shared" si="40"/>
        <v>0.83333333333333348</v>
      </c>
      <c r="T91" s="28">
        <f t="shared" si="40"/>
        <v>0.83333333333333348</v>
      </c>
      <c r="U91" s="28">
        <f t="shared" si="40"/>
        <v>0.83333333333333348</v>
      </c>
      <c r="V91" s="28">
        <f t="shared" si="40"/>
        <v>0.83333333333333348</v>
      </c>
      <c r="W91" s="28">
        <f t="shared" si="40"/>
        <v>0.83333333333333348</v>
      </c>
      <c r="X91" s="28">
        <f t="shared" si="40"/>
        <v>0.83333333333333348</v>
      </c>
      <c r="Y91" s="28">
        <f t="shared" si="40"/>
        <v>0.83333333333333348</v>
      </c>
      <c r="Z91" s="28">
        <f t="shared" si="40"/>
        <v>0.83333333333333348</v>
      </c>
      <c r="AA91" s="28">
        <f t="shared" si="40"/>
        <v>0.83333333333333348</v>
      </c>
      <c r="AB91" s="28">
        <f t="shared" si="40"/>
        <v>0.83333333333333348</v>
      </c>
      <c r="AC91" s="28">
        <f t="shared" si="40"/>
        <v>0.83333333333333348</v>
      </c>
      <c r="AD91" s="28">
        <f t="shared" si="40"/>
        <v>0.83333333333333348</v>
      </c>
      <c r="AE91" s="28">
        <f t="shared" si="40"/>
        <v>0.83333333333333348</v>
      </c>
      <c r="AF91" s="28">
        <f t="shared" si="40"/>
        <v>0.83333333333333348</v>
      </c>
      <c r="AG91" s="28">
        <f t="shared" si="40"/>
        <v>0.83333333333333348</v>
      </c>
      <c r="AH91" s="28">
        <f t="shared" si="40"/>
        <v>0</v>
      </c>
      <c r="AI91" s="28">
        <f t="shared" si="40"/>
        <v>0</v>
      </c>
      <c r="AJ91" s="28">
        <f t="shared" si="40"/>
        <v>0</v>
      </c>
      <c r="AK91" s="28">
        <f t="shared" si="40"/>
        <v>0</v>
      </c>
      <c r="AL91" s="28">
        <f t="shared" si="40"/>
        <v>0</v>
      </c>
    </row>
    <row r="92" spans="1:38" ht="21" hidden="1" customHeight="1" outlineLevel="1" thickBot="1" x14ac:dyDescent="0.4">
      <c r="A92" s="10">
        <f t="shared" si="26"/>
        <v>0</v>
      </c>
      <c r="B92" s="10">
        <f t="shared" si="26"/>
        <v>2</v>
      </c>
      <c r="C92" s="10">
        <f t="shared" si="26"/>
        <v>1</v>
      </c>
      <c r="D92" s="10">
        <f t="shared" si="26"/>
        <v>0</v>
      </c>
      <c r="E92" s="11" t="str">
        <f t="shared" si="21"/>
        <v>(1)GeSe2</v>
      </c>
      <c r="F92" s="28">
        <f t="shared" ref="F92" si="41">F12*$C$82</f>
        <v>0.49112500000000003</v>
      </c>
      <c r="G92" s="28">
        <f t="shared" ref="G92:AL92" si="42">G12*$C$82</f>
        <v>0.46116666666666672</v>
      </c>
      <c r="H92" s="28">
        <f t="shared" si="42"/>
        <v>0.37830416666666666</v>
      </c>
      <c r="I92" s="28">
        <f t="shared" si="42"/>
        <v>0.24295416666666669</v>
      </c>
      <c r="J92" s="28">
        <f t="shared" si="42"/>
        <v>0.1190875</v>
      </c>
      <c r="K92" s="28">
        <f t="shared" si="42"/>
        <v>3.5117500000000001E-3</v>
      </c>
      <c r="L92" s="28">
        <f t="shared" si="42"/>
        <v>1.5272083333333335E-3</v>
      </c>
      <c r="M92" s="28">
        <f t="shared" si="42"/>
        <v>6.2000000000000011E-4</v>
      </c>
      <c r="N92" s="28">
        <f t="shared" si="42"/>
        <v>2.1732083333333337E-4</v>
      </c>
      <c r="O92" s="28">
        <f t="shared" si="42"/>
        <v>6.5133333333333335E-5</v>
      </c>
      <c r="P92" s="28">
        <f t="shared" si="42"/>
        <v>1.773875E-5</v>
      </c>
      <c r="Q92" s="28">
        <f t="shared" si="42"/>
        <v>4.7170833333333334E-6</v>
      </c>
      <c r="R92" s="28">
        <f t="shared" si="42"/>
        <v>1.2816666666666667E-6</v>
      </c>
      <c r="S92" s="28">
        <f t="shared" si="42"/>
        <v>3.6311666666666667E-7</v>
      </c>
      <c r="T92" s="28">
        <f t="shared" si="42"/>
        <v>1.0799583333333334E-7</v>
      </c>
      <c r="U92" s="28">
        <f t="shared" si="42"/>
        <v>3.3750416666666673E-8</v>
      </c>
      <c r="V92" s="28">
        <f t="shared" si="42"/>
        <v>1.1085000000000001E-8</v>
      </c>
      <c r="W92" s="28">
        <f t="shared" si="42"/>
        <v>3.8437083333333339E-9</v>
      </c>
      <c r="X92" s="28">
        <f t="shared" si="42"/>
        <v>8.6137500000000017E-11</v>
      </c>
      <c r="Y92" s="28">
        <f t="shared" si="42"/>
        <v>3.5252916666666665E-11</v>
      </c>
      <c r="Z92" s="28">
        <f t="shared" si="42"/>
        <v>1.4811666666666668E-11</v>
      </c>
      <c r="AA92" s="28">
        <f t="shared" si="42"/>
        <v>6.3854166666666672E-12</v>
      </c>
      <c r="AB92" s="28">
        <f t="shared" si="42"/>
        <v>2.8208749999999999E-12</v>
      </c>
      <c r="AC92" s="28">
        <f t="shared" si="42"/>
        <v>1.2800416666666669E-12</v>
      </c>
      <c r="AD92" s="28">
        <f t="shared" si="42"/>
        <v>6.3991666666666662E-13</v>
      </c>
      <c r="AE92" s="28">
        <f t="shared" si="42"/>
        <v>3.1436666666666671E-13</v>
      </c>
      <c r="AF92" s="28">
        <f t="shared" si="42"/>
        <v>1.5490833333333335E-13</v>
      </c>
      <c r="AG92" s="28">
        <f t="shared" si="42"/>
        <v>1.0297916666666667E-14</v>
      </c>
      <c r="AH92" s="28">
        <f t="shared" si="42"/>
        <v>0</v>
      </c>
      <c r="AI92" s="28">
        <f t="shared" si="42"/>
        <v>0</v>
      </c>
      <c r="AJ92" s="28">
        <f t="shared" si="42"/>
        <v>0</v>
      </c>
      <c r="AK92" s="28">
        <f t="shared" si="42"/>
        <v>0</v>
      </c>
      <c r="AL92" s="28">
        <f t="shared" si="42"/>
        <v>0</v>
      </c>
    </row>
    <row r="93" spans="1:38" ht="21" hidden="1" customHeight="1" outlineLevel="1" thickBot="1" x14ac:dyDescent="0.4">
      <c r="A93" s="10">
        <f t="shared" si="26"/>
        <v>0</v>
      </c>
      <c r="B93" s="10">
        <f t="shared" si="26"/>
        <v>1</v>
      </c>
      <c r="C93" s="10">
        <f t="shared" si="26"/>
        <v>1</v>
      </c>
      <c r="D93" s="10">
        <f t="shared" si="26"/>
        <v>0</v>
      </c>
      <c r="E93" s="11" t="str">
        <f t="shared" si="21"/>
        <v>(1)GeSe</v>
      </c>
      <c r="F93" s="28">
        <f t="shared" ref="F93" si="43">F13*$C$82</f>
        <v>0.50887500000000008</v>
      </c>
      <c r="G93" s="28">
        <f t="shared" ref="G93:AL93" si="44">G13*$C$82</f>
        <v>0.53883333333333339</v>
      </c>
      <c r="H93" s="28">
        <f t="shared" si="44"/>
        <v>0.6216666666666667</v>
      </c>
      <c r="I93" s="28">
        <f t="shared" si="44"/>
        <v>0.75691666666666668</v>
      </c>
      <c r="J93" s="28">
        <f t="shared" si="44"/>
        <v>0.88033333333333341</v>
      </c>
      <c r="K93" s="28">
        <f t="shared" si="44"/>
        <v>0.90100000000000002</v>
      </c>
      <c r="L93" s="28">
        <f t="shared" si="44"/>
        <v>0.77804166666666674</v>
      </c>
      <c r="M93" s="28">
        <f t="shared" si="44"/>
        <v>0.58991666666666676</v>
      </c>
      <c r="N93" s="28">
        <f t="shared" si="44"/>
        <v>0.37965000000000004</v>
      </c>
      <c r="O93" s="28">
        <f t="shared" si="44"/>
        <v>0.2094041666666667</v>
      </c>
      <c r="P93" s="28">
        <f t="shared" si="44"/>
        <v>0.10471666666666668</v>
      </c>
      <c r="Q93" s="28">
        <f t="shared" si="44"/>
        <v>5.0479166666666672E-2</v>
      </c>
      <c r="R93" s="28">
        <f t="shared" si="44"/>
        <v>2.4383750000000003E-2</v>
      </c>
      <c r="S93" s="28">
        <f t="shared" si="44"/>
        <v>1.2017083333333334E-2</v>
      </c>
      <c r="T93" s="28">
        <f t="shared" si="44"/>
        <v>6.0833333333333338E-3</v>
      </c>
      <c r="U93" s="28">
        <f t="shared" si="44"/>
        <v>3.1682916666666669E-3</v>
      </c>
      <c r="V93" s="28">
        <f t="shared" si="44"/>
        <v>1.6984166666666667E-3</v>
      </c>
      <c r="W93" s="28">
        <f t="shared" si="44"/>
        <v>9.3920833333333334E-4</v>
      </c>
      <c r="X93" s="28">
        <f t="shared" si="44"/>
        <v>1.1322916666666667E-4</v>
      </c>
      <c r="Y93" s="28">
        <f t="shared" si="44"/>
        <v>6.9137499999999993E-5</v>
      </c>
      <c r="Z93" s="28">
        <f t="shared" si="44"/>
        <v>4.2879166666666668E-5</v>
      </c>
      <c r="AA93" s="28">
        <f t="shared" si="44"/>
        <v>2.7004583333333332E-5</v>
      </c>
      <c r="AB93" s="28">
        <f t="shared" si="44"/>
        <v>1.7253333333333336E-5</v>
      </c>
      <c r="AC93" s="28">
        <f t="shared" si="44"/>
        <v>1.1193333333333333E-5</v>
      </c>
      <c r="AD93" s="28">
        <f t="shared" si="44"/>
        <v>7.614583333333334E-6</v>
      </c>
      <c r="AE93" s="28">
        <f t="shared" si="44"/>
        <v>5.1491666666666672E-6</v>
      </c>
      <c r="AF93" s="28">
        <f t="shared" si="44"/>
        <v>3.4940416666666671E-6</v>
      </c>
      <c r="AG93" s="28">
        <f t="shared" si="44"/>
        <v>7.9862500000000002E-7</v>
      </c>
      <c r="AH93" s="28">
        <f t="shared" si="44"/>
        <v>0</v>
      </c>
      <c r="AI93" s="28">
        <f t="shared" si="44"/>
        <v>0</v>
      </c>
      <c r="AJ93" s="28">
        <f t="shared" si="44"/>
        <v>0</v>
      </c>
      <c r="AK93" s="28">
        <f t="shared" si="44"/>
        <v>0</v>
      </c>
      <c r="AL93" s="28">
        <f t="shared" si="44"/>
        <v>0</v>
      </c>
    </row>
    <row r="94" spans="1:38" ht="21" hidden="1" customHeight="1" outlineLevel="1" thickBot="1" x14ac:dyDescent="0.4">
      <c r="A94" s="10">
        <f t="shared" si="26"/>
        <v>0</v>
      </c>
      <c r="B94" s="10">
        <f t="shared" si="26"/>
        <v>3</v>
      </c>
      <c r="C94" s="10">
        <f t="shared" si="26"/>
        <v>0</v>
      </c>
      <c r="D94" s="10">
        <f t="shared" si="26"/>
        <v>2</v>
      </c>
      <c r="E94" s="11" t="str">
        <f t="shared" si="21"/>
        <v>(1)Ga2Se3</v>
      </c>
      <c r="F94" s="28">
        <f t="shared" ref="F94" si="45">F14*$C$82</f>
        <v>9.1274999999999995E-2</v>
      </c>
      <c r="G94" s="28">
        <f t="shared" ref="G94:AL94" si="46">G14*$C$82</f>
        <v>9.2483333333333348E-2</v>
      </c>
      <c r="H94" s="28">
        <f t="shared" si="46"/>
        <v>9.5625000000000016E-2</v>
      </c>
      <c r="I94" s="28">
        <f t="shared" si="46"/>
        <v>0.10022916666666667</v>
      </c>
      <c r="J94" s="28">
        <f t="shared" si="46"/>
        <v>0.10395833333333335</v>
      </c>
      <c r="K94" s="28">
        <f t="shared" si="46"/>
        <v>0.10940000000000001</v>
      </c>
      <c r="L94" s="28">
        <f t="shared" si="46"/>
        <v>0.11225</v>
      </c>
      <c r="M94" s="28">
        <f t="shared" si="46"/>
        <v>0.11601666666666668</v>
      </c>
      <c r="N94" s="28">
        <f t="shared" si="46"/>
        <v>0.11963750000000001</v>
      </c>
      <c r="O94" s="28">
        <f t="shared" si="46"/>
        <v>0.12220416666666668</v>
      </c>
      <c r="P94" s="28">
        <f t="shared" si="46"/>
        <v>0.12365000000000001</v>
      </c>
      <c r="Q94" s="28">
        <f t="shared" si="46"/>
        <v>0.12435833333333335</v>
      </c>
      <c r="R94" s="28">
        <f t="shared" si="46"/>
        <v>0.12469166666666669</v>
      </c>
      <c r="S94" s="28">
        <f t="shared" si="46"/>
        <v>0.12482916666666667</v>
      </c>
      <c r="T94" s="28">
        <f t="shared" si="46"/>
        <v>0.12480000000000001</v>
      </c>
      <c r="U94" s="28">
        <f t="shared" si="46"/>
        <v>0.12428333333333334</v>
      </c>
      <c r="V94" s="28">
        <f t="shared" si="46"/>
        <v>0.12161666666666666</v>
      </c>
      <c r="W94" s="28">
        <f t="shared" si="46"/>
        <v>0.11079166666666668</v>
      </c>
      <c r="X94" s="28">
        <f t="shared" si="46"/>
        <v>3.9634583333333336E-3</v>
      </c>
      <c r="Y94" s="28">
        <f t="shared" si="46"/>
        <v>1.1380416666666668E-3</v>
      </c>
      <c r="Z94" s="28">
        <f t="shared" si="46"/>
        <v>3.3076250000000002E-4</v>
      </c>
      <c r="AA94" s="28">
        <f t="shared" si="46"/>
        <v>9.7866666666666669E-5</v>
      </c>
      <c r="AB94" s="28">
        <f t="shared" si="46"/>
        <v>2.9432083333333336E-5</v>
      </c>
      <c r="AC94" s="28">
        <f t="shared" si="46"/>
        <v>8.7983333333333335E-6</v>
      </c>
      <c r="AD94" s="28">
        <f t="shared" si="46"/>
        <v>1.3604583333333334E-6</v>
      </c>
      <c r="AE94" s="28">
        <f t="shared" si="46"/>
        <v>2.1072916666666668E-7</v>
      </c>
      <c r="AF94" s="28">
        <f t="shared" si="46"/>
        <v>3.392291666666667E-8</v>
      </c>
      <c r="AG94" s="28">
        <f t="shared" si="46"/>
        <v>3.6921250000000004E-11</v>
      </c>
      <c r="AH94" s="28">
        <f t="shared" si="46"/>
        <v>0</v>
      </c>
      <c r="AI94" s="28">
        <f t="shared" si="46"/>
        <v>0</v>
      </c>
      <c r="AJ94" s="28">
        <f t="shared" si="46"/>
        <v>0</v>
      </c>
      <c r="AK94" s="28">
        <f t="shared" si="46"/>
        <v>0</v>
      </c>
      <c r="AL94" s="28">
        <f t="shared" si="46"/>
        <v>0</v>
      </c>
    </row>
    <row r="95" spans="1:38" ht="21" hidden="1" customHeight="1" outlineLevel="1" thickBot="1" x14ac:dyDescent="0.4">
      <c r="A95" s="10">
        <f t="shared" si="26"/>
        <v>0</v>
      </c>
      <c r="B95" s="10">
        <f t="shared" si="26"/>
        <v>1</v>
      </c>
      <c r="C95" s="10">
        <f t="shared" si="26"/>
        <v>0</v>
      </c>
      <c r="D95" s="10">
        <f t="shared" si="26"/>
        <v>2</v>
      </c>
      <c r="E95" s="11" t="str">
        <f t="shared" si="21"/>
        <v>(1)Ga2Se</v>
      </c>
      <c r="F95" s="28">
        <f t="shared" ref="F95" si="47">F15*$C$82</f>
        <v>5.9245833333333339E-28</v>
      </c>
      <c r="G95" s="28">
        <f t="shared" ref="G95:AL95" si="48">G15*$C$82</f>
        <v>5.1016666666666671E-26</v>
      </c>
      <c r="H95" s="28">
        <f t="shared" si="48"/>
        <v>3.902375E-24</v>
      </c>
      <c r="I95" s="28">
        <f t="shared" si="48"/>
        <v>3.4262500000000001E-22</v>
      </c>
      <c r="J95" s="28">
        <f t="shared" si="48"/>
        <v>3.1567083333333339E-20</v>
      </c>
      <c r="K95" s="28">
        <f t="shared" si="48"/>
        <v>1.5241250000000001E-13</v>
      </c>
      <c r="L95" s="28">
        <f t="shared" si="48"/>
        <v>2.9183333333333338E-12</v>
      </c>
      <c r="M95" s="28">
        <f t="shared" si="48"/>
        <v>4.2891666666666666E-11</v>
      </c>
      <c r="N95" s="28">
        <f t="shared" si="48"/>
        <v>5.3354166666666675E-10</v>
      </c>
      <c r="O95" s="28">
        <f t="shared" si="48"/>
        <v>5.8895833333333335E-9</v>
      </c>
      <c r="P95" s="28">
        <f t="shared" si="48"/>
        <v>5.7945833333333337E-8</v>
      </c>
      <c r="Q95" s="28">
        <f t="shared" si="48"/>
        <v>5.0495833333333328E-7</v>
      </c>
      <c r="R95" s="28">
        <f t="shared" si="48"/>
        <v>3.8958333333333334E-6</v>
      </c>
      <c r="S95" s="28">
        <f t="shared" si="48"/>
        <v>2.6755833333333336E-5</v>
      </c>
      <c r="T95" s="28">
        <f t="shared" si="48"/>
        <v>1.6478749999999999E-4</v>
      </c>
      <c r="U95" s="28">
        <f t="shared" si="48"/>
        <v>9.1491666666666674E-4</v>
      </c>
      <c r="V95" s="28">
        <f t="shared" si="48"/>
        <v>4.5454166666666664E-3</v>
      </c>
      <c r="W95" s="28">
        <f t="shared" si="48"/>
        <v>1.9145416666666668E-2</v>
      </c>
      <c r="X95" s="28">
        <f t="shared" si="48"/>
        <v>0.14632500000000001</v>
      </c>
      <c r="Y95" s="28">
        <f t="shared" si="48"/>
        <v>0.14203750000000001</v>
      </c>
      <c r="Z95" s="28">
        <f t="shared" si="48"/>
        <v>0.13293333333333335</v>
      </c>
      <c r="AA95" s="28">
        <f t="shared" si="48"/>
        <v>0.12093333333333335</v>
      </c>
      <c r="AB95" s="28">
        <f t="shared" si="48"/>
        <v>0.10706666666666667</v>
      </c>
      <c r="AC95" s="28">
        <f t="shared" si="48"/>
        <v>9.0116666666666678E-2</v>
      </c>
      <c r="AD95" s="28">
        <f t="shared" si="48"/>
        <v>3.4840416666666665E-2</v>
      </c>
      <c r="AE95" s="28">
        <f t="shared" si="48"/>
        <v>1.3551666666666667E-2</v>
      </c>
      <c r="AF95" s="28">
        <f t="shared" si="48"/>
        <v>5.3900000000000007E-3</v>
      </c>
      <c r="AG95" s="28">
        <f t="shared" si="48"/>
        <v>1.7203333333333336E-4</v>
      </c>
      <c r="AH95" s="28">
        <f t="shared" si="48"/>
        <v>0</v>
      </c>
      <c r="AI95" s="28">
        <f t="shared" si="48"/>
        <v>0</v>
      </c>
      <c r="AJ95" s="28">
        <f t="shared" si="48"/>
        <v>0</v>
      </c>
      <c r="AK95" s="28">
        <f t="shared" si="48"/>
        <v>0</v>
      </c>
      <c r="AL95" s="28">
        <f t="shared" si="48"/>
        <v>0</v>
      </c>
    </row>
    <row r="96" spans="1:38" ht="21" hidden="1" customHeight="1" outlineLevel="1" thickBot="1" x14ac:dyDescent="0.4">
      <c r="A96" s="10">
        <f t="shared" si="26"/>
        <v>0</v>
      </c>
      <c r="B96" s="10">
        <f t="shared" si="26"/>
        <v>0</v>
      </c>
      <c r="C96" s="10">
        <f t="shared" si="26"/>
        <v>1</v>
      </c>
      <c r="D96" s="10">
        <f t="shared" si="26"/>
        <v>0</v>
      </c>
      <c r="E96" s="11" t="str">
        <f t="shared" si="21"/>
        <v>(1)Ge</v>
      </c>
      <c r="F96" s="28">
        <f t="shared" ref="F96" si="49">F16*$C$82</f>
        <v>1.8920416666666668E-6</v>
      </c>
      <c r="G96" s="28">
        <f t="shared" ref="G96:AL96" si="50">G16*$C$82</f>
        <v>4.8316666666666673E-6</v>
      </c>
      <c r="H96" s="28">
        <f t="shared" si="50"/>
        <v>1.5156666666666668E-5</v>
      </c>
      <c r="I96" s="28">
        <f t="shared" si="50"/>
        <v>6.2295833333333341E-5</v>
      </c>
      <c r="J96" s="28">
        <f t="shared" si="50"/>
        <v>2.8598333333333334E-4</v>
      </c>
      <c r="K96" s="28">
        <f t="shared" si="50"/>
        <v>4.7733333333333336E-2</v>
      </c>
      <c r="L96" s="28">
        <f t="shared" si="50"/>
        <v>0.110225</v>
      </c>
      <c r="M96" s="28">
        <f t="shared" si="50"/>
        <v>0.20473750000000002</v>
      </c>
      <c r="N96" s="28">
        <f t="shared" si="50"/>
        <v>0.31006666666666666</v>
      </c>
      <c r="O96" s="28">
        <f t="shared" si="50"/>
        <v>0.39526666666666671</v>
      </c>
      <c r="P96" s="28">
        <f t="shared" si="50"/>
        <v>0.447625</v>
      </c>
      <c r="Q96" s="28">
        <f t="shared" si="50"/>
        <v>0.47475000000000001</v>
      </c>
      <c r="R96" s="28">
        <f t="shared" si="50"/>
        <v>0.48779166666666668</v>
      </c>
      <c r="S96" s="28">
        <f t="shared" si="50"/>
        <v>0.49400000000000005</v>
      </c>
      <c r="T96" s="28">
        <f t="shared" si="50"/>
        <v>0.49695833333333339</v>
      </c>
      <c r="U96" s="28">
        <f t="shared" si="50"/>
        <v>0.49841666666666673</v>
      </c>
      <c r="V96" s="28">
        <f t="shared" si="50"/>
        <v>0.4991666666666667</v>
      </c>
      <c r="W96" s="28">
        <f t="shared" si="50"/>
        <v>0.49954166666666666</v>
      </c>
      <c r="X96" s="28">
        <f t="shared" si="50"/>
        <v>0.49995833333333339</v>
      </c>
      <c r="Y96" s="28">
        <f t="shared" si="50"/>
        <v>0.49995833333333339</v>
      </c>
      <c r="Z96" s="28">
        <f t="shared" si="50"/>
        <v>0.49995833333333339</v>
      </c>
      <c r="AA96" s="28">
        <f t="shared" si="50"/>
        <v>0.5</v>
      </c>
      <c r="AB96" s="28">
        <f t="shared" si="50"/>
        <v>0.5</v>
      </c>
      <c r="AC96" s="28">
        <f t="shared" si="50"/>
        <v>0.49987500000000001</v>
      </c>
      <c r="AD96" s="28">
        <f t="shared" si="50"/>
        <v>0.49691666666666673</v>
      </c>
      <c r="AE96" s="28">
        <f t="shared" si="50"/>
        <v>0.49487500000000006</v>
      </c>
      <c r="AF96" s="28">
        <f t="shared" si="50"/>
        <v>0.49320833333333336</v>
      </c>
      <c r="AG96" s="28">
        <f t="shared" si="50"/>
        <v>0.48725000000000002</v>
      </c>
      <c r="AH96" s="28">
        <f t="shared" si="50"/>
        <v>0</v>
      </c>
      <c r="AI96" s="28">
        <f t="shared" si="50"/>
        <v>0</v>
      </c>
      <c r="AJ96" s="28">
        <f t="shared" si="50"/>
        <v>0</v>
      </c>
      <c r="AK96" s="28">
        <f t="shared" si="50"/>
        <v>0</v>
      </c>
      <c r="AL96" s="28">
        <f t="shared" si="50"/>
        <v>0</v>
      </c>
    </row>
    <row r="97" spans="1:38" ht="21" hidden="1" customHeight="1" outlineLevel="1" thickBot="1" x14ac:dyDescent="0.4">
      <c r="A97" s="10">
        <f t="shared" si="26"/>
        <v>0</v>
      </c>
      <c r="B97" s="10">
        <f t="shared" si="26"/>
        <v>0</v>
      </c>
      <c r="C97" s="10">
        <f t="shared" si="26"/>
        <v>0</v>
      </c>
      <c r="D97" s="10">
        <f t="shared" si="26"/>
        <v>1</v>
      </c>
      <c r="E97" s="11" t="str">
        <f t="shared" si="21"/>
        <v>(1)Ga</v>
      </c>
      <c r="F97" s="28">
        <f t="shared" ref="F97" si="51">F17*$C$82</f>
        <v>1.515625E-27</v>
      </c>
      <c r="G97" s="28">
        <f t="shared" ref="G97:AL97" si="52">G17*$C$82</f>
        <v>1.2286250000000001E-25</v>
      </c>
      <c r="H97" s="28">
        <f t="shared" si="52"/>
        <v>8.3504166666666665E-24</v>
      </c>
      <c r="I97" s="28">
        <f t="shared" si="52"/>
        <v>5.8516666666666674E-22</v>
      </c>
      <c r="J97" s="28">
        <f t="shared" si="52"/>
        <v>3.9238333333333336E-20</v>
      </c>
      <c r="K97" s="28">
        <f t="shared" si="52"/>
        <v>5.5216666666666671E-14</v>
      </c>
      <c r="L97" s="28">
        <f t="shared" si="52"/>
        <v>8.8820833333333339E-13</v>
      </c>
      <c r="M97" s="28">
        <f t="shared" si="52"/>
        <v>1.14525E-11</v>
      </c>
      <c r="N97" s="28">
        <f t="shared" si="52"/>
        <v>1.2630833333333333E-10</v>
      </c>
      <c r="O97" s="28">
        <f t="shared" si="52"/>
        <v>1.2232500000000001E-9</v>
      </c>
      <c r="P97" s="28">
        <f t="shared" si="52"/>
        <v>1.0426666666666667E-8</v>
      </c>
      <c r="Q97" s="28">
        <f t="shared" si="52"/>
        <v>7.827916666666668E-8</v>
      </c>
      <c r="R97" s="28">
        <f t="shared" si="52"/>
        <v>5.2025000000000002E-7</v>
      </c>
      <c r="S97" s="28">
        <f t="shared" si="52"/>
        <v>3.0837916666666667E-6</v>
      </c>
      <c r="T97" s="28">
        <f t="shared" si="52"/>
        <v>1.6427083333333334E-5</v>
      </c>
      <c r="U97" s="28">
        <f t="shared" si="52"/>
        <v>7.9108333333333336E-5</v>
      </c>
      <c r="V97" s="28">
        <f t="shared" si="52"/>
        <v>3.4423750000000001E-4</v>
      </c>
      <c r="W97" s="28">
        <f t="shared" si="52"/>
        <v>1.3229166666666669E-3</v>
      </c>
      <c r="X97" s="28">
        <f t="shared" si="52"/>
        <v>3.0566666666666669E-2</v>
      </c>
      <c r="Y97" s="28">
        <f t="shared" si="52"/>
        <v>4.6354166666666669E-2</v>
      </c>
      <c r="Z97" s="28">
        <f t="shared" si="52"/>
        <v>6.6620833333333337E-2</v>
      </c>
      <c r="AA97" s="28">
        <f t="shared" si="52"/>
        <v>9.1220833333333334E-2</v>
      </c>
      <c r="AB97" s="28">
        <f t="shared" si="52"/>
        <v>0.11912916666666667</v>
      </c>
      <c r="AC97" s="28">
        <f t="shared" si="52"/>
        <v>0.14652083333333335</v>
      </c>
      <c r="AD97" s="28">
        <f t="shared" si="52"/>
        <v>0.11461250000000001</v>
      </c>
      <c r="AE97" s="28">
        <f t="shared" si="52"/>
        <v>8.8008333333333327E-2</v>
      </c>
      <c r="AF97" s="28">
        <f t="shared" si="52"/>
        <v>6.6520833333333335E-2</v>
      </c>
      <c r="AG97" s="28">
        <f t="shared" si="52"/>
        <v>1.8249166666666667E-2</v>
      </c>
      <c r="AH97" s="28">
        <f t="shared" si="52"/>
        <v>0</v>
      </c>
      <c r="AI97" s="28">
        <f t="shared" si="52"/>
        <v>0</v>
      </c>
      <c r="AJ97" s="28">
        <f t="shared" si="52"/>
        <v>0</v>
      </c>
      <c r="AK97" s="28">
        <f t="shared" si="52"/>
        <v>0</v>
      </c>
      <c r="AL97" s="28">
        <f t="shared" si="52"/>
        <v>0</v>
      </c>
    </row>
    <row r="98" spans="1:38" ht="21" hidden="1" customHeight="1" outlineLevel="1" thickBot="1" x14ac:dyDescent="0.4">
      <c r="A98" s="10">
        <f t="shared" si="26"/>
        <v>0</v>
      </c>
      <c r="B98" s="10">
        <f t="shared" si="26"/>
        <v>1</v>
      </c>
      <c r="C98" s="10">
        <f t="shared" si="26"/>
        <v>0</v>
      </c>
      <c r="D98" s="10">
        <f t="shared" si="26"/>
        <v>0</v>
      </c>
      <c r="E98" s="11" t="str">
        <f t="shared" si="21"/>
        <v>(1)Se</v>
      </c>
      <c r="F98" s="28">
        <f t="shared" ref="F98:F112" si="53">F18*$C$82</f>
        <v>1.0557083333333334E-8</v>
      </c>
      <c r="G98" s="28">
        <f t="shared" ref="G98:AL98" si="54">G18*$C$82</f>
        <v>3.6467083333333334E-8</v>
      </c>
      <c r="H98" s="28">
        <f t="shared" si="54"/>
        <v>8.9208333333333343E-8</v>
      </c>
      <c r="I98" s="28">
        <f t="shared" si="54"/>
        <v>1.4601666666666669E-7</v>
      </c>
      <c r="J98" s="28">
        <f t="shared" si="54"/>
        <v>1.6703333333333335E-7</v>
      </c>
      <c r="K98" s="28">
        <f t="shared" si="54"/>
        <v>9.0833333333333346E-8</v>
      </c>
      <c r="L98" s="28">
        <f t="shared" si="54"/>
        <v>8.5145833333333342E-8</v>
      </c>
      <c r="M98" s="28">
        <f t="shared" si="54"/>
        <v>8.3291666666666673E-8</v>
      </c>
      <c r="N98" s="28">
        <f t="shared" si="54"/>
        <v>7.9866666666666667E-8</v>
      </c>
      <c r="O98" s="28">
        <f t="shared" si="54"/>
        <v>7.6012500000000006E-8</v>
      </c>
      <c r="P98" s="28">
        <f t="shared" si="54"/>
        <v>6.7887500000000005E-8</v>
      </c>
      <c r="Q98" s="28">
        <f t="shared" si="54"/>
        <v>5.8275000000000004E-8</v>
      </c>
      <c r="R98" s="28">
        <f t="shared" si="54"/>
        <v>4.9045833333333337E-8</v>
      </c>
      <c r="S98" s="28">
        <f t="shared" si="54"/>
        <v>4.0917083333333337E-8</v>
      </c>
      <c r="T98" s="28">
        <f t="shared" si="54"/>
        <v>3.4021666666666669E-8</v>
      </c>
      <c r="U98" s="28">
        <f t="shared" si="54"/>
        <v>2.8281666666666669E-8</v>
      </c>
      <c r="V98" s="28">
        <f t="shared" si="54"/>
        <v>2.3606250000000003E-8</v>
      </c>
      <c r="W98" s="28">
        <f t="shared" si="54"/>
        <v>2.0013749999999999E-8</v>
      </c>
      <c r="X98" s="28">
        <f t="shared" si="54"/>
        <v>1.1500833333333334E-8</v>
      </c>
      <c r="Y98" s="28">
        <f t="shared" si="54"/>
        <v>9.685416666666667E-9</v>
      </c>
      <c r="Z98" s="28">
        <f t="shared" si="54"/>
        <v>8.1525000000000014E-9</v>
      </c>
      <c r="AA98" s="28">
        <f t="shared" si="54"/>
        <v>6.8720833333333342E-9</v>
      </c>
      <c r="AB98" s="28">
        <f t="shared" si="54"/>
        <v>5.8029166666666668E-9</v>
      </c>
      <c r="AC98" s="28">
        <f t="shared" si="54"/>
        <v>4.9125000000000001E-9</v>
      </c>
      <c r="AD98" s="28">
        <f t="shared" si="54"/>
        <v>4.2458333333333341E-9</v>
      </c>
      <c r="AE98" s="28">
        <f t="shared" si="54"/>
        <v>3.6087083333333334E-9</v>
      </c>
      <c r="AF98" s="28">
        <f t="shared" si="54"/>
        <v>3.0499166666666669E-9</v>
      </c>
      <c r="AG98" s="28">
        <f t="shared" si="54"/>
        <v>1.5500000000000002E-9</v>
      </c>
      <c r="AH98" s="28">
        <f t="shared" si="54"/>
        <v>0</v>
      </c>
      <c r="AI98" s="28">
        <f t="shared" si="54"/>
        <v>0</v>
      </c>
      <c r="AJ98" s="28">
        <f t="shared" si="54"/>
        <v>0</v>
      </c>
      <c r="AK98" s="28">
        <f t="shared" si="54"/>
        <v>0</v>
      </c>
      <c r="AL98" s="28">
        <f t="shared" si="54"/>
        <v>0</v>
      </c>
    </row>
    <row r="99" spans="1:38" ht="21" hidden="1" customHeight="1" outlineLevel="1" thickBot="1" x14ac:dyDescent="0.4">
      <c r="A99" s="10">
        <f t="shared" si="26"/>
        <v>0</v>
      </c>
      <c r="B99" s="10">
        <f t="shared" si="26"/>
        <v>1</v>
      </c>
      <c r="C99" s="10">
        <f t="shared" si="26"/>
        <v>0</v>
      </c>
      <c r="D99" s="10">
        <f t="shared" si="26"/>
        <v>0</v>
      </c>
      <c r="E99" s="11" t="str">
        <f t="shared" si="21"/>
        <v>(1)Se[a]</v>
      </c>
      <c r="F99" s="28">
        <f t="shared" si="53"/>
        <v>2.4333333333333336E-9</v>
      </c>
      <c r="G99" s="28">
        <f t="shared" ref="G99:AL99" si="55">G19*$C$82</f>
        <v>9.7766666666666679E-9</v>
      </c>
      <c r="H99" s="28">
        <f t="shared" si="55"/>
        <v>2.7312916666666669E-8</v>
      </c>
      <c r="I99" s="28">
        <f t="shared" si="55"/>
        <v>5.0287500000000006E-8</v>
      </c>
      <c r="J99" s="28">
        <f t="shared" si="55"/>
        <v>6.3883333333333346E-8</v>
      </c>
      <c r="K99" s="28">
        <f t="shared" si="55"/>
        <v>4.8087500000000006E-8</v>
      </c>
      <c r="L99" s="28">
        <f t="shared" si="55"/>
        <v>4.8041666666666672E-8</v>
      </c>
      <c r="M99" s="28">
        <f t="shared" si="55"/>
        <v>4.9808333333333341E-8</v>
      </c>
      <c r="N99" s="28">
        <f t="shared" si="55"/>
        <v>5.0241666666666665E-8</v>
      </c>
      <c r="O99" s="28">
        <f t="shared" si="55"/>
        <v>4.7329166666666664E-8</v>
      </c>
      <c r="P99" s="28">
        <f t="shared" si="55"/>
        <v>4.1808333333333342E-8</v>
      </c>
      <c r="Q99" s="28">
        <f t="shared" si="55"/>
        <v>3.5479166666666674E-8</v>
      </c>
      <c r="R99" s="28">
        <f t="shared" si="55"/>
        <v>2.9507916666666666E-8</v>
      </c>
      <c r="S99" s="28">
        <f t="shared" si="55"/>
        <v>2.4320833333333332E-8</v>
      </c>
      <c r="T99" s="28">
        <f t="shared" si="55"/>
        <v>1.9975000000000002E-8</v>
      </c>
      <c r="U99" s="28">
        <f t="shared" si="55"/>
        <v>1.640041666666667E-8</v>
      </c>
      <c r="V99" s="28">
        <f t="shared" si="55"/>
        <v>1.352E-8</v>
      </c>
      <c r="W99" s="28">
        <f t="shared" si="55"/>
        <v>1.1320833333333335E-8</v>
      </c>
      <c r="X99" s="28">
        <f t="shared" si="55"/>
        <v>6.1937500000000005E-9</v>
      </c>
      <c r="Y99" s="28">
        <f t="shared" si="55"/>
        <v>5.1537499999999999E-9</v>
      </c>
      <c r="Z99" s="28">
        <f t="shared" si="55"/>
        <v>4.2866666666666672E-9</v>
      </c>
      <c r="AA99" s="28">
        <f t="shared" si="55"/>
        <v>3.5708750000000005E-9</v>
      </c>
      <c r="AB99" s="28">
        <f t="shared" si="55"/>
        <v>2.9802083333333333E-9</v>
      </c>
      <c r="AC99" s="28">
        <f t="shared" si="55"/>
        <v>2.4938750000000001E-9</v>
      </c>
      <c r="AD99" s="28">
        <f t="shared" si="55"/>
        <v>2.1307083333333333E-9</v>
      </c>
      <c r="AE99" s="28">
        <f t="shared" si="55"/>
        <v>1.7904583333333334E-9</v>
      </c>
      <c r="AF99" s="28">
        <f t="shared" si="55"/>
        <v>1.4962083333333335E-9</v>
      </c>
      <c r="AG99" s="28">
        <f t="shared" si="55"/>
        <v>7.273333333333333E-10</v>
      </c>
      <c r="AH99" s="28">
        <f t="shared" si="55"/>
        <v>0</v>
      </c>
      <c r="AI99" s="28">
        <f t="shared" si="55"/>
        <v>0</v>
      </c>
      <c r="AJ99" s="28">
        <f t="shared" si="55"/>
        <v>0</v>
      </c>
      <c r="AK99" s="28">
        <f t="shared" si="55"/>
        <v>0</v>
      </c>
      <c r="AL99" s="28">
        <f t="shared" si="55"/>
        <v>0</v>
      </c>
    </row>
    <row r="100" spans="1:38" ht="21" hidden="1" customHeight="1" outlineLevel="1" thickBot="1" x14ac:dyDescent="0.4">
      <c r="A100" s="10">
        <f t="shared" si="26"/>
        <v>0</v>
      </c>
      <c r="B100" s="10">
        <f t="shared" si="26"/>
        <v>1</v>
      </c>
      <c r="C100" s="10">
        <f t="shared" si="26"/>
        <v>0</v>
      </c>
      <c r="D100" s="10">
        <f t="shared" si="26"/>
        <v>0</v>
      </c>
      <c r="E100" s="11" t="str">
        <f t="shared" si="21"/>
        <v>(1)Se[m]</v>
      </c>
      <c r="F100" s="28">
        <f t="shared" si="53"/>
        <v>8.8912500000000016E-3</v>
      </c>
      <c r="G100" s="28">
        <f t="shared" ref="G100:AL100" si="56">G20*$C$82</f>
        <v>3.8855000000000008E-2</v>
      </c>
      <c r="H100" s="28">
        <f t="shared" si="56"/>
        <v>0.12172916666666668</v>
      </c>
      <c r="I100" s="28">
        <f t="shared" si="56"/>
        <v>0.25717083333333335</v>
      </c>
      <c r="J100" s="28">
        <f t="shared" si="56"/>
        <v>0.38148333333333334</v>
      </c>
      <c r="K100" s="28">
        <f t="shared" si="56"/>
        <v>0.59195833333333336</v>
      </c>
      <c r="L100" s="28">
        <f t="shared" si="56"/>
        <v>0.71891666666666676</v>
      </c>
      <c r="M100" s="28">
        <f t="shared" si="56"/>
        <v>0.90883333333333338</v>
      </c>
      <c r="N100" s="28">
        <f t="shared" si="56"/>
        <v>1.1199166666666669</v>
      </c>
      <c r="O100" s="28">
        <f t="shared" si="56"/>
        <v>1.2904583333333333</v>
      </c>
      <c r="P100" s="28">
        <f t="shared" si="56"/>
        <v>1.3952500000000001</v>
      </c>
      <c r="Q100" s="28">
        <f t="shared" si="56"/>
        <v>1.4495000000000002</v>
      </c>
      <c r="R100" s="28">
        <f t="shared" si="56"/>
        <v>1.4756250000000002</v>
      </c>
      <c r="S100" s="28">
        <f t="shared" si="56"/>
        <v>1.4880416666666667</v>
      </c>
      <c r="T100" s="28">
        <f t="shared" si="56"/>
        <v>1.4942500000000001</v>
      </c>
      <c r="U100" s="28">
        <f t="shared" si="56"/>
        <v>1.4987916666666667</v>
      </c>
      <c r="V100" s="28">
        <f t="shared" si="56"/>
        <v>1.5079166666666668</v>
      </c>
      <c r="W100" s="28">
        <f t="shared" si="56"/>
        <v>1.5393333333333334</v>
      </c>
      <c r="X100" s="28">
        <f t="shared" si="56"/>
        <v>1.8383750000000001</v>
      </c>
      <c r="Y100" s="28">
        <f t="shared" si="56"/>
        <v>1.8535416666666669</v>
      </c>
      <c r="Z100" s="28">
        <f t="shared" si="56"/>
        <v>1.8657500000000002</v>
      </c>
      <c r="AA100" s="28">
        <f t="shared" si="56"/>
        <v>1.8786666666666667</v>
      </c>
      <c r="AB100" s="28">
        <f t="shared" si="56"/>
        <v>1.8927916666666669</v>
      </c>
      <c r="AC100" s="28">
        <f t="shared" si="56"/>
        <v>1.9098333333333335</v>
      </c>
      <c r="AD100" s="28">
        <f t="shared" si="56"/>
        <v>1.9651666666666667</v>
      </c>
      <c r="AE100" s="28">
        <f t="shared" si="56"/>
        <v>1.9864583333333334</v>
      </c>
      <c r="AF100" s="28">
        <f t="shared" si="56"/>
        <v>1.9946250000000003</v>
      </c>
      <c r="AG100" s="28">
        <f t="shared" si="56"/>
        <v>1.9998333333333336</v>
      </c>
      <c r="AH100" s="28">
        <f t="shared" si="56"/>
        <v>0</v>
      </c>
      <c r="AI100" s="28">
        <f t="shared" si="56"/>
        <v>0</v>
      </c>
      <c r="AJ100" s="28">
        <f t="shared" si="56"/>
        <v>0</v>
      </c>
      <c r="AK100" s="28">
        <f t="shared" si="56"/>
        <v>0</v>
      </c>
      <c r="AL100" s="28">
        <f t="shared" si="56"/>
        <v>0</v>
      </c>
    </row>
    <row r="101" spans="1:38" ht="21" hidden="1" customHeight="1" outlineLevel="1" thickBot="1" x14ac:dyDescent="0.4">
      <c r="A101" s="10">
        <f t="shared" ref="A101:D113" si="57">A67</f>
        <v>0</v>
      </c>
      <c r="B101" s="10">
        <f t="shared" si="57"/>
        <v>1</v>
      </c>
      <c r="C101" s="10">
        <f t="shared" si="57"/>
        <v>0</v>
      </c>
      <c r="D101" s="10">
        <f t="shared" si="57"/>
        <v>0</v>
      </c>
      <c r="E101" s="11" t="str">
        <f t="shared" si="21"/>
        <v>(1)Se[r]</v>
      </c>
      <c r="F101" s="28">
        <f t="shared" si="53"/>
        <v>2.6995000000000003E-11</v>
      </c>
      <c r="G101" s="28">
        <f t="shared" ref="G101:AL101" si="58">G21*$C$82</f>
        <v>1.5182916666666666E-10</v>
      </c>
      <c r="H101" s="28">
        <f t="shared" si="58"/>
        <v>5.7270833333333333E-10</v>
      </c>
      <c r="I101" s="28">
        <f t="shared" si="58"/>
        <v>1.3815833333333334E-9</v>
      </c>
      <c r="J101" s="28">
        <f t="shared" si="58"/>
        <v>2.2423333333333338E-9</v>
      </c>
      <c r="K101" s="28">
        <f t="shared" si="58"/>
        <v>3.7302083333333334E-9</v>
      </c>
      <c r="L101" s="28">
        <f t="shared" si="58"/>
        <v>4.3862500000000006E-9</v>
      </c>
      <c r="M101" s="28">
        <f t="shared" si="58"/>
        <v>5.295416666666667E-9</v>
      </c>
      <c r="N101" s="28">
        <f t="shared" si="58"/>
        <v>6.1595833333333336E-9</v>
      </c>
      <c r="O101" s="28">
        <f t="shared" si="58"/>
        <v>6.6345833333333338E-9</v>
      </c>
      <c r="P101" s="28">
        <f t="shared" si="58"/>
        <v>6.6495833333333342E-9</v>
      </c>
      <c r="Q101" s="28">
        <f t="shared" si="58"/>
        <v>6.3579166666666674E-9</v>
      </c>
      <c r="R101" s="28">
        <f t="shared" si="58"/>
        <v>5.9208333333333334E-9</v>
      </c>
      <c r="S101" s="28">
        <f t="shared" si="58"/>
        <v>5.4325E-9</v>
      </c>
      <c r="T101" s="28">
        <f t="shared" si="58"/>
        <v>4.9412500000000005E-9</v>
      </c>
      <c r="U101" s="28">
        <f t="shared" si="58"/>
        <v>4.4712500000000003E-9</v>
      </c>
      <c r="V101" s="28">
        <f t="shared" si="58"/>
        <v>4.0445833333333334E-9</v>
      </c>
      <c r="W101" s="28">
        <f t="shared" si="58"/>
        <v>3.7012083333333336E-9</v>
      </c>
      <c r="X101" s="28">
        <f t="shared" si="58"/>
        <v>2.7894583333333334E-9</v>
      </c>
      <c r="Y101" s="28">
        <f t="shared" si="58"/>
        <v>2.4957083333333332E-9</v>
      </c>
      <c r="Z101" s="28">
        <f t="shared" si="58"/>
        <v>2.2262083333333337E-9</v>
      </c>
      <c r="AA101" s="28">
        <f t="shared" si="58"/>
        <v>1.9840416666666668E-9</v>
      </c>
      <c r="AB101" s="28">
        <f t="shared" si="58"/>
        <v>1.7674583333333336E-9</v>
      </c>
      <c r="AC101" s="28">
        <f t="shared" si="58"/>
        <v>1.5753333333333335E-9</v>
      </c>
      <c r="AD101" s="28">
        <f t="shared" si="58"/>
        <v>1.4306250000000001E-9</v>
      </c>
      <c r="AE101" s="28">
        <f t="shared" si="58"/>
        <v>1.2754166666666668E-9</v>
      </c>
      <c r="AF101" s="28">
        <f t="shared" si="58"/>
        <v>1.1287083333333333E-9</v>
      </c>
      <c r="AG101" s="28">
        <f t="shared" si="58"/>
        <v>6.7904166666666671E-10</v>
      </c>
      <c r="AH101" s="28">
        <f t="shared" si="58"/>
        <v>0</v>
      </c>
      <c r="AI101" s="28">
        <f t="shared" si="58"/>
        <v>0</v>
      </c>
      <c r="AJ101" s="28">
        <f t="shared" si="58"/>
        <v>0</v>
      </c>
      <c r="AK101" s="28">
        <f t="shared" si="58"/>
        <v>0</v>
      </c>
      <c r="AL101" s="28">
        <f t="shared" si="58"/>
        <v>0</v>
      </c>
    </row>
    <row r="102" spans="1:38" ht="21" hidden="1" customHeight="1" outlineLevel="1" thickBot="1" x14ac:dyDescent="0.4">
      <c r="A102" s="10">
        <f t="shared" si="57"/>
        <v>0</v>
      </c>
      <c r="B102" s="10">
        <f t="shared" si="57"/>
        <v>0</v>
      </c>
      <c r="C102" s="10">
        <f t="shared" si="57"/>
        <v>1</v>
      </c>
      <c r="D102" s="10">
        <f t="shared" si="57"/>
        <v>0</v>
      </c>
      <c r="E102" s="11" t="str">
        <f t="shared" si="21"/>
        <v>(1)Ge[c]</v>
      </c>
      <c r="F102" s="28">
        <f t="shared" si="53"/>
        <v>1.8920416666666668E-6</v>
      </c>
      <c r="G102" s="28">
        <f t="shared" ref="G102:AL102" si="59">G22*$C$82</f>
        <v>4.8316666666666673E-6</v>
      </c>
      <c r="H102" s="28">
        <f t="shared" si="59"/>
        <v>1.5156666666666668E-5</v>
      </c>
      <c r="I102" s="28">
        <f t="shared" si="59"/>
        <v>6.2295833333333341E-5</v>
      </c>
      <c r="J102" s="28">
        <f t="shared" si="59"/>
        <v>2.8598333333333334E-4</v>
      </c>
      <c r="K102" s="28">
        <f t="shared" si="59"/>
        <v>4.7733333333333336E-2</v>
      </c>
      <c r="L102" s="28">
        <f t="shared" si="59"/>
        <v>0.110225</v>
      </c>
      <c r="M102" s="28">
        <f t="shared" si="59"/>
        <v>0.20473750000000002</v>
      </c>
      <c r="N102" s="28">
        <f t="shared" si="59"/>
        <v>0.31006666666666666</v>
      </c>
      <c r="O102" s="28">
        <f t="shared" si="59"/>
        <v>0.39526666666666671</v>
      </c>
      <c r="P102" s="28">
        <f t="shared" si="59"/>
        <v>0.447625</v>
      </c>
      <c r="Q102" s="28">
        <f t="shared" si="59"/>
        <v>0.47475000000000001</v>
      </c>
      <c r="R102" s="28">
        <f t="shared" si="59"/>
        <v>0.48779166666666668</v>
      </c>
      <c r="S102" s="28">
        <f t="shared" si="59"/>
        <v>0.49400000000000005</v>
      </c>
      <c r="T102" s="28">
        <f t="shared" si="59"/>
        <v>0.49695833333333339</v>
      </c>
      <c r="U102" s="28">
        <f t="shared" si="59"/>
        <v>0.49841666666666673</v>
      </c>
      <c r="V102" s="28">
        <f t="shared" si="59"/>
        <v>0.4991666666666667</v>
      </c>
      <c r="W102" s="28">
        <f t="shared" si="59"/>
        <v>0.49954166666666666</v>
      </c>
      <c r="X102" s="28">
        <f t="shared" si="59"/>
        <v>0.49995833333333339</v>
      </c>
      <c r="Y102" s="28">
        <f t="shared" si="59"/>
        <v>0.49995833333333339</v>
      </c>
      <c r="Z102" s="28">
        <f t="shared" si="59"/>
        <v>0.49995833333333339</v>
      </c>
      <c r="AA102" s="28">
        <f t="shared" si="59"/>
        <v>0.5</v>
      </c>
      <c r="AB102" s="28">
        <f t="shared" si="59"/>
        <v>0.5</v>
      </c>
      <c r="AC102" s="28">
        <f t="shared" si="59"/>
        <v>0.49987500000000001</v>
      </c>
      <c r="AD102" s="28">
        <f t="shared" si="59"/>
        <v>0.49691666666666673</v>
      </c>
      <c r="AE102" s="28">
        <f t="shared" si="59"/>
        <v>0.49487500000000006</v>
      </c>
      <c r="AF102" s="28">
        <f t="shared" si="59"/>
        <v>0.49320833333333336</v>
      </c>
      <c r="AG102" s="28">
        <f t="shared" si="59"/>
        <v>0.48725000000000002</v>
      </c>
      <c r="AH102" s="28">
        <f t="shared" si="59"/>
        <v>0</v>
      </c>
      <c r="AI102" s="28">
        <f t="shared" si="59"/>
        <v>0</v>
      </c>
      <c r="AJ102" s="28">
        <f t="shared" si="59"/>
        <v>0</v>
      </c>
      <c r="AK102" s="28">
        <f t="shared" si="59"/>
        <v>0</v>
      </c>
      <c r="AL102" s="28">
        <f t="shared" si="59"/>
        <v>0</v>
      </c>
    </row>
    <row r="103" spans="1:38" ht="21" hidden="1" customHeight="1" outlineLevel="1" thickBot="1" x14ac:dyDescent="0.4">
      <c r="A103" s="10">
        <f t="shared" si="57"/>
        <v>0</v>
      </c>
      <c r="B103" s="10">
        <f t="shared" si="57"/>
        <v>0</v>
      </c>
      <c r="C103" s="10">
        <f t="shared" si="57"/>
        <v>0</v>
      </c>
      <c r="D103" s="10">
        <f t="shared" si="57"/>
        <v>1</v>
      </c>
      <c r="E103" s="11" t="str">
        <f t="shared" si="21"/>
        <v>(3)Ga[l]</v>
      </c>
      <c r="F103" s="28">
        <f t="shared" si="53"/>
        <v>0</v>
      </c>
      <c r="G103" s="28">
        <f t="shared" ref="G103:AL103" si="60">G23*$C$82</f>
        <v>0</v>
      </c>
      <c r="H103" s="28">
        <f t="shared" si="60"/>
        <v>0</v>
      </c>
      <c r="I103" s="28">
        <f t="shared" si="60"/>
        <v>0</v>
      </c>
      <c r="J103" s="28">
        <f t="shared" si="60"/>
        <v>0</v>
      </c>
      <c r="K103" s="28">
        <f t="shared" si="60"/>
        <v>0</v>
      </c>
      <c r="L103" s="28">
        <f t="shared" si="60"/>
        <v>0</v>
      </c>
      <c r="M103" s="28">
        <f t="shared" si="60"/>
        <v>0</v>
      </c>
      <c r="N103" s="28">
        <f t="shared" si="60"/>
        <v>0</v>
      </c>
      <c r="O103" s="28">
        <f t="shared" si="60"/>
        <v>0</v>
      </c>
      <c r="P103" s="28">
        <f t="shared" si="60"/>
        <v>0</v>
      </c>
      <c r="Q103" s="28">
        <f t="shared" si="60"/>
        <v>0</v>
      </c>
      <c r="R103" s="28">
        <f t="shared" si="60"/>
        <v>0</v>
      </c>
      <c r="S103" s="28">
        <f t="shared" si="60"/>
        <v>0</v>
      </c>
      <c r="T103" s="28">
        <f t="shared" si="60"/>
        <v>0</v>
      </c>
      <c r="U103" s="28">
        <f t="shared" si="60"/>
        <v>0</v>
      </c>
      <c r="V103" s="28">
        <f t="shared" si="60"/>
        <v>0</v>
      </c>
      <c r="W103" s="28">
        <f t="shared" si="60"/>
        <v>0</v>
      </c>
      <c r="X103" s="28">
        <f t="shared" si="60"/>
        <v>1.2335E-32</v>
      </c>
      <c r="Y103" s="28">
        <f t="shared" si="60"/>
        <v>1.5422500000000002E-25</v>
      </c>
      <c r="Z103" s="28">
        <f t="shared" si="60"/>
        <v>9.0920833333333332E-19</v>
      </c>
      <c r="AA103" s="28">
        <f t="shared" si="60"/>
        <v>1.6045416666666668E-12</v>
      </c>
      <c r="AB103" s="28">
        <f t="shared" si="60"/>
        <v>2.2053333333333335E-7</v>
      </c>
      <c r="AC103" s="28">
        <f t="shared" si="60"/>
        <v>6.5562500000000004E-3</v>
      </c>
      <c r="AD103" s="28">
        <f t="shared" si="60"/>
        <v>0.14898749999999999</v>
      </c>
      <c r="AE103" s="28">
        <f t="shared" si="60"/>
        <v>0.21813333333333337</v>
      </c>
      <c r="AF103" s="28">
        <f t="shared" si="60"/>
        <v>0.25593333333333335</v>
      </c>
      <c r="AG103" s="28">
        <f t="shared" si="60"/>
        <v>0.31472916666666673</v>
      </c>
      <c r="AH103" s="28">
        <f t="shared" si="60"/>
        <v>0</v>
      </c>
      <c r="AI103" s="28">
        <f t="shared" si="60"/>
        <v>0</v>
      </c>
      <c r="AJ103" s="28">
        <f t="shared" si="60"/>
        <v>0</v>
      </c>
      <c r="AK103" s="28">
        <f t="shared" si="60"/>
        <v>0</v>
      </c>
      <c r="AL103" s="28">
        <f t="shared" si="60"/>
        <v>0</v>
      </c>
    </row>
    <row r="104" spans="1:38" ht="21" hidden="1" customHeight="1" outlineLevel="1" thickBot="1" x14ac:dyDescent="0.4">
      <c r="A104" s="10">
        <f t="shared" si="57"/>
        <v>0</v>
      </c>
      <c r="B104" s="10">
        <f t="shared" si="57"/>
        <v>0</v>
      </c>
      <c r="C104" s="10">
        <f t="shared" si="57"/>
        <v>1</v>
      </c>
      <c r="D104" s="10">
        <f t="shared" si="57"/>
        <v>0</v>
      </c>
      <c r="E104" s="11" t="str">
        <f t="shared" si="21"/>
        <v>(3)Ge[l]</v>
      </c>
      <c r="F104" s="28">
        <f t="shared" si="53"/>
        <v>0</v>
      </c>
      <c r="G104" s="28">
        <f t="shared" ref="G104:AL104" si="61">G24*$C$82</f>
        <v>0</v>
      </c>
      <c r="H104" s="28">
        <f t="shared" si="61"/>
        <v>0</v>
      </c>
      <c r="I104" s="28">
        <f t="shared" si="61"/>
        <v>0</v>
      </c>
      <c r="J104" s="28">
        <f t="shared" si="61"/>
        <v>0</v>
      </c>
      <c r="K104" s="28">
        <f t="shared" si="61"/>
        <v>0</v>
      </c>
      <c r="L104" s="28">
        <f t="shared" si="61"/>
        <v>0</v>
      </c>
      <c r="M104" s="28">
        <f t="shared" si="61"/>
        <v>0</v>
      </c>
      <c r="N104" s="28">
        <f t="shared" si="61"/>
        <v>0</v>
      </c>
      <c r="O104" s="28">
        <f t="shared" si="61"/>
        <v>0</v>
      </c>
      <c r="P104" s="28">
        <f t="shared" si="61"/>
        <v>0</v>
      </c>
      <c r="Q104" s="28">
        <f t="shared" si="61"/>
        <v>0</v>
      </c>
      <c r="R104" s="28">
        <f t="shared" si="61"/>
        <v>0</v>
      </c>
      <c r="S104" s="28">
        <f t="shared" si="61"/>
        <v>0</v>
      </c>
      <c r="T104" s="28">
        <f t="shared" si="61"/>
        <v>0</v>
      </c>
      <c r="U104" s="28">
        <f t="shared" si="61"/>
        <v>0</v>
      </c>
      <c r="V104" s="28">
        <f t="shared" si="61"/>
        <v>0</v>
      </c>
      <c r="W104" s="28">
        <f t="shared" si="61"/>
        <v>0</v>
      </c>
      <c r="X104" s="28">
        <f t="shared" si="61"/>
        <v>2.7669166666666667E-33</v>
      </c>
      <c r="Y104" s="28">
        <f t="shared" si="61"/>
        <v>2.2664166666666667E-26</v>
      </c>
      <c r="Z104" s="28">
        <f t="shared" si="61"/>
        <v>9.0429166666666667E-20</v>
      </c>
      <c r="AA104" s="28">
        <f t="shared" si="61"/>
        <v>1.1099583333333335E-13</v>
      </c>
      <c r="AB104" s="28">
        <f t="shared" si="61"/>
        <v>1.088875E-8</v>
      </c>
      <c r="AC104" s="28">
        <f t="shared" si="61"/>
        <v>2.4002916666666669E-4</v>
      </c>
      <c r="AD104" s="28">
        <f t="shared" si="61"/>
        <v>6.1870833333333335E-3</v>
      </c>
      <c r="AE104" s="28">
        <f t="shared" si="61"/>
        <v>1.0257916666666667E-2</v>
      </c>
      <c r="AF104" s="28">
        <f t="shared" si="61"/>
        <v>1.3553333333333336E-2</v>
      </c>
      <c r="AG104" s="28">
        <f t="shared" si="61"/>
        <v>2.5474583333333335E-2</v>
      </c>
      <c r="AH104" s="28">
        <f t="shared" si="61"/>
        <v>0</v>
      </c>
      <c r="AI104" s="28">
        <f t="shared" si="61"/>
        <v>0</v>
      </c>
      <c r="AJ104" s="28">
        <f t="shared" si="61"/>
        <v>0</v>
      </c>
      <c r="AK104" s="28">
        <f t="shared" si="61"/>
        <v>0</v>
      </c>
      <c r="AL104" s="28">
        <f t="shared" si="61"/>
        <v>0</v>
      </c>
    </row>
    <row r="105" spans="1:38" ht="21" hidden="1" customHeight="1" outlineLevel="1" thickBot="1" x14ac:dyDescent="0.4">
      <c r="A105" s="10">
        <f t="shared" si="57"/>
        <v>1</v>
      </c>
      <c r="B105" s="10">
        <f t="shared" si="57"/>
        <v>0</v>
      </c>
      <c r="C105" s="10">
        <f t="shared" si="57"/>
        <v>0</v>
      </c>
      <c r="D105" s="10">
        <f t="shared" si="57"/>
        <v>0</v>
      </c>
      <c r="E105" s="11" t="str">
        <f t="shared" si="21"/>
        <v>H (Ar)</v>
      </c>
      <c r="F105" s="28">
        <f t="shared" si="53"/>
        <v>-77.958333333333343</v>
      </c>
      <c r="G105" s="28">
        <f t="shared" ref="G105:AL105" si="62">G25*$C$82</f>
        <v>-77.916666666666671</v>
      </c>
      <c r="H105" s="28">
        <f t="shared" si="62"/>
        <v>-77.916666666666671</v>
      </c>
      <c r="I105" s="28">
        <f t="shared" si="62"/>
        <v>-77.916666666666671</v>
      </c>
      <c r="J105" s="28">
        <f t="shared" si="62"/>
        <v>-78</v>
      </c>
      <c r="K105" s="28">
        <f t="shared" si="62"/>
        <v>-78.458333333333329</v>
      </c>
      <c r="L105" s="28">
        <f t="shared" si="62"/>
        <v>-78.625000000000014</v>
      </c>
      <c r="M105" s="28">
        <f t="shared" si="62"/>
        <v>-78.75</v>
      </c>
      <c r="N105" s="28">
        <f t="shared" si="62"/>
        <v>-78.916666666666671</v>
      </c>
      <c r="O105" s="28">
        <f t="shared" si="62"/>
        <v>-79.083333333333343</v>
      </c>
      <c r="P105" s="28">
        <f t="shared" si="62"/>
        <v>-79.25</v>
      </c>
      <c r="Q105" s="28">
        <f t="shared" si="62"/>
        <v>-79.416666666666671</v>
      </c>
      <c r="R105" s="28">
        <f t="shared" si="62"/>
        <v>-79.583333333333343</v>
      </c>
      <c r="S105" s="28">
        <f t="shared" si="62"/>
        <v>-79.750000000000014</v>
      </c>
      <c r="T105" s="28">
        <f t="shared" si="62"/>
        <v>-79.916666666666671</v>
      </c>
      <c r="U105" s="28">
        <f t="shared" si="62"/>
        <v>-80.125000000000014</v>
      </c>
      <c r="V105" s="28">
        <f t="shared" si="62"/>
        <v>-80.291666666666671</v>
      </c>
      <c r="W105" s="28">
        <f t="shared" si="62"/>
        <v>-80.416666666666671</v>
      </c>
      <c r="X105" s="28">
        <f t="shared" si="62"/>
        <v>-80.958333333333343</v>
      </c>
      <c r="Y105" s="28">
        <f t="shared" si="62"/>
        <v>-81.125</v>
      </c>
      <c r="Z105" s="28">
        <f t="shared" si="62"/>
        <v>-81.291666666666686</v>
      </c>
      <c r="AA105" s="28">
        <f t="shared" si="62"/>
        <v>-81.458333333333343</v>
      </c>
      <c r="AB105" s="28">
        <f t="shared" si="62"/>
        <v>-81.625</v>
      </c>
      <c r="AC105" s="28">
        <f t="shared" si="62"/>
        <v>-81.750000000000014</v>
      </c>
      <c r="AD105" s="28">
        <f t="shared" si="62"/>
        <v>-81.916666666666671</v>
      </c>
      <c r="AE105" s="28">
        <f t="shared" si="62"/>
        <v>-82.083333333333343</v>
      </c>
      <c r="AF105" s="28">
        <f t="shared" si="62"/>
        <v>-82.25</v>
      </c>
      <c r="AG105" s="28">
        <f t="shared" si="62"/>
        <v>-82.833333333333329</v>
      </c>
      <c r="AH105" s="28">
        <f t="shared" si="62"/>
        <v>0</v>
      </c>
      <c r="AI105" s="28">
        <f t="shared" si="62"/>
        <v>0</v>
      </c>
      <c r="AJ105" s="28">
        <f t="shared" si="62"/>
        <v>0</v>
      </c>
      <c r="AK105" s="28">
        <f t="shared" si="62"/>
        <v>0</v>
      </c>
      <c r="AL105" s="28">
        <f t="shared" si="62"/>
        <v>0</v>
      </c>
    </row>
    <row r="106" spans="1:38" ht="21" hidden="1" customHeight="1" outlineLevel="1" thickBot="1" x14ac:dyDescent="0.4">
      <c r="A106" s="10">
        <f t="shared" si="57"/>
        <v>0</v>
      </c>
      <c r="B106" s="10">
        <f t="shared" si="57"/>
        <v>0</v>
      </c>
      <c r="C106" s="10">
        <f t="shared" si="57"/>
        <v>0</v>
      </c>
      <c r="D106" s="10">
        <f t="shared" si="57"/>
        <v>1</v>
      </c>
      <c r="E106" s="11" t="str">
        <f t="shared" si="21"/>
        <v>H (Ga)</v>
      </c>
      <c r="F106" s="28">
        <f t="shared" si="53"/>
        <v>-278.125</v>
      </c>
      <c r="G106" s="28">
        <f t="shared" ref="G106:AL106" si="63">G26*$C$82</f>
        <v>-259.91666666666669</v>
      </c>
      <c r="H106" s="28">
        <f t="shared" si="63"/>
        <v>-242.625</v>
      </c>
      <c r="I106" s="28">
        <f t="shared" si="63"/>
        <v>-225.45833333333334</v>
      </c>
      <c r="J106" s="28">
        <f t="shared" si="63"/>
        <v>-208.41666666666669</v>
      </c>
      <c r="K106" s="28">
        <f t="shared" si="63"/>
        <v>-150.66666666666666</v>
      </c>
      <c r="L106" s="28">
        <f t="shared" si="63"/>
        <v>-139.58333333333334</v>
      </c>
      <c r="M106" s="28">
        <f t="shared" si="63"/>
        <v>-129.54166666666669</v>
      </c>
      <c r="N106" s="28">
        <f t="shared" si="63"/>
        <v>-120.16666666666667</v>
      </c>
      <c r="O106" s="28">
        <f t="shared" si="63"/>
        <v>-111.16666666666667</v>
      </c>
      <c r="P106" s="28">
        <f t="shared" si="63"/>
        <v>-102.58333333333334</v>
      </c>
      <c r="Q106" s="28">
        <f t="shared" si="63"/>
        <v>-94.416666666666671</v>
      </c>
      <c r="R106" s="28">
        <f t="shared" si="63"/>
        <v>-86.708333333333329</v>
      </c>
      <c r="S106" s="28">
        <f t="shared" si="63"/>
        <v>-79.416666666666671</v>
      </c>
      <c r="T106" s="28">
        <f t="shared" si="63"/>
        <v>-72.5</v>
      </c>
      <c r="U106" s="28">
        <f t="shared" si="63"/>
        <v>-65.958333333333343</v>
      </c>
      <c r="V106" s="28">
        <f t="shared" si="63"/>
        <v>-59.833333333333336</v>
      </c>
      <c r="W106" s="28">
        <f t="shared" si="63"/>
        <v>-54.208333333333336</v>
      </c>
      <c r="X106" s="28">
        <f t="shared" si="63"/>
        <v>-40.845833333333339</v>
      </c>
      <c r="Y106" s="28">
        <f t="shared" si="63"/>
        <v>-38.799999999999997</v>
      </c>
      <c r="Z106" s="28">
        <f t="shared" si="63"/>
        <v>-36.908333333333339</v>
      </c>
      <c r="AA106" s="28">
        <f t="shared" si="63"/>
        <v>-35.162500000000001</v>
      </c>
      <c r="AB106" s="28">
        <f t="shared" si="63"/>
        <v>-33.541666666666671</v>
      </c>
      <c r="AC106" s="28">
        <f t="shared" si="63"/>
        <v>-32.104166666666671</v>
      </c>
      <c r="AD106" s="28">
        <f t="shared" si="63"/>
        <v>-32.391666666666666</v>
      </c>
      <c r="AE106" s="28">
        <f t="shared" si="63"/>
        <v>-32.6875</v>
      </c>
      <c r="AF106" s="28">
        <f t="shared" si="63"/>
        <v>-32.979166666666671</v>
      </c>
      <c r="AG106" s="28">
        <f t="shared" si="63"/>
        <v>-34.112499999999997</v>
      </c>
      <c r="AH106" s="28">
        <f t="shared" si="63"/>
        <v>0</v>
      </c>
      <c r="AI106" s="28">
        <f t="shared" si="63"/>
        <v>0</v>
      </c>
      <c r="AJ106" s="28">
        <f t="shared" si="63"/>
        <v>0</v>
      </c>
      <c r="AK106" s="28">
        <f t="shared" si="63"/>
        <v>0</v>
      </c>
      <c r="AL106" s="28">
        <f t="shared" si="63"/>
        <v>0</v>
      </c>
    </row>
    <row r="107" spans="1:38" ht="21" hidden="1" customHeight="1" outlineLevel="1" thickBot="1" x14ac:dyDescent="0.4">
      <c r="A107" s="10">
        <f t="shared" si="57"/>
        <v>0</v>
      </c>
      <c r="B107" s="10">
        <f t="shared" si="57"/>
        <v>0</v>
      </c>
      <c r="C107" s="10">
        <f t="shared" si="57"/>
        <v>1</v>
      </c>
      <c r="D107" s="10">
        <f t="shared" si="57"/>
        <v>0</v>
      </c>
      <c r="E107" s="11" t="str">
        <f t="shared" si="21"/>
        <v>H (Ge)</v>
      </c>
      <c r="F107" s="28">
        <f t="shared" si="53"/>
        <v>-70.916666666666671</v>
      </c>
      <c r="G107" s="28">
        <f t="shared" ref="G107:AL107" si="64">G27*$C$82</f>
        <v>-67.083333333333343</v>
      </c>
      <c r="H107" s="28">
        <f t="shared" si="64"/>
        <v>-62.666666666666664</v>
      </c>
      <c r="I107" s="28">
        <f t="shared" si="64"/>
        <v>-57.291666666666671</v>
      </c>
      <c r="J107" s="28">
        <f t="shared" si="64"/>
        <v>-51.375000000000007</v>
      </c>
      <c r="K107" s="28">
        <f t="shared" si="64"/>
        <v>-31.220833333333339</v>
      </c>
      <c r="L107" s="28">
        <f t="shared" si="64"/>
        <v>-28.216666666666669</v>
      </c>
      <c r="M107" s="28">
        <f t="shared" si="64"/>
        <v>-26.245833333333337</v>
      </c>
      <c r="N107" s="28">
        <f t="shared" si="64"/>
        <v>-25.129166666666666</v>
      </c>
      <c r="O107" s="28">
        <f t="shared" si="64"/>
        <v>-24.629166666666666</v>
      </c>
      <c r="P107" s="28">
        <f t="shared" si="64"/>
        <v>-24.491666666666667</v>
      </c>
      <c r="Q107" s="28">
        <f t="shared" si="64"/>
        <v>-24.541666666666668</v>
      </c>
      <c r="R107" s="28">
        <f t="shared" si="64"/>
        <v>-24.679166666666667</v>
      </c>
      <c r="S107" s="28">
        <f t="shared" si="64"/>
        <v>-24.854166666666668</v>
      </c>
      <c r="T107" s="28">
        <f t="shared" si="64"/>
        <v>-25.045833333333334</v>
      </c>
      <c r="U107" s="28">
        <f t="shared" si="64"/>
        <v>-25.25</v>
      </c>
      <c r="V107" s="28">
        <f t="shared" si="64"/>
        <v>-25.470833333333339</v>
      </c>
      <c r="W107" s="28">
        <f t="shared" si="64"/>
        <v>-25.729166666666668</v>
      </c>
      <c r="X107" s="28">
        <f t="shared" si="64"/>
        <v>-27.058333333333334</v>
      </c>
      <c r="Y107" s="28">
        <f t="shared" si="64"/>
        <v>-27.291666666666668</v>
      </c>
      <c r="Z107" s="28">
        <f t="shared" si="64"/>
        <v>-27.525000000000002</v>
      </c>
      <c r="AA107" s="28">
        <f t="shared" si="64"/>
        <v>-27.754166666666666</v>
      </c>
      <c r="AB107" s="28">
        <f t="shared" si="64"/>
        <v>-27.991666666666667</v>
      </c>
      <c r="AC107" s="28">
        <f t="shared" si="64"/>
        <v>-28.220833333333335</v>
      </c>
      <c r="AD107" s="28">
        <f t="shared" si="64"/>
        <v>-28.391666666666669</v>
      </c>
      <c r="AE107" s="28">
        <f t="shared" si="64"/>
        <v>-28.558333333333337</v>
      </c>
      <c r="AF107" s="28">
        <f t="shared" si="64"/>
        <v>-28.725000000000001</v>
      </c>
      <c r="AG107" s="28">
        <f t="shared" si="64"/>
        <v>-29.433333333333337</v>
      </c>
      <c r="AH107" s="28">
        <f t="shared" si="64"/>
        <v>0</v>
      </c>
      <c r="AI107" s="28">
        <f t="shared" si="64"/>
        <v>0</v>
      </c>
      <c r="AJ107" s="28">
        <f t="shared" si="64"/>
        <v>0</v>
      </c>
      <c r="AK107" s="28">
        <f t="shared" si="64"/>
        <v>0</v>
      </c>
      <c r="AL107" s="28">
        <f t="shared" si="64"/>
        <v>0</v>
      </c>
    </row>
    <row r="108" spans="1:38" ht="21" hidden="1" customHeight="1" outlineLevel="1" thickBot="1" x14ac:dyDescent="0.4">
      <c r="A108" s="10">
        <f t="shared" si="57"/>
        <v>0</v>
      </c>
      <c r="B108" s="10">
        <f t="shared" si="57"/>
        <v>1</v>
      </c>
      <c r="C108" s="10">
        <f t="shared" si="57"/>
        <v>0</v>
      </c>
      <c r="D108" s="10">
        <f t="shared" si="57"/>
        <v>0</v>
      </c>
      <c r="E108" s="11" t="str">
        <f t="shared" si="21"/>
        <v>H (Se)</v>
      </c>
      <c r="F108" s="28">
        <f t="shared" si="53"/>
        <v>-98.166666666666671</v>
      </c>
      <c r="G108" s="28">
        <f t="shared" ref="G108:AL108" si="65">G28*$C$82</f>
        <v>-93.041666666666671</v>
      </c>
      <c r="H108" s="28">
        <f t="shared" si="65"/>
        <v>-89.666666666666671</v>
      </c>
      <c r="I108" s="28">
        <f t="shared" si="65"/>
        <v>-88.125</v>
      </c>
      <c r="J108" s="28">
        <f t="shared" si="65"/>
        <v>-88.041666666666671</v>
      </c>
      <c r="K108" s="28">
        <f t="shared" si="65"/>
        <v>-91.75</v>
      </c>
      <c r="L108" s="28">
        <f t="shared" si="65"/>
        <v>-92.541666666666671</v>
      </c>
      <c r="M108" s="28">
        <f t="shared" si="65"/>
        <v>-93.25</v>
      </c>
      <c r="N108" s="28">
        <f t="shared" si="65"/>
        <v>-94.083333333333329</v>
      </c>
      <c r="O108" s="28">
        <f t="shared" si="65"/>
        <v>-95.041666666666671</v>
      </c>
      <c r="P108" s="28">
        <f t="shared" si="65"/>
        <v>-96.166666666666671</v>
      </c>
      <c r="Q108" s="28">
        <f t="shared" si="65"/>
        <v>-97.333333333333343</v>
      </c>
      <c r="R108" s="28">
        <f t="shared" si="65"/>
        <v>-98.541666666666671</v>
      </c>
      <c r="S108" s="28">
        <f t="shared" si="65"/>
        <v>-99.750000000000014</v>
      </c>
      <c r="T108" s="28">
        <f t="shared" si="65"/>
        <v>-100.91666666666667</v>
      </c>
      <c r="U108" s="28">
        <f t="shared" si="65"/>
        <v>-102.12500000000001</v>
      </c>
      <c r="V108" s="28">
        <f t="shared" si="65"/>
        <v>-103.29166666666667</v>
      </c>
      <c r="W108" s="28">
        <f t="shared" si="65"/>
        <v>-104.41666666666667</v>
      </c>
      <c r="X108" s="28">
        <f t="shared" si="65"/>
        <v>-108.75000000000001</v>
      </c>
      <c r="Y108" s="28">
        <f t="shared" si="65"/>
        <v>-109.83333333333334</v>
      </c>
      <c r="Z108" s="28">
        <f t="shared" si="65"/>
        <v>-110.95833333333334</v>
      </c>
      <c r="AA108" s="28">
        <f t="shared" si="65"/>
        <v>-112.04166666666667</v>
      </c>
      <c r="AB108" s="28">
        <f t="shared" si="65"/>
        <v>-113.125</v>
      </c>
      <c r="AC108" s="28">
        <f t="shared" si="65"/>
        <v>-114.16666666666667</v>
      </c>
      <c r="AD108" s="28">
        <f t="shared" si="65"/>
        <v>-115.04166666666667</v>
      </c>
      <c r="AE108" s="28">
        <f t="shared" si="65"/>
        <v>-116.00000000000001</v>
      </c>
      <c r="AF108" s="28">
        <f t="shared" si="65"/>
        <v>-117</v>
      </c>
      <c r="AG108" s="28">
        <f t="shared" si="65"/>
        <v>-120.91666666666667</v>
      </c>
      <c r="AH108" s="28">
        <f t="shared" si="65"/>
        <v>0</v>
      </c>
      <c r="AI108" s="28">
        <f t="shared" si="65"/>
        <v>0</v>
      </c>
      <c r="AJ108" s="28">
        <f t="shared" si="65"/>
        <v>0</v>
      </c>
      <c r="AK108" s="28">
        <f t="shared" si="65"/>
        <v>0</v>
      </c>
      <c r="AL108" s="28">
        <f t="shared" si="65"/>
        <v>0</v>
      </c>
    </row>
    <row r="109" spans="1:38" ht="21" hidden="1" customHeight="1" outlineLevel="1" thickBot="1" x14ac:dyDescent="0.4">
      <c r="A109" s="10">
        <f t="shared" si="57"/>
        <v>0</v>
      </c>
      <c r="B109" s="10">
        <f t="shared" si="57"/>
        <v>0</v>
      </c>
      <c r="C109" s="10">
        <f t="shared" si="57"/>
        <v>0</v>
      </c>
      <c r="D109" s="10">
        <f t="shared" si="57"/>
        <v>0</v>
      </c>
      <c r="E109" s="11">
        <f t="shared" si="21"/>
        <v>0</v>
      </c>
      <c r="F109" s="28">
        <f t="shared" si="53"/>
        <v>0</v>
      </c>
      <c r="G109" s="28">
        <f t="shared" ref="G109:AL109" si="66">G29*$C$82</f>
        <v>0</v>
      </c>
      <c r="H109" s="28">
        <f t="shared" si="66"/>
        <v>0</v>
      </c>
      <c r="I109" s="28">
        <f t="shared" si="66"/>
        <v>0</v>
      </c>
      <c r="J109" s="28">
        <f t="shared" si="66"/>
        <v>0</v>
      </c>
      <c r="K109" s="28">
        <f t="shared" si="66"/>
        <v>0</v>
      </c>
      <c r="L109" s="28">
        <f t="shared" si="66"/>
        <v>0</v>
      </c>
      <c r="M109" s="28">
        <f t="shared" si="66"/>
        <v>0</v>
      </c>
      <c r="N109" s="28">
        <f t="shared" si="66"/>
        <v>0</v>
      </c>
      <c r="O109" s="28">
        <f t="shared" si="66"/>
        <v>0</v>
      </c>
      <c r="P109" s="28">
        <f t="shared" si="66"/>
        <v>0</v>
      </c>
      <c r="Q109" s="28">
        <f t="shared" si="66"/>
        <v>0</v>
      </c>
      <c r="R109" s="28">
        <f t="shared" si="66"/>
        <v>0</v>
      </c>
      <c r="S109" s="28">
        <f t="shared" si="66"/>
        <v>0</v>
      </c>
      <c r="T109" s="28">
        <f t="shared" si="66"/>
        <v>0</v>
      </c>
      <c r="U109" s="28">
        <f t="shared" si="66"/>
        <v>0</v>
      </c>
      <c r="V109" s="28">
        <f t="shared" si="66"/>
        <v>0</v>
      </c>
      <c r="W109" s="28">
        <f t="shared" si="66"/>
        <v>0</v>
      </c>
      <c r="X109" s="28">
        <f t="shared" si="66"/>
        <v>0</v>
      </c>
      <c r="Y109" s="28">
        <f t="shared" si="66"/>
        <v>0</v>
      </c>
      <c r="Z109" s="28">
        <f t="shared" si="66"/>
        <v>0</v>
      </c>
      <c r="AA109" s="28">
        <f t="shared" si="66"/>
        <v>0</v>
      </c>
      <c r="AB109" s="28">
        <f t="shared" si="66"/>
        <v>0</v>
      </c>
      <c r="AC109" s="28">
        <f t="shared" si="66"/>
        <v>0</v>
      </c>
      <c r="AD109" s="28">
        <f t="shared" si="66"/>
        <v>0</v>
      </c>
      <c r="AE109" s="28">
        <f t="shared" si="66"/>
        <v>0</v>
      </c>
      <c r="AF109" s="28">
        <f t="shared" si="66"/>
        <v>0</v>
      </c>
      <c r="AG109" s="28">
        <f t="shared" si="66"/>
        <v>0</v>
      </c>
      <c r="AH109" s="28">
        <f t="shared" si="66"/>
        <v>0</v>
      </c>
      <c r="AI109" s="28">
        <f t="shared" si="66"/>
        <v>0</v>
      </c>
      <c r="AJ109" s="28">
        <f t="shared" si="66"/>
        <v>0</v>
      </c>
      <c r="AK109" s="28">
        <f t="shared" si="66"/>
        <v>0</v>
      </c>
      <c r="AL109" s="28">
        <f t="shared" si="66"/>
        <v>0</v>
      </c>
    </row>
    <row r="110" spans="1:38" ht="21" hidden="1" customHeight="1" outlineLevel="1" thickBot="1" x14ac:dyDescent="0.4">
      <c r="A110" s="10">
        <f t="shared" si="57"/>
        <v>0</v>
      </c>
      <c r="B110" s="10">
        <f t="shared" si="57"/>
        <v>0</v>
      </c>
      <c r="C110" s="10">
        <f t="shared" si="57"/>
        <v>0</v>
      </c>
      <c r="D110" s="10">
        <f t="shared" si="57"/>
        <v>0</v>
      </c>
      <c r="E110" s="11">
        <f t="shared" si="21"/>
        <v>0</v>
      </c>
      <c r="F110" s="28">
        <f t="shared" si="53"/>
        <v>0</v>
      </c>
      <c r="G110" s="28">
        <f t="shared" ref="G110:AL110" si="67">G30*$C$82</f>
        <v>0</v>
      </c>
      <c r="H110" s="28">
        <f t="shared" si="67"/>
        <v>0</v>
      </c>
      <c r="I110" s="28">
        <f t="shared" si="67"/>
        <v>0</v>
      </c>
      <c r="J110" s="28">
        <f t="shared" si="67"/>
        <v>0</v>
      </c>
      <c r="K110" s="28">
        <f t="shared" si="67"/>
        <v>0</v>
      </c>
      <c r="L110" s="28">
        <f t="shared" si="67"/>
        <v>0</v>
      </c>
      <c r="M110" s="28">
        <f t="shared" si="67"/>
        <v>0</v>
      </c>
      <c r="N110" s="28">
        <f t="shared" si="67"/>
        <v>0</v>
      </c>
      <c r="O110" s="28">
        <f t="shared" si="67"/>
        <v>0</v>
      </c>
      <c r="P110" s="28">
        <f t="shared" si="67"/>
        <v>0</v>
      </c>
      <c r="Q110" s="28">
        <f t="shared" si="67"/>
        <v>0</v>
      </c>
      <c r="R110" s="28">
        <f t="shared" si="67"/>
        <v>0</v>
      </c>
      <c r="S110" s="28">
        <f t="shared" si="67"/>
        <v>0</v>
      </c>
      <c r="T110" s="28">
        <f t="shared" si="67"/>
        <v>0</v>
      </c>
      <c r="U110" s="28">
        <f t="shared" si="67"/>
        <v>0</v>
      </c>
      <c r="V110" s="28">
        <f t="shared" si="67"/>
        <v>0</v>
      </c>
      <c r="W110" s="28">
        <f t="shared" si="67"/>
        <v>0</v>
      </c>
      <c r="X110" s="28">
        <f t="shared" si="67"/>
        <v>0</v>
      </c>
      <c r="Y110" s="28">
        <f t="shared" si="67"/>
        <v>0</v>
      </c>
      <c r="Z110" s="28">
        <f t="shared" si="67"/>
        <v>0</v>
      </c>
      <c r="AA110" s="28">
        <f t="shared" si="67"/>
        <v>0</v>
      </c>
      <c r="AB110" s="28">
        <f t="shared" si="67"/>
        <v>0</v>
      </c>
      <c r="AC110" s="28">
        <f t="shared" si="67"/>
        <v>0</v>
      </c>
      <c r="AD110" s="28">
        <f t="shared" si="67"/>
        <v>0</v>
      </c>
      <c r="AE110" s="28">
        <f t="shared" si="67"/>
        <v>0</v>
      </c>
      <c r="AF110" s="28">
        <f t="shared" si="67"/>
        <v>0</v>
      </c>
      <c r="AG110" s="28">
        <f t="shared" si="67"/>
        <v>0</v>
      </c>
      <c r="AH110" s="28">
        <f t="shared" si="67"/>
        <v>0</v>
      </c>
      <c r="AI110" s="28">
        <f t="shared" si="67"/>
        <v>0</v>
      </c>
      <c r="AJ110" s="28">
        <f t="shared" si="67"/>
        <v>0</v>
      </c>
      <c r="AK110" s="28">
        <f t="shared" si="67"/>
        <v>0</v>
      </c>
      <c r="AL110" s="28">
        <f t="shared" si="67"/>
        <v>0</v>
      </c>
    </row>
    <row r="111" spans="1:38" ht="21" hidden="1" customHeight="1" outlineLevel="1" thickBot="1" x14ac:dyDescent="0.4">
      <c r="A111" s="10">
        <f t="shared" si="57"/>
        <v>0</v>
      </c>
      <c r="B111" s="10">
        <f t="shared" si="57"/>
        <v>0</v>
      </c>
      <c r="C111" s="10">
        <f t="shared" si="57"/>
        <v>0</v>
      </c>
      <c r="D111" s="10">
        <f t="shared" si="57"/>
        <v>0</v>
      </c>
      <c r="E111" s="11">
        <f t="shared" si="21"/>
        <v>0</v>
      </c>
      <c r="F111" s="28">
        <f t="shared" si="53"/>
        <v>0</v>
      </c>
      <c r="G111" s="28">
        <f t="shared" ref="G111:AL111" si="68">G31*$C$82</f>
        <v>0</v>
      </c>
      <c r="H111" s="28">
        <f t="shared" si="68"/>
        <v>0</v>
      </c>
      <c r="I111" s="28">
        <f t="shared" si="68"/>
        <v>0</v>
      </c>
      <c r="J111" s="28">
        <f t="shared" si="68"/>
        <v>0</v>
      </c>
      <c r="K111" s="28">
        <f t="shared" si="68"/>
        <v>0</v>
      </c>
      <c r="L111" s="28">
        <f t="shared" si="68"/>
        <v>0</v>
      </c>
      <c r="M111" s="28">
        <f t="shared" si="68"/>
        <v>0</v>
      </c>
      <c r="N111" s="28">
        <f t="shared" si="68"/>
        <v>0</v>
      </c>
      <c r="O111" s="28">
        <f t="shared" si="68"/>
        <v>0</v>
      </c>
      <c r="P111" s="28">
        <f t="shared" si="68"/>
        <v>0</v>
      </c>
      <c r="Q111" s="28">
        <f t="shared" si="68"/>
        <v>0</v>
      </c>
      <c r="R111" s="28">
        <f t="shared" si="68"/>
        <v>0</v>
      </c>
      <c r="S111" s="28">
        <f t="shared" si="68"/>
        <v>0</v>
      </c>
      <c r="T111" s="28">
        <f t="shared" si="68"/>
        <v>0</v>
      </c>
      <c r="U111" s="28">
        <f t="shared" si="68"/>
        <v>0</v>
      </c>
      <c r="V111" s="28">
        <f t="shared" si="68"/>
        <v>0</v>
      </c>
      <c r="W111" s="28">
        <f t="shared" si="68"/>
        <v>0</v>
      </c>
      <c r="X111" s="28">
        <f t="shared" si="68"/>
        <v>0</v>
      </c>
      <c r="Y111" s="28">
        <f t="shared" si="68"/>
        <v>0</v>
      </c>
      <c r="Z111" s="28">
        <f t="shared" si="68"/>
        <v>0</v>
      </c>
      <c r="AA111" s="28">
        <f t="shared" si="68"/>
        <v>0</v>
      </c>
      <c r="AB111" s="28">
        <f t="shared" si="68"/>
        <v>0</v>
      </c>
      <c r="AC111" s="28">
        <f t="shared" si="68"/>
        <v>0</v>
      </c>
      <c r="AD111" s="28">
        <f t="shared" si="68"/>
        <v>0</v>
      </c>
      <c r="AE111" s="28">
        <f t="shared" si="68"/>
        <v>0</v>
      </c>
      <c r="AF111" s="28">
        <f t="shared" si="68"/>
        <v>0</v>
      </c>
      <c r="AG111" s="28">
        <f t="shared" si="68"/>
        <v>0</v>
      </c>
      <c r="AH111" s="28">
        <f t="shared" si="68"/>
        <v>0</v>
      </c>
      <c r="AI111" s="28">
        <f t="shared" si="68"/>
        <v>0</v>
      </c>
      <c r="AJ111" s="28">
        <f t="shared" si="68"/>
        <v>0</v>
      </c>
      <c r="AK111" s="28">
        <f t="shared" si="68"/>
        <v>0</v>
      </c>
      <c r="AL111" s="28">
        <f t="shared" si="68"/>
        <v>0</v>
      </c>
    </row>
    <row r="112" spans="1:38" ht="21" hidden="1" customHeight="1" outlineLevel="1" thickBot="1" x14ac:dyDescent="0.4">
      <c r="A112" s="10">
        <f t="shared" si="57"/>
        <v>0</v>
      </c>
      <c r="B112" s="10">
        <f t="shared" si="57"/>
        <v>0</v>
      </c>
      <c r="C112" s="10">
        <f t="shared" si="57"/>
        <v>0</v>
      </c>
      <c r="D112" s="10">
        <f t="shared" si="57"/>
        <v>0</v>
      </c>
      <c r="E112" s="11">
        <f t="shared" si="21"/>
        <v>0</v>
      </c>
      <c r="F112" s="28">
        <f t="shared" si="53"/>
        <v>0</v>
      </c>
      <c r="G112" s="28">
        <f t="shared" ref="G112:AL112" si="69">G32*$C$82</f>
        <v>0</v>
      </c>
      <c r="H112" s="28">
        <f t="shared" si="69"/>
        <v>0</v>
      </c>
      <c r="I112" s="28">
        <f t="shared" si="69"/>
        <v>0</v>
      </c>
      <c r="J112" s="28">
        <f t="shared" si="69"/>
        <v>0</v>
      </c>
      <c r="K112" s="28">
        <f t="shared" si="69"/>
        <v>0</v>
      </c>
      <c r="L112" s="28">
        <f t="shared" si="69"/>
        <v>0</v>
      </c>
      <c r="M112" s="28">
        <f t="shared" si="69"/>
        <v>0</v>
      </c>
      <c r="N112" s="28">
        <f t="shared" si="69"/>
        <v>0</v>
      </c>
      <c r="O112" s="28">
        <f t="shared" si="69"/>
        <v>0</v>
      </c>
      <c r="P112" s="28">
        <f t="shared" si="69"/>
        <v>0</v>
      </c>
      <c r="Q112" s="28">
        <f t="shared" si="69"/>
        <v>0</v>
      </c>
      <c r="R112" s="28">
        <f t="shared" si="69"/>
        <v>0</v>
      </c>
      <c r="S112" s="28">
        <f t="shared" si="69"/>
        <v>0</v>
      </c>
      <c r="T112" s="28">
        <f t="shared" si="69"/>
        <v>0</v>
      </c>
      <c r="U112" s="28">
        <f t="shared" si="69"/>
        <v>0</v>
      </c>
      <c r="V112" s="28">
        <f t="shared" si="69"/>
        <v>0</v>
      </c>
      <c r="W112" s="28">
        <f t="shared" si="69"/>
        <v>0</v>
      </c>
      <c r="X112" s="28">
        <f t="shared" si="69"/>
        <v>0</v>
      </c>
      <c r="Y112" s="28">
        <f t="shared" si="69"/>
        <v>0</v>
      </c>
      <c r="Z112" s="28">
        <f t="shared" si="69"/>
        <v>0</v>
      </c>
      <c r="AA112" s="28">
        <f t="shared" si="69"/>
        <v>0</v>
      </c>
      <c r="AB112" s="28">
        <f t="shared" si="69"/>
        <v>0</v>
      </c>
      <c r="AC112" s="28">
        <f t="shared" si="69"/>
        <v>0</v>
      </c>
      <c r="AD112" s="28">
        <f t="shared" si="69"/>
        <v>0</v>
      </c>
      <c r="AE112" s="28">
        <f t="shared" si="69"/>
        <v>0</v>
      </c>
      <c r="AF112" s="28">
        <f t="shared" si="69"/>
        <v>0</v>
      </c>
      <c r="AG112" s="28">
        <f t="shared" si="69"/>
        <v>0</v>
      </c>
      <c r="AH112" s="28">
        <f t="shared" si="69"/>
        <v>0</v>
      </c>
      <c r="AI112" s="28">
        <f t="shared" si="69"/>
        <v>0</v>
      </c>
      <c r="AJ112" s="28">
        <f t="shared" si="69"/>
        <v>0</v>
      </c>
      <c r="AK112" s="28">
        <f t="shared" si="69"/>
        <v>0</v>
      </c>
      <c r="AL112" s="28">
        <f t="shared" si="69"/>
        <v>0</v>
      </c>
    </row>
    <row r="113" spans="1:38" ht="21" hidden="1" customHeight="1" outlineLevel="1" thickBot="1" x14ac:dyDescent="0.4">
      <c r="A113" s="10">
        <f t="shared" si="57"/>
        <v>0</v>
      </c>
      <c r="B113" s="10">
        <f t="shared" si="57"/>
        <v>0</v>
      </c>
      <c r="C113" s="10">
        <f t="shared" si="57"/>
        <v>0</v>
      </c>
      <c r="D113" s="10">
        <f t="shared" si="57"/>
        <v>0</v>
      </c>
      <c r="E113" s="11">
        <f t="shared" si="21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98"/>
      <c r="V116" s="16"/>
      <c r="W116" s="111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67" t="s">
        <v>11</v>
      </c>
      <c r="B117" s="168"/>
      <c r="C117" s="46" t="s">
        <v>12</v>
      </c>
      <c r="D117" s="29" t="s">
        <v>13</v>
      </c>
      <c r="E117" s="29"/>
      <c r="F117" s="9">
        <f t="shared" ref="F117:AL117" si="70">F3</f>
        <v>273.10000000000002</v>
      </c>
      <c r="G117" s="9">
        <f t="shared" si="70"/>
        <v>293.3</v>
      </c>
      <c r="H117" s="9">
        <f t="shared" si="70"/>
        <v>313.5</v>
      </c>
      <c r="I117" s="9">
        <f t="shared" si="70"/>
        <v>333.7</v>
      </c>
      <c r="J117" s="9">
        <f t="shared" si="70"/>
        <v>353.9</v>
      </c>
      <c r="K117" s="9">
        <f t="shared" si="70"/>
        <v>434.7</v>
      </c>
      <c r="L117" s="9">
        <f t="shared" si="70"/>
        <v>454.9</v>
      </c>
      <c r="M117" s="9">
        <f t="shared" si="70"/>
        <v>475.1</v>
      </c>
      <c r="N117" s="9">
        <f t="shared" si="70"/>
        <v>495.2</v>
      </c>
      <c r="O117" s="9">
        <f t="shared" si="70"/>
        <v>515.4</v>
      </c>
      <c r="P117" s="9">
        <f t="shared" si="70"/>
        <v>535.6</v>
      </c>
      <c r="Q117" s="9">
        <f t="shared" si="70"/>
        <v>555.79999999999995</v>
      </c>
      <c r="R117" s="9">
        <f t="shared" si="70"/>
        <v>576</v>
      </c>
      <c r="S117" s="9">
        <f t="shared" si="70"/>
        <v>596.20000000000005</v>
      </c>
      <c r="T117" s="42">
        <f t="shared" si="70"/>
        <v>616.4</v>
      </c>
      <c r="U117" s="105">
        <f t="shared" si="70"/>
        <v>636.6</v>
      </c>
      <c r="V117" s="106">
        <f t="shared" si="70"/>
        <v>656.8</v>
      </c>
      <c r="W117" s="117">
        <f t="shared" si="70"/>
        <v>677</v>
      </c>
      <c r="X117" s="91">
        <f t="shared" si="70"/>
        <v>757.7</v>
      </c>
      <c r="Y117" s="9">
        <f t="shared" si="70"/>
        <v>777.9</v>
      </c>
      <c r="Z117" s="9">
        <f t="shared" si="70"/>
        <v>798.1</v>
      </c>
      <c r="AA117" s="9">
        <f t="shared" si="70"/>
        <v>818.3</v>
      </c>
      <c r="AB117" s="9">
        <f t="shared" si="70"/>
        <v>838.5</v>
      </c>
      <c r="AC117" s="9">
        <f t="shared" si="70"/>
        <v>858.7</v>
      </c>
      <c r="AD117" s="9">
        <f t="shared" si="70"/>
        <v>878.9</v>
      </c>
      <c r="AE117" s="9">
        <f t="shared" si="70"/>
        <v>899</v>
      </c>
      <c r="AF117" s="9">
        <f t="shared" si="70"/>
        <v>919.2</v>
      </c>
      <c r="AG117" s="9">
        <f>AG3</f>
        <v>1000</v>
      </c>
      <c r="AH117" s="9">
        <f t="shared" si="70"/>
        <v>0</v>
      </c>
      <c r="AI117" s="9">
        <f>AI3</f>
        <v>0</v>
      </c>
      <c r="AJ117" s="9">
        <f t="shared" si="70"/>
        <v>0</v>
      </c>
      <c r="AK117" s="9">
        <f t="shared" si="70"/>
        <v>0</v>
      </c>
      <c r="AL117" s="9">
        <f t="shared" si="70"/>
        <v>0</v>
      </c>
    </row>
    <row r="118" spans="1:38" ht="21" customHeight="1" outlineLevel="1" thickTop="1" thickBot="1" x14ac:dyDescent="0.4">
      <c r="A118" s="44">
        <f>$A$2</f>
        <v>450</v>
      </c>
      <c r="B118" s="161">
        <f ca="1">MIN(MIN(F118:AL124),MIN(F41:AL41))</f>
        <v>-563.99747850000006</v>
      </c>
      <c r="C118" s="47">
        <f>COUNTA(E118:E125)+1</f>
        <v>8</v>
      </c>
      <c r="E118" s="31" t="s">
        <v>43</v>
      </c>
      <c r="F118" s="82">
        <f ca="1">F$117*$B$2*SUMPRODUCT(F$92:F$102,F$58:F$68)/1000</f>
        <v>-161.21212229458382</v>
      </c>
      <c r="G118" s="82">
        <f t="shared" ref="G118:AL118" ca="1" si="71">G$117*$B$2*SUMPRODUCT(G$92:G$102,G$58:G$68)/1000</f>
        <v>-164.1921638354986</v>
      </c>
      <c r="H118" s="82">
        <f t="shared" ca="1" si="71"/>
        <v>-168.46466631585722</v>
      </c>
      <c r="I118" s="82">
        <f t="shared" ca="1" si="71"/>
        <v>-173.91202272433173</v>
      </c>
      <c r="J118" s="82">
        <f t="shared" ca="1" si="71"/>
        <v>-179.53570362182828</v>
      </c>
      <c r="K118" s="82">
        <f t="shared" ca="1" si="71"/>
        <v>-201.17705549058644</v>
      </c>
      <c r="L118" s="82">
        <f t="shared" ca="1" si="71"/>
        <v>-208.35513303812795</v>
      </c>
      <c r="M118" s="82">
        <f t="shared" ca="1" si="71"/>
        <v>-216.75692033806186</v>
      </c>
      <c r="N118" s="82">
        <f t="shared" ca="1" si="71"/>
        <v>-226.06657614390045</v>
      </c>
      <c r="O118" s="82">
        <f t="shared" ca="1" si="71"/>
        <v>-235.73012543055336</v>
      </c>
      <c r="P118" s="82">
        <f t="shared" ca="1" si="71"/>
        <v>-245.58769694241278</v>
      </c>
      <c r="Q118" s="82">
        <f t="shared" ca="1" si="71"/>
        <v>-255.46279413930517</v>
      </c>
      <c r="R118" s="82">
        <f t="shared" ca="1" si="71"/>
        <v>-265.48610573190058</v>
      </c>
      <c r="S118" s="82">
        <f t="shared" ca="1" si="71"/>
        <v>-275.62478528795151</v>
      </c>
      <c r="T118" s="82">
        <f t="shared" ca="1" si="71"/>
        <v>-285.82498719459625</v>
      </c>
      <c r="U118" s="82">
        <f t="shared" ca="1" si="71"/>
        <v>-296.40361571073947</v>
      </c>
      <c r="V118" s="82">
        <f t="shared" ca="1" si="71"/>
        <v>-307.57339835972186</v>
      </c>
      <c r="W118" s="82">
        <f t="shared" ca="1" si="71"/>
        <v>-320.74492668641795</v>
      </c>
      <c r="X118" s="82">
        <f t="shared" ca="1" si="71"/>
        <v>-389.67607093817116</v>
      </c>
      <c r="Y118" s="82">
        <f t="shared" ca="1" si="71"/>
        <v>-403.22737200467765</v>
      </c>
      <c r="Z118" s="82">
        <f t="shared" ca="1" si="71"/>
        <v>-416.78991351954159</v>
      </c>
      <c r="AA118" s="82">
        <f t="shared" ca="1" si="71"/>
        <v>-430.34856481334219</v>
      </c>
      <c r="AB118" s="82">
        <f t="shared" ca="1" si="71"/>
        <v>-444.10041316427277</v>
      </c>
      <c r="AC118" s="82">
        <f t="shared" ca="1" si="71"/>
        <v>-457.57245234487431</v>
      </c>
      <c r="AD118" s="82">
        <f t="shared" ca="1" si="71"/>
        <v>-463.48738289907232</v>
      </c>
      <c r="AE118" s="82">
        <f t="shared" ca="1" si="71"/>
        <v>-473.65362493254327</v>
      </c>
      <c r="AF118" s="82">
        <f t="shared" ca="1" si="71"/>
        <v>-485.86663911861325</v>
      </c>
      <c r="AG118" s="82">
        <f t="shared" ca="1" si="71"/>
        <v>-541.07669222208028</v>
      </c>
      <c r="AH118" s="82">
        <f t="shared" ca="1" si="71"/>
        <v>0</v>
      </c>
      <c r="AI118" s="82">
        <f t="shared" ca="1" si="71"/>
        <v>0</v>
      </c>
      <c r="AJ118" s="82">
        <f t="shared" ca="1" si="71"/>
        <v>0</v>
      </c>
      <c r="AK118" s="82">
        <f t="shared" ca="1" si="71"/>
        <v>0</v>
      </c>
      <c r="AL118" s="82">
        <f t="shared" ca="1" si="71"/>
        <v>0</v>
      </c>
    </row>
    <row r="119" spans="1:38" ht="21" customHeight="1" outlineLevel="1" thickBot="1" x14ac:dyDescent="0.4">
      <c r="A119" s="45">
        <f>$A$118</f>
        <v>450</v>
      </c>
      <c r="B119" s="162">
        <f ca="1">MAX(MAX(F118:AL124),MAX(F41:AL41))</f>
        <v>32</v>
      </c>
      <c r="C119" s="48">
        <f xml:space="preserve"> COUNTIF(F117:AL117,"&lt;&gt;"&amp;0)</f>
        <v>28</v>
      </c>
      <c r="E119" s="31" t="s">
        <v>80</v>
      </c>
      <c r="F119" s="28">
        <f ca="1">F$117*$B$2*SUMPRODUCT(F$103:F$104,F$69:F$70)/1000</f>
        <v>0</v>
      </c>
      <c r="G119" s="28">
        <f t="shared" ref="G119:AL119" ca="1" si="72">G$117*$B$2*SUMPRODUCT(G$103:G$104,G$69:G$70)/1000</f>
        <v>0</v>
      </c>
      <c r="H119" s="28">
        <f t="shared" ca="1" si="72"/>
        <v>0</v>
      </c>
      <c r="I119" s="28">
        <f t="shared" ca="1" si="72"/>
        <v>0</v>
      </c>
      <c r="J119" s="28">
        <f t="shared" ca="1" si="72"/>
        <v>0</v>
      </c>
      <c r="K119" s="28">
        <f t="shared" ca="1" si="72"/>
        <v>0</v>
      </c>
      <c r="L119" s="28">
        <f t="shared" ca="1" si="72"/>
        <v>0</v>
      </c>
      <c r="M119" s="28">
        <f t="shared" ca="1" si="72"/>
        <v>0</v>
      </c>
      <c r="N119" s="28">
        <f t="shared" ca="1" si="72"/>
        <v>0</v>
      </c>
      <c r="O119" s="28">
        <f t="shared" ca="1" si="72"/>
        <v>0</v>
      </c>
      <c r="P119" s="28">
        <f t="shared" ca="1" si="72"/>
        <v>0</v>
      </c>
      <c r="Q119" s="28">
        <f t="shared" ca="1" si="72"/>
        <v>0</v>
      </c>
      <c r="R119" s="28">
        <f t="shared" ca="1" si="72"/>
        <v>0</v>
      </c>
      <c r="S119" s="28">
        <f t="shared" ca="1" si="72"/>
        <v>0</v>
      </c>
      <c r="T119" s="28">
        <f t="shared" ca="1" si="72"/>
        <v>0</v>
      </c>
      <c r="U119" s="28">
        <f t="shared" ca="1" si="72"/>
        <v>0</v>
      </c>
      <c r="V119" s="28">
        <f t="shared" ca="1" si="72"/>
        <v>0</v>
      </c>
      <c r="W119" s="28">
        <f t="shared" ca="1" si="72"/>
        <v>0</v>
      </c>
      <c r="X119" s="28">
        <f t="shared" ca="1" si="72"/>
        <v>-8.7498232543780483E-31</v>
      </c>
      <c r="Y119" s="28">
        <f t="shared" ca="1" si="72"/>
        <v>-1.0248912302009179E-23</v>
      </c>
      <c r="Z119" s="28">
        <f t="shared" ca="1" si="72"/>
        <v>-5.740727254150078E-17</v>
      </c>
      <c r="AA119" s="28">
        <f t="shared" ca="1" si="72"/>
        <v>-9.7158105183933796E-11</v>
      </c>
      <c r="AB119" s="28">
        <f t="shared" ca="1" si="72"/>
        <v>-1.2886811976545888E-5</v>
      </c>
      <c r="AC119" s="28">
        <f t="shared" ca="1" si="72"/>
        <v>-0.37227352571302685</v>
      </c>
      <c r="AD119" s="28">
        <f t="shared" ca="1" si="72"/>
        <v>-8.7719693703715986</v>
      </c>
      <c r="AE119" s="28">
        <f t="shared" ca="1" si="72"/>
        <v>-13.316717888614431</v>
      </c>
      <c r="AF119" s="28">
        <f t="shared" ca="1" si="72"/>
        <v>-16.195995582074115</v>
      </c>
      <c r="AG119" s="28">
        <f t="shared" ca="1" si="72"/>
        <v>-22.920084478673754</v>
      </c>
      <c r="AH119" s="28">
        <f t="shared" ca="1" si="72"/>
        <v>0</v>
      </c>
      <c r="AI119" s="28">
        <f t="shared" ca="1" si="72"/>
        <v>0</v>
      </c>
      <c r="AJ119" s="28">
        <f t="shared" ca="1" si="72"/>
        <v>0</v>
      </c>
      <c r="AK119" s="28">
        <f t="shared" ca="1" si="72"/>
        <v>0</v>
      </c>
      <c r="AL119" s="28">
        <f t="shared" ca="1" si="72"/>
        <v>0</v>
      </c>
    </row>
    <row r="120" spans="1:38" ht="21" customHeight="1" outlineLevel="1" thickBot="1" x14ac:dyDescent="0.4">
      <c r="E120" s="31" t="s">
        <v>81</v>
      </c>
      <c r="F120" s="28">
        <v>0</v>
      </c>
      <c r="G120" s="28">
        <v>1</v>
      </c>
      <c r="H120" s="28">
        <v>2</v>
      </c>
      <c r="I120" s="28">
        <v>3</v>
      </c>
      <c r="J120" s="28">
        <v>4</v>
      </c>
      <c r="K120" s="28">
        <v>5</v>
      </c>
      <c r="L120" s="28">
        <v>6</v>
      </c>
      <c r="M120" s="28">
        <v>7</v>
      </c>
      <c r="N120" s="28">
        <v>8</v>
      </c>
      <c r="O120" s="28">
        <v>9</v>
      </c>
      <c r="P120" s="28">
        <v>10</v>
      </c>
      <c r="Q120" s="28">
        <v>11</v>
      </c>
      <c r="R120" s="28">
        <v>12</v>
      </c>
      <c r="S120" s="28">
        <v>13</v>
      </c>
      <c r="T120" s="28">
        <v>14</v>
      </c>
      <c r="U120" s="28">
        <v>15</v>
      </c>
      <c r="V120" s="28">
        <v>16</v>
      </c>
      <c r="W120" s="28">
        <v>17</v>
      </c>
      <c r="X120" s="28">
        <v>18</v>
      </c>
      <c r="Y120" s="28">
        <v>19</v>
      </c>
      <c r="Z120" s="28">
        <v>20</v>
      </c>
      <c r="AA120" s="28">
        <v>21</v>
      </c>
      <c r="AB120" s="28">
        <v>22</v>
      </c>
      <c r="AC120" s="28">
        <v>23</v>
      </c>
      <c r="AD120" s="28">
        <v>24</v>
      </c>
      <c r="AE120" s="28">
        <v>25</v>
      </c>
      <c r="AF120" s="28">
        <v>26</v>
      </c>
      <c r="AG120" s="28">
        <v>27</v>
      </c>
      <c r="AH120" s="28">
        <v>28</v>
      </c>
      <c r="AI120" s="28">
        <v>29</v>
      </c>
      <c r="AJ120" s="28">
        <v>30</v>
      </c>
      <c r="AK120" s="28">
        <v>31</v>
      </c>
      <c r="AL120" s="28">
        <v>32</v>
      </c>
    </row>
    <row r="121" spans="1:38" ht="21" customHeight="1" outlineLevel="1" thickBot="1" x14ac:dyDescent="0.4">
      <c r="E121" s="31" t="s">
        <v>15</v>
      </c>
      <c r="F121" s="28">
        <f ca="1">F$117*$B$2*SUMPRODUCT(F$88:F$90,F$54:F$56)/1000</f>
        <v>-34.953798759971484</v>
      </c>
      <c r="G121" s="28">
        <f t="shared" ref="G121:AL121" ca="1" si="73">G$117*$B$2*SUMPRODUCT(G$88:G$90,G$54:G$56)/1000</f>
        <v>-34.688851177264375</v>
      </c>
      <c r="H121" s="28">
        <f t="shared" ca="1" si="73"/>
        <v>-33.520723597659384</v>
      </c>
      <c r="I121" s="28">
        <f t="shared" ca="1" si="73"/>
        <v>-31.644630815654164</v>
      </c>
      <c r="J121" s="28">
        <f t="shared" ca="1" si="73"/>
        <v>-30.156000317347189</v>
      </c>
      <c r="K121" s="28">
        <f t="shared" ca="1" si="73"/>
        <v>-28.641846235048202</v>
      </c>
      <c r="L121" s="28">
        <f t="shared" ca="1" si="73"/>
        <v>-27.503500883896631</v>
      </c>
      <c r="M121" s="28">
        <f t="shared" ca="1" si="73"/>
        <v>-25.874163235199106</v>
      </c>
      <c r="N121" s="28">
        <f t="shared" ca="1" si="73"/>
        <v>-24.285712723790901</v>
      </c>
      <c r="O121" s="28">
        <f t="shared" ca="1" si="73"/>
        <v>-23.20523978964874</v>
      </c>
      <c r="P121" s="28">
        <f t="shared" ca="1" si="73"/>
        <v>-22.696479897197602</v>
      </c>
      <c r="Q121" s="28">
        <f t="shared" ca="1" si="73"/>
        <v>-22.562457763856504</v>
      </c>
      <c r="R121" s="28">
        <f t="shared" ca="1" si="73"/>
        <v>-22.627099124028003</v>
      </c>
      <c r="S121" s="28">
        <f t="shared" ca="1" si="73"/>
        <v>-22.784877445383355</v>
      </c>
      <c r="T121" s="28">
        <f t="shared" ca="1" si="73"/>
        <v>-22.961214767279706</v>
      </c>
      <c r="U121" s="28">
        <f t="shared" ca="1" si="73"/>
        <v>-23.06751946542866</v>
      </c>
      <c r="V121" s="28">
        <f t="shared" ca="1" si="73"/>
        <v>-22.706017271191872</v>
      </c>
      <c r="W121" s="28">
        <f t="shared" ca="1" si="73"/>
        <v>-20.545957074165006</v>
      </c>
      <c r="X121" s="28">
        <f t="shared" ca="1" si="73"/>
        <v>-0.67562497822971768</v>
      </c>
      <c r="Y121" s="28">
        <f t="shared" ca="1" si="73"/>
        <v>-0.19701694552835669</v>
      </c>
      <c r="Z121" s="28">
        <f t="shared" ca="1" si="73"/>
        <v>-5.8243533663917407E-2</v>
      </c>
      <c r="AA121" s="28">
        <f t="shared" ca="1" si="73"/>
        <v>-1.7519358286429271E-2</v>
      </c>
      <c r="AB121" s="28">
        <f t="shared" ca="1" si="73"/>
        <v>-5.365918384833422E-3</v>
      </c>
      <c r="AC121" s="28">
        <f t="shared" ca="1" si="73"/>
        <v>-1.6671075426690639E-3</v>
      </c>
      <c r="AD121" s="28">
        <f t="shared" ca="1" si="73"/>
        <v>-3.0968978706519344E-4</v>
      </c>
      <c r="AE121" s="28">
        <f t="shared" ca="1" si="73"/>
        <v>-9.2696922850965657E-5</v>
      </c>
      <c r="AF121" s="28">
        <f t="shared" ca="1" si="73"/>
        <v>-5.9560949436893274E-5</v>
      </c>
      <c r="AG121" s="28">
        <f t="shared" ca="1" si="73"/>
        <v>-5.5162144992664493E-5</v>
      </c>
      <c r="AH121" s="28">
        <f t="shared" ca="1" si="73"/>
        <v>0</v>
      </c>
      <c r="AI121" s="28">
        <f t="shared" ca="1" si="73"/>
        <v>0</v>
      </c>
      <c r="AJ121" s="28">
        <f t="shared" ca="1" si="73"/>
        <v>0</v>
      </c>
      <c r="AK121" s="28">
        <f t="shared" ca="1" si="73"/>
        <v>0</v>
      </c>
      <c r="AL121" s="28">
        <f t="shared" ca="1" si="73"/>
        <v>0</v>
      </c>
    </row>
    <row r="122" spans="1:38" ht="21" customHeight="1" outlineLevel="1" thickBot="1" x14ac:dyDescent="0.4">
      <c r="E122" s="31" t="s">
        <v>16</v>
      </c>
      <c r="F122" s="28">
        <f ca="1">F$117*$B$2*SUMPRODUCT(F$88:F$91,F$54:F$57)/1000</f>
        <v>-70.357639563721492</v>
      </c>
      <c r="G122" s="28">
        <f t="shared" ref="G122:AL122" ca="1" si="74">G$117*$B$2*SUMPRODUCT(G$88:G$91,G$54:G$57)/1000</f>
        <v>-72.691035589764383</v>
      </c>
      <c r="H122" s="28">
        <f t="shared" ca="1" si="74"/>
        <v>-74.14017403515939</v>
      </c>
      <c r="I122" s="28">
        <f t="shared" ca="1" si="74"/>
        <v>-74.88134727815418</v>
      </c>
      <c r="J122" s="28">
        <f t="shared" ca="1" si="74"/>
        <v>-76.059024497347195</v>
      </c>
      <c r="K122" s="28">
        <f t="shared" ca="1" si="74"/>
        <v>-85.356443413798203</v>
      </c>
      <c r="L122" s="28">
        <f t="shared" ca="1" si="74"/>
        <v>-86.979634520146647</v>
      </c>
      <c r="M122" s="28">
        <f t="shared" ca="1" si="74"/>
        <v>-88.090111697699115</v>
      </c>
      <c r="N122" s="28">
        <f t="shared" ca="1" si="74"/>
        <v>-89.271068703790917</v>
      </c>
      <c r="O122" s="28">
        <f t="shared" ca="1" si="74"/>
        <v>-90.984295484648754</v>
      </c>
      <c r="P122" s="28">
        <f t="shared" ca="1" si="74"/>
        <v>-93.280432167197617</v>
      </c>
      <c r="Q122" s="28">
        <f t="shared" ca="1" si="74"/>
        <v>-95.962503468856497</v>
      </c>
      <c r="R122" s="28">
        <f t="shared" ca="1" si="74"/>
        <v>-98.854435124028029</v>
      </c>
      <c r="S122" s="28">
        <f t="shared" ca="1" si="74"/>
        <v>-101.85070060038338</v>
      </c>
      <c r="T122" s="28">
        <f t="shared" ca="1" si="74"/>
        <v>-104.87672193727973</v>
      </c>
      <c r="U122" s="28">
        <f t="shared" ca="1" si="74"/>
        <v>-107.88801593292868</v>
      </c>
      <c r="V122" s="28">
        <f t="shared" ca="1" si="74"/>
        <v>-110.39999108119189</v>
      </c>
      <c r="W122" s="28">
        <f t="shared" ca="1" si="74"/>
        <v>-111.07769744916503</v>
      </c>
      <c r="X122" s="28">
        <f t="shared" ca="1" si="74"/>
        <v>-102.68145156947976</v>
      </c>
      <c r="Y122" s="28">
        <f t="shared" ca="1" si="74"/>
        <v>-105.13787589427838</v>
      </c>
      <c r="Z122" s="28">
        <f t="shared" ca="1" si="74"/>
        <v>-107.94533169991395</v>
      </c>
      <c r="AA122" s="28">
        <f t="shared" ca="1" si="74"/>
        <v>-110.86203360203648</v>
      </c>
      <c r="AB122" s="28">
        <f t="shared" ca="1" si="74"/>
        <v>-113.81850309963487</v>
      </c>
      <c r="AC122" s="28">
        <f t="shared" ca="1" si="74"/>
        <v>-116.73512691004274</v>
      </c>
      <c r="AD122" s="28">
        <f t="shared" ca="1" si="74"/>
        <v>-119.72338654228709</v>
      </c>
      <c r="AE122" s="28">
        <f t="shared" ca="1" si="74"/>
        <v>-122.71033382192287</v>
      </c>
      <c r="AF122" s="28">
        <f t="shared" ca="1" si="74"/>
        <v>-125.72228374094946</v>
      </c>
      <c r="AG122" s="28">
        <f t="shared" ca="1" si="74"/>
        <v>-137.74360516214506</v>
      </c>
      <c r="AH122" s="28">
        <f t="shared" ca="1" si="74"/>
        <v>0</v>
      </c>
      <c r="AI122" s="28">
        <f t="shared" ca="1" si="74"/>
        <v>0</v>
      </c>
      <c r="AJ122" s="28">
        <f t="shared" ca="1" si="74"/>
        <v>0</v>
      </c>
      <c r="AK122" s="28">
        <f t="shared" ca="1" si="74"/>
        <v>0</v>
      </c>
      <c r="AL122" s="28">
        <f t="shared" ca="1" si="74"/>
        <v>0</v>
      </c>
    </row>
    <row r="123" spans="1:38" ht="21" customHeight="1" outlineLevel="1" thickBot="1" x14ac:dyDescent="0.4">
      <c r="E123" s="31" t="s">
        <v>44</v>
      </c>
      <c r="F123" s="28">
        <f ca="1">F121+F118</f>
        <v>-196.1659210545553</v>
      </c>
      <c r="G123" s="28">
        <f t="shared" ref="G123:AL123" ca="1" si="75">G121+G118</f>
        <v>-198.88101501276299</v>
      </c>
      <c r="H123" s="28">
        <f t="shared" ca="1" si="75"/>
        <v>-201.9853899135166</v>
      </c>
      <c r="I123" s="28">
        <f t="shared" ca="1" si="75"/>
        <v>-205.55665353998589</v>
      </c>
      <c r="J123" s="28">
        <f t="shared" ca="1" si="75"/>
        <v>-209.69170393917545</v>
      </c>
      <c r="K123" s="28">
        <f t="shared" ca="1" si="75"/>
        <v>-229.81890172563465</v>
      </c>
      <c r="L123" s="28">
        <f t="shared" ca="1" si="75"/>
        <v>-235.85863392202458</v>
      </c>
      <c r="M123" s="28">
        <f t="shared" ca="1" si="75"/>
        <v>-242.63108357326098</v>
      </c>
      <c r="N123" s="28">
        <f t="shared" ca="1" si="75"/>
        <v>-250.35228886769136</v>
      </c>
      <c r="O123" s="28">
        <f t="shared" ca="1" si="75"/>
        <v>-258.93536522020207</v>
      </c>
      <c r="P123" s="28">
        <f t="shared" ca="1" si="75"/>
        <v>-268.28417683961038</v>
      </c>
      <c r="Q123" s="28">
        <f t="shared" ca="1" si="75"/>
        <v>-278.02525190316169</v>
      </c>
      <c r="R123" s="28">
        <f t="shared" ca="1" si="75"/>
        <v>-288.11320485592859</v>
      </c>
      <c r="S123" s="28">
        <f t="shared" ca="1" si="75"/>
        <v>-298.40966273333487</v>
      </c>
      <c r="T123" s="28">
        <f t="shared" ca="1" si="75"/>
        <v>-308.78620196187597</v>
      </c>
      <c r="U123" s="28">
        <f t="shared" ca="1" si="75"/>
        <v>-319.4711351761681</v>
      </c>
      <c r="V123" s="28">
        <f t="shared" ca="1" si="75"/>
        <v>-330.27941563091372</v>
      </c>
      <c r="W123" s="28">
        <f t="shared" ca="1" si="75"/>
        <v>-341.29088376058297</v>
      </c>
      <c r="X123" s="28">
        <f t="shared" ca="1" si="75"/>
        <v>-390.3516959164009</v>
      </c>
      <c r="Y123" s="28">
        <f t="shared" ca="1" si="75"/>
        <v>-403.42438895020598</v>
      </c>
      <c r="Z123" s="28">
        <f t="shared" ca="1" si="75"/>
        <v>-416.84815705320551</v>
      </c>
      <c r="AA123" s="28">
        <f t="shared" ca="1" si="75"/>
        <v>-430.36608417162864</v>
      </c>
      <c r="AB123" s="28">
        <f t="shared" ca="1" si="75"/>
        <v>-444.10577908265759</v>
      </c>
      <c r="AC123" s="28">
        <f t="shared" ca="1" si="75"/>
        <v>-457.57411945241699</v>
      </c>
      <c r="AD123" s="28">
        <f t="shared" ca="1" si="75"/>
        <v>-463.48769258885937</v>
      </c>
      <c r="AE123" s="28">
        <f t="shared" ca="1" si="75"/>
        <v>-473.65371762946614</v>
      </c>
      <c r="AF123" s="28">
        <f t="shared" ca="1" si="75"/>
        <v>-485.86669867956266</v>
      </c>
      <c r="AG123" s="28">
        <f t="shared" ca="1" si="75"/>
        <v>-541.07674738422531</v>
      </c>
      <c r="AH123" s="28">
        <f t="shared" ca="1" si="75"/>
        <v>0</v>
      </c>
      <c r="AI123" s="28">
        <f t="shared" ca="1" si="75"/>
        <v>0</v>
      </c>
      <c r="AJ123" s="28">
        <f t="shared" ca="1" si="75"/>
        <v>0</v>
      </c>
      <c r="AK123" s="28">
        <f t="shared" ca="1" si="75"/>
        <v>0</v>
      </c>
      <c r="AL123" s="28">
        <f t="shared" ca="1" si="75"/>
        <v>0</v>
      </c>
    </row>
    <row r="124" spans="1:38" ht="21" customHeight="1" outlineLevel="1" thickBot="1" x14ac:dyDescent="0.4">
      <c r="E124" s="31" t="s">
        <v>82</v>
      </c>
      <c r="F124" s="28">
        <f ca="1">F121+F119</f>
        <v>-34.953798759971484</v>
      </c>
      <c r="G124" s="28">
        <f t="shared" ref="G124:AL124" ca="1" si="76">G121+G119</f>
        <v>-34.688851177264375</v>
      </c>
      <c r="H124" s="28">
        <f t="shared" ca="1" si="76"/>
        <v>-33.520723597659384</v>
      </c>
      <c r="I124" s="28">
        <f t="shared" ca="1" si="76"/>
        <v>-31.644630815654164</v>
      </c>
      <c r="J124" s="28">
        <f t="shared" ca="1" si="76"/>
        <v>-30.156000317347189</v>
      </c>
      <c r="K124" s="28">
        <f t="shared" ca="1" si="76"/>
        <v>-28.641846235048202</v>
      </c>
      <c r="L124" s="28">
        <f t="shared" ca="1" si="76"/>
        <v>-27.503500883896631</v>
      </c>
      <c r="M124" s="28">
        <f t="shared" ca="1" si="76"/>
        <v>-25.874163235199106</v>
      </c>
      <c r="N124" s="28">
        <f t="shared" ca="1" si="76"/>
        <v>-24.285712723790901</v>
      </c>
      <c r="O124" s="28">
        <f t="shared" ca="1" si="76"/>
        <v>-23.20523978964874</v>
      </c>
      <c r="P124" s="28">
        <f t="shared" ca="1" si="76"/>
        <v>-22.696479897197602</v>
      </c>
      <c r="Q124" s="28">
        <f t="shared" ca="1" si="76"/>
        <v>-22.562457763856504</v>
      </c>
      <c r="R124" s="28">
        <f t="shared" ca="1" si="76"/>
        <v>-22.627099124028003</v>
      </c>
      <c r="S124" s="28">
        <f t="shared" ca="1" si="76"/>
        <v>-22.784877445383355</v>
      </c>
      <c r="T124" s="28">
        <f t="shared" ca="1" si="76"/>
        <v>-22.961214767279706</v>
      </c>
      <c r="U124" s="28">
        <f t="shared" ca="1" si="76"/>
        <v>-23.06751946542866</v>
      </c>
      <c r="V124" s="28">
        <f t="shared" ca="1" si="76"/>
        <v>-22.706017271191872</v>
      </c>
      <c r="W124" s="28">
        <f t="shared" ca="1" si="76"/>
        <v>-20.545957074165006</v>
      </c>
      <c r="X124" s="28">
        <f t="shared" ca="1" si="76"/>
        <v>-0.67562497822971768</v>
      </c>
      <c r="Y124" s="28">
        <f t="shared" ca="1" si="76"/>
        <v>-0.19701694552835669</v>
      </c>
      <c r="Z124" s="28">
        <f t="shared" ca="1" si="76"/>
        <v>-5.8243533663917463E-2</v>
      </c>
      <c r="AA124" s="28">
        <f t="shared" ca="1" si="76"/>
        <v>-1.7519358383587376E-2</v>
      </c>
      <c r="AB124" s="28">
        <f t="shared" ca="1" si="76"/>
        <v>-5.378805196809968E-3</v>
      </c>
      <c r="AC124" s="28">
        <f t="shared" ca="1" si="76"/>
        <v>-0.37394063325569593</v>
      </c>
      <c r="AD124" s="28">
        <f t="shared" ca="1" si="76"/>
        <v>-8.7722790601586631</v>
      </c>
      <c r="AE124" s="28">
        <f t="shared" ca="1" si="76"/>
        <v>-13.316810585537281</v>
      </c>
      <c r="AF124" s="28">
        <f t="shared" ca="1" si="76"/>
        <v>-16.196055143023553</v>
      </c>
      <c r="AG124" s="28">
        <f t="shared" ca="1" si="76"/>
        <v>-22.920139640818746</v>
      </c>
      <c r="AH124" s="28">
        <f t="shared" ca="1" si="76"/>
        <v>0</v>
      </c>
      <c r="AI124" s="28">
        <f t="shared" ca="1" si="76"/>
        <v>0</v>
      </c>
      <c r="AJ124" s="28">
        <f t="shared" ca="1" si="76"/>
        <v>0</v>
      </c>
      <c r="AK124" s="28">
        <f t="shared" ca="1" si="76"/>
        <v>0</v>
      </c>
      <c r="AL124" s="28">
        <f t="shared" ca="1" si="76"/>
        <v>0</v>
      </c>
    </row>
    <row r="125" spans="1:38" ht="21" customHeight="1" outlineLevel="1" thickBot="1" x14ac:dyDescent="0.4">
      <c r="E125" s="32"/>
      <c r="L125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42">
        <f ca="1"/>
        <v>616.4</v>
      </c>
      <c r="U126" s="105">
        <f ca="1"/>
        <v>636.6</v>
      </c>
      <c r="V126" s="106">
        <f ca="1"/>
        <v>656.8</v>
      </c>
      <c r="W126" s="117">
        <f ca="1"/>
        <v>677</v>
      </c>
      <c r="X126" s="91">
        <f ca="1"/>
        <v>757.7</v>
      </c>
      <c r="Y126" s="9">
        <f ca="1"/>
        <v>777.9</v>
      </c>
      <c r="Z126" s="9">
        <f ca="1"/>
        <v>798.1</v>
      </c>
      <c r="AA126" s="9">
        <f ca="1"/>
        <v>818.3</v>
      </c>
      <c r="AB126" s="9">
        <f ca="1"/>
        <v>838.5</v>
      </c>
      <c r="AC126" s="9">
        <f ca="1"/>
        <v>858.7</v>
      </c>
      <c r="AD126" s="9">
        <f ca="1"/>
        <v>878.9</v>
      </c>
      <c r="AE126" s="9">
        <f ca="1"/>
        <v>899</v>
      </c>
      <c r="AF126" s="9">
        <f ca="1"/>
        <v>919.2</v>
      </c>
      <c r="AG126" s="9">
        <f ca="1"/>
        <v>1000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Раствор 1(тв): </v>
      </c>
      <c r="F127">
        <f ca="1"/>
        <v>-161.21212229458382</v>
      </c>
      <c r="G127">
        <f ca="1"/>
        <v>-164.1921638354986</v>
      </c>
      <c r="H127">
        <f ca="1"/>
        <v>-168.46466631585722</v>
      </c>
      <c r="I127">
        <f ca="1"/>
        <v>-173.91202272433173</v>
      </c>
      <c r="J127">
        <f ca="1"/>
        <v>-179.53570362182828</v>
      </c>
      <c r="K127">
        <f ca="1"/>
        <v>-201.17705549058644</v>
      </c>
      <c r="L127">
        <f ca="1"/>
        <v>-208.35513303812795</v>
      </c>
      <c r="M127">
        <f ca="1"/>
        <v>-216.75692033806186</v>
      </c>
      <c r="N127">
        <f ca="1"/>
        <v>-226.06657614390045</v>
      </c>
      <c r="O127">
        <f ca="1"/>
        <v>-235.73012543055336</v>
      </c>
      <c r="P127">
        <f ca="1"/>
        <v>-245.58769694241278</v>
      </c>
      <c r="Q127">
        <f ca="1"/>
        <v>-255.46279413930517</v>
      </c>
      <c r="R127">
        <f ca="1"/>
        <v>-265.48610573190058</v>
      </c>
      <c r="S127">
        <f ca="1"/>
        <v>-275.62478528795151</v>
      </c>
      <c r="T127">
        <f ca="1"/>
        <v>-285.82498719459625</v>
      </c>
      <c r="U127" s="52">
        <f ca="1"/>
        <v>-296.40361571073947</v>
      </c>
      <c r="V127" s="53">
        <f ca="1"/>
        <v>-307.57339835972186</v>
      </c>
      <c r="W127" s="110">
        <f ca="1"/>
        <v>-320.74492668641795</v>
      </c>
      <c r="X127">
        <f ca="1"/>
        <v>-389.67607093817116</v>
      </c>
      <c r="Y127">
        <f ca="1"/>
        <v>-403.22737200467765</v>
      </c>
      <c r="Z127">
        <f ca="1"/>
        <v>-416.78991351954159</v>
      </c>
      <c r="AA127">
        <f ca="1"/>
        <v>-430.34856481334219</v>
      </c>
      <c r="AB127">
        <f ca="1"/>
        <v>-444.10041316427277</v>
      </c>
      <c r="AC127">
        <f ca="1"/>
        <v>-457.57245234487431</v>
      </c>
      <c r="AD127">
        <f ca="1"/>
        <v>-463.48738289907232</v>
      </c>
      <c r="AE127">
        <f ca="1"/>
        <v>-473.65362493254327</v>
      </c>
      <c r="AF127">
        <f ca="1"/>
        <v>-485.86663911861325</v>
      </c>
      <c r="AG127">
        <f ca="1"/>
        <v>-541.07669222208028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31" t="str">
        <f ca="1"/>
        <v xml:space="preserve">Раствор 3 (жид): </v>
      </c>
      <c r="F128">
        <f ca="1"/>
        <v>0</v>
      </c>
      <c r="G128">
        <f ca="1"/>
        <v>0</v>
      </c>
      <c r="H128">
        <f ca="1"/>
        <v>0</v>
      </c>
      <c r="I128">
        <f ca="1"/>
        <v>0</v>
      </c>
      <c r="J128">
        <f ca="1"/>
        <v>0</v>
      </c>
      <c r="K128">
        <f ca="1"/>
        <v>0</v>
      </c>
      <c r="L128">
        <f ca="1"/>
        <v>0</v>
      </c>
      <c r="M128">
        <f ca="1"/>
        <v>0</v>
      </c>
      <c r="N128">
        <f ca="1"/>
        <v>0</v>
      </c>
      <c r="O128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 s="52">
        <f ca="1"/>
        <v>0</v>
      </c>
      <c r="V128" s="53">
        <f ca="1"/>
        <v>0</v>
      </c>
      <c r="W128" s="110">
        <f ca="1"/>
        <v>0</v>
      </c>
      <c r="X128">
        <f ca="1"/>
        <v>-8.7498232543780483E-31</v>
      </c>
      <c r="Y128">
        <f ca="1"/>
        <v>-1.0248912302009179E-23</v>
      </c>
      <c r="Z128">
        <f ca="1"/>
        <v>-5.740727254150078E-17</v>
      </c>
      <c r="AA128">
        <f ca="1"/>
        <v>-9.7158105183933796E-11</v>
      </c>
      <c r="AB128">
        <f ca="1"/>
        <v>-1.2886811976545888E-5</v>
      </c>
      <c r="AC128">
        <f ca="1"/>
        <v>-0.37227352571302685</v>
      </c>
      <c r="AD128">
        <f ca="1"/>
        <v>-8.7719693703715986</v>
      </c>
      <c r="AE128">
        <f ca="1"/>
        <v>-13.316717888614431</v>
      </c>
      <c r="AF128">
        <f ca="1"/>
        <v>-16.195995582074115</v>
      </c>
      <c r="AG128">
        <f ca="1"/>
        <v>-22.920084478673754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31" t="str">
        <f ca="1"/>
        <v>Расвтор 2</v>
      </c>
      <c r="F129">
        <f ca="1"/>
        <v>0</v>
      </c>
      <c r="G129">
        <f ca="1"/>
        <v>1</v>
      </c>
      <c r="H129">
        <f ca="1"/>
        <v>2</v>
      </c>
      <c r="I129">
        <f ca="1"/>
        <v>3</v>
      </c>
      <c r="J129">
        <f ca="1"/>
        <v>4</v>
      </c>
      <c r="K129">
        <f ca="1"/>
        <v>5</v>
      </c>
      <c r="L129">
        <f ca="1"/>
        <v>6</v>
      </c>
      <c r="M129">
        <f ca="1"/>
        <v>7</v>
      </c>
      <c r="N129">
        <f ca="1"/>
        <v>8</v>
      </c>
      <c r="O129">
        <f ca="1"/>
        <v>9</v>
      </c>
      <c r="P129">
        <f ca="1"/>
        <v>10</v>
      </c>
      <c r="Q129">
        <f ca="1"/>
        <v>11</v>
      </c>
      <c r="R129">
        <f ca="1"/>
        <v>12</v>
      </c>
      <c r="S129">
        <f ca="1"/>
        <v>13</v>
      </c>
      <c r="T129">
        <f ca="1"/>
        <v>14</v>
      </c>
      <c r="U129" s="52">
        <f ca="1"/>
        <v>15</v>
      </c>
      <c r="V129" s="53">
        <f ca="1"/>
        <v>16</v>
      </c>
      <c r="W129" s="110">
        <f ca="1"/>
        <v>17</v>
      </c>
      <c r="X129">
        <f ca="1"/>
        <v>18</v>
      </c>
      <c r="Y129">
        <f ca="1"/>
        <v>19</v>
      </c>
      <c r="Z129">
        <f ca="1"/>
        <v>20</v>
      </c>
      <c r="AA129">
        <f ca="1"/>
        <v>21</v>
      </c>
      <c r="AB129">
        <f ca="1"/>
        <v>22</v>
      </c>
      <c r="AC129">
        <f ca="1"/>
        <v>23</v>
      </c>
      <c r="AD129">
        <f ca="1"/>
        <v>24</v>
      </c>
      <c r="AE129">
        <f ca="1"/>
        <v>25</v>
      </c>
      <c r="AF129">
        <f ca="1"/>
        <v>26</v>
      </c>
      <c r="AG129">
        <f ca="1"/>
        <v>27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31" t="str">
        <f ca="1"/>
        <v xml:space="preserve">Газовая без Ar: </v>
      </c>
      <c r="F130">
        <f ca="1"/>
        <v>-34.953798759971484</v>
      </c>
      <c r="G130">
        <f ca="1"/>
        <v>-34.688851177264375</v>
      </c>
      <c r="H130">
        <f ca="1"/>
        <v>-33.520723597659384</v>
      </c>
      <c r="I130">
        <f ca="1"/>
        <v>-31.644630815654164</v>
      </c>
      <c r="J130">
        <f ca="1"/>
        <v>-30.156000317347189</v>
      </c>
      <c r="K130">
        <f ca="1"/>
        <v>-28.641846235048202</v>
      </c>
      <c r="L130">
        <f ca="1"/>
        <v>-27.503500883896631</v>
      </c>
      <c r="M130">
        <f ca="1"/>
        <v>-25.874163235199106</v>
      </c>
      <c r="N130">
        <f ca="1"/>
        <v>-24.285712723790901</v>
      </c>
      <c r="O130">
        <f ca="1"/>
        <v>-23.20523978964874</v>
      </c>
      <c r="P130">
        <f ca="1"/>
        <v>-22.696479897197602</v>
      </c>
      <c r="Q130">
        <f ca="1"/>
        <v>-22.562457763856504</v>
      </c>
      <c r="R130">
        <f ca="1"/>
        <v>-22.627099124028003</v>
      </c>
      <c r="S130">
        <f ca="1"/>
        <v>-22.784877445383355</v>
      </c>
      <c r="T130">
        <f ca="1"/>
        <v>-22.961214767279706</v>
      </c>
      <c r="U130" s="52">
        <f ca="1"/>
        <v>-23.06751946542866</v>
      </c>
      <c r="V130" s="53">
        <f ca="1"/>
        <v>-22.706017271191872</v>
      </c>
      <c r="W130" s="110">
        <f ca="1"/>
        <v>-20.545957074165006</v>
      </c>
      <c r="X130">
        <f ca="1"/>
        <v>-0.67562497822971768</v>
      </c>
      <c r="Y130">
        <f ca="1"/>
        <v>-0.19701694552835669</v>
      </c>
      <c r="Z130">
        <f ca="1"/>
        <v>-5.8243533663917407E-2</v>
      </c>
      <c r="AA130">
        <f ca="1"/>
        <v>-1.7519358286429271E-2</v>
      </c>
      <c r="AB130">
        <f ca="1"/>
        <v>-5.365918384833422E-3</v>
      </c>
      <c r="AC130">
        <f ca="1"/>
        <v>-1.6671075426690639E-3</v>
      </c>
      <c r="AD130">
        <f ca="1"/>
        <v>-3.0968978706519344E-4</v>
      </c>
      <c r="AE130">
        <f ca="1"/>
        <v>-9.2696922850965657E-5</v>
      </c>
      <c r="AF130">
        <f ca="1"/>
        <v>-5.9560949436893274E-5</v>
      </c>
      <c r="AG130">
        <f ca="1"/>
        <v>-5.5162144992664493E-5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31" t="str">
        <f ca="1"/>
        <v xml:space="preserve">Газовая: </v>
      </c>
      <c r="F131">
        <f ca="1"/>
        <v>-70.357639563721492</v>
      </c>
      <c r="G131">
        <f ca="1"/>
        <v>-72.691035589764383</v>
      </c>
      <c r="H131">
        <f ca="1"/>
        <v>-74.14017403515939</v>
      </c>
      <c r="I131">
        <f ca="1"/>
        <v>-74.88134727815418</v>
      </c>
      <c r="J131">
        <f ca="1"/>
        <v>-76.059024497347195</v>
      </c>
      <c r="K131">
        <f ca="1"/>
        <v>-85.356443413798203</v>
      </c>
      <c r="L131">
        <f ca="1"/>
        <v>-86.979634520146647</v>
      </c>
      <c r="M131">
        <f ca="1"/>
        <v>-88.090111697699115</v>
      </c>
      <c r="N131">
        <f ca="1"/>
        <v>-89.271068703790917</v>
      </c>
      <c r="O131">
        <f ca="1"/>
        <v>-90.984295484648754</v>
      </c>
      <c r="P131">
        <f ca="1"/>
        <v>-93.280432167197617</v>
      </c>
      <c r="Q131">
        <f ca="1"/>
        <v>-95.962503468856497</v>
      </c>
      <c r="R131">
        <f ca="1"/>
        <v>-98.854435124028029</v>
      </c>
      <c r="S131">
        <f ca="1"/>
        <v>-101.85070060038338</v>
      </c>
      <c r="T131">
        <f ca="1"/>
        <v>-104.87672193727973</v>
      </c>
      <c r="U131" s="52">
        <f ca="1"/>
        <v>-107.88801593292868</v>
      </c>
      <c r="V131" s="53">
        <f ca="1"/>
        <v>-110.39999108119189</v>
      </c>
      <c r="W131" s="110">
        <f ca="1"/>
        <v>-111.07769744916503</v>
      </c>
      <c r="X131">
        <f ca="1"/>
        <v>-102.68145156947976</v>
      </c>
      <c r="Y131">
        <f ca="1"/>
        <v>-105.13787589427838</v>
      </c>
      <c r="Z131">
        <f ca="1"/>
        <v>-107.94533169991395</v>
      </c>
      <c r="AA131">
        <f ca="1"/>
        <v>-110.86203360203648</v>
      </c>
      <c r="AB131">
        <f ca="1"/>
        <v>-113.81850309963487</v>
      </c>
      <c r="AC131">
        <f ca="1"/>
        <v>-116.73512691004274</v>
      </c>
      <c r="AD131">
        <f ca="1"/>
        <v>-119.72338654228709</v>
      </c>
      <c r="AE131">
        <f ca="1"/>
        <v>-122.71033382192287</v>
      </c>
      <c r="AF131">
        <f ca="1"/>
        <v>-125.72228374094946</v>
      </c>
      <c r="AG131">
        <f ca="1"/>
        <v>-137.74360516214506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31" t="str">
        <f ca="1"/>
        <v xml:space="preserve">Раствор 1 + газовая без Ar: </v>
      </c>
      <c r="F132">
        <f ca="1"/>
        <v>-196.1659210545553</v>
      </c>
      <c r="G132">
        <f ca="1"/>
        <v>-198.88101501276299</v>
      </c>
      <c r="H132">
        <f ca="1"/>
        <v>-201.9853899135166</v>
      </c>
      <c r="I132">
        <f ca="1"/>
        <v>-205.55665353998589</v>
      </c>
      <c r="J132">
        <f ca="1"/>
        <v>-209.69170393917545</v>
      </c>
      <c r="K132">
        <f ca="1"/>
        <v>-229.81890172563465</v>
      </c>
      <c r="L132">
        <f ca="1"/>
        <v>-235.85863392202458</v>
      </c>
      <c r="M132">
        <f ca="1"/>
        <v>-242.63108357326098</v>
      </c>
      <c r="N132">
        <f ca="1"/>
        <v>-250.35228886769136</v>
      </c>
      <c r="O132">
        <f ca="1"/>
        <v>-258.93536522020207</v>
      </c>
      <c r="P132">
        <f ca="1"/>
        <v>-268.28417683961038</v>
      </c>
      <c r="Q132">
        <f ca="1"/>
        <v>-278.02525190316169</v>
      </c>
      <c r="R132">
        <f ca="1"/>
        <v>-288.11320485592859</v>
      </c>
      <c r="S132">
        <f ca="1"/>
        <v>-298.40966273333487</v>
      </c>
      <c r="T132">
        <f ca="1"/>
        <v>-308.78620196187597</v>
      </c>
      <c r="U132" s="52">
        <f ca="1"/>
        <v>-319.4711351761681</v>
      </c>
      <c r="V132" s="53">
        <f ca="1"/>
        <v>-330.27941563091372</v>
      </c>
      <c r="W132" s="110">
        <f ca="1"/>
        <v>-341.29088376058297</v>
      </c>
      <c r="X132">
        <f ca="1"/>
        <v>-390.3516959164009</v>
      </c>
      <c r="Y132">
        <f ca="1"/>
        <v>-403.42438895020598</v>
      </c>
      <c r="Z132">
        <f ca="1"/>
        <v>-416.84815705320551</v>
      </c>
      <c r="AA132">
        <f ca="1"/>
        <v>-430.36608417162864</v>
      </c>
      <c r="AB132">
        <f ca="1"/>
        <v>-444.10577908265759</v>
      </c>
      <c r="AC132">
        <f ca="1"/>
        <v>-457.57411945241699</v>
      </c>
      <c r="AD132">
        <f ca="1"/>
        <v>-463.48769258885937</v>
      </c>
      <c r="AE132">
        <f ca="1"/>
        <v>-473.65371762946614</v>
      </c>
      <c r="AF132">
        <f ca="1"/>
        <v>-485.86669867956266</v>
      </c>
      <c r="AG132">
        <f ca="1"/>
        <v>-541.07674738422531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31" t="str">
        <f ca="1"/>
        <v xml:space="preserve">Раствор 3 + газовая без Ar: </v>
      </c>
      <c r="F133">
        <f ca="1"/>
        <v>-34.953798759971484</v>
      </c>
      <c r="G133">
        <f ca="1"/>
        <v>-34.688851177264375</v>
      </c>
      <c r="H133">
        <f ca="1"/>
        <v>-33.520723597659384</v>
      </c>
      <c r="I133">
        <f ca="1"/>
        <v>-31.644630815654164</v>
      </c>
      <c r="J133">
        <f ca="1"/>
        <v>-30.156000317347189</v>
      </c>
      <c r="K133">
        <f ca="1"/>
        <v>-28.641846235048202</v>
      </c>
      <c r="L133">
        <f ca="1"/>
        <v>-27.503500883896631</v>
      </c>
      <c r="M133">
        <f ca="1"/>
        <v>-25.874163235199106</v>
      </c>
      <c r="N133">
        <f ca="1"/>
        <v>-24.285712723790901</v>
      </c>
      <c r="O133">
        <f ca="1"/>
        <v>-23.20523978964874</v>
      </c>
      <c r="P133">
        <f ca="1"/>
        <v>-22.696479897197602</v>
      </c>
      <c r="Q133">
        <f ca="1"/>
        <v>-22.562457763856504</v>
      </c>
      <c r="R133">
        <f ca="1"/>
        <v>-22.627099124028003</v>
      </c>
      <c r="S133">
        <f ca="1"/>
        <v>-22.784877445383355</v>
      </c>
      <c r="T133">
        <f ca="1"/>
        <v>-22.961214767279706</v>
      </c>
      <c r="U133" s="52">
        <f ca="1"/>
        <v>-23.06751946542866</v>
      </c>
      <c r="V133" s="53">
        <f ca="1"/>
        <v>-22.706017271191872</v>
      </c>
      <c r="W133" s="110">
        <f ca="1"/>
        <v>-20.545957074165006</v>
      </c>
      <c r="X133">
        <f ca="1"/>
        <v>-0.67562497822971768</v>
      </c>
      <c r="Y133">
        <f ca="1"/>
        <v>-0.19701694552835669</v>
      </c>
      <c r="Z133">
        <f ca="1"/>
        <v>-5.8243533663917463E-2</v>
      </c>
      <c r="AA133">
        <f ca="1"/>
        <v>-1.7519358383587376E-2</v>
      </c>
      <c r="AB133">
        <f ca="1"/>
        <v>-5.378805196809968E-3</v>
      </c>
      <c r="AC133">
        <f ca="1"/>
        <v>-0.37394063325569593</v>
      </c>
      <c r="AD133">
        <f ca="1"/>
        <v>-8.7722790601586631</v>
      </c>
      <c r="AE133">
        <f ca="1"/>
        <v>-13.316810585537281</v>
      </c>
      <c r="AF133">
        <f ca="1"/>
        <v>-16.196055143023553</v>
      </c>
      <c r="AG133">
        <f ca="1"/>
        <v>-22.920139640818746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s="52" t="e">
        <f ca="1"/>
        <v>#N/A</v>
      </c>
      <c r="V134" s="53" t="e">
        <f ca="1"/>
        <v>#N/A</v>
      </c>
      <c r="W134" s="110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s="52" t="e">
        <f ca="1"/>
        <v>#N/A</v>
      </c>
      <c r="V135" s="53" t="e">
        <f ca="1"/>
        <v>#N/A</v>
      </c>
      <c r="W135" s="110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s="52" t="e">
        <f ca="1"/>
        <v>#N/A</v>
      </c>
      <c r="V136" s="53" t="e">
        <f ca="1"/>
        <v>#N/A</v>
      </c>
      <c r="W136" s="110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s="52" t="e">
        <f ca="1"/>
        <v>#N/A</v>
      </c>
      <c r="V137" s="53" t="e">
        <f ca="1"/>
        <v>#N/A</v>
      </c>
      <c r="W137" s="110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s="52" t="e">
        <f ca="1"/>
        <v>#N/A</v>
      </c>
      <c r="V138" s="53" t="e">
        <f ca="1"/>
        <v>#N/A</v>
      </c>
      <c r="W138" s="110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s="52" t="e">
        <f ca="1"/>
        <v>#N/A</v>
      </c>
      <c r="V139" s="53" t="e">
        <f ca="1"/>
        <v>#N/A</v>
      </c>
      <c r="W139" s="110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107"/>
      <c r="V142" s="108"/>
      <c r="W142" s="118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>
        <v>298.14999999999998</v>
      </c>
    </row>
    <row r="144" spans="1:38" ht="21" hidden="1" customHeight="1" outlineLevel="1" x14ac:dyDescent="0.35">
      <c r="A144">
        <v>8</v>
      </c>
      <c r="B144" s="37" t="s">
        <v>22</v>
      </c>
      <c r="C144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77">E144-$C$144</f>
        <v>-5</v>
      </c>
      <c r="F145" s="39">
        <f t="shared" si="77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78">D145+$A$144</f>
        <v>3</v>
      </c>
      <c r="E146" s="39">
        <f t="shared" si="78"/>
        <v>3</v>
      </c>
      <c r="F146" s="39">
        <f t="shared" si="78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1">
    <mergeCell ref="A117:B117"/>
  </mergeCells>
  <conditionalFormatting sqref="A4:D33">
    <cfRule type="cellIs" dxfId="11" priority="65" operator="equal">
      <formula>0</formula>
    </cfRule>
  </conditionalFormatting>
  <conditionalFormatting sqref="A50:D80">
    <cfRule type="cellIs" dxfId="10" priority="64" operator="equal">
      <formula>0</formula>
    </cfRule>
  </conditionalFormatting>
  <conditionalFormatting sqref="A84:D113">
    <cfRule type="cellIs" dxfId="9" priority="63" operator="equal">
      <formula>0</formula>
    </cfRule>
  </conditionalFormatting>
  <conditionalFormatting sqref="F32:AL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AL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AL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AL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AL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AL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AL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AL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AL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AL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AL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AL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AL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AL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AL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AL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AL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AL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AL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AL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1F96-7441-4360-A226-D16DEDF5EDC0}">
  <sheetPr codeName="Лист8">
    <tabColor rgb="FF00B050"/>
  </sheetPr>
  <dimension ref="A1:BB148"/>
  <sheetViews>
    <sheetView zoomScaleNormal="100" zoomScaleSheetLayoutView="25" workbookViewId="0">
      <selection activeCell="AV82" sqref="AV82"/>
    </sheetView>
  </sheetViews>
  <sheetFormatPr defaultRowHeight="21" customHeight="1" outlineLevelRow="1" x14ac:dyDescent="0.35"/>
  <cols>
    <col min="1" max="4" width="5.6328125" style="63" customWidth="1"/>
    <col min="5" max="5" width="11.6328125" style="63" customWidth="1"/>
    <col min="6" max="6" width="8.90625" style="63" customWidth="1"/>
    <col min="7" max="37" width="8.6328125" style="63" hidden="1" customWidth="1"/>
    <col min="38" max="38" width="8.6328125" style="63" customWidth="1"/>
    <col min="39" max="16384" width="8.7265625" style="63"/>
  </cols>
  <sheetData>
    <row r="1" spans="1:54" ht="26.25" customHeight="1" thickBot="1" x14ac:dyDescent="0.4">
      <c r="A1" s="169" t="s">
        <v>0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</row>
    <row r="2" spans="1:54" ht="21" customHeight="1" thickBot="1" x14ac:dyDescent="0.45">
      <c r="A2" s="30">
        <f>Values!B1</f>
        <v>450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8" t="s">
        <v>1</v>
      </c>
      <c r="B3" s="68" t="s">
        <v>2</v>
      </c>
      <c r="C3" s="68" t="s">
        <v>3</v>
      </c>
      <c r="D3" s="69" t="s">
        <v>4</v>
      </c>
      <c r="E3" s="8"/>
      <c r="F3" s="8">
        <v>273.10000000000002</v>
      </c>
      <c r="G3" s="8">
        <v>353.9</v>
      </c>
      <c r="H3" s="8">
        <v>434.7</v>
      </c>
      <c r="I3" s="8">
        <v>515.4</v>
      </c>
      <c r="J3" s="8">
        <v>596.20000000000005</v>
      </c>
      <c r="K3" s="8">
        <v>677</v>
      </c>
      <c r="L3" s="8">
        <v>757.7</v>
      </c>
      <c r="M3" s="8">
        <v>838.5</v>
      </c>
      <c r="N3" s="8">
        <v>919.2</v>
      </c>
      <c r="O3" s="8">
        <v>1000</v>
      </c>
      <c r="P3" s="8"/>
      <c r="Q3" s="8"/>
      <c r="R3" s="8"/>
      <c r="S3" s="8"/>
      <c r="T3" s="8"/>
      <c r="U3" s="8"/>
      <c r="V3" s="8"/>
      <c r="W3" s="8"/>
      <c r="X3" s="8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70">
        <f>IF( ISNUMBER( FIND(A$3,$E4,1)),   IF( ISNUMBER( VALUE(MID($E4,FIND(A$3,$E4,1)+2,1)) ), VALUE( MID($E4,FIND(A$3,$E4,1)+2,1) ),1),0)</f>
        <v>0</v>
      </c>
      <c r="B4" s="70">
        <f t="shared" ref="B4:D19" si="0">IF( ISNUMBER( FIND(B$3,$E4,1)),   IF( ISNUMBER( VALUE(MID($E4,FIND(B$3,$E4,1)+2,1)) ), VALUE( MID($E4,FIND(B$3,$E4,1)+2,1) ),1),0)</f>
        <v>1</v>
      </c>
      <c r="C4" s="70">
        <f t="shared" si="0"/>
        <v>0</v>
      </c>
      <c r="D4" s="70">
        <f t="shared" si="0"/>
        <v>0</v>
      </c>
      <c r="E4" s="11" t="s">
        <v>61</v>
      </c>
      <c r="F4" s="77">
        <v>2.2434000000000001E-8</v>
      </c>
      <c r="G4" s="77">
        <v>2.2944E-8</v>
      </c>
      <c r="H4" s="77">
        <v>1.9741999999999999E-8</v>
      </c>
      <c r="I4" s="77">
        <v>2.0131E-8</v>
      </c>
      <c r="J4" s="77">
        <v>2.2853E-8</v>
      </c>
      <c r="K4" s="77">
        <v>3.2886000000000001E-8</v>
      </c>
      <c r="L4" s="77">
        <v>3.1802000000000002E-8</v>
      </c>
      <c r="M4" s="77">
        <v>2.9719E-8</v>
      </c>
      <c r="N4" s="77">
        <v>2.0085999999999999E-8</v>
      </c>
      <c r="O4" s="77">
        <v>1.5793999999999999E-8</v>
      </c>
      <c r="P4" s="77"/>
      <c r="Q4" s="77"/>
      <c r="R4" s="77"/>
      <c r="S4" s="77"/>
      <c r="T4" s="77"/>
      <c r="U4" s="77"/>
      <c r="V4" s="77"/>
      <c r="W4" s="77"/>
      <c r="X4" s="77"/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70">
        <f t="shared" ref="A5:D27" si="1">IF( ISNUMBER( FIND(A$3,$E5,1)),   IF( ISNUMBER( VALUE(MID($E5,FIND(A$3,$E5,1)+2,1)) ), VALUE( MID($E5,FIND(A$3,$E5,1)+2,1) ),1),0)</f>
        <v>0</v>
      </c>
      <c r="B5" s="70">
        <f t="shared" si="0"/>
        <v>3</v>
      </c>
      <c r="C5" s="70">
        <f t="shared" si="0"/>
        <v>0</v>
      </c>
      <c r="D5" s="70">
        <f t="shared" si="0"/>
        <v>0</v>
      </c>
      <c r="E5" s="11" t="s">
        <v>72</v>
      </c>
      <c r="F5" s="77">
        <v>2.7272000000000002E-25</v>
      </c>
      <c r="G5" s="77">
        <v>4.5515999999999997E-18</v>
      </c>
      <c r="H5" s="77">
        <v>1.1457000000000001E-13</v>
      </c>
      <c r="I5" s="77">
        <v>9.9512000000000005E-11</v>
      </c>
      <c r="J5" s="77">
        <v>1.2369E-8</v>
      </c>
      <c r="K5" s="77">
        <v>4.6673E-7</v>
      </c>
      <c r="L5" s="77">
        <v>7.8967000000000001E-6</v>
      </c>
      <c r="M5" s="77">
        <v>7.2719999999999995E-5</v>
      </c>
      <c r="N5" s="77">
        <v>4.1031999999999999E-4</v>
      </c>
      <c r="O5" s="77">
        <v>1.4090000000000001E-3</v>
      </c>
      <c r="P5" s="77"/>
      <c r="Q5" s="77"/>
      <c r="R5" s="77"/>
      <c r="S5" s="77"/>
      <c r="T5" s="77"/>
      <c r="U5" s="77"/>
      <c r="V5" s="77"/>
      <c r="W5" s="77"/>
      <c r="X5" s="77"/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70">
        <f t="shared" si="1"/>
        <v>0</v>
      </c>
      <c r="B6" s="70">
        <f t="shared" si="0"/>
        <v>4</v>
      </c>
      <c r="C6" s="70">
        <f t="shared" si="0"/>
        <v>0</v>
      </c>
      <c r="D6" s="70">
        <f t="shared" si="0"/>
        <v>0</v>
      </c>
      <c r="E6" s="11" t="s">
        <v>73</v>
      </c>
      <c r="F6" s="77">
        <v>2.8659000000000002E-23</v>
      </c>
      <c r="G6" s="77">
        <v>9.2949999999999999E-17</v>
      </c>
      <c r="H6" s="77">
        <v>7.6946999999999995E-13</v>
      </c>
      <c r="I6" s="77">
        <v>2.9715999999999999E-10</v>
      </c>
      <c r="J6" s="77">
        <v>1.9913999999999999E-8</v>
      </c>
      <c r="K6" s="77">
        <v>4.6399000000000001E-7</v>
      </c>
      <c r="L6" s="77">
        <v>5.3253999999999999E-6</v>
      </c>
      <c r="M6" s="77">
        <v>3.5135000000000002E-5</v>
      </c>
      <c r="N6" s="77">
        <v>1.4407999999999999E-4</v>
      </c>
      <c r="O6" s="77">
        <v>3.4330999999999999E-4</v>
      </c>
      <c r="P6" s="77"/>
      <c r="Q6" s="77"/>
      <c r="R6" s="77"/>
      <c r="S6" s="77"/>
      <c r="T6" s="77"/>
      <c r="U6" s="77"/>
      <c r="V6" s="77"/>
      <c r="W6" s="77"/>
      <c r="X6" s="77"/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70">
        <f t="shared" si="1"/>
        <v>0</v>
      </c>
      <c r="B7" s="70">
        <f t="shared" si="0"/>
        <v>5</v>
      </c>
      <c r="C7" s="70">
        <f t="shared" si="0"/>
        <v>0</v>
      </c>
      <c r="D7" s="70">
        <f t="shared" si="0"/>
        <v>0</v>
      </c>
      <c r="E7" s="11" t="s">
        <v>74</v>
      </c>
      <c r="F7" s="77">
        <v>8.2633999999999998E-20</v>
      </c>
      <c r="G7" s="77">
        <v>7.1755000000000006E-14</v>
      </c>
      <c r="H7" s="77">
        <v>2.4208999999999999E-10</v>
      </c>
      <c r="I7" s="77">
        <v>4.8461E-8</v>
      </c>
      <c r="J7" s="77">
        <v>1.9645999999999998E-6</v>
      </c>
      <c r="K7" s="77">
        <v>3.0911999999999998E-5</v>
      </c>
      <c r="L7" s="77">
        <v>2.5855000000000002E-4</v>
      </c>
      <c r="M7" s="77">
        <v>1.2959E-3</v>
      </c>
      <c r="N7" s="77">
        <v>4.0553999999999998E-3</v>
      </c>
      <c r="O7" s="77">
        <v>6.9873000000000001E-3</v>
      </c>
      <c r="P7" s="77"/>
      <c r="Q7" s="77"/>
      <c r="R7" s="77"/>
      <c r="S7" s="77"/>
      <c r="T7" s="77"/>
      <c r="U7" s="77"/>
      <c r="V7" s="77"/>
      <c r="W7" s="77"/>
      <c r="X7" s="77"/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70">
        <f t="shared" si="1"/>
        <v>0</v>
      </c>
      <c r="B8" s="70">
        <f t="shared" si="0"/>
        <v>6</v>
      </c>
      <c r="C8" s="70">
        <f t="shared" si="0"/>
        <v>0</v>
      </c>
      <c r="D8" s="70">
        <f t="shared" si="0"/>
        <v>0</v>
      </c>
      <c r="E8" s="11" t="s">
        <v>75</v>
      </c>
      <c r="F8" s="77">
        <v>3.1684999999999997E-17</v>
      </c>
      <c r="G8" s="77">
        <v>2.8145000000000002E-12</v>
      </c>
      <c r="H8" s="77">
        <v>2.1021E-9</v>
      </c>
      <c r="I8" s="77">
        <v>1.4306000000000001E-7</v>
      </c>
      <c r="J8" s="77">
        <v>2.576E-6</v>
      </c>
      <c r="K8" s="77">
        <v>2.1617E-5</v>
      </c>
      <c r="L8" s="77">
        <v>1.0938E-4</v>
      </c>
      <c r="M8" s="77">
        <v>3.5818999999999998E-4</v>
      </c>
      <c r="N8" s="77">
        <v>7.5535000000000001E-4</v>
      </c>
      <c r="O8" s="77">
        <v>8.4774000000000004E-4</v>
      </c>
      <c r="P8" s="77"/>
      <c r="Q8" s="77"/>
      <c r="R8" s="77"/>
      <c r="S8" s="77"/>
      <c r="T8" s="77"/>
      <c r="U8" s="77"/>
      <c r="V8" s="77"/>
      <c r="W8" s="77"/>
      <c r="X8" s="77"/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70">
        <f t="shared" si="1"/>
        <v>0</v>
      </c>
      <c r="B9" s="70">
        <f t="shared" si="0"/>
        <v>7</v>
      </c>
      <c r="C9" s="70">
        <f t="shared" si="0"/>
        <v>0</v>
      </c>
      <c r="D9" s="70">
        <f t="shared" si="0"/>
        <v>0</v>
      </c>
      <c r="E9" s="11" t="s">
        <v>78</v>
      </c>
      <c r="F9" s="77">
        <v>2.7152E-18</v>
      </c>
      <c r="G9" s="77">
        <v>4.5969000000000003E-13</v>
      </c>
      <c r="H9" s="77">
        <v>4.7612000000000001E-10</v>
      </c>
      <c r="I9" s="77">
        <v>3.8772999999999999E-8</v>
      </c>
      <c r="J9" s="77">
        <v>7.7553000000000001E-7</v>
      </c>
      <c r="K9" s="77">
        <v>6.9723000000000001E-6</v>
      </c>
      <c r="L9" s="77">
        <v>3.6933E-5</v>
      </c>
      <c r="M9" s="77">
        <v>1.2303999999999999E-4</v>
      </c>
      <c r="N9" s="77">
        <v>2.5179E-4</v>
      </c>
      <c r="O9" s="77">
        <v>2.4991E-4</v>
      </c>
      <c r="P9" s="77"/>
      <c r="Q9" s="77"/>
      <c r="R9" s="77"/>
      <c r="S9" s="77"/>
      <c r="T9" s="77"/>
      <c r="U9" s="77"/>
      <c r="V9" s="77"/>
      <c r="W9" s="77"/>
      <c r="X9" s="77"/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70">
        <f t="shared" si="1"/>
        <v>0</v>
      </c>
      <c r="B10" s="70">
        <f t="shared" si="0"/>
        <v>8</v>
      </c>
      <c r="C10" s="70">
        <f t="shared" si="0"/>
        <v>0</v>
      </c>
      <c r="D10" s="70">
        <f t="shared" si="0"/>
        <v>0</v>
      </c>
      <c r="E10" s="11" t="s">
        <v>76</v>
      </c>
      <c r="F10" s="77">
        <v>4.8741E-20</v>
      </c>
      <c r="G10" s="77">
        <v>1.3799E-14</v>
      </c>
      <c r="H10" s="77">
        <v>1.8275E-11</v>
      </c>
      <c r="I10" s="77">
        <v>1.6851999999999999E-9</v>
      </c>
      <c r="J10" s="77">
        <v>3.5975000000000003E-8</v>
      </c>
      <c r="K10" s="77">
        <v>3.3615E-7</v>
      </c>
      <c r="L10" s="77">
        <v>1.8204E-6</v>
      </c>
      <c r="M10" s="77">
        <v>6.0522999999999996E-6</v>
      </c>
      <c r="N10" s="77">
        <v>1.1833E-5</v>
      </c>
      <c r="O10" s="77">
        <v>1.025E-5</v>
      </c>
      <c r="P10" s="77"/>
      <c r="Q10" s="77"/>
      <c r="R10" s="77"/>
      <c r="S10" s="77"/>
      <c r="T10" s="77"/>
      <c r="U10" s="77"/>
      <c r="V10" s="77"/>
      <c r="W10" s="77"/>
      <c r="X10" s="77"/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70">
        <f t="shared" si="1"/>
        <v>0</v>
      </c>
      <c r="B11" s="70">
        <f t="shared" si="0"/>
        <v>2</v>
      </c>
      <c r="C11" s="70">
        <f t="shared" si="0"/>
        <v>0</v>
      </c>
      <c r="D11" s="70">
        <f t="shared" si="0"/>
        <v>0</v>
      </c>
      <c r="E11" s="11" t="s">
        <v>77</v>
      </c>
      <c r="F11" s="77">
        <v>3.8015999999999999E-20</v>
      </c>
      <c r="G11" s="77">
        <v>3.2498000000000001E-14</v>
      </c>
      <c r="H11" s="77">
        <v>1.4395E-10</v>
      </c>
      <c r="I11" s="77">
        <v>4.0954999999999998E-8</v>
      </c>
      <c r="J11" s="77">
        <v>2.3640000000000002E-6</v>
      </c>
      <c r="K11" s="77">
        <v>5.1038000000000002E-5</v>
      </c>
      <c r="L11" s="77">
        <v>5.6714000000000005E-4</v>
      </c>
      <c r="M11" s="77">
        <v>3.8249999999999998E-3</v>
      </c>
      <c r="N11" s="77">
        <v>1.7559000000000002E-2</v>
      </c>
      <c r="O11" s="77">
        <v>5.6219999999999999E-2</v>
      </c>
      <c r="P11" s="77"/>
      <c r="Q11" s="77"/>
      <c r="R11" s="77"/>
      <c r="S11" s="77"/>
      <c r="T11" s="77"/>
      <c r="U11" s="77"/>
      <c r="V11" s="77"/>
      <c r="W11" s="77"/>
      <c r="X11" s="77"/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70">
        <f t="shared" si="1"/>
        <v>0</v>
      </c>
      <c r="B12" s="70">
        <f t="shared" si="0"/>
        <v>1</v>
      </c>
      <c r="C12" s="70">
        <f t="shared" si="0"/>
        <v>0</v>
      </c>
      <c r="D12" s="70">
        <f t="shared" si="0"/>
        <v>0</v>
      </c>
      <c r="E12" s="11" t="s">
        <v>2</v>
      </c>
      <c r="F12" s="77">
        <v>0</v>
      </c>
      <c r="G12" s="77">
        <v>1.7529999999999999E-29</v>
      </c>
      <c r="H12" s="77">
        <v>4.0370000000000001E-23</v>
      </c>
      <c r="I12" s="77">
        <v>8.9280999999999991E-19</v>
      </c>
      <c r="J12" s="77">
        <v>1.2809E-15</v>
      </c>
      <c r="K12" s="77">
        <v>3.2693E-13</v>
      </c>
      <c r="L12" s="77">
        <v>2.5864999999999999E-11</v>
      </c>
      <c r="M12" s="77">
        <v>8.7663E-10</v>
      </c>
      <c r="N12" s="77">
        <v>1.6053999999999999E-8</v>
      </c>
      <c r="O12" s="77">
        <v>1.822E-7</v>
      </c>
      <c r="P12" s="77"/>
      <c r="Q12" s="77"/>
      <c r="R12" s="77"/>
      <c r="S12" s="77"/>
      <c r="T12" s="77"/>
      <c r="U12" s="77"/>
      <c r="V12" s="77"/>
      <c r="W12" s="77"/>
      <c r="X12" s="77"/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70">
        <f t="shared" si="1"/>
        <v>0</v>
      </c>
      <c r="B13" s="70">
        <f t="shared" si="0"/>
        <v>1</v>
      </c>
      <c r="C13" s="70">
        <f t="shared" si="0"/>
        <v>0</v>
      </c>
      <c r="D13" s="70">
        <f t="shared" si="0"/>
        <v>2</v>
      </c>
      <c r="E13" s="11" t="s">
        <v>71</v>
      </c>
      <c r="F13" s="77">
        <v>2.0007000000000001E-11</v>
      </c>
      <c r="G13" s="77">
        <v>6.6300000000000005E-8</v>
      </c>
      <c r="H13" s="77">
        <v>8.8271000000000006E-6</v>
      </c>
      <c r="I13" s="77">
        <v>2.2261000000000001E-4</v>
      </c>
      <c r="J13" s="77">
        <v>2.0268999999999999E-3</v>
      </c>
      <c r="K13" s="77">
        <v>8.2603999999999993E-3</v>
      </c>
      <c r="L13" s="77">
        <v>1.7273E-2</v>
      </c>
      <c r="M13" s="77">
        <v>2.4695000000000002E-2</v>
      </c>
      <c r="N13" s="77">
        <v>2.9939E-2</v>
      </c>
      <c r="O13" s="77">
        <v>3.3692E-2</v>
      </c>
      <c r="P13" s="77"/>
      <c r="Q13" s="77"/>
      <c r="R13" s="77"/>
      <c r="S13" s="77"/>
      <c r="T13" s="77"/>
      <c r="U13" s="77"/>
      <c r="V13" s="77"/>
      <c r="W13" s="77"/>
      <c r="X13" s="77"/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70">
        <f t="shared" si="1"/>
        <v>1</v>
      </c>
      <c r="B14" s="70">
        <f t="shared" si="0"/>
        <v>0</v>
      </c>
      <c r="C14" s="70">
        <f t="shared" si="0"/>
        <v>0</v>
      </c>
      <c r="D14" s="70">
        <f t="shared" si="0"/>
        <v>0</v>
      </c>
      <c r="E14" s="11" t="s">
        <v>1</v>
      </c>
      <c r="F14" s="77">
        <v>0.2</v>
      </c>
      <c r="G14" s="77">
        <v>0.2</v>
      </c>
      <c r="H14" s="77">
        <v>0.2</v>
      </c>
      <c r="I14" s="77">
        <v>0.2</v>
      </c>
      <c r="J14" s="77">
        <v>0.2</v>
      </c>
      <c r="K14" s="77">
        <v>0.2</v>
      </c>
      <c r="L14" s="77">
        <v>0.2</v>
      </c>
      <c r="M14" s="77">
        <v>0.2</v>
      </c>
      <c r="N14" s="77">
        <v>0.2</v>
      </c>
      <c r="O14" s="77">
        <v>0.2</v>
      </c>
      <c r="P14" s="77"/>
      <c r="Q14" s="77"/>
      <c r="R14" s="77"/>
      <c r="S14" s="77"/>
      <c r="T14" s="77"/>
      <c r="U14" s="77"/>
      <c r="V14" s="77"/>
      <c r="W14" s="77"/>
      <c r="X14" s="77"/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70">
        <f t="shared" si="1"/>
        <v>0</v>
      </c>
      <c r="B15" s="70">
        <f t="shared" si="0"/>
        <v>0</v>
      </c>
      <c r="C15" s="70">
        <f t="shared" si="0"/>
        <v>0</v>
      </c>
      <c r="D15" s="70">
        <f t="shared" si="0"/>
        <v>1</v>
      </c>
      <c r="E15" s="11" t="s">
        <v>48</v>
      </c>
      <c r="F15" s="77">
        <v>0.08</v>
      </c>
      <c r="G15" s="77">
        <v>0.08</v>
      </c>
      <c r="H15" s="77">
        <v>7.9981999999999998E-2</v>
      </c>
      <c r="I15" s="77">
        <v>7.9555000000000001E-2</v>
      </c>
      <c r="J15" s="77">
        <v>7.5946E-2</v>
      </c>
      <c r="K15" s="77">
        <v>6.3478999999999994E-2</v>
      </c>
      <c r="L15" s="77">
        <v>4.5453E-2</v>
      </c>
      <c r="M15" s="77">
        <v>3.0609000000000001E-2</v>
      </c>
      <c r="N15" s="77">
        <v>2.0122000000000001E-2</v>
      </c>
      <c r="O15" s="77">
        <v>1.2617E-2</v>
      </c>
      <c r="P15" s="77"/>
      <c r="Q15" s="77"/>
      <c r="R15" s="77"/>
      <c r="S15" s="77"/>
      <c r="T15" s="77"/>
      <c r="U15" s="77"/>
      <c r="V15" s="77"/>
      <c r="W15" s="77"/>
      <c r="X15" s="77"/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70">
        <f t="shared" si="1"/>
        <v>0</v>
      </c>
      <c r="B16" s="70">
        <f t="shared" si="0"/>
        <v>0</v>
      </c>
      <c r="C16" s="70">
        <f t="shared" si="0"/>
        <v>1</v>
      </c>
      <c r="D16" s="70">
        <f t="shared" si="0"/>
        <v>0</v>
      </c>
      <c r="E16" s="11" t="s">
        <v>47</v>
      </c>
      <c r="F16" s="77">
        <v>0.24</v>
      </c>
      <c r="G16" s="77">
        <v>0.24</v>
      </c>
      <c r="H16" s="77">
        <v>0.24</v>
      </c>
      <c r="I16" s="77">
        <v>0.24</v>
      </c>
      <c r="J16" s="77">
        <v>0.24</v>
      </c>
      <c r="K16" s="77">
        <v>0.24</v>
      </c>
      <c r="L16" s="77">
        <v>0.24</v>
      </c>
      <c r="M16" s="77">
        <v>0.24</v>
      </c>
      <c r="N16" s="77">
        <v>0.24</v>
      </c>
      <c r="O16" s="77">
        <v>0.24</v>
      </c>
      <c r="P16" s="77"/>
      <c r="Q16" s="77"/>
      <c r="R16" s="77"/>
      <c r="S16" s="77"/>
      <c r="T16" s="77"/>
      <c r="U16" s="77"/>
      <c r="V16" s="77"/>
      <c r="W16" s="77"/>
      <c r="X16" s="77"/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70">
        <f t="shared" si="1"/>
        <v>0</v>
      </c>
      <c r="B17" s="70">
        <f t="shared" si="0"/>
        <v>1</v>
      </c>
      <c r="C17" s="70">
        <f t="shared" si="0"/>
        <v>0</v>
      </c>
      <c r="D17" s="70">
        <f t="shared" si="0"/>
        <v>0</v>
      </c>
      <c r="E17" s="11" t="s">
        <v>79</v>
      </c>
      <c r="F17" s="77">
        <v>0.48</v>
      </c>
      <c r="G17" s="77">
        <v>0.48</v>
      </c>
      <c r="H17" s="77">
        <v>0.47999000000000003</v>
      </c>
      <c r="I17" s="77">
        <v>0.47977999999999998</v>
      </c>
      <c r="J17" s="77">
        <v>0.47793999999999998</v>
      </c>
      <c r="K17" s="77">
        <v>0.4713</v>
      </c>
      <c r="L17" s="77">
        <v>0.45933000000000002</v>
      </c>
      <c r="M17" s="77">
        <v>0.43775999999999998</v>
      </c>
      <c r="N17" s="77">
        <v>0.38646999999999998</v>
      </c>
      <c r="O17" s="77">
        <v>0.28641</v>
      </c>
      <c r="P17" s="77"/>
      <c r="Q17" s="77"/>
      <c r="R17" s="77"/>
      <c r="S17" s="77"/>
      <c r="T17" s="77"/>
      <c r="U17" s="77"/>
      <c r="V17" s="77"/>
      <c r="W17" s="77"/>
      <c r="X17" s="77"/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70">
        <f t="shared" si="1"/>
        <v>1</v>
      </c>
      <c r="B18" s="70">
        <f t="shared" si="0"/>
        <v>0</v>
      </c>
      <c r="C18" s="70">
        <f t="shared" si="0"/>
        <v>0</v>
      </c>
      <c r="D18" s="70">
        <f t="shared" si="0"/>
        <v>0</v>
      </c>
      <c r="E18" s="11" t="s">
        <v>36</v>
      </c>
      <c r="F18" s="77">
        <v>-18.62</v>
      </c>
      <c r="G18" s="77">
        <v>-18.649999999999999</v>
      </c>
      <c r="H18" s="77">
        <v>-18.77</v>
      </c>
      <c r="I18" s="77">
        <v>-18.93</v>
      </c>
      <c r="J18" s="77">
        <v>-19.100000000000001</v>
      </c>
      <c r="K18" s="77">
        <v>-19.3</v>
      </c>
      <c r="L18" s="77">
        <v>-19.510000000000002</v>
      </c>
      <c r="M18" s="77">
        <v>-19.73</v>
      </c>
      <c r="N18" s="77">
        <v>-19.97</v>
      </c>
      <c r="O18" s="77">
        <v>-20.29</v>
      </c>
      <c r="P18" s="77"/>
      <c r="Q18" s="77"/>
      <c r="R18" s="77"/>
      <c r="S18" s="77"/>
      <c r="T18" s="77"/>
      <c r="U18" s="77"/>
      <c r="V18" s="77"/>
      <c r="W18" s="77"/>
      <c r="X18" s="77"/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70">
        <f t="shared" si="1"/>
        <v>0</v>
      </c>
      <c r="B19" s="70">
        <f t="shared" si="0"/>
        <v>0</v>
      </c>
      <c r="C19" s="70">
        <f t="shared" si="0"/>
        <v>0</v>
      </c>
      <c r="D19" s="70">
        <f t="shared" si="0"/>
        <v>1</v>
      </c>
      <c r="E19" s="11" t="s">
        <v>5</v>
      </c>
      <c r="F19" s="77">
        <v>-6.97</v>
      </c>
      <c r="G19" s="77">
        <v>-7.5640000000000001</v>
      </c>
      <c r="H19" s="77">
        <v>-8.0820000000000007</v>
      </c>
      <c r="I19" s="77">
        <v>-8.5380000000000003</v>
      </c>
      <c r="J19" s="77">
        <v>-8.9749999999999996</v>
      </c>
      <c r="K19" s="77">
        <v>-9.4849999999999994</v>
      </c>
      <c r="L19" s="77">
        <v>-10.1</v>
      </c>
      <c r="M19" s="77">
        <v>-10.74</v>
      </c>
      <c r="N19" s="77">
        <v>-11.33</v>
      </c>
      <c r="O19" s="77">
        <v>-11.86</v>
      </c>
      <c r="P19" s="77"/>
      <c r="Q19" s="77"/>
      <c r="R19" s="77"/>
      <c r="S19" s="77"/>
      <c r="T19" s="77"/>
      <c r="U19" s="77"/>
      <c r="V19" s="77"/>
      <c r="W19" s="77"/>
      <c r="X19" s="77"/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70">
        <f t="shared" si="1"/>
        <v>0</v>
      </c>
      <c r="B20" s="70">
        <f t="shared" si="1"/>
        <v>0</v>
      </c>
      <c r="C20" s="70">
        <f t="shared" si="1"/>
        <v>1</v>
      </c>
      <c r="D20" s="70">
        <f t="shared" si="1"/>
        <v>0</v>
      </c>
      <c r="E20" s="11" t="s">
        <v>6</v>
      </c>
      <c r="F20" s="77">
        <v>7.3579999999999997</v>
      </c>
      <c r="G20" s="77">
        <v>3.758</v>
      </c>
      <c r="H20" s="77">
        <v>1.355</v>
      </c>
      <c r="I20" s="77">
        <v>-0.39240000000000003</v>
      </c>
      <c r="J20" s="77">
        <v>-1.7310000000000001</v>
      </c>
      <c r="K20" s="77">
        <v>-2.7839999999999998</v>
      </c>
      <c r="L20" s="77">
        <v>-3.6349999999999998</v>
      </c>
      <c r="M20" s="77">
        <v>-4.3380000000000001</v>
      </c>
      <c r="N20" s="77">
        <v>-4.8959999999999999</v>
      </c>
      <c r="O20" s="77">
        <v>-5.2809999999999997</v>
      </c>
      <c r="P20" s="77"/>
      <c r="Q20" s="77"/>
      <c r="R20" s="77"/>
      <c r="S20" s="77"/>
      <c r="T20" s="77"/>
      <c r="U20" s="77"/>
      <c r="V20" s="77"/>
      <c r="W20" s="77"/>
      <c r="X20" s="77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70">
        <f t="shared" si="1"/>
        <v>0</v>
      </c>
      <c r="B21" s="70">
        <f t="shared" si="1"/>
        <v>1</v>
      </c>
      <c r="C21" s="70">
        <f t="shared" si="1"/>
        <v>0</v>
      </c>
      <c r="D21" s="70">
        <f t="shared" si="1"/>
        <v>0</v>
      </c>
      <c r="E21" s="67" t="s">
        <v>7</v>
      </c>
      <c r="F21" s="12">
        <v>-4.7</v>
      </c>
      <c r="G21" s="12">
        <v>-5.1369999999999996</v>
      </c>
      <c r="H21" s="12">
        <v>-5.6130000000000004</v>
      </c>
      <c r="I21" s="12">
        <v>-6.07</v>
      </c>
      <c r="J21" s="12">
        <v>-6.4909999999999997</v>
      </c>
      <c r="K21" s="12">
        <v>-6.8710000000000004</v>
      </c>
      <c r="L21" s="12">
        <v>-7.2160000000000002</v>
      </c>
      <c r="M21" s="12">
        <v>-7.5439999999999996</v>
      </c>
      <c r="N21" s="12">
        <v>-7.8849999999999998</v>
      </c>
      <c r="O21" s="12">
        <v>-8.2889999999999997</v>
      </c>
      <c r="P21" s="12"/>
      <c r="Q21" s="12"/>
      <c r="R21" s="12"/>
      <c r="S21" s="12"/>
      <c r="T21" s="12"/>
      <c r="U21" s="12"/>
      <c r="V21" s="12"/>
      <c r="W21" s="12"/>
      <c r="X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70">
        <f t="shared" si="1"/>
        <v>0</v>
      </c>
      <c r="B22" s="70">
        <f t="shared" si="1"/>
        <v>0</v>
      </c>
      <c r="C22" s="70">
        <f t="shared" si="1"/>
        <v>0</v>
      </c>
      <c r="D22" s="70">
        <f t="shared" si="1"/>
        <v>0</v>
      </c>
      <c r="E22" s="67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70">
        <f t="shared" si="1"/>
        <v>0</v>
      </c>
      <c r="B23" s="70">
        <f t="shared" si="1"/>
        <v>0</v>
      </c>
      <c r="C23" s="70">
        <f t="shared" si="1"/>
        <v>0</v>
      </c>
      <c r="D23" s="70">
        <f t="shared" si="1"/>
        <v>0</v>
      </c>
      <c r="E23" s="67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70">
        <f t="shared" si="1"/>
        <v>0</v>
      </c>
      <c r="B24" s="70">
        <f t="shared" si="1"/>
        <v>0</v>
      </c>
      <c r="C24" s="70">
        <f t="shared" si="1"/>
        <v>0</v>
      </c>
      <c r="D24" s="70">
        <f t="shared" si="1"/>
        <v>0</v>
      </c>
      <c r="E24" s="67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70">
        <f t="shared" si="1"/>
        <v>0</v>
      </c>
      <c r="B25" s="70">
        <f t="shared" si="1"/>
        <v>0</v>
      </c>
      <c r="C25" s="70">
        <f t="shared" si="1"/>
        <v>0</v>
      </c>
      <c r="D25" s="70">
        <f t="shared" si="1"/>
        <v>0</v>
      </c>
      <c r="E25" s="67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70">
        <f t="shared" si="1"/>
        <v>0</v>
      </c>
      <c r="B26" s="70">
        <f t="shared" si="1"/>
        <v>0</v>
      </c>
      <c r="C26" s="70">
        <f t="shared" si="1"/>
        <v>0</v>
      </c>
      <c r="D26" s="70">
        <f t="shared" si="1"/>
        <v>0</v>
      </c>
      <c r="E26" s="67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70">
        <f t="shared" si="1"/>
        <v>0</v>
      </c>
      <c r="B27" s="70">
        <f t="shared" si="1"/>
        <v>0</v>
      </c>
      <c r="C27" s="70">
        <f t="shared" si="1"/>
        <v>0</v>
      </c>
      <c r="D27" s="70">
        <f t="shared" si="1"/>
        <v>0</v>
      </c>
      <c r="E27" s="67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70">
        <f t="shared" ref="A28:D33" si="2">IF( ISNUMBER( FIND(A$3,$E28,1)),   IF( ISNUMBER( VALUE(MID($E28,FIND(A$3,$E28,1)+2,1)) ), VALUE( MID($E28,FIND(A$3,$E28,1)+2,1) ),1),0)</f>
        <v>0</v>
      </c>
      <c r="B28" s="70">
        <f t="shared" si="2"/>
        <v>0</v>
      </c>
      <c r="C28" s="70">
        <f t="shared" si="2"/>
        <v>0</v>
      </c>
      <c r="D28" s="70">
        <f t="shared" si="2"/>
        <v>0</v>
      </c>
      <c r="E28" s="67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70">
        <f t="shared" si="2"/>
        <v>0</v>
      </c>
      <c r="B29" s="70">
        <f t="shared" si="2"/>
        <v>0</v>
      </c>
      <c r="C29" s="70">
        <f t="shared" si="2"/>
        <v>0</v>
      </c>
      <c r="D29" s="70">
        <f t="shared" si="2"/>
        <v>0</v>
      </c>
      <c r="E29" s="67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70">
        <f t="shared" si="2"/>
        <v>0</v>
      </c>
      <c r="B30" s="70">
        <f t="shared" si="2"/>
        <v>0</v>
      </c>
      <c r="C30" s="70">
        <f t="shared" si="2"/>
        <v>0</v>
      </c>
      <c r="D30" s="70">
        <f t="shared" si="2"/>
        <v>0</v>
      </c>
      <c r="E30" s="67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70">
        <f t="shared" si="2"/>
        <v>0</v>
      </c>
      <c r="B31" s="70">
        <f t="shared" si="2"/>
        <v>0</v>
      </c>
      <c r="C31" s="70">
        <f t="shared" si="2"/>
        <v>0</v>
      </c>
      <c r="D31" s="70">
        <f t="shared" si="2"/>
        <v>0</v>
      </c>
      <c r="E31" s="67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70">
        <f t="shared" si="2"/>
        <v>0</v>
      </c>
      <c r="B32" s="70">
        <f t="shared" si="2"/>
        <v>0</v>
      </c>
      <c r="C32" s="70">
        <f t="shared" si="2"/>
        <v>0</v>
      </c>
      <c r="D32" s="70">
        <f t="shared" si="2"/>
        <v>0</v>
      </c>
      <c r="E32" s="67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70">
        <f t="shared" si="2"/>
        <v>0</v>
      </c>
      <c r="B33" s="70">
        <f t="shared" si="2"/>
        <v>0</v>
      </c>
      <c r="C33" s="70">
        <f t="shared" si="2"/>
        <v>0</v>
      </c>
      <c r="D33" s="70">
        <f t="shared" si="2"/>
        <v>0</v>
      </c>
      <c r="E33" s="67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450</v>
      </c>
      <c r="B34" s="51">
        <v>0</v>
      </c>
      <c r="C34" s="24" t="s">
        <v>36</v>
      </c>
      <c r="D34" s="75">
        <f t="shared" ref="D34:D37" si="3">MATCH(C34,$E$4:$E$33)</f>
        <v>15</v>
      </c>
      <c r="E34" s="24" t="str">
        <f ca="1">OFFSET($E$3:$AL$3,$D34,0)</f>
        <v>H (Ar)</v>
      </c>
      <c r="F34" s="28">
        <f t="shared" ref="F34:AL37" ca="1" si="4">OFFSET($E$3:$AL$3,$D34,0)</f>
        <v>-18.62</v>
      </c>
      <c r="G34" s="28">
        <f t="shared" ca="1" si="4"/>
        <v>-18.649999999999999</v>
      </c>
      <c r="H34" s="28">
        <f t="shared" ca="1" si="4"/>
        <v>-18.77</v>
      </c>
      <c r="I34" s="28">
        <f t="shared" ca="1" si="4"/>
        <v>-18.93</v>
      </c>
      <c r="J34" s="28">
        <f t="shared" ca="1" si="4"/>
        <v>-19.100000000000001</v>
      </c>
      <c r="K34" s="28">
        <f t="shared" ca="1" si="4"/>
        <v>-19.3</v>
      </c>
      <c r="L34" s="28">
        <f t="shared" ca="1" si="4"/>
        <v>-19.510000000000002</v>
      </c>
      <c r="M34" s="28">
        <f t="shared" ca="1" si="4"/>
        <v>-19.73</v>
      </c>
      <c r="N34" s="28">
        <f t="shared" ca="1" si="4"/>
        <v>-19.97</v>
      </c>
      <c r="O34" s="28">
        <f t="shared" ca="1" si="4"/>
        <v>-20.29</v>
      </c>
      <c r="P34" s="28">
        <f t="shared" ca="1" si="4"/>
        <v>0</v>
      </c>
      <c r="Q34" s="28">
        <f t="shared" ca="1" si="4"/>
        <v>0</v>
      </c>
      <c r="R34" s="28">
        <f t="shared" ca="1" si="4"/>
        <v>0</v>
      </c>
      <c r="S34" s="28">
        <f t="shared" ca="1" si="4"/>
        <v>0</v>
      </c>
      <c r="T34" s="28">
        <f t="shared" ca="1" si="4"/>
        <v>0</v>
      </c>
      <c r="U34" s="28">
        <f t="shared" ca="1" si="4"/>
        <v>0</v>
      </c>
      <c r="V34" s="28">
        <f t="shared" ca="1" si="4"/>
        <v>0</v>
      </c>
      <c r="W34" s="28">
        <f t="shared" ca="1" si="4"/>
        <v>0</v>
      </c>
      <c r="X34" s="28">
        <f t="shared" ca="1" si="4"/>
        <v>0</v>
      </c>
      <c r="Y34" s="28">
        <f t="shared" ca="1" si="4"/>
        <v>0</v>
      </c>
      <c r="Z34" s="28">
        <f t="shared" ca="1" si="4"/>
        <v>0</v>
      </c>
      <c r="AA34" s="28">
        <f t="shared" ca="1" si="4"/>
        <v>0</v>
      </c>
      <c r="AB34" s="28">
        <f t="shared" ca="1" si="4"/>
        <v>0</v>
      </c>
      <c r="AC34" s="28">
        <f t="shared" ca="1" si="4"/>
        <v>0</v>
      </c>
      <c r="AD34" s="28">
        <f t="shared" ca="1" si="4"/>
        <v>0</v>
      </c>
      <c r="AE34" s="28">
        <f t="shared" ca="1" si="4"/>
        <v>0</v>
      </c>
      <c r="AF34" s="28">
        <f t="shared" ca="1" si="4"/>
        <v>0</v>
      </c>
      <c r="AG34" s="28">
        <f t="shared" ca="1" si="4"/>
        <v>0</v>
      </c>
      <c r="AH34" s="28">
        <f t="shared" ca="1" si="4"/>
        <v>0</v>
      </c>
      <c r="AI34" s="28">
        <f t="shared" ca="1" si="4"/>
        <v>0</v>
      </c>
      <c r="AJ34" s="28">
        <f t="shared" ca="1" si="4"/>
        <v>0</v>
      </c>
      <c r="AK34" s="28">
        <f t="shared" ca="1" si="4"/>
        <v>0</v>
      </c>
      <c r="AL34" s="28">
        <f t="shared" ca="1" si="4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ht="21" customHeight="1" outlineLevel="1" thickBot="1" x14ac:dyDescent="0.4">
      <c r="A35" s="55">
        <f>$A$2</f>
        <v>450</v>
      </c>
      <c r="B35" s="86">
        <v>1</v>
      </c>
      <c r="C35" s="24" t="s">
        <v>5</v>
      </c>
      <c r="D35" s="75">
        <f t="shared" si="3"/>
        <v>16</v>
      </c>
      <c r="E35" s="24" t="str">
        <f t="shared" ref="E35:E37" ca="1" si="5">OFFSET($E$3:$AL$3,$D35,0)</f>
        <v>H (Ga)</v>
      </c>
      <c r="F35" s="28">
        <f t="shared" ca="1" si="4"/>
        <v>-6.97</v>
      </c>
      <c r="G35" s="28">
        <f t="shared" ca="1" si="4"/>
        <v>-7.5640000000000001</v>
      </c>
      <c r="H35" s="28">
        <f t="shared" ca="1" si="4"/>
        <v>-8.0820000000000007</v>
      </c>
      <c r="I35" s="28">
        <f t="shared" ca="1" si="4"/>
        <v>-8.5380000000000003</v>
      </c>
      <c r="J35" s="28">
        <f t="shared" ca="1" si="4"/>
        <v>-8.9749999999999996</v>
      </c>
      <c r="K35" s="28">
        <f t="shared" ca="1" si="4"/>
        <v>-9.4849999999999994</v>
      </c>
      <c r="L35" s="28">
        <f t="shared" ca="1" si="4"/>
        <v>-10.1</v>
      </c>
      <c r="M35" s="28">
        <f t="shared" ca="1" si="4"/>
        <v>-10.74</v>
      </c>
      <c r="N35" s="28">
        <f t="shared" ca="1" si="4"/>
        <v>-11.33</v>
      </c>
      <c r="O35" s="28">
        <f t="shared" ca="1" si="4"/>
        <v>-11.86</v>
      </c>
      <c r="P35" s="28">
        <f t="shared" ca="1" si="4"/>
        <v>0</v>
      </c>
      <c r="Q35" s="28">
        <f t="shared" ca="1" si="4"/>
        <v>0</v>
      </c>
      <c r="R35" s="28">
        <f t="shared" ca="1" si="4"/>
        <v>0</v>
      </c>
      <c r="S35" s="28">
        <f t="shared" ca="1" si="4"/>
        <v>0</v>
      </c>
      <c r="T35" s="28">
        <f t="shared" ca="1" si="4"/>
        <v>0</v>
      </c>
      <c r="U35" s="28">
        <f t="shared" ca="1" si="4"/>
        <v>0</v>
      </c>
      <c r="V35" s="28">
        <f t="shared" ca="1" si="4"/>
        <v>0</v>
      </c>
      <c r="W35" s="28">
        <f t="shared" ca="1" si="4"/>
        <v>0</v>
      </c>
      <c r="X35" s="28">
        <f t="shared" ca="1" si="4"/>
        <v>0</v>
      </c>
      <c r="Y35" s="28">
        <f t="shared" ca="1" si="4"/>
        <v>0</v>
      </c>
      <c r="Z35" s="28">
        <f t="shared" ca="1" si="4"/>
        <v>0</v>
      </c>
      <c r="AA35" s="28">
        <f t="shared" ca="1" si="4"/>
        <v>0</v>
      </c>
      <c r="AB35" s="28">
        <f t="shared" ca="1" si="4"/>
        <v>0</v>
      </c>
      <c r="AC35" s="28">
        <f t="shared" ca="1" si="4"/>
        <v>0</v>
      </c>
      <c r="AD35" s="28">
        <f t="shared" ca="1" si="4"/>
        <v>0</v>
      </c>
      <c r="AE35" s="28">
        <f t="shared" ca="1" si="4"/>
        <v>0</v>
      </c>
      <c r="AF35" s="28">
        <f t="shared" ca="1" si="4"/>
        <v>0</v>
      </c>
      <c r="AG35" s="28">
        <f t="shared" ca="1" si="4"/>
        <v>0</v>
      </c>
      <c r="AH35" s="28">
        <f t="shared" ca="1" si="4"/>
        <v>0</v>
      </c>
      <c r="AI35" s="28">
        <f t="shared" ca="1" si="4"/>
        <v>0</v>
      </c>
      <c r="AJ35" s="28">
        <f t="shared" ca="1" si="4"/>
        <v>0</v>
      </c>
      <c r="AK35" s="28">
        <f t="shared" ca="1" si="4"/>
        <v>0</v>
      </c>
      <c r="AL35" s="28">
        <f t="shared" ca="1" si="4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ht="21" customHeight="1" outlineLevel="1" x14ac:dyDescent="0.35">
      <c r="C36" s="24" t="s">
        <v>6</v>
      </c>
      <c r="D36" s="75">
        <f t="shared" si="3"/>
        <v>17</v>
      </c>
      <c r="E36" s="24" t="str">
        <f t="shared" ca="1" si="5"/>
        <v>H (Ge)</v>
      </c>
      <c r="F36" s="28">
        <f t="shared" ca="1" si="4"/>
        <v>7.3579999999999997</v>
      </c>
      <c r="G36" s="28">
        <f t="shared" ca="1" si="4"/>
        <v>3.758</v>
      </c>
      <c r="H36" s="28">
        <f t="shared" ca="1" si="4"/>
        <v>1.355</v>
      </c>
      <c r="I36" s="28">
        <f t="shared" ca="1" si="4"/>
        <v>-0.39240000000000003</v>
      </c>
      <c r="J36" s="28">
        <f t="shared" ca="1" si="4"/>
        <v>-1.7310000000000001</v>
      </c>
      <c r="K36" s="28">
        <f t="shared" ca="1" si="4"/>
        <v>-2.7839999999999998</v>
      </c>
      <c r="L36" s="28">
        <f t="shared" ca="1" si="4"/>
        <v>-3.6349999999999998</v>
      </c>
      <c r="M36" s="28">
        <f t="shared" ca="1" si="4"/>
        <v>-4.3380000000000001</v>
      </c>
      <c r="N36" s="28">
        <f t="shared" ca="1" si="4"/>
        <v>-4.8959999999999999</v>
      </c>
      <c r="O36" s="28">
        <f t="shared" ca="1" si="4"/>
        <v>-5.2809999999999997</v>
      </c>
      <c r="P36" s="28">
        <f t="shared" ca="1" si="4"/>
        <v>0</v>
      </c>
      <c r="Q36" s="28">
        <f t="shared" ca="1" si="4"/>
        <v>0</v>
      </c>
      <c r="R36" s="28">
        <f t="shared" ca="1" si="4"/>
        <v>0</v>
      </c>
      <c r="S36" s="28">
        <f t="shared" ca="1" si="4"/>
        <v>0</v>
      </c>
      <c r="T36" s="28">
        <f t="shared" ca="1" si="4"/>
        <v>0</v>
      </c>
      <c r="U36" s="28">
        <f t="shared" ca="1" si="4"/>
        <v>0</v>
      </c>
      <c r="V36" s="28">
        <f t="shared" ca="1" si="4"/>
        <v>0</v>
      </c>
      <c r="W36" s="28">
        <f t="shared" ca="1" si="4"/>
        <v>0</v>
      </c>
      <c r="X36" s="28">
        <f t="shared" ca="1" si="4"/>
        <v>0</v>
      </c>
      <c r="Y36" s="28">
        <f t="shared" ca="1" si="4"/>
        <v>0</v>
      </c>
      <c r="Z36" s="28">
        <f t="shared" ca="1" si="4"/>
        <v>0</v>
      </c>
      <c r="AA36" s="28">
        <f t="shared" ca="1" si="4"/>
        <v>0</v>
      </c>
      <c r="AB36" s="28">
        <f t="shared" ca="1" si="4"/>
        <v>0</v>
      </c>
      <c r="AC36" s="28">
        <f t="shared" ca="1" si="4"/>
        <v>0</v>
      </c>
      <c r="AD36" s="28">
        <f t="shared" ca="1" si="4"/>
        <v>0</v>
      </c>
      <c r="AE36" s="28">
        <f t="shared" ca="1" si="4"/>
        <v>0</v>
      </c>
      <c r="AF36" s="28">
        <f t="shared" ca="1" si="4"/>
        <v>0</v>
      </c>
      <c r="AG36" s="28">
        <f t="shared" ca="1" si="4"/>
        <v>0</v>
      </c>
      <c r="AH36" s="28">
        <f t="shared" ca="1" si="4"/>
        <v>0</v>
      </c>
      <c r="AI36" s="28">
        <f t="shared" ca="1" si="4"/>
        <v>0</v>
      </c>
      <c r="AJ36" s="28">
        <f t="shared" ca="1" si="4"/>
        <v>0</v>
      </c>
      <c r="AK36" s="28">
        <f t="shared" ca="1" si="4"/>
        <v>0</v>
      </c>
      <c r="AL36" s="28">
        <f t="shared" ca="1" si="4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5">
        <f t="shared" si="3"/>
        <v>18</v>
      </c>
      <c r="E37" s="24" t="str">
        <f t="shared" ca="1" si="5"/>
        <v>H (Se)</v>
      </c>
      <c r="F37" s="28">
        <f t="shared" ca="1" si="4"/>
        <v>-4.7</v>
      </c>
      <c r="G37" s="28">
        <f t="shared" ca="1" si="4"/>
        <v>-5.1369999999999996</v>
      </c>
      <c r="H37" s="28">
        <f t="shared" ca="1" si="4"/>
        <v>-5.6130000000000004</v>
      </c>
      <c r="I37" s="28">
        <f t="shared" ca="1" si="4"/>
        <v>-6.07</v>
      </c>
      <c r="J37" s="28">
        <f t="shared" ca="1" si="4"/>
        <v>-6.4909999999999997</v>
      </c>
      <c r="K37" s="28">
        <f t="shared" ca="1" si="4"/>
        <v>-6.8710000000000004</v>
      </c>
      <c r="L37" s="28">
        <f t="shared" ca="1" si="4"/>
        <v>-7.2160000000000002</v>
      </c>
      <c r="M37" s="28">
        <f t="shared" ca="1" si="4"/>
        <v>-7.5439999999999996</v>
      </c>
      <c r="N37" s="28">
        <f t="shared" ca="1" si="4"/>
        <v>-7.8849999999999998</v>
      </c>
      <c r="O37" s="28">
        <f t="shared" ca="1" si="4"/>
        <v>-8.2889999999999997</v>
      </c>
      <c r="P37" s="28">
        <f t="shared" ca="1" si="4"/>
        <v>0</v>
      </c>
      <c r="Q37" s="28">
        <f t="shared" ca="1" si="4"/>
        <v>0</v>
      </c>
      <c r="R37" s="28">
        <f t="shared" ca="1" si="4"/>
        <v>0</v>
      </c>
      <c r="S37" s="28">
        <f t="shared" ca="1" si="4"/>
        <v>0</v>
      </c>
      <c r="T37" s="28">
        <f t="shared" ca="1" si="4"/>
        <v>0</v>
      </c>
      <c r="U37" s="28">
        <f t="shared" ca="1" si="4"/>
        <v>0</v>
      </c>
      <c r="V37" s="28">
        <f t="shared" ca="1" si="4"/>
        <v>0</v>
      </c>
      <c r="W37" s="28">
        <f t="shared" ca="1" si="4"/>
        <v>0</v>
      </c>
      <c r="X37" s="28">
        <f t="shared" ca="1" si="4"/>
        <v>0</v>
      </c>
      <c r="Y37" s="28">
        <f t="shared" ca="1" si="4"/>
        <v>0</v>
      </c>
      <c r="Z37" s="28">
        <f t="shared" ca="1" si="4"/>
        <v>0</v>
      </c>
      <c r="AA37" s="28">
        <f t="shared" ca="1" si="4"/>
        <v>0</v>
      </c>
      <c r="AB37" s="28">
        <f t="shared" ca="1" si="4"/>
        <v>0</v>
      </c>
      <c r="AC37" s="28">
        <f t="shared" ca="1" si="4"/>
        <v>0</v>
      </c>
      <c r="AD37" s="28">
        <f t="shared" ca="1" si="4"/>
        <v>0</v>
      </c>
      <c r="AE37" s="28">
        <f t="shared" ca="1" si="4"/>
        <v>0</v>
      </c>
      <c r="AF37" s="28">
        <f t="shared" ca="1" si="4"/>
        <v>0</v>
      </c>
      <c r="AG37" s="28">
        <f t="shared" ca="1" si="4"/>
        <v>0</v>
      </c>
      <c r="AH37" s="28">
        <f t="shared" ca="1" si="4"/>
        <v>0</v>
      </c>
      <c r="AI37" s="28">
        <f t="shared" ca="1" si="4"/>
        <v>0</v>
      </c>
      <c r="AJ37" s="28">
        <f t="shared" ca="1" si="4"/>
        <v>0</v>
      </c>
      <c r="AK37" s="28">
        <f t="shared" ca="1" si="4"/>
        <v>0</v>
      </c>
      <c r="AL37" s="28">
        <f t="shared" ca="1" si="4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ht="21" customHeight="1" thickBot="1" x14ac:dyDescent="0.4"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353.9</v>
      </c>
      <c r="H40" s="19">
        <f t="shared" si="6"/>
        <v>434.7</v>
      </c>
      <c r="I40" s="19">
        <f t="shared" si="6"/>
        <v>515.4</v>
      </c>
      <c r="J40" s="19">
        <f t="shared" si="6"/>
        <v>596.20000000000005</v>
      </c>
      <c r="K40" s="19">
        <f t="shared" si="6"/>
        <v>677</v>
      </c>
      <c r="L40" s="19">
        <f t="shared" si="6"/>
        <v>757.7</v>
      </c>
      <c r="M40" s="19">
        <f t="shared" si="6"/>
        <v>838.5</v>
      </c>
      <c r="N40" s="19">
        <f t="shared" si="6"/>
        <v>919.2</v>
      </c>
      <c r="O40" s="19">
        <f t="shared" si="6"/>
        <v>1000</v>
      </c>
      <c r="P40" s="19">
        <f t="shared" si="6"/>
        <v>0</v>
      </c>
      <c r="Q40" s="19">
        <f t="shared" si="6"/>
        <v>0</v>
      </c>
      <c r="R40" s="19">
        <f t="shared" si="6"/>
        <v>0</v>
      </c>
      <c r="S40" s="19">
        <f t="shared" si="6"/>
        <v>0</v>
      </c>
      <c r="T40" s="19">
        <f t="shared" si="6"/>
        <v>0</v>
      </c>
      <c r="U40" s="19">
        <f t="shared" si="6"/>
        <v>0</v>
      </c>
      <c r="V40" s="19">
        <f t="shared" si="6"/>
        <v>0</v>
      </c>
      <c r="W40" s="19">
        <f t="shared" si="6"/>
        <v>0</v>
      </c>
      <c r="X40" s="19">
        <f t="shared" si="6"/>
        <v>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0.83333333333333337</v>
      </c>
      <c r="B41" s="20">
        <f>B45/$B45</f>
        <v>1</v>
      </c>
      <c r="C41" s="20">
        <f>C45/$B45</f>
        <v>0.33333333333333331</v>
      </c>
      <c r="D41" s="20">
        <f>D45/$B45</f>
        <v>2</v>
      </c>
      <c r="E41" s="20">
        <f>SUM(A41:D41)</f>
        <v>4.166666666666667</v>
      </c>
      <c r="F41" s="21">
        <f t="shared" ref="F41:AL41" ca="1" si="7">($B$41*H.Ge+$C$41*H.Ga+$D$41*H.Se)*F$40*$B$2/1000</f>
        <v>-9.9123185284000037</v>
      </c>
      <c r="G41" s="21">
        <f t="shared" ca="1" si="7"/>
        <v>-26.592367341199999</v>
      </c>
      <c r="H41" s="21">
        <f t="shared" ca="1" si="7"/>
        <v>-45.413844729750004</v>
      </c>
      <c r="I41" s="21">
        <f t="shared" ca="1" si="7"/>
        <v>-65.900954484720003</v>
      </c>
      <c r="J41" s="21">
        <f t="shared" ca="1" si="7"/>
        <v>-87.763889886200005</v>
      </c>
      <c r="K41" s="21">
        <f t="shared" ca="1" si="7"/>
        <v>-110.82023174650001</v>
      </c>
      <c r="L41" s="21">
        <f t="shared" ca="1" si="7"/>
        <v>-135.02988483055003</v>
      </c>
      <c r="M41" s="21">
        <f t="shared" ca="1" si="7"/>
        <v>-160.39111999949998</v>
      </c>
      <c r="N41" s="21">
        <f t="shared" ca="1" si="7"/>
        <v>-186.80768499840005</v>
      </c>
      <c r="O41" s="21">
        <f t="shared" ca="1" si="7"/>
        <v>-214.6166455</v>
      </c>
      <c r="P41" s="21">
        <f t="shared" ca="1" si="7"/>
        <v>0</v>
      </c>
      <c r="Q41" s="21">
        <f t="shared" ca="1" si="7"/>
        <v>0</v>
      </c>
      <c r="R41" s="21">
        <f t="shared" ca="1" si="7"/>
        <v>0</v>
      </c>
      <c r="S41" s="21">
        <f t="shared" ca="1" si="7"/>
        <v>0</v>
      </c>
      <c r="T41" s="21">
        <f t="shared" ca="1" si="7"/>
        <v>0</v>
      </c>
      <c r="U41" s="21">
        <f t="shared" ca="1" si="7"/>
        <v>0</v>
      </c>
      <c r="V41" s="21">
        <f t="shared" ca="1" si="7"/>
        <v>0</v>
      </c>
      <c r="W41" s="21">
        <f t="shared" ca="1" si="7"/>
        <v>0</v>
      </c>
      <c r="X41" s="21">
        <f t="shared" ca="1" si="7"/>
        <v>0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/>
    <row r="43" spans="1:54" ht="21" customHeight="1" outlineLevel="1" thickBot="1" x14ac:dyDescent="0.4">
      <c r="A43" s="15" t="s">
        <v>10</v>
      </c>
      <c r="B43" s="15"/>
      <c r="C43" s="15"/>
      <c r="D43" s="73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</row>
    <row r="45" spans="1:54" ht="21" customHeight="1" outlineLevel="1" thickTop="1" x14ac:dyDescent="0.35">
      <c r="A45" s="24">
        <f t="array" ref="A45:D45">Values!D3:G3</f>
        <v>25</v>
      </c>
      <c r="B45" s="24">
        <v>30</v>
      </c>
      <c r="C45" s="24">
        <v>10</v>
      </c>
      <c r="D45" s="24">
        <v>60</v>
      </c>
      <c r="W45" s="23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>
        <f t="shared" ref="E49:AL49" si="8">E3</f>
        <v>0</v>
      </c>
      <c r="F49" s="8">
        <f t="shared" si="8"/>
        <v>273.10000000000002</v>
      </c>
      <c r="G49" s="8">
        <f t="shared" si="8"/>
        <v>353.9</v>
      </c>
      <c r="H49" s="8">
        <f t="shared" si="8"/>
        <v>434.7</v>
      </c>
      <c r="I49" s="8">
        <f t="shared" si="8"/>
        <v>515.4</v>
      </c>
      <c r="J49" s="8">
        <f t="shared" si="8"/>
        <v>596.20000000000005</v>
      </c>
      <c r="K49" s="8">
        <f t="shared" si="8"/>
        <v>677</v>
      </c>
      <c r="L49" s="8">
        <f t="shared" si="8"/>
        <v>757.7</v>
      </c>
      <c r="M49" s="8">
        <f t="shared" si="8"/>
        <v>838.5</v>
      </c>
      <c r="N49" s="8">
        <f t="shared" si="8"/>
        <v>919.2</v>
      </c>
      <c r="O49" s="8">
        <f t="shared" si="8"/>
        <v>1000</v>
      </c>
      <c r="P49" s="8">
        <f t="shared" si="8"/>
        <v>0</v>
      </c>
      <c r="Q49" s="8">
        <f t="shared" si="8"/>
        <v>0</v>
      </c>
      <c r="R49" s="8">
        <f t="shared" si="8"/>
        <v>0</v>
      </c>
      <c r="S49" s="8">
        <f t="shared" si="8"/>
        <v>0</v>
      </c>
      <c r="T49" s="8">
        <f t="shared" si="8"/>
        <v>0</v>
      </c>
      <c r="U49" s="8">
        <f t="shared" si="8"/>
        <v>0</v>
      </c>
      <c r="V49" s="8">
        <f t="shared" si="8"/>
        <v>0</v>
      </c>
      <c r="W49" s="8">
        <f t="shared" si="8"/>
        <v>0</v>
      </c>
      <c r="X49" s="8">
        <f t="shared" si="8"/>
        <v>0</v>
      </c>
      <c r="Y49" s="8">
        <f t="shared" si="8"/>
        <v>0</v>
      </c>
      <c r="Z49" s="8">
        <f t="shared" si="8"/>
        <v>0</v>
      </c>
      <c r="AA49" s="8">
        <f t="shared" si="8"/>
        <v>0</v>
      </c>
      <c r="AB49" s="8">
        <f t="shared" si="8"/>
        <v>0</v>
      </c>
      <c r="AC49" s="8">
        <f t="shared" si="8"/>
        <v>0</v>
      </c>
      <c r="AD49" s="8">
        <f t="shared" si="8"/>
        <v>0</v>
      </c>
      <c r="AE49" s="8">
        <f t="shared" si="8"/>
        <v>0</v>
      </c>
      <c r="AF49" s="8">
        <f t="shared" si="8"/>
        <v>0</v>
      </c>
      <c r="AG49" s="8">
        <f t="shared" si="8"/>
        <v>0</v>
      </c>
      <c r="AH49" s="8">
        <f t="shared" si="8"/>
        <v>0</v>
      </c>
      <c r="AI49" s="8">
        <f t="shared" si="8"/>
        <v>0</v>
      </c>
      <c r="AJ49" s="8">
        <f t="shared" si="8"/>
        <v>0</v>
      </c>
      <c r="AK49" s="8">
        <f t="shared" si="8"/>
        <v>0</v>
      </c>
      <c r="AL49" s="8">
        <f t="shared" si="8"/>
        <v>0</v>
      </c>
    </row>
    <row r="50" spans="1:38" ht="21" hidden="1" customHeight="1" outlineLevel="1" thickTop="1" thickBot="1" x14ac:dyDescent="0.4">
      <c r="A50" s="10">
        <f t="shared" ref="A50:E65" si="9">A4</f>
        <v>0</v>
      </c>
      <c r="B50" s="10">
        <f t="shared" si="9"/>
        <v>1</v>
      </c>
      <c r="C50" s="10">
        <f t="shared" si="9"/>
        <v>0</v>
      </c>
      <c r="D50" s="10">
        <f t="shared" si="9"/>
        <v>0</v>
      </c>
      <c r="E50" s="11" t="str">
        <f t="shared" si="9"/>
        <v>*Se[l]</v>
      </c>
      <c r="F50" s="28">
        <f t="shared" ref="F50:O59" ca="1" si="10">$A50*H.Ar + $B50*H.Se + $C50*H.Ge + $D50*H.Ga</f>
        <v>-4.7</v>
      </c>
      <c r="G50" s="28">
        <f t="shared" ca="1" si="10"/>
        <v>-5.1369999999999996</v>
      </c>
      <c r="H50" s="28">
        <f t="shared" ca="1" si="10"/>
        <v>-5.6130000000000004</v>
      </c>
      <c r="I50" s="28">
        <f t="shared" ca="1" si="10"/>
        <v>-6.07</v>
      </c>
      <c r="J50" s="28">
        <f t="shared" ca="1" si="10"/>
        <v>-6.4909999999999997</v>
      </c>
      <c r="K50" s="28">
        <f t="shared" ca="1" si="10"/>
        <v>-6.8710000000000004</v>
      </c>
      <c r="L50" s="28">
        <f t="shared" ca="1" si="10"/>
        <v>-7.2160000000000002</v>
      </c>
      <c r="M50" s="28">
        <f t="shared" ca="1" si="10"/>
        <v>-7.5439999999999996</v>
      </c>
      <c r="N50" s="28">
        <f t="shared" ca="1" si="10"/>
        <v>-7.8849999999999998</v>
      </c>
      <c r="O50" s="28">
        <f t="shared" ca="1" si="10"/>
        <v>-8.2889999999999997</v>
      </c>
      <c r="P50" s="28">
        <f t="shared" ref="P50:AE59" ca="1" si="11">$A50*H.Ar + $B50*H.Se + $C50*H.Ge + $D50*H.Ga</f>
        <v>0</v>
      </c>
      <c r="Q50" s="28">
        <f t="shared" ca="1" si="11"/>
        <v>0</v>
      </c>
      <c r="R50" s="28">
        <f t="shared" ca="1" si="11"/>
        <v>0</v>
      </c>
      <c r="S50" s="28">
        <f t="shared" ca="1" si="11"/>
        <v>0</v>
      </c>
      <c r="T50" s="28">
        <f t="shared" ca="1" si="11"/>
        <v>0</v>
      </c>
      <c r="U50" s="28">
        <f t="shared" ca="1" si="11"/>
        <v>0</v>
      </c>
      <c r="V50" s="28">
        <f t="shared" ca="1" si="11"/>
        <v>0</v>
      </c>
      <c r="W50" s="28">
        <f t="shared" ca="1" si="11"/>
        <v>0</v>
      </c>
      <c r="X50" s="28">
        <f t="shared" ca="1" si="11"/>
        <v>0</v>
      </c>
      <c r="Y50" s="28">
        <f t="shared" ca="1" si="11"/>
        <v>0</v>
      </c>
      <c r="Z50" s="28">
        <f t="shared" ca="1" si="11"/>
        <v>0</v>
      </c>
      <c r="AA50" s="28">
        <f t="shared" ca="1" si="11"/>
        <v>0</v>
      </c>
      <c r="AB50" s="28">
        <f t="shared" ca="1" si="11"/>
        <v>0</v>
      </c>
      <c r="AC50" s="28">
        <f t="shared" ca="1" si="11"/>
        <v>0</v>
      </c>
      <c r="AD50" s="28">
        <f t="shared" ca="1" si="11"/>
        <v>0</v>
      </c>
      <c r="AE50" s="28">
        <f t="shared" ca="1" si="11"/>
        <v>0</v>
      </c>
      <c r="AF50" s="28">
        <f t="shared" ref="AF50:AL50" ca="1" si="12">$A50*H.Ar + $B50*H.Se + $C50*H.Ge + $D50*H.Ga</f>
        <v>0</v>
      </c>
      <c r="AG50" s="28">
        <f t="shared" ca="1" si="12"/>
        <v>0</v>
      </c>
      <c r="AH50" s="28">
        <f t="shared" ca="1" si="12"/>
        <v>0</v>
      </c>
      <c r="AI50" s="28">
        <f t="shared" ca="1" si="12"/>
        <v>0</v>
      </c>
      <c r="AJ50" s="28">
        <f t="shared" ca="1" si="12"/>
        <v>0</v>
      </c>
      <c r="AK50" s="28">
        <f t="shared" ca="1" si="12"/>
        <v>0</v>
      </c>
      <c r="AL50" s="28">
        <f t="shared" ca="1" si="12"/>
        <v>0</v>
      </c>
    </row>
    <row r="51" spans="1:38" ht="21" hidden="1" customHeight="1" outlineLevel="1" thickBot="1" x14ac:dyDescent="0.4">
      <c r="A51" s="10">
        <f t="shared" si="9"/>
        <v>0</v>
      </c>
      <c r="B51" s="10">
        <f t="shared" si="9"/>
        <v>3</v>
      </c>
      <c r="C51" s="10">
        <f t="shared" si="9"/>
        <v>0</v>
      </c>
      <c r="D51" s="10">
        <f t="shared" si="9"/>
        <v>0</v>
      </c>
      <c r="E51" s="11" t="str">
        <f t="shared" si="9"/>
        <v>Se3</v>
      </c>
      <c r="F51" s="28">
        <f t="shared" ca="1" si="10"/>
        <v>-14.100000000000001</v>
      </c>
      <c r="G51" s="28">
        <f t="shared" ca="1" si="10"/>
        <v>-15.410999999999998</v>
      </c>
      <c r="H51" s="28">
        <f t="shared" ca="1" si="10"/>
        <v>-16.839000000000002</v>
      </c>
      <c r="I51" s="28">
        <f t="shared" ca="1" si="10"/>
        <v>-18.21</v>
      </c>
      <c r="J51" s="28">
        <f t="shared" ca="1" si="10"/>
        <v>-19.472999999999999</v>
      </c>
      <c r="K51" s="28">
        <f t="shared" ca="1" si="10"/>
        <v>-20.613</v>
      </c>
      <c r="L51" s="28">
        <f t="shared" ca="1" si="10"/>
        <v>-21.648</v>
      </c>
      <c r="M51" s="28">
        <f t="shared" ca="1" si="10"/>
        <v>-22.631999999999998</v>
      </c>
      <c r="N51" s="28">
        <f t="shared" ca="1" si="10"/>
        <v>-23.655000000000001</v>
      </c>
      <c r="O51" s="28">
        <f t="shared" ca="1" si="10"/>
        <v>-24.866999999999997</v>
      </c>
      <c r="P51" s="28">
        <f t="shared" ca="1" si="11"/>
        <v>0</v>
      </c>
      <c r="Q51" s="28">
        <f t="shared" ca="1" si="11"/>
        <v>0</v>
      </c>
      <c r="R51" s="28">
        <f t="shared" ca="1" si="11"/>
        <v>0</v>
      </c>
      <c r="S51" s="28">
        <f t="shared" ca="1" si="11"/>
        <v>0</v>
      </c>
      <c r="T51" s="28">
        <f t="shared" ca="1" si="11"/>
        <v>0</v>
      </c>
      <c r="U51" s="28">
        <f t="shared" ca="1" si="11"/>
        <v>0</v>
      </c>
      <c r="V51" s="28">
        <f t="shared" ca="1" si="11"/>
        <v>0</v>
      </c>
      <c r="W51" s="28">
        <f t="shared" ca="1" si="11"/>
        <v>0</v>
      </c>
      <c r="X51" s="28">
        <f t="shared" ca="1" si="11"/>
        <v>0</v>
      </c>
      <c r="Y51" s="28">
        <f t="shared" ref="Y51:AL65" ca="1" si="13">$A51*H.Ar + $B51*H.Se + $C51*H.Ge + $D51*H.Ga</f>
        <v>0</v>
      </c>
      <c r="Z51" s="28">
        <f t="shared" ca="1" si="13"/>
        <v>0</v>
      </c>
      <c r="AA51" s="28">
        <f t="shared" ca="1" si="13"/>
        <v>0</v>
      </c>
      <c r="AB51" s="28">
        <f t="shared" ca="1" si="13"/>
        <v>0</v>
      </c>
      <c r="AC51" s="28">
        <f t="shared" ca="1" si="13"/>
        <v>0</v>
      </c>
      <c r="AD51" s="28">
        <f t="shared" ca="1" si="13"/>
        <v>0</v>
      </c>
      <c r="AE51" s="28">
        <f t="shared" ca="1" si="13"/>
        <v>0</v>
      </c>
      <c r="AF51" s="28">
        <f t="shared" ca="1" si="13"/>
        <v>0</v>
      </c>
      <c r="AG51" s="28">
        <f t="shared" ca="1" si="13"/>
        <v>0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9"/>
        <v>0</v>
      </c>
      <c r="B52" s="10">
        <f t="shared" si="9"/>
        <v>4</v>
      </c>
      <c r="C52" s="10">
        <f t="shared" si="9"/>
        <v>0</v>
      </c>
      <c r="D52" s="10">
        <f t="shared" si="9"/>
        <v>0</v>
      </c>
      <c r="E52" s="11" t="str">
        <f t="shared" si="9"/>
        <v>Se4</v>
      </c>
      <c r="F52" s="28">
        <f t="shared" ca="1" si="10"/>
        <v>-18.8</v>
      </c>
      <c r="G52" s="28">
        <f t="shared" ca="1" si="10"/>
        <v>-20.547999999999998</v>
      </c>
      <c r="H52" s="28">
        <f t="shared" ca="1" si="10"/>
        <v>-22.452000000000002</v>
      </c>
      <c r="I52" s="28">
        <f t="shared" ca="1" si="10"/>
        <v>-24.28</v>
      </c>
      <c r="J52" s="28">
        <f t="shared" ca="1" si="10"/>
        <v>-25.963999999999999</v>
      </c>
      <c r="K52" s="28">
        <f t="shared" ca="1" si="10"/>
        <v>-27.484000000000002</v>
      </c>
      <c r="L52" s="28">
        <f t="shared" ca="1" si="10"/>
        <v>-28.864000000000001</v>
      </c>
      <c r="M52" s="28">
        <f t="shared" ca="1" si="10"/>
        <v>-30.175999999999998</v>
      </c>
      <c r="N52" s="28">
        <f t="shared" ca="1" si="10"/>
        <v>-31.54</v>
      </c>
      <c r="O52" s="28">
        <f t="shared" ca="1" si="10"/>
        <v>-33.155999999999999</v>
      </c>
      <c r="P52" s="28">
        <f t="shared" ca="1" si="11"/>
        <v>0</v>
      </c>
      <c r="Q52" s="28">
        <f t="shared" ca="1" si="11"/>
        <v>0</v>
      </c>
      <c r="R52" s="28">
        <f t="shared" ca="1" si="11"/>
        <v>0</v>
      </c>
      <c r="S52" s="28">
        <f t="shared" ca="1" si="11"/>
        <v>0</v>
      </c>
      <c r="T52" s="28">
        <f t="shared" ca="1" si="11"/>
        <v>0</v>
      </c>
      <c r="U52" s="28">
        <f t="shared" ca="1" si="11"/>
        <v>0</v>
      </c>
      <c r="V52" s="28">
        <f t="shared" ca="1" si="11"/>
        <v>0</v>
      </c>
      <c r="W52" s="28">
        <f t="shared" ca="1" si="11"/>
        <v>0</v>
      </c>
      <c r="X52" s="28">
        <f t="shared" ca="1" si="11"/>
        <v>0</v>
      </c>
      <c r="Y52" s="28">
        <f t="shared" ca="1" si="13"/>
        <v>0</v>
      </c>
      <c r="Z52" s="28">
        <f t="shared" ca="1" si="13"/>
        <v>0</v>
      </c>
      <c r="AA52" s="28">
        <f t="shared" ca="1" si="13"/>
        <v>0</v>
      </c>
      <c r="AB52" s="28">
        <f t="shared" ca="1" si="13"/>
        <v>0</v>
      </c>
      <c r="AC52" s="28">
        <f t="shared" ca="1" si="13"/>
        <v>0</v>
      </c>
      <c r="AD52" s="28">
        <f t="shared" ca="1" si="13"/>
        <v>0</v>
      </c>
      <c r="AE52" s="28">
        <f t="shared" ca="1" si="13"/>
        <v>0</v>
      </c>
      <c r="AF52" s="28">
        <f t="shared" ca="1" si="13"/>
        <v>0</v>
      </c>
      <c r="AG52" s="28">
        <f t="shared" ca="1" si="13"/>
        <v>0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9"/>
        <v>0</v>
      </c>
      <c r="B53" s="10">
        <f t="shared" si="9"/>
        <v>5</v>
      </c>
      <c r="C53" s="10">
        <f t="shared" si="9"/>
        <v>0</v>
      </c>
      <c r="D53" s="10">
        <f t="shared" si="9"/>
        <v>0</v>
      </c>
      <c r="E53" s="11" t="str">
        <f t="shared" si="9"/>
        <v>Se5</v>
      </c>
      <c r="F53" s="28">
        <f t="shared" ca="1" si="10"/>
        <v>-23.5</v>
      </c>
      <c r="G53" s="28">
        <f t="shared" ca="1" si="10"/>
        <v>-25.684999999999999</v>
      </c>
      <c r="H53" s="28">
        <f t="shared" ca="1" si="10"/>
        <v>-28.065000000000001</v>
      </c>
      <c r="I53" s="28">
        <f t="shared" ca="1" si="10"/>
        <v>-30.35</v>
      </c>
      <c r="J53" s="28">
        <f t="shared" ca="1" si="10"/>
        <v>-32.454999999999998</v>
      </c>
      <c r="K53" s="28">
        <f t="shared" ca="1" si="10"/>
        <v>-34.355000000000004</v>
      </c>
      <c r="L53" s="28">
        <f t="shared" ca="1" si="10"/>
        <v>-36.08</v>
      </c>
      <c r="M53" s="28">
        <f t="shared" ca="1" si="10"/>
        <v>-37.72</v>
      </c>
      <c r="N53" s="28">
        <f t="shared" ca="1" si="10"/>
        <v>-39.424999999999997</v>
      </c>
      <c r="O53" s="28">
        <f t="shared" ca="1" si="10"/>
        <v>-41.445</v>
      </c>
      <c r="P53" s="28">
        <f t="shared" ca="1" si="11"/>
        <v>0</v>
      </c>
      <c r="Q53" s="28">
        <f t="shared" ca="1" si="11"/>
        <v>0</v>
      </c>
      <c r="R53" s="28">
        <f t="shared" ca="1" si="11"/>
        <v>0</v>
      </c>
      <c r="S53" s="28">
        <f t="shared" ca="1" si="11"/>
        <v>0</v>
      </c>
      <c r="T53" s="28">
        <f t="shared" ca="1" si="11"/>
        <v>0</v>
      </c>
      <c r="U53" s="28">
        <f t="shared" ca="1" si="11"/>
        <v>0</v>
      </c>
      <c r="V53" s="28">
        <f t="shared" ca="1" si="11"/>
        <v>0</v>
      </c>
      <c r="W53" s="28">
        <f t="shared" ca="1" si="11"/>
        <v>0</v>
      </c>
      <c r="X53" s="28">
        <f t="shared" ca="1" si="11"/>
        <v>0</v>
      </c>
      <c r="Y53" s="28">
        <f t="shared" ca="1" si="13"/>
        <v>0</v>
      </c>
      <c r="Z53" s="28">
        <f t="shared" ca="1" si="13"/>
        <v>0</v>
      </c>
      <c r="AA53" s="28">
        <f t="shared" ca="1" si="13"/>
        <v>0</v>
      </c>
      <c r="AB53" s="28">
        <f t="shared" ca="1" si="13"/>
        <v>0</v>
      </c>
      <c r="AC53" s="28">
        <f t="shared" ca="1" si="13"/>
        <v>0</v>
      </c>
      <c r="AD53" s="28">
        <f t="shared" ca="1" si="13"/>
        <v>0</v>
      </c>
      <c r="AE53" s="28">
        <f t="shared" ca="1" si="13"/>
        <v>0</v>
      </c>
      <c r="AF53" s="28">
        <f t="shared" ca="1" si="13"/>
        <v>0</v>
      </c>
      <c r="AG53" s="28">
        <f t="shared" ca="1" si="13"/>
        <v>0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9"/>
        <v>0</v>
      </c>
      <c r="B54" s="10">
        <f t="shared" si="9"/>
        <v>6</v>
      </c>
      <c r="C54" s="10">
        <f t="shared" si="9"/>
        <v>0</v>
      </c>
      <c r="D54" s="10">
        <f t="shared" si="9"/>
        <v>0</v>
      </c>
      <c r="E54" s="11" t="str">
        <f t="shared" si="9"/>
        <v>Se6</v>
      </c>
      <c r="F54" s="28">
        <f t="shared" ca="1" si="10"/>
        <v>-28.200000000000003</v>
      </c>
      <c r="G54" s="28">
        <f t="shared" ca="1" si="10"/>
        <v>-30.821999999999996</v>
      </c>
      <c r="H54" s="28">
        <f t="shared" ca="1" si="10"/>
        <v>-33.678000000000004</v>
      </c>
      <c r="I54" s="28">
        <f t="shared" ca="1" si="10"/>
        <v>-36.42</v>
      </c>
      <c r="J54" s="28">
        <f t="shared" ca="1" si="10"/>
        <v>-38.945999999999998</v>
      </c>
      <c r="K54" s="28">
        <f t="shared" ca="1" si="10"/>
        <v>-41.225999999999999</v>
      </c>
      <c r="L54" s="28">
        <f t="shared" ca="1" si="10"/>
        <v>-43.295999999999999</v>
      </c>
      <c r="M54" s="28">
        <f t="shared" ca="1" si="10"/>
        <v>-45.263999999999996</v>
      </c>
      <c r="N54" s="28">
        <f t="shared" ca="1" si="10"/>
        <v>-47.31</v>
      </c>
      <c r="O54" s="28">
        <f t="shared" ca="1" si="10"/>
        <v>-49.733999999999995</v>
      </c>
      <c r="P54" s="28">
        <f t="shared" ca="1" si="11"/>
        <v>0</v>
      </c>
      <c r="Q54" s="28">
        <f t="shared" ca="1" si="11"/>
        <v>0</v>
      </c>
      <c r="R54" s="28">
        <f t="shared" ca="1" si="11"/>
        <v>0</v>
      </c>
      <c r="S54" s="28">
        <f t="shared" ca="1" si="11"/>
        <v>0</v>
      </c>
      <c r="T54" s="28">
        <f t="shared" ca="1" si="11"/>
        <v>0</v>
      </c>
      <c r="U54" s="28">
        <f t="shared" ca="1" si="11"/>
        <v>0</v>
      </c>
      <c r="V54" s="28">
        <f t="shared" ca="1" si="11"/>
        <v>0</v>
      </c>
      <c r="W54" s="28">
        <f t="shared" ca="1" si="11"/>
        <v>0</v>
      </c>
      <c r="X54" s="28">
        <f t="shared" ca="1" si="11"/>
        <v>0</v>
      </c>
      <c r="Y54" s="28">
        <f t="shared" ca="1" si="13"/>
        <v>0</v>
      </c>
      <c r="Z54" s="28">
        <f t="shared" ca="1" si="13"/>
        <v>0</v>
      </c>
      <c r="AA54" s="28">
        <f t="shared" ca="1" si="13"/>
        <v>0</v>
      </c>
      <c r="AB54" s="28">
        <f t="shared" ca="1" si="13"/>
        <v>0</v>
      </c>
      <c r="AC54" s="28">
        <f t="shared" ca="1" si="13"/>
        <v>0</v>
      </c>
      <c r="AD54" s="28">
        <f t="shared" ca="1" si="13"/>
        <v>0</v>
      </c>
      <c r="AE54" s="28">
        <f t="shared" ca="1" si="13"/>
        <v>0</v>
      </c>
      <c r="AF54" s="28">
        <f t="shared" ca="1" si="13"/>
        <v>0</v>
      </c>
      <c r="AG54" s="28">
        <f t="shared" ca="1" si="13"/>
        <v>0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9"/>
        <v>0</v>
      </c>
      <c r="B55" s="10">
        <f t="shared" si="9"/>
        <v>7</v>
      </c>
      <c r="C55" s="10">
        <f t="shared" si="9"/>
        <v>0</v>
      </c>
      <c r="D55" s="10">
        <f t="shared" si="9"/>
        <v>0</v>
      </c>
      <c r="E55" s="11" t="str">
        <f t="shared" si="9"/>
        <v>Se7</v>
      </c>
      <c r="F55" s="28">
        <f t="shared" ca="1" si="10"/>
        <v>-32.9</v>
      </c>
      <c r="G55" s="28">
        <f t="shared" ca="1" si="10"/>
        <v>-35.958999999999996</v>
      </c>
      <c r="H55" s="28">
        <f t="shared" ca="1" si="10"/>
        <v>-39.291000000000004</v>
      </c>
      <c r="I55" s="28">
        <f t="shared" ca="1" si="10"/>
        <v>-42.49</v>
      </c>
      <c r="J55" s="28">
        <f t="shared" ca="1" si="10"/>
        <v>-45.436999999999998</v>
      </c>
      <c r="K55" s="28">
        <f t="shared" ca="1" si="10"/>
        <v>-48.097000000000001</v>
      </c>
      <c r="L55" s="28">
        <f t="shared" ca="1" si="10"/>
        <v>-50.512</v>
      </c>
      <c r="M55" s="28">
        <f t="shared" ca="1" si="10"/>
        <v>-52.808</v>
      </c>
      <c r="N55" s="28">
        <f t="shared" ca="1" si="10"/>
        <v>-55.195</v>
      </c>
      <c r="O55" s="28">
        <f t="shared" ca="1" si="10"/>
        <v>-58.022999999999996</v>
      </c>
      <c r="P55" s="28">
        <f t="shared" ca="1" si="11"/>
        <v>0</v>
      </c>
      <c r="Q55" s="28">
        <f t="shared" ca="1" si="11"/>
        <v>0</v>
      </c>
      <c r="R55" s="28">
        <f t="shared" ca="1" si="11"/>
        <v>0</v>
      </c>
      <c r="S55" s="28">
        <f t="shared" ca="1" si="11"/>
        <v>0</v>
      </c>
      <c r="T55" s="28">
        <f t="shared" ca="1" si="11"/>
        <v>0</v>
      </c>
      <c r="U55" s="28">
        <f t="shared" ca="1" si="11"/>
        <v>0</v>
      </c>
      <c r="V55" s="28">
        <f t="shared" ca="1" si="11"/>
        <v>0</v>
      </c>
      <c r="W55" s="28">
        <f t="shared" ca="1" si="11"/>
        <v>0</v>
      </c>
      <c r="X55" s="28">
        <f t="shared" ca="1" si="11"/>
        <v>0</v>
      </c>
      <c r="Y55" s="28">
        <f t="shared" ca="1" si="13"/>
        <v>0</v>
      </c>
      <c r="Z55" s="28">
        <f t="shared" ca="1" si="13"/>
        <v>0</v>
      </c>
      <c r="AA55" s="28">
        <f t="shared" ca="1" si="13"/>
        <v>0</v>
      </c>
      <c r="AB55" s="28">
        <f t="shared" ca="1" si="13"/>
        <v>0</v>
      </c>
      <c r="AC55" s="28">
        <f t="shared" ca="1" si="13"/>
        <v>0</v>
      </c>
      <c r="AD55" s="28">
        <f t="shared" ca="1" si="13"/>
        <v>0</v>
      </c>
      <c r="AE55" s="28">
        <f t="shared" ca="1" si="13"/>
        <v>0</v>
      </c>
      <c r="AF55" s="28">
        <f t="shared" ca="1" si="13"/>
        <v>0</v>
      </c>
      <c r="AG55" s="28">
        <f t="shared" ca="1" si="13"/>
        <v>0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9"/>
        <v>0</v>
      </c>
      <c r="B56" s="10">
        <f t="shared" si="9"/>
        <v>8</v>
      </c>
      <c r="C56" s="10">
        <f t="shared" si="9"/>
        <v>0</v>
      </c>
      <c r="D56" s="10">
        <f t="shared" si="9"/>
        <v>0</v>
      </c>
      <c r="E56" s="11" t="str">
        <f t="shared" si="9"/>
        <v>Se8</v>
      </c>
      <c r="F56" s="28">
        <f t="shared" ca="1" si="10"/>
        <v>-37.6</v>
      </c>
      <c r="G56" s="28">
        <f t="shared" ca="1" si="10"/>
        <v>-41.095999999999997</v>
      </c>
      <c r="H56" s="28">
        <f t="shared" ca="1" si="10"/>
        <v>-44.904000000000003</v>
      </c>
      <c r="I56" s="28">
        <f t="shared" ca="1" si="10"/>
        <v>-48.56</v>
      </c>
      <c r="J56" s="28">
        <f t="shared" ca="1" si="10"/>
        <v>-51.927999999999997</v>
      </c>
      <c r="K56" s="28">
        <f t="shared" ca="1" si="10"/>
        <v>-54.968000000000004</v>
      </c>
      <c r="L56" s="28">
        <f t="shared" ca="1" si="10"/>
        <v>-57.728000000000002</v>
      </c>
      <c r="M56" s="28">
        <f t="shared" ca="1" si="10"/>
        <v>-60.351999999999997</v>
      </c>
      <c r="N56" s="28">
        <f t="shared" ca="1" si="10"/>
        <v>-63.08</v>
      </c>
      <c r="O56" s="28">
        <f t="shared" ca="1" si="10"/>
        <v>-66.311999999999998</v>
      </c>
      <c r="P56" s="28">
        <f t="shared" ca="1" si="11"/>
        <v>0</v>
      </c>
      <c r="Q56" s="28">
        <f t="shared" ca="1" si="11"/>
        <v>0</v>
      </c>
      <c r="R56" s="28">
        <f t="shared" ca="1" si="11"/>
        <v>0</v>
      </c>
      <c r="S56" s="28">
        <f t="shared" ca="1" si="11"/>
        <v>0</v>
      </c>
      <c r="T56" s="28">
        <f t="shared" ca="1" si="11"/>
        <v>0</v>
      </c>
      <c r="U56" s="28">
        <f t="shared" ca="1" si="11"/>
        <v>0</v>
      </c>
      <c r="V56" s="28">
        <f t="shared" ca="1" si="11"/>
        <v>0</v>
      </c>
      <c r="W56" s="28">
        <f t="shared" ca="1" si="11"/>
        <v>0</v>
      </c>
      <c r="X56" s="28">
        <f t="shared" ca="1" si="11"/>
        <v>0</v>
      </c>
      <c r="Y56" s="28">
        <f t="shared" ca="1" si="13"/>
        <v>0</v>
      </c>
      <c r="Z56" s="28">
        <f t="shared" ca="1" si="13"/>
        <v>0</v>
      </c>
      <c r="AA56" s="28">
        <f t="shared" ca="1" si="13"/>
        <v>0</v>
      </c>
      <c r="AB56" s="28">
        <f t="shared" ca="1" si="13"/>
        <v>0</v>
      </c>
      <c r="AC56" s="28">
        <f t="shared" ca="1" si="13"/>
        <v>0</v>
      </c>
      <c r="AD56" s="28">
        <f t="shared" ca="1" si="13"/>
        <v>0</v>
      </c>
      <c r="AE56" s="28">
        <f t="shared" ca="1" si="13"/>
        <v>0</v>
      </c>
      <c r="AF56" s="28">
        <f t="shared" ca="1" si="13"/>
        <v>0</v>
      </c>
      <c r="AG56" s="28">
        <f t="shared" ca="1" si="13"/>
        <v>0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9"/>
        <v>0</v>
      </c>
      <c r="B57" s="10">
        <f t="shared" si="9"/>
        <v>2</v>
      </c>
      <c r="C57" s="10">
        <f t="shared" si="9"/>
        <v>0</v>
      </c>
      <c r="D57" s="10">
        <f t="shared" si="9"/>
        <v>0</v>
      </c>
      <c r="E57" s="11" t="str">
        <f t="shared" si="9"/>
        <v>Se2</v>
      </c>
      <c r="F57" s="28">
        <f t="shared" ca="1" si="10"/>
        <v>-9.4</v>
      </c>
      <c r="G57" s="28">
        <f t="shared" ca="1" si="10"/>
        <v>-10.273999999999999</v>
      </c>
      <c r="H57" s="28">
        <f t="shared" ca="1" si="10"/>
        <v>-11.226000000000001</v>
      </c>
      <c r="I57" s="28">
        <f t="shared" ca="1" si="10"/>
        <v>-12.14</v>
      </c>
      <c r="J57" s="28">
        <f t="shared" ca="1" si="10"/>
        <v>-12.981999999999999</v>
      </c>
      <c r="K57" s="28">
        <f t="shared" ca="1" si="10"/>
        <v>-13.742000000000001</v>
      </c>
      <c r="L57" s="28">
        <f t="shared" ca="1" si="10"/>
        <v>-14.432</v>
      </c>
      <c r="M57" s="28">
        <f t="shared" ca="1" si="10"/>
        <v>-15.087999999999999</v>
      </c>
      <c r="N57" s="28">
        <f t="shared" ca="1" si="10"/>
        <v>-15.77</v>
      </c>
      <c r="O57" s="28">
        <f t="shared" ca="1" si="10"/>
        <v>-16.577999999999999</v>
      </c>
      <c r="P57" s="28">
        <f t="shared" ca="1" si="11"/>
        <v>0</v>
      </c>
      <c r="Q57" s="28">
        <f t="shared" ca="1" si="11"/>
        <v>0</v>
      </c>
      <c r="R57" s="28">
        <f t="shared" ca="1" si="11"/>
        <v>0</v>
      </c>
      <c r="S57" s="28">
        <f t="shared" ca="1" si="11"/>
        <v>0</v>
      </c>
      <c r="T57" s="28">
        <f t="shared" ca="1" si="11"/>
        <v>0</v>
      </c>
      <c r="U57" s="28">
        <f t="shared" ca="1" si="11"/>
        <v>0</v>
      </c>
      <c r="V57" s="28">
        <f t="shared" ca="1" si="11"/>
        <v>0</v>
      </c>
      <c r="W57" s="28">
        <f t="shared" ca="1" si="11"/>
        <v>0</v>
      </c>
      <c r="X57" s="28">
        <f t="shared" ca="1" si="11"/>
        <v>0</v>
      </c>
      <c r="Y57" s="28">
        <f t="shared" ca="1" si="13"/>
        <v>0</v>
      </c>
      <c r="Z57" s="28">
        <f t="shared" ca="1" si="13"/>
        <v>0</v>
      </c>
      <c r="AA57" s="28">
        <f t="shared" ca="1" si="13"/>
        <v>0</v>
      </c>
      <c r="AB57" s="28">
        <f t="shared" ca="1" si="13"/>
        <v>0</v>
      </c>
      <c r="AC57" s="28">
        <f t="shared" ca="1" si="13"/>
        <v>0</v>
      </c>
      <c r="AD57" s="28">
        <f t="shared" ca="1" si="13"/>
        <v>0</v>
      </c>
      <c r="AE57" s="28">
        <f t="shared" ca="1" si="13"/>
        <v>0</v>
      </c>
      <c r="AF57" s="28">
        <f t="shared" ca="1" si="13"/>
        <v>0</v>
      </c>
      <c r="AG57" s="28">
        <f t="shared" ca="1" si="13"/>
        <v>0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9"/>
        <v>0</v>
      </c>
      <c r="B58" s="10">
        <f t="shared" si="9"/>
        <v>1</v>
      </c>
      <c r="C58" s="10">
        <f t="shared" si="9"/>
        <v>0</v>
      </c>
      <c r="D58" s="10">
        <f t="shared" si="9"/>
        <v>0</v>
      </c>
      <c r="E58" s="11" t="str">
        <f t="shared" si="9"/>
        <v>Se</v>
      </c>
      <c r="F58" s="28">
        <f t="shared" ca="1" si="10"/>
        <v>-4.7</v>
      </c>
      <c r="G58" s="28">
        <f t="shared" ca="1" si="10"/>
        <v>-5.1369999999999996</v>
      </c>
      <c r="H58" s="28">
        <f t="shared" ca="1" si="10"/>
        <v>-5.6130000000000004</v>
      </c>
      <c r="I58" s="28">
        <f t="shared" ca="1" si="10"/>
        <v>-6.07</v>
      </c>
      <c r="J58" s="28">
        <f t="shared" ca="1" si="10"/>
        <v>-6.4909999999999997</v>
      </c>
      <c r="K58" s="28">
        <f t="shared" ca="1" si="10"/>
        <v>-6.8710000000000004</v>
      </c>
      <c r="L58" s="28">
        <f t="shared" ca="1" si="10"/>
        <v>-7.2160000000000002</v>
      </c>
      <c r="M58" s="28">
        <f t="shared" ca="1" si="10"/>
        <v>-7.5439999999999996</v>
      </c>
      <c r="N58" s="28">
        <f t="shared" ca="1" si="10"/>
        <v>-7.8849999999999998</v>
      </c>
      <c r="O58" s="28">
        <f t="shared" ca="1" si="10"/>
        <v>-8.2889999999999997</v>
      </c>
      <c r="P58" s="28">
        <f t="shared" ca="1" si="11"/>
        <v>0</v>
      </c>
      <c r="Q58" s="28">
        <f t="shared" ca="1" si="11"/>
        <v>0</v>
      </c>
      <c r="R58" s="28">
        <f t="shared" ca="1" si="11"/>
        <v>0</v>
      </c>
      <c r="S58" s="28">
        <f t="shared" ca="1" si="11"/>
        <v>0</v>
      </c>
      <c r="T58" s="28">
        <f t="shared" ca="1" si="11"/>
        <v>0</v>
      </c>
      <c r="U58" s="28">
        <f t="shared" ca="1" si="11"/>
        <v>0</v>
      </c>
      <c r="V58" s="28">
        <f t="shared" ca="1" si="11"/>
        <v>0</v>
      </c>
      <c r="W58" s="28">
        <f t="shared" ca="1" si="11"/>
        <v>0</v>
      </c>
      <c r="X58" s="28">
        <f t="shared" ca="1" si="11"/>
        <v>0</v>
      </c>
      <c r="Y58" s="28">
        <f t="shared" ca="1" si="13"/>
        <v>0</v>
      </c>
      <c r="Z58" s="28">
        <f t="shared" ca="1" si="13"/>
        <v>0</v>
      </c>
      <c r="AA58" s="28">
        <f t="shared" ca="1" si="13"/>
        <v>0</v>
      </c>
      <c r="AB58" s="28">
        <f t="shared" ca="1" si="13"/>
        <v>0</v>
      </c>
      <c r="AC58" s="28">
        <f t="shared" ca="1" si="13"/>
        <v>0</v>
      </c>
      <c r="AD58" s="28">
        <f t="shared" ca="1" si="13"/>
        <v>0</v>
      </c>
      <c r="AE58" s="28">
        <f t="shared" ca="1" si="13"/>
        <v>0</v>
      </c>
      <c r="AF58" s="28">
        <f t="shared" ca="1" si="13"/>
        <v>0</v>
      </c>
      <c r="AG58" s="28">
        <f t="shared" ca="1" si="13"/>
        <v>0</v>
      </c>
      <c r="AH58" s="28">
        <f t="shared" ca="1" si="13"/>
        <v>0</v>
      </c>
      <c r="AI58" s="28">
        <f t="shared" ca="1" si="13"/>
        <v>0</v>
      </c>
      <c r="AJ58" s="28">
        <f t="shared" ca="1" si="13"/>
        <v>0</v>
      </c>
      <c r="AK58" s="28">
        <f t="shared" ca="1" si="13"/>
        <v>0</v>
      </c>
      <c r="AL58" s="28">
        <f t="shared" ca="1" si="13"/>
        <v>0</v>
      </c>
    </row>
    <row r="59" spans="1:38" ht="21" hidden="1" customHeight="1" outlineLevel="1" thickBot="1" x14ac:dyDescent="0.4">
      <c r="A59" s="10">
        <f t="shared" si="9"/>
        <v>0</v>
      </c>
      <c r="B59" s="10">
        <f t="shared" si="9"/>
        <v>1</v>
      </c>
      <c r="C59" s="10">
        <f t="shared" si="9"/>
        <v>0</v>
      </c>
      <c r="D59" s="10">
        <f t="shared" si="9"/>
        <v>2</v>
      </c>
      <c r="E59" s="11" t="str">
        <f t="shared" si="9"/>
        <v>Ga2Se</v>
      </c>
      <c r="F59" s="28">
        <f t="shared" ca="1" si="10"/>
        <v>-18.64</v>
      </c>
      <c r="G59" s="28">
        <f t="shared" ca="1" si="10"/>
        <v>-20.265000000000001</v>
      </c>
      <c r="H59" s="28">
        <f t="shared" ca="1" si="10"/>
        <v>-21.777000000000001</v>
      </c>
      <c r="I59" s="28">
        <f t="shared" ca="1" si="10"/>
        <v>-23.146000000000001</v>
      </c>
      <c r="J59" s="28">
        <f t="shared" ca="1" si="10"/>
        <v>-24.440999999999999</v>
      </c>
      <c r="K59" s="28">
        <f t="shared" ca="1" si="10"/>
        <v>-25.841000000000001</v>
      </c>
      <c r="L59" s="28">
        <f t="shared" ca="1" si="10"/>
        <v>-27.416</v>
      </c>
      <c r="M59" s="28">
        <f t="shared" ca="1" si="10"/>
        <v>-29.024000000000001</v>
      </c>
      <c r="N59" s="28">
        <f t="shared" ca="1" si="10"/>
        <v>-30.545000000000002</v>
      </c>
      <c r="O59" s="28">
        <f t="shared" ca="1" si="10"/>
        <v>-32.009</v>
      </c>
      <c r="P59" s="28">
        <f t="shared" ca="1" si="11"/>
        <v>0</v>
      </c>
      <c r="Q59" s="28">
        <f t="shared" ca="1" si="11"/>
        <v>0</v>
      </c>
      <c r="R59" s="28">
        <f t="shared" ca="1" si="11"/>
        <v>0</v>
      </c>
      <c r="S59" s="28">
        <f t="shared" ca="1" si="11"/>
        <v>0</v>
      </c>
      <c r="T59" s="28">
        <f t="shared" ca="1" si="11"/>
        <v>0</v>
      </c>
      <c r="U59" s="28">
        <f t="shared" ca="1" si="11"/>
        <v>0</v>
      </c>
      <c r="V59" s="28">
        <f t="shared" ca="1" si="11"/>
        <v>0</v>
      </c>
      <c r="W59" s="28">
        <f t="shared" ca="1" si="11"/>
        <v>0</v>
      </c>
      <c r="X59" s="28">
        <f t="shared" ca="1" si="11"/>
        <v>0</v>
      </c>
      <c r="Y59" s="28">
        <f t="shared" ca="1" si="13"/>
        <v>0</v>
      </c>
      <c r="Z59" s="28">
        <f t="shared" ca="1" si="13"/>
        <v>0</v>
      </c>
      <c r="AA59" s="28">
        <f t="shared" ca="1" si="13"/>
        <v>0</v>
      </c>
      <c r="AB59" s="28">
        <f t="shared" ca="1" si="13"/>
        <v>0</v>
      </c>
      <c r="AC59" s="28">
        <f t="shared" ca="1" si="13"/>
        <v>0</v>
      </c>
      <c r="AD59" s="28">
        <f t="shared" ca="1" si="13"/>
        <v>0</v>
      </c>
      <c r="AE59" s="28">
        <f t="shared" ca="1" si="13"/>
        <v>0</v>
      </c>
      <c r="AF59" s="28">
        <f t="shared" ca="1" si="13"/>
        <v>0</v>
      </c>
      <c r="AG59" s="28">
        <f t="shared" ca="1" si="13"/>
        <v>0</v>
      </c>
      <c r="AH59" s="28">
        <f t="shared" ca="1" si="13"/>
        <v>0</v>
      </c>
      <c r="AI59" s="28">
        <f t="shared" ca="1" si="13"/>
        <v>0</v>
      </c>
      <c r="AJ59" s="28">
        <f t="shared" ca="1" si="13"/>
        <v>0</v>
      </c>
      <c r="AK59" s="28">
        <f t="shared" ca="1" si="13"/>
        <v>0</v>
      </c>
      <c r="AL59" s="28">
        <f t="shared" ca="1" si="13"/>
        <v>0</v>
      </c>
    </row>
    <row r="60" spans="1:38" ht="21" hidden="1" customHeight="1" outlineLevel="1" thickBot="1" x14ac:dyDescent="0.4">
      <c r="A60" s="10">
        <f t="shared" si="9"/>
        <v>1</v>
      </c>
      <c r="B60" s="10">
        <f t="shared" si="9"/>
        <v>0</v>
      </c>
      <c r="C60" s="10">
        <f t="shared" si="9"/>
        <v>0</v>
      </c>
      <c r="D60" s="10">
        <f t="shared" si="9"/>
        <v>0</v>
      </c>
      <c r="E60" s="11" t="str">
        <f t="shared" si="9"/>
        <v>Ar</v>
      </c>
      <c r="F60" s="28">
        <f t="shared" ref="F60:O69" ca="1" si="14">$A60*H.Ar + $B60*H.Se + $C60*H.Ge + $D60*H.Ga</f>
        <v>-18.62</v>
      </c>
      <c r="G60" s="28">
        <f t="shared" ca="1" si="14"/>
        <v>-18.649999999999999</v>
      </c>
      <c r="H60" s="28">
        <f t="shared" ca="1" si="14"/>
        <v>-18.77</v>
      </c>
      <c r="I60" s="28">
        <f t="shared" ca="1" si="14"/>
        <v>-18.93</v>
      </c>
      <c r="J60" s="28">
        <f t="shared" ca="1" si="14"/>
        <v>-19.100000000000001</v>
      </c>
      <c r="K60" s="28">
        <f t="shared" ca="1" si="14"/>
        <v>-19.3</v>
      </c>
      <c r="L60" s="28">
        <f t="shared" ca="1" si="14"/>
        <v>-19.510000000000002</v>
      </c>
      <c r="M60" s="28">
        <f t="shared" ca="1" si="14"/>
        <v>-19.73</v>
      </c>
      <c r="N60" s="28">
        <f t="shared" ca="1" si="14"/>
        <v>-19.97</v>
      </c>
      <c r="O60" s="28">
        <f t="shared" ca="1" si="14"/>
        <v>-20.29</v>
      </c>
      <c r="P60" s="28">
        <f t="shared" ref="P60:AE69" ca="1" si="15">$A60*H.Ar + $B60*H.Se + $C60*H.Ge + $D60*H.Ga</f>
        <v>0</v>
      </c>
      <c r="Q60" s="28">
        <f t="shared" ca="1" si="15"/>
        <v>0</v>
      </c>
      <c r="R60" s="28">
        <f t="shared" ca="1" si="15"/>
        <v>0</v>
      </c>
      <c r="S60" s="28">
        <f t="shared" ca="1" si="15"/>
        <v>0</v>
      </c>
      <c r="T60" s="28">
        <f t="shared" ca="1" si="15"/>
        <v>0</v>
      </c>
      <c r="U60" s="28">
        <f t="shared" ca="1" si="15"/>
        <v>0</v>
      </c>
      <c r="V60" s="28">
        <f t="shared" ca="1" si="15"/>
        <v>0</v>
      </c>
      <c r="W60" s="28">
        <f t="shared" ca="1" si="15"/>
        <v>0</v>
      </c>
      <c r="X60" s="28">
        <f t="shared" ca="1" si="15"/>
        <v>0</v>
      </c>
      <c r="Y60" s="28">
        <f t="shared" ca="1" si="15"/>
        <v>0</v>
      </c>
      <c r="Z60" s="28">
        <f t="shared" ca="1" si="15"/>
        <v>0</v>
      </c>
      <c r="AA60" s="28">
        <f t="shared" ca="1" si="15"/>
        <v>0</v>
      </c>
      <c r="AB60" s="28">
        <f t="shared" ca="1" si="15"/>
        <v>0</v>
      </c>
      <c r="AC60" s="28">
        <f t="shared" ca="1" si="15"/>
        <v>0</v>
      </c>
      <c r="AD60" s="28">
        <f t="shared" ca="1" si="15"/>
        <v>0</v>
      </c>
      <c r="AE60" s="28">
        <f t="shared" ca="1" si="15"/>
        <v>0</v>
      </c>
      <c r="AF60" s="28">
        <f t="shared" ca="1" si="13"/>
        <v>0</v>
      </c>
      <c r="AG60" s="28">
        <f t="shared" ca="1" si="13"/>
        <v>0</v>
      </c>
      <c r="AH60" s="28">
        <f t="shared" ca="1" si="13"/>
        <v>0</v>
      </c>
      <c r="AI60" s="28">
        <f t="shared" ca="1" si="13"/>
        <v>0</v>
      </c>
      <c r="AJ60" s="28">
        <f t="shared" ca="1" si="13"/>
        <v>0</v>
      </c>
      <c r="AK60" s="28">
        <f t="shared" ca="1" si="13"/>
        <v>0</v>
      </c>
      <c r="AL60" s="28">
        <f t="shared" ca="1" si="13"/>
        <v>0</v>
      </c>
    </row>
    <row r="61" spans="1:38" ht="21" hidden="1" customHeight="1" outlineLevel="1" thickBot="1" x14ac:dyDescent="0.4">
      <c r="A61" s="10">
        <f t="shared" si="9"/>
        <v>0</v>
      </c>
      <c r="B61" s="10">
        <f t="shared" si="9"/>
        <v>0</v>
      </c>
      <c r="C61" s="10">
        <f t="shared" si="9"/>
        <v>0</v>
      </c>
      <c r="D61" s="10">
        <f t="shared" si="9"/>
        <v>1</v>
      </c>
      <c r="E61" s="11" t="str">
        <f t="shared" si="9"/>
        <v>(l)Ga[l]</v>
      </c>
      <c r="F61" s="28">
        <f t="shared" ca="1" si="14"/>
        <v>-6.97</v>
      </c>
      <c r="G61" s="28">
        <f t="shared" ca="1" si="14"/>
        <v>-7.5640000000000001</v>
      </c>
      <c r="H61" s="28">
        <f t="shared" ca="1" si="14"/>
        <v>-8.0820000000000007</v>
      </c>
      <c r="I61" s="28">
        <f t="shared" ca="1" si="14"/>
        <v>-8.5380000000000003</v>
      </c>
      <c r="J61" s="28">
        <f t="shared" ca="1" si="14"/>
        <v>-8.9749999999999996</v>
      </c>
      <c r="K61" s="28">
        <f t="shared" ca="1" si="14"/>
        <v>-9.4849999999999994</v>
      </c>
      <c r="L61" s="28">
        <f t="shared" ca="1" si="14"/>
        <v>-10.1</v>
      </c>
      <c r="M61" s="28">
        <f t="shared" ca="1" si="14"/>
        <v>-10.74</v>
      </c>
      <c r="N61" s="28">
        <f t="shared" ca="1" si="14"/>
        <v>-11.33</v>
      </c>
      <c r="O61" s="28">
        <f t="shared" ca="1" si="14"/>
        <v>-11.86</v>
      </c>
      <c r="P61" s="28">
        <f t="shared" ca="1" si="15"/>
        <v>0</v>
      </c>
      <c r="Q61" s="28">
        <f t="shared" ca="1" si="15"/>
        <v>0</v>
      </c>
      <c r="R61" s="28">
        <f t="shared" ca="1" si="15"/>
        <v>0</v>
      </c>
      <c r="S61" s="28">
        <f t="shared" ca="1" si="15"/>
        <v>0</v>
      </c>
      <c r="T61" s="28">
        <f t="shared" ca="1" si="15"/>
        <v>0</v>
      </c>
      <c r="U61" s="28">
        <f t="shared" ca="1" si="15"/>
        <v>0</v>
      </c>
      <c r="V61" s="28">
        <f t="shared" ca="1" si="15"/>
        <v>0</v>
      </c>
      <c r="W61" s="28">
        <f t="shared" ca="1" si="15"/>
        <v>0</v>
      </c>
      <c r="X61" s="28">
        <f t="shared" ca="1" si="15"/>
        <v>0</v>
      </c>
      <c r="Y61" s="28">
        <f t="shared" ca="1" si="13"/>
        <v>0</v>
      </c>
      <c r="Z61" s="28">
        <f t="shared" ca="1" si="13"/>
        <v>0</v>
      </c>
      <c r="AA61" s="28">
        <f t="shared" ca="1" si="13"/>
        <v>0</v>
      </c>
      <c r="AB61" s="28">
        <f t="shared" ca="1" si="13"/>
        <v>0</v>
      </c>
      <c r="AC61" s="28">
        <f t="shared" ca="1" si="13"/>
        <v>0</v>
      </c>
      <c r="AD61" s="28">
        <f t="shared" ca="1" si="13"/>
        <v>0</v>
      </c>
      <c r="AE61" s="28">
        <f t="shared" ca="1" si="13"/>
        <v>0</v>
      </c>
      <c r="AF61" s="28">
        <f t="shared" ca="1" si="13"/>
        <v>0</v>
      </c>
      <c r="AG61" s="28">
        <f t="shared" ca="1" si="13"/>
        <v>0</v>
      </c>
      <c r="AH61" s="28">
        <f t="shared" ca="1" si="13"/>
        <v>0</v>
      </c>
      <c r="AI61" s="28">
        <f t="shared" ca="1" si="13"/>
        <v>0</v>
      </c>
      <c r="AJ61" s="28">
        <f t="shared" ca="1" si="13"/>
        <v>0</v>
      </c>
      <c r="AK61" s="28">
        <f t="shared" ca="1" si="13"/>
        <v>0</v>
      </c>
      <c r="AL61" s="28">
        <f t="shared" ca="1" si="13"/>
        <v>0</v>
      </c>
    </row>
    <row r="62" spans="1:38" ht="21" hidden="1" customHeight="1" outlineLevel="1" thickBot="1" x14ac:dyDescent="0.4">
      <c r="A62" s="10">
        <f t="shared" si="9"/>
        <v>0</v>
      </c>
      <c r="B62" s="10">
        <f t="shared" si="9"/>
        <v>0</v>
      </c>
      <c r="C62" s="10">
        <f t="shared" si="9"/>
        <v>1</v>
      </c>
      <c r="D62" s="10">
        <f t="shared" si="9"/>
        <v>0</v>
      </c>
      <c r="E62" s="11" t="str">
        <f t="shared" si="9"/>
        <v>(l)Ge[l]</v>
      </c>
      <c r="F62" s="28">
        <f t="shared" ca="1" si="14"/>
        <v>7.3579999999999997</v>
      </c>
      <c r="G62" s="28">
        <f t="shared" ca="1" si="14"/>
        <v>3.758</v>
      </c>
      <c r="H62" s="28">
        <f t="shared" ca="1" si="14"/>
        <v>1.355</v>
      </c>
      <c r="I62" s="28">
        <f t="shared" ca="1" si="14"/>
        <v>-0.39240000000000003</v>
      </c>
      <c r="J62" s="28">
        <f t="shared" ca="1" si="14"/>
        <v>-1.7310000000000001</v>
      </c>
      <c r="K62" s="28">
        <f t="shared" ca="1" si="14"/>
        <v>-2.7839999999999998</v>
      </c>
      <c r="L62" s="28">
        <f t="shared" ca="1" si="14"/>
        <v>-3.6349999999999998</v>
      </c>
      <c r="M62" s="28">
        <f t="shared" ca="1" si="14"/>
        <v>-4.3380000000000001</v>
      </c>
      <c r="N62" s="28">
        <f t="shared" ca="1" si="14"/>
        <v>-4.8959999999999999</v>
      </c>
      <c r="O62" s="28">
        <f t="shared" ca="1" si="14"/>
        <v>-5.2809999999999997</v>
      </c>
      <c r="P62" s="28">
        <f t="shared" ca="1" si="15"/>
        <v>0</v>
      </c>
      <c r="Q62" s="28">
        <f t="shared" ca="1" si="15"/>
        <v>0</v>
      </c>
      <c r="R62" s="28">
        <f t="shared" ca="1" si="15"/>
        <v>0</v>
      </c>
      <c r="S62" s="28">
        <f t="shared" ca="1" si="15"/>
        <v>0</v>
      </c>
      <c r="T62" s="28">
        <f t="shared" ca="1" si="15"/>
        <v>0</v>
      </c>
      <c r="U62" s="28">
        <f t="shared" ca="1" si="15"/>
        <v>0</v>
      </c>
      <c r="V62" s="28">
        <f t="shared" ca="1" si="15"/>
        <v>0</v>
      </c>
      <c r="W62" s="28">
        <f t="shared" ca="1" si="15"/>
        <v>0</v>
      </c>
      <c r="X62" s="28">
        <f t="shared" ca="1" si="15"/>
        <v>0</v>
      </c>
      <c r="Y62" s="28">
        <f t="shared" ca="1" si="13"/>
        <v>0</v>
      </c>
      <c r="Z62" s="28">
        <f t="shared" ca="1" si="13"/>
        <v>0</v>
      </c>
      <c r="AA62" s="28">
        <f t="shared" ca="1" si="13"/>
        <v>0</v>
      </c>
      <c r="AB62" s="28">
        <f t="shared" ca="1" si="13"/>
        <v>0</v>
      </c>
      <c r="AC62" s="28">
        <f t="shared" ca="1" si="13"/>
        <v>0</v>
      </c>
      <c r="AD62" s="28">
        <f t="shared" ca="1" si="13"/>
        <v>0</v>
      </c>
      <c r="AE62" s="28">
        <f t="shared" ca="1" si="13"/>
        <v>0</v>
      </c>
      <c r="AF62" s="28">
        <f t="shared" ca="1" si="13"/>
        <v>0</v>
      </c>
      <c r="AG62" s="28">
        <f t="shared" ca="1" si="13"/>
        <v>0</v>
      </c>
      <c r="AH62" s="28">
        <f t="shared" ca="1" si="13"/>
        <v>0</v>
      </c>
      <c r="AI62" s="28">
        <f t="shared" ca="1" si="13"/>
        <v>0</v>
      </c>
      <c r="AJ62" s="28">
        <f t="shared" ca="1" si="13"/>
        <v>0</v>
      </c>
      <c r="AK62" s="28">
        <f t="shared" ca="1" si="13"/>
        <v>0</v>
      </c>
      <c r="AL62" s="28">
        <f t="shared" ca="1" si="13"/>
        <v>0</v>
      </c>
    </row>
    <row r="63" spans="1:38" ht="21" hidden="1" customHeight="1" outlineLevel="1" thickBot="1" x14ac:dyDescent="0.4">
      <c r="A63" s="10">
        <f t="shared" si="9"/>
        <v>0</v>
      </c>
      <c r="B63" s="10">
        <f t="shared" si="9"/>
        <v>1</v>
      </c>
      <c r="C63" s="10">
        <f t="shared" si="9"/>
        <v>0</v>
      </c>
      <c r="D63" s="10">
        <f t="shared" si="9"/>
        <v>0</v>
      </c>
      <c r="E63" s="11" t="str">
        <f t="shared" si="9"/>
        <v>(l)Se[l]</v>
      </c>
      <c r="F63" s="28">
        <f t="shared" ca="1" si="14"/>
        <v>-4.7</v>
      </c>
      <c r="G63" s="28">
        <f t="shared" ca="1" si="14"/>
        <v>-5.1369999999999996</v>
      </c>
      <c r="H63" s="28">
        <f t="shared" ca="1" si="14"/>
        <v>-5.6130000000000004</v>
      </c>
      <c r="I63" s="28">
        <f t="shared" ca="1" si="14"/>
        <v>-6.07</v>
      </c>
      <c r="J63" s="28">
        <f t="shared" ca="1" si="14"/>
        <v>-6.4909999999999997</v>
      </c>
      <c r="K63" s="28">
        <f t="shared" ca="1" si="14"/>
        <v>-6.8710000000000004</v>
      </c>
      <c r="L63" s="28">
        <f t="shared" ca="1" si="14"/>
        <v>-7.2160000000000002</v>
      </c>
      <c r="M63" s="28">
        <f t="shared" ca="1" si="14"/>
        <v>-7.5439999999999996</v>
      </c>
      <c r="N63" s="28">
        <f t="shared" ca="1" si="14"/>
        <v>-7.8849999999999998</v>
      </c>
      <c r="O63" s="28">
        <f t="shared" ca="1" si="14"/>
        <v>-8.2889999999999997</v>
      </c>
      <c r="P63" s="28">
        <f t="shared" ca="1" si="15"/>
        <v>0</v>
      </c>
      <c r="Q63" s="28">
        <f t="shared" ca="1" si="15"/>
        <v>0</v>
      </c>
      <c r="R63" s="28">
        <f t="shared" ca="1" si="15"/>
        <v>0</v>
      </c>
      <c r="S63" s="28">
        <f t="shared" ca="1" si="15"/>
        <v>0</v>
      </c>
      <c r="T63" s="28">
        <f t="shared" ca="1" si="15"/>
        <v>0</v>
      </c>
      <c r="U63" s="28">
        <f t="shared" ca="1" si="15"/>
        <v>0</v>
      </c>
      <c r="V63" s="28">
        <f t="shared" ca="1" si="15"/>
        <v>0</v>
      </c>
      <c r="W63" s="28">
        <f t="shared" ca="1" si="15"/>
        <v>0</v>
      </c>
      <c r="X63" s="28">
        <f t="shared" ca="1" si="15"/>
        <v>0</v>
      </c>
      <c r="Y63" s="28">
        <f t="shared" ca="1" si="13"/>
        <v>0</v>
      </c>
      <c r="Z63" s="28">
        <f t="shared" ca="1" si="13"/>
        <v>0</v>
      </c>
      <c r="AA63" s="28">
        <f t="shared" ca="1" si="13"/>
        <v>0</v>
      </c>
      <c r="AB63" s="28">
        <f t="shared" ca="1" si="13"/>
        <v>0</v>
      </c>
      <c r="AC63" s="28">
        <f t="shared" ca="1" si="13"/>
        <v>0</v>
      </c>
      <c r="AD63" s="28">
        <f t="shared" ca="1" si="13"/>
        <v>0</v>
      </c>
      <c r="AE63" s="28">
        <f t="shared" ca="1" si="13"/>
        <v>0</v>
      </c>
      <c r="AF63" s="28">
        <f t="shared" ca="1" si="13"/>
        <v>0</v>
      </c>
      <c r="AG63" s="28">
        <f t="shared" ca="1" si="13"/>
        <v>0</v>
      </c>
      <c r="AH63" s="28">
        <f t="shared" ca="1" si="13"/>
        <v>0</v>
      </c>
      <c r="AI63" s="28">
        <f t="shared" ca="1" si="13"/>
        <v>0</v>
      </c>
      <c r="AJ63" s="28">
        <f t="shared" ca="1" si="13"/>
        <v>0</v>
      </c>
      <c r="AK63" s="28">
        <f t="shared" ca="1" si="13"/>
        <v>0</v>
      </c>
      <c r="AL63" s="28">
        <f t="shared" ca="1" si="13"/>
        <v>0</v>
      </c>
    </row>
    <row r="64" spans="1:38" ht="21" hidden="1" customHeight="1" outlineLevel="1" thickBot="1" x14ac:dyDescent="0.4">
      <c r="A64" s="10">
        <f t="shared" si="9"/>
        <v>1</v>
      </c>
      <c r="B64" s="10">
        <f t="shared" si="9"/>
        <v>0</v>
      </c>
      <c r="C64" s="10">
        <f t="shared" si="9"/>
        <v>0</v>
      </c>
      <c r="D64" s="10">
        <f t="shared" si="9"/>
        <v>0</v>
      </c>
      <c r="E64" s="11" t="str">
        <f t="shared" si="9"/>
        <v>H (Ar)</v>
      </c>
      <c r="F64" s="28">
        <f t="shared" ca="1" si="14"/>
        <v>-18.62</v>
      </c>
      <c r="G64" s="28">
        <f t="shared" ca="1" si="14"/>
        <v>-18.649999999999999</v>
      </c>
      <c r="H64" s="28">
        <f t="shared" ca="1" si="14"/>
        <v>-18.77</v>
      </c>
      <c r="I64" s="28">
        <f t="shared" ca="1" si="14"/>
        <v>-18.93</v>
      </c>
      <c r="J64" s="28">
        <f t="shared" ca="1" si="14"/>
        <v>-19.100000000000001</v>
      </c>
      <c r="K64" s="28">
        <f t="shared" ca="1" si="14"/>
        <v>-19.3</v>
      </c>
      <c r="L64" s="28">
        <f t="shared" ca="1" si="14"/>
        <v>-19.510000000000002</v>
      </c>
      <c r="M64" s="28">
        <f t="shared" ca="1" si="14"/>
        <v>-19.73</v>
      </c>
      <c r="N64" s="28">
        <f t="shared" ca="1" si="14"/>
        <v>-19.97</v>
      </c>
      <c r="O64" s="28">
        <f t="shared" ca="1" si="14"/>
        <v>-20.29</v>
      </c>
      <c r="P64" s="28">
        <f t="shared" ca="1" si="15"/>
        <v>0</v>
      </c>
      <c r="Q64" s="28">
        <f t="shared" ca="1" si="15"/>
        <v>0</v>
      </c>
      <c r="R64" s="28">
        <f t="shared" ca="1" si="15"/>
        <v>0</v>
      </c>
      <c r="S64" s="28">
        <f t="shared" ca="1" si="15"/>
        <v>0</v>
      </c>
      <c r="T64" s="28">
        <f t="shared" ca="1" si="15"/>
        <v>0</v>
      </c>
      <c r="U64" s="28">
        <f t="shared" ca="1" si="15"/>
        <v>0</v>
      </c>
      <c r="V64" s="28">
        <f t="shared" ca="1" si="15"/>
        <v>0</v>
      </c>
      <c r="W64" s="28">
        <f t="shared" ca="1" si="15"/>
        <v>0</v>
      </c>
      <c r="X64" s="28">
        <f t="shared" ca="1" si="15"/>
        <v>0</v>
      </c>
      <c r="Y64" s="28">
        <f t="shared" ca="1" si="13"/>
        <v>0</v>
      </c>
      <c r="Z64" s="28">
        <f t="shared" ca="1" si="13"/>
        <v>0</v>
      </c>
      <c r="AA64" s="28">
        <f t="shared" ca="1" si="13"/>
        <v>0</v>
      </c>
      <c r="AB64" s="28">
        <f t="shared" ca="1" si="13"/>
        <v>0</v>
      </c>
      <c r="AC64" s="28">
        <f t="shared" ca="1" si="13"/>
        <v>0</v>
      </c>
      <c r="AD64" s="28">
        <f t="shared" ca="1" si="13"/>
        <v>0</v>
      </c>
      <c r="AE64" s="28">
        <f t="shared" ca="1" si="13"/>
        <v>0</v>
      </c>
      <c r="AF64" s="28">
        <f t="shared" ca="1" si="13"/>
        <v>0</v>
      </c>
      <c r="AG64" s="28">
        <f t="shared" ca="1" si="13"/>
        <v>0</v>
      </c>
      <c r="AH64" s="28">
        <f t="shared" ca="1" si="13"/>
        <v>0</v>
      </c>
      <c r="AI64" s="28">
        <f t="shared" ca="1" si="13"/>
        <v>0</v>
      </c>
      <c r="AJ64" s="28">
        <f t="shared" ca="1" si="13"/>
        <v>0</v>
      </c>
      <c r="AK64" s="28">
        <f t="shared" ca="1" si="13"/>
        <v>0</v>
      </c>
      <c r="AL64" s="28">
        <f t="shared" ca="1" si="13"/>
        <v>0</v>
      </c>
    </row>
    <row r="65" spans="1:38" ht="21" hidden="1" customHeight="1" outlineLevel="1" thickBot="1" x14ac:dyDescent="0.4">
      <c r="A65" s="10">
        <f t="shared" si="9"/>
        <v>0</v>
      </c>
      <c r="B65" s="10">
        <f t="shared" si="9"/>
        <v>0</v>
      </c>
      <c r="C65" s="10">
        <f t="shared" si="9"/>
        <v>0</v>
      </c>
      <c r="D65" s="10">
        <f t="shared" si="9"/>
        <v>1</v>
      </c>
      <c r="E65" s="11" t="str">
        <f t="shared" si="9"/>
        <v>H (Ga)</v>
      </c>
      <c r="F65" s="28">
        <f t="shared" ca="1" si="14"/>
        <v>-6.97</v>
      </c>
      <c r="G65" s="28">
        <f t="shared" ca="1" si="14"/>
        <v>-7.5640000000000001</v>
      </c>
      <c r="H65" s="28">
        <f t="shared" ca="1" si="14"/>
        <v>-8.0820000000000007</v>
      </c>
      <c r="I65" s="28">
        <f t="shared" ca="1" si="14"/>
        <v>-8.5380000000000003</v>
      </c>
      <c r="J65" s="28">
        <f t="shared" ca="1" si="14"/>
        <v>-8.9749999999999996</v>
      </c>
      <c r="K65" s="28">
        <f t="shared" ca="1" si="14"/>
        <v>-9.4849999999999994</v>
      </c>
      <c r="L65" s="28">
        <f t="shared" ca="1" si="14"/>
        <v>-10.1</v>
      </c>
      <c r="M65" s="28">
        <f t="shared" ca="1" si="14"/>
        <v>-10.74</v>
      </c>
      <c r="N65" s="28">
        <f t="shared" ca="1" si="14"/>
        <v>-11.33</v>
      </c>
      <c r="O65" s="28">
        <f t="shared" ca="1" si="14"/>
        <v>-11.86</v>
      </c>
      <c r="P65" s="28">
        <f t="shared" ca="1" si="15"/>
        <v>0</v>
      </c>
      <c r="Q65" s="28">
        <f t="shared" ca="1" si="15"/>
        <v>0</v>
      </c>
      <c r="R65" s="28">
        <f t="shared" ca="1" si="15"/>
        <v>0</v>
      </c>
      <c r="S65" s="28">
        <f t="shared" ca="1" si="15"/>
        <v>0</v>
      </c>
      <c r="T65" s="28">
        <f t="shared" ca="1" si="15"/>
        <v>0</v>
      </c>
      <c r="U65" s="28">
        <f t="shared" ca="1" si="15"/>
        <v>0</v>
      </c>
      <c r="V65" s="28">
        <f t="shared" ca="1" si="15"/>
        <v>0</v>
      </c>
      <c r="W65" s="28">
        <f t="shared" ca="1" si="15"/>
        <v>0</v>
      </c>
      <c r="X65" s="28">
        <f t="shared" ca="1" si="15"/>
        <v>0</v>
      </c>
      <c r="Y65" s="28">
        <f t="shared" ca="1" si="13"/>
        <v>0</v>
      </c>
      <c r="Z65" s="28">
        <f t="shared" ca="1" si="13"/>
        <v>0</v>
      </c>
      <c r="AA65" s="28">
        <f t="shared" ca="1" si="13"/>
        <v>0</v>
      </c>
      <c r="AB65" s="28">
        <f t="shared" ca="1" si="13"/>
        <v>0</v>
      </c>
      <c r="AC65" s="28">
        <f t="shared" ca="1" si="13"/>
        <v>0</v>
      </c>
      <c r="AD65" s="28">
        <f t="shared" ca="1" si="13"/>
        <v>0</v>
      </c>
      <c r="AE65" s="28">
        <f t="shared" ca="1" si="13"/>
        <v>0</v>
      </c>
      <c r="AF65" s="28">
        <f t="shared" ca="1" si="13"/>
        <v>0</v>
      </c>
      <c r="AG65" s="28">
        <f t="shared" ca="1" si="13"/>
        <v>0</v>
      </c>
      <c r="AH65" s="28">
        <f t="shared" ca="1" si="13"/>
        <v>0</v>
      </c>
      <c r="AI65" s="28">
        <f t="shared" ca="1" si="13"/>
        <v>0</v>
      </c>
      <c r="AJ65" s="28">
        <f t="shared" ca="1" si="13"/>
        <v>0</v>
      </c>
      <c r="AK65" s="28">
        <f t="shared" ca="1" si="13"/>
        <v>0</v>
      </c>
      <c r="AL65" s="28">
        <f t="shared" ca="1" si="13"/>
        <v>0</v>
      </c>
    </row>
    <row r="66" spans="1:38" ht="21" hidden="1" customHeight="1" outlineLevel="1" thickBot="1" x14ac:dyDescent="0.4">
      <c r="A66" s="10">
        <f t="shared" ref="A66:E79" si="16">A20</f>
        <v>0</v>
      </c>
      <c r="B66" s="10">
        <f t="shared" si="16"/>
        <v>0</v>
      </c>
      <c r="C66" s="10">
        <f t="shared" si="16"/>
        <v>1</v>
      </c>
      <c r="D66" s="10">
        <f t="shared" si="16"/>
        <v>0</v>
      </c>
      <c r="E66" s="11" t="str">
        <f t="shared" si="16"/>
        <v>H (Ge)</v>
      </c>
      <c r="F66" s="28">
        <f t="shared" ca="1" si="14"/>
        <v>7.3579999999999997</v>
      </c>
      <c r="G66" s="28">
        <f t="shared" ca="1" si="14"/>
        <v>3.758</v>
      </c>
      <c r="H66" s="28">
        <f t="shared" ca="1" si="14"/>
        <v>1.355</v>
      </c>
      <c r="I66" s="28">
        <f t="shared" ca="1" si="14"/>
        <v>-0.39240000000000003</v>
      </c>
      <c r="J66" s="28">
        <f t="shared" ca="1" si="14"/>
        <v>-1.7310000000000001</v>
      </c>
      <c r="K66" s="28">
        <f t="shared" ca="1" si="14"/>
        <v>-2.7839999999999998</v>
      </c>
      <c r="L66" s="28">
        <f t="shared" ca="1" si="14"/>
        <v>-3.6349999999999998</v>
      </c>
      <c r="M66" s="28">
        <f t="shared" ca="1" si="14"/>
        <v>-4.3380000000000001</v>
      </c>
      <c r="N66" s="28">
        <f t="shared" ca="1" si="14"/>
        <v>-4.8959999999999999</v>
      </c>
      <c r="O66" s="28">
        <f t="shared" ca="1" si="14"/>
        <v>-5.2809999999999997</v>
      </c>
      <c r="P66" s="28">
        <f t="shared" ca="1" si="15"/>
        <v>0</v>
      </c>
      <c r="Q66" s="28">
        <f t="shared" ca="1" si="15"/>
        <v>0</v>
      </c>
      <c r="R66" s="28">
        <f t="shared" ca="1" si="15"/>
        <v>0</v>
      </c>
      <c r="S66" s="28">
        <f t="shared" ca="1" si="15"/>
        <v>0</v>
      </c>
      <c r="T66" s="28">
        <f t="shared" ca="1" si="15"/>
        <v>0</v>
      </c>
      <c r="U66" s="28">
        <f t="shared" ca="1" si="15"/>
        <v>0</v>
      </c>
      <c r="V66" s="28">
        <f t="shared" ca="1" si="15"/>
        <v>0</v>
      </c>
      <c r="W66" s="28">
        <f t="shared" ca="1" si="15"/>
        <v>0</v>
      </c>
      <c r="X66" s="28">
        <f t="shared" ca="1" si="15"/>
        <v>0</v>
      </c>
      <c r="Y66" s="28">
        <f t="shared" ref="Y66:AL78" ca="1" si="17">$A66*H.Ar + $B66*H.Se + $C66*H.Ge + $D66*H.Ga</f>
        <v>0</v>
      </c>
      <c r="Z66" s="28">
        <f t="shared" ca="1" si="17"/>
        <v>0</v>
      </c>
      <c r="AA66" s="28">
        <f t="shared" ca="1" si="17"/>
        <v>0</v>
      </c>
      <c r="AB66" s="28">
        <f t="shared" ca="1" si="17"/>
        <v>0</v>
      </c>
      <c r="AC66" s="28">
        <f t="shared" ca="1" si="17"/>
        <v>0</v>
      </c>
      <c r="AD66" s="28">
        <f t="shared" ca="1" si="17"/>
        <v>0</v>
      </c>
      <c r="AE66" s="28">
        <f t="shared" ca="1" si="17"/>
        <v>0</v>
      </c>
      <c r="AF66" s="28">
        <f t="shared" ca="1" si="17"/>
        <v>0</v>
      </c>
      <c r="AG66" s="28">
        <f t="shared" ca="1" si="17"/>
        <v>0</v>
      </c>
      <c r="AH66" s="28">
        <f t="shared" ca="1" si="17"/>
        <v>0</v>
      </c>
      <c r="AI66" s="28">
        <f t="shared" ca="1" si="17"/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6"/>
        <v>0</v>
      </c>
      <c r="B67" s="10">
        <f t="shared" si="16"/>
        <v>1</v>
      </c>
      <c r="C67" s="10">
        <f t="shared" si="16"/>
        <v>0</v>
      </c>
      <c r="D67" s="10">
        <f t="shared" si="16"/>
        <v>0</v>
      </c>
      <c r="E67" s="11" t="str">
        <f t="shared" si="16"/>
        <v>H (Se)</v>
      </c>
      <c r="F67" s="28">
        <f t="shared" ca="1" si="14"/>
        <v>-4.7</v>
      </c>
      <c r="G67" s="28">
        <f t="shared" ca="1" si="14"/>
        <v>-5.1369999999999996</v>
      </c>
      <c r="H67" s="28">
        <f t="shared" ca="1" si="14"/>
        <v>-5.6130000000000004</v>
      </c>
      <c r="I67" s="28">
        <f t="shared" ca="1" si="14"/>
        <v>-6.07</v>
      </c>
      <c r="J67" s="28">
        <f t="shared" ca="1" si="14"/>
        <v>-6.4909999999999997</v>
      </c>
      <c r="K67" s="28">
        <f t="shared" ca="1" si="14"/>
        <v>-6.8710000000000004</v>
      </c>
      <c r="L67" s="28">
        <f t="shared" ca="1" si="14"/>
        <v>-7.2160000000000002</v>
      </c>
      <c r="M67" s="28">
        <f t="shared" ca="1" si="14"/>
        <v>-7.5439999999999996</v>
      </c>
      <c r="N67" s="28">
        <f t="shared" ca="1" si="14"/>
        <v>-7.8849999999999998</v>
      </c>
      <c r="O67" s="28">
        <f t="shared" ca="1" si="14"/>
        <v>-8.2889999999999997</v>
      </c>
      <c r="P67" s="28">
        <f t="shared" ca="1" si="15"/>
        <v>0</v>
      </c>
      <c r="Q67" s="28">
        <f t="shared" ca="1" si="15"/>
        <v>0</v>
      </c>
      <c r="R67" s="28">
        <f t="shared" ca="1" si="15"/>
        <v>0</v>
      </c>
      <c r="S67" s="28">
        <f t="shared" ca="1" si="15"/>
        <v>0</v>
      </c>
      <c r="T67" s="28">
        <f t="shared" ca="1" si="15"/>
        <v>0</v>
      </c>
      <c r="U67" s="28">
        <f t="shared" ca="1" si="15"/>
        <v>0</v>
      </c>
      <c r="V67" s="28">
        <f t="shared" ca="1" si="15"/>
        <v>0</v>
      </c>
      <c r="W67" s="28">
        <f t="shared" ca="1" si="15"/>
        <v>0</v>
      </c>
      <c r="X67" s="28">
        <f t="shared" ca="1" si="15"/>
        <v>0</v>
      </c>
      <c r="Y67" s="28">
        <f t="shared" ca="1" si="17"/>
        <v>0</v>
      </c>
      <c r="Z67" s="28">
        <f t="shared" ca="1" si="17"/>
        <v>0</v>
      </c>
      <c r="AA67" s="28">
        <f t="shared" ca="1" si="17"/>
        <v>0</v>
      </c>
      <c r="AB67" s="28">
        <f t="shared" ca="1" si="17"/>
        <v>0</v>
      </c>
      <c r="AC67" s="28">
        <f t="shared" ca="1" si="17"/>
        <v>0</v>
      </c>
      <c r="AD67" s="28">
        <f t="shared" ca="1" si="17"/>
        <v>0</v>
      </c>
      <c r="AE67" s="28">
        <f t="shared" ca="1" si="17"/>
        <v>0</v>
      </c>
      <c r="AF67" s="28">
        <f t="shared" ca="1" si="17"/>
        <v>0</v>
      </c>
      <c r="AG67" s="28">
        <f t="shared" ca="1" si="17"/>
        <v>0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6"/>
        <v>0</v>
      </c>
      <c r="B68" s="10">
        <f t="shared" si="16"/>
        <v>0</v>
      </c>
      <c r="C68" s="10">
        <f t="shared" si="16"/>
        <v>0</v>
      </c>
      <c r="D68" s="10">
        <f t="shared" si="16"/>
        <v>0</v>
      </c>
      <c r="E68" s="11">
        <f t="shared" si="16"/>
        <v>0</v>
      </c>
      <c r="F68" s="28">
        <f t="shared" ca="1" si="14"/>
        <v>0</v>
      </c>
      <c r="G68" s="28">
        <f t="shared" ca="1" si="14"/>
        <v>0</v>
      </c>
      <c r="H68" s="28">
        <f t="shared" ca="1" si="14"/>
        <v>0</v>
      </c>
      <c r="I68" s="28">
        <f t="shared" ca="1" si="14"/>
        <v>0</v>
      </c>
      <c r="J68" s="28">
        <f t="shared" ca="1" si="14"/>
        <v>0</v>
      </c>
      <c r="K68" s="28">
        <f t="shared" ca="1" si="14"/>
        <v>0</v>
      </c>
      <c r="L68" s="28">
        <f t="shared" ca="1" si="14"/>
        <v>0</v>
      </c>
      <c r="M68" s="28">
        <f t="shared" ca="1" si="14"/>
        <v>0</v>
      </c>
      <c r="N68" s="28">
        <f t="shared" ca="1" si="14"/>
        <v>0</v>
      </c>
      <c r="O68" s="28">
        <f t="shared" ca="1" si="14"/>
        <v>0</v>
      </c>
      <c r="P68" s="28">
        <f t="shared" ca="1" si="15"/>
        <v>0</v>
      </c>
      <c r="Q68" s="28">
        <f t="shared" ca="1" si="15"/>
        <v>0</v>
      </c>
      <c r="R68" s="28">
        <f t="shared" ca="1" si="15"/>
        <v>0</v>
      </c>
      <c r="S68" s="28">
        <f t="shared" ca="1" si="15"/>
        <v>0</v>
      </c>
      <c r="T68" s="28">
        <f t="shared" ca="1" si="15"/>
        <v>0</v>
      </c>
      <c r="U68" s="28">
        <f t="shared" ca="1" si="15"/>
        <v>0</v>
      </c>
      <c r="V68" s="28">
        <f t="shared" ca="1" si="15"/>
        <v>0</v>
      </c>
      <c r="W68" s="28">
        <f t="shared" ca="1" si="15"/>
        <v>0</v>
      </c>
      <c r="X68" s="28">
        <f t="shared" ca="1" si="15"/>
        <v>0</v>
      </c>
      <c r="Y68" s="28">
        <f t="shared" ca="1" si="17"/>
        <v>0</v>
      </c>
      <c r="Z68" s="28">
        <f t="shared" ca="1" si="17"/>
        <v>0</v>
      </c>
      <c r="AA68" s="28">
        <f t="shared" ca="1" si="17"/>
        <v>0</v>
      </c>
      <c r="AB68" s="28">
        <f t="shared" ca="1" si="17"/>
        <v>0</v>
      </c>
      <c r="AC68" s="28">
        <f t="shared" ca="1" si="17"/>
        <v>0</v>
      </c>
      <c r="AD68" s="28">
        <f t="shared" ca="1" si="17"/>
        <v>0</v>
      </c>
      <c r="AE68" s="28">
        <f t="shared" ca="1" si="17"/>
        <v>0</v>
      </c>
      <c r="AF68" s="28">
        <f t="shared" ca="1" si="17"/>
        <v>0</v>
      </c>
      <c r="AG68" s="28">
        <f t="shared" ca="1" si="17"/>
        <v>0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6"/>
        <v>0</v>
      </c>
      <c r="B69" s="10">
        <f t="shared" si="16"/>
        <v>0</v>
      </c>
      <c r="C69" s="10">
        <f t="shared" si="16"/>
        <v>0</v>
      </c>
      <c r="D69" s="10">
        <f t="shared" si="16"/>
        <v>0</v>
      </c>
      <c r="E69" s="11">
        <f t="shared" si="16"/>
        <v>0</v>
      </c>
      <c r="F69" s="28">
        <f t="shared" ca="1" si="14"/>
        <v>0</v>
      </c>
      <c r="G69" s="28">
        <f t="shared" ca="1" si="14"/>
        <v>0</v>
      </c>
      <c r="H69" s="28">
        <f t="shared" ca="1" si="14"/>
        <v>0</v>
      </c>
      <c r="I69" s="28">
        <f t="shared" ca="1" si="14"/>
        <v>0</v>
      </c>
      <c r="J69" s="28">
        <f t="shared" ca="1" si="14"/>
        <v>0</v>
      </c>
      <c r="K69" s="28">
        <f t="shared" ca="1" si="14"/>
        <v>0</v>
      </c>
      <c r="L69" s="28">
        <f t="shared" ca="1" si="14"/>
        <v>0</v>
      </c>
      <c r="M69" s="28">
        <f t="shared" ca="1" si="14"/>
        <v>0</v>
      </c>
      <c r="N69" s="28">
        <f t="shared" ca="1" si="14"/>
        <v>0</v>
      </c>
      <c r="O69" s="28">
        <f t="shared" ca="1" si="14"/>
        <v>0</v>
      </c>
      <c r="P69" s="28">
        <f t="shared" ca="1" si="15"/>
        <v>0</v>
      </c>
      <c r="Q69" s="28">
        <f t="shared" ca="1" si="15"/>
        <v>0</v>
      </c>
      <c r="R69" s="28">
        <f t="shared" ca="1" si="15"/>
        <v>0</v>
      </c>
      <c r="S69" s="28">
        <f t="shared" ca="1" si="15"/>
        <v>0</v>
      </c>
      <c r="T69" s="28">
        <f t="shared" ca="1" si="15"/>
        <v>0</v>
      </c>
      <c r="U69" s="28">
        <f t="shared" ca="1" si="15"/>
        <v>0</v>
      </c>
      <c r="V69" s="28">
        <f t="shared" ca="1" si="15"/>
        <v>0</v>
      </c>
      <c r="W69" s="28">
        <f t="shared" ca="1" si="15"/>
        <v>0</v>
      </c>
      <c r="X69" s="28">
        <f t="shared" ca="1" si="15"/>
        <v>0</v>
      </c>
      <c r="Y69" s="28">
        <f t="shared" ca="1" si="17"/>
        <v>0</v>
      </c>
      <c r="Z69" s="28">
        <f t="shared" ca="1" si="17"/>
        <v>0</v>
      </c>
      <c r="AA69" s="28">
        <f t="shared" ca="1" si="17"/>
        <v>0</v>
      </c>
      <c r="AB69" s="28">
        <f t="shared" ca="1" si="17"/>
        <v>0</v>
      </c>
      <c r="AC69" s="28">
        <f t="shared" ca="1" si="17"/>
        <v>0</v>
      </c>
      <c r="AD69" s="28">
        <f t="shared" ca="1" si="17"/>
        <v>0</v>
      </c>
      <c r="AE69" s="28">
        <f t="shared" ca="1" si="17"/>
        <v>0</v>
      </c>
      <c r="AF69" s="28">
        <f t="shared" ca="1" si="17"/>
        <v>0</v>
      </c>
      <c r="AG69" s="28">
        <f t="shared" ca="1" si="17"/>
        <v>0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si="16"/>
        <v>0</v>
      </c>
      <c r="B70" s="10">
        <f t="shared" si="16"/>
        <v>0</v>
      </c>
      <c r="C70" s="10">
        <f t="shared" si="16"/>
        <v>0</v>
      </c>
      <c r="D70" s="10">
        <f t="shared" si="16"/>
        <v>0</v>
      </c>
      <c r="E70" s="11">
        <f t="shared" si="16"/>
        <v>0</v>
      </c>
      <c r="F70" s="28">
        <f t="shared" ref="F70:O78" ca="1" si="18">$A70*H.Ar + $B70*H.Se + $C70*H.Ge + $D70*H.Ga</f>
        <v>0</v>
      </c>
      <c r="G70" s="28">
        <f t="shared" ca="1" si="18"/>
        <v>0</v>
      </c>
      <c r="H70" s="28">
        <f t="shared" ca="1" si="18"/>
        <v>0</v>
      </c>
      <c r="I70" s="28">
        <f t="shared" ca="1" si="18"/>
        <v>0</v>
      </c>
      <c r="J70" s="28">
        <f t="shared" ca="1" si="18"/>
        <v>0</v>
      </c>
      <c r="K70" s="28">
        <f t="shared" ca="1" si="18"/>
        <v>0</v>
      </c>
      <c r="L70" s="28">
        <f t="shared" ca="1" si="18"/>
        <v>0</v>
      </c>
      <c r="M70" s="28">
        <f t="shared" ca="1" si="18"/>
        <v>0</v>
      </c>
      <c r="N70" s="28">
        <f t="shared" ca="1" si="18"/>
        <v>0</v>
      </c>
      <c r="O70" s="28">
        <f t="shared" ca="1" si="18"/>
        <v>0</v>
      </c>
      <c r="P70" s="28">
        <f t="shared" ref="P70:AE78" ca="1" si="19">$A70*H.Ar + $B70*H.Se + $C70*H.Ge + $D70*H.Ga</f>
        <v>0</v>
      </c>
      <c r="Q70" s="28">
        <f t="shared" ca="1" si="19"/>
        <v>0</v>
      </c>
      <c r="R70" s="28">
        <f t="shared" ca="1" si="19"/>
        <v>0</v>
      </c>
      <c r="S70" s="28">
        <f t="shared" ca="1" si="19"/>
        <v>0</v>
      </c>
      <c r="T70" s="28">
        <f t="shared" ca="1" si="19"/>
        <v>0</v>
      </c>
      <c r="U70" s="28">
        <f t="shared" ca="1" si="19"/>
        <v>0</v>
      </c>
      <c r="V70" s="28">
        <f t="shared" ca="1" si="19"/>
        <v>0</v>
      </c>
      <c r="W70" s="28">
        <f t="shared" ca="1" si="19"/>
        <v>0</v>
      </c>
      <c r="X70" s="28">
        <f t="shared" ca="1" si="19"/>
        <v>0</v>
      </c>
      <c r="Y70" s="28">
        <f t="shared" ca="1" si="19"/>
        <v>0</v>
      </c>
      <c r="Z70" s="28">
        <f t="shared" ca="1" si="19"/>
        <v>0</v>
      </c>
      <c r="AA70" s="28">
        <f t="shared" ca="1" si="19"/>
        <v>0</v>
      </c>
      <c r="AB70" s="28">
        <f t="shared" ca="1" si="19"/>
        <v>0</v>
      </c>
      <c r="AC70" s="28">
        <f t="shared" ca="1" si="19"/>
        <v>0</v>
      </c>
      <c r="AD70" s="28">
        <f t="shared" ca="1" si="19"/>
        <v>0</v>
      </c>
      <c r="AE70" s="28">
        <f t="shared" ca="1" si="19"/>
        <v>0</v>
      </c>
      <c r="AF70" s="28">
        <f t="shared" ca="1" si="17"/>
        <v>0</v>
      </c>
      <c r="AG70" s="28">
        <f t="shared" ca="1" si="17"/>
        <v>0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6"/>
        <v>0</v>
      </c>
      <c r="B71" s="10">
        <f t="shared" si="16"/>
        <v>0</v>
      </c>
      <c r="C71" s="10">
        <f t="shared" si="16"/>
        <v>0</v>
      </c>
      <c r="D71" s="10">
        <f t="shared" si="16"/>
        <v>0</v>
      </c>
      <c r="E71" s="11">
        <f t="shared" si="16"/>
        <v>0</v>
      </c>
      <c r="F71" s="28">
        <f t="shared" ca="1" si="18"/>
        <v>0</v>
      </c>
      <c r="G71" s="28">
        <f t="shared" ca="1" si="18"/>
        <v>0</v>
      </c>
      <c r="H71" s="28">
        <f t="shared" ca="1" si="18"/>
        <v>0</v>
      </c>
      <c r="I71" s="28">
        <f t="shared" ca="1" si="18"/>
        <v>0</v>
      </c>
      <c r="J71" s="28">
        <f t="shared" ca="1" si="18"/>
        <v>0</v>
      </c>
      <c r="K71" s="28">
        <f t="shared" ca="1" si="18"/>
        <v>0</v>
      </c>
      <c r="L71" s="28">
        <f t="shared" ca="1" si="18"/>
        <v>0</v>
      </c>
      <c r="M71" s="28">
        <f t="shared" ca="1" si="18"/>
        <v>0</v>
      </c>
      <c r="N71" s="28">
        <f t="shared" ca="1" si="18"/>
        <v>0</v>
      </c>
      <c r="O71" s="28">
        <f t="shared" ca="1" si="18"/>
        <v>0</v>
      </c>
      <c r="P71" s="28">
        <f t="shared" ca="1" si="19"/>
        <v>0</v>
      </c>
      <c r="Q71" s="28">
        <f t="shared" ca="1" si="19"/>
        <v>0</v>
      </c>
      <c r="R71" s="28">
        <f t="shared" ca="1" si="19"/>
        <v>0</v>
      </c>
      <c r="S71" s="28">
        <f t="shared" ca="1" si="19"/>
        <v>0</v>
      </c>
      <c r="T71" s="28">
        <f t="shared" ca="1" si="19"/>
        <v>0</v>
      </c>
      <c r="U71" s="28">
        <f t="shared" ca="1" si="19"/>
        <v>0</v>
      </c>
      <c r="V71" s="28">
        <f t="shared" ca="1" si="19"/>
        <v>0</v>
      </c>
      <c r="W71" s="28">
        <f t="shared" ca="1" si="19"/>
        <v>0</v>
      </c>
      <c r="X71" s="28">
        <f t="shared" ca="1" si="19"/>
        <v>0</v>
      </c>
      <c r="Y71" s="28">
        <f t="shared" ca="1" si="17"/>
        <v>0</v>
      </c>
      <c r="Z71" s="28">
        <f t="shared" ca="1" si="17"/>
        <v>0</v>
      </c>
      <c r="AA71" s="28">
        <f t="shared" ca="1" si="17"/>
        <v>0</v>
      </c>
      <c r="AB71" s="28">
        <f t="shared" ca="1" si="17"/>
        <v>0</v>
      </c>
      <c r="AC71" s="28">
        <f t="shared" ca="1" si="17"/>
        <v>0</v>
      </c>
      <c r="AD71" s="28">
        <f t="shared" ca="1" si="17"/>
        <v>0</v>
      </c>
      <c r="AE71" s="28">
        <f t="shared" ca="1" si="17"/>
        <v>0</v>
      </c>
      <c r="AF71" s="28">
        <f t="shared" ca="1" si="17"/>
        <v>0</v>
      </c>
      <c r="AG71" s="28">
        <f t="shared" ca="1" si="17"/>
        <v>0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6"/>
        <v>0</v>
      </c>
      <c r="B72" s="10">
        <f t="shared" si="16"/>
        <v>0</v>
      </c>
      <c r="C72" s="10">
        <f t="shared" si="16"/>
        <v>0</v>
      </c>
      <c r="D72" s="10">
        <f t="shared" si="16"/>
        <v>0</v>
      </c>
      <c r="E72" s="11">
        <f t="shared" si="16"/>
        <v>0</v>
      </c>
      <c r="F72" s="28">
        <f t="shared" ca="1" si="18"/>
        <v>0</v>
      </c>
      <c r="G72" s="28">
        <f t="shared" ca="1" si="18"/>
        <v>0</v>
      </c>
      <c r="H72" s="28">
        <f t="shared" ca="1" si="18"/>
        <v>0</v>
      </c>
      <c r="I72" s="28">
        <f t="shared" ca="1" si="18"/>
        <v>0</v>
      </c>
      <c r="J72" s="28">
        <f t="shared" ca="1" si="18"/>
        <v>0</v>
      </c>
      <c r="K72" s="28">
        <f t="shared" ca="1" si="18"/>
        <v>0</v>
      </c>
      <c r="L72" s="28">
        <f t="shared" ca="1" si="18"/>
        <v>0</v>
      </c>
      <c r="M72" s="28">
        <f t="shared" ca="1" si="18"/>
        <v>0</v>
      </c>
      <c r="N72" s="28">
        <f t="shared" ca="1" si="18"/>
        <v>0</v>
      </c>
      <c r="O72" s="28">
        <f t="shared" ca="1" si="18"/>
        <v>0</v>
      </c>
      <c r="P72" s="28">
        <f t="shared" ca="1" si="19"/>
        <v>0</v>
      </c>
      <c r="Q72" s="28">
        <f t="shared" ca="1" si="19"/>
        <v>0</v>
      </c>
      <c r="R72" s="28">
        <f t="shared" ca="1" si="19"/>
        <v>0</v>
      </c>
      <c r="S72" s="28">
        <f t="shared" ca="1" si="19"/>
        <v>0</v>
      </c>
      <c r="T72" s="28">
        <f t="shared" ca="1" si="19"/>
        <v>0</v>
      </c>
      <c r="U72" s="28">
        <f t="shared" ca="1" si="19"/>
        <v>0</v>
      </c>
      <c r="V72" s="28">
        <f t="shared" ca="1" si="19"/>
        <v>0</v>
      </c>
      <c r="W72" s="28">
        <f t="shared" ca="1" si="19"/>
        <v>0</v>
      </c>
      <c r="X72" s="28">
        <f t="shared" ca="1" si="19"/>
        <v>0</v>
      </c>
      <c r="Y72" s="28">
        <f t="shared" ca="1" si="17"/>
        <v>0</v>
      </c>
      <c r="Z72" s="28">
        <f t="shared" ca="1" si="17"/>
        <v>0</v>
      </c>
      <c r="AA72" s="28">
        <f t="shared" ca="1" si="17"/>
        <v>0</v>
      </c>
      <c r="AB72" s="28">
        <f t="shared" ca="1" si="17"/>
        <v>0</v>
      </c>
      <c r="AC72" s="28">
        <f t="shared" ca="1" si="17"/>
        <v>0</v>
      </c>
      <c r="AD72" s="28">
        <f t="shared" ca="1" si="17"/>
        <v>0</v>
      </c>
      <c r="AE72" s="28">
        <f t="shared" ca="1" si="17"/>
        <v>0</v>
      </c>
      <c r="AF72" s="28">
        <f t="shared" ca="1" si="17"/>
        <v>0</v>
      </c>
      <c r="AG72" s="28">
        <f t="shared" ca="1" si="17"/>
        <v>0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6"/>
        <v>0</v>
      </c>
      <c r="B73" s="10">
        <f t="shared" si="16"/>
        <v>0</v>
      </c>
      <c r="C73" s="10">
        <f t="shared" si="16"/>
        <v>0</v>
      </c>
      <c r="D73" s="10">
        <f t="shared" si="16"/>
        <v>0</v>
      </c>
      <c r="E73" s="11">
        <f t="shared" si="16"/>
        <v>0</v>
      </c>
      <c r="F73" s="28">
        <f t="shared" ca="1" si="18"/>
        <v>0</v>
      </c>
      <c r="G73" s="28">
        <f t="shared" ca="1" si="18"/>
        <v>0</v>
      </c>
      <c r="H73" s="28">
        <f t="shared" ca="1" si="18"/>
        <v>0</v>
      </c>
      <c r="I73" s="28">
        <f t="shared" ca="1" si="18"/>
        <v>0</v>
      </c>
      <c r="J73" s="28">
        <f t="shared" ca="1" si="18"/>
        <v>0</v>
      </c>
      <c r="K73" s="28">
        <f t="shared" ca="1" si="18"/>
        <v>0</v>
      </c>
      <c r="L73" s="28">
        <f t="shared" ca="1" si="18"/>
        <v>0</v>
      </c>
      <c r="M73" s="28">
        <f t="shared" ca="1" si="18"/>
        <v>0</v>
      </c>
      <c r="N73" s="28">
        <f t="shared" ca="1" si="18"/>
        <v>0</v>
      </c>
      <c r="O73" s="28">
        <f t="shared" ca="1" si="18"/>
        <v>0</v>
      </c>
      <c r="P73" s="28">
        <f t="shared" ca="1" si="19"/>
        <v>0</v>
      </c>
      <c r="Q73" s="28">
        <f t="shared" ca="1" si="19"/>
        <v>0</v>
      </c>
      <c r="R73" s="28">
        <f t="shared" ca="1" si="19"/>
        <v>0</v>
      </c>
      <c r="S73" s="28">
        <f t="shared" ca="1" si="19"/>
        <v>0</v>
      </c>
      <c r="T73" s="28">
        <f t="shared" ca="1" si="19"/>
        <v>0</v>
      </c>
      <c r="U73" s="28">
        <f t="shared" ca="1" si="19"/>
        <v>0</v>
      </c>
      <c r="V73" s="28">
        <f t="shared" ca="1" si="19"/>
        <v>0</v>
      </c>
      <c r="W73" s="28">
        <f t="shared" ca="1" si="19"/>
        <v>0</v>
      </c>
      <c r="X73" s="28">
        <f t="shared" ca="1" si="19"/>
        <v>0</v>
      </c>
      <c r="Y73" s="28">
        <f t="shared" ca="1" si="17"/>
        <v>0</v>
      </c>
      <c r="Z73" s="28">
        <f t="shared" ca="1" si="17"/>
        <v>0</v>
      </c>
      <c r="AA73" s="28">
        <f t="shared" ca="1" si="17"/>
        <v>0</v>
      </c>
      <c r="AB73" s="28">
        <f t="shared" ca="1" si="17"/>
        <v>0</v>
      </c>
      <c r="AC73" s="28">
        <f t="shared" ca="1" si="17"/>
        <v>0</v>
      </c>
      <c r="AD73" s="28">
        <f t="shared" ca="1" si="17"/>
        <v>0</v>
      </c>
      <c r="AE73" s="28">
        <f t="shared" ca="1" si="17"/>
        <v>0</v>
      </c>
      <c r="AF73" s="28">
        <f t="shared" ca="1" si="17"/>
        <v>0</v>
      </c>
      <c r="AG73" s="28">
        <f t="shared" ca="1" si="17"/>
        <v>0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6"/>
        <v>0</v>
      </c>
      <c r="B74" s="10">
        <f t="shared" si="16"/>
        <v>0</v>
      </c>
      <c r="C74" s="10">
        <f t="shared" si="16"/>
        <v>0</v>
      </c>
      <c r="D74" s="10">
        <f t="shared" si="16"/>
        <v>0</v>
      </c>
      <c r="E74" s="11">
        <f t="shared" si="16"/>
        <v>0</v>
      </c>
      <c r="F74" s="28">
        <f t="shared" ca="1" si="18"/>
        <v>0</v>
      </c>
      <c r="G74" s="28">
        <f t="shared" ca="1" si="18"/>
        <v>0</v>
      </c>
      <c r="H74" s="28">
        <f t="shared" ca="1" si="18"/>
        <v>0</v>
      </c>
      <c r="I74" s="28">
        <f t="shared" ca="1" si="18"/>
        <v>0</v>
      </c>
      <c r="J74" s="28">
        <f t="shared" ca="1" si="18"/>
        <v>0</v>
      </c>
      <c r="K74" s="28">
        <f t="shared" ca="1" si="18"/>
        <v>0</v>
      </c>
      <c r="L74" s="28">
        <f t="shared" ca="1" si="18"/>
        <v>0</v>
      </c>
      <c r="M74" s="28">
        <f t="shared" ca="1" si="18"/>
        <v>0</v>
      </c>
      <c r="N74" s="28">
        <f t="shared" ca="1" si="18"/>
        <v>0</v>
      </c>
      <c r="O74" s="28">
        <f t="shared" ca="1" si="18"/>
        <v>0</v>
      </c>
      <c r="P74" s="28">
        <f t="shared" ca="1" si="19"/>
        <v>0</v>
      </c>
      <c r="Q74" s="28">
        <f t="shared" ca="1" si="19"/>
        <v>0</v>
      </c>
      <c r="R74" s="28">
        <f t="shared" ca="1" si="19"/>
        <v>0</v>
      </c>
      <c r="S74" s="28">
        <f t="shared" ca="1" si="19"/>
        <v>0</v>
      </c>
      <c r="T74" s="28">
        <f t="shared" ca="1" si="19"/>
        <v>0</v>
      </c>
      <c r="U74" s="28">
        <f t="shared" ca="1" si="19"/>
        <v>0</v>
      </c>
      <c r="V74" s="28">
        <f t="shared" ca="1" si="19"/>
        <v>0</v>
      </c>
      <c r="W74" s="28">
        <f t="shared" ca="1" si="19"/>
        <v>0</v>
      </c>
      <c r="X74" s="28">
        <f t="shared" ca="1" si="19"/>
        <v>0</v>
      </c>
      <c r="Y74" s="28">
        <f t="shared" ca="1" si="17"/>
        <v>0</v>
      </c>
      <c r="Z74" s="28">
        <f t="shared" ca="1" si="17"/>
        <v>0</v>
      </c>
      <c r="AA74" s="28">
        <f t="shared" ca="1" si="17"/>
        <v>0</v>
      </c>
      <c r="AB74" s="28">
        <f t="shared" ca="1" si="17"/>
        <v>0</v>
      </c>
      <c r="AC74" s="28">
        <f t="shared" ca="1" si="17"/>
        <v>0</v>
      </c>
      <c r="AD74" s="28">
        <f t="shared" ca="1" si="17"/>
        <v>0</v>
      </c>
      <c r="AE74" s="28">
        <f t="shared" ca="1" si="17"/>
        <v>0</v>
      </c>
      <c r="AF74" s="28">
        <f t="shared" ca="1" si="17"/>
        <v>0</v>
      </c>
      <c r="AG74" s="28">
        <f t="shared" ca="1" si="17"/>
        <v>0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6"/>
        <v>0</v>
      </c>
      <c r="B75" s="10">
        <f t="shared" si="16"/>
        <v>0</v>
      </c>
      <c r="C75" s="10">
        <f t="shared" si="16"/>
        <v>0</v>
      </c>
      <c r="D75" s="10">
        <f t="shared" si="16"/>
        <v>0</v>
      </c>
      <c r="E75" s="11">
        <f t="shared" si="16"/>
        <v>0</v>
      </c>
      <c r="F75" s="28">
        <f t="shared" ca="1" si="18"/>
        <v>0</v>
      </c>
      <c r="G75" s="28">
        <f t="shared" ca="1" si="18"/>
        <v>0</v>
      </c>
      <c r="H75" s="28">
        <f t="shared" ca="1" si="18"/>
        <v>0</v>
      </c>
      <c r="I75" s="28">
        <f t="shared" ca="1" si="18"/>
        <v>0</v>
      </c>
      <c r="J75" s="28">
        <f t="shared" ca="1" si="18"/>
        <v>0</v>
      </c>
      <c r="K75" s="28">
        <f t="shared" ca="1" si="18"/>
        <v>0</v>
      </c>
      <c r="L75" s="28">
        <f t="shared" ca="1" si="18"/>
        <v>0</v>
      </c>
      <c r="M75" s="28">
        <f t="shared" ca="1" si="18"/>
        <v>0</v>
      </c>
      <c r="N75" s="28">
        <f t="shared" ca="1" si="18"/>
        <v>0</v>
      </c>
      <c r="O75" s="28">
        <f t="shared" ca="1" si="18"/>
        <v>0</v>
      </c>
      <c r="P75" s="28">
        <f t="shared" ca="1" si="19"/>
        <v>0</v>
      </c>
      <c r="Q75" s="28">
        <f t="shared" ca="1" si="19"/>
        <v>0</v>
      </c>
      <c r="R75" s="28">
        <f t="shared" ca="1" si="19"/>
        <v>0</v>
      </c>
      <c r="S75" s="28">
        <f t="shared" ca="1" si="19"/>
        <v>0</v>
      </c>
      <c r="T75" s="28">
        <f t="shared" ca="1" si="19"/>
        <v>0</v>
      </c>
      <c r="U75" s="28">
        <f t="shared" ca="1" si="19"/>
        <v>0</v>
      </c>
      <c r="V75" s="28">
        <f t="shared" ca="1" si="19"/>
        <v>0</v>
      </c>
      <c r="W75" s="28">
        <f t="shared" ca="1" si="19"/>
        <v>0</v>
      </c>
      <c r="X75" s="28">
        <f t="shared" ca="1" si="19"/>
        <v>0</v>
      </c>
      <c r="Y75" s="28">
        <f t="shared" ca="1" si="17"/>
        <v>0</v>
      </c>
      <c r="Z75" s="28">
        <f t="shared" ca="1" si="17"/>
        <v>0</v>
      </c>
      <c r="AA75" s="28">
        <f t="shared" ca="1" si="17"/>
        <v>0</v>
      </c>
      <c r="AB75" s="28">
        <f t="shared" ca="1" si="17"/>
        <v>0</v>
      </c>
      <c r="AC75" s="28">
        <f t="shared" ca="1" si="17"/>
        <v>0</v>
      </c>
      <c r="AD75" s="28">
        <f t="shared" ca="1" si="17"/>
        <v>0</v>
      </c>
      <c r="AE75" s="28">
        <f t="shared" ca="1" si="17"/>
        <v>0</v>
      </c>
      <c r="AF75" s="28">
        <f t="shared" ca="1" si="17"/>
        <v>0</v>
      </c>
      <c r="AG75" s="28">
        <f t="shared" ca="1" si="17"/>
        <v>0</v>
      </c>
      <c r="AH75" s="28">
        <f t="shared" ca="1" si="17"/>
        <v>0</v>
      </c>
      <c r="AI75" s="28">
        <f t="shared" ca="1" si="17"/>
        <v>0</v>
      </c>
      <c r="AJ75" s="28">
        <f t="shared" ca="1" si="17"/>
        <v>0</v>
      </c>
      <c r="AK75" s="28">
        <f t="shared" ca="1" si="17"/>
        <v>0</v>
      </c>
      <c r="AL75" s="28">
        <f t="shared" ca="1" si="17"/>
        <v>0</v>
      </c>
    </row>
    <row r="76" spans="1:38" ht="21" hidden="1" customHeight="1" outlineLevel="1" thickBot="1" x14ac:dyDescent="0.4">
      <c r="A76" s="10">
        <f t="shared" si="16"/>
        <v>0</v>
      </c>
      <c r="B76" s="10">
        <f t="shared" si="16"/>
        <v>0</v>
      </c>
      <c r="C76" s="10">
        <f t="shared" si="16"/>
        <v>0</v>
      </c>
      <c r="D76" s="10">
        <f t="shared" si="16"/>
        <v>0</v>
      </c>
      <c r="E76" s="11">
        <f t="shared" si="16"/>
        <v>0</v>
      </c>
      <c r="F76" s="28">
        <f t="shared" ca="1" si="18"/>
        <v>0</v>
      </c>
      <c r="G76" s="28">
        <f t="shared" ca="1" si="18"/>
        <v>0</v>
      </c>
      <c r="H76" s="28">
        <f t="shared" ca="1" si="18"/>
        <v>0</v>
      </c>
      <c r="I76" s="28">
        <f t="shared" ca="1" si="18"/>
        <v>0</v>
      </c>
      <c r="J76" s="28">
        <f t="shared" ca="1" si="18"/>
        <v>0</v>
      </c>
      <c r="K76" s="28">
        <f t="shared" ca="1" si="18"/>
        <v>0</v>
      </c>
      <c r="L76" s="28">
        <f t="shared" ca="1" si="18"/>
        <v>0</v>
      </c>
      <c r="M76" s="28">
        <f t="shared" ca="1" si="18"/>
        <v>0</v>
      </c>
      <c r="N76" s="28">
        <f t="shared" ca="1" si="18"/>
        <v>0</v>
      </c>
      <c r="O76" s="28">
        <f t="shared" ca="1" si="18"/>
        <v>0</v>
      </c>
      <c r="P76" s="28">
        <f t="shared" ca="1" si="19"/>
        <v>0</v>
      </c>
      <c r="Q76" s="28">
        <f t="shared" ca="1" si="19"/>
        <v>0</v>
      </c>
      <c r="R76" s="28">
        <f t="shared" ca="1" si="19"/>
        <v>0</v>
      </c>
      <c r="S76" s="28">
        <f t="shared" ca="1" si="19"/>
        <v>0</v>
      </c>
      <c r="T76" s="28">
        <f t="shared" ca="1" si="19"/>
        <v>0</v>
      </c>
      <c r="U76" s="28">
        <f t="shared" ca="1" si="19"/>
        <v>0</v>
      </c>
      <c r="V76" s="28">
        <f t="shared" ca="1" si="19"/>
        <v>0</v>
      </c>
      <c r="W76" s="28">
        <f t="shared" ca="1" si="19"/>
        <v>0</v>
      </c>
      <c r="X76" s="28">
        <f t="shared" ca="1" si="19"/>
        <v>0</v>
      </c>
      <c r="Y76" s="28">
        <f t="shared" ca="1" si="17"/>
        <v>0</v>
      </c>
      <c r="Z76" s="28">
        <f t="shared" ca="1" si="17"/>
        <v>0</v>
      </c>
      <c r="AA76" s="28">
        <f t="shared" ca="1" si="17"/>
        <v>0</v>
      </c>
      <c r="AB76" s="28">
        <f t="shared" ca="1" si="17"/>
        <v>0</v>
      </c>
      <c r="AC76" s="28">
        <f t="shared" ca="1" si="17"/>
        <v>0</v>
      </c>
      <c r="AD76" s="28">
        <f t="shared" ca="1" si="17"/>
        <v>0</v>
      </c>
      <c r="AE76" s="28">
        <f t="shared" ca="1" si="17"/>
        <v>0</v>
      </c>
      <c r="AF76" s="28">
        <f t="shared" ca="1" si="17"/>
        <v>0</v>
      </c>
      <c r="AG76" s="28">
        <f t="shared" ca="1" si="17"/>
        <v>0</v>
      </c>
      <c r="AH76" s="28">
        <f t="shared" ca="1" si="17"/>
        <v>0</v>
      </c>
      <c r="AI76" s="28">
        <f t="shared" ca="1" si="17"/>
        <v>0</v>
      </c>
      <c r="AJ76" s="28">
        <f t="shared" ca="1" si="17"/>
        <v>0</v>
      </c>
      <c r="AK76" s="28">
        <f t="shared" ca="1" si="17"/>
        <v>0</v>
      </c>
      <c r="AL76" s="28">
        <f t="shared" ca="1" si="17"/>
        <v>0</v>
      </c>
    </row>
    <row r="77" spans="1:38" ht="21" hidden="1" customHeight="1" outlineLevel="1" thickBot="1" x14ac:dyDescent="0.4">
      <c r="A77" s="10">
        <f t="shared" si="16"/>
        <v>0</v>
      </c>
      <c r="B77" s="10">
        <f t="shared" si="16"/>
        <v>0</v>
      </c>
      <c r="C77" s="10">
        <f t="shared" si="16"/>
        <v>0</v>
      </c>
      <c r="D77" s="10">
        <f t="shared" si="16"/>
        <v>0</v>
      </c>
      <c r="E77" s="11">
        <f t="shared" si="16"/>
        <v>0</v>
      </c>
      <c r="F77" s="28">
        <f t="shared" ca="1" si="18"/>
        <v>0</v>
      </c>
      <c r="G77" s="28">
        <f t="shared" ca="1" si="18"/>
        <v>0</v>
      </c>
      <c r="H77" s="28">
        <f t="shared" ca="1" si="18"/>
        <v>0</v>
      </c>
      <c r="I77" s="28">
        <f t="shared" ca="1" si="18"/>
        <v>0</v>
      </c>
      <c r="J77" s="28">
        <f t="shared" ca="1" si="18"/>
        <v>0</v>
      </c>
      <c r="K77" s="28">
        <f t="shared" ca="1" si="18"/>
        <v>0</v>
      </c>
      <c r="L77" s="28">
        <f t="shared" ca="1" si="18"/>
        <v>0</v>
      </c>
      <c r="M77" s="28">
        <f t="shared" ca="1" si="18"/>
        <v>0</v>
      </c>
      <c r="N77" s="28">
        <f t="shared" ca="1" si="18"/>
        <v>0</v>
      </c>
      <c r="O77" s="28">
        <f t="shared" ca="1" si="18"/>
        <v>0</v>
      </c>
      <c r="P77" s="28">
        <f t="shared" ca="1" si="19"/>
        <v>0</v>
      </c>
      <c r="Q77" s="28">
        <f t="shared" ca="1" si="19"/>
        <v>0</v>
      </c>
      <c r="R77" s="28">
        <f t="shared" ca="1" si="19"/>
        <v>0</v>
      </c>
      <c r="S77" s="28">
        <f t="shared" ca="1" si="19"/>
        <v>0</v>
      </c>
      <c r="T77" s="28">
        <f t="shared" ca="1" si="19"/>
        <v>0</v>
      </c>
      <c r="U77" s="28">
        <f t="shared" ca="1" si="19"/>
        <v>0</v>
      </c>
      <c r="V77" s="28">
        <f t="shared" ca="1" si="19"/>
        <v>0</v>
      </c>
      <c r="W77" s="28">
        <f t="shared" ca="1" si="19"/>
        <v>0</v>
      </c>
      <c r="X77" s="28">
        <f t="shared" ca="1" si="19"/>
        <v>0</v>
      </c>
      <c r="Y77" s="28">
        <f t="shared" ca="1" si="17"/>
        <v>0</v>
      </c>
      <c r="Z77" s="28">
        <f t="shared" ca="1" si="17"/>
        <v>0</v>
      </c>
      <c r="AA77" s="28">
        <f t="shared" ca="1" si="17"/>
        <v>0</v>
      </c>
      <c r="AB77" s="28">
        <f t="shared" ca="1" si="17"/>
        <v>0</v>
      </c>
      <c r="AC77" s="28">
        <f t="shared" ca="1" si="17"/>
        <v>0</v>
      </c>
      <c r="AD77" s="28">
        <f t="shared" ca="1" si="17"/>
        <v>0</v>
      </c>
      <c r="AE77" s="28">
        <f t="shared" ca="1" si="17"/>
        <v>0</v>
      </c>
      <c r="AF77" s="28">
        <f t="shared" ca="1" si="17"/>
        <v>0</v>
      </c>
      <c r="AG77" s="28">
        <f t="shared" ca="1" si="17"/>
        <v>0</v>
      </c>
      <c r="AH77" s="28">
        <f t="shared" ca="1" si="17"/>
        <v>0</v>
      </c>
      <c r="AI77" s="28">
        <f t="shared" ca="1" si="17"/>
        <v>0</v>
      </c>
      <c r="AJ77" s="28">
        <f t="shared" ca="1" si="17"/>
        <v>0</v>
      </c>
      <c r="AK77" s="28">
        <f t="shared" ca="1" si="17"/>
        <v>0</v>
      </c>
      <c r="AL77" s="28">
        <f t="shared" ca="1" si="17"/>
        <v>0</v>
      </c>
    </row>
    <row r="78" spans="1:38" ht="21" hidden="1" customHeight="1" outlineLevel="1" thickBot="1" x14ac:dyDescent="0.4">
      <c r="A78" s="10">
        <f t="shared" si="16"/>
        <v>0</v>
      </c>
      <c r="B78" s="10">
        <f t="shared" si="16"/>
        <v>0</v>
      </c>
      <c r="C78" s="10">
        <f t="shared" si="16"/>
        <v>0</v>
      </c>
      <c r="D78" s="10">
        <f t="shared" si="16"/>
        <v>0</v>
      </c>
      <c r="E78" s="11">
        <f t="shared" si="16"/>
        <v>0</v>
      </c>
      <c r="F78" s="28">
        <f t="shared" ca="1" si="18"/>
        <v>0</v>
      </c>
      <c r="G78" s="28">
        <f t="shared" ca="1" si="18"/>
        <v>0</v>
      </c>
      <c r="H78" s="28">
        <f t="shared" ca="1" si="18"/>
        <v>0</v>
      </c>
      <c r="I78" s="28">
        <f t="shared" ca="1" si="18"/>
        <v>0</v>
      </c>
      <c r="J78" s="28">
        <f t="shared" ca="1" si="18"/>
        <v>0</v>
      </c>
      <c r="K78" s="28">
        <f t="shared" ca="1" si="18"/>
        <v>0</v>
      </c>
      <c r="L78" s="28">
        <f t="shared" ca="1" si="18"/>
        <v>0</v>
      </c>
      <c r="M78" s="28">
        <f t="shared" ca="1" si="18"/>
        <v>0</v>
      </c>
      <c r="N78" s="28">
        <f t="shared" ca="1" si="18"/>
        <v>0</v>
      </c>
      <c r="O78" s="28">
        <f t="shared" ca="1" si="18"/>
        <v>0</v>
      </c>
      <c r="P78" s="28">
        <f t="shared" ca="1" si="19"/>
        <v>0</v>
      </c>
      <c r="Q78" s="28">
        <f t="shared" ca="1" si="19"/>
        <v>0</v>
      </c>
      <c r="R78" s="28">
        <f t="shared" ca="1" si="19"/>
        <v>0</v>
      </c>
      <c r="S78" s="28">
        <f t="shared" ca="1" si="19"/>
        <v>0</v>
      </c>
      <c r="T78" s="28">
        <f t="shared" ca="1" si="19"/>
        <v>0</v>
      </c>
      <c r="U78" s="28">
        <f t="shared" ca="1" si="19"/>
        <v>0</v>
      </c>
      <c r="V78" s="28">
        <f t="shared" ca="1" si="19"/>
        <v>0</v>
      </c>
      <c r="W78" s="28">
        <f t="shared" ca="1" si="19"/>
        <v>0</v>
      </c>
      <c r="X78" s="28">
        <f t="shared" ca="1" si="19"/>
        <v>0</v>
      </c>
      <c r="Y78" s="28">
        <f t="shared" ca="1" si="17"/>
        <v>0</v>
      </c>
      <c r="Z78" s="28">
        <f t="shared" ca="1" si="17"/>
        <v>0</v>
      </c>
      <c r="AA78" s="28">
        <f t="shared" ca="1" si="17"/>
        <v>0</v>
      </c>
      <c r="AB78" s="28">
        <f t="shared" ca="1" si="17"/>
        <v>0</v>
      </c>
      <c r="AC78" s="28">
        <f t="shared" ca="1" si="17"/>
        <v>0</v>
      </c>
      <c r="AD78" s="28">
        <f t="shared" ca="1" si="17"/>
        <v>0</v>
      </c>
      <c r="AE78" s="28">
        <f t="shared" ca="1" si="17"/>
        <v>0</v>
      </c>
      <c r="AF78" s="28">
        <f t="shared" ca="1" si="17"/>
        <v>0</v>
      </c>
      <c r="AG78" s="28">
        <f t="shared" ca="1" si="17"/>
        <v>0</v>
      </c>
      <c r="AH78" s="28">
        <f t="shared" ca="1" si="17"/>
        <v>0</v>
      </c>
      <c r="AI78" s="28">
        <f t="shared" ca="1" si="17"/>
        <v>0</v>
      </c>
      <c r="AJ78" s="28">
        <f t="shared" ca="1" si="17"/>
        <v>0</v>
      </c>
      <c r="AK78" s="28">
        <f t="shared" ca="1" si="17"/>
        <v>0</v>
      </c>
      <c r="AL78" s="28">
        <f t="shared" ca="1" si="17"/>
        <v>0</v>
      </c>
    </row>
    <row r="79" spans="1:38" ht="21" hidden="1" customHeight="1" outlineLevel="1" thickBot="1" x14ac:dyDescent="0.4">
      <c r="A79" s="10">
        <f t="shared" si="16"/>
        <v>0</v>
      </c>
      <c r="B79" s="10">
        <f t="shared" si="16"/>
        <v>0</v>
      </c>
      <c r="C79" s="10">
        <f t="shared" si="16"/>
        <v>0</v>
      </c>
      <c r="D79" s="10">
        <f t="shared" si="16"/>
        <v>0</v>
      </c>
      <c r="E79" s="11">
        <f t="shared" si="16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23"/>
    </row>
    <row r="82" spans="1:38" ht="21" customHeight="1" thickBot="1" x14ac:dyDescent="0.45">
      <c r="A82" s="28"/>
      <c r="B82" s="28"/>
      <c r="C82" s="40">
        <f>E41</f>
        <v>4.166666666666667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>
        <f t="shared" ref="E83:E113" si="20">E49</f>
        <v>0</v>
      </c>
      <c r="F83" s="8">
        <f t="shared" ref="F83:AL83" si="21">F3</f>
        <v>273.10000000000002</v>
      </c>
      <c r="G83" s="8">
        <f t="shared" si="21"/>
        <v>353.9</v>
      </c>
      <c r="H83" s="8">
        <f t="shared" si="21"/>
        <v>434.7</v>
      </c>
      <c r="I83" s="8">
        <f t="shared" si="21"/>
        <v>515.4</v>
      </c>
      <c r="J83" s="8">
        <f t="shared" si="21"/>
        <v>596.20000000000005</v>
      </c>
      <c r="K83" s="8">
        <f t="shared" si="21"/>
        <v>677</v>
      </c>
      <c r="L83" s="8">
        <f t="shared" si="21"/>
        <v>757.7</v>
      </c>
      <c r="M83" s="8">
        <f t="shared" si="21"/>
        <v>838.5</v>
      </c>
      <c r="N83" s="8">
        <f t="shared" si="21"/>
        <v>919.2</v>
      </c>
      <c r="O83" s="8">
        <f t="shared" si="21"/>
        <v>1000</v>
      </c>
      <c r="P83" s="8">
        <f t="shared" si="21"/>
        <v>0</v>
      </c>
      <c r="Q83" s="8">
        <f t="shared" si="21"/>
        <v>0</v>
      </c>
      <c r="R83" s="8">
        <f t="shared" si="21"/>
        <v>0</v>
      </c>
      <c r="S83" s="8">
        <f t="shared" si="21"/>
        <v>0</v>
      </c>
      <c r="T83" s="8">
        <f t="shared" si="21"/>
        <v>0</v>
      </c>
      <c r="U83" s="8">
        <f t="shared" si="21"/>
        <v>0</v>
      </c>
      <c r="V83" s="8">
        <f t="shared" si="21"/>
        <v>0</v>
      </c>
      <c r="W83" s="8">
        <f t="shared" si="21"/>
        <v>0</v>
      </c>
      <c r="X83" s="8">
        <f t="shared" si="21"/>
        <v>0</v>
      </c>
      <c r="Y83" s="8">
        <f t="shared" si="21"/>
        <v>0</v>
      </c>
      <c r="Z83" s="8">
        <f t="shared" si="21"/>
        <v>0</v>
      </c>
      <c r="AA83" s="8">
        <f t="shared" si="21"/>
        <v>0</v>
      </c>
      <c r="AB83" s="8">
        <f t="shared" si="21"/>
        <v>0</v>
      </c>
      <c r="AC83" s="8">
        <f t="shared" si="21"/>
        <v>0</v>
      </c>
      <c r="AD83" s="8">
        <f t="shared" si="21"/>
        <v>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1</v>
      </c>
      <c r="C84" s="10">
        <f t="shared" si="22"/>
        <v>0</v>
      </c>
      <c r="D84" s="10">
        <f t="shared" si="22"/>
        <v>0</v>
      </c>
      <c r="E84" s="11" t="str">
        <f t="shared" si="20"/>
        <v>*Se[l]</v>
      </c>
      <c r="F84" s="28">
        <f t="shared" ref="F84:AL91" si="23">F4*$C$82</f>
        <v>9.3475000000000008E-8</v>
      </c>
      <c r="G84" s="28">
        <f t="shared" si="23"/>
        <v>9.5600000000000009E-8</v>
      </c>
      <c r="H84" s="28">
        <f t="shared" si="23"/>
        <v>8.2258333333333337E-8</v>
      </c>
      <c r="I84" s="28">
        <f t="shared" si="23"/>
        <v>8.3879166666666677E-8</v>
      </c>
      <c r="J84" s="28">
        <f t="shared" si="23"/>
        <v>9.5220833333333345E-8</v>
      </c>
      <c r="K84" s="28">
        <f t="shared" si="23"/>
        <v>1.3702500000000002E-7</v>
      </c>
      <c r="L84" s="28">
        <f t="shared" si="23"/>
        <v>1.3250833333333335E-7</v>
      </c>
      <c r="M84" s="28">
        <f t="shared" si="23"/>
        <v>1.2382916666666666E-7</v>
      </c>
      <c r="N84" s="28">
        <f t="shared" si="23"/>
        <v>8.3691666666666663E-8</v>
      </c>
      <c r="O84" s="28">
        <f t="shared" si="23"/>
        <v>6.5808333333333332E-8</v>
      </c>
      <c r="P84" s="28">
        <f t="shared" si="23"/>
        <v>0</v>
      </c>
      <c r="Q84" s="28">
        <f t="shared" si="23"/>
        <v>0</v>
      </c>
      <c r="R84" s="28">
        <f t="shared" si="23"/>
        <v>0</v>
      </c>
      <c r="S84" s="28">
        <f t="shared" si="23"/>
        <v>0</v>
      </c>
      <c r="T84" s="28">
        <f t="shared" si="23"/>
        <v>0</v>
      </c>
      <c r="U84" s="28">
        <f t="shared" si="23"/>
        <v>0</v>
      </c>
      <c r="V84" s="28">
        <f t="shared" si="23"/>
        <v>0</v>
      </c>
      <c r="W84" s="28">
        <f t="shared" si="23"/>
        <v>0</v>
      </c>
      <c r="X84" s="28">
        <f t="shared" si="23"/>
        <v>0</v>
      </c>
      <c r="Y84" s="28">
        <f t="shared" si="23"/>
        <v>0</v>
      </c>
      <c r="Z84" s="28">
        <f t="shared" si="23"/>
        <v>0</v>
      </c>
      <c r="AA84" s="28">
        <f t="shared" si="23"/>
        <v>0</v>
      </c>
      <c r="AB84" s="28">
        <f t="shared" si="23"/>
        <v>0</v>
      </c>
      <c r="AC84" s="28">
        <f t="shared" si="23"/>
        <v>0</v>
      </c>
      <c r="AD84" s="28">
        <f t="shared" si="23"/>
        <v>0</v>
      </c>
      <c r="AE84" s="28">
        <f t="shared" si="23"/>
        <v>0</v>
      </c>
      <c r="AF84" s="28">
        <f t="shared" si="23"/>
        <v>0</v>
      </c>
      <c r="AG84" s="28">
        <f t="shared" si="23"/>
        <v>0</v>
      </c>
      <c r="AH84" s="28">
        <f t="shared" si="23"/>
        <v>0</v>
      </c>
      <c r="AI84" s="28">
        <f t="shared" si="23"/>
        <v>0</v>
      </c>
      <c r="AJ84" s="28">
        <f t="shared" si="23"/>
        <v>0</v>
      </c>
      <c r="AK84" s="28">
        <f t="shared" si="23"/>
        <v>0</v>
      </c>
      <c r="AL84" s="28">
        <f t="shared" si="23"/>
        <v>0</v>
      </c>
    </row>
    <row r="85" spans="1:38" ht="21" hidden="1" customHeight="1" outlineLevel="1" thickBot="1" x14ac:dyDescent="0.4">
      <c r="A85" s="10">
        <f t="shared" ref="A85:D100" si="24">A51</f>
        <v>0</v>
      </c>
      <c r="B85" s="10">
        <f t="shared" si="24"/>
        <v>3</v>
      </c>
      <c r="C85" s="10">
        <f t="shared" si="24"/>
        <v>0</v>
      </c>
      <c r="D85" s="10">
        <f t="shared" si="24"/>
        <v>0</v>
      </c>
      <c r="E85" s="11" t="str">
        <f t="shared" si="20"/>
        <v>Se3</v>
      </c>
      <c r="F85" s="28">
        <f t="shared" si="23"/>
        <v>1.1363333333333334E-24</v>
      </c>
      <c r="G85" s="28">
        <f t="shared" si="23"/>
        <v>1.8965E-17</v>
      </c>
      <c r="H85" s="28">
        <f t="shared" si="23"/>
        <v>4.7737500000000007E-13</v>
      </c>
      <c r="I85" s="28">
        <f t="shared" si="23"/>
        <v>4.1463333333333339E-10</v>
      </c>
      <c r="J85" s="28">
        <f t="shared" si="23"/>
        <v>5.1537500000000001E-8</v>
      </c>
      <c r="K85" s="28">
        <f t="shared" si="23"/>
        <v>1.9447083333333336E-6</v>
      </c>
      <c r="L85" s="28">
        <f t="shared" si="23"/>
        <v>3.290291666666667E-5</v>
      </c>
      <c r="M85" s="28">
        <f t="shared" si="23"/>
        <v>3.0299999999999999E-4</v>
      </c>
      <c r="N85" s="28">
        <f t="shared" si="23"/>
        <v>1.7096666666666668E-3</v>
      </c>
      <c r="O85" s="28">
        <f t="shared" si="23"/>
        <v>5.8708333333333338E-3</v>
      </c>
      <c r="P85" s="28">
        <f t="shared" si="23"/>
        <v>0</v>
      </c>
      <c r="Q85" s="28">
        <f t="shared" si="23"/>
        <v>0</v>
      </c>
      <c r="R85" s="28">
        <f t="shared" si="23"/>
        <v>0</v>
      </c>
      <c r="S85" s="28">
        <f t="shared" si="23"/>
        <v>0</v>
      </c>
      <c r="T85" s="28">
        <f t="shared" si="23"/>
        <v>0</v>
      </c>
      <c r="U85" s="28">
        <f t="shared" si="23"/>
        <v>0</v>
      </c>
      <c r="V85" s="28">
        <f t="shared" si="23"/>
        <v>0</v>
      </c>
      <c r="W85" s="28">
        <f t="shared" si="23"/>
        <v>0</v>
      </c>
      <c r="X85" s="28">
        <f t="shared" si="23"/>
        <v>0</v>
      </c>
      <c r="Y85" s="28">
        <f t="shared" si="23"/>
        <v>0</v>
      </c>
      <c r="Z85" s="28">
        <f t="shared" si="23"/>
        <v>0</v>
      </c>
      <c r="AA85" s="28">
        <f t="shared" si="23"/>
        <v>0</v>
      </c>
      <c r="AB85" s="28">
        <f t="shared" si="23"/>
        <v>0</v>
      </c>
      <c r="AC85" s="28">
        <f t="shared" si="23"/>
        <v>0</v>
      </c>
      <c r="AD85" s="28">
        <f t="shared" si="23"/>
        <v>0</v>
      </c>
      <c r="AE85" s="28">
        <f t="shared" si="23"/>
        <v>0</v>
      </c>
      <c r="AF85" s="28">
        <f t="shared" si="23"/>
        <v>0</v>
      </c>
      <c r="AG85" s="28">
        <f t="shared" si="23"/>
        <v>0</v>
      </c>
      <c r="AH85" s="28">
        <f t="shared" si="23"/>
        <v>0</v>
      </c>
      <c r="AI85" s="28">
        <f t="shared" si="23"/>
        <v>0</v>
      </c>
      <c r="AJ85" s="28">
        <f t="shared" si="23"/>
        <v>0</v>
      </c>
      <c r="AK85" s="28">
        <f t="shared" si="23"/>
        <v>0</v>
      </c>
      <c r="AL85" s="28">
        <f t="shared" si="23"/>
        <v>0</v>
      </c>
    </row>
    <row r="86" spans="1:38" ht="21" hidden="1" customHeight="1" outlineLevel="1" thickBot="1" x14ac:dyDescent="0.4">
      <c r="A86" s="10">
        <f t="shared" si="24"/>
        <v>0</v>
      </c>
      <c r="B86" s="10">
        <f t="shared" si="24"/>
        <v>4</v>
      </c>
      <c r="C86" s="10">
        <f t="shared" si="24"/>
        <v>0</v>
      </c>
      <c r="D86" s="10">
        <f t="shared" si="24"/>
        <v>0</v>
      </c>
      <c r="E86" s="11" t="str">
        <f t="shared" si="20"/>
        <v>Se4</v>
      </c>
      <c r="F86" s="28">
        <f t="shared" si="23"/>
        <v>1.1941250000000001E-22</v>
      </c>
      <c r="G86" s="28">
        <f t="shared" si="23"/>
        <v>3.8729166666666669E-16</v>
      </c>
      <c r="H86" s="28">
        <f t="shared" si="23"/>
        <v>3.2061250000000001E-12</v>
      </c>
      <c r="I86" s="28">
        <f t="shared" si="23"/>
        <v>1.2381666666666668E-9</v>
      </c>
      <c r="J86" s="28">
        <f t="shared" si="23"/>
        <v>8.2975E-8</v>
      </c>
      <c r="K86" s="28">
        <f t="shared" si="23"/>
        <v>1.9332916666666668E-6</v>
      </c>
      <c r="L86" s="28">
        <f t="shared" si="23"/>
        <v>2.2189166666666668E-5</v>
      </c>
      <c r="M86" s="28">
        <f t="shared" si="23"/>
        <v>1.4639583333333334E-4</v>
      </c>
      <c r="N86" s="28">
        <f t="shared" si="23"/>
        <v>6.0033333333333336E-4</v>
      </c>
      <c r="O86" s="28">
        <f t="shared" si="23"/>
        <v>1.4304583333333335E-3</v>
      </c>
      <c r="P86" s="28">
        <f t="shared" si="23"/>
        <v>0</v>
      </c>
      <c r="Q86" s="28">
        <f t="shared" si="23"/>
        <v>0</v>
      </c>
      <c r="R86" s="28">
        <f t="shared" si="23"/>
        <v>0</v>
      </c>
      <c r="S86" s="28">
        <f t="shared" si="23"/>
        <v>0</v>
      </c>
      <c r="T86" s="28">
        <f t="shared" si="23"/>
        <v>0</v>
      </c>
      <c r="U86" s="28">
        <f t="shared" si="23"/>
        <v>0</v>
      </c>
      <c r="V86" s="28">
        <f t="shared" si="23"/>
        <v>0</v>
      </c>
      <c r="W86" s="28">
        <f t="shared" si="23"/>
        <v>0</v>
      </c>
      <c r="X86" s="28">
        <f t="shared" si="23"/>
        <v>0</v>
      </c>
      <c r="Y86" s="28">
        <f t="shared" si="23"/>
        <v>0</v>
      </c>
      <c r="Z86" s="28">
        <f t="shared" si="23"/>
        <v>0</v>
      </c>
      <c r="AA86" s="28">
        <f t="shared" si="23"/>
        <v>0</v>
      </c>
      <c r="AB86" s="28">
        <f t="shared" si="23"/>
        <v>0</v>
      </c>
      <c r="AC86" s="28">
        <f t="shared" si="23"/>
        <v>0</v>
      </c>
      <c r="AD86" s="28">
        <f t="shared" si="23"/>
        <v>0</v>
      </c>
      <c r="AE86" s="28">
        <f t="shared" si="23"/>
        <v>0</v>
      </c>
      <c r="AF86" s="28">
        <f t="shared" si="23"/>
        <v>0</v>
      </c>
      <c r="AG86" s="28">
        <f t="shared" si="23"/>
        <v>0</v>
      </c>
      <c r="AH86" s="28">
        <f t="shared" si="23"/>
        <v>0</v>
      </c>
      <c r="AI86" s="28">
        <f t="shared" si="23"/>
        <v>0</v>
      </c>
      <c r="AJ86" s="28">
        <f t="shared" si="23"/>
        <v>0</v>
      </c>
      <c r="AK86" s="28">
        <f t="shared" si="23"/>
        <v>0</v>
      </c>
      <c r="AL86" s="28">
        <f t="shared" si="23"/>
        <v>0</v>
      </c>
    </row>
    <row r="87" spans="1:38" ht="21" hidden="1" customHeight="1" outlineLevel="1" thickBot="1" x14ac:dyDescent="0.4">
      <c r="A87" s="10">
        <f t="shared" si="24"/>
        <v>0</v>
      </c>
      <c r="B87" s="10">
        <f t="shared" si="24"/>
        <v>5</v>
      </c>
      <c r="C87" s="10">
        <f t="shared" si="24"/>
        <v>0</v>
      </c>
      <c r="D87" s="10">
        <f t="shared" si="24"/>
        <v>0</v>
      </c>
      <c r="E87" s="11" t="str">
        <f t="shared" si="20"/>
        <v>Se5</v>
      </c>
      <c r="F87" s="28">
        <f t="shared" si="23"/>
        <v>3.4430833333333334E-19</v>
      </c>
      <c r="G87" s="28">
        <f t="shared" si="23"/>
        <v>2.9897916666666669E-13</v>
      </c>
      <c r="H87" s="28">
        <f t="shared" si="23"/>
        <v>1.0087083333333333E-9</v>
      </c>
      <c r="I87" s="28">
        <f t="shared" si="23"/>
        <v>2.0192083333333335E-7</v>
      </c>
      <c r="J87" s="28">
        <f t="shared" si="23"/>
        <v>8.1858333333333339E-6</v>
      </c>
      <c r="K87" s="28">
        <f t="shared" si="23"/>
        <v>1.2880000000000001E-4</v>
      </c>
      <c r="L87" s="28">
        <f t="shared" si="23"/>
        <v>1.0772916666666669E-3</v>
      </c>
      <c r="M87" s="28">
        <f t="shared" si="23"/>
        <v>5.3995833333333335E-3</v>
      </c>
      <c r="N87" s="28">
        <f t="shared" si="23"/>
        <v>1.6897499999999999E-2</v>
      </c>
      <c r="O87" s="28">
        <f t="shared" si="23"/>
        <v>2.9113750000000004E-2</v>
      </c>
      <c r="P87" s="28">
        <f t="shared" si="23"/>
        <v>0</v>
      </c>
      <c r="Q87" s="28">
        <f t="shared" si="23"/>
        <v>0</v>
      </c>
      <c r="R87" s="28">
        <f t="shared" si="23"/>
        <v>0</v>
      </c>
      <c r="S87" s="28">
        <f t="shared" si="23"/>
        <v>0</v>
      </c>
      <c r="T87" s="28">
        <f t="shared" si="23"/>
        <v>0</v>
      </c>
      <c r="U87" s="28">
        <f t="shared" si="23"/>
        <v>0</v>
      </c>
      <c r="V87" s="28">
        <f t="shared" si="23"/>
        <v>0</v>
      </c>
      <c r="W87" s="28">
        <f t="shared" si="23"/>
        <v>0</v>
      </c>
      <c r="X87" s="28">
        <f t="shared" si="23"/>
        <v>0</v>
      </c>
      <c r="Y87" s="28">
        <f t="shared" si="23"/>
        <v>0</v>
      </c>
      <c r="Z87" s="28">
        <f t="shared" si="23"/>
        <v>0</v>
      </c>
      <c r="AA87" s="28">
        <f t="shared" si="23"/>
        <v>0</v>
      </c>
      <c r="AB87" s="28">
        <f t="shared" si="23"/>
        <v>0</v>
      </c>
      <c r="AC87" s="28">
        <f t="shared" si="23"/>
        <v>0</v>
      </c>
      <c r="AD87" s="28">
        <f t="shared" si="23"/>
        <v>0</v>
      </c>
      <c r="AE87" s="28">
        <f t="shared" si="23"/>
        <v>0</v>
      </c>
      <c r="AF87" s="28">
        <f t="shared" si="23"/>
        <v>0</v>
      </c>
      <c r="AG87" s="28">
        <f t="shared" si="23"/>
        <v>0</v>
      </c>
      <c r="AH87" s="28">
        <f t="shared" si="23"/>
        <v>0</v>
      </c>
      <c r="AI87" s="28">
        <f t="shared" si="23"/>
        <v>0</v>
      </c>
      <c r="AJ87" s="28">
        <f t="shared" si="23"/>
        <v>0</v>
      </c>
      <c r="AK87" s="28">
        <f t="shared" si="23"/>
        <v>0</v>
      </c>
      <c r="AL87" s="28">
        <f t="shared" si="23"/>
        <v>0</v>
      </c>
    </row>
    <row r="88" spans="1:38" ht="21" hidden="1" customHeight="1" outlineLevel="1" thickBot="1" x14ac:dyDescent="0.4">
      <c r="A88" s="10">
        <f t="shared" si="24"/>
        <v>0</v>
      </c>
      <c r="B88" s="10">
        <f t="shared" si="24"/>
        <v>6</v>
      </c>
      <c r="C88" s="10">
        <f t="shared" si="24"/>
        <v>0</v>
      </c>
      <c r="D88" s="10">
        <f t="shared" si="24"/>
        <v>0</v>
      </c>
      <c r="E88" s="11" t="str">
        <f t="shared" si="20"/>
        <v>Se6</v>
      </c>
      <c r="F88" s="28">
        <f t="shared" si="23"/>
        <v>1.3202083333333333E-16</v>
      </c>
      <c r="G88" s="28">
        <f t="shared" si="23"/>
        <v>1.1727083333333334E-11</v>
      </c>
      <c r="H88" s="28">
        <f t="shared" si="23"/>
        <v>8.7587500000000006E-9</v>
      </c>
      <c r="I88" s="28">
        <f t="shared" si="23"/>
        <v>5.960833333333334E-7</v>
      </c>
      <c r="J88" s="28">
        <f t="shared" si="23"/>
        <v>1.0733333333333334E-5</v>
      </c>
      <c r="K88" s="28">
        <f t="shared" si="23"/>
        <v>9.0070833333333338E-5</v>
      </c>
      <c r="L88" s="28">
        <f t="shared" si="23"/>
        <v>4.5575000000000005E-4</v>
      </c>
      <c r="M88" s="28">
        <f t="shared" si="23"/>
        <v>1.4924583333333333E-3</v>
      </c>
      <c r="N88" s="28">
        <f t="shared" si="23"/>
        <v>3.1472916666666667E-3</v>
      </c>
      <c r="O88" s="28">
        <f t="shared" si="23"/>
        <v>3.5322500000000002E-3</v>
      </c>
      <c r="P88" s="28">
        <f t="shared" si="23"/>
        <v>0</v>
      </c>
      <c r="Q88" s="28">
        <f t="shared" si="23"/>
        <v>0</v>
      </c>
      <c r="R88" s="28">
        <f t="shared" si="23"/>
        <v>0</v>
      </c>
      <c r="S88" s="28">
        <f t="shared" si="23"/>
        <v>0</v>
      </c>
      <c r="T88" s="28">
        <f t="shared" si="23"/>
        <v>0</v>
      </c>
      <c r="U88" s="28">
        <f t="shared" si="23"/>
        <v>0</v>
      </c>
      <c r="V88" s="28">
        <f t="shared" si="23"/>
        <v>0</v>
      </c>
      <c r="W88" s="28">
        <f t="shared" si="23"/>
        <v>0</v>
      </c>
      <c r="X88" s="28">
        <f t="shared" si="23"/>
        <v>0</v>
      </c>
      <c r="Y88" s="28">
        <f t="shared" si="23"/>
        <v>0</v>
      </c>
      <c r="Z88" s="28">
        <f t="shared" si="23"/>
        <v>0</v>
      </c>
      <c r="AA88" s="28">
        <f t="shared" si="23"/>
        <v>0</v>
      </c>
      <c r="AB88" s="28">
        <f t="shared" si="23"/>
        <v>0</v>
      </c>
      <c r="AC88" s="28">
        <f t="shared" si="23"/>
        <v>0</v>
      </c>
      <c r="AD88" s="28">
        <f t="shared" si="23"/>
        <v>0</v>
      </c>
      <c r="AE88" s="28">
        <f t="shared" si="23"/>
        <v>0</v>
      </c>
      <c r="AF88" s="28">
        <f t="shared" si="23"/>
        <v>0</v>
      </c>
      <c r="AG88" s="28">
        <f t="shared" si="23"/>
        <v>0</v>
      </c>
      <c r="AH88" s="28">
        <f t="shared" si="23"/>
        <v>0</v>
      </c>
      <c r="AI88" s="28">
        <f t="shared" si="23"/>
        <v>0</v>
      </c>
      <c r="AJ88" s="28">
        <f t="shared" si="23"/>
        <v>0</v>
      </c>
      <c r="AK88" s="28">
        <f t="shared" si="23"/>
        <v>0</v>
      </c>
      <c r="AL88" s="28">
        <f t="shared" si="23"/>
        <v>0</v>
      </c>
    </row>
    <row r="89" spans="1:38" ht="21" hidden="1" customHeight="1" outlineLevel="1" thickBot="1" x14ac:dyDescent="0.4">
      <c r="A89" s="10">
        <f t="shared" si="24"/>
        <v>0</v>
      </c>
      <c r="B89" s="10">
        <f t="shared" si="24"/>
        <v>7</v>
      </c>
      <c r="C89" s="10">
        <f t="shared" si="24"/>
        <v>0</v>
      </c>
      <c r="D89" s="10">
        <f t="shared" si="24"/>
        <v>0</v>
      </c>
      <c r="E89" s="11" t="str">
        <f t="shared" si="20"/>
        <v>Se7</v>
      </c>
      <c r="F89" s="28">
        <f t="shared" si="23"/>
        <v>1.1313333333333335E-17</v>
      </c>
      <c r="G89" s="28">
        <f t="shared" si="23"/>
        <v>1.9153750000000002E-12</v>
      </c>
      <c r="H89" s="28">
        <f t="shared" si="23"/>
        <v>1.9838333333333335E-9</v>
      </c>
      <c r="I89" s="28">
        <f t="shared" si="23"/>
        <v>1.6155416666666666E-7</v>
      </c>
      <c r="J89" s="28">
        <f t="shared" si="23"/>
        <v>3.2313750000000005E-6</v>
      </c>
      <c r="K89" s="28">
        <f t="shared" si="23"/>
        <v>2.9051250000000004E-5</v>
      </c>
      <c r="L89" s="28">
        <f t="shared" si="23"/>
        <v>1.5388750000000002E-4</v>
      </c>
      <c r="M89" s="28">
        <f t="shared" si="23"/>
        <v>5.126666666666667E-4</v>
      </c>
      <c r="N89" s="28">
        <f t="shared" si="23"/>
        <v>1.0491250000000001E-3</v>
      </c>
      <c r="O89" s="28">
        <f t="shared" si="23"/>
        <v>1.0412916666666667E-3</v>
      </c>
      <c r="P89" s="28">
        <f t="shared" si="23"/>
        <v>0</v>
      </c>
      <c r="Q89" s="28">
        <f t="shared" si="23"/>
        <v>0</v>
      </c>
      <c r="R89" s="28">
        <f t="shared" si="23"/>
        <v>0</v>
      </c>
      <c r="S89" s="28">
        <f t="shared" si="23"/>
        <v>0</v>
      </c>
      <c r="T89" s="28">
        <f t="shared" si="23"/>
        <v>0</v>
      </c>
      <c r="U89" s="28">
        <f t="shared" si="23"/>
        <v>0</v>
      </c>
      <c r="V89" s="28">
        <f t="shared" si="23"/>
        <v>0</v>
      </c>
      <c r="W89" s="28">
        <f t="shared" si="23"/>
        <v>0</v>
      </c>
      <c r="X89" s="28">
        <f t="shared" si="23"/>
        <v>0</v>
      </c>
      <c r="Y89" s="28">
        <f t="shared" si="23"/>
        <v>0</v>
      </c>
      <c r="Z89" s="28">
        <f t="shared" si="23"/>
        <v>0</v>
      </c>
      <c r="AA89" s="28">
        <f t="shared" si="23"/>
        <v>0</v>
      </c>
      <c r="AB89" s="28">
        <f t="shared" si="23"/>
        <v>0</v>
      </c>
      <c r="AC89" s="28">
        <f t="shared" si="23"/>
        <v>0</v>
      </c>
      <c r="AD89" s="28">
        <f t="shared" si="23"/>
        <v>0</v>
      </c>
      <c r="AE89" s="28">
        <f t="shared" si="23"/>
        <v>0</v>
      </c>
      <c r="AF89" s="28">
        <f t="shared" si="23"/>
        <v>0</v>
      </c>
      <c r="AG89" s="28">
        <f t="shared" si="23"/>
        <v>0</v>
      </c>
      <c r="AH89" s="28">
        <f t="shared" si="23"/>
        <v>0</v>
      </c>
      <c r="AI89" s="28">
        <f t="shared" si="23"/>
        <v>0</v>
      </c>
      <c r="AJ89" s="28">
        <f t="shared" si="23"/>
        <v>0</v>
      </c>
      <c r="AK89" s="28">
        <f t="shared" si="23"/>
        <v>0</v>
      </c>
      <c r="AL89" s="28">
        <f t="shared" si="23"/>
        <v>0</v>
      </c>
    </row>
    <row r="90" spans="1:38" ht="21" hidden="1" customHeight="1" outlineLevel="1" thickBot="1" x14ac:dyDescent="0.4">
      <c r="A90" s="10">
        <f t="shared" si="24"/>
        <v>0</v>
      </c>
      <c r="B90" s="10">
        <f t="shared" si="24"/>
        <v>8</v>
      </c>
      <c r="C90" s="10">
        <f t="shared" si="24"/>
        <v>0</v>
      </c>
      <c r="D90" s="10">
        <f t="shared" si="24"/>
        <v>0</v>
      </c>
      <c r="E90" s="11" t="str">
        <f t="shared" si="20"/>
        <v>Se8</v>
      </c>
      <c r="F90" s="28">
        <f t="shared" si="23"/>
        <v>2.0308750000000001E-19</v>
      </c>
      <c r="G90" s="28">
        <f t="shared" si="23"/>
        <v>5.7495833333333334E-14</v>
      </c>
      <c r="H90" s="28">
        <f t="shared" si="23"/>
        <v>7.6145833333333335E-11</v>
      </c>
      <c r="I90" s="28">
        <f t="shared" si="23"/>
        <v>7.0216666666666665E-9</v>
      </c>
      <c r="J90" s="28">
        <f t="shared" si="23"/>
        <v>1.4989583333333336E-7</v>
      </c>
      <c r="K90" s="28">
        <f t="shared" si="23"/>
        <v>1.400625E-6</v>
      </c>
      <c r="L90" s="28">
        <f t="shared" si="23"/>
        <v>7.5850000000000002E-6</v>
      </c>
      <c r="M90" s="28">
        <f t="shared" si="23"/>
        <v>2.5217916666666668E-5</v>
      </c>
      <c r="N90" s="28">
        <f t="shared" si="23"/>
        <v>4.9304166666666668E-5</v>
      </c>
      <c r="O90" s="28">
        <f t="shared" si="23"/>
        <v>4.2708333333333339E-5</v>
      </c>
      <c r="P90" s="28">
        <f t="shared" si="23"/>
        <v>0</v>
      </c>
      <c r="Q90" s="28">
        <f t="shared" si="23"/>
        <v>0</v>
      </c>
      <c r="R90" s="28">
        <f t="shared" si="23"/>
        <v>0</v>
      </c>
      <c r="S90" s="28">
        <f t="shared" si="23"/>
        <v>0</v>
      </c>
      <c r="T90" s="28">
        <f t="shared" si="23"/>
        <v>0</v>
      </c>
      <c r="U90" s="28">
        <f t="shared" si="23"/>
        <v>0</v>
      </c>
      <c r="V90" s="28">
        <f t="shared" si="23"/>
        <v>0</v>
      </c>
      <c r="W90" s="28">
        <f t="shared" si="23"/>
        <v>0</v>
      </c>
      <c r="X90" s="28">
        <f t="shared" si="23"/>
        <v>0</v>
      </c>
      <c r="Y90" s="28">
        <f t="shared" si="23"/>
        <v>0</v>
      </c>
      <c r="Z90" s="28">
        <f t="shared" si="23"/>
        <v>0</v>
      </c>
      <c r="AA90" s="28">
        <f t="shared" si="23"/>
        <v>0</v>
      </c>
      <c r="AB90" s="28">
        <f t="shared" si="23"/>
        <v>0</v>
      </c>
      <c r="AC90" s="28">
        <f t="shared" si="23"/>
        <v>0</v>
      </c>
      <c r="AD90" s="28">
        <f t="shared" si="23"/>
        <v>0</v>
      </c>
      <c r="AE90" s="28">
        <f t="shared" si="23"/>
        <v>0</v>
      </c>
      <c r="AF90" s="28">
        <f t="shared" si="23"/>
        <v>0</v>
      </c>
      <c r="AG90" s="28">
        <f t="shared" si="23"/>
        <v>0</v>
      </c>
      <c r="AH90" s="28">
        <f t="shared" si="23"/>
        <v>0</v>
      </c>
      <c r="AI90" s="28">
        <f t="shared" si="23"/>
        <v>0</v>
      </c>
      <c r="AJ90" s="28">
        <f t="shared" si="23"/>
        <v>0</v>
      </c>
      <c r="AK90" s="28">
        <f t="shared" si="23"/>
        <v>0</v>
      </c>
      <c r="AL90" s="28">
        <f t="shared" si="23"/>
        <v>0</v>
      </c>
    </row>
    <row r="91" spans="1:38" ht="21" hidden="1" customHeight="1" outlineLevel="1" thickBot="1" x14ac:dyDescent="0.4">
      <c r="A91" s="10">
        <f t="shared" si="24"/>
        <v>0</v>
      </c>
      <c r="B91" s="10">
        <f t="shared" si="24"/>
        <v>2</v>
      </c>
      <c r="C91" s="10">
        <f t="shared" si="24"/>
        <v>0</v>
      </c>
      <c r="D91" s="10">
        <f t="shared" si="24"/>
        <v>0</v>
      </c>
      <c r="E91" s="11" t="str">
        <f t="shared" si="20"/>
        <v>Se2</v>
      </c>
      <c r="F91" s="28">
        <f t="shared" si="23"/>
        <v>1.5840000000000001E-19</v>
      </c>
      <c r="G91" s="28">
        <f t="shared" si="23"/>
        <v>1.3540833333333336E-13</v>
      </c>
      <c r="H91" s="28">
        <f t="shared" si="23"/>
        <v>5.997916666666667E-10</v>
      </c>
      <c r="I91" s="28">
        <f t="shared" si="23"/>
        <v>1.7064583333333333E-7</v>
      </c>
      <c r="J91" s="28">
        <f t="shared" si="23"/>
        <v>9.8500000000000006E-6</v>
      </c>
      <c r="K91" s="28">
        <f t="shared" si="23"/>
        <v>2.1265833333333336E-4</v>
      </c>
      <c r="L91" s="28">
        <f t="shared" si="23"/>
        <v>2.3630833333333338E-3</v>
      </c>
      <c r="M91" s="28">
        <f t="shared" si="23"/>
        <v>1.59375E-2</v>
      </c>
      <c r="N91" s="28">
        <f t="shared" si="23"/>
        <v>7.3162500000000005E-2</v>
      </c>
      <c r="O91" s="28">
        <f t="shared" si="23"/>
        <v>0.23425000000000001</v>
      </c>
      <c r="P91" s="28">
        <f t="shared" si="23"/>
        <v>0</v>
      </c>
      <c r="Q91" s="28">
        <f t="shared" si="23"/>
        <v>0</v>
      </c>
      <c r="R91" s="28">
        <f t="shared" si="23"/>
        <v>0</v>
      </c>
      <c r="S91" s="28">
        <f t="shared" si="23"/>
        <v>0</v>
      </c>
      <c r="T91" s="28">
        <f t="shared" si="23"/>
        <v>0</v>
      </c>
      <c r="U91" s="28">
        <f t="shared" si="23"/>
        <v>0</v>
      </c>
      <c r="V91" s="28">
        <f t="shared" si="23"/>
        <v>0</v>
      </c>
      <c r="W91" s="28">
        <f t="shared" si="23"/>
        <v>0</v>
      </c>
      <c r="X91" s="28">
        <f t="shared" si="23"/>
        <v>0</v>
      </c>
      <c r="Y91" s="28">
        <f t="shared" si="23"/>
        <v>0</v>
      </c>
      <c r="Z91" s="28">
        <f t="shared" si="23"/>
        <v>0</v>
      </c>
      <c r="AA91" s="28">
        <f t="shared" si="23"/>
        <v>0</v>
      </c>
      <c r="AB91" s="28">
        <f t="shared" si="23"/>
        <v>0</v>
      </c>
      <c r="AC91" s="28">
        <f t="shared" si="23"/>
        <v>0</v>
      </c>
      <c r="AD91" s="28">
        <f t="shared" ref="AD91:AL91" si="25">AD11*$C$82</f>
        <v>0</v>
      </c>
      <c r="AE91" s="28">
        <f t="shared" si="25"/>
        <v>0</v>
      </c>
      <c r="AF91" s="28">
        <f t="shared" si="25"/>
        <v>0</v>
      </c>
      <c r="AG91" s="28">
        <f t="shared" si="25"/>
        <v>0</v>
      </c>
      <c r="AH91" s="28">
        <f t="shared" si="25"/>
        <v>0</v>
      </c>
      <c r="AI91" s="28">
        <f t="shared" si="25"/>
        <v>0</v>
      </c>
      <c r="AJ91" s="28">
        <f t="shared" si="25"/>
        <v>0</v>
      </c>
      <c r="AK91" s="28">
        <f t="shared" si="25"/>
        <v>0</v>
      </c>
      <c r="AL91" s="28">
        <f t="shared" si="25"/>
        <v>0</v>
      </c>
    </row>
    <row r="92" spans="1:38" ht="21" hidden="1" customHeight="1" outlineLevel="1" thickBot="1" x14ac:dyDescent="0.4">
      <c r="A92" s="10">
        <f t="shared" si="24"/>
        <v>0</v>
      </c>
      <c r="B92" s="10">
        <f t="shared" si="24"/>
        <v>1</v>
      </c>
      <c r="C92" s="10">
        <f t="shared" si="24"/>
        <v>0</v>
      </c>
      <c r="D92" s="10">
        <f t="shared" si="24"/>
        <v>0</v>
      </c>
      <c r="E92" s="11" t="str">
        <f t="shared" si="20"/>
        <v>Se</v>
      </c>
      <c r="F92" s="28">
        <f t="shared" ref="F92:AL99" si="26">F12*$C$82</f>
        <v>0</v>
      </c>
      <c r="G92" s="28">
        <f t="shared" si="26"/>
        <v>7.304166666666667E-29</v>
      </c>
      <c r="H92" s="28">
        <f t="shared" si="26"/>
        <v>1.6820833333333335E-22</v>
      </c>
      <c r="I92" s="28">
        <f t="shared" si="26"/>
        <v>3.7200416666666663E-18</v>
      </c>
      <c r="J92" s="28">
        <f t="shared" si="26"/>
        <v>5.3370833333333339E-15</v>
      </c>
      <c r="K92" s="28">
        <f t="shared" si="26"/>
        <v>1.3622083333333335E-12</v>
      </c>
      <c r="L92" s="28">
        <f t="shared" si="26"/>
        <v>1.0777083333333334E-10</v>
      </c>
      <c r="M92" s="28">
        <f t="shared" si="26"/>
        <v>3.6526250000000001E-9</v>
      </c>
      <c r="N92" s="28">
        <f t="shared" si="26"/>
        <v>6.6891666666666672E-8</v>
      </c>
      <c r="O92" s="28">
        <f t="shared" si="26"/>
        <v>7.5916666666666677E-7</v>
      </c>
      <c r="P92" s="28">
        <f t="shared" si="26"/>
        <v>0</v>
      </c>
      <c r="Q92" s="28">
        <f t="shared" si="26"/>
        <v>0</v>
      </c>
      <c r="R92" s="28">
        <f t="shared" si="26"/>
        <v>0</v>
      </c>
      <c r="S92" s="28">
        <f t="shared" si="26"/>
        <v>0</v>
      </c>
      <c r="T92" s="28">
        <f t="shared" si="26"/>
        <v>0</v>
      </c>
      <c r="U92" s="28">
        <f t="shared" si="26"/>
        <v>0</v>
      </c>
      <c r="V92" s="28">
        <f t="shared" si="26"/>
        <v>0</v>
      </c>
      <c r="W92" s="28">
        <f t="shared" si="26"/>
        <v>0</v>
      </c>
      <c r="X92" s="28">
        <f t="shared" si="26"/>
        <v>0</v>
      </c>
      <c r="Y92" s="28">
        <f t="shared" si="26"/>
        <v>0</v>
      </c>
      <c r="Z92" s="28">
        <f t="shared" si="26"/>
        <v>0</v>
      </c>
      <c r="AA92" s="28">
        <f t="shared" si="26"/>
        <v>0</v>
      </c>
      <c r="AB92" s="28">
        <f t="shared" si="26"/>
        <v>0</v>
      </c>
      <c r="AC92" s="28">
        <f t="shared" si="26"/>
        <v>0</v>
      </c>
      <c r="AD92" s="28">
        <f t="shared" si="26"/>
        <v>0</v>
      </c>
      <c r="AE92" s="28">
        <f t="shared" si="26"/>
        <v>0</v>
      </c>
      <c r="AF92" s="28">
        <f t="shared" si="26"/>
        <v>0</v>
      </c>
      <c r="AG92" s="28">
        <f t="shared" si="26"/>
        <v>0</v>
      </c>
      <c r="AH92" s="28">
        <f t="shared" si="26"/>
        <v>0</v>
      </c>
      <c r="AI92" s="28">
        <f t="shared" si="26"/>
        <v>0</v>
      </c>
      <c r="AJ92" s="28">
        <f t="shared" si="26"/>
        <v>0</v>
      </c>
      <c r="AK92" s="28">
        <f t="shared" si="26"/>
        <v>0</v>
      </c>
      <c r="AL92" s="28">
        <f t="shared" si="26"/>
        <v>0</v>
      </c>
    </row>
    <row r="93" spans="1:38" ht="21" hidden="1" customHeight="1" outlineLevel="1" thickBot="1" x14ac:dyDescent="0.4">
      <c r="A93" s="10">
        <f t="shared" si="24"/>
        <v>0</v>
      </c>
      <c r="B93" s="10">
        <f t="shared" si="24"/>
        <v>1</v>
      </c>
      <c r="C93" s="10">
        <f t="shared" si="24"/>
        <v>0</v>
      </c>
      <c r="D93" s="10">
        <f t="shared" si="24"/>
        <v>2</v>
      </c>
      <c r="E93" s="11" t="str">
        <f t="shared" si="20"/>
        <v>Ga2Se</v>
      </c>
      <c r="F93" s="28">
        <f t="shared" si="26"/>
        <v>8.3362500000000006E-11</v>
      </c>
      <c r="G93" s="28">
        <f t="shared" si="26"/>
        <v>2.7625000000000005E-7</v>
      </c>
      <c r="H93" s="28">
        <f t="shared" si="26"/>
        <v>3.6779583333333339E-5</v>
      </c>
      <c r="I93" s="28">
        <f t="shared" si="26"/>
        <v>9.2754166666666679E-4</v>
      </c>
      <c r="J93" s="28">
        <f t="shared" si="26"/>
        <v>8.445416666666667E-3</v>
      </c>
      <c r="K93" s="28">
        <f t="shared" si="26"/>
        <v>3.4418333333333335E-2</v>
      </c>
      <c r="L93" s="28">
        <f t="shared" si="26"/>
        <v>7.1970833333333345E-2</v>
      </c>
      <c r="M93" s="28">
        <f t="shared" si="26"/>
        <v>0.10289583333333335</v>
      </c>
      <c r="N93" s="28">
        <f t="shared" si="26"/>
        <v>0.12474583333333335</v>
      </c>
      <c r="O93" s="28">
        <f t="shared" si="26"/>
        <v>0.14038333333333333</v>
      </c>
      <c r="P93" s="28">
        <f t="shared" si="26"/>
        <v>0</v>
      </c>
      <c r="Q93" s="28">
        <f t="shared" si="26"/>
        <v>0</v>
      </c>
      <c r="R93" s="28">
        <f t="shared" si="26"/>
        <v>0</v>
      </c>
      <c r="S93" s="28">
        <f t="shared" si="26"/>
        <v>0</v>
      </c>
      <c r="T93" s="28">
        <f t="shared" si="26"/>
        <v>0</v>
      </c>
      <c r="U93" s="28">
        <f t="shared" si="26"/>
        <v>0</v>
      </c>
      <c r="V93" s="28">
        <f t="shared" si="26"/>
        <v>0</v>
      </c>
      <c r="W93" s="28">
        <f t="shared" si="26"/>
        <v>0</v>
      </c>
      <c r="X93" s="28">
        <f t="shared" si="26"/>
        <v>0</v>
      </c>
      <c r="Y93" s="28">
        <f t="shared" si="26"/>
        <v>0</v>
      </c>
      <c r="Z93" s="28">
        <f t="shared" si="26"/>
        <v>0</v>
      </c>
      <c r="AA93" s="28">
        <f t="shared" si="26"/>
        <v>0</v>
      </c>
      <c r="AB93" s="28">
        <f t="shared" si="26"/>
        <v>0</v>
      </c>
      <c r="AC93" s="28">
        <f t="shared" si="26"/>
        <v>0</v>
      </c>
      <c r="AD93" s="28">
        <f t="shared" si="26"/>
        <v>0</v>
      </c>
      <c r="AE93" s="28">
        <f t="shared" si="26"/>
        <v>0</v>
      </c>
      <c r="AF93" s="28">
        <f t="shared" si="26"/>
        <v>0</v>
      </c>
      <c r="AG93" s="28">
        <f t="shared" si="26"/>
        <v>0</v>
      </c>
      <c r="AH93" s="28">
        <f t="shared" si="26"/>
        <v>0</v>
      </c>
      <c r="AI93" s="28">
        <f t="shared" si="26"/>
        <v>0</v>
      </c>
      <c r="AJ93" s="28">
        <f t="shared" si="26"/>
        <v>0</v>
      </c>
      <c r="AK93" s="28">
        <f t="shared" si="26"/>
        <v>0</v>
      </c>
      <c r="AL93" s="28">
        <f t="shared" si="26"/>
        <v>0</v>
      </c>
    </row>
    <row r="94" spans="1:38" ht="21" hidden="1" customHeight="1" outlineLevel="1" thickBot="1" x14ac:dyDescent="0.4">
      <c r="A94" s="10">
        <f t="shared" si="24"/>
        <v>1</v>
      </c>
      <c r="B94" s="10">
        <f t="shared" si="24"/>
        <v>0</v>
      </c>
      <c r="C94" s="10">
        <f t="shared" si="24"/>
        <v>0</v>
      </c>
      <c r="D94" s="10">
        <f t="shared" si="24"/>
        <v>0</v>
      </c>
      <c r="E94" s="11" t="str">
        <f t="shared" si="20"/>
        <v>Ar</v>
      </c>
      <c r="F94" s="28">
        <f t="shared" si="26"/>
        <v>0.83333333333333348</v>
      </c>
      <c r="G94" s="28">
        <f t="shared" si="26"/>
        <v>0.83333333333333348</v>
      </c>
      <c r="H94" s="28">
        <f t="shared" si="26"/>
        <v>0.83333333333333348</v>
      </c>
      <c r="I94" s="28">
        <f t="shared" si="26"/>
        <v>0.83333333333333348</v>
      </c>
      <c r="J94" s="28">
        <f t="shared" si="26"/>
        <v>0.83333333333333348</v>
      </c>
      <c r="K94" s="28">
        <f t="shared" si="26"/>
        <v>0.83333333333333348</v>
      </c>
      <c r="L94" s="28">
        <f t="shared" si="26"/>
        <v>0.83333333333333348</v>
      </c>
      <c r="M94" s="28">
        <f t="shared" si="26"/>
        <v>0.83333333333333348</v>
      </c>
      <c r="N94" s="28">
        <f t="shared" si="26"/>
        <v>0.83333333333333348</v>
      </c>
      <c r="O94" s="28">
        <f t="shared" si="26"/>
        <v>0.83333333333333348</v>
      </c>
      <c r="P94" s="28">
        <f t="shared" si="26"/>
        <v>0</v>
      </c>
      <c r="Q94" s="28">
        <f t="shared" si="26"/>
        <v>0</v>
      </c>
      <c r="R94" s="28">
        <f t="shared" si="26"/>
        <v>0</v>
      </c>
      <c r="S94" s="28">
        <f t="shared" si="26"/>
        <v>0</v>
      </c>
      <c r="T94" s="28">
        <f t="shared" si="26"/>
        <v>0</v>
      </c>
      <c r="U94" s="28">
        <f t="shared" si="26"/>
        <v>0</v>
      </c>
      <c r="V94" s="28">
        <f t="shared" si="26"/>
        <v>0</v>
      </c>
      <c r="W94" s="28">
        <f t="shared" si="26"/>
        <v>0</v>
      </c>
      <c r="X94" s="28">
        <f t="shared" si="26"/>
        <v>0</v>
      </c>
      <c r="Y94" s="28">
        <f t="shared" si="26"/>
        <v>0</v>
      </c>
      <c r="Z94" s="28">
        <f t="shared" si="26"/>
        <v>0</v>
      </c>
      <c r="AA94" s="28">
        <f t="shared" si="26"/>
        <v>0</v>
      </c>
      <c r="AB94" s="28">
        <f t="shared" si="26"/>
        <v>0</v>
      </c>
      <c r="AC94" s="28">
        <f t="shared" si="26"/>
        <v>0</v>
      </c>
      <c r="AD94" s="28">
        <f t="shared" si="26"/>
        <v>0</v>
      </c>
      <c r="AE94" s="28">
        <f t="shared" si="26"/>
        <v>0</v>
      </c>
      <c r="AF94" s="28">
        <f t="shared" si="26"/>
        <v>0</v>
      </c>
      <c r="AG94" s="28">
        <f t="shared" si="26"/>
        <v>0</v>
      </c>
      <c r="AH94" s="28">
        <f t="shared" si="26"/>
        <v>0</v>
      </c>
      <c r="AI94" s="28">
        <f t="shared" si="26"/>
        <v>0</v>
      </c>
      <c r="AJ94" s="28">
        <f t="shared" si="26"/>
        <v>0</v>
      </c>
      <c r="AK94" s="28">
        <f t="shared" si="26"/>
        <v>0</v>
      </c>
      <c r="AL94" s="28">
        <f t="shared" si="26"/>
        <v>0</v>
      </c>
    </row>
    <row r="95" spans="1:38" ht="21" hidden="1" customHeight="1" outlineLevel="1" thickBot="1" x14ac:dyDescent="0.4">
      <c r="A95" s="10">
        <f t="shared" si="24"/>
        <v>0</v>
      </c>
      <c r="B95" s="10">
        <f t="shared" si="24"/>
        <v>0</v>
      </c>
      <c r="C95" s="10">
        <f t="shared" si="24"/>
        <v>0</v>
      </c>
      <c r="D95" s="10">
        <f t="shared" si="24"/>
        <v>1</v>
      </c>
      <c r="E95" s="11" t="str">
        <f t="shared" si="20"/>
        <v>(l)Ga[l]</v>
      </c>
      <c r="F95" s="28">
        <f t="shared" si="26"/>
        <v>0.33333333333333337</v>
      </c>
      <c r="G95" s="28">
        <f t="shared" si="26"/>
        <v>0.33333333333333337</v>
      </c>
      <c r="H95" s="28">
        <f t="shared" si="26"/>
        <v>0.33325833333333332</v>
      </c>
      <c r="I95" s="28">
        <f t="shared" si="26"/>
        <v>0.33147916666666671</v>
      </c>
      <c r="J95" s="28">
        <f t="shared" si="26"/>
        <v>0.31644166666666668</v>
      </c>
      <c r="K95" s="28">
        <f t="shared" si="26"/>
        <v>0.26449583333333332</v>
      </c>
      <c r="L95" s="28">
        <f t="shared" si="26"/>
        <v>0.18938750000000001</v>
      </c>
      <c r="M95" s="28">
        <f t="shared" si="26"/>
        <v>0.12753750000000003</v>
      </c>
      <c r="N95" s="28">
        <f t="shared" si="26"/>
        <v>8.3841666666666675E-2</v>
      </c>
      <c r="O95" s="28">
        <f t="shared" si="26"/>
        <v>5.2570833333333337E-2</v>
      </c>
      <c r="P95" s="28">
        <f t="shared" si="26"/>
        <v>0</v>
      </c>
      <c r="Q95" s="28">
        <f t="shared" si="26"/>
        <v>0</v>
      </c>
      <c r="R95" s="28">
        <f t="shared" si="26"/>
        <v>0</v>
      </c>
      <c r="S95" s="28">
        <f t="shared" si="26"/>
        <v>0</v>
      </c>
      <c r="T95" s="28">
        <f t="shared" si="26"/>
        <v>0</v>
      </c>
      <c r="U95" s="28">
        <f t="shared" si="26"/>
        <v>0</v>
      </c>
      <c r="V95" s="28">
        <f t="shared" si="26"/>
        <v>0</v>
      </c>
      <c r="W95" s="28">
        <f t="shared" si="26"/>
        <v>0</v>
      </c>
      <c r="X95" s="28">
        <f t="shared" si="26"/>
        <v>0</v>
      </c>
      <c r="Y95" s="28">
        <f t="shared" si="26"/>
        <v>0</v>
      </c>
      <c r="Z95" s="28">
        <f t="shared" si="26"/>
        <v>0</v>
      </c>
      <c r="AA95" s="28">
        <f t="shared" si="26"/>
        <v>0</v>
      </c>
      <c r="AB95" s="28">
        <f t="shared" si="26"/>
        <v>0</v>
      </c>
      <c r="AC95" s="28">
        <f t="shared" si="26"/>
        <v>0</v>
      </c>
      <c r="AD95" s="28">
        <f t="shared" si="26"/>
        <v>0</v>
      </c>
      <c r="AE95" s="28">
        <f t="shared" si="26"/>
        <v>0</v>
      </c>
      <c r="AF95" s="28">
        <f t="shared" si="26"/>
        <v>0</v>
      </c>
      <c r="AG95" s="28">
        <f t="shared" si="26"/>
        <v>0</v>
      </c>
      <c r="AH95" s="28">
        <f t="shared" si="26"/>
        <v>0</v>
      </c>
      <c r="AI95" s="28">
        <f t="shared" si="26"/>
        <v>0</v>
      </c>
      <c r="AJ95" s="28">
        <f t="shared" si="26"/>
        <v>0</v>
      </c>
      <c r="AK95" s="28">
        <f t="shared" si="26"/>
        <v>0</v>
      </c>
      <c r="AL95" s="28">
        <f t="shared" si="26"/>
        <v>0</v>
      </c>
    </row>
    <row r="96" spans="1:38" ht="21" hidden="1" customHeight="1" outlineLevel="1" thickBot="1" x14ac:dyDescent="0.4">
      <c r="A96" s="10">
        <f t="shared" si="24"/>
        <v>0</v>
      </c>
      <c r="B96" s="10">
        <f t="shared" si="24"/>
        <v>0</v>
      </c>
      <c r="C96" s="10">
        <f t="shared" si="24"/>
        <v>1</v>
      </c>
      <c r="D96" s="10">
        <f t="shared" si="24"/>
        <v>0</v>
      </c>
      <c r="E96" s="11" t="str">
        <f t="shared" si="20"/>
        <v>(l)Ge[l]</v>
      </c>
      <c r="F96" s="28">
        <f t="shared" si="26"/>
        <v>1</v>
      </c>
      <c r="G96" s="28">
        <f t="shared" si="26"/>
        <v>1</v>
      </c>
      <c r="H96" s="28">
        <f t="shared" si="26"/>
        <v>1</v>
      </c>
      <c r="I96" s="28">
        <f t="shared" si="26"/>
        <v>1</v>
      </c>
      <c r="J96" s="28">
        <f t="shared" si="26"/>
        <v>1</v>
      </c>
      <c r="K96" s="28">
        <f t="shared" si="26"/>
        <v>1</v>
      </c>
      <c r="L96" s="28">
        <f t="shared" si="26"/>
        <v>1</v>
      </c>
      <c r="M96" s="28">
        <f t="shared" si="26"/>
        <v>1</v>
      </c>
      <c r="N96" s="28">
        <f t="shared" si="26"/>
        <v>1</v>
      </c>
      <c r="O96" s="28">
        <f t="shared" si="26"/>
        <v>1</v>
      </c>
      <c r="P96" s="28">
        <f t="shared" si="26"/>
        <v>0</v>
      </c>
      <c r="Q96" s="28">
        <f t="shared" si="26"/>
        <v>0</v>
      </c>
      <c r="R96" s="28">
        <f t="shared" si="26"/>
        <v>0</v>
      </c>
      <c r="S96" s="28">
        <f t="shared" si="26"/>
        <v>0</v>
      </c>
      <c r="T96" s="28">
        <f t="shared" si="26"/>
        <v>0</v>
      </c>
      <c r="U96" s="28">
        <f t="shared" si="26"/>
        <v>0</v>
      </c>
      <c r="V96" s="28">
        <f t="shared" si="26"/>
        <v>0</v>
      </c>
      <c r="W96" s="28">
        <f t="shared" si="26"/>
        <v>0</v>
      </c>
      <c r="X96" s="28">
        <f t="shared" si="26"/>
        <v>0</v>
      </c>
      <c r="Y96" s="28">
        <f t="shared" si="26"/>
        <v>0</v>
      </c>
      <c r="Z96" s="28">
        <f t="shared" si="26"/>
        <v>0</v>
      </c>
      <c r="AA96" s="28">
        <f t="shared" si="26"/>
        <v>0</v>
      </c>
      <c r="AB96" s="28">
        <f t="shared" si="26"/>
        <v>0</v>
      </c>
      <c r="AC96" s="28">
        <f t="shared" si="26"/>
        <v>0</v>
      </c>
      <c r="AD96" s="28">
        <f t="shared" si="26"/>
        <v>0</v>
      </c>
      <c r="AE96" s="28">
        <f t="shared" si="26"/>
        <v>0</v>
      </c>
      <c r="AF96" s="28">
        <f t="shared" si="26"/>
        <v>0</v>
      </c>
      <c r="AG96" s="28">
        <f t="shared" si="26"/>
        <v>0</v>
      </c>
      <c r="AH96" s="28">
        <f t="shared" si="26"/>
        <v>0</v>
      </c>
      <c r="AI96" s="28">
        <f t="shared" si="26"/>
        <v>0</v>
      </c>
      <c r="AJ96" s="28">
        <f t="shared" si="26"/>
        <v>0</v>
      </c>
      <c r="AK96" s="28">
        <f t="shared" si="26"/>
        <v>0</v>
      </c>
      <c r="AL96" s="28">
        <f t="shared" si="26"/>
        <v>0</v>
      </c>
    </row>
    <row r="97" spans="1:38" ht="21" hidden="1" customHeight="1" outlineLevel="1" thickBot="1" x14ac:dyDescent="0.4">
      <c r="A97" s="10">
        <f t="shared" si="24"/>
        <v>0</v>
      </c>
      <c r="B97" s="10">
        <f t="shared" si="24"/>
        <v>1</v>
      </c>
      <c r="C97" s="10">
        <f t="shared" si="24"/>
        <v>0</v>
      </c>
      <c r="D97" s="10">
        <f t="shared" si="24"/>
        <v>0</v>
      </c>
      <c r="E97" s="11" t="str">
        <f t="shared" si="20"/>
        <v>(l)Se[l]</v>
      </c>
      <c r="F97" s="28">
        <f t="shared" si="26"/>
        <v>2</v>
      </c>
      <c r="G97" s="28">
        <f t="shared" si="26"/>
        <v>2</v>
      </c>
      <c r="H97" s="28">
        <f t="shared" si="26"/>
        <v>1.9999583333333335</v>
      </c>
      <c r="I97" s="28">
        <f t="shared" si="26"/>
        <v>1.9990833333333333</v>
      </c>
      <c r="J97" s="28">
        <f t="shared" si="26"/>
        <v>1.9914166666666666</v>
      </c>
      <c r="K97" s="28">
        <f t="shared" si="26"/>
        <v>1.9637500000000001</v>
      </c>
      <c r="L97" s="28">
        <f t="shared" si="26"/>
        <v>1.9138750000000002</v>
      </c>
      <c r="M97" s="28">
        <f t="shared" si="26"/>
        <v>1.8240000000000001</v>
      </c>
      <c r="N97" s="28">
        <f t="shared" si="26"/>
        <v>1.6102916666666667</v>
      </c>
      <c r="O97" s="28">
        <f t="shared" si="26"/>
        <v>1.1933750000000001</v>
      </c>
      <c r="P97" s="28">
        <f t="shared" si="26"/>
        <v>0</v>
      </c>
      <c r="Q97" s="28">
        <f t="shared" si="26"/>
        <v>0</v>
      </c>
      <c r="R97" s="28">
        <f t="shared" si="26"/>
        <v>0</v>
      </c>
      <c r="S97" s="28">
        <f t="shared" si="26"/>
        <v>0</v>
      </c>
      <c r="T97" s="28">
        <f t="shared" si="26"/>
        <v>0</v>
      </c>
      <c r="U97" s="28">
        <f t="shared" si="26"/>
        <v>0</v>
      </c>
      <c r="V97" s="28">
        <f t="shared" si="26"/>
        <v>0</v>
      </c>
      <c r="W97" s="28">
        <f t="shared" si="26"/>
        <v>0</v>
      </c>
      <c r="X97" s="28">
        <f t="shared" si="26"/>
        <v>0</v>
      </c>
      <c r="Y97" s="28">
        <f t="shared" si="26"/>
        <v>0</v>
      </c>
      <c r="Z97" s="28">
        <f t="shared" si="26"/>
        <v>0</v>
      </c>
      <c r="AA97" s="28">
        <f t="shared" si="26"/>
        <v>0</v>
      </c>
      <c r="AB97" s="28">
        <f t="shared" si="26"/>
        <v>0</v>
      </c>
      <c r="AC97" s="28">
        <f t="shared" si="26"/>
        <v>0</v>
      </c>
      <c r="AD97" s="28">
        <f t="shared" si="26"/>
        <v>0</v>
      </c>
      <c r="AE97" s="28">
        <f t="shared" si="26"/>
        <v>0</v>
      </c>
      <c r="AF97" s="28">
        <f t="shared" si="26"/>
        <v>0</v>
      </c>
      <c r="AG97" s="28">
        <f t="shared" si="26"/>
        <v>0</v>
      </c>
      <c r="AH97" s="28">
        <f t="shared" si="26"/>
        <v>0</v>
      </c>
      <c r="AI97" s="28">
        <f t="shared" si="26"/>
        <v>0</v>
      </c>
      <c r="AJ97" s="28">
        <f t="shared" si="26"/>
        <v>0</v>
      </c>
      <c r="AK97" s="28">
        <f t="shared" si="26"/>
        <v>0</v>
      </c>
      <c r="AL97" s="28">
        <f t="shared" si="26"/>
        <v>0</v>
      </c>
    </row>
    <row r="98" spans="1:38" ht="21" hidden="1" customHeight="1" outlineLevel="1" thickBot="1" x14ac:dyDescent="0.4">
      <c r="A98" s="10">
        <f t="shared" si="24"/>
        <v>1</v>
      </c>
      <c r="B98" s="10">
        <f t="shared" si="24"/>
        <v>0</v>
      </c>
      <c r="C98" s="10">
        <f t="shared" si="24"/>
        <v>0</v>
      </c>
      <c r="D98" s="10">
        <f t="shared" si="24"/>
        <v>0</v>
      </c>
      <c r="E98" s="11" t="str">
        <f t="shared" si="20"/>
        <v>H (Ar)</v>
      </c>
      <c r="F98" s="28">
        <f t="shared" si="26"/>
        <v>-77.583333333333343</v>
      </c>
      <c r="G98" s="28">
        <f t="shared" si="26"/>
        <v>-77.708333333333329</v>
      </c>
      <c r="H98" s="28">
        <f t="shared" si="26"/>
        <v>-78.208333333333343</v>
      </c>
      <c r="I98" s="28">
        <f t="shared" si="26"/>
        <v>-78.875</v>
      </c>
      <c r="J98" s="28">
        <f t="shared" si="26"/>
        <v>-79.583333333333343</v>
      </c>
      <c r="K98" s="28">
        <f t="shared" si="26"/>
        <v>-80.416666666666671</v>
      </c>
      <c r="L98" s="28">
        <f t="shared" si="26"/>
        <v>-81.291666666666686</v>
      </c>
      <c r="M98" s="28">
        <f t="shared" si="26"/>
        <v>-82.208333333333343</v>
      </c>
      <c r="N98" s="28">
        <f t="shared" si="26"/>
        <v>-83.208333333333329</v>
      </c>
      <c r="O98" s="28">
        <f t="shared" si="26"/>
        <v>-84.541666666666671</v>
      </c>
      <c r="P98" s="28">
        <f t="shared" si="26"/>
        <v>0</v>
      </c>
      <c r="Q98" s="28">
        <f t="shared" si="26"/>
        <v>0</v>
      </c>
      <c r="R98" s="28">
        <f t="shared" si="26"/>
        <v>0</v>
      </c>
      <c r="S98" s="28">
        <f t="shared" si="26"/>
        <v>0</v>
      </c>
      <c r="T98" s="28">
        <f t="shared" si="26"/>
        <v>0</v>
      </c>
      <c r="U98" s="28">
        <f t="shared" si="26"/>
        <v>0</v>
      </c>
      <c r="V98" s="28">
        <f t="shared" si="26"/>
        <v>0</v>
      </c>
      <c r="W98" s="28">
        <f t="shared" si="26"/>
        <v>0</v>
      </c>
      <c r="X98" s="28">
        <f t="shared" si="26"/>
        <v>0</v>
      </c>
      <c r="Y98" s="28">
        <f t="shared" si="26"/>
        <v>0</v>
      </c>
      <c r="Z98" s="28">
        <f t="shared" si="26"/>
        <v>0</v>
      </c>
      <c r="AA98" s="28">
        <f t="shared" si="26"/>
        <v>0</v>
      </c>
      <c r="AB98" s="28">
        <f t="shared" si="26"/>
        <v>0</v>
      </c>
      <c r="AC98" s="28">
        <f t="shared" si="26"/>
        <v>0</v>
      </c>
      <c r="AD98" s="28">
        <f t="shared" si="26"/>
        <v>0</v>
      </c>
      <c r="AE98" s="28">
        <f t="shared" si="26"/>
        <v>0</v>
      </c>
      <c r="AF98" s="28">
        <f t="shared" si="26"/>
        <v>0</v>
      </c>
      <c r="AG98" s="28">
        <f t="shared" si="26"/>
        <v>0</v>
      </c>
      <c r="AH98" s="28">
        <f t="shared" si="26"/>
        <v>0</v>
      </c>
      <c r="AI98" s="28">
        <f t="shared" si="26"/>
        <v>0</v>
      </c>
      <c r="AJ98" s="28">
        <f t="shared" si="26"/>
        <v>0</v>
      </c>
      <c r="AK98" s="28">
        <f t="shared" si="26"/>
        <v>0</v>
      </c>
      <c r="AL98" s="28">
        <f t="shared" si="26"/>
        <v>0</v>
      </c>
    </row>
    <row r="99" spans="1:38" ht="21" hidden="1" customHeight="1" outlineLevel="1" thickBot="1" x14ac:dyDescent="0.4">
      <c r="A99" s="10">
        <f t="shared" si="24"/>
        <v>0</v>
      </c>
      <c r="B99" s="10">
        <f t="shared" si="24"/>
        <v>0</v>
      </c>
      <c r="C99" s="10">
        <f t="shared" si="24"/>
        <v>0</v>
      </c>
      <c r="D99" s="10">
        <f t="shared" si="24"/>
        <v>1</v>
      </c>
      <c r="E99" s="11" t="str">
        <f t="shared" si="20"/>
        <v>H (Ga)</v>
      </c>
      <c r="F99" s="28">
        <f t="shared" si="26"/>
        <v>-29.041666666666668</v>
      </c>
      <c r="G99" s="28">
        <f t="shared" si="26"/>
        <v>-31.516666666666669</v>
      </c>
      <c r="H99" s="28">
        <f t="shared" si="26"/>
        <v>-33.675000000000004</v>
      </c>
      <c r="I99" s="28">
        <f t="shared" si="26"/>
        <v>-35.575000000000003</v>
      </c>
      <c r="J99" s="28">
        <f t="shared" si="26"/>
        <v>-37.395833333333336</v>
      </c>
      <c r="K99" s="28">
        <f t="shared" si="26"/>
        <v>-39.520833333333336</v>
      </c>
      <c r="L99" s="28">
        <f t="shared" si="26"/>
        <v>-42.083333333333336</v>
      </c>
      <c r="M99" s="28">
        <f t="shared" si="26"/>
        <v>-44.750000000000007</v>
      </c>
      <c r="N99" s="28">
        <f t="shared" si="26"/>
        <v>-47.208333333333336</v>
      </c>
      <c r="O99" s="28">
        <f t="shared" si="26"/>
        <v>-49.416666666666664</v>
      </c>
      <c r="P99" s="28">
        <f t="shared" si="26"/>
        <v>0</v>
      </c>
      <c r="Q99" s="28">
        <f t="shared" si="26"/>
        <v>0</v>
      </c>
      <c r="R99" s="28">
        <f t="shared" si="26"/>
        <v>0</v>
      </c>
      <c r="S99" s="28">
        <f t="shared" si="26"/>
        <v>0</v>
      </c>
      <c r="T99" s="28">
        <f t="shared" si="26"/>
        <v>0</v>
      </c>
      <c r="U99" s="28">
        <f t="shared" si="26"/>
        <v>0</v>
      </c>
      <c r="V99" s="28">
        <f t="shared" si="26"/>
        <v>0</v>
      </c>
      <c r="W99" s="28">
        <f t="shared" si="26"/>
        <v>0</v>
      </c>
      <c r="X99" s="28">
        <f t="shared" si="26"/>
        <v>0</v>
      </c>
      <c r="Y99" s="28">
        <f t="shared" si="26"/>
        <v>0</v>
      </c>
      <c r="Z99" s="28">
        <f t="shared" si="26"/>
        <v>0</v>
      </c>
      <c r="AA99" s="28">
        <f t="shared" si="26"/>
        <v>0</v>
      </c>
      <c r="AB99" s="28">
        <f t="shared" si="26"/>
        <v>0</v>
      </c>
      <c r="AC99" s="28">
        <f t="shared" si="26"/>
        <v>0</v>
      </c>
      <c r="AD99" s="28">
        <f t="shared" ref="AD99:AL99" si="27">AD19*$C$82</f>
        <v>0</v>
      </c>
      <c r="AE99" s="28">
        <f t="shared" si="27"/>
        <v>0</v>
      </c>
      <c r="AF99" s="28">
        <f t="shared" si="27"/>
        <v>0</v>
      </c>
      <c r="AG99" s="28">
        <f t="shared" si="27"/>
        <v>0</v>
      </c>
      <c r="AH99" s="28">
        <f t="shared" si="27"/>
        <v>0</v>
      </c>
      <c r="AI99" s="28">
        <f t="shared" si="27"/>
        <v>0</v>
      </c>
      <c r="AJ99" s="28">
        <f t="shared" si="27"/>
        <v>0</v>
      </c>
      <c r="AK99" s="28">
        <f t="shared" si="27"/>
        <v>0</v>
      </c>
      <c r="AL99" s="28">
        <f t="shared" si="27"/>
        <v>0</v>
      </c>
    </row>
    <row r="100" spans="1:38" ht="21" hidden="1" customHeight="1" outlineLevel="1" thickBot="1" x14ac:dyDescent="0.4">
      <c r="A100" s="10">
        <f t="shared" si="24"/>
        <v>0</v>
      </c>
      <c r="B100" s="10">
        <f t="shared" si="24"/>
        <v>0</v>
      </c>
      <c r="C100" s="10">
        <f t="shared" si="24"/>
        <v>1</v>
      </c>
      <c r="D100" s="10">
        <f t="shared" si="24"/>
        <v>0</v>
      </c>
      <c r="E100" s="11" t="str">
        <f t="shared" si="20"/>
        <v>H (Ge)</v>
      </c>
      <c r="F100" s="28">
        <f t="shared" ref="F100:AL107" si="28">F20*$C$82</f>
        <v>30.658333333333335</v>
      </c>
      <c r="G100" s="28">
        <f t="shared" si="28"/>
        <v>15.658333333333335</v>
      </c>
      <c r="H100" s="28">
        <f t="shared" si="28"/>
        <v>5.6458333333333339</v>
      </c>
      <c r="I100" s="28">
        <f t="shared" si="28"/>
        <v>-1.6350000000000002</v>
      </c>
      <c r="J100" s="28">
        <f t="shared" si="28"/>
        <v>-7.2125000000000012</v>
      </c>
      <c r="K100" s="28">
        <f t="shared" si="28"/>
        <v>-11.6</v>
      </c>
      <c r="L100" s="28">
        <f t="shared" si="28"/>
        <v>-15.145833333333334</v>
      </c>
      <c r="M100" s="28">
        <f t="shared" si="28"/>
        <v>-18.075000000000003</v>
      </c>
      <c r="N100" s="28">
        <f t="shared" si="28"/>
        <v>-20.400000000000002</v>
      </c>
      <c r="O100" s="28">
        <f t="shared" si="28"/>
        <v>-22.004166666666666</v>
      </c>
      <c r="P100" s="28">
        <f t="shared" si="28"/>
        <v>0</v>
      </c>
      <c r="Q100" s="28">
        <f t="shared" si="28"/>
        <v>0</v>
      </c>
      <c r="R100" s="28">
        <f t="shared" si="28"/>
        <v>0</v>
      </c>
      <c r="S100" s="28">
        <f t="shared" si="28"/>
        <v>0</v>
      </c>
      <c r="T100" s="28">
        <f t="shared" si="28"/>
        <v>0</v>
      </c>
      <c r="U100" s="28">
        <f t="shared" si="28"/>
        <v>0</v>
      </c>
      <c r="V100" s="28">
        <f t="shared" si="28"/>
        <v>0</v>
      </c>
      <c r="W100" s="28">
        <f t="shared" si="28"/>
        <v>0</v>
      </c>
      <c r="X100" s="28">
        <f t="shared" si="28"/>
        <v>0</v>
      </c>
      <c r="Y100" s="28">
        <f t="shared" si="28"/>
        <v>0</v>
      </c>
      <c r="Z100" s="28">
        <f t="shared" si="28"/>
        <v>0</v>
      </c>
      <c r="AA100" s="28">
        <f t="shared" si="28"/>
        <v>0</v>
      </c>
      <c r="AB100" s="28">
        <f t="shared" si="28"/>
        <v>0</v>
      </c>
      <c r="AC100" s="28">
        <f t="shared" si="28"/>
        <v>0</v>
      </c>
      <c r="AD100" s="28">
        <f t="shared" si="28"/>
        <v>0</v>
      </c>
      <c r="AE100" s="28">
        <f t="shared" si="28"/>
        <v>0</v>
      </c>
      <c r="AF100" s="28">
        <f t="shared" si="28"/>
        <v>0</v>
      </c>
      <c r="AG100" s="28">
        <f t="shared" si="28"/>
        <v>0</v>
      </c>
      <c r="AH100" s="28">
        <f t="shared" si="28"/>
        <v>0</v>
      </c>
      <c r="AI100" s="28">
        <f t="shared" si="28"/>
        <v>0</v>
      </c>
      <c r="AJ100" s="28">
        <f t="shared" si="28"/>
        <v>0</v>
      </c>
      <c r="AK100" s="28">
        <f t="shared" si="28"/>
        <v>0</v>
      </c>
      <c r="AL100" s="28">
        <f t="shared" si="28"/>
        <v>0</v>
      </c>
    </row>
    <row r="101" spans="1:38" ht="21" hidden="1" customHeight="1" outlineLevel="1" thickBot="1" x14ac:dyDescent="0.4">
      <c r="A101" s="10">
        <f t="shared" ref="A101:D113" si="29">A67</f>
        <v>0</v>
      </c>
      <c r="B101" s="10">
        <f t="shared" si="29"/>
        <v>1</v>
      </c>
      <c r="C101" s="10">
        <f t="shared" si="29"/>
        <v>0</v>
      </c>
      <c r="D101" s="10">
        <f t="shared" si="29"/>
        <v>0</v>
      </c>
      <c r="E101" s="11" t="str">
        <f t="shared" si="20"/>
        <v>H (Se)</v>
      </c>
      <c r="F101" s="28">
        <f t="shared" si="28"/>
        <v>-19.583333333333336</v>
      </c>
      <c r="G101" s="28">
        <f t="shared" si="28"/>
        <v>-21.404166666666665</v>
      </c>
      <c r="H101" s="28">
        <f t="shared" si="28"/>
        <v>-23.387500000000003</v>
      </c>
      <c r="I101" s="28">
        <f t="shared" si="28"/>
        <v>-25.291666666666671</v>
      </c>
      <c r="J101" s="28">
        <f t="shared" si="28"/>
        <v>-27.045833333333334</v>
      </c>
      <c r="K101" s="28">
        <f t="shared" si="28"/>
        <v>-28.62916666666667</v>
      </c>
      <c r="L101" s="28">
        <f t="shared" si="28"/>
        <v>-30.06666666666667</v>
      </c>
      <c r="M101" s="28">
        <f t="shared" si="28"/>
        <v>-31.433333333333334</v>
      </c>
      <c r="N101" s="28">
        <f t="shared" si="28"/>
        <v>-32.854166666666671</v>
      </c>
      <c r="O101" s="28">
        <f t="shared" si="28"/>
        <v>-34.537500000000001</v>
      </c>
      <c r="P101" s="28">
        <f t="shared" si="28"/>
        <v>0</v>
      </c>
      <c r="Q101" s="28">
        <f t="shared" si="28"/>
        <v>0</v>
      </c>
      <c r="R101" s="28">
        <f t="shared" si="28"/>
        <v>0</v>
      </c>
      <c r="S101" s="28">
        <f t="shared" si="28"/>
        <v>0</v>
      </c>
      <c r="T101" s="28">
        <f t="shared" si="28"/>
        <v>0</v>
      </c>
      <c r="U101" s="28">
        <f t="shared" si="28"/>
        <v>0</v>
      </c>
      <c r="V101" s="28">
        <f t="shared" si="28"/>
        <v>0</v>
      </c>
      <c r="W101" s="28">
        <f t="shared" si="28"/>
        <v>0</v>
      </c>
      <c r="X101" s="28">
        <f t="shared" si="28"/>
        <v>0</v>
      </c>
      <c r="Y101" s="28">
        <f t="shared" si="28"/>
        <v>0</v>
      </c>
      <c r="Z101" s="28">
        <f t="shared" si="28"/>
        <v>0</v>
      </c>
      <c r="AA101" s="28">
        <f t="shared" si="28"/>
        <v>0</v>
      </c>
      <c r="AB101" s="28">
        <f t="shared" si="28"/>
        <v>0</v>
      </c>
      <c r="AC101" s="28">
        <f t="shared" si="28"/>
        <v>0</v>
      </c>
      <c r="AD101" s="28">
        <f t="shared" si="28"/>
        <v>0</v>
      </c>
      <c r="AE101" s="28">
        <f t="shared" si="28"/>
        <v>0</v>
      </c>
      <c r="AF101" s="28">
        <f t="shared" si="28"/>
        <v>0</v>
      </c>
      <c r="AG101" s="28">
        <f t="shared" si="28"/>
        <v>0</v>
      </c>
      <c r="AH101" s="28">
        <f t="shared" si="28"/>
        <v>0</v>
      </c>
      <c r="AI101" s="28">
        <f t="shared" si="28"/>
        <v>0</v>
      </c>
      <c r="AJ101" s="28">
        <f t="shared" si="28"/>
        <v>0</v>
      </c>
      <c r="AK101" s="28">
        <f t="shared" si="28"/>
        <v>0</v>
      </c>
      <c r="AL101" s="28">
        <f t="shared" si="28"/>
        <v>0</v>
      </c>
    </row>
    <row r="102" spans="1:38" ht="21" hidden="1" customHeight="1" outlineLevel="1" thickBot="1" x14ac:dyDescent="0.4">
      <c r="A102" s="10">
        <f t="shared" si="29"/>
        <v>0</v>
      </c>
      <c r="B102" s="10">
        <f t="shared" si="29"/>
        <v>0</v>
      </c>
      <c r="C102" s="10">
        <f t="shared" si="29"/>
        <v>0</v>
      </c>
      <c r="D102" s="10">
        <f t="shared" si="29"/>
        <v>0</v>
      </c>
      <c r="E102" s="11">
        <f t="shared" si="20"/>
        <v>0</v>
      </c>
      <c r="F102" s="28">
        <f t="shared" si="28"/>
        <v>0</v>
      </c>
      <c r="G102" s="28">
        <f t="shared" si="28"/>
        <v>0</v>
      </c>
      <c r="H102" s="28">
        <f t="shared" si="28"/>
        <v>0</v>
      </c>
      <c r="I102" s="28">
        <f t="shared" si="28"/>
        <v>0</v>
      </c>
      <c r="J102" s="28">
        <f t="shared" si="28"/>
        <v>0</v>
      </c>
      <c r="K102" s="28">
        <f t="shared" si="28"/>
        <v>0</v>
      </c>
      <c r="L102" s="28">
        <f t="shared" si="28"/>
        <v>0</v>
      </c>
      <c r="M102" s="28">
        <f t="shared" si="28"/>
        <v>0</v>
      </c>
      <c r="N102" s="28">
        <f t="shared" si="28"/>
        <v>0</v>
      </c>
      <c r="O102" s="28">
        <f t="shared" si="28"/>
        <v>0</v>
      </c>
      <c r="P102" s="28">
        <f t="shared" si="28"/>
        <v>0</v>
      </c>
      <c r="Q102" s="28">
        <f t="shared" si="28"/>
        <v>0</v>
      </c>
      <c r="R102" s="28">
        <f t="shared" si="28"/>
        <v>0</v>
      </c>
      <c r="S102" s="28">
        <f t="shared" si="28"/>
        <v>0</v>
      </c>
      <c r="T102" s="28">
        <f t="shared" si="28"/>
        <v>0</v>
      </c>
      <c r="U102" s="28">
        <f t="shared" si="28"/>
        <v>0</v>
      </c>
      <c r="V102" s="28">
        <f t="shared" si="28"/>
        <v>0</v>
      </c>
      <c r="W102" s="28">
        <f t="shared" si="28"/>
        <v>0</v>
      </c>
      <c r="X102" s="28">
        <f t="shared" si="28"/>
        <v>0</v>
      </c>
      <c r="Y102" s="28">
        <f t="shared" si="28"/>
        <v>0</v>
      </c>
      <c r="Z102" s="28">
        <f t="shared" si="28"/>
        <v>0</v>
      </c>
      <c r="AA102" s="28">
        <f t="shared" si="28"/>
        <v>0</v>
      </c>
      <c r="AB102" s="28">
        <f t="shared" si="28"/>
        <v>0</v>
      </c>
      <c r="AC102" s="28">
        <f t="shared" si="28"/>
        <v>0</v>
      </c>
      <c r="AD102" s="28">
        <f t="shared" si="28"/>
        <v>0</v>
      </c>
      <c r="AE102" s="28">
        <f t="shared" si="28"/>
        <v>0</v>
      </c>
      <c r="AF102" s="28">
        <f t="shared" si="28"/>
        <v>0</v>
      </c>
      <c r="AG102" s="28">
        <f t="shared" si="28"/>
        <v>0</v>
      </c>
      <c r="AH102" s="28">
        <f t="shared" si="28"/>
        <v>0</v>
      </c>
      <c r="AI102" s="28">
        <f t="shared" si="28"/>
        <v>0</v>
      </c>
      <c r="AJ102" s="28">
        <f t="shared" si="28"/>
        <v>0</v>
      </c>
      <c r="AK102" s="28">
        <f t="shared" si="28"/>
        <v>0</v>
      </c>
      <c r="AL102" s="28">
        <f t="shared" si="28"/>
        <v>0</v>
      </c>
    </row>
    <row r="103" spans="1:38" ht="21" hidden="1" customHeight="1" outlineLevel="1" thickBot="1" x14ac:dyDescent="0.4">
      <c r="A103" s="10">
        <f t="shared" si="29"/>
        <v>0</v>
      </c>
      <c r="B103" s="10">
        <f t="shared" si="29"/>
        <v>0</v>
      </c>
      <c r="C103" s="10">
        <f t="shared" si="29"/>
        <v>0</v>
      </c>
      <c r="D103" s="10">
        <f t="shared" si="29"/>
        <v>0</v>
      </c>
      <c r="E103" s="11">
        <f t="shared" si="20"/>
        <v>0</v>
      </c>
      <c r="F103" s="28">
        <f t="shared" si="28"/>
        <v>0</v>
      </c>
      <c r="G103" s="28">
        <f t="shared" si="28"/>
        <v>0</v>
      </c>
      <c r="H103" s="28">
        <f t="shared" si="28"/>
        <v>0</v>
      </c>
      <c r="I103" s="28">
        <f t="shared" si="28"/>
        <v>0</v>
      </c>
      <c r="J103" s="28">
        <f t="shared" si="28"/>
        <v>0</v>
      </c>
      <c r="K103" s="28">
        <f t="shared" si="28"/>
        <v>0</v>
      </c>
      <c r="L103" s="28">
        <f t="shared" si="28"/>
        <v>0</v>
      </c>
      <c r="M103" s="28">
        <f t="shared" si="28"/>
        <v>0</v>
      </c>
      <c r="N103" s="28">
        <f t="shared" si="28"/>
        <v>0</v>
      </c>
      <c r="O103" s="28">
        <f t="shared" si="28"/>
        <v>0</v>
      </c>
      <c r="P103" s="28">
        <f t="shared" si="28"/>
        <v>0</v>
      </c>
      <c r="Q103" s="28">
        <f t="shared" si="28"/>
        <v>0</v>
      </c>
      <c r="R103" s="28">
        <f t="shared" si="28"/>
        <v>0</v>
      </c>
      <c r="S103" s="28">
        <f t="shared" si="28"/>
        <v>0</v>
      </c>
      <c r="T103" s="28">
        <f t="shared" si="28"/>
        <v>0</v>
      </c>
      <c r="U103" s="28">
        <f t="shared" si="28"/>
        <v>0</v>
      </c>
      <c r="V103" s="28">
        <f t="shared" si="28"/>
        <v>0</v>
      </c>
      <c r="W103" s="28">
        <f t="shared" si="28"/>
        <v>0</v>
      </c>
      <c r="X103" s="28">
        <f t="shared" si="28"/>
        <v>0</v>
      </c>
      <c r="Y103" s="28">
        <f t="shared" si="28"/>
        <v>0</v>
      </c>
      <c r="Z103" s="28">
        <f t="shared" si="28"/>
        <v>0</v>
      </c>
      <c r="AA103" s="28">
        <f t="shared" si="28"/>
        <v>0</v>
      </c>
      <c r="AB103" s="28">
        <f t="shared" si="28"/>
        <v>0</v>
      </c>
      <c r="AC103" s="28">
        <f t="shared" si="28"/>
        <v>0</v>
      </c>
      <c r="AD103" s="28">
        <f t="shared" si="28"/>
        <v>0</v>
      </c>
      <c r="AE103" s="28">
        <f t="shared" si="28"/>
        <v>0</v>
      </c>
      <c r="AF103" s="28">
        <f t="shared" si="28"/>
        <v>0</v>
      </c>
      <c r="AG103" s="28">
        <f t="shared" si="28"/>
        <v>0</v>
      </c>
      <c r="AH103" s="28">
        <f t="shared" si="28"/>
        <v>0</v>
      </c>
      <c r="AI103" s="28">
        <f t="shared" si="28"/>
        <v>0</v>
      </c>
      <c r="AJ103" s="28">
        <f t="shared" si="28"/>
        <v>0</v>
      </c>
      <c r="AK103" s="28">
        <f t="shared" si="28"/>
        <v>0</v>
      </c>
      <c r="AL103" s="28">
        <f t="shared" si="28"/>
        <v>0</v>
      </c>
    </row>
    <row r="104" spans="1:38" ht="21" hidden="1" customHeight="1" outlineLevel="1" thickBot="1" x14ac:dyDescent="0.4">
      <c r="A104" s="10">
        <f t="shared" si="29"/>
        <v>0</v>
      </c>
      <c r="B104" s="10">
        <f t="shared" si="29"/>
        <v>0</v>
      </c>
      <c r="C104" s="10">
        <f t="shared" si="29"/>
        <v>0</v>
      </c>
      <c r="D104" s="10">
        <f t="shared" si="29"/>
        <v>0</v>
      </c>
      <c r="E104" s="11">
        <f t="shared" si="20"/>
        <v>0</v>
      </c>
      <c r="F104" s="28">
        <f t="shared" si="28"/>
        <v>0</v>
      </c>
      <c r="G104" s="28">
        <f t="shared" si="28"/>
        <v>0</v>
      </c>
      <c r="H104" s="28">
        <f t="shared" si="28"/>
        <v>0</v>
      </c>
      <c r="I104" s="28">
        <f t="shared" si="28"/>
        <v>0</v>
      </c>
      <c r="J104" s="28">
        <f t="shared" si="28"/>
        <v>0</v>
      </c>
      <c r="K104" s="28">
        <f t="shared" si="28"/>
        <v>0</v>
      </c>
      <c r="L104" s="28">
        <f t="shared" si="28"/>
        <v>0</v>
      </c>
      <c r="M104" s="28">
        <f t="shared" si="28"/>
        <v>0</v>
      </c>
      <c r="N104" s="28">
        <f t="shared" si="28"/>
        <v>0</v>
      </c>
      <c r="O104" s="28">
        <f t="shared" si="28"/>
        <v>0</v>
      </c>
      <c r="P104" s="28">
        <f t="shared" si="28"/>
        <v>0</v>
      </c>
      <c r="Q104" s="28">
        <f t="shared" si="28"/>
        <v>0</v>
      </c>
      <c r="R104" s="28">
        <f t="shared" si="28"/>
        <v>0</v>
      </c>
      <c r="S104" s="28">
        <f t="shared" si="28"/>
        <v>0</v>
      </c>
      <c r="T104" s="28">
        <f t="shared" si="28"/>
        <v>0</v>
      </c>
      <c r="U104" s="28">
        <f t="shared" si="28"/>
        <v>0</v>
      </c>
      <c r="V104" s="28">
        <f t="shared" si="28"/>
        <v>0</v>
      </c>
      <c r="W104" s="28">
        <f t="shared" si="28"/>
        <v>0</v>
      </c>
      <c r="X104" s="28">
        <f t="shared" si="28"/>
        <v>0</v>
      </c>
      <c r="Y104" s="28">
        <f t="shared" si="28"/>
        <v>0</v>
      </c>
      <c r="Z104" s="28">
        <f t="shared" si="28"/>
        <v>0</v>
      </c>
      <c r="AA104" s="28">
        <f t="shared" si="28"/>
        <v>0</v>
      </c>
      <c r="AB104" s="28">
        <f t="shared" si="28"/>
        <v>0</v>
      </c>
      <c r="AC104" s="28">
        <f t="shared" si="28"/>
        <v>0</v>
      </c>
      <c r="AD104" s="28">
        <f t="shared" si="28"/>
        <v>0</v>
      </c>
      <c r="AE104" s="28">
        <f t="shared" si="28"/>
        <v>0</v>
      </c>
      <c r="AF104" s="28">
        <f t="shared" si="28"/>
        <v>0</v>
      </c>
      <c r="AG104" s="28">
        <f t="shared" si="28"/>
        <v>0</v>
      </c>
      <c r="AH104" s="28">
        <f t="shared" si="28"/>
        <v>0</v>
      </c>
      <c r="AI104" s="28">
        <f t="shared" si="28"/>
        <v>0</v>
      </c>
      <c r="AJ104" s="28">
        <f t="shared" si="28"/>
        <v>0</v>
      </c>
      <c r="AK104" s="28">
        <f t="shared" si="28"/>
        <v>0</v>
      </c>
      <c r="AL104" s="28">
        <f t="shared" si="28"/>
        <v>0</v>
      </c>
    </row>
    <row r="105" spans="1:38" ht="21" hidden="1" customHeight="1" outlineLevel="1" thickBot="1" x14ac:dyDescent="0.4">
      <c r="A105" s="10">
        <f t="shared" si="29"/>
        <v>0</v>
      </c>
      <c r="B105" s="10">
        <f t="shared" si="29"/>
        <v>0</v>
      </c>
      <c r="C105" s="10">
        <f t="shared" si="29"/>
        <v>0</v>
      </c>
      <c r="D105" s="10">
        <f t="shared" si="29"/>
        <v>0</v>
      </c>
      <c r="E105" s="11">
        <f t="shared" si="20"/>
        <v>0</v>
      </c>
      <c r="F105" s="28">
        <f t="shared" si="28"/>
        <v>0</v>
      </c>
      <c r="G105" s="28">
        <f t="shared" si="28"/>
        <v>0</v>
      </c>
      <c r="H105" s="28">
        <f t="shared" si="28"/>
        <v>0</v>
      </c>
      <c r="I105" s="28">
        <f t="shared" si="28"/>
        <v>0</v>
      </c>
      <c r="J105" s="28">
        <f t="shared" si="28"/>
        <v>0</v>
      </c>
      <c r="K105" s="28">
        <f t="shared" si="28"/>
        <v>0</v>
      </c>
      <c r="L105" s="28">
        <f t="shared" si="28"/>
        <v>0</v>
      </c>
      <c r="M105" s="28">
        <f t="shared" si="28"/>
        <v>0</v>
      </c>
      <c r="N105" s="28">
        <f t="shared" si="28"/>
        <v>0</v>
      </c>
      <c r="O105" s="28">
        <f t="shared" si="28"/>
        <v>0</v>
      </c>
      <c r="P105" s="28">
        <f t="shared" si="28"/>
        <v>0</v>
      </c>
      <c r="Q105" s="28">
        <f t="shared" si="28"/>
        <v>0</v>
      </c>
      <c r="R105" s="28">
        <f t="shared" si="28"/>
        <v>0</v>
      </c>
      <c r="S105" s="28">
        <f t="shared" si="28"/>
        <v>0</v>
      </c>
      <c r="T105" s="28">
        <f t="shared" si="28"/>
        <v>0</v>
      </c>
      <c r="U105" s="28">
        <f t="shared" si="28"/>
        <v>0</v>
      </c>
      <c r="V105" s="28">
        <f t="shared" si="28"/>
        <v>0</v>
      </c>
      <c r="W105" s="28">
        <f t="shared" si="28"/>
        <v>0</v>
      </c>
      <c r="X105" s="28">
        <f t="shared" si="28"/>
        <v>0</v>
      </c>
      <c r="Y105" s="28">
        <f t="shared" si="28"/>
        <v>0</v>
      </c>
      <c r="Z105" s="28">
        <f t="shared" si="28"/>
        <v>0</v>
      </c>
      <c r="AA105" s="28">
        <f t="shared" si="28"/>
        <v>0</v>
      </c>
      <c r="AB105" s="28">
        <f t="shared" si="28"/>
        <v>0</v>
      </c>
      <c r="AC105" s="28">
        <f t="shared" si="28"/>
        <v>0</v>
      </c>
      <c r="AD105" s="28">
        <f t="shared" si="28"/>
        <v>0</v>
      </c>
      <c r="AE105" s="28">
        <f t="shared" si="28"/>
        <v>0</v>
      </c>
      <c r="AF105" s="28">
        <f t="shared" si="28"/>
        <v>0</v>
      </c>
      <c r="AG105" s="28">
        <f t="shared" si="28"/>
        <v>0</v>
      </c>
      <c r="AH105" s="28">
        <f t="shared" si="28"/>
        <v>0</v>
      </c>
      <c r="AI105" s="28">
        <f t="shared" si="28"/>
        <v>0</v>
      </c>
      <c r="AJ105" s="28">
        <f t="shared" si="28"/>
        <v>0</v>
      </c>
      <c r="AK105" s="28">
        <f t="shared" si="28"/>
        <v>0</v>
      </c>
      <c r="AL105" s="28">
        <f t="shared" si="28"/>
        <v>0</v>
      </c>
    </row>
    <row r="106" spans="1:38" ht="21" hidden="1" customHeight="1" outlineLevel="1" thickBot="1" x14ac:dyDescent="0.4">
      <c r="A106" s="10">
        <f t="shared" si="29"/>
        <v>0</v>
      </c>
      <c r="B106" s="10">
        <f t="shared" si="29"/>
        <v>0</v>
      </c>
      <c r="C106" s="10">
        <f t="shared" si="29"/>
        <v>0</v>
      </c>
      <c r="D106" s="10">
        <f t="shared" si="29"/>
        <v>0</v>
      </c>
      <c r="E106" s="11">
        <f t="shared" si="20"/>
        <v>0</v>
      </c>
      <c r="F106" s="28">
        <f t="shared" si="28"/>
        <v>0</v>
      </c>
      <c r="G106" s="28">
        <f t="shared" si="28"/>
        <v>0</v>
      </c>
      <c r="H106" s="28">
        <f t="shared" si="28"/>
        <v>0</v>
      </c>
      <c r="I106" s="28">
        <f t="shared" si="28"/>
        <v>0</v>
      </c>
      <c r="J106" s="28">
        <f t="shared" si="28"/>
        <v>0</v>
      </c>
      <c r="K106" s="28">
        <f t="shared" si="28"/>
        <v>0</v>
      </c>
      <c r="L106" s="28">
        <f t="shared" si="28"/>
        <v>0</v>
      </c>
      <c r="M106" s="28">
        <f t="shared" si="28"/>
        <v>0</v>
      </c>
      <c r="N106" s="28">
        <f t="shared" si="28"/>
        <v>0</v>
      </c>
      <c r="O106" s="28">
        <f t="shared" si="28"/>
        <v>0</v>
      </c>
      <c r="P106" s="28">
        <f t="shared" si="28"/>
        <v>0</v>
      </c>
      <c r="Q106" s="28">
        <f t="shared" si="28"/>
        <v>0</v>
      </c>
      <c r="R106" s="28">
        <f t="shared" si="28"/>
        <v>0</v>
      </c>
      <c r="S106" s="28">
        <f t="shared" si="28"/>
        <v>0</v>
      </c>
      <c r="T106" s="28">
        <f t="shared" si="28"/>
        <v>0</v>
      </c>
      <c r="U106" s="28">
        <f t="shared" si="28"/>
        <v>0</v>
      </c>
      <c r="V106" s="28">
        <f t="shared" si="28"/>
        <v>0</v>
      </c>
      <c r="W106" s="28">
        <f t="shared" si="28"/>
        <v>0</v>
      </c>
      <c r="X106" s="28">
        <f t="shared" si="28"/>
        <v>0</v>
      </c>
      <c r="Y106" s="28">
        <f t="shared" si="28"/>
        <v>0</v>
      </c>
      <c r="Z106" s="28">
        <f t="shared" si="28"/>
        <v>0</v>
      </c>
      <c r="AA106" s="28">
        <f t="shared" si="28"/>
        <v>0</v>
      </c>
      <c r="AB106" s="28">
        <f t="shared" si="28"/>
        <v>0</v>
      </c>
      <c r="AC106" s="28">
        <f t="shared" si="28"/>
        <v>0</v>
      </c>
      <c r="AD106" s="28">
        <f t="shared" si="28"/>
        <v>0</v>
      </c>
      <c r="AE106" s="28">
        <f t="shared" si="28"/>
        <v>0</v>
      </c>
      <c r="AF106" s="28">
        <f t="shared" si="28"/>
        <v>0</v>
      </c>
      <c r="AG106" s="28">
        <f t="shared" si="28"/>
        <v>0</v>
      </c>
      <c r="AH106" s="28">
        <f t="shared" si="28"/>
        <v>0</v>
      </c>
      <c r="AI106" s="28">
        <f t="shared" si="28"/>
        <v>0</v>
      </c>
      <c r="AJ106" s="28">
        <f t="shared" si="28"/>
        <v>0</v>
      </c>
      <c r="AK106" s="28">
        <f t="shared" si="28"/>
        <v>0</v>
      </c>
      <c r="AL106" s="28">
        <f t="shared" si="28"/>
        <v>0</v>
      </c>
    </row>
    <row r="107" spans="1:38" ht="21" hidden="1" customHeight="1" outlineLevel="1" thickBot="1" x14ac:dyDescent="0.4">
      <c r="A107" s="10">
        <f t="shared" si="29"/>
        <v>0</v>
      </c>
      <c r="B107" s="10">
        <f t="shared" si="29"/>
        <v>0</v>
      </c>
      <c r="C107" s="10">
        <f t="shared" si="29"/>
        <v>0</v>
      </c>
      <c r="D107" s="10">
        <f t="shared" si="29"/>
        <v>0</v>
      </c>
      <c r="E107" s="11">
        <f t="shared" si="20"/>
        <v>0</v>
      </c>
      <c r="F107" s="28">
        <f t="shared" si="28"/>
        <v>0</v>
      </c>
      <c r="G107" s="28">
        <f t="shared" si="28"/>
        <v>0</v>
      </c>
      <c r="H107" s="28">
        <f t="shared" si="28"/>
        <v>0</v>
      </c>
      <c r="I107" s="28">
        <f t="shared" si="28"/>
        <v>0</v>
      </c>
      <c r="J107" s="28">
        <f t="shared" si="28"/>
        <v>0</v>
      </c>
      <c r="K107" s="28">
        <f t="shared" si="28"/>
        <v>0</v>
      </c>
      <c r="L107" s="28">
        <f t="shared" si="28"/>
        <v>0</v>
      </c>
      <c r="M107" s="28">
        <f t="shared" si="28"/>
        <v>0</v>
      </c>
      <c r="N107" s="28">
        <f t="shared" si="28"/>
        <v>0</v>
      </c>
      <c r="O107" s="28">
        <f t="shared" si="28"/>
        <v>0</v>
      </c>
      <c r="P107" s="28">
        <f t="shared" si="28"/>
        <v>0</v>
      </c>
      <c r="Q107" s="28">
        <f t="shared" si="28"/>
        <v>0</v>
      </c>
      <c r="R107" s="28">
        <f t="shared" si="28"/>
        <v>0</v>
      </c>
      <c r="S107" s="28">
        <f t="shared" si="28"/>
        <v>0</v>
      </c>
      <c r="T107" s="28">
        <f t="shared" si="28"/>
        <v>0</v>
      </c>
      <c r="U107" s="28">
        <f t="shared" si="28"/>
        <v>0</v>
      </c>
      <c r="V107" s="28">
        <f t="shared" si="28"/>
        <v>0</v>
      </c>
      <c r="W107" s="28">
        <f t="shared" si="28"/>
        <v>0</v>
      </c>
      <c r="X107" s="28">
        <f t="shared" si="28"/>
        <v>0</v>
      </c>
      <c r="Y107" s="28">
        <f t="shared" si="28"/>
        <v>0</v>
      </c>
      <c r="Z107" s="28">
        <f t="shared" si="28"/>
        <v>0</v>
      </c>
      <c r="AA107" s="28">
        <f t="shared" si="28"/>
        <v>0</v>
      </c>
      <c r="AB107" s="28">
        <f t="shared" si="28"/>
        <v>0</v>
      </c>
      <c r="AC107" s="28">
        <f t="shared" si="28"/>
        <v>0</v>
      </c>
      <c r="AD107" s="28">
        <f t="shared" ref="AD107:AL107" si="30">AD27*$C$82</f>
        <v>0</v>
      </c>
      <c r="AE107" s="28">
        <f t="shared" si="30"/>
        <v>0</v>
      </c>
      <c r="AF107" s="28">
        <f t="shared" si="30"/>
        <v>0</v>
      </c>
      <c r="AG107" s="28">
        <f t="shared" si="30"/>
        <v>0</v>
      </c>
      <c r="AH107" s="28">
        <f t="shared" si="30"/>
        <v>0</v>
      </c>
      <c r="AI107" s="28">
        <f t="shared" si="30"/>
        <v>0</v>
      </c>
      <c r="AJ107" s="28">
        <f t="shared" si="30"/>
        <v>0</v>
      </c>
      <c r="AK107" s="28">
        <f t="shared" si="30"/>
        <v>0</v>
      </c>
      <c r="AL107" s="28">
        <f t="shared" si="30"/>
        <v>0</v>
      </c>
    </row>
    <row r="108" spans="1:38" ht="21" hidden="1" customHeight="1" outlineLevel="1" thickBot="1" x14ac:dyDescent="0.4">
      <c r="A108" s="10">
        <f t="shared" si="29"/>
        <v>0</v>
      </c>
      <c r="B108" s="10">
        <f t="shared" si="29"/>
        <v>0</v>
      </c>
      <c r="C108" s="10">
        <f t="shared" si="29"/>
        <v>0</v>
      </c>
      <c r="D108" s="10">
        <f t="shared" si="29"/>
        <v>0</v>
      </c>
      <c r="E108" s="11">
        <f t="shared" si="20"/>
        <v>0</v>
      </c>
      <c r="F108" s="28">
        <f t="shared" ref="F108:AL112" si="31">F28*$C$82</f>
        <v>0</v>
      </c>
      <c r="G108" s="28">
        <f t="shared" si="31"/>
        <v>0</v>
      </c>
      <c r="H108" s="28">
        <f t="shared" si="31"/>
        <v>0</v>
      </c>
      <c r="I108" s="28">
        <f t="shared" si="31"/>
        <v>0</v>
      </c>
      <c r="J108" s="28">
        <f t="shared" si="31"/>
        <v>0</v>
      </c>
      <c r="K108" s="28">
        <f t="shared" si="31"/>
        <v>0</v>
      </c>
      <c r="L108" s="28">
        <f t="shared" si="31"/>
        <v>0</v>
      </c>
      <c r="M108" s="28">
        <f t="shared" si="31"/>
        <v>0</v>
      </c>
      <c r="N108" s="28">
        <f t="shared" si="31"/>
        <v>0</v>
      </c>
      <c r="O108" s="28">
        <f t="shared" si="31"/>
        <v>0</v>
      </c>
      <c r="P108" s="28">
        <f t="shared" si="31"/>
        <v>0</v>
      </c>
      <c r="Q108" s="28">
        <f t="shared" si="31"/>
        <v>0</v>
      </c>
      <c r="R108" s="28">
        <f t="shared" si="31"/>
        <v>0</v>
      </c>
      <c r="S108" s="28">
        <f t="shared" si="31"/>
        <v>0</v>
      </c>
      <c r="T108" s="28">
        <f t="shared" si="31"/>
        <v>0</v>
      </c>
      <c r="U108" s="28">
        <f t="shared" si="31"/>
        <v>0</v>
      </c>
      <c r="V108" s="28">
        <f t="shared" si="31"/>
        <v>0</v>
      </c>
      <c r="W108" s="28">
        <f t="shared" si="31"/>
        <v>0</v>
      </c>
      <c r="X108" s="28">
        <f t="shared" si="31"/>
        <v>0</v>
      </c>
      <c r="Y108" s="28">
        <f t="shared" si="31"/>
        <v>0</v>
      </c>
      <c r="Z108" s="28">
        <f t="shared" si="31"/>
        <v>0</v>
      </c>
      <c r="AA108" s="28">
        <f t="shared" si="31"/>
        <v>0</v>
      </c>
      <c r="AB108" s="28">
        <f t="shared" si="31"/>
        <v>0</v>
      </c>
      <c r="AC108" s="28">
        <f t="shared" si="31"/>
        <v>0</v>
      </c>
      <c r="AD108" s="28">
        <f t="shared" si="31"/>
        <v>0</v>
      </c>
      <c r="AE108" s="28">
        <f t="shared" si="31"/>
        <v>0</v>
      </c>
      <c r="AF108" s="28">
        <f t="shared" si="31"/>
        <v>0</v>
      </c>
      <c r="AG108" s="28">
        <f t="shared" si="31"/>
        <v>0</v>
      </c>
      <c r="AH108" s="28">
        <f t="shared" si="31"/>
        <v>0</v>
      </c>
      <c r="AI108" s="28">
        <f t="shared" si="31"/>
        <v>0</v>
      </c>
      <c r="AJ108" s="28">
        <f t="shared" si="31"/>
        <v>0</v>
      </c>
      <c r="AK108" s="28">
        <f t="shared" si="31"/>
        <v>0</v>
      </c>
      <c r="AL108" s="28">
        <f t="shared" si="31"/>
        <v>0</v>
      </c>
    </row>
    <row r="109" spans="1:38" ht="21" hidden="1" customHeight="1" outlineLevel="1" thickBot="1" x14ac:dyDescent="0.4">
      <c r="A109" s="10">
        <f t="shared" si="29"/>
        <v>0</v>
      </c>
      <c r="B109" s="10">
        <f t="shared" si="29"/>
        <v>0</v>
      </c>
      <c r="C109" s="10">
        <f t="shared" si="29"/>
        <v>0</v>
      </c>
      <c r="D109" s="10">
        <f t="shared" si="29"/>
        <v>0</v>
      </c>
      <c r="E109" s="11">
        <f t="shared" si="20"/>
        <v>0</v>
      </c>
      <c r="F109" s="28">
        <f t="shared" si="31"/>
        <v>0</v>
      </c>
      <c r="G109" s="28">
        <f t="shared" si="31"/>
        <v>0</v>
      </c>
      <c r="H109" s="28">
        <f t="shared" si="31"/>
        <v>0</v>
      </c>
      <c r="I109" s="28">
        <f t="shared" si="31"/>
        <v>0</v>
      </c>
      <c r="J109" s="28">
        <f t="shared" si="31"/>
        <v>0</v>
      </c>
      <c r="K109" s="28">
        <f t="shared" si="31"/>
        <v>0</v>
      </c>
      <c r="L109" s="28">
        <f t="shared" si="31"/>
        <v>0</v>
      </c>
      <c r="M109" s="28">
        <f t="shared" si="31"/>
        <v>0</v>
      </c>
      <c r="N109" s="28">
        <f t="shared" si="31"/>
        <v>0</v>
      </c>
      <c r="O109" s="28">
        <f t="shared" si="31"/>
        <v>0</v>
      </c>
      <c r="P109" s="28">
        <f t="shared" si="31"/>
        <v>0</v>
      </c>
      <c r="Q109" s="28">
        <f t="shared" si="31"/>
        <v>0</v>
      </c>
      <c r="R109" s="28">
        <f t="shared" si="31"/>
        <v>0</v>
      </c>
      <c r="S109" s="28">
        <f t="shared" si="31"/>
        <v>0</v>
      </c>
      <c r="T109" s="28">
        <f t="shared" si="31"/>
        <v>0</v>
      </c>
      <c r="U109" s="28">
        <f t="shared" si="31"/>
        <v>0</v>
      </c>
      <c r="V109" s="28">
        <f t="shared" si="31"/>
        <v>0</v>
      </c>
      <c r="W109" s="28">
        <f t="shared" si="31"/>
        <v>0</v>
      </c>
      <c r="X109" s="28">
        <f t="shared" si="31"/>
        <v>0</v>
      </c>
      <c r="Y109" s="28">
        <f t="shared" si="31"/>
        <v>0</v>
      </c>
      <c r="Z109" s="28">
        <f t="shared" si="31"/>
        <v>0</v>
      </c>
      <c r="AA109" s="28">
        <f t="shared" si="31"/>
        <v>0</v>
      </c>
      <c r="AB109" s="28">
        <f t="shared" si="31"/>
        <v>0</v>
      </c>
      <c r="AC109" s="28">
        <f t="shared" si="31"/>
        <v>0</v>
      </c>
      <c r="AD109" s="28">
        <f t="shared" si="31"/>
        <v>0</v>
      </c>
      <c r="AE109" s="28">
        <f t="shared" si="31"/>
        <v>0</v>
      </c>
      <c r="AF109" s="28">
        <f t="shared" si="31"/>
        <v>0</v>
      </c>
      <c r="AG109" s="28">
        <f t="shared" si="31"/>
        <v>0</v>
      </c>
      <c r="AH109" s="28">
        <f t="shared" si="31"/>
        <v>0</v>
      </c>
      <c r="AI109" s="28">
        <f t="shared" si="31"/>
        <v>0</v>
      </c>
      <c r="AJ109" s="28">
        <f t="shared" si="31"/>
        <v>0</v>
      </c>
      <c r="AK109" s="28">
        <f t="shared" si="31"/>
        <v>0</v>
      </c>
      <c r="AL109" s="28">
        <f t="shared" si="31"/>
        <v>0</v>
      </c>
    </row>
    <row r="110" spans="1:38" ht="21" hidden="1" customHeight="1" outlineLevel="1" thickBot="1" x14ac:dyDescent="0.4">
      <c r="A110" s="10">
        <f t="shared" si="29"/>
        <v>0</v>
      </c>
      <c r="B110" s="10">
        <f t="shared" si="29"/>
        <v>0</v>
      </c>
      <c r="C110" s="10">
        <f t="shared" si="29"/>
        <v>0</v>
      </c>
      <c r="D110" s="10">
        <f t="shared" si="29"/>
        <v>0</v>
      </c>
      <c r="E110" s="11">
        <f t="shared" si="20"/>
        <v>0</v>
      </c>
      <c r="F110" s="28">
        <f t="shared" si="31"/>
        <v>0</v>
      </c>
      <c r="G110" s="28">
        <f t="shared" si="31"/>
        <v>0</v>
      </c>
      <c r="H110" s="28">
        <f t="shared" si="31"/>
        <v>0</v>
      </c>
      <c r="I110" s="28">
        <f t="shared" si="31"/>
        <v>0</v>
      </c>
      <c r="J110" s="28">
        <f t="shared" si="31"/>
        <v>0</v>
      </c>
      <c r="K110" s="28">
        <f t="shared" si="31"/>
        <v>0</v>
      </c>
      <c r="L110" s="28">
        <f t="shared" si="31"/>
        <v>0</v>
      </c>
      <c r="M110" s="28">
        <f t="shared" si="31"/>
        <v>0</v>
      </c>
      <c r="N110" s="28">
        <f t="shared" si="31"/>
        <v>0</v>
      </c>
      <c r="O110" s="28">
        <f t="shared" si="31"/>
        <v>0</v>
      </c>
      <c r="P110" s="28">
        <f t="shared" si="31"/>
        <v>0</v>
      </c>
      <c r="Q110" s="28">
        <f t="shared" si="31"/>
        <v>0</v>
      </c>
      <c r="R110" s="28">
        <f t="shared" si="31"/>
        <v>0</v>
      </c>
      <c r="S110" s="28">
        <f t="shared" si="31"/>
        <v>0</v>
      </c>
      <c r="T110" s="28">
        <f t="shared" si="31"/>
        <v>0</v>
      </c>
      <c r="U110" s="28">
        <f t="shared" si="31"/>
        <v>0</v>
      </c>
      <c r="V110" s="28">
        <f t="shared" si="31"/>
        <v>0</v>
      </c>
      <c r="W110" s="28">
        <f t="shared" si="31"/>
        <v>0</v>
      </c>
      <c r="X110" s="28">
        <f t="shared" si="31"/>
        <v>0</v>
      </c>
      <c r="Y110" s="28">
        <f t="shared" si="31"/>
        <v>0</v>
      </c>
      <c r="Z110" s="28">
        <f t="shared" si="31"/>
        <v>0</v>
      </c>
      <c r="AA110" s="28">
        <f t="shared" si="31"/>
        <v>0</v>
      </c>
      <c r="AB110" s="28">
        <f t="shared" si="31"/>
        <v>0</v>
      </c>
      <c r="AC110" s="28">
        <f t="shared" si="31"/>
        <v>0</v>
      </c>
      <c r="AD110" s="28">
        <f t="shared" si="31"/>
        <v>0</v>
      </c>
      <c r="AE110" s="28">
        <f t="shared" si="31"/>
        <v>0</v>
      </c>
      <c r="AF110" s="28">
        <f t="shared" si="31"/>
        <v>0</v>
      </c>
      <c r="AG110" s="28">
        <f t="shared" si="31"/>
        <v>0</v>
      </c>
      <c r="AH110" s="28">
        <f t="shared" si="31"/>
        <v>0</v>
      </c>
      <c r="AI110" s="28">
        <f t="shared" si="31"/>
        <v>0</v>
      </c>
      <c r="AJ110" s="28">
        <f t="shared" si="31"/>
        <v>0</v>
      </c>
      <c r="AK110" s="28">
        <f t="shared" si="31"/>
        <v>0</v>
      </c>
      <c r="AL110" s="28">
        <f t="shared" si="31"/>
        <v>0</v>
      </c>
    </row>
    <row r="111" spans="1:38" ht="21" hidden="1" customHeight="1" outlineLevel="1" thickBot="1" x14ac:dyDescent="0.4">
      <c r="A111" s="10">
        <f t="shared" si="29"/>
        <v>0</v>
      </c>
      <c r="B111" s="10">
        <f t="shared" si="29"/>
        <v>0</v>
      </c>
      <c r="C111" s="10">
        <f t="shared" si="29"/>
        <v>0</v>
      </c>
      <c r="D111" s="10">
        <f t="shared" si="29"/>
        <v>0</v>
      </c>
      <c r="E111" s="11">
        <f t="shared" si="20"/>
        <v>0</v>
      </c>
      <c r="F111" s="28">
        <f t="shared" si="31"/>
        <v>0</v>
      </c>
      <c r="G111" s="28">
        <f t="shared" si="31"/>
        <v>0</v>
      </c>
      <c r="H111" s="28">
        <f t="shared" si="31"/>
        <v>0</v>
      </c>
      <c r="I111" s="28">
        <f t="shared" si="31"/>
        <v>0</v>
      </c>
      <c r="J111" s="28">
        <f t="shared" si="31"/>
        <v>0</v>
      </c>
      <c r="K111" s="28">
        <f t="shared" si="31"/>
        <v>0</v>
      </c>
      <c r="L111" s="28">
        <f t="shared" si="31"/>
        <v>0</v>
      </c>
      <c r="M111" s="28">
        <f t="shared" si="31"/>
        <v>0</v>
      </c>
      <c r="N111" s="28">
        <f t="shared" si="31"/>
        <v>0</v>
      </c>
      <c r="O111" s="28">
        <f t="shared" si="31"/>
        <v>0</v>
      </c>
      <c r="P111" s="28">
        <f t="shared" si="31"/>
        <v>0</v>
      </c>
      <c r="Q111" s="28">
        <f t="shared" si="31"/>
        <v>0</v>
      </c>
      <c r="R111" s="28">
        <f t="shared" si="31"/>
        <v>0</v>
      </c>
      <c r="S111" s="28">
        <f t="shared" si="31"/>
        <v>0</v>
      </c>
      <c r="T111" s="28">
        <f t="shared" si="31"/>
        <v>0</v>
      </c>
      <c r="U111" s="28">
        <f t="shared" si="31"/>
        <v>0</v>
      </c>
      <c r="V111" s="28">
        <f t="shared" si="31"/>
        <v>0</v>
      </c>
      <c r="W111" s="28">
        <f t="shared" si="31"/>
        <v>0</v>
      </c>
      <c r="X111" s="28">
        <f t="shared" si="31"/>
        <v>0</v>
      </c>
      <c r="Y111" s="28">
        <f t="shared" si="31"/>
        <v>0</v>
      </c>
      <c r="Z111" s="28">
        <f t="shared" si="31"/>
        <v>0</v>
      </c>
      <c r="AA111" s="28">
        <f t="shared" si="31"/>
        <v>0</v>
      </c>
      <c r="AB111" s="28">
        <f t="shared" si="31"/>
        <v>0</v>
      </c>
      <c r="AC111" s="28">
        <f t="shared" si="31"/>
        <v>0</v>
      </c>
      <c r="AD111" s="28">
        <f t="shared" si="31"/>
        <v>0</v>
      </c>
      <c r="AE111" s="28">
        <f t="shared" si="31"/>
        <v>0</v>
      </c>
      <c r="AF111" s="28">
        <f t="shared" si="31"/>
        <v>0</v>
      </c>
      <c r="AG111" s="28">
        <f t="shared" si="31"/>
        <v>0</v>
      </c>
      <c r="AH111" s="28">
        <f t="shared" si="31"/>
        <v>0</v>
      </c>
      <c r="AI111" s="28">
        <f t="shared" si="31"/>
        <v>0</v>
      </c>
      <c r="AJ111" s="28">
        <f t="shared" si="31"/>
        <v>0</v>
      </c>
      <c r="AK111" s="28">
        <f t="shared" si="31"/>
        <v>0</v>
      </c>
      <c r="AL111" s="28">
        <f t="shared" si="31"/>
        <v>0</v>
      </c>
    </row>
    <row r="112" spans="1:38" ht="21" hidden="1" customHeight="1" outlineLevel="1" thickBot="1" x14ac:dyDescent="0.4">
      <c r="A112" s="10">
        <f t="shared" si="29"/>
        <v>0</v>
      </c>
      <c r="B112" s="10">
        <f t="shared" si="29"/>
        <v>0</v>
      </c>
      <c r="C112" s="10">
        <f t="shared" si="29"/>
        <v>0</v>
      </c>
      <c r="D112" s="10">
        <f t="shared" si="29"/>
        <v>0</v>
      </c>
      <c r="E112" s="11">
        <f t="shared" si="20"/>
        <v>0</v>
      </c>
      <c r="F112" s="28">
        <f t="shared" si="31"/>
        <v>0</v>
      </c>
      <c r="G112" s="28">
        <f t="shared" si="31"/>
        <v>0</v>
      </c>
      <c r="H112" s="28">
        <f t="shared" si="31"/>
        <v>0</v>
      </c>
      <c r="I112" s="28">
        <f t="shared" si="31"/>
        <v>0</v>
      </c>
      <c r="J112" s="28">
        <f t="shared" si="31"/>
        <v>0</v>
      </c>
      <c r="K112" s="28">
        <f t="shared" si="31"/>
        <v>0</v>
      </c>
      <c r="L112" s="28">
        <f t="shared" si="31"/>
        <v>0</v>
      </c>
      <c r="M112" s="28">
        <f t="shared" si="31"/>
        <v>0</v>
      </c>
      <c r="N112" s="28">
        <f t="shared" si="31"/>
        <v>0</v>
      </c>
      <c r="O112" s="28">
        <f t="shared" si="31"/>
        <v>0</v>
      </c>
      <c r="P112" s="28">
        <f t="shared" si="31"/>
        <v>0</v>
      </c>
      <c r="Q112" s="28">
        <f t="shared" si="31"/>
        <v>0</v>
      </c>
      <c r="R112" s="28">
        <f t="shared" si="31"/>
        <v>0</v>
      </c>
      <c r="S112" s="28">
        <f t="shared" si="31"/>
        <v>0</v>
      </c>
      <c r="T112" s="28">
        <f t="shared" si="31"/>
        <v>0</v>
      </c>
      <c r="U112" s="28">
        <f t="shared" si="31"/>
        <v>0</v>
      </c>
      <c r="V112" s="28">
        <f t="shared" si="31"/>
        <v>0</v>
      </c>
      <c r="W112" s="28">
        <f t="shared" si="31"/>
        <v>0</v>
      </c>
      <c r="X112" s="28">
        <f t="shared" si="31"/>
        <v>0</v>
      </c>
      <c r="Y112" s="28">
        <f t="shared" si="31"/>
        <v>0</v>
      </c>
      <c r="Z112" s="28">
        <f t="shared" si="31"/>
        <v>0</v>
      </c>
      <c r="AA112" s="28">
        <f t="shared" si="31"/>
        <v>0</v>
      </c>
      <c r="AB112" s="28">
        <f t="shared" si="31"/>
        <v>0</v>
      </c>
      <c r="AC112" s="28">
        <f t="shared" si="31"/>
        <v>0</v>
      </c>
      <c r="AD112" s="28">
        <f t="shared" si="31"/>
        <v>0</v>
      </c>
      <c r="AE112" s="28">
        <f t="shared" si="31"/>
        <v>0</v>
      </c>
      <c r="AF112" s="28">
        <f t="shared" si="31"/>
        <v>0</v>
      </c>
      <c r="AG112" s="28">
        <f t="shared" si="31"/>
        <v>0</v>
      </c>
      <c r="AH112" s="28">
        <f t="shared" si="31"/>
        <v>0</v>
      </c>
      <c r="AI112" s="28">
        <f t="shared" si="31"/>
        <v>0</v>
      </c>
      <c r="AJ112" s="28">
        <f t="shared" si="31"/>
        <v>0</v>
      </c>
      <c r="AK112" s="28">
        <f t="shared" si="31"/>
        <v>0</v>
      </c>
      <c r="AL112" s="28">
        <f t="shared" si="31"/>
        <v>0</v>
      </c>
    </row>
    <row r="113" spans="1:38" ht="21" hidden="1" customHeight="1" outlineLevel="1" thickBot="1" x14ac:dyDescent="0.4">
      <c r="A113" s="10">
        <f t="shared" si="29"/>
        <v>0</v>
      </c>
      <c r="B113" s="10">
        <f t="shared" si="29"/>
        <v>0</v>
      </c>
      <c r="C113" s="10">
        <f t="shared" si="29"/>
        <v>0</v>
      </c>
      <c r="D113" s="10">
        <f t="shared" si="29"/>
        <v>0</v>
      </c>
      <c r="E113" s="11">
        <f t="shared" si="20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67" t="s">
        <v>11</v>
      </c>
      <c r="B117" s="168"/>
      <c r="C117" s="46" t="s">
        <v>12</v>
      </c>
      <c r="D117" s="29" t="s">
        <v>13</v>
      </c>
      <c r="E117" s="29"/>
      <c r="F117" s="9">
        <f t="shared" ref="F117:AL117" si="32">F3</f>
        <v>273.10000000000002</v>
      </c>
      <c r="G117" s="9">
        <f t="shared" si="32"/>
        <v>353.9</v>
      </c>
      <c r="H117" s="9">
        <f t="shared" si="32"/>
        <v>434.7</v>
      </c>
      <c r="I117" s="9">
        <f t="shared" si="32"/>
        <v>515.4</v>
      </c>
      <c r="J117" s="9">
        <f t="shared" si="32"/>
        <v>596.20000000000005</v>
      </c>
      <c r="K117" s="9">
        <f t="shared" si="32"/>
        <v>677</v>
      </c>
      <c r="L117" s="9">
        <f t="shared" si="32"/>
        <v>757.7</v>
      </c>
      <c r="M117" s="9">
        <f t="shared" si="32"/>
        <v>838.5</v>
      </c>
      <c r="N117" s="9">
        <f t="shared" si="32"/>
        <v>919.2</v>
      </c>
      <c r="O117" s="9">
        <f t="shared" si="32"/>
        <v>1000</v>
      </c>
      <c r="P117" s="9">
        <f t="shared" si="32"/>
        <v>0</v>
      </c>
      <c r="Q117" s="9">
        <f t="shared" si="32"/>
        <v>0</v>
      </c>
      <c r="R117" s="9">
        <f t="shared" si="32"/>
        <v>0</v>
      </c>
      <c r="S117" s="9">
        <f t="shared" si="32"/>
        <v>0</v>
      </c>
      <c r="T117" s="9">
        <f t="shared" si="32"/>
        <v>0</v>
      </c>
      <c r="U117" s="9">
        <f t="shared" si="32"/>
        <v>0</v>
      </c>
      <c r="V117" s="9">
        <f t="shared" si="32"/>
        <v>0</v>
      </c>
      <c r="W117" s="9">
        <f t="shared" si="32"/>
        <v>0</v>
      </c>
      <c r="X117" s="9">
        <f t="shared" si="32"/>
        <v>0</v>
      </c>
      <c r="Y117" s="9">
        <f t="shared" si="32"/>
        <v>0</v>
      </c>
      <c r="Z117" s="9">
        <f t="shared" si="32"/>
        <v>0</v>
      </c>
      <c r="AA117" s="9">
        <f t="shared" si="32"/>
        <v>0</v>
      </c>
      <c r="AB117" s="9">
        <f t="shared" si="32"/>
        <v>0</v>
      </c>
      <c r="AC117" s="9">
        <f t="shared" si="32"/>
        <v>0</v>
      </c>
      <c r="AD117" s="9">
        <f t="shared" si="32"/>
        <v>0</v>
      </c>
      <c r="AE117" s="9">
        <f t="shared" si="32"/>
        <v>0</v>
      </c>
      <c r="AF117" s="9">
        <f t="shared" si="32"/>
        <v>0</v>
      </c>
      <c r="AG117" s="9">
        <f t="shared" si="32"/>
        <v>0</v>
      </c>
      <c r="AH117" s="9">
        <f t="shared" si="32"/>
        <v>0</v>
      </c>
      <c r="AI117" s="9">
        <f t="shared" si="32"/>
        <v>0</v>
      </c>
      <c r="AJ117" s="9">
        <f t="shared" si="32"/>
        <v>0</v>
      </c>
      <c r="AK117" s="9">
        <f t="shared" si="32"/>
        <v>0</v>
      </c>
      <c r="AL117" s="9">
        <f t="shared" si="32"/>
        <v>0</v>
      </c>
    </row>
    <row r="118" spans="1:38" ht="21" customHeight="1" outlineLevel="1" thickTop="1" thickBot="1" x14ac:dyDescent="0.4">
      <c r="A118" s="44">
        <f>$A$2</f>
        <v>450</v>
      </c>
      <c r="B118" s="80">
        <f ca="1">MIN(MIN(F118:AL121),MIN(F41:AL41))</f>
        <v>-214.6166455</v>
      </c>
      <c r="C118" s="47">
        <f>COUNTA(E118:E125)+1</f>
        <v>6</v>
      </c>
      <c r="E118" s="31" t="s">
        <v>14</v>
      </c>
      <c r="F118" s="28">
        <f ca="1">F$117*$B$2*SUMPRODUCT(F$95:F$97,F$61:F$63)/1000</f>
        <v>-9.9123185284000037</v>
      </c>
      <c r="G118" s="28">
        <f t="shared" ref="G118:AL118" ca="1" si="33">G$117*$B$2*SUMPRODUCT(G$95:G$97,G$61:G$63)/1000</f>
        <v>-26.592367341199999</v>
      </c>
      <c r="H118" s="28">
        <f t="shared" ca="1" si="33"/>
        <v>-45.410808616346188</v>
      </c>
      <c r="I118" s="28">
        <f t="shared" ca="1" si="33"/>
        <v>-65.809270456012612</v>
      </c>
      <c r="J118" s="28">
        <f t="shared" ca="1" si="33"/>
        <v>-86.736197150008607</v>
      </c>
      <c r="K118" s="28">
        <f t="shared" ca="1" si="33"/>
        <v>-105.74296348759854</v>
      </c>
      <c r="L118" s="28">
        <f t="shared" ca="1" si="33"/>
        <v>-121.95551454100026</v>
      </c>
      <c r="M118" s="28">
        <f t="shared" ca="1" si="33"/>
        <v>-135.72527721344724</v>
      </c>
      <c r="N118" s="28">
        <f t="shared" ca="1" si="33"/>
        <v>-141.71895089018238</v>
      </c>
      <c r="O118" s="28">
        <f t="shared" ca="1" si="33"/>
        <v>-131.33896374831249</v>
      </c>
      <c r="P118" s="28">
        <f t="shared" ca="1" si="33"/>
        <v>0</v>
      </c>
      <c r="Q118" s="28">
        <f t="shared" ca="1" si="33"/>
        <v>0</v>
      </c>
      <c r="R118" s="28">
        <f t="shared" ca="1" si="33"/>
        <v>0</v>
      </c>
      <c r="S118" s="28">
        <f t="shared" ca="1" si="33"/>
        <v>0</v>
      </c>
      <c r="T118" s="28">
        <f t="shared" ca="1" si="33"/>
        <v>0</v>
      </c>
      <c r="U118" s="28">
        <f t="shared" ca="1" si="33"/>
        <v>0</v>
      </c>
      <c r="V118" s="28">
        <f t="shared" ca="1" si="33"/>
        <v>0</v>
      </c>
      <c r="W118" s="28">
        <f t="shared" ca="1" si="33"/>
        <v>0</v>
      </c>
      <c r="X118" s="28">
        <f t="shared" ca="1" si="33"/>
        <v>0</v>
      </c>
      <c r="Y118" s="28">
        <f t="shared" ca="1" si="33"/>
        <v>0</v>
      </c>
      <c r="Z118" s="28">
        <f t="shared" ca="1" si="33"/>
        <v>0</v>
      </c>
      <c r="AA118" s="28">
        <f t="shared" ca="1" si="33"/>
        <v>0</v>
      </c>
      <c r="AB118" s="28">
        <f t="shared" ca="1" si="33"/>
        <v>0</v>
      </c>
      <c r="AC118" s="28">
        <f t="shared" ca="1" si="33"/>
        <v>0</v>
      </c>
      <c r="AD118" s="28">
        <f t="shared" ca="1" si="33"/>
        <v>0</v>
      </c>
      <c r="AE118" s="28">
        <f t="shared" ca="1" si="33"/>
        <v>0</v>
      </c>
      <c r="AF118" s="28">
        <f t="shared" ca="1" si="33"/>
        <v>0</v>
      </c>
      <c r="AG118" s="28">
        <f t="shared" ca="1" si="33"/>
        <v>0</v>
      </c>
      <c r="AH118" s="28">
        <f t="shared" ca="1" si="33"/>
        <v>0</v>
      </c>
      <c r="AI118" s="28">
        <f t="shared" ca="1" si="33"/>
        <v>0</v>
      </c>
      <c r="AJ118" s="28">
        <f t="shared" ca="1" si="33"/>
        <v>0</v>
      </c>
      <c r="AK118" s="28">
        <f t="shared" ca="1" si="33"/>
        <v>0</v>
      </c>
      <c r="AL118" s="28">
        <f t="shared" ca="1" si="33"/>
        <v>0</v>
      </c>
    </row>
    <row r="119" spans="1:38" ht="21" customHeight="1" outlineLevel="1" thickBot="1" x14ac:dyDescent="0.4">
      <c r="A119" s="45">
        <f>$A$118</f>
        <v>450</v>
      </c>
      <c r="B119" s="81">
        <f ca="1">MAX(MAX(F118:AL121),MAX(F41:AL41))</f>
        <v>0</v>
      </c>
      <c r="C119" s="48">
        <f xml:space="preserve"> COUNTIF(F117:AL117,"&lt;&gt;"&amp;0)</f>
        <v>10</v>
      </c>
      <c r="E119" s="31" t="s">
        <v>15</v>
      </c>
      <c r="F119" s="28">
        <f ca="1">F$117*$B$2*SUMPRODUCT(F$85:F$93,F$51:F$59)/1000</f>
        <v>-3.5283822254549341E-9</v>
      </c>
      <c r="G119" s="28">
        <f t="shared" ref="G119:AL119" ca="1" si="34">G$117*$B$2*SUMPRODUCT(G$85:G$93,G$51:G$59)/1000</f>
        <v>-1.6474030472918424E-5</v>
      </c>
      <c r="H119" s="28">
        <f t="shared" ca="1" si="34"/>
        <v>-2.8963676201447059E-3</v>
      </c>
      <c r="I119" s="28">
        <f t="shared" ca="1" si="34"/>
        <v>-9.215965368734029E-2</v>
      </c>
      <c r="J119" s="28">
        <f t="shared" ca="1" si="34"/>
        <v>-1.0280230469289584</v>
      </c>
      <c r="K119" s="28">
        <f t="shared" ca="1" si="34"/>
        <v>-5.0774637936978921</v>
      </c>
      <c r="L119" s="28">
        <f t="shared" ca="1" si="34"/>
        <v>-13.07493783151657</v>
      </c>
      <c r="M119" s="28">
        <f t="shared" ca="1" si="34"/>
        <v>-24.665977697406237</v>
      </c>
      <c r="N119" s="28">
        <f t="shared" ca="1" si="34"/>
        <v>-45.088882267330241</v>
      </c>
      <c r="O119" s="28">
        <f t="shared" ca="1" si="34"/>
        <v>-83.277154238435941</v>
      </c>
      <c r="P119" s="28">
        <f t="shared" ca="1" si="34"/>
        <v>0</v>
      </c>
      <c r="Q119" s="28">
        <f t="shared" ca="1" si="34"/>
        <v>0</v>
      </c>
      <c r="R119" s="28">
        <f t="shared" ca="1" si="34"/>
        <v>0</v>
      </c>
      <c r="S119" s="28">
        <f t="shared" ca="1" si="34"/>
        <v>0</v>
      </c>
      <c r="T119" s="28">
        <f t="shared" ca="1" si="34"/>
        <v>0</v>
      </c>
      <c r="U119" s="28">
        <f t="shared" ca="1" si="34"/>
        <v>0</v>
      </c>
      <c r="V119" s="28">
        <f t="shared" ca="1" si="34"/>
        <v>0</v>
      </c>
      <c r="W119" s="28">
        <f t="shared" ca="1" si="34"/>
        <v>0</v>
      </c>
      <c r="X119" s="28">
        <f t="shared" ca="1" si="34"/>
        <v>0</v>
      </c>
      <c r="Y119" s="28">
        <f t="shared" ca="1" si="34"/>
        <v>0</v>
      </c>
      <c r="Z119" s="28">
        <f t="shared" ca="1" si="34"/>
        <v>0</v>
      </c>
      <c r="AA119" s="28">
        <f t="shared" ca="1" si="34"/>
        <v>0</v>
      </c>
      <c r="AB119" s="28">
        <f t="shared" ca="1" si="34"/>
        <v>0</v>
      </c>
      <c r="AC119" s="28">
        <f t="shared" ca="1" si="34"/>
        <v>0</v>
      </c>
      <c r="AD119" s="28">
        <f t="shared" ca="1" si="34"/>
        <v>0</v>
      </c>
      <c r="AE119" s="28">
        <f t="shared" ca="1" si="34"/>
        <v>0</v>
      </c>
      <c r="AF119" s="28">
        <f t="shared" ca="1" si="34"/>
        <v>0</v>
      </c>
      <c r="AG119" s="28">
        <f t="shared" ca="1" si="34"/>
        <v>0</v>
      </c>
      <c r="AH119" s="28">
        <f t="shared" ca="1" si="34"/>
        <v>0</v>
      </c>
      <c r="AI119" s="28">
        <f t="shared" ca="1" si="34"/>
        <v>0</v>
      </c>
      <c r="AJ119" s="28">
        <f t="shared" ca="1" si="34"/>
        <v>0</v>
      </c>
      <c r="AK119" s="28">
        <f t="shared" ca="1" si="34"/>
        <v>0</v>
      </c>
      <c r="AL119" s="28">
        <f t="shared" ca="1" si="34"/>
        <v>0</v>
      </c>
    </row>
    <row r="120" spans="1:38" ht="21" customHeight="1" outlineLevel="1" thickBot="1" x14ac:dyDescent="0.4">
      <c r="E120" s="31" t="s">
        <v>16</v>
      </c>
      <c r="F120" s="28">
        <f ca="1">F119+F94*F60</f>
        <v>-15.516666670195054</v>
      </c>
      <c r="G120" s="28">
        <f t="shared" ref="G120:AL120" ca="1" si="35">G119+G94*G60</f>
        <v>-15.54168314069714</v>
      </c>
      <c r="H120" s="28">
        <f t="shared" ca="1" si="35"/>
        <v>-15.644563034286813</v>
      </c>
      <c r="I120" s="28">
        <f t="shared" ca="1" si="35"/>
        <v>-15.867159653687342</v>
      </c>
      <c r="J120" s="28">
        <f t="shared" ca="1" si="35"/>
        <v>-16.944689713595629</v>
      </c>
      <c r="K120" s="28">
        <f t="shared" ca="1" si="35"/>
        <v>-21.160797127031227</v>
      </c>
      <c r="L120" s="28">
        <f t="shared" ca="1" si="35"/>
        <v>-29.333271164849904</v>
      </c>
      <c r="M120" s="28">
        <f t="shared" ca="1" si="35"/>
        <v>-41.107644364072911</v>
      </c>
      <c r="N120" s="28">
        <f t="shared" ca="1" si="35"/>
        <v>-61.730548933996914</v>
      </c>
      <c r="O120" s="28">
        <f t="shared" ca="1" si="35"/>
        <v>-100.18548757176927</v>
      </c>
      <c r="P120" s="28">
        <f t="shared" ca="1" si="35"/>
        <v>0</v>
      </c>
      <c r="Q120" s="28">
        <f t="shared" ca="1" si="35"/>
        <v>0</v>
      </c>
      <c r="R120" s="28">
        <f t="shared" ca="1" si="35"/>
        <v>0</v>
      </c>
      <c r="S120" s="28">
        <f t="shared" ca="1" si="35"/>
        <v>0</v>
      </c>
      <c r="T120" s="28">
        <f t="shared" ca="1" si="35"/>
        <v>0</v>
      </c>
      <c r="U120" s="28">
        <f t="shared" ca="1" si="35"/>
        <v>0</v>
      </c>
      <c r="V120" s="28">
        <f t="shared" ca="1" si="35"/>
        <v>0</v>
      </c>
      <c r="W120" s="28">
        <f t="shared" ca="1" si="35"/>
        <v>0</v>
      </c>
      <c r="X120" s="28">
        <f t="shared" ca="1" si="35"/>
        <v>0</v>
      </c>
      <c r="Y120" s="28">
        <f t="shared" ca="1" si="35"/>
        <v>0</v>
      </c>
      <c r="Z120" s="28">
        <f t="shared" ca="1" si="35"/>
        <v>0</v>
      </c>
      <c r="AA120" s="28">
        <f t="shared" ca="1" si="35"/>
        <v>0</v>
      </c>
      <c r="AB120" s="28">
        <f t="shared" ca="1" si="35"/>
        <v>0</v>
      </c>
      <c r="AC120" s="28">
        <f t="shared" ca="1" si="35"/>
        <v>0</v>
      </c>
      <c r="AD120" s="28">
        <f t="shared" ca="1" si="35"/>
        <v>0</v>
      </c>
      <c r="AE120" s="28">
        <f t="shared" ca="1" si="35"/>
        <v>0</v>
      </c>
      <c r="AF120" s="28">
        <f t="shared" ca="1" si="35"/>
        <v>0</v>
      </c>
      <c r="AG120" s="28">
        <f t="shared" ca="1" si="35"/>
        <v>0</v>
      </c>
      <c r="AH120" s="28">
        <f t="shared" ca="1" si="35"/>
        <v>0</v>
      </c>
      <c r="AI120" s="28">
        <f t="shared" ca="1" si="35"/>
        <v>0</v>
      </c>
      <c r="AJ120" s="28">
        <f t="shared" ca="1" si="35"/>
        <v>0</v>
      </c>
      <c r="AK120" s="28">
        <f t="shared" ca="1" si="35"/>
        <v>0</v>
      </c>
      <c r="AL120" s="28">
        <f t="shared" ca="1" si="35"/>
        <v>0</v>
      </c>
    </row>
    <row r="121" spans="1:38" ht="21" customHeight="1" outlineLevel="1" thickBot="1" x14ac:dyDescent="0.4">
      <c r="E121" s="31" t="s">
        <v>17</v>
      </c>
      <c r="F121" s="28">
        <f ca="1">F119+F118</f>
        <v>-9.9123185319283866</v>
      </c>
      <c r="G121" s="28">
        <f t="shared" ref="G121:AL121" ca="1" si="36">G119+G118</f>
        <v>-26.592383815230473</v>
      </c>
      <c r="H121" s="28">
        <f t="shared" ca="1" si="36"/>
        <v>-45.413704983966333</v>
      </c>
      <c r="I121" s="28">
        <f t="shared" ca="1" si="36"/>
        <v>-65.901430109699959</v>
      </c>
      <c r="J121" s="28">
        <f t="shared" ca="1" si="36"/>
        <v>-87.764220196937572</v>
      </c>
      <c r="K121" s="28">
        <f t="shared" ca="1" si="36"/>
        <v>-110.82042728129643</v>
      </c>
      <c r="L121" s="28">
        <f t="shared" ca="1" si="36"/>
        <v>-135.03045237251683</v>
      </c>
      <c r="M121" s="28">
        <f t="shared" ca="1" si="36"/>
        <v>-160.39125491085349</v>
      </c>
      <c r="N121" s="28">
        <f t="shared" ca="1" si="36"/>
        <v>-186.80783315751262</v>
      </c>
      <c r="O121" s="28">
        <f t="shared" ca="1" si="36"/>
        <v>-214.61611798674843</v>
      </c>
      <c r="P121" s="28">
        <f t="shared" ca="1" si="36"/>
        <v>0</v>
      </c>
      <c r="Q121" s="28">
        <f t="shared" ca="1" si="36"/>
        <v>0</v>
      </c>
      <c r="R121" s="28">
        <f t="shared" ca="1" si="36"/>
        <v>0</v>
      </c>
      <c r="S121" s="28">
        <f t="shared" ca="1" si="36"/>
        <v>0</v>
      </c>
      <c r="T121" s="28">
        <f t="shared" ca="1" si="36"/>
        <v>0</v>
      </c>
      <c r="U121" s="28">
        <f t="shared" ca="1" si="36"/>
        <v>0</v>
      </c>
      <c r="V121" s="28">
        <f t="shared" ca="1" si="36"/>
        <v>0</v>
      </c>
      <c r="W121" s="28">
        <f t="shared" ca="1" si="36"/>
        <v>0</v>
      </c>
      <c r="X121" s="28">
        <f t="shared" ca="1" si="36"/>
        <v>0</v>
      </c>
      <c r="Y121" s="28">
        <f t="shared" ca="1" si="36"/>
        <v>0</v>
      </c>
      <c r="Z121" s="28">
        <f t="shared" ca="1" si="36"/>
        <v>0</v>
      </c>
      <c r="AA121" s="28">
        <f t="shared" ca="1" si="36"/>
        <v>0</v>
      </c>
      <c r="AB121" s="28">
        <f t="shared" ca="1" si="36"/>
        <v>0</v>
      </c>
      <c r="AC121" s="28">
        <f t="shared" ca="1" si="36"/>
        <v>0</v>
      </c>
      <c r="AD121" s="28">
        <f t="shared" ca="1" si="36"/>
        <v>0</v>
      </c>
      <c r="AE121" s="28">
        <f t="shared" ca="1" si="36"/>
        <v>0</v>
      </c>
      <c r="AF121" s="28">
        <f t="shared" ca="1" si="36"/>
        <v>0</v>
      </c>
      <c r="AG121" s="28">
        <f t="shared" ca="1" si="36"/>
        <v>0</v>
      </c>
      <c r="AH121" s="28">
        <f t="shared" ca="1" si="36"/>
        <v>0</v>
      </c>
      <c r="AI121" s="28">
        <f t="shared" ca="1" si="36"/>
        <v>0</v>
      </c>
      <c r="AJ121" s="28">
        <f t="shared" ca="1" si="36"/>
        <v>0</v>
      </c>
      <c r="AK121" s="28">
        <f t="shared" ca="1" si="36"/>
        <v>0</v>
      </c>
      <c r="AL121" s="28">
        <f t="shared" ca="1" si="36"/>
        <v>0</v>
      </c>
    </row>
    <row r="122" spans="1:38" ht="21" customHeight="1" outlineLevel="1" thickBot="1" x14ac:dyDescent="0.4">
      <c r="E122" s="31" t="s">
        <v>18</v>
      </c>
      <c r="F122" s="28">
        <f ca="1">F120+F118</f>
        <v>-25.428985198595058</v>
      </c>
      <c r="G122" s="28">
        <f t="shared" ref="G122:AL122" ca="1" si="37">G120+G118</f>
        <v>-42.134050481897141</v>
      </c>
      <c r="H122" s="28">
        <f t="shared" ca="1" si="37"/>
        <v>-61.055371650632999</v>
      </c>
      <c r="I122" s="28">
        <f t="shared" ca="1" si="37"/>
        <v>-81.67643010969995</v>
      </c>
      <c r="J122" s="28">
        <f t="shared" ca="1" si="37"/>
        <v>-103.68088686360423</v>
      </c>
      <c r="K122" s="28">
        <f t="shared" ca="1" si="37"/>
        <v>-126.90376061462977</v>
      </c>
      <c r="L122" s="28">
        <f t="shared" ca="1" si="37"/>
        <v>-151.28878570585016</v>
      </c>
      <c r="M122" s="28">
        <f t="shared" ca="1" si="37"/>
        <v>-176.83292157752015</v>
      </c>
      <c r="N122" s="28">
        <f t="shared" ca="1" si="37"/>
        <v>-203.4494998241793</v>
      </c>
      <c r="O122" s="28">
        <f t="shared" ca="1" si="37"/>
        <v>-231.52445132008177</v>
      </c>
      <c r="P122" s="28">
        <f t="shared" ca="1" si="37"/>
        <v>0</v>
      </c>
      <c r="Q122" s="28">
        <f t="shared" ca="1" si="37"/>
        <v>0</v>
      </c>
      <c r="R122" s="28">
        <f t="shared" ca="1" si="37"/>
        <v>0</v>
      </c>
      <c r="S122" s="28">
        <f t="shared" ca="1" si="37"/>
        <v>0</v>
      </c>
      <c r="T122" s="28">
        <f t="shared" ca="1" si="37"/>
        <v>0</v>
      </c>
      <c r="U122" s="28">
        <f t="shared" ca="1" si="37"/>
        <v>0</v>
      </c>
      <c r="V122" s="28">
        <f t="shared" ca="1" si="37"/>
        <v>0</v>
      </c>
      <c r="W122" s="28">
        <f t="shared" ca="1" si="37"/>
        <v>0</v>
      </c>
      <c r="X122" s="28">
        <f t="shared" ca="1" si="37"/>
        <v>0</v>
      </c>
      <c r="Y122" s="28">
        <f t="shared" ca="1" si="37"/>
        <v>0</v>
      </c>
      <c r="Z122" s="28">
        <f t="shared" ca="1" si="37"/>
        <v>0</v>
      </c>
      <c r="AA122" s="28">
        <f t="shared" ca="1" si="37"/>
        <v>0</v>
      </c>
      <c r="AB122" s="28">
        <f t="shared" ca="1" si="37"/>
        <v>0</v>
      </c>
      <c r="AC122" s="28">
        <f t="shared" ca="1" si="37"/>
        <v>0</v>
      </c>
      <c r="AD122" s="28">
        <f t="shared" ca="1" si="37"/>
        <v>0</v>
      </c>
      <c r="AE122" s="28">
        <f t="shared" ca="1" si="37"/>
        <v>0</v>
      </c>
      <c r="AF122" s="28">
        <f t="shared" ca="1" si="37"/>
        <v>0</v>
      </c>
      <c r="AG122" s="28">
        <f t="shared" ca="1" si="37"/>
        <v>0</v>
      </c>
      <c r="AH122" s="28">
        <f t="shared" ca="1" si="37"/>
        <v>0</v>
      </c>
      <c r="AI122" s="28">
        <f t="shared" ca="1" si="37"/>
        <v>0</v>
      </c>
      <c r="AJ122" s="28">
        <f t="shared" ca="1" si="37"/>
        <v>0</v>
      </c>
      <c r="AK122" s="28">
        <f t="shared" ca="1" si="37"/>
        <v>0</v>
      </c>
      <c r="AL122" s="28">
        <f t="shared" ca="1" si="37"/>
        <v>0</v>
      </c>
    </row>
    <row r="123" spans="1:38" ht="21" customHeight="1" outlineLevel="1" thickBot="1" x14ac:dyDescent="0.4">
      <c r="E123" s="31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ht="21" customHeight="1" outlineLevel="1" thickBot="1" x14ac:dyDescent="0.4">
      <c r="E124" s="32"/>
      <c r="L124" s="63">
        <v>5</v>
      </c>
    </row>
    <row r="125" spans="1:38" ht="21" customHeight="1" outlineLevel="1" thickBot="1" x14ac:dyDescent="0.4">
      <c r="E125" s="32"/>
      <c r="L125" s="63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353.9</v>
      </c>
      <c r="H126" s="9">
        <f ca="1"/>
        <v>434.7</v>
      </c>
      <c r="I126" s="9">
        <f ca="1"/>
        <v>515.4</v>
      </c>
      <c r="J126" s="9">
        <f ca="1"/>
        <v>596.20000000000005</v>
      </c>
      <c r="K126" s="9">
        <f ca="1"/>
        <v>677</v>
      </c>
      <c r="L126" s="9">
        <f ca="1"/>
        <v>757.7</v>
      </c>
      <c r="M126" s="9">
        <f ca="1"/>
        <v>838.5</v>
      </c>
      <c r="N126" s="9">
        <f ca="1"/>
        <v>919.2</v>
      </c>
      <c r="O126" s="9">
        <f ca="1"/>
        <v>1000</v>
      </c>
      <c r="P126" s="9" t="e">
        <f ca="1"/>
        <v>#N/A</v>
      </c>
      <c r="Q126" s="9" t="e">
        <f ca="1"/>
        <v>#N/A</v>
      </c>
      <c r="R126" s="9" t="e">
        <f ca="1"/>
        <v>#N/A</v>
      </c>
      <c r="S126" s="9" t="e">
        <f ca="1"/>
        <v>#N/A</v>
      </c>
      <c r="T126" s="9" t="e">
        <f ca="1"/>
        <v>#N/A</v>
      </c>
      <c r="U126" s="9" t="e">
        <f ca="1"/>
        <v>#N/A</v>
      </c>
      <c r="V126" s="9" t="e">
        <f ca="1"/>
        <v>#N/A</v>
      </c>
      <c r="W126" s="9" t="e">
        <f ca="1"/>
        <v>#N/A</v>
      </c>
      <c r="X126" s="9" t="e">
        <f ca="1"/>
        <v>#N/A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Раствор (жид): </v>
      </c>
      <c r="F127" s="63">
        <f ca="1"/>
        <v>-9.9123185284000037</v>
      </c>
      <c r="G127" s="63">
        <f ca="1"/>
        <v>-26.592367341199999</v>
      </c>
      <c r="H127" s="63">
        <f ca="1"/>
        <v>-45.410808616346188</v>
      </c>
      <c r="I127" s="63">
        <f ca="1"/>
        <v>-65.809270456012612</v>
      </c>
      <c r="J127" s="63">
        <f ca="1"/>
        <v>-86.736197150008607</v>
      </c>
      <c r="K127" s="63">
        <f ca="1"/>
        <v>-105.74296348759854</v>
      </c>
      <c r="L127" s="63">
        <f ca="1"/>
        <v>-121.95551454100026</v>
      </c>
      <c r="M127" s="63">
        <f ca="1"/>
        <v>-135.72527721344724</v>
      </c>
      <c r="N127" s="63">
        <f ca="1"/>
        <v>-141.71895089018238</v>
      </c>
      <c r="O127" s="63">
        <f ca="1"/>
        <v>-131.33896374831249</v>
      </c>
      <c r="P127" s="63" t="e">
        <f ca="1"/>
        <v>#N/A</v>
      </c>
      <c r="Q127" s="63" t="e">
        <f ca="1"/>
        <v>#N/A</v>
      </c>
      <c r="R127" s="63" t="e">
        <f ca="1"/>
        <v>#N/A</v>
      </c>
      <c r="S127" s="63" t="e">
        <f ca="1"/>
        <v>#N/A</v>
      </c>
      <c r="T127" s="63" t="e">
        <f ca="1"/>
        <v>#N/A</v>
      </c>
      <c r="U127" s="63" t="e">
        <f ca="1"/>
        <v>#N/A</v>
      </c>
      <c r="V127" s="63" t="e">
        <f ca="1"/>
        <v>#N/A</v>
      </c>
      <c r="W127" s="63" t="e">
        <f ca="1"/>
        <v>#N/A</v>
      </c>
      <c r="X127" s="63" t="e">
        <f ca="1"/>
        <v>#N/A</v>
      </c>
      <c r="Y127" s="63" t="e">
        <f ca="1"/>
        <v>#N/A</v>
      </c>
      <c r="Z127" s="63" t="e">
        <f ca="1"/>
        <v>#N/A</v>
      </c>
      <c r="AA127" s="63" t="e">
        <f ca="1"/>
        <v>#N/A</v>
      </c>
      <c r="AB127" s="63" t="e">
        <f ca="1"/>
        <v>#N/A</v>
      </c>
      <c r="AC127" s="63" t="e">
        <f ca="1"/>
        <v>#N/A</v>
      </c>
      <c r="AD127" s="63" t="e">
        <f ca="1"/>
        <v>#N/A</v>
      </c>
      <c r="AE127" s="63" t="e">
        <f ca="1"/>
        <v>#N/A</v>
      </c>
      <c r="AF127" s="63" t="e">
        <f ca="1"/>
        <v>#N/A</v>
      </c>
      <c r="AG127" s="63" t="e">
        <f ca="1"/>
        <v>#N/A</v>
      </c>
      <c r="AH127" s="63" t="e">
        <f ca="1"/>
        <v>#N/A</v>
      </c>
      <c r="AI127" s="63" t="e">
        <f ca="1"/>
        <v>#N/A</v>
      </c>
      <c r="AJ127" s="63" t="e">
        <f ca="1"/>
        <v>#N/A</v>
      </c>
      <c r="AK127" s="63" t="e">
        <f ca="1"/>
        <v>#N/A</v>
      </c>
      <c r="AL127" s="63" t="e">
        <f ca="1"/>
        <v>#N/A</v>
      </c>
    </row>
    <row r="128" spans="1:38" ht="21" customHeight="1" outlineLevel="1" thickBot="1" x14ac:dyDescent="0.4">
      <c r="E128" s="31" t="str">
        <f ca="1"/>
        <v xml:space="preserve">Газовая без Ar: </v>
      </c>
      <c r="F128" s="63">
        <f ca="1"/>
        <v>-3.5283822254549341E-9</v>
      </c>
      <c r="G128" s="63">
        <f ca="1"/>
        <v>-1.6474030472918424E-5</v>
      </c>
      <c r="H128" s="63">
        <f ca="1"/>
        <v>-2.8963676201447059E-3</v>
      </c>
      <c r="I128" s="63">
        <f ca="1"/>
        <v>-9.215965368734029E-2</v>
      </c>
      <c r="J128" s="63">
        <f ca="1"/>
        <v>-1.0280230469289584</v>
      </c>
      <c r="K128" s="63">
        <f ca="1"/>
        <v>-5.0774637936978921</v>
      </c>
      <c r="L128" s="63">
        <f ca="1"/>
        <v>-13.07493783151657</v>
      </c>
      <c r="M128" s="63">
        <f ca="1"/>
        <v>-24.665977697406237</v>
      </c>
      <c r="N128" s="63">
        <f ca="1"/>
        <v>-45.088882267330241</v>
      </c>
      <c r="O128" s="63">
        <f ca="1"/>
        <v>-83.277154238435941</v>
      </c>
      <c r="P128" s="63" t="e">
        <f ca="1"/>
        <v>#N/A</v>
      </c>
      <c r="Q128" s="63" t="e">
        <f ca="1"/>
        <v>#N/A</v>
      </c>
      <c r="R128" s="63" t="e">
        <f ca="1"/>
        <v>#N/A</v>
      </c>
      <c r="S128" s="63" t="e">
        <f ca="1"/>
        <v>#N/A</v>
      </c>
      <c r="T128" s="63" t="e">
        <f ca="1"/>
        <v>#N/A</v>
      </c>
      <c r="U128" s="63" t="e">
        <f ca="1"/>
        <v>#N/A</v>
      </c>
      <c r="V128" s="63" t="e">
        <f ca="1"/>
        <v>#N/A</v>
      </c>
      <c r="W128" s="63" t="e">
        <f ca="1"/>
        <v>#N/A</v>
      </c>
      <c r="X128" s="63" t="e">
        <f ca="1"/>
        <v>#N/A</v>
      </c>
      <c r="Y128" s="63" t="e">
        <f ca="1"/>
        <v>#N/A</v>
      </c>
      <c r="Z128" s="63" t="e">
        <f ca="1"/>
        <v>#N/A</v>
      </c>
      <c r="AA128" s="63" t="e">
        <f ca="1"/>
        <v>#N/A</v>
      </c>
      <c r="AB128" s="63" t="e">
        <f ca="1"/>
        <v>#N/A</v>
      </c>
      <c r="AC128" s="63" t="e">
        <f ca="1"/>
        <v>#N/A</v>
      </c>
      <c r="AD128" s="63" t="e">
        <f ca="1"/>
        <v>#N/A</v>
      </c>
      <c r="AE128" s="63" t="e">
        <f ca="1"/>
        <v>#N/A</v>
      </c>
      <c r="AF128" s="63" t="e">
        <f ca="1"/>
        <v>#N/A</v>
      </c>
      <c r="AG128" s="63" t="e">
        <f ca="1"/>
        <v>#N/A</v>
      </c>
      <c r="AH128" s="63" t="e">
        <f ca="1"/>
        <v>#N/A</v>
      </c>
      <c r="AI128" s="63" t="e">
        <f ca="1"/>
        <v>#N/A</v>
      </c>
      <c r="AJ128" s="63" t="e">
        <f ca="1"/>
        <v>#N/A</v>
      </c>
      <c r="AK128" s="63" t="e">
        <f ca="1"/>
        <v>#N/A</v>
      </c>
      <c r="AL128" s="63" t="e">
        <f ca="1"/>
        <v>#N/A</v>
      </c>
    </row>
    <row r="129" spans="1:38" ht="21" customHeight="1" outlineLevel="1" thickBot="1" x14ac:dyDescent="0.4">
      <c r="E129" s="31" t="str">
        <f ca="1"/>
        <v xml:space="preserve">Газовая: </v>
      </c>
      <c r="F129" s="63">
        <f ca="1"/>
        <v>-15.516666670195054</v>
      </c>
      <c r="G129" s="63">
        <f ca="1"/>
        <v>-15.54168314069714</v>
      </c>
      <c r="H129" s="63">
        <f ca="1"/>
        <v>-15.644563034286813</v>
      </c>
      <c r="I129" s="63">
        <f ca="1"/>
        <v>-15.867159653687342</v>
      </c>
      <c r="J129" s="63">
        <f ca="1"/>
        <v>-16.944689713595629</v>
      </c>
      <c r="K129" s="63">
        <f ca="1"/>
        <v>-21.160797127031227</v>
      </c>
      <c r="L129" s="63">
        <f ca="1"/>
        <v>-29.333271164849904</v>
      </c>
      <c r="M129" s="63">
        <f ca="1"/>
        <v>-41.107644364072911</v>
      </c>
      <c r="N129" s="63">
        <f ca="1"/>
        <v>-61.730548933996914</v>
      </c>
      <c r="O129" s="63">
        <f ca="1"/>
        <v>-100.18548757176927</v>
      </c>
      <c r="P129" s="63" t="e">
        <f ca="1"/>
        <v>#N/A</v>
      </c>
      <c r="Q129" s="63" t="e">
        <f ca="1"/>
        <v>#N/A</v>
      </c>
      <c r="R129" s="63" t="e">
        <f ca="1"/>
        <v>#N/A</v>
      </c>
      <c r="S129" s="63" t="e">
        <f ca="1"/>
        <v>#N/A</v>
      </c>
      <c r="T129" s="63" t="e">
        <f ca="1"/>
        <v>#N/A</v>
      </c>
      <c r="U129" s="63" t="e">
        <f ca="1"/>
        <v>#N/A</v>
      </c>
      <c r="V129" s="63" t="e">
        <f ca="1"/>
        <v>#N/A</v>
      </c>
      <c r="W129" s="63" t="e">
        <f ca="1"/>
        <v>#N/A</v>
      </c>
      <c r="X129" s="63" t="e">
        <f ca="1"/>
        <v>#N/A</v>
      </c>
      <c r="Y129" s="63" t="e">
        <f ca="1"/>
        <v>#N/A</v>
      </c>
      <c r="Z129" s="63" t="e">
        <f ca="1"/>
        <v>#N/A</v>
      </c>
      <c r="AA129" s="63" t="e">
        <f ca="1"/>
        <v>#N/A</v>
      </c>
      <c r="AB129" s="63" t="e">
        <f ca="1"/>
        <v>#N/A</v>
      </c>
      <c r="AC129" s="63" t="e">
        <f ca="1"/>
        <v>#N/A</v>
      </c>
      <c r="AD129" s="63" t="e">
        <f ca="1"/>
        <v>#N/A</v>
      </c>
      <c r="AE129" s="63" t="e">
        <f ca="1"/>
        <v>#N/A</v>
      </c>
      <c r="AF129" s="63" t="e">
        <f ca="1"/>
        <v>#N/A</v>
      </c>
      <c r="AG129" s="63" t="e">
        <f ca="1"/>
        <v>#N/A</v>
      </c>
      <c r="AH129" s="63" t="e">
        <f ca="1"/>
        <v>#N/A</v>
      </c>
      <c r="AI129" s="63" t="e">
        <f ca="1"/>
        <v>#N/A</v>
      </c>
      <c r="AJ129" s="63" t="e">
        <f ca="1"/>
        <v>#N/A</v>
      </c>
      <c r="AK129" s="63" t="e">
        <f ca="1"/>
        <v>#N/A</v>
      </c>
      <c r="AL129" s="63" t="e">
        <f ca="1"/>
        <v>#N/A</v>
      </c>
    </row>
    <row r="130" spans="1:38" ht="21" customHeight="1" outlineLevel="1" thickBot="1" x14ac:dyDescent="0.4">
      <c r="E130" s="31" t="str">
        <f ca="1"/>
        <v xml:space="preserve">Раствор + газовая без Ar: </v>
      </c>
      <c r="F130" s="63">
        <f ca="1"/>
        <v>-9.9123185319283866</v>
      </c>
      <c r="G130" s="63">
        <f ca="1"/>
        <v>-26.592383815230473</v>
      </c>
      <c r="H130" s="63">
        <f ca="1"/>
        <v>-45.413704983966333</v>
      </c>
      <c r="I130" s="63">
        <f ca="1"/>
        <v>-65.901430109699959</v>
      </c>
      <c r="J130" s="63">
        <f ca="1"/>
        <v>-87.764220196937572</v>
      </c>
      <c r="K130" s="63">
        <f ca="1"/>
        <v>-110.82042728129643</v>
      </c>
      <c r="L130" s="63">
        <f ca="1"/>
        <v>-135.03045237251683</v>
      </c>
      <c r="M130" s="63">
        <f ca="1"/>
        <v>-160.39125491085349</v>
      </c>
      <c r="N130" s="63">
        <f ca="1"/>
        <v>-186.80783315751262</v>
      </c>
      <c r="O130" s="63">
        <f ca="1"/>
        <v>-214.61611798674843</v>
      </c>
      <c r="P130" s="63" t="e">
        <f ca="1"/>
        <v>#N/A</v>
      </c>
      <c r="Q130" s="63" t="e">
        <f ca="1"/>
        <v>#N/A</v>
      </c>
      <c r="R130" s="63" t="e">
        <f ca="1"/>
        <v>#N/A</v>
      </c>
      <c r="S130" s="63" t="e">
        <f ca="1"/>
        <v>#N/A</v>
      </c>
      <c r="T130" s="63" t="e">
        <f ca="1"/>
        <v>#N/A</v>
      </c>
      <c r="U130" s="63" t="e">
        <f ca="1"/>
        <v>#N/A</v>
      </c>
      <c r="V130" s="63" t="e">
        <f ca="1"/>
        <v>#N/A</v>
      </c>
      <c r="W130" s="63" t="e">
        <f ca="1"/>
        <v>#N/A</v>
      </c>
      <c r="X130" s="63" t="e">
        <f ca="1"/>
        <v>#N/A</v>
      </c>
      <c r="Y130" s="63" t="e">
        <f ca="1"/>
        <v>#N/A</v>
      </c>
      <c r="Z130" s="63" t="e">
        <f ca="1"/>
        <v>#N/A</v>
      </c>
      <c r="AA130" s="63" t="e">
        <f ca="1"/>
        <v>#N/A</v>
      </c>
      <c r="AB130" s="63" t="e">
        <f ca="1"/>
        <v>#N/A</v>
      </c>
      <c r="AC130" s="63" t="e">
        <f ca="1"/>
        <v>#N/A</v>
      </c>
      <c r="AD130" s="63" t="e">
        <f ca="1"/>
        <v>#N/A</v>
      </c>
      <c r="AE130" s="63" t="e">
        <f ca="1"/>
        <v>#N/A</v>
      </c>
      <c r="AF130" s="63" t="e">
        <f ca="1"/>
        <v>#N/A</v>
      </c>
      <c r="AG130" s="63" t="e">
        <f ca="1"/>
        <v>#N/A</v>
      </c>
      <c r="AH130" s="63" t="e">
        <f ca="1"/>
        <v>#N/A</v>
      </c>
      <c r="AI130" s="63" t="e">
        <f ca="1"/>
        <v>#N/A</v>
      </c>
      <c r="AJ130" s="63" t="e">
        <f ca="1"/>
        <v>#N/A</v>
      </c>
      <c r="AK130" s="63" t="e">
        <f ca="1"/>
        <v>#N/A</v>
      </c>
      <c r="AL130" s="63" t="e">
        <f ca="1"/>
        <v>#N/A</v>
      </c>
    </row>
    <row r="131" spans="1:38" ht="21" customHeight="1" outlineLevel="1" thickBot="1" x14ac:dyDescent="0.4">
      <c r="E131" s="31" t="str">
        <f ca="1"/>
        <v xml:space="preserve">Раствор + газовая: </v>
      </c>
      <c r="F131" s="63">
        <f ca="1"/>
        <v>-25.428985198595058</v>
      </c>
      <c r="G131" s="63">
        <f ca="1"/>
        <v>-42.134050481897141</v>
      </c>
      <c r="H131" s="63">
        <f ca="1"/>
        <v>-61.055371650632999</v>
      </c>
      <c r="I131" s="63">
        <f ca="1"/>
        <v>-81.67643010969995</v>
      </c>
      <c r="J131" s="63">
        <f ca="1"/>
        <v>-103.68088686360423</v>
      </c>
      <c r="K131" s="63">
        <f ca="1"/>
        <v>-126.90376061462977</v>
      </c>
      <c r="L131" s="63">
        <f ca="1"/>
        <v>-151.28878570585016</v>
      </c>
      <c r="M131" s="63">
        <f ca="1"/>
        <v>-176.83292157752015</v>
      </c>
      <c r="N131" s="63">
        <f ca="1"/>
        <v>-203.4494998241793</v>
      </c>
      <c r="O131" s="63">
        <f ca="1"/>
        <v>-231.52445132008177</v>
      </c>
      <c r="P131" s="63" t="e">
        <f ca="1"/>
        <v>#N/A</v>
      </c>
      <c r="Q131" s="63" t="e">
        <f ca="1"/>
        <v>#N/A</v>
      </c>
      <c r="R131" s="63" t="e">
        <f ca="1"/>
        <v>#N/A</v>
      </c>
      <c r="S131" s="63" t="e">
        <f ca="1"/>
        <v>#N/A</v>
      </c>
      <c r="T131" s="63" t="e">
        <f ca="1"/>
        <v>#N/A</v>
      </c>
      <c r="U131" s="63" t="e">
        <f ca="1"/>
        <v>#N/A</v>
      </c>
      <c r="V131" s="63" t="e">
        <f ca="1"/>
        <v>#N/A</v>
      </c>
      <c r="W131" s="63" t="e">
        <f ca="1"/>
        <v>#N/A</v>
      </c>
      <c r="X131" s="63" t="e">
        <f ca="1"/>
        <v>#N/A</v>
      </c>
      <c r="Y131" s="63" t="e">
        <f ca="1"/>
        <v>#N/A</v>
      </c>
      <c r="Z131" s="63" t="e">
        <f ca="1"/>
        <v>#N/A</v>
      </c>
      <c r="AA131" s="63" t="e">
        <f ca="1"/>
        <v>#N/A</v>
      </c>
      <c r="AB131" s="63" t="e">
        <f ca="1"/>
        <v>#N/A</v>
      </c>
      <c r="AC131" s="63" t="e">
        <f ca="1"/>
        <v>#N/A</v>
      </c>
      <c r="AD131" s="63" t="e">
        <f ca="1"/>
        <v>#N/A</v>
      </c>
      <c r="AE131" s="63" t="e">
        <f ca="1"/>
        <v>#N/A</v>
      </c>
      <c r="AF131" s="63" t="e">
        <f ca="1"/>
        <v>#N/A</v>
      </c>
      <c r="AG131" s="63" t="e">
        <f ca="1"/>
        <v>#N/A</v>
      </c>
      <c r="AH131" s="63" t="e">
        <f ca="1"/>
        <v>#N/A</v>
      </c>
      <c r="AI131" s="63" t="e">
        <f ca="1"/>
        <v>#N/A</v>
      </c>
      <c r="AJ131" s="63" t="e">
        <f ca="1"/>
        <v>#N/A</v>
      </c>
      <c r="AK131" s="63" t="e">
        <f ca="1"/>
        <v>#N/A</v>
      </c>
      <c r="AL131" s="63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s="63" t="e">
        <f ca="1"/>
        <v>#N/A</v>
      </c>
      <c r="G132" s="63" t="e">
        <f ca="1"/>
        <v>#N/A</v>
      </c>
      <c r="H132" s="63" t="e">
        <f ca="1"/>
        <v>#N/A</v>
      </c>
      <c r="I132" s="63" t="e">
        <f ca="1"/>
        <v>#N/A</v>
      </c>
      <c r="J132" s="63" t="e">
        <f ca="1"/>
        <v>#N/A</v>
      </c>
      <c r="K132" s="63" t="e">
        <f ca="1"/>
        <v>#N/A</v>
      </c>
      <c r="L132" s="63" t="e">
        <f ca="1"/>
        <v>#N/A</v>
      </c>
      <c r="M132" s="63" t="e">
        <f ca="1"/>
        <v>#N/A</v>
      </c>
      <c r="N132" s="63" t="e">
        <f ca="1"/>
        <v>#N/A</v>
      </c>
      <c r="O132" s="63" t="e">
        <f ca="1"/>
        <v>#N/A</v>
      </c>
      <c r="P132" s="63" t="e">
        <f ca="1"/>
        <v>#N/A</v>
      </c>
      <c r="Q132" s="63" t="e">
        <f ca="1"/>
        <v>#N/A</v>
      </c>
      <c r="R132" s="63" t="e">
        <f ca="1"/>
        <v>#N/A</v>
      </c>
      <c r="S132" s="63" t="e">
        <f ca="1"/>
        <v>#N/A</v>
      </c>
      <c r="T132" s="63" t="e">
        <f ca="1"/>
        <v>#N/A</v>
      </c>
      <c r="U132" s="63" t="e">
        <f ca="1"/>
        <v>#N/A</v>
      </c>
      <c r="V132" s="63" t="e">
        <f ca="1"/>
        <v>#N/A</v>
      </c>
      <c r="W132" s="63" t="e">
        <f ca="1"/>
        <v>#N/A</v>
      </c>
      <c r="X132" s="63" t="e">
        <f ca="1"/>
        <v>#N/A</v>
      </c>
      <c r="Y132" s="63" t="e">
        <f ca="1"/>
        <v>#N/A</v>
      </c>
      <c r="Z132" s="63" t="e">
        <f ca="1"/>
        <v>#N/A</v>
      </c>
      <c r="AA132" s="63" t="e">
        <f ca="1"/>
        <v>#N/A</v>
      </c>
      <c r="AB132" s="63" t="e">
        <f ca="1"/>
        <v>#N/A</v>
      </c>
      <c r="AC132" s="63" t="e">
        <f ca="1"/>
        <v>#N/A</v>
      </c>
      <c r="AD132" s="63" t="e">
        <f ca="1"/>
        <v>#N/A</v>
      </c>
      <c r="AE132" s="63" t="e">
        <f ca="1"/>
        <v>#N/A</v>
      </c>
      <c r="AF132" s="63" t="e">
        <f ca="1"/>
        <v>#N/A</v>
      </c>
      <c r="AG132" s="63" t="e">
        <f ca="1"/>
        <v>#N/A</v>
      </c>
      <c r="AH132" s="63" t="e">
        <f ca="1"/>
        <v>#N/A</v>
      </c>
      <c r="AI132" s="63" t="e">
        <f ca="1"/>
        <v>#N/A</v>
      </c>
      <c r="AJ132" s="63" t="e">
        <f ca="1"/>
        <v>#N/A</v>
      </c>
      <c r="AK132" s="63" t="e">
        <f ca="1"/>
        <v>#N/A</v>
      </c>
      <c r="AL132" s="63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s="63" t="e">
        <f ca="1"/>
        <v>#N/A</v>
      </c>
      <c r="G133" s="63" t="e">
        <f ca="1"/>
        <v>#N/A</v>
      </c>
      <c r="H133" s="63" t="e">
        <f ca="1"/>
        <v>#N/A</v>
      </c>
      <c r="I133" s="63" t="e">
        <f ca="1"/>
        <v>#N/A</v>
      </c>
      <c r="J133" s="63" t="e">
        <f ca="1"/>
        <v>#N/A</v>
      </c>
      <c r="K133" s="63" t="e">
        <f ca="1"/>
        <v>#N/A</v>
      </c>
      <c r="L133" s="63" t="e">
        <f ca="1"/>
        <v>#N/A</v>
      </c>
      <c r="M133" s="63" t="e">
        <f ca="1"/>
        <v>#N/A</v>
      </c>
      <c r="N133" s="63" t="e">
        <f ca="1"/>
        <v>#N/A</v>
      </c>
      <c r="O133" s="63" t="e">
        <f ca="1"/>
        <v>#N/A</v>
      </c>
      <c r="P133" s="63" t="e">
        <f ca="1"/>
        <v>#N/A</v>
      </c>
      <c r="Q133" s="63" t="e">
        <f ca="1"/>
        <v>#N/A</v>
      </c>
      <c r="R133" s="63" t="e">
        <f ca="1"/>
        <v>#N/A</v>
      </c>
      <c r="S133" s="63" t="e">
        <f ca="1"/>
        <v>#N/A</v>
      </c>
      <c r="T133" s="63" t="e">
        <f ca="1"/>
        <v>#N/A</v>
      </c>
      <c r="U133" s="63" t="e">
        <f ca="1"/>
        <v>#N/A</v>
      </c>
      <c r="V133" s="63" t="e">
        <f ca="1"/>
        <v>#N/A</v>
      </c>
      <c r="W133" s="63" t="e">
        <f ca="1"/>
        <v>#N/A</v>
      </c>
      <c r="X133" s="63" t="e">
        <f ca="1"/>
        <v>#N/A</v>
      </c>
      <c r="Y133" s="63" t="e">
        <f ca="1"/>
        <v>#N/A</v>
      </c>
      <c r="Z133" s="63" t="e">
        <f ca="1"/>
        <v>#N/A</v>
      </c>
      <c r="AA133" s="63" t="e">
        <f ca="1"/>
        <v>#N/A</v>
      </c>
      <c r="AB133" s="63" t="e">
        <f ca="1"/>
        <v>#N/A</v>
      </c>
      <c r="AC133" s="63" t="e">
        <f ca="1"/>
        <v>#N/A</v>
      </c>
      <c r="AD133" s="63" t="e">
        <f ca="1"/>
        <v>#N/A</v>
      </c>
      <c r="AE133" s="63" t="e">
        <f ca="1"/>
        <v>#N/A</v>
      </c>
      <c r="AF133" s="63" t="e">
        <f ca="1"/>
        <v>#N/A</v>
      </c>
      <c r="AG133" s="63" t="e">
        <f ca="1"/>
        <v>#N/A</v>
      </c>
      <c r="AH133" s="63" t="e">
        <f ca="1"/>
        <v>#N/A</v>
      </c>
      <c r="AI133" s="63" t="e">
        <f ca="1"/>
        <v>#N/A</v>
      </c>
      <c r="AJ133" s="63" t="e">
        <f ca="1"/>
        <v>#N/A</v>
      </c>
      <c r="AK133" s="63" t="e">
        <f ca="1"/>
        <v>#N/A</v>
      </c>
      <c r="AL133" s="6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s="63" t="e">
        <f ca="1"/>
        <v>#N/A</v>
      </c>
      <c r="G134" s="63" t="e">
        <f ca="1"/>
        <v>#N/A</v>
      </c>
      <c r="H134" s="63" t="e">
        <f ca="1"/>
        <v>#N/A</v>
      </c>
      <c r="I134" s="63" t="e">
        <f ca="1"/>
        <v>#N/A</v>
      </c>
      <c r="J134" s="63" t="e">
        <f ca="1"/>
        <v>#N/A</v>
      </c>
      <c r="K134" s="63" t="e">
        <f ca="1"/>
        <v>#N/A</v>
      </c>
      <c r="L134" s="63" t="e">
        <f ca="1"/>
        <v>#N/A</v>
      </c>
      <c r="M134" s="63" t="e">
        <f ca="1"/>
        <v>#N/A</v>
      </c>
      <c r="N134" s="63" t="e">
        <f ca="1"/>
        <v>#N/A</v>
      </c>
      <c r="O134" s="63" t="e">
        <f ca="1"/>
        <v>#N/A</v>
      </c>
      <c r="P134" s="63" t="e">
        <f ca="1"/>
        <v>#N/A</v>
      </c>
      <c r="Q134" s="63" t="e">
        <f ca="1"/>
        <v>#N/A</v>
      </c>
      <c r="R134" s="63" t="e">
        <f ca="1"/>
        <v>#N/A</v>
      </c>
      <c r="S134" s="63" t="e">
        <f ca="1"/>
        <v>#N/A</v>
      </c>
      <c r="T134" s="63" t="e">
        <f ca="1"/>
        <v>#N/A</v>
      </c>
      <c r="U134" s="63" t="e">
        <f ca="1"/>
        <v>#N/A</v>
      </c>
      <c r="V134" s="63" t="e">
        <f ca="1"/>
        <v>#N/A</v>
      </c>
      <c r="W134" s="63" t="e">
        <f ca="1"/>
        <v>#N/A</v>
      </c>
      <c r="X134" s="63" t="e">
        <f ca="1"/>
        <v>#N/A</v>
      </c>
      <c r="Y134" s="63" t="e">
        <f ca="1"/>
        <v>#N/A</v>
      </c>
      <c r="Z134" s="63" t="e">
        <f ca="1"/>
        <v>#N/A</v>
      </c>
      <c r="AA134" s="63" t="e">
        <f ca="1"/>
        <v>#N/A</v>
      </c>
      <c r="AB134" s="63" t="e">
        <f ca="1"/>
        <v>#N/A</v>
      </c>
      <c r="AC134" s="63" t="e">
        <f ca="1"/>
        <v>#N/A</v>
      </c>
      <c r="AD134" s="63" t="e">
        <f ca="1"/>
        <v>#N/A</v>
      </c>
      <c r="AE134" s="63" t="e">
        <f ca="1"/>
        <v>#N/A</v>
      </c>
      <c r="AF134" s="63" t="e">
        <f ca="1"/>
        <v>#N/A</v>
      </c>
      <c r="AG134" s="63" t="e">
        <f ca="1"/>
        <v>#N/A</v>
      </c>
      <c r="AH134" s="63" t="e">
        <f ca="1"/>
        <v>#N/A</v>
      </c>
      <c r="AI134" s="63" t="e">
        <f ca="1"/>
        <v>#N/A</v>
      </c>
      <c r="AJ134" s="63" t="e">
        <f ca="1"/>
        <v>#N/A</v>
      </c>
      <c r="AK134" s="63" t="e">
        <f ca="1"/>
        <v>#N/A</v>
      </c>
      <c r="AL134" s="63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s="63" t="e">
        <f ca="1"/>
        <v>#N/A</v>
      </c>
      <c r="G135" s="63" t="e">
        <f ca="1"/>
        <v>#N/A</v>
      </c>
      <c r="H135" s="63" t="e">
        <f ca="1"/>
        <v>#N/A</v>
      </c>
      <c r="I135" s="63" t="e">
        <f ca="1"/>
        <v>#N/A</v>
      </c>
      <c r="J135" s="63" t="e">
        <f ca="1"/>
        <v>#N/A</v>
      </c>
      <c r="K135" s="63" t="e">
        <f ca="1"/>
        <v>#N/A</v>
      </c>
      <c r="L135" s="63" t="e">
        <f ca="1"/>
        <v>#N/A</v>
      </c>
      <c r="M135" s="63" t="e">
        <f ca="1"/>
        <v>#N/A</v>
      </c>
      <c r="N135" s="63" t="e">
        <f ca="1"/>
        <v>#N/A</v>
      </c>
      <c r="O135" s="63" t="e">
        <f ca="1"/>
        <v>#N/A</v>
      </c>
      <c r="P135" s="63" t="e">
        <f ca="1"/>
        <v>#N/A</v>
      </c>
      <c r="Q135" s="63" t="e">
        <f ca="1"/>
        <v>#N/A</v>
      </c>
      <c r="R135" s="63" t="e">
        <f ca="1"/>
        <v>#N/A</v>
      </c>
      <c r="S135" s="63" t="e">
        <f ca="1"/>
        <v>#N/A</v>
      </c>
      <c r="T135" s="63" t="e">
        <f ca="1"/>
        <v>#N/A</v>
      </c>
      <c r="U135" s="63" t="e">
        <f ca="1"/>
        <v>#N/A</v>
      </c>
      <c r="V135" s="63" t="e">
        <f ca="1"/>
        <v>#N/A</v>
      </c>
      <c r="W135" s="63" t="e">
        <f ca="1"/>
        <v>#N/A</v>
      </c>
      <c r="X135" s="63" t="e">
        <f ca="1"/>
        <v>#N/A</v>
      </c>
      <c r="Y135" s="63" t="e">
        <f ca="1"/>
        <v>#N/A</v>
      </c>
      <c r="Z135" s="63" t="e">
        <f ca="1"/>
        <v>#N/A</v>
      </c>
      <c r="AA135" s="63" t="e">
        <f ca="1"/>
        <v>#N/A</v>
      </c>
      <c r="AB135" s="63" t="e">
        <f ca="1"/>
        <v>#N/A</v>
      </c>
      <c r="AC135" s="63" t="e">
        <f ca="1"/>
        <v>#N/A</v>
      </c>
      <c r="AD135" s="63" t="e">
        <f ca="1"/>
        <v>#N/A</v>
      </c>
      <c r="AE135" s="63" t="e">
        <f ca="1"/>
        <v>#N/A</v>
      </c>
      <c r="AF135" s="63" t="e">
        <f ca="1"/>
        <v>#N/A</v>
      </c>
      <c r="AG135" s="63" t="e">
        <f ca="1"/>
        <v>#N/A</v>
      </c>
      <c r="AH135" s="63" t="e">
        <f ca="1"/>
        <v>#N/A</v>
      </c>
      <c r="AI135" s="63" t="e">
        <f ca="1"/>
        <v>#N/A</v>
      </c>
      <c r="AJ135" s="63" t="e">
        <f ca="1"/>
        <v>#N/A</v>
      </c>
      <c r="AK135" s="63" t="e">
        <f ca="1"/>
        <v>#N/A</v>
      </c>
      <c r="AL135" s="63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s="63" t="e">
        <f ca="1"/>
        <v>#N/A</v>
      </c>
      <c r="G136" s="63" t="e">
        <f ca="1"/>
        <v>#N/A</v>
      </c>
      <c r="H136" s="63" t="e">
        <f ca="1"/>
        <v>#N/A</v>
      </c>
      <c r="I136" s="63" t="e">
        <f ca="1"/>
        <v>#N/A</v>
      </c>
      <c r="J136" s="63" t="e">
        <f ca="1"/>
        <v>#N/A</v>
      </c>
      <c r="K136" s="63" t="e">
        <f ca="1"/>
        <v>#N/A</v>
      </c>
      <c r="L136" s="63" t="e">
        <f ca="1"/>
        <v>#N/A</v>
      </c>
      <c r="M136" s="63" t="e">
        <f ca="1"/>
        <v>#N/A</v>
      </c>
      <c r="N136" s="63" t="e">
        <f ca="1"/>
        <v>#N/A</v>
      </c>
      <c r="O136" s="63" t="e">
        <f ca="1"/>
        <v>#N/A</v>
      </c>
      <c r="P136" s="63" t="e">
        <f ca="1"/>
        <v>#N/A</v>
      </c>
      <c r="Q136" s="63" t="e">
        <f ca="1"/>
        <v>#N/A</v>
      </c>
      <c r="R136" s="63" t="e">
        <f ca="1"/>
        <v>#N/A</v>
      </c>
      <c r="S136" s="63" t="e">
        <f ca="1"/>
        <v>#N/A</v>
      </c>
      <c r="T136" s="63" t="e">
        <f ca="1"/>
        <v>#N/A</v>
      </c>
      <c r="U136" s="63" t="e">
        <f ca="1"/>
        <v>#N/A</v>
      </c>
      <c r="V136" s="63" t="e">
        <f ca="1"/>
        <v>#N/A</v>
      </c>
      <c r="W136" s="63" t="e">
        <f ca="1"/>
        <v>#N/A</v>
      </c>
      <c r="X136" s="63" t="e">
        <f ca="1"/>
        <v>#N/A</v>
      </c>
      <c r="Y136" s="63" t="e">
        <f ca="1"/>
        <v>#N/A</v>
      </c>
      <c r="Z136" s="63" t="e">
        <f ca="1"/>
        <v>#N/A</v>
      </c>
      <c r="AA136" s="63" t="e">
        <f ca="1"/>
        <v>#N/A</v>
      </c>
      <c r="AB136" s="63" t="e">
        <f ca="1"/>
        <v>#N/A</v>
      </c>
      <c r="AC136" s="63" t="e">
        <f ca="1"/>
        <v>#N/A</v>
      </c>
      <c r="AD136" s="63" t="e">
        <f ca="1"/>
        <v>#N/A</v>
      </c>
      <c r="AE136" s="63" t="e">
        <f ca="1"/>
        <v>#N/A</v>
      </c>
      <c r="AF136" s="63" t="e">
        <f ca="1"/>
        <v>#N/A</v>
      </c>
      <c r="AG136" s="63" t="e">
        <f ca="1"/>
        <v>#N/A</v>
      </c>
      <c r="AH136" s="63" t="e">
        <f ca="1"/>
        <v>#N/A</v>
      </c>
      <c r="AI136" s="63" t="e">
        <f ca="1"/>
        <v>#N/A</v>
      </c>
      <c r="AJ136" s="63" t="e">
        <f ca="1"/>
        <v>#N/A</v>
      </c>
      <c r="AK136" s="63" t="e">
        <f ca="1"/>
        <v>#N/A</v>
      </c>
      <c r="AL136" s="63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s="63" t="e">
        <f ca="1"/>
        <v>#N/A</v>
      </c>
      <c r="G137" s="63" t="e">
        <f ca="1"/>
        <v>#N/A</v>
      </c>
      <c r="H137" s="63" t="e">
        <f ca="1"/>
        <v>#N/A</v>
      </c>
      <c r="I137" s="63" t="e">
        <f ca="1"/>
        <v>#N/A</v>
      </c>
      <c r="J137" s="63" t="e">
        <f ca="1"/>
        <v>#N/A</v>
      </c>
      <c r="K137" s="63" t="e">
        <f ca="1"/>
        <v>#N/A</v>
      </c>
      <c r="L137" s="63" t="e">
        <f ca="1"/>
        <v>#N/A</v>
      </c>
      <c r="M137" s="63" t="e">
        <f ca="1"/>
        <v>#N/A</v>
      </c>
      <c r="N137" s="63" t="e">
        <f ca="1"/>
        <v>#N/A</v>
      </c>
      <c r="O137" s="63" t="e">
        <f ca="1"/>
        <v>#N/A</v>
      </c>
      <c r="P137" s="63" t="e">
        <f ca="1"/>
        <v>#N/A</v>
      </c>
      <c r="Q137" s="63" t="e">
        <f ca="1"/>
        <v>#N/A</v>
      </c>
      <c r="R137" s="63" t="e">
        <f ca="1"/>
        <v>#N/A</v>
      </c>
      <c r="S137" s="63" t="e">
        <f ca="1"/>
        <v>#N/A</v>
      </c>
      <c r="T137" s="63" t="e">
        <f ca="1"/>
        <v>#N/A</v>
      </c>
      <c r="U137" s="63" t="e">
        <f ca="1"/>
        <v>#N/A</v>
      </c>
      <c r="V137" s="63" t="e">
        <f ca="1"/>
        <v>#N/A</v>
      </c>
      <c r="W137" s="63" t="e">
        <f ca="1"/>
        <v>#N/A</v>
      </c>
      <c r="X137" s="63" t="e">
        <f ca="1"/>
        <v>#N/A</v>
      </c>
      <c r="Y137" s="63" t="e">
        <f ca="1"/>
        <v>#N/A</v>
      </c>
      <c r="Z137" s="63" t="e">
        <f ca="1"/>
        <v>#N/A</v>
      </c>
      <c r="AA137" s="63" t="e">
        <f ca="1"/>
        <v>#N/A</v>
      </c>
      <c r="AB137" s="63" t="e">
        <f ca="1"/>
        <v>#N/A</v>
      </c>
      <c r="AC137" s="63" t="e">
        <f ca="1"/>
        <v>#N/A</v>
      </c>
      <c r="AD137" s="63" t="e">
        <f ca="1"/>
        <v>#N/A</v>
      </c>
      <c r="AE137" s="63" t="e">
        <f ca="1"/>
        <v>#N/A</v>
      </c>
      <c r="AF137" s="63" t="e">
        <f ca="1"/>
        <v>#N/A</v>
      </c>
      <c r="AG137" s="63" t="e">
        <f ca="1"/>
        <v>#N/A</v>
      </c>
      <c r="AH137" s="63" t="e">
        <f ca="1"/>
        <v>#N/A</v>
      </c>
      <c r="AI137" s="63" t="e">
        <f ca="1"/>
        <v>#N/A</v>
      </c>
      <c r="AJ137" s="63" t="e">
        <f ca="1"/>
        <v>#N/A</v>
      </c>
      <c r="AK137" s="63" t="e">
        <f ca="1"/>
        <v>#N/A</v>
      </c>
      <c r="AL137" s="63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s="63" t="e">
        <f ca="1"/>
        <v>#N/A</v>
      </c>
      <c r="G138" s="63" t="e">
        <f ca="1"/>
        <v>#N/A</v>
      </c>
      <c r="H138" s="63" t="e">
        <f ca="1"/>
        <v>#N/A</v>
      </c>
      <c r="I138" s="63" t="e">
        <f ca="1"/>
        <v>#N/A</v>
      </c>
      <c r="J138" s="63" t="e">
        <f ca="1"/>
        <v>#N/A</v>
      </c>
      <c r="K138" s="63" t="e">
        <f ca="1"/>
        <v>#N/A</v>
      </c>
      <c r="L138" s="63" t="e">
        <f ca="1"/>
        <v>#N/A</v>
      </c>
      <c r="M138" s="63" t="e">
        <f ca="1"/>
        <v>#N/A</v>
      </c>
      <c r="N138" s="63" t="e">
        <f ca="1"/>
        <v>#N/A</v>
      </c>
      <c r="O138" s="63" t="e">
        <f ca="1"/>
        <v>#N/A</v>
      </c>
      <c r="P138" s="63" t="e">
        <f ca="1"/>
        <v>#N/A</v>
      </c>
      <c r="Q138" s="63" t="e">
        <f ca="1"/>
        <v>#N/A</v>
      </c>
      <c r="R138" s="63" t="e">
        <f ca="1"/>
        <v>#N/A</v>
      </c>
      <c r="S138" s="63" t="e">
        <f ca="1"/>
        <v>#N/A</v>
      </c>
      <c r="T138" s="63" t="e">
        <f ca="1"/>
        <v>#N/A</v>
      </c>
      <c r="U138" s="63" t="e">
        <f ca="1"/>
        <v>#N/A</v>
      </c>
      <c r="V138" s="63" t="e">
        <f ca="1"/>
        <v>#N/A</v>
      </c>
      <c r="W138" s="63" t="e">
        <f ca="1"/>
        <v>#N/A</v>
      </c>
      <c r="X138" s="63" t="e">
        <f ca="1"/>
        <v>#N/A</v>
      </c>
      <c r="Y138" s="63" t="e">
        <f ca="1"/>
        <v>#N/A</v>
      </c>
      <c r="Z138" s="63" t="e">
        <f ca="1"/>
        <v>#N/A</v>
      </c>
      <c r="AA138" s="63" t="e">
        <f ca="1"/>
        <v>#N/A</v>
      </c>
      <c r="AB138" s="63" t="e">
        <f ca="1"/>
        <v>#N/A</v>
      </c>
      <c r="AC138" s="63" t="e">
        <f ca="1"/>
        <v>#N/A</v>
      </c>
      <c r="AD138" s="63" t="e">
        <f ca="1"/>
        <v>#N/A</v>
      </c>
      <c r="AE138" s="63" t="e">
        <f ca="1"/>
        <v>#N/A</v>
      </c>
      <c r="AF138" s="63" t="e">
        <f ca="1"/>
        <v>#N/A</v>
      </c>
      <c r="AG138" s="63" t="e">
        <f ca="1"/>
        <v>#N/A</v>
      </c>
      <c r="AH138" s="63" t="e">
        <f ca="1"/>
        <v>#N/A</v>
      </c>
      <c r="AI138" s="63" t="e">
        <f ca="1"/>
        <v>#N/A</v>
      </c>
      <c r="AJ138" s="63" t="e">
        <f ca="1"/>
        <v>#N/A</v>
      </c>
      <c r="AK138" s="63" t="e">
        <f ca="1"/>
        <v>#N/A</v>
      </c>
      <c r="AL138" s="63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s="63" t="e">
        <f ca="1"/>
        <v>#N/A</v>
      </c>
      <c r="G139" s="63" t="e">
        <f ca="1"/>
        <v>#N/A</v>
      </c>
      <c r="H139" s="63" t="e">
        <f ca="1"/>
        <v>#N/A</v>
      </c>
      <c r="I139" s="63" t="e">
        <f ca="1"/>
        <v>#N/A</v>
      </c>
      <c r="J139" s="63" t="e">
        <f ca="1"/>
        <v>#N/A</v>
      </c>
      <c r="K139" s="63" t="e">
        <f ca="1"/>
        <v>#N/A</v>
      </c>
      <c r="L139" s="63" t="e">
        <f ca="1"/>
        <v>#N/A</v>
      </c>
      <c r="M139" s="63" t="e">
        <f ca="1"/>
        <v>#N/A</v>
      </c>
      <c r="N139" s="63" t="e">
        <f ca="1"/>
        <v>#N/A</v>
      </c>
      <c r="O139" s="63" t="e">
        <f ca="1"/>
        <v>#N/A</v>
      </c>
      <c r="P139" s="63" t="e">
        <f ca="1"/>
        <v>#N/A</v>
      </c>
      <c r="Q139" s="63" t="e">
        <f ca="1"/>
        <v>#N/A</v>
      </c>
      <c r="R139" s="63" t="e">
        <f ca="1"/>
        <v>#N/A</v>
      </c>
      <c r="S139" s="63" t="e">
        <f ca="1"/>
        <v>#N/A</v>
      </c>
      <c r="T139" s="63" t="e">
        <f ca="1"/>
        <v>#N/A</v>
      </c>
      <c r="U139" s="63" t="e">
        <f ca="1"/>
        <v>#N/A</v>
      </c>
      <c r="V139" s="63" t="e">
        <f ca="1"/>
        <v>#N/A</v>
      </c>
      <c r="W139" s="63" t="e">
        <f ca="1"/>
        <v>#N/A</v>
      </c>
      <c r="X139" s="63" t="e">
        <f ca="1"/>
        <v>#N/A</v>
      </c>
      <c r="Y139" s="63" t="e">
        <f ca="1"/>
        <v>#N/A</v>
      </c>
      <c r="Z139" s="63" t="e">
        <f ca="1"/>
        <v>#N/A</v>
      </c>
      <c r="AA139" s="63" t="e">
        <f ca="1"/>
        <v>#N/A</v>
      </c>
      <c r="AB139" s="63" t="e">
        <f ca="1"/>
        <v>#N/A</v>
      </c>
      <c r="AC139" s="63" t="e">
        <f ca="1"/>
        <v>#N/A</v>
      </c>
      <c r="AD139" s="63" t="e">
        <f ca="1"/>
        <v>#N/A</v>
      </c>
      <c r="AE139" s="63" t="e">
        <f ca="1"/>
        <v>#N/A</v>
      </c>
      <c r="AF139" s="63" t="e">
        <f ca="1"/>
        <v>#N/A</v>
      </c>
      <c r="AG139" s="63" t="e">
        <f ca="1"/>
        <v>#N/A</v>
      </c>
      <c r="AH139" s="63" t="e">
        <f ca="1"/>
        <v>#N/A</v>
      </c>
      <c r="AI139" s="63" t="e">
        <f ca="1"/>
        <v>#N/A</v>
      </c>
      <c r="AJ139" s="63" t="e">
        <f ca="1"/>
        <v>#N/A</v>
      </c>
      <c r="AK139" s="63" t="e">
        <f ca="1"/>
        <v>#N/A</v>
      </c>
      <c r="AL139" s="63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 s="63">
        <v>298.14999999999998</v>
      </c>
    </row>
    <row r="144" spans="1:38" ht="21" hidden="1" customHeight="1" outlineLevel="1" x14ac:dyDescent="0.35">
      <c r="A144" s="63">
        <v>8</v>
      </c>
      <c r="B144" s="37" t="s">
        <v>22</v>
      </c>
      <c r="C144" s="63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38">E144-$C$144</f>
        <v>-5</v>
      </c>
      <c r="F145" s="39">
        <f t="shared" si="38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39">D145+$A$144</f>
        <v>3</v>
      </c>
      <c r="E146" s="39">
        <f t="shared" si="39"/>
        <v>3</v>
      </c>
      <c r="F146" s="39">
        <f t="shared" si="39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8" priority="3" operator="equal">
      <formula>0</formula>
    </cfRule>
  </conditionalFormatting>
  <conditionalFormatting sqref="A50:D79">
    <cfRule type="cellIs" dxfId="7" priority="2" operator="equal">
      <formula>0</formula>
    </cfRule>
  </conditionalFormatting>
  <conditionalFormatting sqref="A84:D113">
    <cfRule type="cellIs" dxfId="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4602-7949-4CF8-A91D-3E3FFA532598}">
  <sheetPr codeName="Лист7">
    <tabColor rgb="FF0070C0"/>
  </sheetPr>
  <dimension ref="A1:BB148"/>
  <sheetViews>
    <sheetView tabSelected="1" topLeftCell="A115" zoomScale="85" zoomScaleNormal="85" zoomScaleSheetLayoutView="25" workbookViewId="0">
      <selection activeCell="AY127" sqref="AY127"/>
    </sheetView>
  </sheetViews>
  <sheetFormatPr defaultRowHeight="21" customHeight="1" outlineLevelRow="1" x14ac:dyDescent="0.35"/>
  <cols>
    <col min="1" max="4" width="5.6328125" style="63" customWidth="1"/>
    <col min="5" max="5" width="11.6328125" style="63" customWidth="1"/>
    <col min="6" max="6" width="8.90625" style="63" customWidth="1"/>
    <col min="7" max="37" width="8.6328125" style="63" hidden="1" customWidth="1"/>
    <col min="38" max="38" width="8.6328125" style="63" customWidth="1"/>
    <col min="39" max="16384" width="8.7265625" style="63"/>
  </cols>
  <sheetData>
    <row r="1" spans="1:54" ht="21.75" customHeight="1" thickBot="1" x14ac:dyDescent="0.4">
      <c r="A1" s="170" t="s">
        <v>34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</row>
    <row r="2" spans="1:54" ht="21" customHeight="1" thickBot="1" x14ac:dyDescent="0.45">
      <c r="A2" s="30">
        <f>Values!B1</f>
        <v>450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8" t="s">
        <v>1</v>
      </c>
      <c r="B3" s="68" t="s">
        <v>2</v>
      </c>
      <c r="C3" s="68" t="s">
        <v>3</v>
      </c>
      <c r="D3" s="69" t="s">
        <v>4</v>
      </c>
      <c r="E3" s="8" t="s">
        <v>96</v>
      </c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">
        <v>677</v>
      </c>
      <c r="U3" s="8">
        <v>697.1</v>
      </c>
      <c r="V3" s="8">
        <v>717.3</v>
      </c>
      <c r="W3" s="8">
        <v>737.5</v>
      </c>
      <c r="X3" s="8">
        <v>757.7</v>
      </c>
      <c r="Y3" s="9">
        <v>777.9</v>
      </c>
      <c r="Z3" s="9">
        <v>798.1</v>
      </c>
      <c r="AA3" s="9">
        <v>818.3</v>
      </c>
      <c r="AB3" s="9">
        <v>838.5</v>
      </c>
      <c r="AC3" s="9">
        <v>919.2</v>
      </c>
      <c r="AD3" s="9">
        <v>838.5</v>
      </c>
      <c r="AE3" s="9">
        <v>919.2</v>
      </c>
      <c r="AF3" s="9">
        <v>1000</v>
      </c>
      <c r="AG3" s="9"/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70">
        <f>IF( ISNUMBER( FIND(A$3,$E4,1)),   IF( ISNUMBER( VALUE(MID($E4,FIND(A$3,$E4,1)+2,1)) ), VALUE( MID($E4,FIND(A$3,$E4,1)+2,1) ),1),0)</f>
        <v>0</v>
      </c>
      <c r="B4" s="70">
        <f t="shared" ref="B4:D19" si="0">IF( ISNUMBER( FIND(B$3,$E4,1)),   IF( ISNUMBER( VALUE(MID($E4,FIND(B$3,$E4,1)+2,1)) ), VALUE( MID($E4,FIND(B$3,$E4,1)+2,1) ),1),0)</f>
        <v>0</v>
      </c>
      <c r="C4" s="70">
        <f t="shared" si="0"/>
        <v>1</v>
      </c>
      <c r="D4" s="70">
        <f t="shared" si="0"/>
        <v>0</v>
      </c>
      <c r="E4" s="11" t="s">
        <v>57</v>
      </c>
      <c r="F4" s="77">
        <v>0</v>
      </c>
      <c r="G4" s="77">
        <v>0</v>
      </c>
      <c r="H4" s="77">
        <v>0</v>
      </c>
      <c r="I4" s="77">
        <v>0</v>
      </c>
      <c r="J4" s="77">
        <v>0</v>
      </c>
      <c r="K4" s="77">
        <v>3.8258999999999998E-18</v>
      </c>
      <c r="L4" s="77">
        <v>1.6139000000000001E-13</v>
      </c>
      <c r="M4" s="77">
        <v>8.4388000000000001E-11</v>
      </c>
      <c r="N4" s="77">
        <v>1.4055E-9</v>
      </c>
      <c r="O4" s="77">
        <v>6.719E-2</v>
      </c>
      <c r="P4" s="77">
        <v>0.12</v>
      </c>
      <c r="Q4" s="77">
        <v>0.12</v>
      </c>
      <c r="R4" s="77">
        <v>0.12</v>
      </c>
      <c r="S4" s="77">
        <v>0.12</v>
      </c>
      <c r="T4" s="77">
        <v>0.12</v>
      </c>
      <c r="U4" s="77">
        <v>0.12</v>
      </c>
      <c r="V4" s="77">
        <v>0.12</v>
      </c>
      <c r="W4" s="77">
        <v>0.12</v>
      </c>
      <c r="X4" s="77">
        <v>0.12</v>
      </c>
      <c r="Y4" s="63">
        <v>0.12</v>
      </c>
      <c r="Z4" s="63">
        <v>0.11315</v>
      </c>
      <c r="AA4" s="63">
        <v>0.11173</v>
      </c>
      <c r="AB4" s="63">
        <v>0.11027000000000001</v>
      </c>
      <c r="AC4" s="63">
        <v>0.10192</v>
      </c>
      <c r="AD4" s="63">
        <v>0.11027000000000001</v>
      </c>
      <c r="AE4" s="63">
        <v>0.10192</v>
      </c>
      <c r="AF4" s="63">
        <v>8.5938000000000001E-2</v>
      </c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70">
        <f t="shared" ref="A5:D27" si="1">IF( ISNUMBER( FIND(A$3,$E5,1)),   IF( ISNUMBER( VALUE(MID($E5,FIND(A$3,$E5,1)+2,1)) ), VALUE( MID($E5,FIND(A$3,$E5,1)+2,1) ),1),0)</f>
        <v>0</v>
      </c>
      <c r="B5" s="70">
        <f t="shared" si="0"/>
        <v>1</v>
      </c>
      <c r="C5" s="70">
        <f t="shared" si="0"/>
        <v>1</v>
      </c>
      <c r="D5" s="70">
        <f t="shared" si="0"/>
        <v>0</v>
      </c>
      <c r="E5" s="11" t="s">
        <v>56</v>
      </c>
      <c r="F5" s="77">
        <v>0.12</v>
      </c>
      <c r="G5" s="77">
        <v>0.12</v>
      </c>
      <c r="H5" s="77">
        <v>0.12</v>
      </c>
      <c r="I5" s="77">
        <v>0.12</v>
      </c>
      <c r="J5" s="77">
        <v>0.24</v>
      </c>
      <c r="K5" s="77">
        <v>0.24</v>
      </c>
      <c r="L5" s="77">
        <v>0.24</v>
      </c>
      <c r="M5" s="77">
        <v>0.24</v>
      </c>
      <c r="N5" s="77">
        <v>0.24</v>
      </c>
      <c r="O5" s="77">
        <v>0.10562000000000001</v>
      </c>
      <c r="P5" s="77">
        <v>5.8947000000000003E-9</v>
      </c>
      <c r="Q5" s="77">
        <v>2.9583999999999998E-10</v>
      </c>
      <c r="R5" s="77">
        <v>5.7976000000000003E-12</v>
      </c>
      <c r="S5" s="77">
        <v>3.5656000000000001E-12</v>
      </c>
      <c r="T5" s="77">
        <v>6.6780000000000004E-22</v>
      </c>
      <c r="U5" s="77">
        <v>5.9907000000000002E-27</v>
      </c>
      <c r="V5" s="77">
        <v>2.7018000000000001E-32</v>
      </c>
      <c r="W5" s="77">
        <v>0</v>
      </c>
      <c r="X5" s="77">
        <v>0</v>
      </c>
      <c r="Y5" s="63">
        <v>0</v>
      </c>
      <c r="Z5" s="63">
        <v>0</v>
      </c>
      <c r="AA5" s="63">
        <v>0</v>
      </c>
      <c r="AB5" s="63">
        <v>0</v>
      </c>
      <c r="AC5" s="63">
        <v>0</v>
      </c>
      <c r="AD5" s="63">
        <v>0</v>
      </c>
      <c r="AE5" s="63">
        <v>0</v>
      </c>
      <c r="AF5" s="63">
        <v>0</v>
      </c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70">
        <f t="shared" si="1"/>
        <v>0</v>
      </c>
      <c r="B6" s="70">
        <f t="shared" si="0"/>
        <v>0</v>
      </c>
      <c r="C6" s="70">
        <f t="shared" si="0"/>
        <v>0</v>
      </c>
      <c r="D6" s="70">
        <f t="shared" si="0"/>
        <v>1</v>
      </c>
      <c r="E6" s="11" t="s">
        <v>55</v>
      </c>
      <c r="F6" s="77">
        <v>0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0</v>
      </c>
      <c r="N6" s="77">
        <v>0</v>
      </c>
      <c r="O6" s="77">
        <v>0</v>
      </c>
      <c r="P6" s="77">
        <v>0</v>
      </c>
      <c r="Q6" s="77">
        <v>0</v>
      </c>
      <c r="R6" s="77">
        <v>0</v>
      </c>
      <c r="S6" s="77">
        <v>0</v>
      </c>
      <c r="T6" s="77">
        <v>2.1572000000000002E-31</v>
      </c>
      <c r="U6" s="77">
        <v>1.5057E-27</v>
      </c>
      <c r="V6" s="77">
        <v>6.8638000000000005E-23</v>
      </c>
      <c r="W6" s="77">
        <v>7.9580000000000003E-23</v>
      </c>
      <c r="X6" s="77">
        <v>6.1874000000000002E-17</v>
      </c>
      <c r="Y6" s="63">
        <v>5.1635999999999997E-16</v>
      </c>
      <c r="Z6" s="63">
        <v>3.1504999999999998E-9</v>
      </c>
      <c r="AA6" s="63">
        <v>3.9756000000000002E-7</v>
      </c>
      <c r="AB6" s="63">
        <v>2.9050000000000001E-7</v>
      </c>
      <c r="AC6" s="63">
        <v>6.5820000000000003E-8</v>
      </c>
      <c r="AD6" s="63">
        <v>2.9050000000000001E-7</v>
      </c>
      <c r="AE6" s="63">
        <v>6.5820000000000003E-8</v>
      </c>
      <c r="AF6" s="63">
        <v>1.1147E-8</v>
      </c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70">
        <f t="shared" si="1"/>
        <v>0</v>
      </c>
      <c r="B7" s="70">
        <f t="shared" si="0"/>
        <v>1</v>
      </c>
      <c r="C7" s="70">
        <f t="shared" si="0"/>
        <v>0</v>
      </c>
      <c r="D7" s="70">
        <f t="shared" si="0"/>
        <v>2</v>
      </c>
      <c r="E7" s="11" t="s">
        <v>70</v>
      </c>
      <c r="F7" s="77">
        <v>0</v>
      </c>
      <c r="G7" s="77">
        <v>0</v>
      </c>
      <c r="H7" s="77">
        <v>0</v>
      </c>
      <c r="I7" s="77">
        <v>0</v>
      </c>
      <c r="J7" s="77">
        <v>0</v>
      </c>
      <c r="K7" s="77">
        <v>0</v>
      </c>
      <c r="L7" s="77">
        <v>0</v>
      </c>
      <c r="M7" s="77">
        <v>0</v>
      </c>
      <c r="N7" s="77">
        <v>0</v>
      </c>
      <c r="O7" s="77">
        <v>0</v>
      </c>
      <c r="P7" s="77">
        <v>0</v>
      </c>
      <c r="Q7" s="77">
        <v>0</v>
      </c>
      <c r="R7" s="77">
        <v>0</v>
      </c>
      <c r="S7" s="77">
        <v>0</v>
      </c>
      <c r="T7" s="77">
        <v>2.482E-22</v>
      </c>
      <c r="U7" s="77">
        <v>4.1234E-18</v>
      </c>
      <c r="V7" s="77">
        <v>4.5319000000000001E-13</v>
      </c>
      <c r="W7" s="77">
        <v>2.2366E-8</v>
      </c>
      <c r="X7" s="77">
        <v>2.4235E-2</v>
      </c>
      <c r="Y7" s="63">
        <v>3.5584999999999999E-2</v>
      </c>
      <c r="Z7" s="63">
        <v>2.9937000000000001E-7</v>
      </c>
      <c r="AA7" s="63">
        <v>2.7884000000000001E-21</v>
      </c>
      <c r="AB7" s="63">
        <v>0</v>
      </c>
      <c r="AC7" s="63">
        <v>0</v>
      </c>
      <c r="AD7" s="63">
        <v>0</v>
      </c>
      <c r="AE7" s="63">
        <v>0</v>
      </c>
      <c r="AF7" s="63">
        <v>0</v>
      </c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70">
        <f t="shared" si="1"/>
        <v>0</v>
      </c>
      <c r="B8" s="70">
        <f t="shared" si="0"/>
        <v>0</v>
      </c>
      <c r="C8" s="70">
        <f t="shared" si="0"/>
        <v>1</v>
      </c>
      <c r="D8" s="70">
        <f t="shared" si="0"/>
        <v>0</v>
      </c>
      <c r="E8" s="11" t="s">
        <v>53</v>
      </c>
      <c r="F8" s="77">
        <v>0</v>
      </c>
      <c r="G8" s="77">
        <v>0</v>
      </c>
      <c r="H8" s="77">
        <v>0</v>
      </c>
      <c r="I8" s="77">
        <v>0</v>
      </c>
      <c r="J8" s="77">
        <v>0</v>
      </c>
      <c r="K8" s="77">
        <v>3.8258999999999998E-18</v>
      </c>
      <c r="L8" s="77">
        <v>1.6139000000000001E-13</v>
      </c>
      <c r="M8" s="77">
        <v>8.4388000000000001E-11</v>
      </c>
      <c r="N8" s="77">
        <v>1.4055E-9</v>
      </c>
      <c r="O8" s="77">
        <v>6.719E-2</v>
      </c>
      <c r="P8" s="77">
        <v>0.12</v>
      </c>
      <c r="Q8" s="77">
        <v>0.12</v>
      </c>
      <c r="R8" s="77">
        <v>0.12</v>
      </c>
      <c r="S8" s="77">
        <v>0.12</v>
      </c>
      <c r="T8" s="77">
        <v>0.12</v>
      </c>
      <c r="U8" s="77">
        <v>0.12</v>
      </c>
      <c r="V8" s="77">
        <v>0.12</v>
      </c>
      <c r="W8" s="77">
        <v>0.12</v>
      </c>
      <c r="X8" s="77">
        <v>0.12</v>
      </c>
      <c r="Y8" s="63">
        <v>0.12</v>
      </c>
      <c r="Z8" s="63">
        <v>0.11315</v>
      </c>
      <c r="AA8" s="63">
        <v>0.11173</v>
      </c>
      <c r="AB8" s="63">
        <v>0.11027000000000001</v>
      </c>
      <c r="AC8" s="63">
        <v>0.10192</v>
      </c>
      <c r="AD8" s="63">
        <v>0.11027000000000001</v>
      </c>
      <c r="AE8" s="63">
        <v>0.10192</v>
      </c>
      <c r="AF8" s="63">
        <v>8.5938000000000001E-2</v>
      </c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70">
        <f t="shared" si="1"/>
        <v>0</v>
      </c>
      <c r="B9" s="70">
        <f t="shared" si="0"/>
        <v>1</v>
      </c>
      <c r="C9" s="70">
        <f t="shared" si="0"/>
        <v>0</v>
      </c>
      <c r="D9" s="70">
        <f t="shared" si="0"/>
        <v>0</v>
      </c>
      <c r="E9" s="11" t="s">
        <v>52</v>
      </c>
      <c r="F9" s="77">
        <v>4.6744E-24</v>
      </c>
      <c r="G9" s="77">
        <v>8.8713000000000006E-17</v>
      </c>
      <c r="H9" s="77">
        <v>7.5023000000000003E-11</v>
      </c>
      <c r="I9" s="77">
        <v>2.4996999999999999E-8</v>
      </c>
      <c r="J9" s="77">
        <v>0.12</v>
      </c>
      <c r="K9" s="77">
        <v>0.12</v>
      </c>
      <c r="L9" s="77">
        <v>0.12</v>
      </c>
      <c r="M9" s="77">
        <v>0.12</v>
      </c>
      <c r="N9" s="77">
        <v>0.12</v>
      </c>
      <c r="O9" s="77">
        <v>0.25438</v>
      </c>
      <c r="P9" s="77">
        <v>0.36</v>
      </c>
      <c r="Q9" s="77">
        <v>0.36</v>
      </c>
      <c r="R9" s="77">
        <v>0.36</v>
      </c>
      <c r="S9" s="77">
        <v>0.36</v>
      </c>
      <c r="T9" s="77">
        <v>0.36</v>
      </c>
      <c r="U9" s="77">
        <v>0.36</v>
      </c>
      <c r="V9" s="77">
        <v>0.36</v>
      </c>
      <c r="W9" s="77">
        <v>0.36</v>
      </c>
      <c r="X9" s="77">
        <v>0.40847</v>
      </c>
      <c r="Y9" s="63">
        <v>0.43117</v>
      </c>
      <c r="Z9" s="63">
        <v>0.47654000000000002</v>
      </c>
      <c r="AA9" s="63">
        <v>0.47964000000000001</v>
      </c>
      <c r="AB9" s="63">
        <v>0.47996</v>
      </c>
      <c r="AC9" s="63">
        <v>0.48</v>
      </c>
      <c r="AD9" s="63">
        <v>0.47996</v>
      </c>
      <c r="AE9" s="63">
        <v>0.48</v>
      </c>
      <c r="AF9" s="63">
        <v>0.48</v>
      </c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70">
        <f t="shared" si="1"/>
        <v>0</v>
      </c>
      <c r="B10" s="70">
        <f t="shared" si="0"/>
        <v>2</v>
      </c>
      <c r="C10" s="70">
        <f t="shared" si="0"/>
        <v>1</v>
      </c>
      <c r="D10" s="70">
        <f t="shared" si="0"/>
        <v>0</v>
      </c>
      <c r="E10" s="11" t="s">
        <v>64</v>
      </c>
      <c r="F10" s="77">
        <v>0.12</v>
      </c>
      <c r="G10" s="77">
        <v>0.12</v>
      </c>
      <c r="H10" s="77">
        <v>0.12</v>
      </c>
      <c r="I10" s="77">
        <v>0.12</v>
      </c>
      <c r="J10" s="77">
        <v>6.8576999999999996E-9</v>
      </c>
      <c r="K10" s="77">
        <v>3.5479000000000002E-18</v>
      </c>
      <c r="L10" s="77">
        <v>3.3890000000000001E-21</v>
      </c>
      <c r="M10" s="77">
        <v>2.8891000000000001E-29</v>
      </c>
      <c r="N10" s="77">
        <v>0</v>
      </c>
      <c r="O10" s="77">
        <v>0</v>
      </c>
      <c r="P10" s="77">
        <v>0</v>
      </c>
      <c r="Q10" s="77">
        <v>0</v>
      </c>
      <c r="R10" s="77">
        <v>0</v>
      </c>
      <c r="S10" s="77">
        <v>0</v>
      </c>
      <c r="T10" s="77">
        <v>0</v>
      </c>
      <c r="U10" s="77">
        <v>0</v>
      </c>
      <c r="V10" s="77">
        <v>0</v>
      </c>
      <c r="W10" s="77">
        <v>0</v>
      </c>
      <c r="X10" s="77">
        <v>0</v>
      </c>
      <c r="Y10" s="63">
        <v>0</v>
      </c>
      <c r="Z10" s="63">
        <v>0</v>
      </c>
      <c r="AA10" s="63">
        <v>0</v>
      </c>
      <c r="AB10" s="63">
        <v>0</v>
      </c>
      <c r="AC10" s="63">
        <v>0</v>
      </c>
      <c r="AD10" s="63">
        <v>0</v>
      </c>
      <c r="AE10" s="63">
        <v>0</v>
      </c>
      <c r="AF10" s="63">
        <v>0</v>
      </c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70">
        <f t="shared" si="1"/>
        <v>0</v>
      </c>
      <c r="B11" s="70">
        <f t="shared" si="0"/>
        <v>3</v>
      </c>
      <c r="C11" s="70">
        <f t="shared" si="0"/>
        <v>0</v>
      </c>
      <c r="D11" s="70">
        <f t="shared" si="0"/>
        <v>2</v>
      </c>
      <c r="E11" s="11" t="s">
        <v>63</v>
      </c>
      <c r="F11" s="77">
        <v>0.04</v>
      </c>
      <c r="G11" s="77">
        <v>0.04</v>
      </c>
      <c r="H11" s="77">
        <v>0.04</v>
      </c>
      <c r="I11" s="77">
        <v>0.04</v>
      </c>
      <c r="J11" s="77">
        <v>0.04</v>
      </c>
      <c r="K11" s="77">
        <v>0.04</v>
      </c>
      <c r="L11" s="77">
        <v>0.04</v>
      </c>
      <c r="M11" s="77">
        <v>0.04</v>
      </c>
      <c r="N11" s="77">
        <v>0.04</v>
      </c>
      <c r="O11" s="77">
        <v>0.04</v>
      </c>
      <c r="P11" s="77">
        <v>0.04</v>
      </c>
      <c r="Q11" s="77">
        <v>0.04</v>
      </c>
      <c r="R11" s="77">
        <v>0.04</v>
      </c>
      <c r="S11" s="77">
        <v>0.04</v>
      </c>
      <c r="T11" s="77">
        <v>0.04</v>
      </c>
      <c r="U11" s="77">
        <v>0.04</v>
      </c>
      <c r="V11" s="77">
        <v>0.04</v>
      </c>
      <c r="W11" s="77">
        <v>0.04</v>
      </c>
      <c r="X11" s="77">
        <v>1.5765000000000001E-2</v>
      </c>
      <c r="Y11" s="63">
        <v>4.4145E-3</v>
      </c>
      <c r="Z11" s="63">
        <v>1.1531E-3</v>
      </c>
      <c r="AA11" s="63">
        <v>1.1998999999999999E-4</v>
      </c>
      <c r="AB11" s="63">
        <v>1.3539E-5</v>
      </c>
      <c r="AC11" s="63">
        <v>4.1901999999999999E-9</v>
      </c>
      <c r="AD11" s="63">
        <v>1.3539E-5</v>
      </c>
      <c r="AE11" s="63">
        <v>4.1901999999999999E-9</v>
      </c>
      <c r="AF11" s="63">
        <v>2.8184000000000002E-12</v>
      </c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70">
        <f t="shared" si="1"/>
        <v>0</v>
      </c>
      <c r="B12" s="70">
        <f t="shared" si="0"/>
        <v>1</v>
      </c>
      <c r="C12" s="70">
        <f t="shared" si="0"/>
        <v>0</v>
      </c>
      <c r="D12" s="70">
        <f t="shared" si="0"/>
        <v>2</v>
      </c>
      <c r="E12" s="11" t="s">
        <v>71</v>
      </c>
      <c r="F12" s="77">
        <v>0</v>
      </c>
      <c r="G12" s="77">
        <v>0</v>
      </c>
      <c r="H12" s="77">
        <v>0</v>
      </c>
      <c r="I12" s="77">
        <v>0</v>
      </c>
      <c r="J12" s="77">
        <v>0</v>
      </c>
      <c r="K12" s="77">
        <v>0</v>
      </c>
      <c r="L12" s="77">
        <v>8.2863999999999999E-35</v>
      </c>
      <c r="M12" s="77">
        <v>3.9535999999999999E-32</v>
      </c>
      <c r="N12" s="77">
        <v>1.1802E-29</v>
      </c>
      <c r="O12" s="77">
        <v>2.318E-27</v>
      </c>
      <c r="P12" s="77">
        <v>3.1711999999999998E-25</v>
      </c>
      <c r="Q12" s="77">
        <v>3.1093000000000001E-23</v>
      </c>
      <c r="R12" s="77">
        <v>2.2684999999999999E-21</v>
      </c>
      <c r="S12" s="77">
        <v>1.2683999999999999E-19</v>
      </c>
      <c r="T12" s="77">
        <v>1.3808E-13</v>
      </c>
      <c r="U12" s="77">
        <v>2.8290000000000002E-12</v>
      </c>
      <c r="V12" s="77">
        <v>4.9786000000000001E-11</v>
      </c>
      <c r="W12" s="77">
        <v>7.6181999999999996E-10</v>
      </c>
      <c r="X12" s="77">
        <v>4.0387000000000001E-9</v>
      </c>
      <c r="Y12" s="63">
        <v>1.3505000000000001E-8</v>
      </c>
      <c r="Z12" s="63">
        <v>3.7726999999999998E-8</v>
      </c>
      <c r="AA12" s="63">
        <v>3.7906000000000002E-8</v>
      </c>
      <c r="AB12" s="63">
        <v>3.7554E-8</v>
      </c>
      <c r="AC12" s="63">
        <v>3.0196000000000001E-8</v>
      </c>
      <c r="AD12" s="63">
        <v>3.7554E-8</v>
      </c>
      <c r="AE12" s="63">
        <v>3.0196000000000001E-8</v>
      </c>
      <c r="AF12" s="63">
        <v>1.7782E-8</v>
      </c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70">
        <f t="shared" si="1"/>
        <v>1</v>
      </c>
      <c r="B13" s="70">
        <f t="shared" si="0"/>
        <v>0</v>
      </c>
      <c r="C13" s="70">
        <f t="shared" si="0"/>
        <v>0</v>
      </c>
      <c r="D13" s="70">
        <f t="shared" si="0"/>
        <v>0</v>
      </c>
      <c r="E13" s="11" t="s">
        <v>1</v>
      </c>
      <c r="F13" s="77">
        <v>0.2</v>
      </c>
      <c r="G13" s="77">
        <v>0.2</v>
      </c>
      <c r="H13" s="77">
        <v>0.2</v>
      </c>
      <c r="I13" s="77">
        <v>0.2</v>
      </c>
      <c r="J13" s="77">
        <v>0.2</v>
      </c>
      <c r="K13" s="77">
        <v>0.2</v>
      </c>
      <c r="L13" s="77">
        <v>0.2</v>
      </c>
      <c r="M13" s="77">
        <v>0.2</v>
      </c>
      <c r="N13" s="77">
        <v>0.2</v>
      </c>
      <c r="O13" s="77">
        <v>0.2</v>
      </c>
      <c r="P13" s="77">
        <v>0.2</v>
      </c>
      <c r="Q13" s="77">
        <v>0.2</v>
      </c>
      <c r="R13" s="77">
        <v>0.2</v>
      </c>
      <c r="S13" s="77">
        <v>0.2</v>
      </c>
      <c r="T13" s="77">
        <v>0.2</v>
      </c>
      <c r="U13" s="77">
        <v>0.2</v>
      </c>
      <c r="V13" s="77">
        <v>0.2</v>
      </c>
      <c r="W13" s="77">
        <v>0.2</v>
      </c>
      <c r="X13" s="77">
        <v>0.2</v>
      </c>
      <c r="Y13" s="63">
        <v>0.2</v>
      </c>
      <c r="Z13" s="63">
        <v>0.2</v>
      </c>
      <c r="AA13" s="63">
        <v>0.2</v>
      </c>
      <c r="AB13" s="63">
        <v>0.2</v>
      </c>
      <c r="AC13" s="63">
        <v>0.2</v>
      </c>
      <c r="AD13" s="63">
        <v>0.2</v>
      </c>
      <c r="AE13" s="63">
        <v>0.2</v>
      </c>
      <c r="AF13" s="63">
        <v>0.2</v>
      </c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70">
        <f t="shared" si="1"/>
        <v>0</v>
      </c>
      <c r="B14" s="70">
        <f t="shared" si="0"/>
        <v>0</v>
      </c>
      <c r="C14" s="70">
        <f t="shared" si="0"/>
        <v>0</v>
      </c>
      <c r="D14" s="70">
        <f t="shared" si="0"/>
        <v>1</v>
      </c>
      <c r="E14" s="11" t="s">
        <v>101</v>
      </c>
      <c r="F14" s="77">
        <v>0</v>
      </c>
      <c r="G14" s="77">
        <v>0</v>
      </c>
      <c r="H14" s="77">
        <v>0</v>
      </c>
      <c r="I14" s="77">
        <v>0</v>
      </c>
      <c r="J14" s="77">
        <v>0</v>
      </c>
      <c r="K14" s="77">
        <v>0</v>
      </c>
      <c r="L14" s="77">
        <v>0</v>
      </c>
      <c r="M14" s="77">
        <v>0</v>
      </c>
      <c r="N14" s="77">
        <v>0</v>
      </c>
      <c r="O14" s="77">
        <v>0</v>
      </c>
      <c r="P14" s="77">
        <v>0</v>
      </c>
      <c r="Q14" s="77">
        <v>1.5435999999999999E-32</v>
      </c>
      <c r="R14" s="77">
        <v>2.2441000000000001E-26</v>
      </c>
      <c r="S14" s="77">
        <v>2.012E-20</v>
      </c>
      <c r="T14" s="77">
        <v>3.7214000000000002E-13</v>
      </c>
      <c r="U14" s="77">
        <v>8.3488999999999999E-13</v>
      </c>
      <c r="V14" s="77">
        <v>1.2235E-11</v>
      </c>
      <c r="W14" s="77">
        <v>5.7031000000000002E-13</v>
      </c>
      <c r="X14" s="77">
        <v>4.5874000000000001E-9</v>
      </c>
      <c r="Y14" s="63">
        <v>3.9656000000000001E-8</v>
      </c>
      <c r="Z14" s="63">
        <v>7.7692999999999998E-2</v>
      </c>
      <c r="AA14" s="63">
        <v>7.9759999999999998E-2</v>
      </c>
      <c r="AB14" s="63">
        <v>7.9973000000000002E-2</v>
      </c>
      <c r="AC14" s="63">
        <v>0.08</v>
      </c>
      <c r="AD14" s="63">
        <v>7.9973000000000002E-2</v>
      </c>
      <c r="AE14" s="63">
        <v>0.08</v>
      </c>
      <c r="AF14" s="63">
        <v>0.08</v>
      </c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70">
        <f t="shared" si="1"/>
        <v>0</v>
      </c>
      <c r="B15" s="70">
        <f t="shared" si="0"/>
        <v>0</v>
      </c>
      <c r="C15" s="70">
        <f t="shared" si="0"/>
        <v>1</v>
      </c>
      <c r="D15" s="70">
        <f t="shared" si="0"/>
        <v>0</v>
      </c>
      <c r="E15" s="11" t="s">
        <v>102</v>
      </c>
      <c r="F15" s="77">
        <v>0</v>
      </c>
      <c r="G15" s="77">
        <v>0</v>
      </c>
      <c r="H15" s="77">
        <v>0</v>
      </c>
      <c r="I15" s="77">
        <v>0</v>
      </c>
      <c r="J15" s="77">
        <v>0</v>
      </c>
      <c r="K15" s="77">
        <v>0</v>
      </c>
      <c r="L15" s="77">
        <v>0</v>
      </c>
      <c r="M15" s="77">
        <v>0</v>
      </c>
      <c r="N15" s="77">
        <v>0</v>
      </c>
      <c r="O15" s="77">
        <v>0</v>
      </c>
      <c r="P15" s="77">
        <v>0</v>
      </c>
      <c r="Q15" s="77">
        <v>2.9877999999999998E-27</v>
      </c>
      <c r="R15" s="77">
        <v>7.9918999999999997E-22</v>
      </c>
      <c r="S15" s="77">
        <v>1.449E-16</v>
      </c>
      <c r="T15" s="77">
        <v>9.8116000000000007E-12</v>
      </c>
      <c r="U15" s="77">
        <v>6.3760999999999999E-12</v>
      </c>
      <c r="V15" s="77">
        <v>2.8513E-11</v>
      </c>
      <c r="W15" s="77">
        <v>4.2784000000000002E-13</v>
      </c>
      <c r="X15" s="77">
        <v>1.7531999999999999E-9</v>
      </c>
      <c r="Y15" s="63">
        <v>9.8190000000000001E-9</v>
      </c>
      <c r="Z15" s="63">
        <v>1.3691E-2</v>
      </c>
      <c r="AA15" s="63">
        <v>1.6542000000000001E-2</v>
      </c>
      <c r="AB15" s="63">
        <v>1.9453999999999999E-2</v>
      </c>
      <c r="AC15" s="63">
        <v>3.6164000000000002E-2</v>
      </c>
      <c r="AD15" s="63">
        <v>1.9453999999999999E-2</v>
      </c>
      <c r="AE15" s="63">
        <v>3.6164000000000002E-2</v>
      </c>
      <c r="AF15" s="63">
        <v>6.8124000000000004E-2</v>
      </c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70">
        <f t="shared" si="1"/>
        <v>1</v>
      </c>
      <c r="B16" s="70">
        <f t="shared" si="0"/>
        <v>0</v>
      </c>
      <c r="C16" s="70">
        <f t="shared" si="0"/>
        <v>0</v>
      </c>
      <c r="D16" s="70">
        <f t="shared" si="0"/>
        <v>0</v>
      </c>
      <c r="E16" s="11" t="s">
        <v>36</v>
      </c>
      <c r="F16" s="77">
        <v>-18.8</v>
      </c>
      <c r="G16" s="77">
        <v>-18.79</v>
      </c>
      <c r="H16" s="77">
        <v>-18.8</v>
      </c>
      <c r="I16" s="77">
        <v>-18.809999999999999</v>
      </c>
      <c r="J16" s="77">
        <v>-18.829999999999998</v>
      </c>
      <c r="K16" s="77">
        <v>-18.95</v>
      </c>
      <c r="L16" s="77">
        <v>-18.989999999999998</v>
      </c>
      <c r="M16" s="77">
        <v>-19.03</v>
      </c>
      <c r="N16" s="77">
        <v>-19.07</v>
      </c>
      <c r="O16" s="77">
        <v>-19.11</v>
      </c>
      <c r="P16" s="77">
        <v>-19.149999999999999</v>
      </c>
      <c r="Q16" s="77">
        <v>-19.190000000000001</v>
      </c>
      <c r="R16" s="77">
        <v>-19.23</v>
      </c>
      <c r="S16" s="77">
        <v>-19.28</v>
      </c>
      <c r="T16" s="77">
        <v>-19.440000000000001</v>
      </c>
      <c r="U16" s="77">
        <v>-19.489999999999998</v>
      </c>
      <c r="V16" s="77">
        <v>-19.53</v>
      </c>
      <c r="W16" s="77">
        <v>-19.57</v>
      </c>
      <c r="X16" s="77">
        <v>-19.5</v>
      </c>
      <c r="Y16" s="63">
        <v>-19.489999999999998</v>
      </c>
      <c r="Z16" s="63">
        <v>-19.510000000000002</v>
      </c>
      <c r="AA16" s="63">
        <v>-19.55</v>
      </c>
      <c r="AB16" s="63">
        <v>-19.59</v>
      </c>
      <c r="AC16" s="63">
        <v>-19.739999999999998</v>
      </c>
      <c r="AD16" s="63">
        <v>-19.59</v>
      </c>
      <c r="AE16" s="63">
        <v>-19.739999999999998</v>
      </c>
      <c r="AF16" s="63">
        <v>-19.88</v>
      </c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70">
        <f t="shared" si="1"/>
        <v>0</v>
      </c>
      <c r="B17" s="70">
        <f t="shared" si="0"/>
        <v>0</v>
      </c>
      <c r="C17" s="70">
        <f t="shared" si="0"/>
        <v>0</v>
      </c>
      <c r="D17" s="70">
        <f t="shared" si="0"/>
        <v>1</v>
      </c>
      <c r="E17" s="11" t="s">
        <v>5</v>
      </c>
      <c r="F17" s="77">
        <v>-66.459999999999994</v>
      </c>
      <c r="G17" s="77">
        <v>-62.25</v>
      </c>
      <c r="H17" s="77">
        <v>-58.6</v>
      </c>
      <c r="I17" s="77">
        <v>-55.41</v>
      </c>
      <c r="J17" s="77">
        <v>-51.62</v>
      </c>
      <c r="K17" s="77">
        <v>-37.26</v>
      </c>
      <c r="L17" s="77">
        <v>-34.4</v>
      </c>
      <c r="M17" s="77">
        <v>-31.76</v>
      </c>
      <c r="N17" s="77">
        <v>-29.31</v>
      </c>
      <c r="O17" s="77">
        <v>-27.03</v>
      </c>
      <c r="P17" s="77">
        <v>-24.9</v>
      </c>
      <c r="Q17" s="77">
        <v>-22.91</v>
      </c>
      <c r="R17" s="77">
        <v>-21.04</v>
      </c>
      <c r="S17" s="77">
        <v>-19.28</v>
      </c>
      <c r="T17" s="77">
        <v>-13.14</v>
      </c>
      <c r="U17" s="77">
        <v>-11.8</v>
      </c>
      <c r="V17" s="77">
        <v>-10.52</v>
      </c>
      <c r="W17" s="77">
        <v>-9.2940000000000005</v>
      </c>
      <c r="X17" s="77">
        <v>-8.5370000000000008</v>
      </c>
      <c r="Y17" s="63">
        <v>-8.0269999999999992</v>
      </c>
      <c r="Z17" s="63">
        <v>-7.617</v>
      </c>
      <c r="AA17" s="63">
        <v>-7.7149999999999999</v>
      </c>
      <c r="AB17" s="63">
        <v>-7.8150000000000004</v>
      </c>
      <c r="AC17" s="63">
        <v>-8.2360000000000007</v>
      </c>
      <c r="AD17" s="63">
        <v>-7.8150000000000004</v>
      </c>
      <c r="AE17" s="63">
        <v>-8.2360000000000007</v>
      </c>
      <c r="AF17" s="63">
        <v>-8.7249999999999996</v>
      </c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70">
        <f t="shared" si="1"/>
        <v>0</v>
      </c>
      <c r="B18" s="70">
        <f t="shared" si="0"/>
        <v>0</v>
      </c>
      <c r="C18" s="70">
        <f t="shared" si="0"/>
        <v>1</v>
      </c>
      <c r="D18" s="70">
        <f t="shared" si="0"/>
        <v>0</v>
      </c>
      <c r="E18" s="11" t="s">
        <v>6</v>
      </c>
      <c r="F18" s="77">
        <v>-16.29</v>
      </c>
      <c r="G18" s="77">
        <v>-15.52</v>
      </c>
      <c r="H18" s="77">
        <v>-14.86</v>
      </c>
      <c r="I18" s="77">
        <v>-14.3</v>
      </c>
      <c r="J18" s="77">
        <v>-13.17</v>
      </c>
      <c r="K18" s="77">
        <v>-7.9130000000000003</v>
      </c>
      <c r="L18" s="77">
        <v>-6.851</v>
      </c>
      <c r="M18" s="77">
        <v>-5.867</v>
      </c>
      <c r="N18" s="77">
        <v>-4.9489999999999998</v>
      </c>
      <c r="O18" s="77">
        <v>-4.0979999999999999</v>
      </c>
      <c r="P18" s="77">
        <v>-4.1500000000000004</v>
      </c>
      <c r="Q18" s="77">
        <v>-4.2</v>
      </c>
      <c r="R18" s="77">
        <v>-4.2489999999999997</v>
      </c>
      <c r="S18" s="77">
        <v>-4.2990000000000004</v>
      </c>
      <c r="T18" s="77">
        <v>-4.4989999999999997</v>
      </c>
      <c r="U18" s="77">
        <v>-4.5490000000000004</v>
      </c>
      <c r="V18" s="77">
        <v>-4.5979999999999999</v>
      </c>
      <c r="W18" s="77">
        <v>-4.6470000000000002</v>
      </c>
      <c r="X18" s="77">
        <v>-4.6959999999999997</v>
      </c>
      <c r="Y18" s="63">
        <v>-4.7439999999999998</v>
      </c>
      <c r="Z18" s="63">
        <v>-4.7919999999999998</v>
      </c>
      <c r="AA18" s="63">
        <v>-4.84</v>
      </c>
      <c r="AB18" s="63">
        <v>-4.8869999999999996</v>
      </c>
      <c r="AC18" s="63">
        <v>-5.0709999999999997</v>
      </c>
      <c r="AD18" s="63">
        <v>-4.8869999999999996</v>
      </c>
      <c r="AE18" s="63">
        <v>-5.0709999999999997</v>
      </c>
      <c r="AF18" s="63">
        <v>-5.2489999999999997</v>
      </c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70">
        <f t="shared" si="1"/>
        <v>0</v>
      </c>
      <c r="B19" s="70">
        <f t="shared" si="0"/>
        <v>1</v>
      </c>
      <c r="C19" s="70">
        <f t="shared" si="0"/>
        <v>0</v>
      </c>
      <c r="D19" s="70">
        <f t="shared" si="0"/>
        <v>0</v>
      </c>
      <c r="E19" s="11" t="s">
        <v>7</v>
      </c>
      <c r="F19" s="77">
        <v>-23.52</v>
      </c>
      <c r="G19" s="77">
        <v>-22.18</v>
      </c>
      <c r="H19" s="77">
        <v>-21.02</v>
      </c>
      <c r="I19" s="77">
        <v>-20.010000000000002</v>
      </c>
      <c r="J19" s="77">
        <v>-19.77</v>
      </c>
      <c r="K19" s="77">
        <v>-20.97</v>
      </c>
      <c r="L19" s="77">
        <v>-21.27</v>
      </c>
      <c r="M19" s="77">
        <v>-21.58</v>
      </c>
      <c r="N19" s="77">
        <v>-21.88</v>
      </c>
      <c r="O19" s="77">
        <v>-22.18</v>
      </c>
      <c r="P19" s="77">
        <v>-22.49</v>
      </c>
      <c r="Q19" s="77">
        <v>-22.79</v>
      </c>
      <c r="R19" s="77">
        <v>-23.08</v>
      </c>
      <c r="S19" s="77">
        <v>-23.37</v>
      </c>
      <c r="T19" s="77">
        <v>-24.51</v>
      </c>
      <c r="U19" s="77">
        <v>-24.79</v>
      </c>
      <c r="V19" s="77">
        <v>-25.06</v>
      </c>
      <c r="W19" s="77">
        <v>-25.33</v>
      </c>
      <c r="X19" s="77">
        <v>-25.6</v>
      </c>
      <c r="Y19" s="63">
        <v>-25.87</v>
      </c>
      <c r="Z19" s="63">
        <v>-26.13</v>
      </c>
      <c r="AA19" s="63">
        <v>-26.39</v>
      </c>
      <c r="AB19" s="63">
        <v>-26.65</v>
      </c>
      <c r="AC19" s="63">
        <v>-27.65</v>
      </c>
      <c r="AD19" s="63">
        <v>-26.65</v>
      </c>
      <c r="AE19" s="63">
        <v>-27.65</v>
      </c>
      <c r="AF19" s="63">
        <v>-28.62</v>
      </c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70">
        <f t="shared" si="1"/>
        <v>0</v>
      </c>
      <c r="B20" s="70">
        <f t="shared" si="1"/>
        <v>0</v>
      </c>
      <c r="C20" s="70">
        <f t="shared" si="1"/>
        <v>0</v>
      </c>
      <c r="D20" s="70">
        <f t="shared" si="1"/>
        <v>0</v>
      </c>
      <c r="E20" s="67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70">
        <f t="shared" si="1"/>
        <v>0</v>
      </c>
      <c r="B21" s="70">
        <f t="shared" si="1"/>
        <v>0</v>
      </c>
      <c r="C21" s="70">
        <f t="shared" si="1"/>
        <v>0</v>
      </c>
      <c r="D21" s="70">
        <f t="shared" si="1"/>
        <v>0</v>
      </c>
      <c r="E21" s="67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70">
        <f t="shared" si="1"/>
        <v>0</v>
      </c>
      <c r="B22" s="70">
        <f t="shared" si="1"/>
        <v>0</v>
      </c>
      <c r="C22" s="70">
        <f t="shared" si="1"/>
        <v>0</v>
      </c>
      <c r="D22" s="70">
        <f t="shared" si="1"/>
        <v>0</v>
      </c>
      <c r="E22" s="67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70">
        <f t="shared" si="1"/>
        <v>0</v>
      </c>
      <c r="B23" s="70">
        <f t="shared" si="1"/>
        <v>0</v>
      </c>
      <c r="C23" s="70">
        <f t="shared" si="1"/>
        <v>0</v>
      </c>
      <c r="D23" s="70">
        <f t="shared" si="1"/>
        <v>0</v>
      </c>
      <c r="E23" s="67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70">
        <f t="shared" si="1"/>
        <v>0</v>
      </c>
      <c r="B24" s="70">
        <f t="shared" si="1"/>
        <v>0</v>
      </c>
      <c r="C24" s="70">
        <f t="shared" si="1"/>
        <v>0</v>
      </c>
      <c r="D24" s="70">
        <f t="shared" si="1"/>
        <v>0</v>
      </c>
      <c r="E24" s="67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70">
        <f t="shared" si="1"/>
        <v>0</v>
      </c>
      <c r="B25" s="70">
        <f t="shared" si="1"/>
        <v>0</v>
      </c>
      <c r="C25" s="70">
        <f t="shared" si="1"/>
        <v>0</v>
      </c>
      <c r="D25" s="70">
        <f t="shared" si="1"/>
        <v>0</v>
      </c>
      <c r="E25" s="67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70">
        <f t="shared" si="1"/>
        <v>0</v>
      </c>
      <c r="B26" s="70">
        <f t="shared" si="1"/>
        <v>0</v>
      </c>
      <c r="C26" s="70">
        <f t="shared" si="1"/>
        <v>0</v>
      </c>
      <c r="D26" s="70">
        <f t="shared" si="1"/>
        <v>0</v>
      </c>
      <c r="E26" s="67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70">
        <f t="shared" si="1"/>
        <v>0</v>
      </c>
      <c r="B27" s="70">
        <f t="shared" si="1"/>
        <v>0</v>
      </c>
      <c r="C27" s="70">
        <f t="shared" si="1"/>
        <v>0</v>
      </c>
      <c r="D27" s="70">
        <f t="shared" si="1"/>
        <v>0</v>
      </c>
      <c r="E27" s="67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70">
        <f t="shared" ref="A28:D33" si="2">IF( ISNUMBER( FIND(A$3,$E28,1)),   IF( ISNUMBER( VALUE(MID($E28,FIND(A$3,$E28,1)+2,1)) ), VALUE( MID($E28,FIND(A$3,$E28,1)+2,1) ),1),0)</f>
        <v>0</v>
      </c>
      <c r="B28" s="70">
        <f t="shared" si="2"/>
        <v>0</v>
      </c>
      <c r="C28" s="70">
        <f t="shared" si="2"/>
        <v>0</v>
      </c>
      <c r="D28" s="70">
        <f t="shared" si="2"/>
        <v>0</v>
      </c>
      <c r="E28" s="67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70">
        <f t="shared" si="2"/>
        <v>0</v>
      </c>
      <c r="B29" s="70">
        <f t="shared" si="2"/>
        <v>0</v>
      </c>
      <c r="C29" s="70">
        <f t="shared" si="2"/>
        <v>0</v>
      </c>
      <c r="D29" s="70">
        <f t="shared" si="2"/>
        <v>0</v>
      </c>
      <c r="E29" s="67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70">
        <f t="shared" si="2"/>
        <v>0</v>
      </c>
      <c r="B30" s="70">
        <f t="shared" si="2"/>
        <v>0</v>
      </c>
      <c r="C30" s="70">
        <f t="shared" si="2"/>
        <v>0</v>
      </c>
      <c r="D30" s="70">
        <f t="shared" si="2"/>
        <v>0</v>
      </c>
      <c r="E30" s="67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70">
        <f t="shared" si="2"/>
        <v>0</v>
      </c>
      <c r="B31" s="70">
        <f t="shared" si="2"/>
        <v>0</v>
      </c>
      <c r="C31" s="70">
        <f t="shared" si="2"/>
        <v>0</v>
      </c>
      <c r="D31" s="70">
        <f t="shared" si="2"/>
        <v>0</v>
      </c>
      <c r="E31" s="67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70">
        <f t="shared" si="2"/>
        <v>0</v>
      </c>
      <c r="B32" s="70">
        <f t="shared" si="2"/>
        <v>0</v>
      </c>
      <c r="C32" s="70">
        <f t="shared" si="2"/>
        <v>0</v>
      </c>
      <c r="D32" s="70">
        <f t="shared" si="2"/>
        <v>0</v>
      </c>
      <c r="E32" s="67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70">
        <f t="shared" si="2"/>
        <v>0</v>
      </c>
      <c r="B33" s="70">
        <f t="shared" si="2"/>
        <v>0</v>
      </c>
      <c r="C33" s="70">
        <f t="shared" si="2"/>
        <v>0</v>
      </c>
      <c r="D33" s="70">
        <f t="shared" si="2"/>
        <v>0</v>
      </c>
      <c r="E33" s="67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450</v>
      </c>
      <c r="B34" s="78">
        <v>0</v>
      </c>
      <c r="C34" s="24" t="s">
        <v>36</v>
      </c>
      <c r="D34" s="75">
        <f>MATCH(C34,$E$4:$E$33)</f>
        <v>13</v>
      </c>
      <c r="E34" s="24" t="str">
        <f ca="1">OFFSET($E$3:$AL$3,$D34,0)</f>
        <v>H (Ar)</v>
      </c>
      <c r="F34" s="28">
        <f t="shared" ref="F34:AL37" ca="1" si="3">OFFSET($E$3:$AL$3,$D34,0)</f>
        <v>-18.8</v>
      </c>
      <c r="G34" s="28">
        <f t="shared" ca="1" si="3"/>
        <v>-18.79</v>
      </c>
      <c r="H34" s="28">
        <f t="shared" ca="1" si="3"/>
        <v>-18.8</v>
      </c>
      <c r="I34" s="28">
        <f t="shared" ca="1" si="3"/>
        <v>-18.809999999999999</v>
      </c>
      <c r="J34" s="28">
        <f t="shared" ca="1" si="3"/>
        <v>-18.829999999999998</v>
      </c>
      <c r="K34" s="28">
        <f t="shared" ca="1" si="3"/>
        <v>-18.95</v>
      </c>
      <c r="L34" s="28">
        <f t="shared" ca="1" si="3"/>
        <v>-18.989999999999998</v>
      </c>
      <c r="M34" s="28">
        <f t="shared" ca="1" si="3"/>
        <v>-19.03</v>
      </c>
      <c r="N34" s="28">
        <f t="shared" ca="1" si="3"/>
        <v>-19.07</v>
      </c>
      <c r="O34" s="28">
        <f t="shared" ca="1" si="3"/>
        <v>-19.11</v>
      </c>
      <c r="P34" s="28">
        <f t="shared" ca="1" si="3"/>
        <v>-19.149999999999999</v>
      </c>
      <c r="Q34" s="28">
        <f t="shared" ca="1" si="3"/>
        <v>-19.190000000000001</v>
      </c>
      <c r="R34" s="28">
        <f t="shared" ca="1" si="3"/>
        <v>-19.23</v>
      </c>
      <c r="S34" s="28">
        <f t="shared" ca="1" si="3"/>
        <v>-19.28</v>
      </c>
      <c r="T34" s="28">
        <f t="shared" ca="1" si="3"/>
        <v>-19.440000000000001</v>
      </c>
      <c r="U34" s="28">
        <f t="shared" ca="1" si="3"/>
        <v>-19.489999999999998</v>
      </c>
      <c r="V34" s="28">
        <f t="shared" ca="1" si="3"/>
        <v>-19.53</v>
      </c>
      <c r="W34" s="28">
        <f t="shared" ca="1" si="3"/>
        <v>-19.57</v>
      </c>
      <c r="X34" s="28">
        <f t="shared" ca="1" si="3"/>
        <v>-19.5</v>
      </c>
      <c r="Y34" s="28">
        <f t="shared" ca="1" si="3"/>
        <v>-19.489999999999998</v>
      </c>
      <c r="Z34" s="28">
        <f t="shared" ca="1" si="3"/>
        <v>-19.510000000000002</v>
      </c>
      <c r="AA34" s="28">
        <f t="shared" ca="1" si="3"/>
        <v>-19.55</v>
      </c>
      <c r="AB34" s="28">
        <f t="shared" ca="1" si="3"/>
        <v>-19.59</v>
      </c>
      <c r="AC34" s="28">
        <f t="shared" ca="1" si="3"/>
        <v>-19.739999999999998</v>
      </c>
      <c r="AD34" s="28">
        <f t="shared" ca="1" si="3"/>
        <v>-19.59</v>
      </c>
      <c r="AE34" s="28">
        <f t="shared" ca="1" si="3"/>
        <v>-19.739999999999998</v>
      </c>
      <c r="AF34" s="28">
        <f t="shared" ca="1" si="3"/>
        <v>-19.88</v>
      </c>
      <c r="AG34" s="28">
        <f t="shared" ca="1" si="3"/>
        <v>0</v>
      </c>
      <c r="AH34" s="28">
        <f t="shared" ca="1" si="3"/>
        <v>0</v>
      </c>
      <c r="AI34" s="28">
        <f t="shared" ca="1" si="3"/>
        <v>0</v>
      </c>
      <c r="AJ34" s="28">
        <f t="shared" ca="1" si="3"/>
        <v>0</v>
      </c>
      <c r="AK34" s="28">
        <f t="shared" ca="1" si="3"/>
        <v>0</v>
      </c>
      <c r="AL34" s="28">
        <f t="shared" ca="1" si="3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ht="21" customHeight="1" outlineLevel="1" thickBot="1" x14ac:dyDescent="0.4">
      <c r="A35" s="55">
        <f>$A$2</f>
        <v>450</v>
      </c>
      <c r="B35" s="79">
        <v>1</v>
      </c>
      <c r="C35" s="24" t="s">
        <v>5</v>
      </c>
      <c r="D35" s="75">
        <f t="shared" ref="D35:D37" si="4">MATCH(C35,$E$4:$E$33)</f>
        <v>14</v>
      </c>
      <c r="E35" s="24" t="str">
        <f t="shared" ref="E35:E37" ca="1" si="5">OFFSET($E$3:$AL$3,$D35,0)</f>
        <v>H (Ga)</v>
      </c>
      <c r="F35" s="28">
        <f t="shared" ca="1" si="3"/>
        <v>-66.459999999999994</v>
      </c>
      <c r="G35" s="28">
        <f t="shared" ca="1" si="3"/>
        <v>-62.25</v>
      </c>
      <c r="H35" s="28">
        <f t="shared" ca="1" si="3"/>
        <v>-58.6</v>
      </c>
      <c r="I35" s="28">
        <f t="shared" ca="1" si="3"/>
        <v>-55.41</v>
      </c>
      <c r="J35" s="28">
        <f t="shared" ca="1" si="3"/>
        <v>-51.62</v>
      </c>
      <c r="K35" s="28">
        <f t="shared" ca="1" si="3"/>
        <v>-37.26</v>
      </c>
      <c r="L35" s="28">
        <f t="shared" ca="1" si="3"/>
        <v>-34.4</v>
      </c>
      <c r="M35" s="28">
        <f t="shared" ca="1" si="3"/>
        <v>-31.76</v>
      </c>
      <c r="N35" s="28">
        <f t="shared" ca="1" si="3"/>
        <v>-29.31</v>
      </c>
      <c r="O35" s="28">
        <f t="shared" ca="1" si="3"/>
        <v>-27.03</v>
      </c>
      <c r="P35" s="28">
        <f t="shared" ca="1" si="3"/>
        <v>-24.9</v>
      </c>
      <c r="Q35" s="28">
        <f t="shared" ca="1" si="3"/>
        <v>-22.91</v>
      </c>
      <c r="R35" s="28">
        <f t="shared" ca="1" si="3"/>
        <v>-21.04</v>
      </c>
      <c r="S35" s="28">
        <f t="shared" ca="1" si="3"/>
        <v>-19.28</v>
      </c>
      <c r="T35" s="28">
        <f t="shared" ca="1" si="3"/>
        <v>-13.14</v>
      </c>
      <c r="U35" s="28">
        <f t="shared" ca="1" si="3"/>
        <v>-11.8</v>
      </c>
      <c r="V35" s="28">
        <f t="shared" ca="1" si="3"/>
        <v>-10.52</v>
      </c>
      <c r="W35" s="28">
        <f t="shared" ca="1" si="3"/>
        <v>-9.2940000000000005</v>
      </c>
      <c r="X35" s="28">
        <f t="shared" ca="1" si="3"/>
        <v>-8.5370000000000008</v>
      </c>
      <c r="Y35" s="28">
        <f t="shared" ca="1" si="3"/>
        <v>-8.0269999999999992</v>
      </c>
      <c r="Z35" s="28">
        <f t="shared" ca="1" si="3"/>
        <v>-7.617</v>
      </c>
      <c r="AA35" s="28">
        <f t="shared" ca="1" si="3"/>
        <v>-7.7149999999999999</v>
      </c>
      <c r="AB35" s="28">
        <f t="shared" ca="1" si="3"/>
        <v>-7.8150000000000004</v>
      </c>
      <c r="AC35" s="28">
        <f t="shared" ca="1" si="3"/>
        <v>-8.2360000000000007</v>
      </c>
      <c r="AD35" s="28">
        <f t="shared" ca="1" si="3"/>
        <v>-7.8150000000000004</v>
      </c>
      <c r="AE35" s="28">
        <f t="shared" ca="1" si="3"/>
        <v>-8.2360000000000007</v>
      </c>
      <c r="AF35" s="28">
        <f t="shared" ca="1" si="3"/>
        <v>-8.7249999999999996</v>
      </c>
      <c r="AG35" s="28">
        <f t="shared" ca="1" si="3"/>
        <v>0</v>
      </c>
      <c r="AH35" s="28">
        <f t="shared" ca="1" si="3"/>
        <v>0</v>
      </c>
      <c r="AI35" s="28">
        <f t="shared" ca="1" si="3"/>
        <v>0</v>
      </c>
      <c r="AJ35" s="28">
        <f t="shared" ca="1" si="3"/>
        <v>0</v>
      </c>
      <c r="AK35" s="28">
        <f t="shared" ca="1" si="3"/>
        <v>0</v>
      </c>
      <c r="AL35" s="28">
        <f t="shared" ca="1" si="3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ht="21" customHeight="1" outlineLevel="1" x14ac:dyDescent="0.35">
      <c r="C36" s="24" t="s">
        <v>6</v>
      </c>
      <c r="D36" s="75">
        <f t="shared" si="4"/>
        <v>15</v>
      </c>
      <c r="E36" s="24" t="str">
        <f t="shared" ca="1" si="5"/>
        <v>H (Ge)</v>
      </c>
      <c r="F36" s="28">
        <f t="shared" ca="1" si="3"/>
        <v>-16.29</v>
      </c>
      <c r="G36" s="28">
        <f t="shared" ca="1" si="3"/>
        <v>-15.52</v>
      </c>
      <c r="H36" s="28">
        <f t="shared" ca="1" si="3"/>
        <v>-14.86</v>
      </c>
      <c r="I36" s="28">
        <f t="shared" ca="1" si="3"/>
        <v>-14.3</v>
      </c>
      <c r="J36" s="28">
        <f t="shared" ca="1" si="3"/>
        <v>-13.17</v>
      </c>
      <c r="K36" s="28">
        <f t="shared" ca="1" si="3"/>
        <v>-7.9130000000000003</v>
      </c>
      <c r="L36" s="28">
        <f t="shared" ca="1" si="3"/>
        <v>-6.851</v>
      </c>
      <c r="M36" s="28">
        <f t="shared" ca="1" si="3"/>
        <v>-5.867</v>
      </c>
      <c r="N36" s="28">
        <f t="shared" ca="1" si="3"/>
        <v>-4.9489999999999998</v>
      </c>
      <c r="O36" s="28">
        <f t="shared" ca="1" si="3"/>
        <v>-4.0979999999999999</v>
      </c>
      <c r="P36" s="28">
        <f t="shared" ca="1" si="3"/>
        <v>-4.1500000000000004</v>
      </c>
      <c r="Q36" s="28">
        <f t="shared" ca="1" si="3"/>
        <v>-4.2</v>
      </c>
      <c r="R36" s="28">
        <f t="shared" ca="1" si="3"/>
        <v>-4.2489999999999997</v>
      </c>
      <c r="S36" s="28">
        <f t="shared" ca="1" si="3"/>
        <v>-4.2990000000000004</v>
      </c>
      <c r="T36" s="28">
        <f t="shared" ca="1" si="3"/>
        <v>-4.4989999999999997</v>
      </c>
      <c r="U36" s="28">
        <f t="shared" ca="1" si="3"/>
        <v>-4.5490000000000004</v>
      </c>
      <c r="V36" s="28">
        <f t="shared" ca="1" si="3"/>
        <v>-4.5979999999999999</v>
      </c>
      <c r="W36" s="28">
        <f t="shared" ca="1" si="3"/>
        <v>-4.6470000000000002</v>
      </c>
      <c r="X36" s="28">
        <f t="shared" ca="1" si="3"/>
        <v>-4.6959999999999997</v>
      </c>
      <c r="Y36" s="28">
        <f t="shared" ca="1" si="3"/>
        <v>-4.7439999999999998</v>
      </c>
      <c r="Z36" s="28">
        <f t="shared" ca="1" si="3"/>
        <v>-4.7919999999999998</v>
      </c>
      <c r="AA36" s="28">
        <f t="shared" ca="1" si="3"/>
        <v>-4.84</v>
      </c>
      <c r="AB36" s="28">
        <f t="shared" ca="1" si="3"/>
        <v>-4.8869999999999996</v>
      </c>
      <c r="AC36" s="28">
        <f t="shared" ca="1" si="3"/>
        <v>-5.0709999999999997</v>
      </c>
      <c r="AD36" s="28">
        <f t="shared" ca="1" si="3"/>
        <v>-4.8869999999999996</v>
      </c>
      <c r="AE36" s="28">
        <f t="shared" ca="1" si="3"/>
        <v>-5.0709999999999997</v>
      </c>
      <c r="AF36" s="28">
        <f t="shared" ca="1" si="3"/>
        <v>-5.2489999999999997</v>
      </c>
      <c r="AG36" s="28">
        <f t="shared" ca="1" si="3"/>
        <v>0</v>
      </c>
      <c r="AH36" s="28">
        <f t="shared" ca="1" si="3"/>
        <v>0</v>
      </c>
      <c r="AI36" s="28">
        <f t="shared" ca="1" si="3"/>
        <v>0</v>
      </c>
      <c r="AJ36" s="28">
        <f t="shared" ca="1" si="3"/>
        <v>0</v>
      </c>
      <c r="AK36" s="28">
        <f t="shared" ca="1" si="3"/>
        <v>0</v>
      </c>
      <c r="AL36" s="28">
        <f t="shared" ca="1" si="3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5">
        <f t="shared" si="4"/>
        <v>16</v>
      </c>
      <c r="E37" s="24" t="str">
        <f t="shared" ca="1" si="5"/>
        <v>H (Se)</v>
      </c>
      <c r="F37" s="28">
        <f t="shared" ca="1" si="3"/>
        <v>-23.52</v>
      </c>
      <c r="G37" s="28">
        <f t="shared" ca="1" si="3"/>
        <v>-22.18</v>
      </c>
      <c r="H37" s="28">
        <f t="shared" ca="1" si="3"/>
        <v>-21.02</v>
      </c>
      <c r="I37" s="28">
        <f t="shared" ca="1" si="3"/>
        <v>-20.010000000000002</v>
      </c>
      <c r="J37" s="28">
        <f t="shared" ca="1" si="3"/>
        <v>-19.77</v>
      </c>
      <c r="K37" s="28">
        <f t="shared" ca="1" si="3"/>
        <v>-20.97</v>
      </c>
      <c r="L37" s="28">
        <f t="shared" ca="1" si="3"/>
        <v>-21.27</v>
      </c>
      <c r="M37" s="28">
        <f t="shared" ca="1" si="3"/>
        <v>-21.58</v>
      </c>
      <c r="N37" s="28">
        <f t="shared" ca="1" si="3"/>
        <v>-21.88</v>
      </c>
      <c r="O37" s="28">
        <f t="shared" ca="1" si="3"/>
        <v>-22.18</v>
      </c>
      <c r="P37" s="28">
        <f t="shared" ca="1" si="3"/>
        <v>-22.49</v>
      </c>
      <c r="Q37" s="28">
        <f t="shared" ca="1" si="3"/>
        <v>-22.79</v>
      </c>
      <c r="R37" s="28">
        <f t="shared" ca="1" si="3"/>
        <v>-23.08</v>
      </c>
      <c r="S37" s="28">
        <f t="shared" ca="1" si="3"/>
        <v>-23.37</v>
      </c>
      <c r="T37" s="28">
        <f t="shared" ca="1" si="3"/>
        <v>-24.51</v>
      </c>
      <c r="U37" s="28">
        <f t="shared" ca="1" si="3"/>
        <v>-24.79</v>
      </c>
      <c r="V37" s="28">
        <f t="shared" ca="1" si="3"/>
        <v>-25.06</v>
      </c>
      <c r="W37" s="28">
        <f t="shared" ca="1" si="3"/>
        <v>-25.33</v>
      </c>
      <c r="X37" s="28">
        <f t="shared" ca="1" si="3"/>
        <v>-25.6</v>
      </c>
      <c r="Y37" s="28">
        <f t="shared" ca="1" si="3"/>
        <v>-25.87</v>
      </c>
      <c r="Z37" s="28">
        <f t="shared" ca="1" si="3"/>
        <v>-26.13</v>
      </c>
      <c r="AA37" s="28">
        <f t="shared" ca="1" si="3"/>
        <v>-26.39</v>
      </c>
      <c r="AB37" s="28">
        <f t="shared" ca="1" si="3"/>
        <v>-26.65</v>
      </c>
      <c r="AC37" s="28">
        <f t="shared" ca="1" si="3"/>
        <v>-27.65</v>
      </c>
      <c r="AD37" s="28">
        <f t="shared" ca="1" si="3"/>
        <v>-26.65</v>
      </c>
      <c r="AE37" s="28">
        <f t="shared" ca="1" si="3"/>
        <v>-27.65</v>
      </c>
      <c r="AF37" s="28">
        <f t="shared" ca="1" si="3"/>
        <v>-28.62</v>
      </c>
      <c r="AG37" s="28">
        <f t="shared" ca="1" si="3"/>
        <v>0</v>
      </c>
      <c r="AH37" s="28">
        <f t="shared" ca="1" si="3"/>
        <v>0</v>
      </c>
      <c r="AI37" s="28">
        <f t="shared" ca="1" si="3"/>
        <v>0</v>
      </c>
      <c r="AJ37" s="28">
        <f t="shared" ca="1" si="3"/>
        <v>0</v>
      </c>
      <c r="AK37" s="28">
        <f t="shared" ca="1" si="3"/>
        <v>0</v>
      </c>
      <c r="AL37" s="28">
        <f t="shared" ca="1" si="3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ht="21" customHeight="1" thickBot="1" x14ac:dyDescent="0.4"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293.3</v>
      </c>
      <c r="H40" s="19">
        <f t="shared" si="6"/>
        <v>313.5</v>
      </c>
      <c r="I40" s="19">
        <f t="shared" si="6"/>
        <v>333.7</v>
      </c>
      <c r="J40" s="19">
        <f t="shared" si="6"/>
        <v>353.9</v>
      </c>
      <c r="K40" s="19">
        <f t="shared" si="6"/>
        <v>434.7</v>
      </c>
      <c r="L40" s="19">
        <f t="shared" si="6"/>
        <v>454.9</v>
      </c>
      <c r="M40" s="19">
        <f t="shared" si="6"/>
        <v>475.1</v>
      </c>
      <c r="N40" s="19">
        <f t="shared" si="6"/>
        <v>495.2</v>
      </c>
      <c r="O40" s="19">
        <f t="shared" si="6"/>
        <v>515.4</v>
      </c>
      <c r="P40" s="19">
        <f t="shared" si="6"/>
        <v>535.6</v>
      </c>
      <c r="Q40" s="19">
        <f t="shared" si="6"/>
        <v>555.79999999999995</v>
      </c>
      <c r="R40" s="19">
        <f t="shared" si="6"/>
        <v>576</v>
      </c>
      <c r="S40" s="19">
        <f t="shared" si="6"/>
        <v>596.20000000000005</v>
      </c>
      <c r="T40" s="19">
        <f t="shared" si="6"/>
        <v>677</v>
      </c>
      <c r="U40" s="19">
        <f t="shared" si="6"/>
        <v>697.1</v>
      </c>
      <c r="V40" s="19">
        <f t="shared" si="6"/>
        <v>717.3</v>
      </c>
      <c r="W40" s="19">
        <f t="shared" si="6"/>
        <v>737.5</v>
      </c>
      <c r="X40" s="19">
        <f t="shared" si="6"/>
        <v>757.7</v>
      </c>
      <c r="Y40" s="19">
        <f t="shared" si="6"/>
        <v>777.9</v>
      </c>
      <c r="Z40" s="19">
        <f t="shared" si="6"/>
        <v>798.1</v>
      </c>
      <c r="AA40" s="19">
        <f t="shared" si="6"/>
        <v>818.3</v>
      </c>
      <c r="AB40" s="19">
        <f t="shared" si="6"/>
        <v>838.5</v>
      </c>
      <c r="AC40" s="19">
        <f t="shared" si="6"/>
        <v>919.2</v>
      </c>
      <c r="AD40" s="19">
        <f t="shared" si="6"/>
        <v>838.5</v>
      </c>
      <c r="AE40" s="19">
        <f t="shared" si="6"/>
        <v>919.2</v>
      </c>
      <c r="AF40" s="19">
        <f t="shared" si="6"/>
        <v>1000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0.83333333333333337</v>
      </c>
      <c r="B41" s="20">
        <f>B45/$B45</f>
        <v>1</v>
      </c>
      <c r="C41" s="20">
        <f>C45/$B45</f>
        <v>0.33333333333333331</v>
      </c>
      <c r="D41" s="20">
        <f>D45/$B45</f>
        <v>2</v>
      </c>
      <c r="E41" s="20">
        <f>SUM(A41:D41)</f>
        <v>4.166666666666667</v>
      </c>
      <c r="F41" s="21">
        <f ca="1">($B$41*H.Ge+$C$41*H.Ga+$D$41*H.Se)*F$40*$B$2/1000</f>
        <v>-194.1061458925</v>
      </c>
      <c r="G41" s="21">
        <f t="shared" ref="G41:AL41" ca="1" si="7">($B$41*H.Ge+$C$41*H.Ga+$D$41*H.Se)*G$40*$B$2/1000</f>
        <v>-196.62777299550001</v>
      </c>
      <c r="H41" s="21">
        <f t="shared" ca="1" si="7"/>
        <v>-199.23080182500004</v>
      </c>
      <c r="I41" s="21">
        <f t="shared" ca="1" si="7"/>
        <v>-201.95939623349997</v>
      </c>
      <c r="J41" s="21">
        <f t="shared" ca="1" si="7"/>
        <v>-205.72990003749996</v>
      </c>
      <c r="K41" s="21">
        <f t="shared" ca="1" si="7"/>
        <v>-225.07412278995</v>
      </c>
      <c r="L41" s="21">
        <f t="shared" ca="1" si="7"/>
        <v>-230.17988651554998</v>
      </c>
      <c r="M41" s="21">
        <f t="shared" ca="1" si="7"/>
        <v>-235.48703574565002</v>
      </c>
      <c r="N41" s="21">
        <f t="shared" ca="1" si="7"/>
        <v>-240.77794925159998</v>
      </c>
      <c r="O41" s="21">
        <f t="shared" ca="1" si="7"/>
        <v>-246.26723536440002</v>
      </c>
      <c r="P41" s="21">
        <f t="shared" ca="1" si="7"/>
        <v>-255.74992926599998</v>
      </c>
      <c r="Q41" s="21">
        <f t="shared" ca="1" si="7"/>
        <v>-265.33384832500002</v>
      </c>
      <c r="R41" s="21">
        <f t="shared" ca="1" si="7"/>
        <v>-275.00428252800003</v>
      </c>
      <c r="S41" s="21">
        <f t="shared" ca="1" si="7"/>
        <v>-284.86333781510001</v>
      </c>
      <c r="T41" s="21">
        <f t="shared" ca="1" si="7"/>
        <v>-325.90863643350002</v>
      </c>
      <c r="U41" s="21">
        <f t="shared" ca="1" si="7"/>
        <v>-336.53148746555001</v>
      </c>
      <c r="V41" s="21">
        <f t="shared" ca="1" si="7"/>
        <v>-347.25137924430004</v>
      </c>
      <c r="W41" s="21">
        <f t="shared" ca="1" si="7"/>
        <v>-358.13617471874994</v>
      </c>
      <c r="X41" s="21">
        <f t="shared" ca="1" si="7"/>
        <v>-370.06642904875008</v>
      </c>
      <c r="Y41" s="21">
        <f t="shared" ca="1" si="7"/>
        <v>-382.63582342815005</v>
      </c>
      <c r="Z41" s="21">
        <f t="shared" ca="1" si="7"/>
        <v>-395.43410379794994</v>
      </c>
      <c r="AA41" s="21">
        <f t="shared" ca="1" si="7"/>
        <v>-409.52937410875001</v>
      </c>
      <c r="AB41" s="21">
        <f t="shared" ca="1" si="7"/>
        <v>-423.82408793400003</v>
      </c>
      <c r="AC41" s="21">
        <f t="shared" ca="1" si="7"/>
        <v>-482.37846861720004</v>
      </c>
      <c r="AD41" s="21">
        <f t="shared" ca="1" si="7"/>
        <v>-423.82408793400003</v>
      </c>
      <c r="AE41" s="21">
        <f t="shared" ca="1" si="7"/>
        <v>-482.37846861720004</v>
      </c>
      <c r="AF41" s="21">
        <f t="shared" ca="1" si="7"/>
        <v>-543.746128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/>
    <row r="43" spans="1:54" ht="21" customHeight="1" outlineLevel="1" thickBot="1" x14ac:dyDescent="0.4">
      <c r="A43" s="15" t="s">
        <v>10</v>
      </c>
      <c r="B43" s="15"/>
      <c r="C43" s="15"/>
      <c r="D43" s="73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</row>
    <row r="45" spans="1:54" ht="21" customHeight="1" outlineLevel="1" thickTop="1" x14ac:dyDescent="0.35">
      <c r="A45" s="24">
        <f t="array" ref="A45:D45">Values!D3:G3</f>
        <v>25</v>
      </c>
      <c r="B45" s="24">
        <v>30</v>
      </c>
      <c r="C45" s="24">
        <v>10</v>
      </c>
      <c r="D45" s="24">
        <v>60</v>
      </c>
      <c r="W45" s="23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 t="str">
        <f t="shared" ref="E49:AL49" si="8">E3</f>
        <v>Temperature,K</v>
      </c>
      <c r="F49" s="8">
        <f t="shared" si="8"/>
        <v>273.10000000000002</v>
      </c>
      <c r="G49" s="8">
        <f t="shared" si="8"/>
        <v>293.3</v>
      </c>
      <c r="H49" s="8">
        <f t="shared" si="8"/>
        <v>313.5</v>
      </c>
      <c r="I49" s="8">
        <f t="shared" si="8"/>
        <v>333.7</v>
      </c>
      <c r="J49" s="8">
        <f t="shared" si="8"/>
        <v>353.9</v>
      </c>
      <c r="K49" s="8">
        <f t="shared" si="8"/>
        <v>434.7</v>
      </c>
      <c r="L49" s="8">
        <f t="shared" si="8"/>
        <v>454.9</v>
      </c>
      <c r="M49" s="8">
        <f t="shared" si="8"/>
        <v>475.1</v>
      </c>
      <c r="N49" s="8">
        <f t="shared" si="8"/>
        <v>495.2</v>
      </c>
      <c r="O49" s="8">
        <f t="shared" si="8"/>
        <v>515.4</v>
      </c>
      <c r="P49" s="8">
        <f t="shared" si="8"/>
        <v>535.6</v>
      </c>
      <c r="Q49" s="8">
        <f t="shared" si="8"/>
        <v>555.79999999999995</v>
      </c>
      <c r="R49" s="8">
        <f t="shared" si="8"/>
        <v>576</v>
      </c>
      <c r="S49" s="8">
        <f t="shared" si="8"/>
        <v>596.20000000000005</v>
      </c>
      <c r="T49" s="8">
        <f t="shared" si="8"/>
        <v>677</v>
      </c>
      <c r="U49" s="8">
        <f t="shared" si="8"/>
        <v>697.1</v>
      </c>
      <c r="V49" s="8">
        <f t="shared" si="8"/>
        <v>717.3</v>
      </c>
      <c r="W49" s="8">
        <f t="shared" si="8"/>
        <v>737.5</v>
      </c>
      <c r="X49" s="8">
        <f t="shared" si="8"/>
        <v>757.7</v>
      </c>
      <c r="Y49" s="8">
        <f t="shared" si="8"/>
        <v>777.9</v>
      </c>
      <c r="Z49" s="8">
        <f t="shared" si="8"/>
        <v>798.1</v>
      </c>
      <c r="AA49" s="8">
        <f t="shared" si="8"/>
        <v>818.3</v>
      </c>
      <c r="AB49" s="8">
        <f t="shared" si="8"/>
        <v>838.5</v>
      </c>
      <c r="AC49" s="8">
        <f t="shared" si="8"/>
        <v>919.2</v>
      </c>
      <c r="AD49" s="8">
        <f t="shared" si="8"/>
        <v>838.5</v>
      </c>
      <c r="AE49" s="8">
        <f t="shared" si="8"/>
        <v>919.2</v>
      </c>
      <c r="AF49" s="8">
        <f t="shared" si="8"/>
        <v>1000</v>
      </c>
      <c r="AG49" s="8">
        <f t="shared" si="8"/>
        <v>0</v>
      </c>
      <c r="AH49" s="8">
        <f t="shared" si="8"/>
        <v>0</v>
      </c>
      <c r="AI49" s="8">
        <f t="shared" si="8"/>
        <v>0</v>
      </c>
      <c r="AJ49" s="8">
        <f t="shared" si="8"/>
        <v>0</v>
      </c>
      <c r="AK49" s="8">
        <f t="shared" si="8"/>
        <v>0</v>
      </c>
      <c r="AL49" s="8">
        <f t="shared" si="8"/>
        <v>0</v>
      </c>
    </row>
    <row r="50" spans="1:38" ht="21" hidden="1" customHeight="1" outlineLevel="1" thickTop="1" thickBot="1" x14ac:dyDescent="0.4">
      <c r="A50" s="10">
        <f t="shared" ref="A50:E65" si="9">A4</f>
        <v>0</v>
      </c>
      <c r="B50" s="10">
        <f t="shared" si="9"/>
        <v>0</v>
      </c>
      <c r="C50" s="10">
        <f t="shared" si="9"/>
        <v>1</v>
      </c>
      <c r="D50" s="10">
        <f t="shared" si="9"/>
        <v>0</v>
      </c>
      <c r="E50" s="11" t="str">
        <f t="shared" si="9"/>
        <v>*Ge</v>
      </c>
      <c r="F50" s="28">
        <f t="shared" ref="F50:O59" ca="1" si="10">$A50*H.Ar + $B50*H.Se + $C50*H.Ge + $D50*H.Ga</f>
        <v>-16.29</v>
      </c>
      <c r="G50" s="28">
        <f t="shared" ca="1" si="10"/>
        <v>-15.52</v>
      </c>
      <c r="H50" s="28">
        <f t="shared" ca="1" si="10"/>
        <v>-14.86</v>
      </c>
      <c r="I50" s="28">
        <f t="shared" ca="1" si="10"/>
        <v>-14.3</v>
      </c>
      <c r="J50" s="28">
        <f t="shared" ca="1" si="10"/>
        <v>-13.17</v>
      </c>
      <c r="K50" s="28">
        <f t="shared" ca="1" si="10"/>
        <v>-7.9130000000000003</v>
      </c>
      <c r="L50" s="28">
        <f t="shared" ca="1" si="10"/>
        <v>-6.851</v>
      </c>
      <c r="M50" s="28">
        <f t="shared" ca="1" si="10"/>
        <v>-5.867</v>
      </c>
      <c r="N50" s="28">
        <f t="shared" ca="1" si="10"/>
        <v>-4.9489999999999998</v>
      </c>
      <c r="O50" s="28">
        <f t="shared" ca="1" si="10"/>
        <v>-4.0979999999999999</v>
      </c>
      <c r="P50" s="28">
        <f t="shared" ref="P50:AE59" ca="1" si="11">$A50*H.Ar + $B50*H.Se + $C50*H.Ge + $D50*H.Ga</f>
        <v>-4.1500000000000004</v>
      </c>
      <c r="Q50" s="28">
        <f t="shared" ca="1" si="11"/>
        <v>-4.2</v>
      </c>
      <c r="R50" s="28">
        <f t="shared" ca="1" si="11"/>
        <v>-4.2489999999999997</v>
      </c>
      <c r="S50" s="28">
        <f t="shared" ca="1" si="11"/>
        <v>-4.2990000000000004</v>
      </c>
      <c r="T50" s="28">
        <f t="shared" ca="1" si="11"/>
        <v>-4.4989999999999997</v>
      </c>
      <c r="U50" s="28">
        <f t="shared" ca="1" si="11"/>
        <v>-4.5490000000000004</v>
      </c>
      <c r="V50" s="28">
        <f t="shared" ca="1" si="11"/>
        <v>-4.5979999999999999</v>
      </c>
      <c r="W50" s="28">
        <f t="shared" ca="1" si="11"/>
        <v>-4.6470000000000002</v>
      </c>
      <c r="X50" s="28">
        <f t="shared" ca="1" si="11"/>
        <v>-4.6959999999999997</v>
      </c>
      <c r="Y50" s="28">
        <f t="shared" ca="1" si="11"/>
        <v>-4.7439999999999998</v>
      </c>
      <c r="Z50" s="28">
        <f t="shared" ca="1" si="11"/>
        <v>-4.7919999999999998</v>
      </c>
      <c r="AA50" s="28">
        <f t="shared" ca="1" si="11"/>
        <v>-4.84</v>
      </c>
      <c r="AB50" s="28">
        <f t="shared" ca="1" si="11"/>
        <v>-4.8869999999999996</v>
      </c>
      <c r="AC50" s="28">
        <f t="shared" ca="1" si="11"/>
        <v>-5.0709999999999997</v>
      </c>
      <c r="AD50" s="28">
        <f t="shared" ca="1" si="11"/>
        <v>-4.8869999999999996</v>
      </c>
      <c r="AE50" s="28">
        <f t="shared" ca="1" si="11"/>
        <v>-5.0709999999999997</v>
      </c>
      <c r="AF50" s="28">
        <f t="shared" ref="AF50:AL50" ca="1" si="12">$A50*H.Ar + $B50*H.Se + $C50*H.Ge + $D50*H.Ga</f>
        <v>-5.2489999999999997</v>
      </c>
      <c r="AG50" s="28">
        <f t="shared" ca="1" si="12"/>
        <v>0</v>
      </c>
      <c r="AH50" s="28">
        <f t="shared" ca="1" si="12"/>
        <v>0</v>
      </c>
      <c r="AI50" s="28">
        <f t="shared" ca="1" si="12"/>
        <v>0</v>
      </c>
      <c r="AJ50" s="28">
        <f t="shared" ca="1" si="12"/>
        <v>0</v>
      </c>
      <c r="AK50" s="28">
        <f t="shared" ca="1" si="12"/>
        <v>0</v>
      </c>
      <c r="AL50" s="28">
        <f t="shared" ca="1" si="12"/>
        <v>0</v>
      </c>
    </row>
    <row r="51" spans="1:38" ht="21" hidden="1" customHeight="1" outlineLevel="1" thickBot="1" x14ac:dyDescent="0.4">
      <c r="A51" s="10">
        <f t="shared" si="9"/>
        <v>0</v>
      </c>
      <c r="B51" s="10">
        <f t="shared" si="9"/>
        <v>1</v>
      </c>
      <c r="C51" s="10">
        <f t="shared" si="9"/>
        <v>1</v>
      </c>
      <c r="D51" s="10">
        <f t="shared" si="9"/>
        <v>0</v>
      </c>
      <c r="E51" s="11" t="str">
        <f t="shared" si="9"/>
        <v>*GeSe</v>
      </c>
      <c r="F51" s="28">
        <f t="shared" ca="1" si="10"/>
        <v>-39.81</v>
      </c>
      <c r="G51" s="28">
        <f t="shared" ca="1" si="10"/>
        <v>-37.700000000000003</v>
      </c>
      <c r="H51" s="28">
        <f t="shared" ca="1" si="10"/>
        <v>-35.879999999999995</v>
      </c>
      <c r="I51" s="28">
        <f t="shared" ca="1" si="10"/>
        <v>-34.31</v>
      </c>
      <c r="J51" s="28">
        <f t="shared" ca="1" si="10"/>
        <v>-32.94</v>
      </c>
      <c r="K51" s="28">
        <f t="shared" ca="1" si="10"/>
        <v>-28.882999999999999</v>
      </c>
      <c r="L51" s="28">
        <f t="shared" ca="1" si="10"/>
        <v>-28.120999999999999</v>
      </c>
      <c r="M51" s="28">
        <f t="shared" ca="1" si="10"/>
        <v>-27.446999999999999</v>
      </c>
      <c r="N51" s="28">
        <f t="shared" ca="1" si="10"/>
        <v>-26.829000000000001</v>
      </c>
      <c r="O51" s="28">
        <f t="shared" ca="1" si="10"/>
        <v>-26.277999999999999</v>
      </c>
      <c r="P51" s="28">
        <f t="shared" ca="1" si="11"/>
        <v>-26.64</v>
      </c>
      <c r="Q51" s="28">
        <f t="shared" ca="1" si="11"/>
        <v>-26.99</v>
      </c>
      <c r="R51" s="28">
        <f t="shared" ca="1" si="11"/>
        <v>-27.328999999999997</v>
      </c>
      <c r="S51" s="28">
        <f t="shared" ca="1" si="11"/>
        <v>-27.669</v>
      </c>
      <c r="T51" s="28">
        <f t="shared" ca="1" si="11"/>
        <v>-29.009</v>
      </c>
      <c r="U51" s="28">
        <f t="shared" ca="1" si="11"/>
        <v>-29.338999999999999</v>
      </c>
      <c r="V51" s="28">
        <f t="shared" ca="1" si="11"/>
        <v>-29.657999999999998</v>
      </c>
      <c r="W51" s="28">
        <f t="shared" ca="1" si="11"/>
        <v>-29.976999999999997</v>
      </c>
      <c r="X51" s="28">
        <f t="shared" ca="1" si="11"/>
        <v>-30.295999999999999</v>
      </c>
      <c r="Y51" s="28">
        <f t="shared" ref="Y51:AL65" ca="1" si="13">$A51*H.Ar + $B51*H.Se + $C51*H.Ge + $D51*H.Ga</f>
        <v>-30.614000000000001</v>
      </c>
      <c r="Z51" s="28">
        <f t="shared" ca="1" si="13"/>
        <v>-30.921999999999997</v>
      </c>
      <c r="AA51" s="28">
        <f t="shared" ca="1" si="13"/>
        <v>-31.23</v>
      </c>
      <c r="AB51" s="28">
        <f t="shared" ca="1" si="13"/>
        <v>-31.536999999999999</v>
      </c>
      <c r="AC51" s="28">
        <f t="shared" ca="1" si="13"/>
        <v>-32.720999999999997</v>
      </c>
      <c r="AD51" s="28">
        <f t="shared" ca="1" si="13"/>
        <v>-31.536999999999999</v>
      </c>
      <c r="AE51" s="28">
        <f t="shared" ca="1" si="13"/>
        <v>-32.720999999999997</v>
      </c>
      <c r="AF51" s="28">
        <f t="shared" ca="1" si="13"/>
        <v>-33.869</v>
      </c>
      <c r="AG51" s="28">
        <f t="shared" ca="1" si="13"/>
        <v>0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9"/>
        <v>0</v>
      </c>
      <c r="B52" s="10">
        <f t="shared" si="9"/>
        <v>0</v>
      </c>
      <c r="C52" s="10">
        <f t="shared" si="9"/>
        <v>0</v>
      </c>
      <c r="D52" s="10">
        <f t="shared" si="9"/>
        <v>1</v>
      </c>
      <c r="E52" s="11" t="str">
        <f t="shared" si="9"/>
        <v>*Ga[l]</v>
      </c>
      <c r="F52" s="28">
        <f t="shared" ca="1" si="10"/>
        <v>-66.459999999999994</v>
      </c>
      <c r="G52" s="28">
        <f t="shared" ca="1" si="10"/>
        <v>-62.25</v>
      </c>
      <c r="H52" s="28">
        <f t="shared" ca="1" si="10"/>
        <v>-58.6</v>
      </c>
      <c r="I52" s="28">
        <f t="shared" ca="1" si="10"/>
        <v>-55.41</v>
      </c>
      <c r="J52" s="28">
        <f t="shared" ca="1" si="10"/>
        <v>-51.62</v>
      </c>
      <c r="K52" s="28">
        <f t="shared" ca="1" si="10"/>
        <v>-37.26</v>
      </c>
      <c r="L52" s="28">
        <f t="shared" ca="1" si="10"/>
        <v>-34.4</v>
      </c>
      <c r="M52" s="28">
        <f t="shared" ca="1" si="10"/>
        <v>-31.76</v>
      </c>
      <c r="N52" s="28">
        <f t="shared" ca="1" si="10"/>
        <v>-29.31</v>
      </c>
      <c r="O52" s="28">
        <f t="shared" ca="1" si="10"/>
        <v>-27.03</v>
      </c>
      <c r="P52" s="28">
        <f t="shared" ca="1" si="11"/>
        <v>-24.9</v>
      </c>
      <c r="Q52" s="28">
        <f t="shared" ca="1" si="11"/>
        <v>-22.91</v>
      </c>
      <c r="R52" s="28">
        <f t="shared" ca="1" si="11"/>
        <v>-21.04</v>
      </c>
      <c r="S52" s="28">
        <f t="shared" ca="1" si="11"/>
        <v>-19.28</v>
      </c>
      <c r="T52" s="28">
        <f t="shared" ca="1" si="11"/>
        <v>-13.14</v>
      </c>
      <c r="U52" s="28">
        <f t="shared" ca="1" si="11"/>
        <v>-11.8</v>
      </c>
      <c r="V52" s="28">
        <f t="shared" ca="1" si="11"/>
        <v>-10.52</v>
      </c>
      <c r="W52" s="28">
        <f t="shared" ca="1" si="11"/>
        <v>-9.2940000000000005</v>
      </c>
      <c r="X52" s="28">
        <f t="shared" ca="1" si="11"/>
        <v>-8.5370000000000008</v>
      </c>
      <c r="Y52" s="28">
        <f t="shared" ca="1" si="13"/>
        <v>-8.0269999999999992</v>
      </c>
      <c r="Z52" s="28">
        <f t="shared" ca="1" si="13"/>
        <v>-7.617</v>
      </c>
      <c r="AA52" s="28">
        <f t="shared" ca="1" si="13"/>
        <v>-7.7149999999999999</v>
      </c>
      <c r="AB52" s="28">
        <f t="shared" ca="1" si="13"/>
        <v>-7.8150000000000004</v>
      </c>
      <c r="AC52" s="28">
        <f t="shared" ca="1" si="13"/>
        <v>-8.2360000000000007</v>
      </c>
      <c r="AD52" s="28">
        <f t="shared" ca="1" si="13"/>
        <v>-7.8150000000000004</v>
      </c>
      <c r="AE52" s="28">
        <f t="shared" ca="1" si="13"/>
        <v>-8.2360000000000007</v>
      </c>
      <c r="AF52" s="28">
        <f t="shared" ca="1" si="13"/>
        <v>-8.7249999999999996</v>
      </c>
      <c r="AG52" s="28">
        <f t="shared" ca="1" si="13"/>
        <v>0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9"/>
        <v>0</v>
      </c>
      <c r="B53" s="10">
        <f t="shared" si="9"/>
        <v>1</v>
      </c>
      <c r="C53" s="10">
        <f t="shared" si="9"/>
        <v>0</v>
      </c>
      <c r="D53" s="10">
        <f t="shared" si="9"/>
        <v>2</v>
      </c>
      <c r="E53" s="11" t="str">
        <f t="shared" si="9"/>
        <v>*Ga2Se</v>
      </c>
      <c r="F53" s="28">
        <f t="shared" ca="1" si="10"/>
        <v>-156.44</v>
      </c>
      <c r="G53" s="28">
        <f t="shared" ca="1" si="10"/>
        <v>-146.68</v>
      </c>
      <c r="H53" s="28">
        <f t="shared" ca="1" si="10"/>
        <v>-138.22</v>
      </c>
      <c r="I53" s="28">
        <f t="shared" ca="1" si="10"/>
        <v>-130.82999999999998</v>
      </c>
      <c r="J53" s="28">
        <f t="shared" ca="1" si="10"/>
        <v>-123.00999999999999</v>
      </c>
      <c r="K53" s="28">
        <f t="shared" ca="1" si="10"/>
        <v>-95.49</v>
      </c>
      <c r="L53" s="28">
        <f t="shared" ca="1" si="10"/>
        <v>-90.07</v>
      </c>
      <c r="M53" s="28">
        <f t="shared" ca="1" si="10"/>
        <v>-85.1</v>
      </c>
      <c r="N53" s="28">
        <f t="shared" ca="1" si="10"/>
        <v>-80.5</v>
      </c>
      <c r="O53" s="28">
        <f t="shared" ca="1" si="10"/>
        <v>-76.240000000000009</v>
      </c>
      <c r="P53" s="28">
        <f t="shared" ca="1" si="11"/>
        <v>-72.289999999999992</v>
      </c>
      <c r="Q53" s="28">
        <f t="shared" ca="1" si="11"/>
        <v>-68.61</v>
      </c>
      <c r="R53" s="28">
        <f t="shared" ca="1" si="11"/>
        <v>-65.16</v>
      </c>
      <c r="S53" s="28">
        <f t="shared" ca="1" si="11"/>
        <v>-61.930000000000007</v>
      </c>
      <c r="T53" s="28">
        <f t="shared" ca="1" si="11"/>
        <v>-50.790000000000006</v>
      </c>
      <c r="U53" s="28">
        <f t="shared" ca="1" si="11"/>
        <v>-48.39</v>
      </c>
      <c r="V53" s="28">
        <f t="shared" ca="1" si="11"/>
        <v>-46.099999999999994</v>
      </c>
      <c r="W53" s="28">
        <f t="shared" ca="1" si="11"/>
        <v>-43.917999999999999</v>
      </c>
      <c r="X53" s="28">
        <f t="shared" ca="1" si="11"/>
        <v>-42.674000000000007</v>
      </c>
      <c r="Y53" s="28">
        <f t="shared" ca="1" si="13"/>
        <v>-41.923999999999999</v>
      </c>
      <c r="Z53" s="28">
        <f t="shared" ca="1" si="13"/>
        <v>-41.363999999999997</v>
      </c>
      <c r="AA53" s="28">
        <f t="shared" ca="1" si="13"/>
        <v>-41.82</v>
      </c>
      <c r="AB53" s="28">
        <f t="shared" ca="1" si="13"/>
        <v>-42.28</v>
      </c>
      <c r="AC53" s="28">
        <f t="shared" ca="1" si="13"/>
        <v>-44.122</v>
      </c>
      <c r="AD53" s="28">
        <f t="shared" ca="1" si="13"/>
        <v>-42.28</v>
      </c>
      <c r="AE53" s="28">
        <f t="shared" ca="1" si="13"/>
        <v>-44.122</v>
      </c>
      <c r="AF53" s="28">
        <f t="shared" ca="1" si="13"/>
        <v>-46.07</v>
      </c>
      <c r="AG53" s="28">
        <f t="shared" ca="1" si="13"/>
        <v>0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9"/>
        <v>0</v>
      </c>
      <c r="B54" s="10">
        <f t="shared" si="9"/>
        <v>0</v>
      </c>
      <c r="C54" s="10">
        <f t="shared" si="9"/>
        <v>1</v>
      </c>
      <c r="D54" s="10">
        <f t="shared" si="9"/>
        <v>0</v>
      </c>
      <c r="E54" s="11" t="str">
        <f t="shared" si="9"/>
        <v>*Ge[c]</v>
      </c>
      <c r="F54" s="28">
        <f t="shared" ca="1" si="10"/>
        <v>-16.29</v>
      </c>
      <c r="G54" s="28">
        <f t="shared" ca="1" si="10"/>
        <v>-15.52</v>
      </c>
      <c r="H54" s="28">
        <f t="shared" ca="1" si="10"/>
        <v>-14.86</v>
      </c>
      <c r="I54" s="28">
        <f t="shared" ca="1" si="10"/>
        <v>-14.3</v>
      </c>
      <c r="J54" s="28">
        <f t="shared" ca="1" si="10"/>
        <v>-13.17</v>
      </c>
      <c r="K54" s="28">
        <f t="shared" ca="1" si="10"/>
        <v>-7.9130000000000003</v>
      </c>
      <c r="L54" s="28">
        <f t="shared" ca="1" si="10"/>
        <v>-6.851</v>
      </c>
      <c r="M54" s="28">
        <f t="shared" ca="1" si="10"/>
        <v>-5.867</v>
      </c>
      <c r="N54" s="28">
        <f t="shared" ca="1" si="10"/>
        <v>-4.9489999999999998</v>
      </c>
      <c r="O54" s="28">
        <f t="shared" ca="1" si="10"/>
        <v>-4.0979999999999999</v>
      </c>
      <c r="P54" s="28">
        <f t="shared" ca="1" si="11"/>
        <v>-4.1500000000000004</v>
      </c>
      <c r="Q54" s="28">
        <f t="shared" ca="1" si="11"/>
        <v>-4.2</v>
      </c>
      <c r="R54" s="28">
        <f t="shared" ca="1" si="11"/>
        <v>-4.2489999999999997</v>
      </c>
      <c r="S54" s="28">
        <f t="shared" ca="1" si="11"/>
        <v>-4.2990000000000004</v>
      </c>
      <c r="T54" s="28">
        <f t="shared" ca="1" si="11"/>
        <v>-4.4989999999999997</v>
      </c>
      <c r="U54" s="28">
        <f t="shared" ca="1" si="11"/>
        <v>-4.5490000000000004</v>
      </c>
      <c r="V54" s="28">
        <f t="shared" ca="1" si="11"/>
        <v>-4.5979999999999999</v>
      </c>
      <c r="W54" s="28">
        <f t="shared" ca="1" si="11"/>
        <v>-4.6470000000000002</v>
      </c>
      <c r="X54" s="28">
        <f t="shared" ca="1" si="11"/>
        <v>-4.6959999999999997</v>
      </c>
      <c r="Y54" s="28">
        <f t="shared" ca="1" si="13"/>
        <v>-4.7439999999999998</v>
      </c>
      <c r="Z54" s="28">
        <f t="shared" ca="1" si="13"/>
        <v>-4.7919999999999998</v>
      </c>
      <c r="AA54" s="28">
        <f t="shared" ca="1" si="13"/>
        <v>-4.84</v>
      </c>
      <c r="AB54" s="28">
        <f t="shared" ca="1" si="13"/>
        <v>-4.8869999999999996</v>
      </c>
      <c r="AC54" s="28">
        <f t="shared" ca="1" si="13"/>
        <v>-5.0709999999999997</v>
      </c>
      <c r="AD54" s="28">
        <f t="shared" ca="1" si="13"/>
        <v>-4.8869999999999996</v>
      </c>
      <c r="AE54" s="28">
        <f t="shared" ca="1" si="13"/>
        <v>-5.0709999999999997</v>
      </c>
      <c r="AF54" s="28">
        <f t="shared" ca="1" si="13"/>
        <v>-5.2489999999999997</v>
      </c>
      <c r="AG54" s="28">
        <f t="shared" ca="1" si="13"/>
        <v>0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9"/>
        <v>0</v>
      </c>
      <c r="B55" s="10">
        <f t="shared" si="9"/>
        <v>1</v>
      </c>
      <c r="C55" s="10">
        <f t="shared" si="9"/>
        <v>0</v>
      </c>
      <c r="D55" s="10">
        <f t="shared" si="9"/>
        <v>0</v>
      </c>
      <c r="E55" s="11" t="str">
        <f t="shared" si="9"/>
        <v>*Se[m]</v>
      </c>
      <c r="F55" s="28">
        <f t="shared" ca="1" si="10"/>
        <v>-23.52</v>
      </c>
      <c r="G55" s="28">
        <f t="shared" ca="1" si="10"/>
        <v>-22.18</v>
      </c>
      <c r="H55" s="28">
        <f t="shared" ca="1" si="10"/>
        <v>-21.02</v>
      </c>
      <c r="I55" s="28">
        <f t="shared" ca="1" si="10"/>
        <v>-20.010000000000002</v>
      </c>
      <c r="J55" s="28">
        <f t="shared" ca="1" si="10"/>
        <v>-19.77</v>
      </c>
      <c r="K55" s="28">
        <f t="shared" ca="1" si="10"/>
        <v>-20.97</v>
      </c>
      <c r="L55" s="28">
        <f t="shared" ca="1" si="10"/>
        <v>-21.27</v>
      </c>
      <c r="M55" s="28">
        <f t="shared" ca="1" si="10"/>
        <v>-21.58</v>
      </c>
      <c r="N55" s="28">
        <f t="shared" ca="1" si="10"/>
        <v>-21.88</v>
      </c>
      <c r="O55" s="28">
        <f t="shared" ca="1" si="10"/>
        <v>-22.18</v>
      </c>
      <c r="P55" s="28">
        <f t="shared" ca="1" si="11"/>
        <v>-22.49</v>
      </c>
      <c r="Q55" s="28">
        <f t="shared" ca="1" si="11"/>
        <v>-22.79</v>
      </c>
      <c r="R55" s="28">
        <f t="shared" ca="1" si="11"/>
        <v>-23.08</v>
      </c>
      <c r="S55" s="28">
        <f t="shared" ca="1" si="11"/>
        <v>-23.37</v>
      </c>
      <c r="T55" s="28">
        <f t="shared" ca="1" si="11"/>
        <v>-24.51</v>
      </c>
      <c r="U55" s="28">
        <f t="shared" ca="1" si="11"/>
        <v>-24.79</v>
      </c>
      <c r="V55" s="28">
        <f t="shared" ca="1" si="11"/>
        <v>-25.06</v>
      </c>
      <c r="W55" s="28">
        <f t="shared" ca="1" si="11"/>
        <v>-25.33</v>
      </c>
      <c r="X55" s="28">
        <f t="shared" ca="1" si="11"/>
        <v>-25.6</v>
      </c>
      <c r="Y55" s="28">
        <f t="shared" ca="1" si="13"/>
        <v>-25.87</v>
      </c>
      <c r="Z55" s="28">
        <f t="shared" ca="1" si="13"/>
        <v>-26.13</v>
      </c>
      <c r="AA55" s="28">
        <f t="shared" ca="1" si="13"/>
        <v>-26.39</v>
      </c>
      <c r="AB55" s="28">
        <f t="shared" ca="1" si="13"/>
        <v>-26.65</v>
      </c>
      <c r="AC55" s="28">
        <f t="shared" ca="1" si="13"/>
        <v>-27.65</v>
      </c>
      <c r="AD55" s="28">
        <f t="shared" ca="1" si="13"/>
        <v>-26.65</v>
      </c>
      <c r="AE55" s="28">
        <f t="shared" ca="1" si="13"/>
        <v>-27.65</v>
      </c>
      <c r="AF55" s="28">
        <f t="shared" ca="1" si="13"/>
        <v>-28.62</v>
      </c>
      <c r="AG55" s="28">
        <f t="shared" ca="1" si="13"/>
        <v>0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9"/>
        <v>0</v>
      </c>
      <c r="B56" s="10">
        <f t="shared" si="9"/>
        <v>2</v>
      </c>
      <c r="C56" s="10">
        <f t="shared" si="9"/>
        <v>1</v>
      </c>
      <c r="D56" s="10">
        <f t="shared" si="9"/>
        <v>0</v>
      </c>
      <c r="E56" s="11" t="str">
        <f t="shared" si="9"/>
        <v>*GeSe2</v>
      </c>
      <c r="F56" s="28">
        <f t="shared" ca="1" si="10"/>
        <v>-63.33</v>
      </c>
      <c r="G56" s="28">
        <f t="shared" ca="1" si="10"/>
        <v>-59.879999999999995</v>
      </c>
      <c r="H56" s="28">
        <f t="shared" ca="1" si="10"/>
        <v>-56.9</v>
      </c>
      <c r="I56" s="28">
        <f t="shared" ca="1" si="10"/>
        <v>-54.320000000000007</v>
      </c>
      <c r="J56" s="28">
        <f t="shared" ca="1" si="10"/>
        <v>-52.71</v>
      </c>
      <c r="K56" s="28">
        <f t="shared" ca="1" si="10"/>
        <v>-49.852999999999994</v>
      </c>
      <c r="L56" s="28">
        <f t="shared" ca="1" si="10"/>
        <v>-49.390999999999998</v>
      </c>
      <c r="M56" s="28">
        <f t="shared" ca="1" si="10"/>
        <v>-49.026999999999994</v>
      </c>
      <c r="N56" s="28">
        <f t="shared" ca="1" si="10"/>
        <v>-48.708999999999996</v>
      </c>
      <c r="O56" s="28">
        <f t="shared" ca="1" si="10"/>
        <v>-48.457999999999998</v>
      </c>
      <c r="P56" s="28">
        <f t="shared" ca="1" si="11"/>
        <v>-49.129999999999995</v>
      </c>
      <c r="Q56" s="28">
        <f t="shared" ca="1" si="11"/>
        <v>-49.78</v>
      </c>
      <c r="R56" s="28">
        <f t="shared" ca="1" si="11"/>
        <v>-50.408999999999999</v>
      </c>
      <c r="S56" s="28">
        <f t="shared" ca="1" si="11"/>
        <v>-51.039000000000001</v>
      </c>
      <c r="T56" s="28">
        <f t="shared" ca="1" si="11"/>
        <v>-53.519000000000005</v>
      </c>
      <c r="U56" s="28">
        <f t="shared" ca="1" si="11"/>
        <v>-54.128999999999998</v>
      </c>
      <c r="V56" s="28">
        <f t="shared" ca="1" si="11"/>
        <v>-54.717999999999996</v>
      </c>
      <c r="W56" s="28">
        <f t="shared" ca="1" si="11"/>
        <v>-55.306999999999995</v>
      </c>
      <c r="X56" s="28">
        <f t="shared" ca="1" si="11"/>
        <v>-55.896000000000001</v>
      </c>
      <c r="Y56" s="28">
        <f t="shared" ca="1" si="13"/>
        <v>-56.484000000000002</v>
      </c>
      <c r="Z56" s="28">
        <f t="shared" ca="1" si="13"/>
        <v>-57.052</v>
      </c>
      <c r="AA56" s="28">
        <f t="shared" ca="1" si="13"/>
        <v>-57.620000000000005</v>
      </c>
      <c r="AB56" s="28">
        <f t="shared" ca="1" si="13"/>
        <v>-58.186999999999998</v>
      </c>
      <c r="AC56" s="28">
        <f t="shared" ca="1" si="13"/>
        <v>-60.370999999999995</v>
      </c>
      <c r="AD56" s="28">
        <f t="shared" ca="1" si="13"/>
        <v>-58.186999999999998</v>
      </c>
      <c r="AE56" s="28">
        <f t="shared" ca="1" si="13"/>
        <v>-60.370999999999995</v>
      </c>
      <c r="AF56" s="28">
        <f t="shared" ca="1" si="13"/>
        <v>-62.489000000000004</v>
      </c>
      <c r="AG56" s="28">
        <f t="shared" ca="1" si="13"/>
        <v>0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9"/>
        <v>0</v>
      </c>
      <c r="B57" s="10">
        <f t="shared" si="9"/>
        <v>3</v>
      </c>
      <c r="C57" s="10">
        <f t="shared" si="9"/>
        <v>0</v>
      </c>
      <c r="D57" s="10">
        <f t="shared" si="9"/>
        <v>2</v>
      </c>
      <c r="E57" s="11" t="str">
        <f t="shared" si="9"/>
        <v>Ga2Se3</v>
      </c>
      <c r="F57" s="28">
        <f t="shared" ca="1" si="10"/>
        <v>-203.48</v>
      </c>
      <c r="G57" s="28">
        <f t="shared" ca="1" si="10"/>
        <v>-191.04</v>
      </c>
      <c r="H57" s="28">
        <f t="shared" ca="1" si="10"/>
        <v>-180.26</v>
      </c>
      <c r="I57" s="28">
        <f t="shared" ca="1" si="10"/>
        <v>-170.85</v>
      </c>
      <c r="J57" s="28">
        <f t="shared" ca="1" si="10"/>
        <v>-162.55000000000001</v>
      </c>
      <c r="K57" s="28">
        <f t="shared" ca="1" si="10"/>
        <v>-137.43</v>
      </c>
      <c r="L57" s="28">
        <f t="shared" ca="1" si="10"/>
        <v>-132.61000000000001</v>
      </c>
      <c r="M57" s="28">
        <f t="shared" ca="1" si="10"/>
        <v>-128.26</v>
      </c>
      <c r="N57" s="28">
        <f t="shared" ca="1" si="10"/>
        <v>-124.25999999999999</v>
      </c>
      <c r="O57" s="28">
        <f t="shared" ca="1" si="10"/>
        <v>-120.6</v>
      </c>
      <c r="P57" s="28">
        <f t="shared" ca="1" si="11"/>
        <v>-117.27</v>
      </c>
      <c r="Q57" s="28">
        <f t="shared" ca="1" si="11"/>
        <v>-114.19</v>
      </c>
      <c r="R57" s="28">
        <f t="shared" ca="1" si="11"/>
        <v>-111.32</v>
      </c>
      <c r="S57" s="28">
        <f t="shared" ca="1" si="11"/>
        <v>-108.67</v>
      </c>
      <c r="T57" s="28">
        <f t="shared" ca="1" si="11"/>
        <v>-99.81</v>
      </c>
      <c r="U57" s="28">
        <f t="shared" ca="1" si="11"/>
        <v>-97.97</v>
      </c>
      <c r="V57" s="28">
        <f t="shared" ca="1" si="11"/>
        <v>-96.22</v>
      </c>
      <c r="W57" s="28">
        <f t="shared" ca="1" si="11"/>
        <v>-94.578000000000003</v>
      </c>
      <c r="X57" s="28">
        <f t="shared" ca="1" si="11"/>
        <v>-93.874000000000009</v>
      </c>
      <c r="Y57" s="28">
        <f t="shared" ca="1" si="13"/>
        <v>-93.664000000000001</v>
      </c>
      <c r="Z57" s="28">
        <f t="shared" ca="1" si="13"/>
        <v>-93.623999999999995</v>
      </c>
      <c r="AA57" s="28">
        <f t="shared" ca="1" si="13"/>
        <v>-94.6</v>
      </c>
      <c r="AB57" s="28">
        <f t="shared" ca="1" si="13"/>
        <v>-95.579999999999984</v>
      </c>
      <c r="AC57" s="28">
        <f t="shared" ca="1" si="13"/>
        <v>-99.421999999999997</v>
      </c>
      <c r="AD57" s="28">
        <f t="shared" ca="1" si="13"/>
        <v>-95.579999999999984</v>
      </c>
      <c r="AE57" s="28">
        <f t="shared" ca="1" si="13"/>
        <v>-99.421999999999997</v>
      </c>
      <c r="AF57" s="28">
        <f t="shared" ca="1" si="13"/>
        <v>-103.31</v>
      </c>
      <c r="AG57" s="28">
        <f t="shared" ca="1" si="13"/>
        <v>0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9"/>
        <v>0</v>
      </c>
      <c r="B58" s="10">
        <f t="shared" si="9"/>
        <v>1</v>
      </c>
      <c r="C58" s="10">
        <f t="shared" si="9"/>
        <v>0</v>
      </c>
      <c r="D58" s="10">
        <f t="shared" si="9"/>
        <v>2</v>
      </c>
      <c r="E58" s="11" t="str">
        <f t="shared" si="9"/>
        <v>Ga2Se</v>
      </c>
      <c r="F58" s="28">
        <f t="shared" ca="1" si="10"/>
        <v>-156.44</v>
      </c>
      <c r="G58" s="28">
        <f t="shared" ca="1" si="10"/>
        <v>-146.68</v>
      </c>
      <c r="H58" s="28">
        <f t="shared" ca="1" si="10"/>
        <v>-138.22</v>
      </c>
      <c r="I58" s="28">
        <f t="shared" ca="1" si="10"/>
        <v>-130.82999999999998</v>
      </c>
      <c r="J58" s="28">
        <f t="shared" ca="1" si="10"/>
        <v>-123.00999999999999</v>
      </c>
      <c r="K58" s="28">
        <f t="shared" ca="1" si="10"/>
        <v>-95.49</v>
      </c>
      <c r="L58" s="28">
        <f t="shared" ca="1" si="10"/>
        <v>-90.07</v>
      </c>
      <c r="M58" s="28">
        <f t="shared" ca="1" si="10"/>
        <v>-85.1</v>
      </c>
      <c r="N58" s="28">
        <f t="shared" ca="1" si="10"/>
        <v>-80.5</v>
      </c>
      <c r="O58" s="28">
        <f t="shared" ca="1" si="10"/>
        <v>-76.240000000000009</v>
      </c>
      <c r="P58" s="28">
        <f t="shared" ca="1" si="11"/>
        <v>-72.289999999999992</v>
      </c>
      <c r="Q58" s="28">
        <f t="shared" ca="1" si="11"/>
        <v>-68.61</v>
      </c>
      <c r="R58" s="28">
        <f t="shared" ca="1" si="11"/>
        <v>-65.16</v>
      </c>
      <c r="S58" s="28">
        <f t="shared" ca="1" si="11"/>
        <v>-61.930000000000007</v>
      </c>
      <c r="T58" s="28">
        <f t="shared" ca="1" si="11"/>
        <v>-50.790000000000006</v>
      </c>
      <c r="U58" s="28">
        <f t="shared" ca="1" si="11"/>
        <v>-48.39</v>
      </c>
      <c r="V58" s="28">
        <f t="shared" ca="1" si="11"/>
        <v>-46.099999999999994</v>
      </c>
      <c r="W58" s="28">
        <f t="shared" ca="1" si="11"/>
        <v>-43.917999999999999</v>
      </c>
      <c r="X58" s="28">
        <f t="shared" ca="1" si="11"/>
        <v>-42.674000000000007</v>
      </c>
      <c r="Y58" s="28">
        <f t="shared" ca="1" si="13"/>
        <v>-41.923999999999999</v>
      </c>
      <c r="Z58" s="28">
        <f t="shared" ca="1" si="13"/>
        <v>-41.363999999999997</v>
      </c>
      <c r="AA58" s="28">
        <f t="shared" ca="1" si="13"/>
        <v>-41.82</v>
      </c>
      <c r="AB58" s="28">
        <f t="shared" ca="1" si="13"/>
        <v>-42.28</v>
      </c>
      <c r="AC58" s="28">
        <f t="shared" ca="1" si="13"/>
        <v>-44.122</v>
      </c>
      <c r="AD58" s="28">
        <f t="shared" ca="1" si="13"/>
        <v>-42.28</v>
      </c>
      <c r="AE58" s="28">
        <f t="shared" ca="1" si="13"/>
        <v>-44.122</v>
      </c>
      <c r="AF58" s="28">
        <f t="shared" ca="1" si="13"/>
        <v>-46.07</v>
      </c>
      <c r="AG58" s="28">
        <f t="shared" ca="1" si="13"/>
        <v>0</v>
      </c>
      <c r="AH58" s="28">
        <f t="shared" ca="1" si="13"/>
        <v>0</v>
      </c>
      <c r="AI58" s="28">
        <f t="shared" ca="1" si="13"/>
        <v>0</v>
      </c>
      <c r="AJ58" s="28">
        <f t="shared" ca="1" si="13"/>
        <v>0</v>
      </c>
      <c r="AK58" s="28">
        <f t="shared" ca="1" si="13"/>
        <v>0</v>
      </c>
      <c r="AL58" s="28">
        <f t="shared" ca="1" si="13"/>
        <v>0</v>
      </c>
    </row>
    <row r="59" spans="1:38" ht="21" hidden="1" customHeight="1" outlineLevel="1" thickBot="1" x14ac:dyDescent="0.4">
      <c r="A59" s="10">
        <f t="shared" si="9"/>
        <v>1</v>
      </c>
      <c r="B59" s="10">
        <f t="shared" si="9"/>
        <v>0</v>
      </c>
      <c r="C59" s="10">
        <f t="shared" si="9"/>
        <v>0</v>
      </c>
      <c r="D59" s="10">
        <f t="shared" si="9"/>
        <v>0</v>
      </c>
      <c r="E59" s="11" t="str">
        <f t="shared" si="9"/>
        <v>Ar</v>
      </c>
      <c r="F59" s="28">
        <f t="shared" ca="1" si="10"/>
        <v>-18.8</v>
      </c>
      <c r="G59" s="28">
        <f t="shared" ca="1" si="10"/>
        <v>-18.79</v>
      </c>
      <c r="H59" s="28">
        <f t="shared" ca="1" si="10"/>
        <v>-18.8</v>
      </c>
      <c r="I59" s="28">
        <f t="shared" ca="1" si="10"/>
        <v>-18.809999999999999</v>
      </c>
      <c r="J59" s="28">
        <f t="shared" ca="1" si="10"/>
        <v>-18.829999999999998</v>
      </c>
      <c r="K59" s="28">
        <f t="shared" ca="1" si="10"/>
        <v>-18.95</v>
      </c>
      <c r="L59" s="28">
        <f t="shared" ca="1" si="10"/>
        <v>-18.989999999999998</v>
      </c>
      <c r="M59" s="28">
        <f t="shared" ca="1" si="10"/>
        <v>-19.03</v>
      </c>
      <c r="N59" s="28">
        <f t="shared" ca="1" si="10"/>
        <v>-19.07</v>
      </c>
      <c r="O59" s="28">
        <f t="shared" ca="1" si="10"/>
        <v>-19.11</v>
      </c>
      <c r="P59" s="28">
        <f t="shared" ca="1" si="11"/>
        <v>-19.149999999999999</v>
      </c>
      <c r="Q59" s="28">
        <f t="shared" ca="1" si="11"/>
        <v>-19.190000000000001</v>
      </c>
      <c r="R59" s="28">
        <f t="shared" ca="1" si="11"/>
        <v>-19.23</v>
      </c>
      <c r="S59" s="28">
        <f t="shared" ca="1" si="11"/>
        <v>-19.28</v>
      </c>
      <c r="T59" s="28">
        <f t="shared" ca="1" si="11"/>
        <v>-19.440000000000001</v>
      </c>
      <c r="U59" s="28">
        <f t="shared" ca="1" si="11"/>
        <v>-19.489999999999998</v>
      </c>
      <c r="V59" s="28">
        <f t="shared" ca="1" si="11"/>
        <v>-19.53</v>
      </c>
      <c r="W59" s="28">
        <f t="shared" ca="1" si="11"/>
        <v>-19.57</v>
      </c>
      <c r="X59" s="28">
        <f t="shared" ca="1" si="11"/>
        <v>-19.5</v>
      </c>
      <c r="Y59" s="28">
        <f t="shared" ca="1" si="13"/>
        <v>-19.489999999999998</v>
      </c>
      <c r="Z59" s="28">
        <f t="shared" ca="1" si="13"/>
        <v>-19.510000000000002</v>
      </c>
      <c r="AA59" s="28">
        <f t="shared" ca="1" si="13"/>
        <v>-19.55</v>
      </c>
      <c r="AB59" s="28">
        <f t="shared" ca="1" si="13"/>
        <v>-19.59</v>
      </c>
      <c r="AC59" s="28">
        <f t="shared" ca="1" si="13"/>
        <v>-19.739999999999998</v>
      </c>
      <c r="AD59" s="28">
        <f t="shared" ca="1" si="13"/>
        <v>-19.59</v>
      </c>
      <c r="AE59" s="28">
        <f t="shared" ca="1" si="13"/>
        <v>-19.739999999999998</v>
      </c>
      <c r="AF59" s="28">
        <f t="shared" ca="1" si="13"/>
        <v>-19.88</v>
      </c>
      <c r="AG59" s="28">
        <f t="shared" ca="1" si="13"/>
        <v>0</v>
      </c>
      <c r="AH59" s="28">
        <f t="shared" ca="1" si="13"/>
        <v>0</v>
      </c>
      <c r="AI59" s="28">
        <f t="shared" ca="1" si="13"/>
        <v>0</v>
      </c>
      <c r="AJ59" s="28">
        <f t="shared" ca="1" si="13"/>
        <v>0</v>
      </c>
      <c r="AK59" s="28">
        <f t="shared" ca="1" si="13"/>
        <v>0</v>
      </c>
      <c r="AL59" s="28">
        <f t="shared" ca="1" si="13"/>
        <v>0</v>
      </c>
    </row>
    <row r="60" spans="1:38" ht="21" hidden="1" customHeight="1" outlineLevel="1" thickBot="1" x14ac:dyDescent="0.4">
      <c r="A60" s="10">
        <f t="shared" si="9"/>
        <v>0</v>
      </c>
      <c r="B60" s="10">
        <f t="shared" si="9"/>
        <v>0</v>
      </c>
      <c r="C60" s="10">
        <f t="shared" si="9"/>
        <v>0</v>
      </c>
      <c r="D60" s="10">
        <f t="shared" si="9"/>
        <v>1</v>
      </c>
      <c r="E60" s="11" t="str">
        <f t="shared" si="9"/>
        <v>(1)Ga[l]</v>
      </c>
      <c r="F60" s="28">
        <f t="shared" ref="F60:O69" ca="1" si="14">$A60*H.Ar + $B60*H.Se + $C60*H.Ge + $D60*H.Ga</f>
        <v>-66.459999999999994</v>
      </c>
      <c r="G60" s="28">
        <f t="shared" ca="1" si="14"/>
        <v>-62.25</v>
      </c>
      <c r="H60" s="28">
        <f t="shared" ca="1" si="14"/>
        <v>-58.6</v>
      </c>
      <c r="I60" s="28">
        <f t="shared" ca="1" si="14"/>
        <v>-55.41</v>
      </c>
      <c r="J60" s="28">
        <f t="shared" ca="1" si="14"/>
        <v>-51.62</v>
      </c>
      <c r="K60" s="28">
        <f t="shared" ca="1" si="14"/>
        <v>-37.26</v>
      </c>
      <c r="L60" s="28">
        <f t="shared" ca="1" si="14"/>
        <v>-34.4</v>
      </c>
      <c r="M60" s="28">
        <f t="shared" ca="1" si="14"/>
        <v>-31.76</v>
      </c>
      <c r="N60" s="28">
        <f t="shared" ca="1" si="14"/>
        <v>-29.31</v>
      </c>
      <c r="O60" s="28">
        <f t="shared" ca="1" si="14"/>
        <v>-27.03</v>
      </c>
      <c r="P60" s="28">
        <f t="shared" ref="P60:AE69" ca="1" si="15">$A60*H.Ar + $B60*H.Se + $C60*H.Ge + $D60*H.Ga</f>
        <v>-24.9</v>
      </c>
      <c r="Q60" s="28">
        <f t="shared" ca="1" si="15"/>
        <v>-22.91</v>
      </c>
      <c r="R60" s="28">
        <f t="shared" ca="1" si="15"/>
        <v>-21.04</v>
      </c>
      <c r="S60" s="28">
        <f t="shared" ca="1" si="15"/>
        <v>-19.28</v>
      </c>
      <c r="T60" s="28">
        <f t="shared" ca="1" si="15"/>
        <v>-13.14</v>
      </c>
      <c r="U60" s="28">
        <f t="shared" ca="1" si="15"/>
        <v>-11.8</v>
      </c>
      <c r="V60" s="28">
        <f t="shared" ca="1" si="15"/>
        <v>-10.52</v>
      </c>
      <c r="W60" s="28">
        <f t="shared" ca="1" si="15"/>
        <v>-9.2940000000000005</v>
      </c>
      <c r="X60" s="28">
        <f t="shared" ca="1" si="15"/>
        <v>-8.5370000000000008</v>
      </c>
      <c r="Y60" s="28">
        <f t="shared" ca="1" si="15"/>
        <v>-8.0269999999999992</v>
      </c>
      <c r="Z60" s="28">
        <f t="shared" ca="1" si="15"/>
        <v>-7.617</v>
      </c>
      <c r="AA60" s="28">
        <f t="shared" ca="1" si="15"/>
        <v>-7.7149999999999999</v>
      </c>
      <c r="AB60" s="28">
        <f t="shared" ca="1" si="15"/>
        <v>-7.8150000000000004</v>
      </c>
      <c r="AC60" s="28">
        <f t="shared" ca="1" si="15"/>
        <v>-8.2360000000000007</v>
      </c>
      <c r="AD60" s="28">
        <f t="shared" ca="1" si="15"/>
        <v>-7.8150000000000004</v>
      </c>
      <c r="AE60" s="28">
        <f t="shared" ca="1" si="15"/>
        <v>-8.2360000000000007</v>
      </c>
      <c r="AF60" s="28">
        <f t="shared" ca="1" si="13"/>
        <v>-8.7249999999999996</v>
      </c>
      <c r="AG60" s="28">
        <f t="shared" ca="1" si="13"/>
        <v>0</v>
      </c>
      <c r="AH60" s="28">
        <f t="shared" ca="1" si="13"/>
        <v>0</v>
      </c>
      <c r="AI60" s="28">
        <f t="shared" ca="1" si="13"/>
        <v>0</v>
      </c>
      <c r="AJ60" s="28">
        <f t="shared" ca="1" si="13"/>
        <v>0</v>
      </c>
      <c r="AK60" s="28">
        <f t="shared" ca="1" si="13"/>
        <v>0</v>
      </c>
      <c r="AL60" s="28">
        <f t="shared" ca="1" si="13"/>
        <v>0</v>
      </c>
    </row>
    <row r="61" spans="1:38" ht="21" hidden="1" customHeight="1" outlineLevel="1" thickBot="1" x14ac:dyDescent="0.4">
      <c r="A61" s="10">
        <f t="shared" si="9"/>
        <v>0</v>
      </c>
      <c r="B61" s="10">
        <f t="shared" si="9"/>
        <v>0</v>
      </c>
      <c r="C61" s="10">
        <f t="shared" si="9"/>
        <v>1</v>
      </c>
      <c r="D61" s="10">
        <f t="shared" si="9"/>
        <v>0</v>
      </c>
      <c r="E61" s="11" t="str">
        <f t="shared" si="9"/>
        <v>(1)Ge[l]</v>
      </c>
      <c r="F61" s="28">
        <f t="shared" ca="1" si="14"/>
        <v>-16.29</v>
      </c>
      <c r="G61" s="28">
        <f t="shared" ca="1" si="14"/>
        <v>-15.52</v>
      </c>
      <c r="H61" s="28">
        <f t="shared" ca="1" si="14"/>
        <v>-14.86</v>
      </c>
      <c r="I61" s="28">
        <f t="shared" ca="1" si="14"/>
        <v>-14.3</v>
      </c>
      <c r="J61" s="28">
        <f t="shared" ca="1" si="14"/>
        <v>-13.17</v>
      </c>
      <c r="K61" s="28">
        <f t="shared" ca="1" si="14"/>
        <v>-7.9130000000000003</v>
      </c>
      <c r="L61" s="28">
        <f t="shared" ca="1" si="14"/>
        <v>-6.851</v>
      </c>
      <c r="M61" s="28">
        <f t="shared" ca="1" si="14"/>
        <v>-5.867</v>
      </c>
      <c r="N61" s="28">
        <f t="shared" ca="1" si="14"/>
        <v>-4.9489999999999998</v>
      </c>
      <c r="O61" s="28">
        <f t="shared" ca="1" si="14"/>
        <v>-4.0979999999999999</v>
      </c>
      <c r="P61" s="28">
        <f t="shared" ca="1" si="15"/>
        <v>-4.1500000000000004</v>
      </c>
      <c r="Q61" s="28">
        <f t="shared" ca="1" si="15"/>
        <v>-4.2</v>
      </c>
      <c r="R61" s="28">
        <f t="shared" ca="1" si="15"/>
        <v>-4.2489999999999997</v>
      </c>
      <c r="S61" s="28">
        <f t="shared" ca="1" si="15"/>
        <v>-4.2990000000000004</v>
      </c>
      <c r="T61" s="28">
        <f t="shared" ca="1" si="15"/>
        <v>-4.4989999999999997</v>
      </c>
      <c r="U61" s="28">
        <f t="shared" ca="1" si="15"/>
        <v>-4.5490000000000004</v>
      </c>
      <c r="V61" s="28">
        <f t="shared" ca="1" si="15"/>
        <v>-4.5979999999999999</v>
      </c>
      <c r="W61" s="28">
        <f t="shared" ca="1" si="15"/>
        <v>-4.6470000000000002</v>
      </c>
      <c r="X61" s="28">
        <f t="shared" ca="1" si="15"/>
        <v>-4.6959999999999997</v>
      </c>
      <c r="Y61" s="28">
        <f t="shared" ca="1" si="13"/>
        <v>-4.7439999999999998</v>
      </c>
      <c r="Z61" s="28">
        <f t="shared" ca="1" si="13"/>
        <v>-4.7919999999999998</v>
      </c>
      <c r="AA61" s="28">
        <f t="shared" ca="1" si="13"/>
        <v>-4.84</v>
      </c>
      <c r="AB61" s="28">
        <f t="shared" ca="1" si="13"/>
        <v>-4.8869999999999996</v>
      </c>
      <c r="AC61" s="28">
        <f t="shared" ca="1" si="13"/>
        <v>-5.0709999999999997</v>
      </c>
      <c r="AD61" s="28">
        <f t="shared" ca="1" si="13"/>
        <v>-4.8869999999999996</v>
      </c>
      <c r="AE61" s="28">
        <f t="shared" ca="1" si="13"/>
        <v>-5.0709999999999997</v>
      </c>
      <c r="AF61" s="28">
        <f t="shared" ca="1" si="13"/>
        <v>-5.2489999999999997</v>
      </c>
      <c r="AG61" s="28">
        <f t="shared" ca="1" si="13"/>
        <v>0</v>
      </c>
      <c r="AH61" s="28">
        <f t="shared" ca="1" si="13"/>
        <v>0</v>
      </c>
      <c r="AI61" s="28">
        <f t="shared" ca="1" si="13"/>
        <v>0</v>
      </c>
      <c r="AJ61" s="28">
        <f t="shared" ca="1" si="13"/>
        <v>0</v>
      </c>
      <c r="AK61" s="28">
        <f t="shared" ca="1" si="13"/>
        <v>0</v>
      </c>
      <c r="AL61" s="28">
        <f t="shared" ca="1" si="13"/>
        <v>0</v>
      </c>
    </row>
    <row r="62" spans="1:38" ht="21" hidden="1" customHeight="1" outlineLevel="1" thickBot="1" x14ac:dyDescent="0.4">
      <c r="A62" s="10">
        <f t="shared" si="9"/>
        <v>1</v>
      </c>
      <c r="B62" s="10">
        <f t="shared" si="9"/>
        <v>0</v>
      </c>
      <c r="C62" s="10">
        <f t="shared" si="9"/>
        <v>0</v>
      </c>
      <c r="D62" s="10">
        <f t="shared" si="9"/>
        <v>0</v>
      </c>
      <c r="E62" s="11" t="str">
        <f t="shared" si="9"/>
        <v>H (Ar)</v>
      </c>
      <c r="F62" s="28">
        <f t="shared" ca="1" si="14"/>
        <v>-18.8</v>
      </c>
      <c r="G62" s="28">
        <f t="shared" ca="1" si="14"/>
        <v>-18.79</v>
      </c>
      <c r="H62" s="28">
        <f t="shared" ca="1" si="14"/>
        <v>-18.8</v>
      </c>
      <c r="I62" s="28">
        <f t="shared" ca="1" si="14"/>
        <v>-18.809999999999999</v>
      </c>
      <c r="J62" s="28">
        <f t="shared" ca="1" si="14"/>
        <v>-18.829999999999998</v>
      </c>
      <c r="K62" s="28">
        <f t="shared" ca="1" si="14"/>
        <v>-18.95</v>
      </c>
      <c r="L62" s="28">
        <f t="shared" ca="1" si="14"/>
        <v>-18.989999999999998</v>
      </c>
      <c r="M62" s="28">
        <f t="shared" ca="1" si="14"/>
        <v>-19.03</v>
      </c>
      <c r="N62" s="28">
        <f t="shared" ca="1" si="14"/>
        <v>-19.07</v>
      </c>
      <c r="O62" s="28">
        <f t="shared" ca="1" si="14"/>
        <v>-19.11</v>
      </c>
      <c r="P62" s="28">
        <f t="shared" ca="1" si="15"/>
        <v>-19.149999999999999</v>
      </c>
      <c r="Q62" s="28">
        <f t="shared" ca="1" si="15"/>
        <v>-19.190000000000001</v>
      </c>
      <c r="R62" s="28">
        <f t="shared" ca="1" si="15"/>
        <v>-19.23</v>
      </c>
      <c r="S62" s="28">
        <f t="shared" ca="1" si="15"/>
        <v>-19.28</v>
      </c>
      <c r="T62" s="28">
        <f t="shared" ca="1" si="15"/>
        <v>-19.440000000000001</v>
      </c>
      <c r="U62" s="28">
        <f t="shared" ca="1" si="15"/>
        <v>-19.489999999999998</v>
      </c>
      <c r="V62" s="28">
        <f t="shared" ca="1" si="15"/>
        <v>-19.53</v>
      </c>
      <c r="W62" s="28">
        <f t="shared" ca="1" si="15"/>
        <v>-19.57</v>
      </c>
      <c r="X62" s="28">
        <f t="shared" ca="1" si="15"/>
        <v>-19.5</v>
      </c>
      <c r="Y62" s="28">
        <f t="shared" ca="1" si="13"/>
        <v>-19.489999999999998</v>
      </c>
      <c r="Z62" s="28">
        <f t="shared" ca="1" si="13"/>
        <v>-19.510000000000002</v>
      </c>
      <c r="AA62" s="28">
        <f t="shared" ca="1" si="13"/>
        <v>-19.55</v>
      </c>
      <c r="AB62" s="28">
        <f t="shared" ca="1" si="13"/>
        <v>-19.59</v>
      </c>
      <c r="AC62" s="28">
        <f t="shared" ca="1" si="13"/>
        <v>-19.739999999999998</v>
      </c>
      <c r="AD62" s="28">
        <f t="shared" ca="1" si="13"/>
        <v>-19.59</v>
      </c>
      <c r="AE62" s="28">
        <f t="shared" ca="1" si="13"/>
        <v>-19.739999999999998</v>
      </c>
      <c r="AF62" s="28">
        <f t="shared" ca="1" si="13"/>
        <v>-19.88</v>
      </c>
      <c r="AG62" s="28">
        <f t="shared" ca="1" si="13"/>
        <v>0</v>
      </c>
      <c r="AH62" s="28">
        <f t="shared" ca="1" si="13"/>
        <v>0</v>
      </c>
      <c r="AI62" s="28">
        <f t="shared" ca="1" si="13"/>
        <v>0</v>
      </c>
      <c r="AJ62" s="28">
        <f t="shared" ca="1" si="13"/>
        <v>0</v>
      </c>
      <c r="AK62" s="28">
        <f t="shared" ca="1" si="13"/>
        <v>0</v>
      </c>
      <c r="AL62" s="28">
        <f t="shared" ca="1" si="13"/>
        <v>0</v>
      </c>
    </row>
    <row r="63" spans="1:38" ht="21" hidden="1" customHeight="1" outlineLevel="1" thickBot="1" x14ac:dyDescent="0.4">
      <c r="A63" s="10">
        <f t="shared" si="9"/>
        <v>0</v>
      </c>
      <c r="B63" s="10">
        <f t="shared" si="9"/>
        <v>0</v>
      </c>
      <c r="C63" s="10">
        <f t="shared" si="9"/>
        <v>0</v>
      </c>
      <c r="D63" s="10">
        <f t="shared" si="9"/>
        <v>1</v>
      </c>
      <c r="E63" s="11" t="str">
        <f t="shared" si="9"/>
        <v>H (Ga)</v>
      </c>
      <c r="F63" s="28">
        <f t="shared" ca="1" si="14"/>
        <v>-66.459999999999994</v>
      </c>
      <c r="G63" s="28">
        <f t="shared" ca="1" si="14"/>
        <v>-62.25</v>
      </c>
      <c r="H63" s="28">
        <f t="shared" ca="1" si="14"/>
        <v>-58.6</v>
      </c>
      <c r="I63" s="28">
        <f t="shared" ca="1" si="14"/>
        <v>-55.41</v>
      </c>
      <c r="J63" s="28">
        <f t="shared" ca="1" si="14"/>
        <v>-51.62</v>
      </c>
      <c r="K63" s="28">
        <f t="shared" ca="1" si="14"/>
        <v>-37.26</v>
      </c>
      <c r="L63" s="28">
        <f t="shared" ca="1" si="14"/>
        <v>-34.4</v>
      </c>
      <c r="M63" s="28">
        <f t="shared" ca="1" si="14"/>
        <v>-31.76</v>
      </c>
      <c r="N63" s="28">
        <f t="shared" ca="1" si="14"/>
        <v>-29.31</v>
      </c>
      <c r="O63" s="28">
        <f t="shared" ca="1" si="14"/>
        <v>-27.03</v>
      </c>
      <c r="P63" s="28">
        <f t="shared" ca="1" si="15"/>
        <v>-24.9</v>
      </c>
      <c r="Q63" s="28">
        <f t="shared" ca="1" si="15"/>
        <v>-22.91</v>
      </c>
      <c r="R63" s="28">
        <f t="shared" ca="1" si="15"/>
        <v>-21.04</v>
      </c>
      <c r="S63" s="28">
        <f t="shared" ca="1" si="15"/>
        <v>-19.28</v>
      </c>
      <c r="T63" s="28">
        <f t="shared" ca="1" si="15"/>
        <v>-13.14</v>
      </c>
      <c r="U63" s="28">
        <f t="shared" ca="1" si="15"/>
        <v>-11.8</v>
      </c>
      <c r="V63" s="28">
        <f t="shared" ca="1" si="15"/>
        <v>-10.52</v>
      </c>
      <c r="W63" s="28">
        <f t="shared" ca="1" si="15"/>
        <v>-9.2940000000000005</v>
      </c>
      <c r="X63" s="28">
        <f t="shared" ca="1" si="15"/>
        <v>-8.5370000000000008</v>
      </c>
      <c r="Y63" s="28">
        <f t="shared" ca="1" si="13"/>
        <v>-8.0269999999999992</v>
      </c>
      <c r="Z63" s="28">
        <f t="shared" ca="1" si="13"/>
        <v>-7.617</v>
      </c>
      <c r="AA63" s="28">
        <f t="shared" ca="1" si="13"/>
        <v>-7.7149999999999999</v>
      </c>
      <c r="AB63" s="28">
        <f t="shared" ca="1" si="13"/>
        <v>-7.8150000000000004</v>
      </c>
      <c r="AC63" s="28">
        <f t="shared" ca="1" si="13"/>
        <v>-8.2360000000000007</v>
      </c>
      <c r="AD63" s="28">
        <f t="shared" ca="1" si="13"/>
        <v>-7.8150000000000004</v>
      </c>
      <c r="AE63" s="28">
        <f t="shared" ca="1" si="13"/>
        <v>-8.2360000000000007</v>
      </c>
      <c r="AF63" s="28">
        <f t="shared" ca="1" si="13"/>
        <v>-8.7249999999999996</v>
      </c>
      <c r="AG63" s="28">
        <f t="shared" ca="1" si="13"/>
        <v>0</v>
      </c>
      <c r="AH63" s="28">
        <f t="shared" ca="1" si="13"/>
        <v>0</v>
      </c>
      <c r="AI63" s="28">
        <f t="shared" ca="1" si="13"/>
        <v>0</v>
      </c>
      <c r="AJ63" s="28">
        <f t="shared" ca="1" si="13"/>
        <v>0</v>
      </c>
      <c r="AK63" s="28">
        <f t="shared" ca="1" si="13"/>
        <v>0</v>
      </c>
      <c r="AL63" s="28">
        <f t="shared" ca="1" si="13"/>
        <v>0</v>
      </c>
    </row>
    <row r="64" spans="1:38" ht="21" hidden="1" customHeight="1" outlineLevel="1" thickBot="1" x14ac:dyDescent="0.4">
      <c r="A64" s="10">
        <f t="shared" si="9"/>
        <v>0</v>
      </c>
      <c r="B64" s="10">
        <f t="shared" si="9"/>
        <v>0</v>
      </c>
      <c r="C64" s="10">
        <f t="shared" si="9"/>
        <v>1</v>
      </c>
      <c r="D64" s="10">
        <f t="shared" si="9"/>
        <v>0</v>
      </c>
      <c r="E64" s="11" t="str">
        <f t="shared" si="9"/>
        <v>H (Ge)</v>
      </c>
      <c r="F64" s="28">
        <f t="shared" ca="1" si="14"/>
        <v>-16.29</v>
      </c>
      <c r="G64" s="28">
        <f t="shared" ca="1" si="14"/>
        <v>-15.52</v>
      </c>
      <c r="H64" s="28">
        <f t="shared" ca="1" si="14"/>
        <v>-14.86</v>
      </c>
      <c r="I64" s="28">
        <f t="shared" ca="1" si="14"/>
        <v>-14.3</v>
      </c>
      <c r="J64" s="28">
        <f t="shared" ca="1" si="14"/>
        <v>-13.17</v>
      </c>
      <c r="K64" s="28">
        <f t="shared" ca="1" si="14"/>
        <v>-7.9130000000000003</v>
      </c>
      <c r="L64" s="28">
        <f t="shared" ca="1" si="14"/>
        <v>-6.851</v>
      </c>
      <c r="M64" s="28">
        <f t="shared" ca="1" si="14"/>
        <v>-5.867</v>
      </c>
      <c r="N64" s="28">
        <f t="shared" ca="1" si="14"/>
        <v>-4.9489999999999998</v>
      </c>
      <c r="O64" s="28">
        <f t="shared" ca="1" si="14"/>
        <v>-4.0979999999999999</v>
      </c>
      <c r="P64" s="28">
        <f t="shared" ca="1" si="15"/>
        <v>-4.1500000000000004</v>
      </c>
      <c r="Q64" s="28">
        <f t="shared" ca="1" si="15"/>
        <v>-4.2</v>
      </c>
      <c r="R64" s="28">
        <f t="shared" ca="1" si="15"/>
        <v>-4.2489999999999997</v>
      </c>
      <c r="S64" s="28">
        <f t="shared" ca="1" si="15"/>
        <v>-4.2990000000000004</v>
      </c>
      <c r="T64" s="28">
        <f t="shared" ca="1" si="15"/>
        <v>-4.4989999999999997</v>
      </c>
      <c r="U64" s="28">
        <f t="shared" ca="1" si="15"/>
        <v>-4.5490000000000004</v>
      </c>
      <c r="V64" s="28">
        <f t="shared" ca="1" si="15"/>
        <v>-4.5979999999999999</v>
      </c>
      <c r="W64" s="28">
        <f t="shared" ca="1" si="15"/>
        <v>-4.6470000000000002</v>
      </c>
      <c r="X64" s="28">
        <f t="shared" ca="1" si="15"/>
        <v>-4.6959999999999997</v>
      </c>
      <c r="Y64" s="28">
        <f t="shared" ca="1" si="13"/>
        <v>-4.7439999999999998</v>
      </c>
      <c r="Z64" s="28">
        <f t="shared" ca="1" si="13"/>
        <v>-4.7919999999999998</v>
      </c>
      <c r="AA64" s="28">
        <f t="shared" ca="1" si="13"/>
        <v>-4.84</v>
      </c>
      <c r="AB64" s="28">
        <f t="shared" ca="1" si="13"/>
        <v>-4.8869999999999996</v>
      </c>
      <c r="AC64" s="28">
        <f t="shared" ca="1" si="13"/>
        <v>-5.0709999999999997</v>
      </c>
      <c r="AD64" s="28">
        <f t="shared" ca="1" si="13"/>
        <v>-4.8869999999999996</v>
      </c>
      <c r="AE64" s="28">
        <f t="shared" ca="1" si="13"/>
        <v>-5.0709999999999997</v>
      </c>
      <c r="AF64" s="28">
        <f t="shared" ca="1" si="13"/>
        <v>-5.2489999999999997</v>
      </c>
      <c r="AG64" s="28">
        <f t="shared" ca="1" si="13"/>
        <v>0</v>
      </c>
      <c r="AH64" s="28">
        <f t="shared" ca="1" si="13"/>
        <v>0</v>
      </c>
      <c r="AI64" s="28">
        <f t="shared" ca="1" si="13"/>
        <v>0</v>
      </c>
      <c r="AJ64" s="28">
        <f t="shared" ca="1" si="13"/>
        <v>0</v>
      </c>
      <c r="AK64" s="28">
        <f t="shared" ca="1" si="13"/>
        <v>0</v>
      </c>
      <c r="AL64" s="28">
        <f t="shared" ca="1" si="13"/>
        <v>0</v>
      </c>
    </row>
    <row r="65" spans="1:38" ht="21" hidden="1" customHeight="1" outlineLevel="1" thickBot="1" x14ac:dyDescent="0.4">
      <c r="A65" s="10">
        <f t="shared" si="9"/>
        <v>0</v>
      </c>
      <c r="B65" s="10">
        <f t="shared" si="9"/>
        <v>1</v>
      </c>
      <c r="C65" s="10">
        <f t="shared" si="9"/>
        <v>0</v>
      </c>
      <c r="D65" s="10">
        <f t="shared" si="9"/>
        <v>0</v>
      </c>
      <c r="E65" s="11" t="str">
        <f t="shared" si="9"/>
        <v>H (Se)</v>
      </c>
      <c r="F65" s="28">
        <f t="shared" ca="1" si="14"/>
        <v>-23.52</v>
      </c>
      <c r="G65" s="28">
        <f t="shared" ca="1" si="14"/>
        <v>-22.18</v>
      </c>
      <c r="H65" s="28">
        <f t="shared" ca="1" si="14"/>
        <v>-21.02</v>
      </c>
      <c r="I65" s="28">
        <f t="shared" ca="1" si="14"/>
        <v>-20.010000000000002</v>
      </c>
      <c r="J65" s="28">
        <f t="shared" ca="1" si="14"/>
        <v>-19.77</v>
      </c>
      <c r="K65" s="28">
        <f t="shared" ca="1" si="14"/>
        <v>-20.97</v>
      </c>
      <c r="L65" s="28">
        <f t="shared" ca="1" si="14"/>
        <v>-21.27</v>
      </c>
      <c r="M65" s="28">
        <f t="shared" ca="1" si="14"/>
        <v>-21.58</v>
      </c>
      <c r="N65" s="28">
        <f t="shared" ca="1" si="14"/>
        <v>-21.88</v>
      </c>
      <c r="O65" s="28">
        <f t="shared" ca="1" si="14"/>
        <v>-22.18</v>
      </c>
      <c r="P65" s="28">
        <f t="shared" ca="1" si="15"/>
        <v>-22.49</v>
      </c>
      <c r="Q65" s="28">
        <f t="shared" ca="1" si="15"/>
        <v>-22.79</v>
      </c>
      <c r="R65" s="28">
        <f t="shared" ca="1" si="15"/>
        <v>-23.08</v>
      </c>
      <c r="S65" s="28">
        <f t="shared" ca="1" si="15"/>
        <v>-23.37</v>
      </c>
      <c r="T65" s="28">
        <f t="shared" ca="1" si="15"/>
        <v>-24.51</v>
      </c>
      <c r="U65" s="28">
        <f t="shared" ca="1" si="15"/>
        <v>-24.79</v>
      </c>
      <c r="V65" s="28">
        <f t="shared" ca="1" si="15"/>
        <v>-25.06</v>
      </c>
      <c r="W65" s="28">
        <f t="shared" ca="1" si="15"/>
        <v>-25.33</v>
      </c>
      <c r="X65" s="28">
        <f t="shared" ca="1" si="15"/>
        <v>-25.6</v>
      </c>
      <c r="Y65" s="28">
        <f t="shared" ca="1" si="13"/>
        <v>-25.87</v>
      </c>
      <c r="Z65" s="28">
        <f t="shared" ca="1" si="13"/>
        <v>-26.13</v>
      </c>
      <c r="AA65" s="28">
        <f t="shared" ca="1" si="13"/>
        <v>-26.39</v>
      </c>
      <c r="AB65" s="28">
        <f t="shared" ca="1" si="13"/>
        <v>-26.65</v>
      </c>
      <c r="AC65" s="28">
        <f t="shared" ca="1" si="13"/>
        <v>-27.65</v>
      </c>
      <c r="AD65" s="28">
        <f t="shared" ca="1" si="13"/>
        <v>-26.65</v>
      </c>
      <c r="AE65" s="28">
        <f t="shared" ca="1" si="13"/>
        <v>-27.65</v>
      </c>
      <c r="AF65" s="28">
        <f t="shared" ca="1" si="13"/>
        <v>-28.62</v>
      </c>
      <c r="AG65" s="28">
        <f t="shared" ca="1" si="13"/>
        <v>0</v>
      </c>
      <c r="AH65" s="28">
        <f t="shared" ca="1" si="13"/>
        <v>0</v>
      </c>
      <c r="AI65" s="28">
        <f t="shared" ca="1" si="13"/>
        <v>0</v>
      </c>
      <c r="AJ65" s="28">
        <f t="shared" ca="1" si="13"/>
        <v>0</v>
      </c>
      <c r="AK65" s="28">
        <f t="shared" ca="1" si="13"/>
        <v>0</v>
      </c>
      <c r="AL65" s="28">
        <f t="shared" ca="1" si="13"/>
        <v>0</v>
      </c>
    </row>
    <row r="66" spans="1:38" ht="21" hidden="1" customHeight="1" outlineLevel="1" thickBot="1" x14ac:dyDescent="0.4">
      <c r="A66" s="10">
        <f t="shared" ref="A66:E79" si="16">A20</f>
        <v>0</v>
      </c>
      <c r="B66" s="10">
        <f t="shared" si="16"/>
        <v>0</v>
      </c>
      <c r="C66" s="10">
        <f t="shared" si="16"/>
        <v>0</v>
      </c>
      <c r="D66" s="10">
        <f t="shared" si="16"/>
        <v>0</v>
      </c>
      <c r="E66" s="11">
        <f t="shared" si="16"/>
        <v>0</v>
      </c>
      <c r="F66" s="28">
        <f t="shared" ca="1" si="14"/>
        <v>0</v>
      </c>
      <c r="G66" s="28">
        <f t="shared" ca="1" si="14"/>
        <v>0</v>
      </c>
      <c r="H66" s="28">
        <f t="shared" ca="1" si="14"/>
        <v>0</v>
      </c>
      <c r="I66" s="28">
        <f t="shared" ca="1" si="14"/>
        <v>0</v>
      </c>
      <c r="J66" s="28">
        <f t="shared" ca="1" si="14"/>
        <v>0</v>
      </c>
      <c r="K66" s="28">
        <f t="shared" ca="1" si="14"/>
        <v>0</v>
      </c>
      <c r="L66" s="28">
        <f t="shared" ca="1" si="14"/>
        <v>0</v>
      </c>
      <c r="M66" s="28">
        <f t="shared" ca="1" si="14"/>
        <v>0</v>
      </c>
      <c r="N66" s="28">
        <f t="shared" ca="1" si="14"/>
        <v>0</v>
      </c>
      <c r="O66" s="28">
        <f t="shared" ca="1" si="14"/>
        <v>0</v>
      </c>
      <c r="P66" s="28">
        <f t="shared" ca="1" si="15"/>
        <v>0</v>
      </c>
      <c r="Q66" s="28">
        <f t="shared" ca="1" si="15"/>
        <v>0</v>
      </c>
      <c r="R66" s="28">
        <f t="shared" ca="1" si="15"/>
        <v>0</v>
      </c>
      <c r="S66" s="28">
        <f t="shared" ca="1" si="15"/>
        <v>0</v>
      </c>
      <c r="T66" s="28">
        <f t="shared" ca="1" si="15"/>
        <v>0</v>
      </c>
      <c r="U66" s="28">
        <f t="shared" ca="1" si="15"/>
        <v>0</v>
      </c>
      <c r="V66" s="28">
        <f t="shared" ca="1" si="15"/>
        <v>0</v>
      </c>
      <c r="W66" s="28">
        <f t="shared" ca="1" si="15"/>
        <v>0</v>
      </c>
      <c r="X66" s="28">
        <f t="shared" ca="1" si="15"/>
        <v>0</v>
      </c>
      <c r="Y66" s="28">
        <f t="shared" ref="Y66:AL78" ca="1" si="17">$A66*H.Ar + $B66*H.Se + $C66*H.Ge + $D66*H.Ga</f>
        <v>0</v>
      </c>
      <c r="Z66" s="28">
        <f t="shared" ca="1" si="17"/>
        <v>0</v>
      </c>
      <c r="AA66" s="28">
        <f t="shared" ca="1" si="17"/>
        <v>0</v>
      </c>
      <c r="AB66" s="28">
        <f t="shared" ca="1" si="17"/>
        <v>0</v>
      </c>
      <c r="AC66" s="28">
        <f t="shared" ca="1" si="17"/>
        <v>0</v>
      </c>
      <c r="AD66" s="28">
        <f t="shared" ca="1" si="17"/>
        <v>0</v>
      </c>
      <c r="AE66" s="28">
        <f t="shared" ca="1" si="17"/>
        <v>0</v>
      </c>
      <c r="AF66" s="28">
        <f t="shared" ca="1" si="17"/>
        <v>0</v>
      </c>
      <c r="AG66" s="28">
        <f t="shared" ca="1" si="17"/>
        <v>0</v>
      </c>
      <c r="AH66" s="28">
        <f t="shared" ca="1" si="17"/>
        <v>0</v>
      </c>
      <c r="AI66" s="28">
        <f t="shared" ca="1" si="17"/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6"/>
        <v>0</v>
      </c>
      <c r="B67" s="10">
        <f t="shared" si="16"/>
        <v>0</v>
      </c>
      <c r="C67" s="10">
        <f t="shared" si="16"/>
        <v>0</v>
      </c>
      <c r="D67" s="10">
        <f t="shared" si="16"/>
        <v>0</v>
      </c>
      <c r="E67" s="11">
        <f t="shared" si="16"/>
        <v>0</v>
      </c>
      <c r="F67" s="28">
        <f t="shared" ca="1" si="14"/>
        <v>0</v>
      </c>
      <c r="G67" s="28">
        <f t="shared" ca="1" si="14"/>
        <v>0</v>
      </c>
      <c r="H67" s="28">
        <f t="shared" ca="1" si="14"/>
        <v>0</v>
      </c>
      <c r="I67" s="28">
        <f t="shared" ca="1" si="14"/>
        <v>0</v>
      </c>
      <c r="J67" s="28">
        <f t="shared" ca="1" si="14"/>
        <v>0</v>
      </c>
      <c r="K67" s="28">
        <f t="shared" ca="1" si="14"/>
        <v>0</v>
      </c>
      <c r="L67" s="28">
        <f t="shared" ca="1" si="14"/>
        <v>0</v>
      </c>
      <c r="M67" s="28">
        <f t="shared" ca="1" si="14"/>
        <v>0</v>
      </c>
      <c r="N67" s="28">
        <f t="shared" ca="1" si="14"/>
        <v>0</v>
      </c>
      <c r="O67" s="28">
        <f t="shared" ca="1" si="14"/>
        <v>0</v>
      </c>
      <c r="P67" s="28">
        <f t="shared" ca="1" si="15"/>
        <v>0</v>
      </c>
      <c r="Q67" s="28">
        <f t="shared" ca="1" si="15"/>
        <v>0</v>
      </c>
      <c r="R67" s="28">
        <f t="shared" ca="1" si="15"/>
        <v>0</v>
      </c>
      <c r="S67" s="28">
        <f t="shared" ca="1" si="15"/>
        <v>0</v>
      </c>
      <c r="T67" s="28">
        <f t="shared" ca="1" si="15"/>
        <v>0</v>
      </c>
      <c r="U67" s="28">
        <f t="shared" ca="1" si="15"/>
        <v>0</v>
      </c>
      <c r="V67" s="28">
        <f t="shared" ca="1" si="15"/>
        <v>0</v>
      </c>
      <c r="W67" s="28">
        <f t="shared" ca="1" si="15"/>
        <v>0</v>
      </c>
      <c r="X67" s="28">
        <f t="shared" ca="1" si="15"/>
        <v>0</v>
      </c>
      <c r="Y67" s="28">
        <f t="shared" ca="1" si="17"/>
        <v>0</v>
      </c>
      <c r="Z67" s="28">
        <f t="shared" ca="1" si="17"/>
        <v>0</v>
      </c>
      <c r="AA67" s="28">
        <f t="shared" ca="1" si="17"/>
        <v>0</v>
      </c>
      <c r="AB67" s="28">
        <f t="shared" ca="1" si="17"/>
        <v>0</v>
      </c>
      <c r="AC67" s="28">
        <f t="shared" ca="1" si="17"/>
        <v>0</v>
      </c>
      <c r="AD67" s="28">
        <f t="shared" ca="1" si="17"/>
        <v>0</v>
      </c>
      <c r="AE67" s="28">
        <f t="shared" ca="1" si="17"/>
        <v>0</v>
      </c>
      <c r="AF67" s="28">
        <f t="shared" ca="1" si="17"/>
        <v>0</v>
      </c>
      <c r="AG67" s="28">
        <f t="shared" ca="1" si="17"/>
        <v>0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6"/>
        <v>0</v>
      </c>
      <c r="B68" s="10">
        <f t="shared" si="16"/>
        <v>0</v>
      </c>
      <c r="C68" s="10">
        <f t="shared" si="16"/>
        <v>0</v>
      </c>
      <c r="D68" s="10">
        <f t="shared" si="16"/>
        <v>0</v>
      </c>
      <c r="E68" s="11">
        <f t="shared" si="16"/>
        <v>0</v>
      </c>
      <c r="F68" s="28">
        <f t="shared" ca="1" si="14"/>
        <v>0</v>
      </c>
      <c r="G68" s="28">
        <f t="shared" ca="1" si="14"/>
        <v>0</v>
      </c>
      <c r="H68" s="28">
        <f t="shared" ca="1" si="14"/>
        <v>0</v>
      </c>
      <c r="I68" s="28">
        <f t="shared" ca="1" si="14"/>
        <v>0</v>
      </c>
      <c r="J68" s="28">
        <f t="shared" ca="1" si="14"/>
        <v>0</v>
      </c>
      <c r="K68" s="28">
        <f t="shared" ca="1" si="14"/>
        <v>0</v>
      </c>
      <c r="L68" s="28">
        <f t="shared" ca="1" si="14"/>
        <v>0</v>
      </c>
      <c r="M68" s="28">
        <f t="shared" ca="1" si="14"/>
        <v>0</v>
      </c>
      <c r="N68" s="28">
        <f t="shared" ca="1" si="14"/>
        <v>0</v>
      </c>
      <c r="O68" s="28">
        <f t="shared" ca="1" si="14"/>
        <v>0</v>
      </c>
      <c r="P68" s="28">
        <f t="shared" ca="1" si="15"/>
        <v>0</v>
      </c>
      <c r="Q68" s="28">
        <f t="shared" ca="1" si="15"/>
        <v>0</v>
      </c>
      <c r="R68" s="28">
        <f t="shared" ca="1" si="15"/>
        <v>0</v>
      </c>
      <c r="S68" s="28">
        <f t="shared" ca="1" si="15"/>
        <v>0</v>
      </c>
      <c r="T68" s="28">
        <f t="shared" ca="1" si="15"/>
        <v>0</v>
      </c>
      <c r="U68" s="28">
        <f t="shared" ca="1" si="15"/>
        <v>0</v>
      </c>
      <c r="V68" s="28">
        <f t="shared" ca="1" si="15"/>
        <v>0</v>
      </c>
      <c r="W68" s="28">
        <f t="shared" ca="1" si="15"/>
        <v>0</v>
      </c>
      <c r="X68" s="28">
        <f t="shared" ca="1" si="15"/>
        <v>0</v>
      </c>
      <c r="Y68" s="28">
        <f t="shared" ca="1" si="17"/>
        <v>0</v>
      </c>
      <c r="Z68" s="28">
        <f t="shared" ca="1" si="17"/>
        <v>0</v>
      </c>
      <c r="AA68" s="28">
        <f t="shared" ca="1" si="17"/>
        <v>0</v>
      </c>
      <c r="AB68" s="28">
        <f t="shared" ca="1" si="17"/>
        <v>0</v>
      </c>
      <c r="AC68" s="28">
        <f t="shared" ca="1" si="17"/>
        <v>0</v>
      </c>
      <c r="AD68" s="28">
        <f t="shared" ca="1" si="17"/>
        <v>0</v>
      </c>
      <c r="AE68" s="28">
        <f t="shared" ca="1" si="17"/>
        <v>0</v>
      </c>
      <c r="AF68" s="28">
        <f t="shared" ca="1" si="17"/>
        <v>0</v>
      </c>
      <c r="AG68" s="28">
        <f t="shared" ca="1" si="17"/>
        <v>0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6"/>
        <v>0</v>
      </c>
      <c r="B69" s="10">
        <f t="shared" si="16"/>
        <v>0</v>
      </c>
      <c r="C69" s="10">
        <f t="shared" si="16"/>
        <v>0</v>
      </c>
      <c r="D69" s="10">
        <f t="shared" si="16"/>
        <v>0</v>
      </c>
      <c r="E69" s="11">
        <f t="shared" si="16"/>
        <v>0</v>
      </c>
      <c r="F69" s="28">
        <f t="shared" ca="1" si="14"/>
        <v>0</v>
      </c>
      <c r="G69" s="28">
        <f t="shared" ca="1" si="14"/>
        <v>0</v>
      </c>
      <c r="H69" s="28">
        <f t="shared" ca="1" si="14"/>
        <v>0</v>
      </c>
      <c r="I69" s="28">
        <f t="shared" ca="1" si="14"/>
        <v>0</v>
      </c>
      <c r="J69" s="28">
        <f t="shared" ca="1" si="14"/>
        <v>0</v>
      </c>
      <c r="K69" s="28">
        <f t="shared" ca="1" si="14"/>
        <v>0</v>
      </c>
      <c r="L69" s="28">
        <f t="shared" ca="1" si="14"/>
        <v>0</v>
      </c>
      <c r="M69" s="28">
        <f t="shared" ca="1" si="14"/>
        <v>0</v>
      </c>
      <c r="N69" s="28">
        <f t="shared" ca="1" si="14"/>
        <v>0</v>
      </c>
      <c r="O69" s="28">
        <f t="shared" ca="1" si="14"/>
        <v>0</v>
      </c>
      <c r="P69" s="28">
        <f t="shared" ca="1" si="15"/>
        <v>0</v>
      </c>
      <c r="Q69" s="28">
        <f t="shared" ca="1" si="15"/>
        <v>0</v>
      </c>
      <c r="R69" s="28">
        <f t="shared" ca="1" si="15"/>
        <v>0</v>
      </c>
      <c r="S69" s="28">
        <f t="shared" ca="1" si="15"/>
        <v>0</v>
      </c>
      <c r="T69" s="28">
        <f t="shared" ca="1" si="15"/>
        <v>0</v>
      </c>
      <c r="U69" s="28">
        <f t="shared" ca="1" si="15"/>
        <v>0</v>
      </c>
      <c r="V69" s="28">
        <f t="shared" ca="1" si="15"/>
        <v>0</v>
      </c>
      <c r="W69" s="28">
        <f t="shared" ca="1" si="15"/>
        <v>0</v>
      </c>
      <c r="X69" s="28">
        <f t="shared" ca="1" si="15"/>
        <v>0</v>
      </c>
      <c r="Y69" s="28">
        <f t="shared" ca="1" si="17"/>
        <v>0</v>
      </c>
      <c r="Z69" s="28">
        <f t="shared" ca="1" si="17"/>
        <v>0</v>
      </c>
      <c r="AA69" s="28">
        <f t="shared" ca="1" si="17"/>
        <v>0</v>
      </c>
      <c r="AB69" s="28">
        <f t="shared" ca="1" si="17"/>
        <v>0</v>
      </c>
      <c r="AC69" s="28">
        <f t="shared" ca="1" si="17"/>
        <v>0</v>
      </c>
      <c r="AD69" s="28">
        <f t="shared" ca="1" si="17"/>
        <v>0</v>
      </c>
      <c r="AE69" s="28">
        <f t="shared" ca="1" si="17"/>
        <v>0</v>
      </c>
      <c r="AF69" s="28">
        <f t="shared" ca="1" si="17"/>
        <v>0</v>
      </c>
      <c r="AG69" s="28">
        <f t="shared" ca="1" si="17"/>
        <v>0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si="16"/>
        <v>0</v>
      </c>
      <c r="B70" s="10">
        <f t="shared" si="16"/>
        <v>0</v>
      </c>
      <c r="C70" s="10">
        <f t="shared" si="16"/>
        <v>0</v>
      </c>
      <c r="D70" s="10">
        <f t="shared" si="16"/>
        <v>0</v>
      </c>
      <c r="E70" s="11">
        <f t="shared" si="16"/>
        <v>0</v>
      </c>
      <c r="F70" s="28">
        <f t="shared" ref="F70:O78" ca="1" si="18">$A70*H.Ar + $B70*H.Se + $C70*H.Ge + $D70*H.Ga</f>
        <v>0</v>
      </c>
      <c r="G70" s="28">
        <f t="shared" ca="1" si="18"/>
        <v>0</v>
      </c>
      <c r="H70" s="28">
        <f t="shared" ca="1" si="18"/>
        <v>0</v>
      </c>
      <c r="I70" s="28">
        <f t="shared" ca="1" si="18"/>
        <v>0</v>
      </c>
      <c r="J70" s="28">
        <f t="shared" ca="1" si="18"/>
        <v>0</v>
      </c>
      <c r="K70" s="28">
        <f t="shared" ca="1" si="18"/>
        <v>0</v>
      </c>
      <c r="L70" s="28">
        <f t="shared" ca="1" si="18"/>
        <v>0</v>
      </c>
      <c r="M70" s="28">
        <f t="shared" ca="1" si="18"/>
        <v>0</v>
      </c>
      <c r="N70" s="28">
        <f t="shared" ca="1" si="18"/>
        <v>0</v>
      </c>
      <c r="O70" s="28">
        <f t="shared" ca="1" si="18"/>
        <v>0</v>
      </c>
      <c r="P70" s="28">
        <f t="shared" ref="P70:AE78" ca="1" si="19">$A70*H.Ar + $B70*H.Se + $C70*H.Ge + $D70*H.Ga</f>
        <v>0</v>
      </c>
      <c r="Q70" s="28">
        <f t="shared" ca="1" si="19"/>
        <v>0</v>
      </c>
      <c r="R70" s="28">
        <f t="shared" ca="1" si="19"/>
        <v>0</v>
      </c>
      <c r="S70" s="28">
        <f t="shared" ca="1" si="19"/>
        <v>0</v>
      </c>
      <c r="T70" s="28">
        <f t="shared" ca="1" si="19"/>
        <v>0</v>
      </c>
      <c r="U70" s="28">
        <f t="shared" ca="1" si="19"/>
        <v>0</v>
      </c>
      <c r="V70" s="28">
        <f t="shared" ca="1" si="19"/>
        <v>0</v>
      </c>
      <c r="W70" s="28">
        <f t="shared" ca="1" si="19"/>
        <v>0</v>
      </c>
      <c r="X70" s="28">
        <f t="shared" ca="1" si="19"/>
        <v>0</v>
      </c>
      <c r="Y70" s="28">
        <f t="shared" ca="1" si="19"/>
        <v>0</v>
      </c>
      <c r="Z70" s="28">
        <f t="shared" ca="1" si="19"/>
        <v>0</v>
      </c>
      <c r="AA70" s="28">
        <f t="shared" ca="1" si="19"/>
        <v>0</v>
      </c>
      <c r="AB70" s="28">
        <f t="shared" ca="1" si="19"/>
        <v>0</v>
      </c>
      <c r="AC70" s="28">
        <f t="shared" ca="1" si="19"/>
        <v>0</v>
      </c>
      <c r="AD70" s="28">
        <f t="shared" ca="1" si="19"/>
        <v>0</v>
      </c>
      <c r="AE70" s="28">
        <f t="shared" ca="1" si="19"/>
        <v>0</v>
      </c>
      <c r="AF70" s="28">
        <f t="shared" ca="1" si="17"/>
        <v>0</v>
      </c>
      <c r="AG70" s="28">
        <f t="shared" ca="1" si="17"/>
        <v>0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6"/>
        <v>0</v>
      </c>
      <c r="B71" s="10">
        <f t="shared" si="16"/>
        <v>0</v>
      </c>
      <c r="C71" s="10">
        <f t="shared" si="16"/>
        <v>0</v>
      </c>
      <c r="D71" s="10">
        <f t="shared" si="16"/>
        <v>0</v>
      </c>
      <c r="E71" s="11">
        <f t="shared" si="16"/>
        <v>0</v>
      </c>
      <c r="F71" s="28">
        <f t="shared" ca="1" si="18"/>
        <v>0</v>
      </c>
      <c r="G71" s="28">
        <f t="shared" ca="1" si="18"/>
        <v>0</v>
      </c>
      <c r="H71" s="28">
        <f t="shared" ca="1" si="18"/>
        <v>0</v>
      </c>
      <c r="I71" s="28">
        <f t="shared" ca="1" si="18"/>
        <v>0</v>
      </c>
      <c r="J71" s="28">
        <f t="shared" ca="1" si="18"/>
        <v>0</v>
      </c>
      <c r="K71" s="28">
        <f t="shared" ca="1" si="18"/>
        <v>0</v>
      </c>
      <c r="L71" s="28">
        <f t="shared" ca="1" si="18"/>
        <v>0</v>
      </c>
      <c r="M71" s="28">
        <f t="shared" ca="1" si="18"/>
        <v>0</v>
      </c>
      <c r="N71" s="28">
        <f t="shared" ca="1" si="18"/>
        <v>0</v>
      </c>
      <c r="O71" s="28">
        <f t="shared" ca="1" si="18"/>
        <v>0</v>
      </c>
      <c r="P71" s="28">
        <f t="shared" ca="1" si="19"/>
        <v>0</v>
      </c>
      <c r="Q71" s="28">
        <f t="shared" ca="1" si="19"/>
        <v>0</v>
      </c>
      <c r="R71" s="28">
        <f t="shared" ca="1" si="19"/>
        <v>0</v>
      </c>
      <c r="S71" s="28">
        <f t="shared" ca="1" si="19"/>
        <v>0</v>
      </c>
      <c r="T71" s="28">
        <f t="shared" ca="1" si="19"/>
        <v>0</v>
      </c>
      <c r="U71" s="28">
        <f t="shared" ca="1" si="19"/>
        <v>0</v>
      </c>
      <c r="V71" s="28">
        <f t="shared" ca="1" si="19"/>
        <v>0</v>
      </c>
      <c r="W71" s="28">
        <f t="shared" ca="1" si="19"/>
        <v>0</v>
      </c>
      <c r="X71" s="28">
        <f t="shared" ca="1" si="19"/>
        <v>0</v>
      </c>
      <c r="Y71" s="28">
        <f t="shared" ca="1" si="17"/>
        <v>0</v>
      </c>
      <c r="Z71" s="28">
        <f t="shared" ca="1" si="17"/>
        <v>0</v>
      </c>
      <c r="AA71" s="28">
        <f t="shared" ca="1" si="17"/>
        <v>0</v>
      </c>
      <c r="AB71" s="28">
        <f t="shared" ca="1" si="17"/>
        <v>0</v>
      </c>
      <c r="AC71" s="28">
        <f t="shared" ca="1" si="17"/>
        <v>0</v>
      </c>
      <c r="AD71" s="28">
        <f t="shared" ca="1" si="17"/>
        <v>0</v>
      </c>
      <c r="AE71" s="28">
        <f t="shared" ca="1" si="17"/>
        <v>0</v>
      </c>
      <c r="AF71" s="28">
        <f t="shared" ca="1" si="17"/>
        <v>0</v>
      </c>
      <c r="AG71" s="28">
        <f t="shared" ca="1" si="17"/>
        <v>0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6"/>
        <v>0</v>
      </c>
      <c r="B72" s="10">
        <f t="shared" si="16"/>
        <v>0</v>
      </c>
      <c r="C72" s="10">
        <f t="shared" si="16"/>
        <v>0</v>
      </c>
      <c r="D72" s="10">
        <f t="shared" si="16"/>
        <v>0</v>
      </c>
      <c r="E72" s="11">
        <f t="shared" si="16"/>
        <v>0</v>
      </c>
      <c r="F72" s="28">
        <f t="shared" ca="1" si="18"/>
        <v>0</v>
      </c>
      <c r="G72" s="28">
        <f t="shared" ca="1" si="18"/>
        <v>0</v>
      </c>
      <c r="H72" s="28">
        <f t="shared" ca="1" si="18"/>
        <v>0</v>
      </c>
      <c r="I72" s="28">
        <f t="shared" ca="1" si="18"/>
        <v>0</v>
      </c>
      <c r="J72" s="28">
        <f t="shared" ca="1" si="18"/>
        <v>0</v>
      </c>
      <c r="K72" s="28">
        <f t="shared" ca="1" si="18"/>
        <v>0</v>
      </c>
      <c r="L72" s="28">
        <f t="shared" ca="1" si="18"/>
        <v>0</v>
      </c>
      <c r="M72" s="28">
        <f t="shared" ca="1" si="18"/>
        <v>0</v>
      </c>
      <c r="N72" s="28">
        <f t="shared" ca="1" si="18"/>
        <v>0</v>
      </c>
      <c r="O72" s="28">
        <f t="shared" ca="1" si="18"/>
        <v>0</v>
      </c>
      <c r="P72" s="28">
        <f t="shared" ca="1" si="19"/>
        <v>0</v>
      </c>
      <c r="Q72" s="28">
        <f t="shared" ca="1" si="19"/>
        <v>0</v>
      </c>
      <c r="R72" s="28">
        <f t="shared" ca="1" si="19"/>
        <v>0</v>
      </c>
      <c r="S72" s="28">
        <f t="shared" ca="1" si="19"/>
        <v>0</v>
      </c>
      <c r="T72" s="28">
        <f t="shared" ca="1" si="19"/>
        <v>0</v>
      </c>
      <c r="U72" s="28">
        <f t="shared" ca="1" si="19"/>
        <v>0</v>
      </c>
      <c r="V72" s="28">
        <f t="shared" ca="1" si="19"/>
        <v>0</v>
      </c>
      <c r="W72" s="28">
        <f t="shared" ca="1" si="19"/>
        <v>0</v>
      </c>
      <c r="X72" s="28">
        <f t="shared" ca="1" si="19"/>
        <v>0</v>
      </c>
      <c r="Y72" s="28">
        <f t="shared" ca="1" si="17"/>
        <v>0</v>
      </c>
      <c r="Z72" s="28">
        <f t="shared" ca="1" si="17"/>
        <v>0</v>
      </c>
      <c r="AA72" s="28">
        <f t="shared" ca="1" si="17"/>
        <v>0</v>
      </c>
      <c r="AB72" s="28">
        <f t="shared" ca="1" si="17"/>
        <v>0</v>
      </c>
      <c r="AC72" s="28">
        <f t="shared" ca="1" si="17"/>
        <v>0</v>
      </c>
      <c r="AD72" s="28">
        <f t="shared" ca="1" si="17"/>
        <v>0</v>
      </c>
      <c r="AE72" s="28">
        <f t="shared" ca="1" si="17"/>
        <v>0</v>
      </c>
      <c r="AF72" s="28">
        <f t="shared" ca="1" si="17"/>
        <v>0</v>
      </c>
      <c r="AG72" s="28">
        <f t="shared" ca="1" si="17"/>
        <v>0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6"/>
        <v>0</v>
      </c>
      <c r="B73" s="10">
        <f t="shared" si="16"/>
        <v>0</v>
      </c>
      <c r="C73" s="10">
        <f t="shared" si="16"/>
        <v>0</v>
      </c>
      <c r="D73" s="10">
        <f t="shared" si="16"/>
        <v>0</v>
      </c>
      <c r="E73" s="11">
        <f t="shared" si="16"/>
        <v>0</v>
      </c>
      <c r="F73" s="28">
        <f t="shared" ca="1" si="18"/>
        <v>0</v>
      </c>
      <c r="G73" s="28">
        <f t="shared" ca="1" si="18"/>
        <v>0</v>
      </c>
      <c r="H73" s="28">
        <f t="shared" ca="1" si="18"/>
        <v>0</v>
      </c>
      <c r="I73" s="28">
        <f t="shared" ca="1" si="18"/>
        <v>0</v>
      </c>
      <c r="J73" s="28">
        <f t="shared" ca="1" si="18"/>
        <v>0</v>
      </c>
      <c r="K73" s="28">
        <f t="shared" ca="1" si="18"/>
        <v>0</v>
      </c>
      <c r="L73" s="28">
        <f t="shared" ca="1" si="18"/>
        <v>0</v>
      </c>
      <c r="M73" s="28">
        <f t="shared" ca="1" si="18"/>
        <v>0</v>
      </c>
      <c r="N73" s="28">
        <f t="shared" ca="1" si="18"/>
        <v>0</v>
      </c>
      <c r="O73" s="28">
        <f t="shared" ca="1" si="18"/>
        <v>0</v>
      </c>
      <c r="P73" s="28">
        <f t="shared" ca="1" si="19"/>
        <v>0</v>
      </c>
      <c r="Q73" s="28">
        <f t="shared" ca="1" si="19"/>
        <v>0</v>
      </c>
      <c r="R73" s="28">
        <f t="shared" ca="1" si="19"/>
        <v>0</v>
      </c>
      <c r="S73" s="28">
        <f t="shared" ca="1" si="19"/>
        <v>0</v>
      </c>
      <c r="T73" s="28">
        <f t="shared" ca="1" si="19"/>
        <v>0</v>
      </c>
      <c r="U73" s="28">
        <f t="shared" ca="1" si="19"/>
        <v>0</v>
      </c>
      <c r="V73" s="28">
        <f t="shared" ca="1" si="19"/>
        <v>0</v>
      </c>
      <c r="W73" s="28">
        <f t="shared" ca="1" si="19"/>
        <v>0</v>
      </c>
      <c r="X73" s="28">
        <f t="shared" ca="1" si="19"/>
        <v>0</v>
      </c>
      <c r="Y73" s="28">
        <f t="shared" ca="1" si="17"/>
        <v>0</v>
      </c>
      <c r="Z73" s="28">
        <f t="shared" ca="1" si="17"/>
        <v>0</v>
      </c>
      <c r="AA73" s="28">
        <f t="shared" ca="1" si="17"/>
        <v>0</v>
      </c>
      <c r="AB73" s="28">
        <f t="shared" ca="1" si="17"/>
        <v>0</v>
      </c>
      <c r="AC73" s="28">
        <f t="shared" ca="1" si="17"/>
        <v>0</v>
      </c>
      <c r="AD73" s="28">
        <f t="shared" ca="1" si="17"/>
        <v>0</v>
      </c>
      <c r="AE73" s="28">
        <f t="shared" ca="1" si="17"/>
        <v>0</v>
      </c>
      <c r="AF73" s="28">
        <f t="shared" ca="1" si="17"/>
        <v>0</v>
      </c>
      <c r="AG73" s="28">
        <f t="shared" ca="1" si="17"/>
        <v>0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6"/>
        <v>0</v>
      </c>
      <c r="B74" s="10">
        <f t="shared" si="16"/>
        <v>0</v>
      </c>
      <c r="C74" s="10">
        <f t="shared" si="16"/>
        <v>0</v>
      </c>
      <c r="D74" s="10">
        <f t="shared" si="16"/>
        <v>0</v>
      </c>
      <c r="E74" s="11">
        <f t="shared" si="16"/>
        <v>0</v>
      </c>
      <c r="F74" s="28">
        <f t="shared" ca="1" si="18"/>
        <v>0</v>
      </c>
      <c r="G74" s="28">
        <f t="shared" ca="1" si="18"/>
        <v>0</v>
      </c>
      <c r="H74" s="28">
        <f t="shared" ca="1" si="18"/>
        <v>0</v>
      </c>
      <c r="I74" s="28">
        <f t="shared" ca="1" si="18"/>
        <v>0</v>
      </c>
      <c r="J74" s="28">
        <f t="shared" ca="1" si="18"/>
        <v>0</v>
      </c>
      <c r="K74" s="28">
        <f t="shared" ca="1" si="18"/>
        <v>0</v>
      </c>
      <c r="L74" s="28">
        <f t="shared" ca="1" si="18"/>
        <v>0</v>
      </c>
      <c r="M74" s="28">
        <f t="shared" ca="1" si="18"/>
        <v>0</v>
      </c>
      <c r="N74" s="28">
        <f t="shared" ca="1" si="18"/>
        <v>0</v>
      </c>
      <c r="O74" s="28">
        <f t="shared" ca="1" si="18"/>
        <v>0</v>
      </c>
      <c r="P74" s="28">
        <f t="shared" ca="1" si="19"/>
        <v>0</v>
      </c>
      <c r="Q74" s="28">
        <f t="shared" ca="1" si="19"/>
        <v>0</v>
      </c>
      <c r="R74" s="28">
        <f t="shared" ca="1" si="19"/>
        <v>0</v>
      </c>
      <c r="S74" s="28">
        <f t="shared" ca="1" si="19"/>
        <v>0</v>
      </c>
      <c r="T74" s="28">
        <f t="shared" ca="1" si="19"/>
        <v>0</v>
      </c>
      <c r="U74" s="28">
        <f t="shared" ca="1" si="19"/>
        <v>0</v>
      </c>
      <c r="V74" s="28">
        <f t="shared" ca="1" si="19"/>
        <v>0</v>
      </c>
      <c r="W74" s="28">
        <f t="shared" ca="1" si="19"/>
        <v>0</v>
      </c>
      <c r="X74" s="28">
        <f t="shared" ca="1" si="19"/>
        <v>0</v>
      </c>
      <c r="Y74" s="28">
        <f t="shared" ca="1" si="17"/>
        <v>0</v>
      </c>
      <c r="Z74" s="28">
        <f t="shared" ca="1" si="17"/>
        <v>0</v>
      </c>
      <c r="AA74" s="28">
        <f t="shared" ca="1" si="17"/>
        <v>0</v>
      </c>
      <c r="AB74" s="28">
        <f t="shared" ca="1" si="17"/>
        <v>0</v>
      </c>
      <c r="AC74" s="28">
        <f t="shared" ca="1" si="17"/>
        <v>0</v>
      </c>
      <c r="AD74" s="28">
        <f t="shared" ca="1" si="17"/>
        <v>0</v>
      </c>
      <c r="AE74" s="28">
        <f t="shared" ca="1" si="17"/>
        <v>0</v>
      </c>
      <c r="AF74" s="28">
        <f t="shared" ca="1" si="17"/>
        <v>0</v>
      </c>
      <c r="AG74" s="28">
        <f t="shared" ca="1" si="17"/>
        <v>0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6"/>
        <v>0</v>
      </c>
      <c r="B75" s="10">
        <f t="shared" si="16"/>
        <v>0</v>
      </c>
      <c r="C75" s="10">
        <f t="shared" si="16"/>
        <v>0</v>
      </c>
      <c r="D75" s="10">
        <f t="shared" si="16"/>
        <v>0</v>
      </c>
      <c r="E75" s="11">
        <f t="shared" si="16"/>
        <v>0</v>
      </c>
      <c r="F75" s="28">
        <f t="shared" ca="1" si="18"/>
        <v>0</v>
      </c>
      <c r="G75" s="28">
        <f t="shared" ca="1" si="18"/>
        <v>0</v>
      </c>
      <c r="H75" s="28">
        <f t="shared" ca="1" si="18"/>
        <v>0</v>
      </c>
      <c r="I75" s="28">
        <f t="shared" ca="1" si="18"/>
        <v>0</v>
      </c>
      <c r="J75" s="28">
        <f t="shared" ca="1" si="18"/>
        <v>0</v>
      </c>
      <c r="K75" s="28">
        <f t="shared" ca="1" si="18"/>
        <v>0</v>
      </c>
      <c r="L75" s="28">
        <f t="shared" ca="1" si="18"/>
        <v>0</v>
      </c>
      <c r="M75" s="28">
        <f t="shared" ca="1" si="18"/>
        <v>0</v>
      </c>
      <c r="N75" s="28">
        <f t="shared" ca="1" si="18"/>
        <v>0</v>
      </c>
      <c r="O75" s="28">
        <f t="shared" ca="1" si="18"/>
        <v>0</v>
      </c>
      <c r="P75" s="28">
        <f t="shared" ca="1" si="19"/>
        <v>0</v>
      </c>
      <c r="Q75" s="28">
        <f t="shared" ca="1" si="19"/>
        <v>0</v>
      </c>
      <c r="R75" s="28">
        <f t="shared" ca="1" si="19"/>
        <v>0</v>
      </c>
      <c r="S75" s="28">
        <f t="shared" ca="1" si="19"/>
        <v>0</v>
      </c>
      <c r="T75" s="28">
        <f t="shared" ca="1" si="19"/>
        <v>0</v>
      </c>
      <c r="U75" s="28">
        <f t="shared" ca="1" si="19"/>
        <v>0</v>
      </c>
      <c r="V75" s="28">
        <f t="shared" ca="1" si="19"/>
        <v>0</v>
      </c>
      <c r="W75" s="28">
        <f t="shared" ca="1" si="19"/>
        <v>0</v>
      </c>
      <c r="X75" s="28">
        <f t="shared" ca="1" si="19"/>
        <v>0</v>
      </c>
      <c r="Y75" s="28">
        <f t="shared" ca="1" si="17"/>
        <v>0</v>
      </c>
      <c r="Z75" s="28">
        <f t="shared" ca="1" si="17"/>
        <v>0</v>
      </c>
      <c r="AA75" s="28">
        <f t="shared" ca="1" si="17"/>
        <v>0</v>
      </c>
      <c r="AB75" s="28">
        <f t="shared" ca="1" si="17"/>
        <v>0</v>
      </c>
      <c r="AC75" s="28">
        <f t="shared" ca="1" si="17"/>
        <v>0</v>
      </c>
      <c r="AD75" s="28">
        <f t="shared" ca="1" si="17"/>
        <v>0</v>
      </c>
      <c r="AE75" s="28">
        <f t="shared" ca="1" si="17"/>
        <v>0</v>
      </c>
      <c r="AF75" s="28">
        <f t="shared" ca="1" si="17"/>
        <v>0</v>
      </c>
      <c r="AG75" s="28">
        <f t="shared" ca="1" si="17"/>
        <v>0</v>
      </c>
      <c r="AH75" s="28">
        <f t="shared" ca="1" si="17"/>
        <v>0</v>
      </c>
      <c r="AI75" s="28">
        <f t="shared" ca="1" si="17"/>
        <v>0</v>
      </c>
      <c r="AJ75" s="28">
        <f t="shared" ca="1" si="17"/>
        <v>0</v>
      </c>
      <c r="AK75" s="28">
        <f t="shared" ca="1" si="17"/>
        <v>0</v>
      </c>
      <c r="AL75" s="28">
        <f t="shared" ca="1" si="17"/>
        <v>0</v>
      </c>
    </row>
    <row r="76" spans="1:38" ht="21" hidden="1" customHeight="1" outlineLevel="1" thickBot="1" x14ac:dyDescent="0.4">
      <c r="A76" s="10">
        <f t="shared" si="16"/>
        <v>0</v>
      </c>
      <c r="B76" s="10">
        <f t="shared" si="16"/>
        <v>0</v>
      </c>
      <c r="C76" s="10">
        <f t="shared" si="16"/>
        <v>0</v>
      </c>
      <c r="D76" s="10">
        <f t="shared" si="16"/>
        <v>0</v>
      </c>
      <c r="E76" s="11">
        <f t="shared" si="16"/>
        <v>0</v>
      </c>
      <c r="F76" s="28">
        <f t="shared" ca="1" si="18"/>
        <v>0</v>
      </c>
      <c r="G76" s="28">
        <f t="shared" ca="1" si="18"/>
        <v>0</v>
      </c>
      <c r="H76" s="28">
        <f t="shared" ca="1" si="18"/>
        <v>0</v>
      </c>
      <c r="I76" s="28">
        <f t="shared" ca="1" si="18"/>
        <v>0</v>
      </c>
      <c r="J76" s="28">
        <f t="shared" ca="1" si="18"/>
        <v>0</v>
      </c>
      <c r="K76" s="28">
        <f t="shared" ca="1" si="18"/>
        <v>0</v>
      </c>
      <c r="L76" s="28">
        <f t="shared" ca="1" si="18"/>
        <v>0</v>
      </c>
      <c r="M76" s="28">
        <f t="shared" ca="1" si="18"/>
        <v>0</v>
      </c>
      <c r="N76" s="28">
        <f t="shared" ca="1" si="18"/>
        <v>0</v>
      </c>
      <c r="O76" s="28">
        <f t="shared" ca="1" si="18"/>
        <v>0</v>
      </c>
      <c r="P76" s="28">
        <f t="shared" ca="1" si="19"/>
        <v>0</v>
      </c>
      <c r="Q76" s="28">
        <f t="shared" ca="1" si="19"/>
        <v>0</v>
      </c>
      <c r="R76" s="28">
        <f t="shared" ca="1" si="19"/>
        <v>0</v>
      </c>
      <c r="S76" s="28">
        <f t="shared" ca="1" si="19"/>
        <v>0</v>
      </c>
      <c r="T76" s="28">
        <f t="shared" ca="1" si="19"/>
        <v>0</v>
      </c>
      <c r="U76" s="28">
        <f t="shared" ca="1" si="19"/>
        <v>0</v>
      </c>
      <c r="V76" s="28">
        <f t="shared" ca="1" si="19"/>
        <v>0</v>
      </c>
      <c r="W76" s="28">
        <f t="shared" ca="1" si="19"/>
        <v>0</v>
      </c>
      <c r="X76" s="28">
        <f t="shared" ca="1" si="19"/>
        <v>0</v>
      </c>
      <c r="Y76" s="28">
        <f t="shared" ca="1" si="17"/>
        <v>0</v>
      </c>
      <c r="Z76" s="28">
        <f t="shared" ca="1" si="17"/>
        <v>0</v>
      </c>
      <c r="AA76" s="28">
        <f t="shared" ca="1" si="17"/>
        <v>0</v>
      </c>
      <c r="AB76" s="28">
        <f t="shared" ca="1" si="17"/>
        <v>0</v>
      </c>
      <c r="AC76" s="28">
        <f t="shared" ca="1" si="17"/>
        <v>0</v>
      </c>
      <c r="AD76" s="28">
        <f t="shared" ca="1" si="17"/>
        <v>0</v>
      </c>
      <c r="AE76" s="28">
        <f t="shared" ca="1" si="17"/>
        <v>0</v>
      </c>
      <c r="AF76" s="28">
        <f t="shared" ca="1" si="17"/>
        <v>0</v>
      </c>
      <c r="AG76" s="28">
        <f t="shared" ca="1" si="17"/>
        <v>0</v>
      </c>
      <c r="AH76" s="28">
        <f t="shared" ca="1" si="17"/>
        <v>0</v>
      </c>
      <c r="AI76" s="28">
        <f t="shared" ca="1" si="17"/>
        <v>0</v>
      </c>
      <c r="AJ76" s="28">
        <f t="shared" ca="1" si="17"/>
        <v>0</v>
      </c>
      <c r="AK76" s="28">
        <f t="shared" ca="1" si="17"/>
        <v>0</v>
      </c>
      <c r="AL76" s="28">
        <f t="shared" ca="1" si="17"/>
        <v>0</v>
      </c>
    </row>
    <row r="77" spans="1:38" ht="21" hidden="1" customHeight="1" outlineLevel="1" thickBot="1" x14ac:dyDescent="0.4">
      <c r="A77" s="10">
        <f t="shared" si="16"/>
        <v>0</v>
      </c>
      <c r="B77" s="10">
        <f t="shared" si="16"/>
        <v>0</v>
      </c>
      <c r="C77" s="10">
        <f t="shared" si="16"/>
        <v>0</v>
      </c>
      <c r="D77" s="10">
        <f t="shared" si="16"/>
        <v>0</v>
      </c>
      <c r="E77" s="11">
        <f t="shared" si="16"/>
        <v>0</v>
      </c>
      <c r="F77" s="28">
        <f t="shared" ca="1" si="18"/>
        <v>0</v>
      </c>
      <c r="G77" s="28">
        <f t="shared" ca="1" si="18"/>
        <v>0</v>
      </c>
      <c r="H77" s="28">
        <f t="shared" ca="1" si="18"/>
        <v>0</v>
      </c>
      <c r="I77" s="28">
        <f t="shared" ca="1" si="18"/>
        <v>0</v>
      </c>
      <c r="J77" s="28">
        <f t="shared" ca="1" si="18"/>
        <v>0</v>
      </c>
      <c r="K77" s="28">
        <f t="shared" ca="1" si="18"/>
        <v>0</v>
      </c>
      <c r="L77" s="28">
        <f t="shared" ca="1" si="18"/>
        <v>0</v>
      </c>
      <c r="M77" s="28">
        <f t="shared" ca="1" si="18"/>
        <v>0</v>
      </c>
      <c r="N77" s="28">
        <f t="shared" ca="1" si="18"/>
        <v>0</v>
      </c>
      <c r="O77" s="28">
        <f t="shared" ca="1" si="18"/>
        <v>0</v>
      </c>
      <c r="P77" s="28">
        <f t="shared" ca="1" si="19"/>
        <v>0</v>
      </c>
      <c r="Q77" s="28">
        <f t="shared" ca="1" si="19"/>
        <v>0</v>
      </c>
      <c r="R77" s="28">
        <f t="shared" ca="1" si="19"/>
        <v>0</v>
      </c>
      <c r="S77" s="28">
        <f t="shared" ca="1" si="19"/>
        <v>0</v>
      </c>
      <c r="T77" s="28">
        <f t="shared" ca="1" si="19"/>
        <v>0</v>
      </c>
      <c r="U77" s="28">
        <f t="shared" ca="1" si="19"/>
        <v>0</v>
      </c>
      <c r="V77" s="28">
        <f t="shared" ca="1" si="19"/>
        <v>0</v>
      </c>
      <c r="W77" s="28">
        <f t="shared" ca="1" si="19"/>
        <v>0</v>
      </c>
      <c r="X77" s="28">
        <f t="shared" ca="1" si="19"/>
        <v>0</v>
      </c>
      <c r="Y77" s="28">
        <f t="shared" ca="1" si="17"/>
        <v>0</v>
      </c>
      <c r="Z77" s="28">
        <f t="shared" ca="1" si="17"/>
        <v>0</v>
      </c>
      <c r="AA77" s="28">
        <f t="shared" ca="1" si="17"/>
        <v>0</v>
      </c>
      <c r="AB77" s="28">
        <f t="shared" ca="1" si="17"/>
        <v>0</v>
      </c>
      <c r="AC77" s="28">
        <f t="shared" ca="1" si="17"/>
        <v>0</v>
      </c>
      <c r="AD77" s="28">
        <f t="shared" ca="1" si="17"/>
        <v>0</v>
      </c>
      <c r="AE77" s="28">
        <f t="shared" ca="1" si="17"/>
        <v>0</v>
      </c>
      <c r="AF77" s="28">
        <f t="shared" ca="1" si="17"/>
        <v>0</v>
      </c>
      <c r="AG77" s="28">
        <f t="shared" ca="1" si="17"/>
        <v>0</v>
      </c>
      <c r="AH77" s="28">
        <f t="shared" ca="1" si="17"/>
        <v>0</v>
      </c>
      <c r="AI77" s="28">
        <f t="shared" ca="1" si="17"/>
        <v>0</v>
      </c>
      <c r="AJ77" s="28">
        <f t="shared" ca="1" si="17"/>
        <v>0</v>
      </c>
      <c r="AK77" s="28">
        <f t="shared" ca="1" si="17"/>
        <v>0</v>
      </c>
      <c r="AL77" s="28">
        <f t="shared" ca="1" si="17"/>
        <v>0</v>
      </c>
    </row>
    <row r="78" spans="1:38" ht="21" hidden="1" customHeight="1" outlineLevel="1" thickBot="1" x14ac:dyDescent="0.4">
      <c r="A78" s="10">
        <f t="shared" si="16"/>
        <v>0</v>
      </c>
      <c r="B78" s="10">
        <f t="shared" si="16"/>
        <v>0</v>
      </c>
      <c r="C78" s="10">
        <f t="shared" si="16"/>
        <v>0</v>
      </c>
      <c r="D78" s="10">
        <f t="shared" si="16"/>
        <v>0</v>
      </c>
      <c r="E78" s="11">
        <f t="shared" si="16"/>
        <v>0</v>
      </c>
      <c r="F78" s="28">
        <f t="shared" ca="1" si="18"/>
        <v>0</v>
      </c>
      <c r="G78" s="28">
        <f t="shared" ca="1" si="18"/>
        <v>0</v>
      </c>
      <c r="H78" s="28">
        <f t="shared" ca="1" si="18"/>
        <v>0</v>
      </c>
      <c r="I78" s="28">
        <f t="shared" ca="1" si="18"/>
        <v>0</v>
      </c>
      <c r="J78" s="28">
        <f t="shared" ca="1" si="18"/>
        <v>0</v>
      </c>
      <c r="K78" s="28">
        <f t="shared" ca="1" si="18"/>
        <v>0</v>
      </c>
      <c r="L78" s="28">
        <f t="shared" ca="1" si="18"/>
        <v>0</v>
      </c>
      <c r="M78" s="28">
        <f t="shared" ca="1" si="18"/>
        <v>0</v>
      </c>
      <c r="N78" s="28">
        <f t="shared" ca="1" si="18"/>
        <v>0</v>
      </c>
      <c r="O78" s="28">
        <f t="shared" ca="1" si="18"/>
        <v>0</v>
      </c>
      <c r="P78" s="28">
        <f t="shared" ca="1" si="19"/>
        <v>0</v>
      </c>
      <c r="Q78" s="28">
        <f t="shared" ca="1" si="19"/>
        <v>0</v>
      </c>
      <c r="R78" s="28">
        <f t="shared" ca="1" si="19"/>
        <v>0</v>
      </c>
      <c r="S78" s="28">
        <f t="shared" ca="1" si="19"/>
        <v>0</v>
      </c>
      <c r="T78" s="28">
        <f t="shared" ca="1" si="19"/>
        <v>0</v>
      </c>
      <c r="U78" s="28">
        <f t="shared" ca="1" si="19"/>
        <v>0</v>
      </c>
      <c r="V78" s="28">
        <f t="shared" ca="1" si="19"/>
        <v>0</v>
      </c>
      <c r="W78" s="28">
        <f t="shared" ca="1" si="19"/>
        <v>0</v>
      </c>
      <c r="X78" s="28">
        <f t="shared" ca="1" si="19"/>
        <v>0</v>
      </c>
      <c r="Y78" s="28">
        <f t="shared" ca="1" si="17"/>
        <v>0</v>
      </c>
      <c r="Z78" s="28">
        <f t="shared" ca="1" si="17"/>
        <v>0</v>
      </c>
      <c r="AA78" s="28">
        <f t="shared" ca="1" si="17"/>
        <v>0</v>
      </c>
      <c r="AB78" s="28">
        <f t="shared" ca="1" si="17"/>
        <v>0</v>
      </c>
      <c r="AC78" s="28">
        <f t="shared" ca="1" si="17"/>
        <v>0</v>
      </c>
      <c r="AD78" s="28">
        <f t="shared" ca="1" si="17"/>
        <v>0</v>
      </c>
      <c r="AE78" s="28">
        <f t="shared" ca="1" si="17"/>
        <v>0</v>
      </c>
      <c r="AF78" s="28">
        <f t="shared" ca="1" si="17"/>
        <v>0</v>
      </c>
      <c r="AG78" s="28">
        <f t="shared" ca="1" si="17"/>
        <v>0</v>
      </c>
      <c r="AH78" s="28">
        <f t="shared" ca="1" si="17"/>
        <v>0</v>
      </c>
      <c r="AI78" s="28">
        <f t="shared" ca="1" si="17"/>
        <v>0</v>
      </c>
      <c r="AJ78" s="28">
        <f t="shared" ca="1" si="17"/>
        <v>0</v>
      </c>
      <c r="AK78" s="28">
        <f t="shared" ca="1" si="17"/>
        <v>0</v>
      </c>
      <c r="AL78" s="28">
        <f t="shared" ca="1" si="17"/>
        <v>0</v>
      </c>
    </row>
    <row r="79" spans="1:38" ht="21" hidden="1" customHeight="1" outlineLevel="1" thickBot="1" x14ac:dyDescent="0.4">
      <c r="A79" s="10">
        <f t="shared" si="16"/>
        <v>0</v>
      </c>
      <c r="B79" s="10">
        <f t="shared" si="16"/>
        <v>0</v>
      </c>
      <c r="C79" s="10">
        <f t="shared" si="16"/>
        <v>0</v>
      </c>
      <c r="D79" s="10">
        <f t="shared" si="16"/>
        <v>0</v>
      </c>
      <c r="E79" s="11">
        <f t="shared" si="16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23"/>
    </row>
    <row r="82" spans="1:38" ht="21" customHeight="1" thickBot="1" x14ac:dyDescent="0.45">
      <c r="A82" s="28"/>
      <c r="B82" s="28"/>
      <c r="C82" s="40">
        <f>E41</f>
        <v>4.166666666666667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 t="str">
        <f t="shared" ref="E83:E113" si="20">E49</f>
        <v>Temperature,K</v>
      </c>
      <c r="F83" s="8">
        <f t="shared" ref="F83:AL83" si="21">F3</f>
        <v>273.10000000000002</v>
      </c>
      <c r="G83" s="8">
        <f t="shared" si="21"/>
        <v>293.3</v>
      </c>
      <c r="H83" s="8">
        <f t="shared" si="21"/>
        <v>313.5</v>
      </c>
      <c r="I83" s="8">
        <f t="shared" si="21"/>
        <v>333.7</v>
      </c>
      <c r="J83" s="8">
        <f t="shared" si="21"/>
        <v>353.9</v>
      </c>
      <c r="K83" s="8">
        <f t="shared" si="21"/>
        <v>434.7</v>
      </c>
      <c r="L83" s="8">
        <f t="shared" si="21"/>
        <v>454.9</v>
      </c>
      <c r="M83" s="8">
        <f t="shared" si="21"/>
        <v>475.1</v>
      </c>
      <c r="N83" s="8">
        <f t="shared" si="21"/>
        <v>495.2</v>
      </c>
      <c r="O83" s="8">
        <f t="shared" si="21"/>
        <v>515.4</v>
      </c>
      <c r="P83" s="8">
        <f t="shared" si="21"/>
        <v>535.6</v>
      </c>
      <c r="Q83" s="8">
        <f t="shared" si="21"/>
        <v>555.79999999999995</v>
      </c>
      <c r="R83" s="8">
        <f t="shared" si="21"/>
        <v>576</v>
      </c>
      <c r="S83" s="8">
        <f t="shared" si="21"/>
        <v>596.20000000000005</v>
      </c>
      <c r="T83" s="8">
        <f t="shared" si="21"/>
        <v>677</v>
      </c>
      <c r="U83" s="8">
        <f t="shared" si="21"/>
        <v>697.1</v>
      </c>
      <c r="V83" s="8">
        <f t="shared" si="21"/>
        <v>717.3</v>
      </c>
      <c r="W83" s="8">
        <f t="shared" si="21"/>
        <v>737.5</v>
      </c>
      <c r="X83" s="8">
        <f t="shared" si="21"/>
        <v>757.7</v>
      </c>
      <c r="Y83" s="8">
        <f t="shared" si="21"/>
        <v>777.9</v>
      </c>
      <c r="Z83" s="8">
        <f t="shared" si="21"/>
        <v>798.1</v>
      </c>
      <c r="AA83" s="8">
        <f t="shared" si="21"/>
        <v>818.3</v>
      </c>
      <c r="AB83" s="8">
        <f t="shared" si="21"/>
        <v>838.5</v>
      </c>
      <c r="AC83" s="8">
        <f t="shared" si="21"/>
        <v>919.2</v>
      </c>
      <c r="AD83" s="8">
        <f t="shared" si="21"/>
        <v>838.5</v>
      </c>
      <c r="AE83" s="8">
        <f t="shared" si="21"/>
        <v>919.2</v>
      </c>
      <c r="AF83" s="8">
        <f t="shared" si="21"/>
        <v>1000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0</v>
      </c>
      <c r="C84" s="10">
        <f t="shared" si="22"/>
        <v>1</v>
      </c>
      <c r="D84" s="10">
        <f t="shared" si="22"/>
        <v>0</v>
      </c>
      <c r="E84" s="11" t="str">
        <f t="shared" si="20"/>
        <v>*Ge</v>
      </c>
      <c r="F84" s="28">
        <f t="shared" ref="F84:AL91" si="23">F4*$C$82</f>
        <v>0</v>
      </c>
      <c r="G84" s="28">
        <f t="shared" si="23"/>
        <v>0</v>
      </c>
      <c r="H84" s="28">
        <f t="shared" si="23"/>
        <v>0</v>
      </c>
      <c r="I84" s="28">
        <f t="shared" si="23"/>
        <v>0</v>
      </c>
      <c r="J84" s="28">
        <f t="shared" si="23"/>
        <v>0</v>
      </c>
      <c r="K84" s="28">
        <f t="shared" si="23"/>
        <v>1.594125E-17</v>
      </c>
      <c r="L84" s="28">
        <f t="shared" si="23"/>
        <v>6.7245833333333343E-13</v>
      </c>
      <c r="M84" s="28">
        <f t="shared" si="23"/>
        <v>3.5161666666666668E-10</v>
      </c>
      <c r="N84" s="28">
        <f t="shared" si="23"/>
        <v>5.8562499999999999E-9</v>
      </c>
      <c r="O84" s="28">
        <f t="shared" si="23"/>
        <v>0.27995833333333336</v>
      </c>
      <c r="P84" s="28">
        <f t="shared" si="23"/>
        <v>0.5</v>
      </c>
      <c r="Q84" s="28">
        <f t="shared" si="23"/>
        <v>0.5</v>
      </c>
      <c r="R84" s="28">
        <f t="shared" si="23"/>
        <v>0.5</v>
      </c>
      <c r="S84" s="28">
        <f t="shared" si="23"/>
        <v>0.5</v>
      </c>
      <c r="T84" s="28">
        <f t="shared" si="23"/>
        <v>0.5</v>
      </c>
      <c r="U84" s="28">
        <f t="shared" si="23"/>
        <v>0.5</v>
      </c>
      <c r="V84" s="28">
        <f t="shared" si="23"/>
        <v>0.5</v>
      </c>
      <c r="W84" s="28">
        <f t="shared" si="23"/>
        <v>0.5</v>
      </c>
      <c r="X84" s="28">
        <f t="shared" si="23"/>
        <v>0.5</v>
      </c>
      <c r="Y84" s="28">
        <f t="shared" si="23"/>
        <v>0.5</v>
      </c>
      <c r="Z84" s="28">
        <f t="shared" si="23"/>
        <v>0.47145833333333337</v>
      </c>
      <c r="AA84" s="28">
        <f t="shared" si="23"/>
        <v>0.46554166666666669</v>
      </c>
      <c r="AB84" s="28">
        <f t="shared" si="23"/>
        <v>0.45945833333333341</v>
      </c>
      <c r="AC84" s="28">
        <f t="shared" si="23"/>
        <v>0.42466666666666669</v>
      </c>
      <c r="AD84" s="28">
        <f t="shared" si="23"/>
        <v>0.45945833333333341</v>
      </c>
      <c r="AE84" s="28">
        <f t="shared" si="23"/>
        <v>0.42466666666666669</v>
      </c>
      <c r="AF84" s="28">
        <f t="shared" si="23"/>
        <v>0.35807500000000003</v>
      </c>
      <c r="AG84" s="28">
        <f t="shared" si="23"/>
        <v>0</v>
      </c>
      <c r="AH84" s="28">
        <f t="shared" si="23"/>
        <v>0</v>
      </c>
      <c r="AI84" s="28">
        <f t="shared" si="23"/>
        <v>0</v>
      </c>
      <c r="AJ84" s="28">
        <f t="shared" si="23"/>
        <v>0</v>
      </c>
      <c r="AK84" s="28">
        <f t="shared" si="23"/>
        <v>0</v>
      </c>
      <c r="AL84" s="28">
        <f t="shared" si="23"/>
        <v>0</v>
      </c>
    </row>
    <row r="85" spans="1:38" ht="21" hidden="1" customHeight="1" outlineLevel="1" thickBot="1" x14ac:dyDescent="0.4">
      <c r="A85" s="10">
        <f t="shared" ref="A85:D100" si="24">A51</f>
        <v>0</v>
      </c>
      <c r="B85" s="10">
        <f t="shared" si="24"/>
        <v>1</v>
      </c>
      <c r="C85" s="10">
        <f t="shared" si="24"/>
        <v>1</v>
      </c>
      <c r="D85" s="10">
        <f t="shared" si="24"/>
        <v>0</v>
      </c>
      <c r="E85" s="11" t="str">
        <f t="shared" si="20"/>
        <v>*GeSe</v>
      </c>
      <c r="F85" s="28">
        <f t="shared" si="23"/>
        <v>0.5</v>
      </c>
      <c r="G85" s="28">
        <f t="shared" si="23"/>
        <v>0.5</v>
      </c>
      <c r="H85" s="28">
        <f t="shared" si="23"/>
        <v>0.5</v>
      </c>
      <c r="I85" s="28">
        <f t="shared" si="23"/>
        <v>0.5</v>
      </c>
      <c r="J85" s="28">
        <f t="shared" si="23"/>
        <v>1</v>
      </c>
      <c r="K85" s="28">
        <f t="shared" si="23"/>
        <v>1</v>
      </c>
      <c r="L85" s="28">
        <f t="shared" si="23"/>
        <v>1</v>
      </c>
      <c r="M85" s="28">
        <f t="shared" si="23"/>
        <v>1</v>
      </c>
      <c r="N85" s="28">
        <f t="shared" si="23"/>
        <v>1</v>
      </c>
      <c r="O85" s="28">
        <f t="shared" si="23"/>
        <v>0.44008333333333338</v>
      </c>
      <c r="P85" s="28">
        <f t="shared" si="23"/>
        <v>2.4561250000000004E-8</v>
      </c>
      <c r="Q85" s="28">
        <f t="shared" si="23"/>
        <v>1.2326666666666668E-9</v>
      </c>
      <c r="R85" s="28">
        <f t="shared" si="23"/>
        <v>2.4156666666666669E-11</v>
      </c>
      <c r="S85" s="28">
        <f t="shared" si="23"/>
        <v>1.4856666666666669E-11</v>
      </c>
      <c r="T85" s="28">
        <f t="shared" si="23"/>
        <v>2.7825000000000004E-21</v>
      </c>
      <c r="U85" s="28">
        <f t="shared" si="23"/>
        <v>2.4961250000000003E-26</v>
      </c>
      <c r="V85" s="28">
        <f t="shared" si="23"/>
        <v>1.12575E-31</v>
      </c>
      <c r="W85" s="28">
        <f t="shared" si="23"/>
        <v>0</v>
      </c>
      <c r="X85" s="28">
        <f t="shared" si="23"/>
        <v>0</v>
      </c>
      <c r="Y85" s="28">
        <f t="shared" si="23"/>
        <v>0</v>
      </c>
      <c r="Z85" s="28">
        <f t="shared" si="23"/>
        <v>0</v>
      </c>
      <c r="AA85" s="28">
        <f t="shared" si="23"/>
        <v>0</v>
      </c>
      <c r="AB85" s="28">
        <f t="shared" si="23"/>
        <v>0</v>
      </c>
      <c r="AC85" s="28">
        <f t="shared" si="23"/>
        <v>0</v>
      </c>
      <c r="AD85" s="28">
        <f t="shared" si="23"/>
        <v>0</v>
      </c>
      <c r="AE85" s="28">
        <f t="shared" si="23"/>
        <v>0</v>
      </c>
      <c r="AF85" s="28">
        <f t="shared" si="23"/>
        <v>0</v>
      </c>
      <c r="AG85" s="28">
        <f t="shared" si="23"/>
        <v>0</v>
      </c>
      <c r="AH85" s="28">
        <f t="shared" si="23"/>
        <v>0</v>
      </c>
      <c r="AI85" s="28">
        <f t="shared" si="23"/>
        <v>0</v>
      </c>
      <c r="AJ85" s="28">
        <f t="shared" si="23"/>
        <v>0</v>
      </c>
      <c r="AK85" s="28">
        <f t="shared" si="23"/>
        <v>0</v>
      </c>
      <c r="AL85" s="28">
        <f t="shared" si="23"/>
        <v>0</v>
      </c>
    </row>
    <row r="86" spans="1:38" ht="21" hidden="1" customHeight="1" outlineLevel="1" thickBot="1" x14ac:dyDescent="0.4">
      <c r="A86" s="10">
        <f t="shared" si="24"/>
        <v>0</v>
      </c>
      <c r="B86" s="10">
        <f t="shared" si="24"/>
        <v>0</v>
      </c>
      <c r="C86" s="10">
        <f t="shared" si="24"/>
        <v>0</v>
      </c>
      <c r="D86" s="10">
        <f t="shared" si="24"/>
        <v>1</v>
      </c>
      <c r="E86" s="11" t="str">
        <f t="shared" si="20"/>
        <v>*Ga[l]</v>
      </c>
      <c r="F86" s="28">
        <f t="shared" si="23"/>
        <v>0</v>
      </c>
      <c r="G86" s="28">
        <f t="shared" si="23"/>
        <v>0</v>
      </c>
      <c r="H86" s="28">
        <f t="shared" si="23"/>
        <v>0</v>
      </c>
      <c r="I86" s="28">
        <f t="shared" si="23"/>
        <v>0</v>
      </c>
      <c r="J86" s="28">
        <f t="shared" si="23"/>
        <v>0</v>
      </c>
      <c r="K86" s="28">
        <f t="shared" si="23"/>
        <v>0</v>
      </c>
      <c r="L86" s="28">
        <f t="shared" si="23"/>
        <v>0</v>
      </c>
      <c r="M86" s="28">
        <f t="shared" si="23"/>
        <v>0</v>
      </c>
      <c r="N86" s="28">
        <f t="shared" si="23"/>
        <v>0</v>
      </c>
      <c r="O86" s="28">
        <f t="shared" si="23"/>
        <v>0</v>
      </c>
      <c r="P86" s="28">
        <f t="shared" si="23"/>
        <v>0</v>
      </c>
      <c r="Q86" s="28">
        <f t="shared" si="23"/>
        <v>0</v>
      </c>
      <c r="R86" s="28">
        <f t="shared" si="23"/>
        <v>0</v>
      </c>
      <c r="S86" s="28">
        <f t="shared" si="23"/>
        <v>0</v>
      </c>
      <c r="T86" s="28">
        <f t="shared" si="23"/>
        <v>8.9883333333333338E-31</v>
      </c>
      <c r="U86" s="28">
        <f t="shared" si="23"/>
        <v>6.2737500000000003E-27</v>
      </c>
      <c r="V86" s="28">
        <f t="shared" si="23"/>
        <v>2.8599166666666671E-22</v>
      </c>
      <c r="W86" s="28">
        <f t="shared" si="23"/>
        <v>3.3158333333333335E-22</v>
      </c>
      <c r="X86" s="28">
        <f t="shared" si="23"/>
        <v>2.5780833333333338E-16</v>
      </c>
      <c r="Y86" s="28">
        <f t="shared" si="23"/>
        <v>2.1515E-15</v>
      </c>
      <c r="Z86" s="28">
        <f t="shared" si="23"/>
        <v>1.3127083333333333E-8</v>
      </c>
      <c r="AA86" s="28">
        <f t="shared" si="23"/>
        <v>1.6565000000000001E-6</v>
      </c>
      <c r="AB86" s="28">
        <f t="shared" si="23"/>
        <v>1.2104166666666668E-6</v>
      </c>
      <c r="AC86" s="28">
        <f t="shared" si="23"/>
        <v>2.7425000000000001E-7</v>
      </c>
      <c r="AD86" s="28">
        <f t="shared" si="23"/>
        <v>1.2104166666666668E-6</v>
      </c>
      <c r="AE86" s="28">
        <f t="shared" si="23"/>
        <v>2.7425000000000001E-7</v>
      </c>
      <c r="AF86" s="28">
        <f t="shared" si="23"/>
        <v>4.644583333333334E-8</v>
      </c>
      <c r="AG86" s="28">
        <f t="shared" si="23"/>
        <v>0</v>
      </c>
      <c r="AH86" s="28">
        <f t="shared" si="23"/>
        <v>0</v>
      </c>
      <c r="AI86" s="28">
        <f t="shared" si="23"/>
        <v>0</v>
      </c>
      <c r="AJ86" s="28">
        <f t="shared" si="23"/>
        <v>0</v>
      </c>
      <c r="AK86" s="28">
        <f t="shared" si="23"/>
        <v>0</v>
      </c>
      <c r="AL86" s="28">
        <f t="shared" si="23"/>
        <v>0</v>
      </c>
    </row>
    <row r="87" spans="1:38" ht="21" hidden="1" customHeight="1" outlineLevel="1" thickBot="1" x14ac:dyDescent="0.4">
      <c r="A87" s="10">
        <f t="shared" si="24"/>
        <v>0</v>
      </c>
      <c r="B87" s="10">
        <f t="shared" si="24"/>
        <v>1</v>
      </c>
      <c r="C87" s="10">
        <f t="shared" si="24"/>
        <v>0</v>
      </c>
      <c r="D87" s="10">
        <f t="shared" si="24"/>
        <v>2</v>
      </c>
      <c r="E87" s="11" t="str">
        <f t="shared" si="20"/>
        <v>*Ga2Se</v>
      </c>
      <c r="F87" s="28">
        <f t="shared" si="23"/>
        <v>0</v>
      </c>
      <c r="G87" s="28">
        <f t="shared" si="23"/>
        <v>0</v>
      </c>
      <c r="H87" s="28">
        <f t="shared" si="23"/>
        <v>0</v>
      </c>
      <c r="I87" s="28">
        <f t="shared" si="23"/>
        <v>0</v>
      </c>
      <c r="J87" s="28">
        <f t="shared" si="23"/>
        <v>0</v>
      </c>
      <c r="K87" s="28">
        <f t="shared" si="23"/>
        <v>0</v>
      </c>
      <c r="L87" s="28">
        <f t="shared" si="23"/>
        <v>0</v>
      </c>
      <c r="M87" s="28">
        <f t="shared" si="23"/>
        <v>0</v>
      </c>
      <c r="N87" s="28">
        <f t="shared" si="23"/>
        <v>0</v>
      </c>
      <c r="O87" s="28">
        <f t="shared" si="23"/>
        <v>0</v>
      </c>
      <c r="P87" s="28">
        <f t="shared" si="23"/>
        <v>0</v>
      </c>
      <c r="Q87" s="28">
        <f t="shared" si="23"/>
        <v>0</v>
      </c>
      <c r="R87" s="28">
        <f t="shared" si="23"/>
        <v>0</v>
      </c>
      <c r="S87" s="28">
        <f t="shared" si="23"/>
        <v>0</v>
      </c>
      <c r="T87" s="28">
        <f t="shared" si="23"/>
        <v>1.0341666666666667E-21</v>
      </c>
      <c r="U87" s="28">
        <f t="shared" si="23"/>
        <v>1.7180833333333334E-17</v>
      </c>
      <c r="V87" s="28">
        <f t="shared" si="23"/>
        <v>1.8882916666666666E-12</v>
      </c>
      <c r="W87" s="28">
        <f t="shared" si="23"/>
        <v>9.3191666666666676E-8</v>
      </c>
      <c r="X87" s="28">
        <f t="shared" si="23"/>
        <v>0.10097916666666668</v>
      </c>
      <c r="Y87" s="28">
        <f t="shared" si="23"/>
        <v>0.14827083333333335</v>
      </c>
      <c r="Z87" s="28">
        <f t="shared" si="23"/>
        <v>1.2473750000000001E-6</v>
      </c>
      <c r="AA87" s="28">
        <f t="shared" si="23"/>
        <v>1.1618333333333335E-20</v>
      </c>
      <c r="AB87" s="28">
        <f t="shared" si="23"/>
        <v>0</v>
      </c>
      <c r="AC87" s="28">
        <f t="shared" si="23"/>
        <v>0</v>
      </c>
      <c r="AD87" s="28">
        <f t="shared" si="23"/>
        <v>0</v>
      </c>
      <c r="AE87" s="28">
        <f t="shared" si="23"/>
        <v>0</v>
      </c>
      <c r="AF87" s="28">
        <f t="shared" si="23"/>
        <v>0</v>
      </c>
      <c r="AG87" s="28">
        <f t="shared" si="23"/>
        <v>0</v>
      </c>
      <c r="AH87" s="28">
        <f t="shared" si="23"/>
        <v>0</v>
      </c>
      <c r="AI87" s="28">
        <f t="shared" si="23"/>
        <v>0</v>
      </c>
      <c r="AJ87" s="28">
        <f t="shared" si="23"/>
        <v>0</v>
      </c>
      <c r="AK87" s="28">
        <f t="shared" si="23"/>
        <v>0</v>
      </c>
      <c r="AL87" s="28">
        <f t="shared" si="23"/>
        <v>0</v>
      </c>
    </row>
    <row r="88" spans="1:38" ht="21" hidden="1" customHeight="1" outlineLevel="1" thickBot="1" x14ac:dyDescent="0.4">
      <c r="A88" s="10">
        <f t="shared" si="24"/>
        <v>0</v>
      </c>
      <c r="B88" s="10">
        <f t="shared" si="24"/>
        <v>0</v>
      </c>
      <c r="C88" s="10">
        <f t="shared" si="24"/>
        <v>1</v>
      </c>
      <c r="D88" s="10">
        <f t="shared" si="24"/>
        <v>0</v>
      </c>
      <c r="E88" s="11" t="str">
        <f t="shared" si="20"/>
        <v>*Ge[c]</v>
      </c>
      <c r="F88" s="28">
        <f t="shared" si="23"/>
        <v>0</v>
      </c>
      <c r="G88" s="28">
        <f t="shared" si="23"/>
        <v>0</v>
      </c>
      <c r="H88" s="28">
        <f t="shared" si="23"/>
        <v>0</v>
      </c>
      <c r="I88" s="28">
        <f t="shared" si="23"/>
        <v>0</v>
      </c>
      <c r="J88" s="28">
        <f t="shared" si="23"/>
        <v>0</v>
      </c>
      <c r="K88" s="28">
        <f t="shared" si="23"/>
        <v>1.594125E-17</v>
      </c>
      <c r="L88" s="28">
        <f t="shared" si="23"/>
        <v>6.7245833333333343E-13</v>
      </c>
      <c r="M88" s="28">
        <f t="shared" si="23"/>
        <v>3.5161666666666668E-10</v>
      </c>
      <c r="N88" s="28">
        <f t="shared" si="23"/>
        <v>5.8562499999999999E-9</v>
      </c>
      <c r="O88" s="28">
        <f t="shared" si="23"/>
        <v>0.27995833333333336</v>
      </c>
      <c r="P88" s="28">
        <f t="shared" si="23"/>
        <v>0.5</v>
      </c>
      <c r="Q88" s="28">
        <f t="shared" si="23"/>
        <v>0.5</v>
      </c>
      <c r="R88" s="28">
        <f t="shared" si="23"/>
        <v>0.5</v>
      </c>
      <c r="S88" s="28">
        <f t="shared" si="23"/>
        <v>0.5</v>
      </c>
      <c r="T88" s="28">
        <f t="shared" si="23"/>
        <v>0.5</v>
      </c>
      <c r="U88" s="28">
        <f t="shared" si="23"/>
        <v>0.5</v>
      </c>
      <c r="V88" s="28">
        <f t="shared" si="23"/>
        <v>0.5</v>
      </c>
      <c r="W88" s="28">
        <f t="shared" si="23"/>
        <v>0.5</v>
      </c>
      <c r="X88" s="28">
        <f t="shared" si="23"/>
        <v>0.5</v>
      </c>
      <c r="Y88" s="28">
        <f t="shared" si="23"/>
        <v>0.5</v>
      </c>
      <c r="Z88" s="28">
        <f t="shared" si="23"/>
        <v>0.47145833333333337</v>
      </c>
      <c r="AA88" s="28">
        <f t="shared" si="23"/>
        <v>0.46554166666666669</v>
      </c>
      <c r="AB88" s="28">
        <f t="shared" si="23"/>
        <v>0.45945833333333341</v>
      </c>
      <c r="AC88" s="28">
        <f t="shared" si="23"/>
        <v>0.42466666666666669</v>
      </c>
      <c r="AD88" s="28">
        <f t="shared" si="23"/>
        <v>0.45945833333333341</v>
      </c>
      <c r="AE88" s="28">
        <f t="shared" si="23"/>
        <v>0.42466666666666669</v>
      </c>
      <c r="AF88" s="28">
        <f t="shared" si="23"/>
        <v>0.35807500000000003</v>
      </c>
      <c r="AG88" s="28">
        <f t="shared" si="23"/>
        <v>0</v>
      </c>
      <c r="AH88" s="28">
        <f t="shared" si="23"/>
        <v>0</v>
      </c>
      <c r="AI88" s="28">
        <f t="shared" si="23"/>
        <v>0</v>
      </c>
      <c r="AJ88" s="28">
        <f t="shared" si="23"/>
        <v>0</v>
      </c>
      <c r="AK88" s="28">
        <f t="shared" si="23"/>
        <v>0</v>
      </c>
      <c r="AL88" s="28">
        <f t="shared" si="23"/>
        <v>0</v>
      </c>
    </row>
    <row r="89" spans="1:38" ht="21" hidden="1" customHeight="1" outlineLevel="1" thickBot="1" x14ac:dyDescent="0.4">
      <c r="A89" s="10">
        <f t="shared" si="24"/>
        <v>0</v>
      </c>
      <c r="B89" s="10">
        <f t="shared" si="24"/>
        <v>1</v>
      </c>
      <c r="C89" s="10">
        <f t="shared" si="24"/>
        <v>0</v>
      </c>
      <c r="D89" s="10">
        <f t="shared" si="24"/>
        <v>0</v>
      </c>
      <c r="E89" s="11" t="str">
        <f t="shared" si="20"/>
        <v>*Se[m]</v>
      </c>
      <c r="F89" s="28">
        <f t="shared" si="23"/>
        <v>1.9476666666666669E-23</v>
      </c>
      <c r="G89" s="28">
        <f t="shared" si="23"/>
        <v>3.6963750000000003E-16</v>
      </c>
      <c r="H89" s="28">
        <f t="shared" si="23"/>
        <v>3.1259583333333337E-10</v>
      </c>
      <c r="I89" s="28">
        <f t="shared" si="23"/>
        <v>1.0415416666666667E-7</v>
      </c>
      <c r="J89" s="28">
        <f t="shared" si="23"/>
        <v>0.5</v>
      </c>
      <c r="K89" s="28">
        <f t="shared" si="23"/>
        <v>0.5</v>
      </c>
      <c r="L89" s="28">
        <f t="shared" si="23"/>
        <v>0.5</v>
      </c>
      <c r="M89" s="28">
        <f t="shared" si="23"/>
        <v>0.5</v>
      </c>
      <c r="N89" s="28">
        <f t="shared" si="23"/>
        <v>0.5</v>
      </c>
      <c r="O89" s="28">
        <f t="shared" si="23"/>
        <v>1.0599166666666666</v>
      </c>
      <c r="P89" s="28">
        <f t="shared" si="23"/>
        <v>1.5</v>
      </c>
      <c r="Q89" s="28">
        <f t="shared" si="23"/>
        <v>1.5</v>
      </c>
      <c r="R89" s="28">
        <f t="shared" si="23"/>
        <v>1.5</v>
      </c>
      <c r="S89" s="28">
        <f t="shared" si="23"/>
        <v>1.5</v>
      </c>
      <c r="T89" s="28">
        <f t="shared" si="23"/>
        <v>1.5</v>
      </c>
      <c r="U89" s="28">
        <f t="shared" si="23"/>
        <v>1.5</v>
      </c>
      <c r="V89" s="28">
        <f t="shared" si="23"/>
        <v>1.5</v>
      </c>
      <c r="W89" s="28">
        <f t="shared" si="23"/>
        <v>1.5</v>
      </c>
      <c r="X89" s="28">
        <f t="shared" si="23"/>
        <v>1.7019583333333335</v>
      </c>
      <c r="Y89" s="28">
        <f t="shared" si="23"/>
        <v>1.7965416666666667</v>
      </c>
      <c r="Z89" s="28">
        <f t="shared" si="23"/>
        <v>1.9855833333333335</v>
      </c>
      <c r="AA89" s="28">
        <f t="shared" si="23"/>
        <v>1.9985000000000002</v>
      </c>
      <c r="AB89" s="28">
        <f t="shared" si="23"/>
        <v>1.9998333333333336</v>
      </c>
      <c r="AC89" s="28">
        <f t="shared" si="23"/>
        <v>2</v>
      </c>
      <c r="AD89" s="28">
        <f t="shared" si="23"/>
        <v>1.9998333333333336</v>
      </c>
      <c r="AE89" s="28">
        <f t="shared" si="23"/>
        <v>2</v>
      </c>
      <c r="AF89" s="28">
        <f t="shared" si="23"/>
        <v>2</v>
      </c>
      <c r="AG89" s="28">
        <f t="shared" si="23"/>
        <v>0</v>
      </c>
      <c r="AH89" s="28">
        <f t="shared" si="23"/>
        <v>0</v>
      </c>
      <c r="AI89" s="28">
        <f t="shared" si="23"/>
        <v>0</v>
      </c>
      <c r="AJ89" s="28">
        <f t="shared" si="23"/>
        <v>0</v>
      </c>
      <c r="AK89" s="28">
        <f t="shared" si="23"/>
        <v>0</v>
      </c>
      <c r="AL89" s="28">
        <f t="shared" si="23"/>
        <v>0</v>
      </c>
    </row>
    <row r="90" spans="1:38" ht="21" hidden="1" customHeight="1" outlineLevel="1" thickBot="1" x14ac:dyDescent="0.4">
      <c r="A90" s="10">
        <f t="shared" si="24"/>
        <v>0</v>
      </c>
      <c r="B90" s="10">
        <f t="shared" si="24"/>
        <v>2</v>
      </c>
      <c r="C90" s="10">
        <f t="shared" si="24"/>
        <v>1</v>
      </c>
      <c r="D90" s="10">
        <f t="shared" si="24"/>
        <v>0</v>
      </c>
      <c r="E90" s="11" t="str">
        <f t="shared" si="20"/>
        <v>*GeSe2</v>
      </c>
      <c r="F90" s="28">
        <f t="shared" si="23"/>
        <v>0.5</v>
      </c>
      <c r="G90" s="28">
        <f t="shared" si="23"/>
        <v>0.5</v>
      </c>
      <c r="H90" s="28">
        <f t="shared" si="23"/>
        <v>0.5</v>
      </c>
      <c r="I90" s="28">
        <f t="shared" si="23"/>
        <v>0.5</v>
      </c>
      <c r="J90" s="28">
        <f t="shared" si="23"/>
        <v>2.8573750000000001E-8</v>
      </c>
      <c r="K90" s="28">
        <f t="shared" si="23"/>
        <v>1.4782916666666668E-17</v>
      </c>
      <c r="L90" s="28">
        <f t="shared" si="23"/>
        <v>1.4120833333333334E-20</v>
      </c>
      <c r="M90" s="28">
        <f t="shared" si="23"/>
        <v>1.2037916666666668E-28</v>
      </c>
      <c r="N90" s="28">
        <f t="shared" si="23"/>
        <v>0</v>
      </c>
      <c r="O90" s="28">
        <f t="shared" si="23"/>
        <v>0</v>
      </c>
      <c r="P90" s="28">
        <f t="shared" si="23"/>
        <v>0</v>
      </c>
      <c r="Q90" s="28">
        <f t="shared" si="23"/>
        <v>0</v>
      </c>
      <c r="R90" s="28">
        <f t="shared" si="23"/>
        <v>0</v>
      </c>
      <c r="S90" s="28">
        <f t="shared" si="23"/>
        <v>0</v>
      </c>
      <c r="T90" s="28">
        <f t="shared" si="23"/>
        <v>0</v>
      </c>
      <c r="U90" s="28">
        <f t="shared" si="23"/>
        <v>0</v>
      </c>
      <c r="V90" s="28">
        <f t="shared" si="23"/>
        <v>0</v>
      </c>
      <c r="W90" s="28">
        <f t="shared" si="23"/>
        <v>0</v>
      </c>
      <c r="X90" s="28">
        <f t="shared" si="23"/>
        <v>0</v>
      </c>
      <c r="Y90" s="28">
        <f t="shared" si="23"/>
        <v>0</v>
      </c>
      <c r="Z90" s="28">
        <f t="shared" si="23"/>
        <v>0</v>
      </c>
      <c r="AA90" s="28">
        <f t="shared" si="23"/>
        <v>0</v>
      </c>
      <c r="AB90" s="28">
        <f t="shared" si="23"/>
        <v>0</v>
      </c>
      <c r="AC90" s="28">
        <f t="shared" si="23"/>
        <v>0</v>
      </c>
      <c r="AD90" s="28">
        <f t="shared" si="23"/>
        <v>0</v>
      </c>
      <c r="AE90" s="28">
        <f t="shared" si="23"/>
        <v>0</v>
      </c>
      <c r="AF90" s="28">
        <f t="shared" si="23"/>
        <v>0</v>
      </c>
      <c r="AG90" s="28">
        <f t="shared" si="23"/>
        <v>0</v>
      </c>
      <c r="AH90" s="28">
        <f t="shared" si="23"/>
        <v>0</v>
      </c>
      <c r="AI90" s="28">
        <f t="shared" si="23"/>
        <v>0</v>
      </c>
      <c r="AJ90" s="28">
        <f t="shared" si="23"/>
        <v>0</v>
      </c>
      <c r="AK90" s="28">
        <f t="shared" si="23"/>
        <v>0</v>
      </c>
      <c r="AL90" s="28">
        <f t="shared" si="23"/>
        <v>0</v>
      </c>
    </row>
    <row r="91" spans="1:38" ht="21" hidden="1" customHeight="1" outlineLevel="1" thickBot="1" x14ac:dyDescent="0.4">
      <c r="A91" s="10">
        <f t="shared" si="24"/>
        <v>0</v>
      </c>
      <c r="B91" s="10">
        <f t="shared" si="24"/>
        <v>3</v>
      </c>
      <c r="C91" s="10">
        <f t="shared" si="24"/>
        <v>0</v>
      </c>
      <c r="D91" s="10">
        <f t="shared" si="24"/>
        <v>2</v>
      </c>
      <c r="E91" s="11" t="str">
        <f t="shared" si="20"/>
        <v>Ga2Se3</v>
      </c>
      <c r="F91" s="28">
        <f t="shared" si="23"/>
        <v>0.16666666666666669</v>
      </c>
      <c r="G91" s="28">
        <f t="shared" si="23"/>
        <v>0.16666666666666669</v>
      </c>
      <c r="H91" s="28">
        <f t="shared" si="23"/>
        <v>0.16666666666666669</v>
      </c>
      <c r="I91" s="28">
        <f t="shared" si="23"/>
        <v>0.16666666666666669</v>
      </c>
      <c r="J91" s="28">
        <f t="shared" si="23"/>
        <v>0.16666666666666669</v>
      </c>
      <c r="K91" s="28">
        <f t="shared" si="23"/>
        <v>0.16666666666666669</v>
      </c>
      <c r="L91" s="28">
        <f t="shared" si="23"/>
        <v>0.16666666666666669</v>
      </c>
      <c r="M91" s="28">
        <f t="shared" si="23"/>
        <v>0.16666666666666669</v>
      </c>
      <c r="N91" s="28">
        <f t="shared" si="23"/>
        <v>0.16666666666666669</v>
      </c>
      <c r="O91" s="28">
        <f t="shared" si="23"/>
        <v>0.16666666666666669</v>
      </c>
      <c r="P91" s="28">
        <f t="shared" si="23"/>
        <v>0.16666666666666669</v>
      </c>
      <c r="Q91" s="28">
        <f t="shared" si="23"/>
        <v>0.16666666666666669</v>
      </c>
      <c r="R91" s="28">
        <f t="shared" si="23"/>
        <v>0.16666666666666669</v>
      </c>
      <c r="S91" s="28">
        <f t="shared" si="23"/>
        <v>0.16666666666666669</v>
      </c>
      <c r="T91" s="28">
        <f t="shared" si="23"/>
        <v>0.16666666666666669</v>
      </c>
      <c r="U91" s="28">
        <f t="shared" si="23"/>
        <v>0.16666666666666669</v>
      </c>
      <c r="V91" s="28">
        <f t="shared" si="23"/>
        <v>0.16666666666666669</v>
      </c>
      <c r="W91" s="28">
        <f t="shared" si="23"/>
        <v>0.16666666666666669</v>
      </c>
      <c r="X91" s="28">
        <f t="shared" si="23"/>
        <v>6.568750000000001E-2</v>
      </c>
      <c r="Y91" s="28">
        <f t="shared" si="23"/>
        <v>1.839375E-2</v>
      </c>
      <c r="Z91" s="28">
        <f t="shared" si="23"/>
        <v>4.8045833333333334E-3</v>
      </c>
      <c r="AA91" s="28">
        <f t="shared" si="23"/>
        <v>4.9995833333333337E-4</v>
      </c>
      <c r="AB91" s="28">
        <f t="shared" si="23"/>
        <v>5.6412500000000002E-5</v>
      </c>
      <c r="AC91" s="28">
        <f t="shared" si="23"/>
        <v>1.7459166666666669E-8</v>
      </c>
      <c r="AD91" s="28">
        <f t="shared" ref="AD91:AL91" si="25">AD11*$C$82</f>
        <v>5.6412500000000002E-5</v>
      </c>
      <c r="AE91" s="28">
        <f t="shared" si="25"/>
        <v>1.7459166666666669E-8</v>
      </c>
      <c r="AF91" s="28">
        <f t="shared" si="25"/>
        <v>1.1743333333333335E-11</v>
      </c>
      <c r="AG91" s="28">
        <f t="shared" si="25"/>
        <v>0</v>
      </c>
      <c r="AH91" s="28">
        <f t="shared" si="25"/>
        <v>0</v>
      </c>
      <c r="AI91" s="28">
        <f t="shared" si="25"/>
        <v>0</v>
      </c>
      <c r="AJ91" s="28">
        <f t="shared" si="25"/>
        <v>0</v>
      </c>
      <c r="AK91" s="28">
        <f t="shared" si="25"/>
        <v>0</v>
      </c>
      <c r="AL91" s="28">
        <f t="shared" si="25"/>
        <v>0</v>
      </c>
    </row>
    <row r="92" spans="1:38" ht="21" hidden="1" customHeight="1" outlineLevel="1" thickBot="1" x14ac:dyDescent="0.4">
      <c r="A92" s="10">
        <f t="shared" si="24"/>
        <v>0</v>
      </c>
      <c r="B92" s="10">
        <f t="shared" si="24"/>
        <v>1</v>
      </c>
      <c r="C92" s="10">
        <f t="shared" si="24"/>
        <v>0</v>
      </c>
      <c r="D92" s="10">
        <f t="shared" si="24"/>
        <v>2</v>
      </c>
      <c r="E92" s="11" t="str">
        <f t="shared" si="20"/>
        <v>Ga2Se</v>
      </c>
      <c r="F92" s="28">
        <f t="shared" ref="F92:AL99" si="26">F12*$C$82</f>
        <v>0</v>
      </c>
      <c r="G92" s="28">
        <f t="shared" si="26"/>
        <v>0</v>
      </c>
      <c r="H92" s="28">
        <f t="shared" si="26"/>
        <v>0</v>
      </c>
      <c r="I92" s="28">
        <f t="shared" si="26"/>
        <v>0</v>
      </c>
      <c r="J92" s="28">
        <f t="shared" si="26"/>
        <v>0</v>
      </c>
      <c r="K92" s="28">
        <f t="shared" si="26"/>
        <v>0</v>
      </c>
      <c r="L92" s="28">
        <f t="shared" si="26"/>
        <v>3.4526666666666668E-34</v>
      </c>
      <c r="M92" s="28">
        <f t="shared" si="26"/>
        <v>1.6473333333333335E-31</v>
      </c>
      <c r="N92" s="28">
        <f t="shared" si="26"/>
        <v>4.9174999999999999E-29</v>
      </c>
      <c r="O92" s="28">
        <f t="shared" si="26"/>
        <v>9.6583333333333333E-27</v>
      </c>
      <c r="P92" s="28">
        <f t="shared" si="26"/>
        <v>1.3213333333333334E-24</v>
      </c>
      <c r="Q92" s="28">
        <f t="shared" si="26"/>
        <v>1.2955416666666668E-22</v>
      </c>
      <c r="R92" s="28">
        <f t="shared" si="26"/>
        <v>9.4520833333333337E-21</v>
      </c>
      <c r="S92" s="28">
        <f t="shared" si="26"/>
        <v>5.2850000000000002E-19</v>
      </c>
      <c r="T92" s="28">
        <f t="shared" si="26"/>
        <v>5.7533333333333337E-13</v>
      </c>
      <c r="U92" s="28">
        <f t="shared" si="26"/>
        <v>1.1787500000000002E-11</v>
      </c>
      <c r="V92" s="28">
        <f t="shared" si="26"/>
        <v>2.0744166666666668E-10</v>
      </c>
      <c r="W92" s="28">
        <f t="shared" si="26"/>
        <v>3.1742499999999999E-9</v>
      </c>
      <c r="X92" s="28">
        <f t="shared" si="26"/>
        <v>1.6827916666666668E-8</v>
      </c>
      <c r="Y92" s="28">
        <f t="shared" si="26"/>
        <v>5.6270833333333343E-8</v>
      </c>
      <c r="Z92" s="28">
        <f t="shared" si="26"/>
        <v>1.5719583333333333E-7</v>
      </c>
      <c r="AA92" s="28">
        <f t="shared" si="26"/>
        <v>1.5794166666666668E-7</v>
      </c>
      <c r="AB92" s="28">
        <f t="shared" si="26"/>
        <v>1.56475E-7</v>
      </c>
      <c r="AC92" s="28">
        <f t="shared" si="26"/>
        <v>1.2581666666666668E-7</v>
      </c>
      <c r="AD92" s="28">
        <f t="shared" si="26"/>
        <v>1.56475E-7</v>
      </c>
      <c r="AE92" s="28">
        <f t="shared" si="26"/>
        <v>1.2581666666666668E-7</v>
      </c>
      <c r="AF92" s="28">
        <f t="shared" si="26"/>
        <v>7.409166666666667E-8</v>
      </c>
      <c r="AG92" s="28">
        <f t="shared" si="26"/>
        <v>0</v>
      </c>
      <c r="AH92" s="28">
        <f t="shared" si="26"/>
        <v>0</v>
      </c>
      <c r="AI92" s="28">
        <f t="shared" si="26"/>
        <v>0</v>
      </c>
      <c r="AJ92" s="28">
        <f t="shared" si="26"/>
        <v>0</v>
      </c>
      <c r="AK92" s="28">
        <f t="shared" si="26"/>
        <v>0</v>
      </c>
      <c r="AL92" s="28">
        <f t="shared" si="26"/>
        <v>0</v>
      </c>
    </row>
    <row r="93" spans="1:38" ht="21" hidden="1" customHeight="1" outlineLevel="1" thickBot="1" x14ac:dyDescent="0.4">
      <c r="A93" s="10">
        <f t="shared" si="24"/>
        <v>1</v>
      </c>
      <c r="B93" s="10">
        <f t="shared" si="24"/>
        <v>0</v>
      </c>
      <c r="C93" s="10">
        <f t="shared" si="24"/>
        <v>0</v>
      </c>
      <c r="D93" s="10">
        <f t="shared" si="24"/>
        <v>0</v>
      </c>
      <c r="E93" s="11" t="str">
        <f t="shared" si="20"/>
        <v>Ar</v>
      </c>
      <c r="F93" s="28">
        <f t="shared" si="26"/>
        <v>0.83333333333333348</v>
      </c>
      <c r="G93" s="28">
        <f t="shared" si="26"/>
        <v>0.83333333333333348</v>
      </c>
      <c r="H93" s="28">
        <f t="shared" si="26"/>
        <v>0.83333333333333348</v>
      </c>
      <c r="I93" s="28">
        <f t="shared" si="26"/>
        <v>0.83333333333333348</v>
      </c>
      <c r="J93" s="28">
        <f t="shared" si="26"/>
        <v>0.83333333333333348</v>
      </c>
      <c r="K93" s="28">
        <f t="shared" si="26"/>
        <v>0.83333333333333348</v>
      </c>
      <c r="L93" s="28">
        <f t="shared" si="26"/>
        <v>0.83333333333333348</v>
      </c>
      <c r="M93" s="28">
        <f t="shared" si="26"/>
        <v>0.83333333333333348</v>
      </c>
      <c r="N93" s="28">
        <f t="shared" si="26"/>
        <v>0.83333333333333348</v>
      </c>
      <c r="O93" s="28">
        <f t="shared" si="26"/>
        <v>0.83333333333333348</v>
      </c>
      <c r="P93" s="28">
        <f t="shared" si="26"/>
        <v>0.83333333333333348</v>
      </c>
      <c r="Q93" s="28">
        <f t="shared" si="26"/>
        <v>0.83333333333333348</v>
      </c>
      <c r="R93" s="28">
        <f t="shared" si="26"/>
        <v>0.83333333333333348</v>
      </c>
      <c r="S93" s="28">
        <f t="shared" si="26"/>
        <v>0.83333333333333348</v>
      </c>
      <c r="T93" s="28">
        <f t="shared" si="26"/>
        <v>0.83333333333333348</v>
      </c>
      <c r="U93" s="28">
        <f t="shared" si="26"/>
        <v>0.83333333333333348</v>
      </c>
      <c r="V93" s="28">
        <f t="shared" si="26"/>
        <v>0.83333333333333348</v>
      </c>
      <c r="W93" s="28">
        <f t="shared" si="26"/>
        <v>0.83333333333333348</v>
      </c>
      <c r="X93" s="28">
        <f t="shared" si="26"/>
        <v>0.83333333333333348</v>
      </c>
      <c r="Y93" s="28">
        <f t="shared" si="26"/>
        <v>0.83333333333333348</v>
      </c>
      <c r="Z93" s="28">
        <f t="shared" si="26"/>
        <v>0.83333333333333348</v>
      </c>
      <c r="AA93" s="28">
        <f t="shared" si="26"/>
        <v>0.83333333333333348</v>
      </c>
      <c r="AB93" s="28">
        <f t="shared" si="26"/>
        <v>0.83333333333333348</v>
      </c>
      <c r="AC93" s="28">
        <f t="shared" si="26"/>
        <v>0.83333333333333348</v>
      </c>
      <c r="AD93" s="28">
        <f t="shared" si="26"/>
        <v>0.83333333333333348</v>
      </c>
      <c r="AE93" s="28">
        <f t="shared" si="26"/>
        <v>0.83333333333333348</v>
      </c>
      <c r="AF93" s="28">
        <f t="shared" si="26"/>
        <v>0.83333333333333348</v>
      </c>
      <c r="AG93" s="28">
        <f t="shared" si="26"/>
        <v>0</v>
      </c>
      <c r="AH93" s="28">
        <f t="shared" si="26"/>
        <v>0</v>
      </c>
      <c r="AI93" s="28">
        <f t="shared" si="26"/>
        <v>0</v>
      </c>
      <c r="AJ93" s="28">
        <f t="shared" si="26"/>
        <v>0</v>
      </c>
      <c r="AK93" s="28">
        <f t="shared" si="26"/>
        <v>0</v>
      </c>
      <c r="AL93" s="28">
        <f t="shared" si="26"/>
        <v>0</v>
      </c>
    </row>
    <row r="94" spans="1:38" ht="21" hidden="1" customHeight="1" outlineLevel="1" thickBot="1" x14ac:dyDescent="0.4">
      <c r="A94" s="10">
        <f t="shared" si="24"/>
        <v>0</v>
      </c>
      <c r="B94" s="10">
        <f t="shared" si="24"/>
        <v>0</v>
      </c>
      <c r="C94" s="10">
        <f t="shared" si="24"/>
        <v>0</v>
      </c>
      <c r="D94" s="10">
        <f t="shared" si="24"/>
        <v>1</v>
      </c>
      <c r="E94" s="11" t="str">
        <f t="shared" si="20"/>
        <v>(1)Ga[l]</v>
      </c>
      <c r="F94" s="28">
        <f t="shared" si="26"/>
        <v>0</v>
      </c>
      <c r="G94" s="28">
        <f t="shared" si="26"/>
        <v>0</v>
      </c>
      <c r="H94" s="28">
        <f t="shared" si="26"/>
        <v>0</v>
      </c>
      <c r="I94" s="28">
        <f t="shared" si="26"/>
        <v>0</v>
      </c>
      <c r="J94" s="28">
        <f t="shared" si="26"/>
        <v>0</v>
      </c>
      <c r="K94" s="28">
        <f t="shared" si="26"/>
        <v>0</v>
      </c>
      <c r="L94" s="28">
        <f t="shared" si="26"/>
        <v>0</v>
      </c>
      <c r="M94" s="28">
        <f t="shared" si="26"/>
        <v>0</v>
      </c>
      <c r="N94" s="28">
        <f t="shared" si="26"/>
        <v>0</v>
      </c>
      <c r="O94" s="28">
        <f t="shared" si="26"/>
        <v>0</v>
      </c>
      <c r="P94" s="28">
        <f t="shared" si="26"/>
        <v>0</v>
      </c>
      <c r="Q94" s="28">
        <f t="shared" si="26"/>
        <v>6.4316666666666673E-32</v>
      </c>
      <c r="R94" s="28">
        <f t="shared" si="26"/>
        <v>9.3504166666666677E-26</v>
      </c>
      <c r="S94" s="28">
        <f t="shared" si="26"/>
        <v>8.383333333333334E-20</v>
      </c>
      <c r="T94" s="28">
        <f t="shared" si="26"/>
        <v>1.5505833333333335E-12</v>
      </c>
      <c r="U94" s="28">
        <f t="shared" si="26"/>
        <v>3.4787083333333334E-12</v>
      </c>
      <c r="V94" s="28">
        <f t="shared" si="26"/>
        <v>5.0979166666666672E-11</v>
      </c>
      <c r="W94" s="28">
        <f t="shared" si="26"/>
        <v>2.376291666666667E-12</v>
      </c>
      <c r="X94" s="28">
        <f t="shared" si="26"/>
        <v>1.911416666666667E-8</v>
      </c>
      <c r="Y94" s="28">
        <f t="shared" si="26"/>
        <v>1.6523333333333335E-7</v>
      </c>
      <c r="Z94" s="28">
        <f t="shared" si="26"/>
        <v>0.32372083333333335</v>
      </c>
      <c r="AA94" s="28">
        <f t="shared" si="26"/>
        <v>0.33233333333333337</v>
      </c>
      <c r="AB94" s="28">
        <f t="shared" si="26"/>
        <v>0.33322083333333335</v>
      </c>
      <c r="AC94" s="28">
        <f t="shared" si="26"/>
        <v>0.33333333333333337</v>
      </c>
      <c r="AD94" s="28">
        <f t="shared" si="26"/>
        <v>0.33322083333333335</v>
      </c>
      <c r="AE94" s="28">
        <f t="shared" si="26"/>
        <v>0.33333333333333337</v>
      </c>
      <c r="AF94" s="28">
        <f t="shared" si="26"/>
        <v>0.33333333333333337</v>
      </c>
      <c r="AG94" s="28">
        <f t="shared" si="26"/>
        <v>0</v>
      </c>
      <c r="AH94" s="28">
        <f t="shared" si="26"/>
        <v>0</v>
      </c>
      <c r="AI94" s="28">
        <f t="shared" si="26"/>
        <v>0</v>
      </c>
      <c r="AJ94" s="28">
        <f t="shared" si="26"/>
        <v>0</v>
      </c>
      <c r="AK94" s="28">
        <f t="shared" si="26"/>
        <v>0</v>
      </c>
      <c r="AL94" s="28">
        <f t="shared" si="26"/>
        <v>0</v>
      </c>
    </row>
    <row r="95" spans="1:38" ht="21" hidden="1" customHeight="1" outlineLevel="1" thickBot="1" x14ac:dyDescent="0.4">
      <c r="A95" s="10">
        <f t="shared" si="24"/>
        <v>0</v>
      </c>
      <c r="B95" s="10">
        <f t="shared" si="24"/>
        <v>0</v>
      </c>
      <c r="C95" s="10">
        <f t="shared" si="24"/>
        <v>1</v>
      </c>
      <c r="D95" s="10">
        <f t="shared" si="24"/>
        <v>0</v>
      </c>
      <c r="E95" s="11" t="str">
        <f t="shared" si="20"/>
        <v>(1)Ge[l]</v>
      </c>
      <c r="F95" s="28">
        <f t="shared" si="26"/>
        <v>0</v>
      </c>
      <c r="G95" s="28">
        <f t="shared" si="26"/>
        <v>0</v>
      </c>
      <c r="H95" s="28">
        <f t="shared" si="26"/>
        <v>0</v>
      </c>
      <c r="I95" s="28">
        <f t="shared" si="26"/>
        <v>0</v>
      </c>
      <c r="J95" s="28">
        <f t="shared" si="26"/>
        <v>0</v>
      </c>
      <c r="K95" s="28">
        <f t="shared" si="26"/>
        <v>0</v>
      </c>
      <c r="L95" s="28">
        <f t="shared" si="26"/>
        <v>0</v>
      </c>
      <c r="M95" s="28">
        <f t="shared" si="26"/>
        <v>0</v>
      </c>
      <c r="N95" s="28">
        <f t="shared" si="26"/>
        <v>0</v>
      </c>
      <c r="O95" s="28">
        <f t="shared" si="26"/>
        <v>0</v>
      </c>
      <c r="P95" s="28">
        <f t="shared" si="26"/>
        <v>0</v>
      </c>
      <c r="Q95" s="28">
        <f t="shared" si="26"/>
        <v>1.2449166666666666E-26</v>
      </c>
      <c r="R95" s="28">
        <f t="shared" si="26"/>
        <v>3.3299583333333333E-21</v>
      </c>
      <c r="S95" s="28">
        <f t="shared" si="26"/>
        <v>6.0375E-16</v>
      </c>
      <c r="T95" s="28">
        <f t="shared" si="26"/>
        <v>4.0881666666666671E-11</v>
      </c>
      <c r="U95" s="28">
        <f t="shared" si="26"/>
        <v>2.6567083333333335E-11</v>
      </c>
      <c r="V95" s="28">
        <f t="shared" si="26"/>
        <v>1.1880416666666669E-10</v>
      </c>
      <c r="W95" s="28">
        <f t="shared" si="26"/>
        <v>1.7826666666666669E-12</v>
      </c>
      <c r="X95" s="28">
        <f t="shared" si="26"/>
        <v>7.3049999999999999E-9</v>
      </c>
      <c r="Y95" s="28">
        <f t="shared" si="26"/>
        <v>4.0912500000000003E-8</v>
      </c>
      <c r="Z95" s="28">
        <f t="shared" si="26"/>
        <v>5.7045833333333337E-2</v>
      </c>
      <c r="AA95" s="28">
        <f t="shared" si="26"/>
        <v>6.8925000000000014E-2</v>
      </c>
      <c r="AB95" s="28">
        <f t="shared" si="26"/>
        <v>8.1058333333333329E-2</v>
      </c>
      <c r="AC95" s="28">
        <f t="shared" si="26"/>
        <v>0.15068333333333336</v>
      </c>
      <c r="AD95" s="28">
        <f t="shared" si="26"/>
        <v>8.1058333333333329E-2</v>
      </c>
      <c r="AE95" s="28">
        <f t="shared" si="26"/>
        <v>0.15068333333333336</v>
      </c>
      <c r="AF95" s="28">
        <f t="shared" si="26"/>
        <v>0.28385000000000005</v>
      </c>
      <c r="AG95" s="28">
        <f t="shared" si="26"/>
        <v>0</v>
      </c>
      <c r="AH95" s="28">
        <f t="shared" si="26"/>
        <v>0</v>
      </c>
      <c r="AI95" s="28">
        <f t="shared" si="26"/>
        <v>0</v>
      </c>
      <c r="AJ95" s="28">
        <f t="shared" si="26"/>
        <v>0</v>
      </c>
      <c r="AK95" s="28">
        <f t="shared" si="26"/>
        <v>0</v>
      </c>
      <c r="AL95" s="28">
        <f t="shared" si="26"/>
        <v>0</v>
      </c>
    </row>
    <row r="96" spans="1:38" ht="21" hidden="1" customHeight="1" outlineLevel="1" thickBot="1" x14ac:dyDescent="0.4">
      <c r="A96" s="10">
        <f t="shared" si="24"/>
        <v>1</v>
      </c>
      <c r="B96" s="10">
        <f t="shared" si="24"/>
        <v>0</v>
      </c>
      <c r="C96" s="10">
        <f t="shared" si="24"/>
        <v>0</v>
      </c>
      <c r="D96" s="10">
        <f t="shared" si="24"/>
        <v>0</v>
      </c>
      <c r="E96" s="11" t="str">
        <f t="shared" si="20"/>
        <v>H (Ar)</v>
      </c>
      <c r="F96" s="28">
        <f t="shared" si="26"/>
        <v>-78.333333333333343</v>
      </c>
      <c r="G96" s="28">
        <f t="shared" si="26"/>
        <v>-78.291666666666671</v>
      </c>
      <c r="H96" s="28">
        <f t="shared" si="26"/>
        <v>-78.333333333333343</v>
      </c>
      <c r="I96" s="28">
        <f t="shared" si="26"/>
        <v>-78.375</v>
      </c>
      <c r="J96" s="28">
        <f t="shared" si="26"/>
        <v>-78.458333333333329</v>
      </c>
      <c r="K96" s="28">
        <f t="shared" si="26"/>
        <v>-78.958333333333343</v>
      </c>
      <c r="L96" s="28">
        <f t="shared" si="26"/>
        <v>-79.125</v>
      </c>
      <c r="M96" s="28">
        <f t="shared" si="26"/>
        <v>-79.291666666666671</v>
      </c>
      <c r="N96" s="28">
        <f t="shared" si="26"/>
        <v>-79.458333333333343</v>
      </c>
      <c r="O96" s="28">
        <f t="shared" si="26"/>
        <v>-79.625</v>
      </c>
      <c r="P96" s="28">
        <f t="shared" si="26"/>
        <v>-79.791666666666671</v>
      </c>
      <c r="Q96" s="28">
        <f t="shared" si="26"/>
        <v>-79.958333333333343</v>
      </c>
      <c r="R96" s="28">
        <f t="shared" si="26"/>
        <v>-80.125000000000014</v>
      </c>
      <c r="S96" s="28">
        <f t="shared" si="26"/>
        <v>-80.333333333333343</v>
      </c>
      <c r="T96" s="28">
        <f t="shared" si="26"/>
        <v>-81.000000000000014</v>
      </c>
      <c r="U96" s="28">
        <f t="shared" si="26"/>
        <v>-81.208333333333329</v>
      </c>
      <c r="V96" s="28">
        <f t="shared" si="26"/>
        <v>-81.375000000000014</v>
      </c>
      <c r="W96" s="28">
        <f t="shared" si="26"/>
        <v>-81.541666666666671</v>
      </c>
      <c r="X96" s="28">
        <f t="shared" si="26"/>
        <v>-81.25</v>
      </c>
      <c r="Y96" s="28">
        <f t="shared" si="26"/>
        <v>-81.208333333333329</v>
      </c>
      <c r="Z96" s="28">
        <f t="shared" si="26"/>
        <v>-81.291666666666686</v>
      </c>
      <c r="AA96" s="28">
        <f t="shared" si="26"/>
        <v>-81.458333333333343</v>
      </c>
      <c r="AB96" s="28">
        <f t="shared" si="26"/>
        <v>-81.625</v>
      </c>
      <c r="AC96" s="28">
        <f t="shared" si="26"/>
        <v>-82.25</v>
      </c>
      <c r="AD96" s="28">
        <f t="shared" si="26"/>
        <v>-81.625</v>
      </c>
      <c r="AE96" s="28">
        <f t="shared" si="26"/>
        <v>-82.25</v>
      </c>
      <c r="AF96" s="28">
        <f t="shared" si="26"/>
        <v>-82.833333333333329</v>
      </c>
      <c r="AG96" s="28">
        <f t="shared" si="26"/>
        <v>0</v>
      </c>
      <c r="AH96" s="28">
        <f t="shared" si="26"/>
        <v>0</v>
      </c>
      <c r="AI96" s="28">
        <f t="shared" si="26"/>
        <v>0</v>
      </c>
      <c r="AJ96" s="28">
        <f t="shared" si="26"/>
        <v>0</v>
      </c>
      <c r="AK96" s="28">
        <f t="shared" si="26"/>
        <v>0</v>
      </c>
      <c r="AL96" s="28">
        <f t="shared" si="26"/>
        <v>0</v>
      </c>
    </row>
    <row r="97" spans="1:38" ht="21" hidden="1" customHeight="1" outlineLevel="1" thickBot="1" x14ac:dyDescent="0.4">
      <c r="A97" s="10">
        <f t="shared" si="24"/>
        <v>0</v>
      </c>
      <c r="B97" s="10">
        <f t="shared" si="24"/>
        <v>0</v>
      </c>
      <c r="C97" s="10">
        <f t="shared" si="24"/>
        <v>0</v>
      </c>
      <c r="D97" s="10">
        <f t="shared" si="24"/>
        <v>1</v>
      </c>
      <c r="E97" s="11" t="str">
        <f t="shared" si="20"/>
        <v>H (Ga)</v>
      </c>
      <c r="F97" s="28">
        <f t="shared" si="26"/>
        <v>-276.91666666666669</v>
      </c>
      <c r="G97" s="28">
        <f t="shared" si="26"/>
        <v>-259.375</v>
      </c>
      <c r="H97" s="28">
        <f t="shared" si="26"/>
        <v>-244.16666666666669</v>
      </c>
      <c r="I97" s="28">
        <f t="shared" si="26"/>
        <v>-230.875</v>
      </c>
      <c r="J97" s="28">
        <f t="shared" si="26"/>
        <v>-215.08333333333334</v>
      </c>
      <c r="K97" s="28">
        <f t="shared" si="26"/>
        <v>-155.25</v>
      </c>
      <c r="L97" s="28">
        <f t="shared" si="26"/>
        <v>-143.33333333333334</v>
      </c>
      <c r="M97" s="28">
        <f t="shared" si="26"/>
        <v>-132.33333333333334</v>
      </c>
      <c r="N97" s="28">
        <f t="shared" si="26"/>
        <v>-122.125</v>
      </c>
      <c r="O97" s="28">
        <f t="shared" si="26"/>
        <v>-112.62500000000001</v>
      </c>
      <c r="P97" s="28">
        <f t="shared" si="26"/>
        <v>-103.75</v>
      </c>
      <c r="Q97" s="28">
        <f t="shared" si="26"/>
        <v>-95.458333333333343</v>
      </c>
      <c r="R97" s="28">
        <f t="shared" si="26"/>
        <v>-87.666666666666671</v>
      </c>
      <c r="S97" s="28">
        <f t="shared" si="26"/>
        <v>-80.333333333333343</v>
      </c>
      <c r="T97" s="28">
        <f t="shared" si="26"/>
        <v>-54.750000000000007</v>
      </c>
      <c r="U97" s="28">
        <f t="shared" si="26"/>
        <v>-49.166666666666671</v>
      </c>
      <c r="V97" s="28">
        <f t="shared" si="26"/>
        <v>-43.833333333333336</v>
      </c>
      <c r="W97" s="28">
        <f t="shared" si="26"/>
        <v>-38.725000000000001</v>
      </c>
      <c r="X97" s="28">
        <f t="shared" si="26"/>
        <v>-35.57083333333334</v>
      </c>
      <c r="Y97" s="28">
        <f t="shared" si="26"/>
        <v>-33.445833333333333</v>
      </c>
      <c r="Z97" s="28">
        <f t="shared" si="26"/>
        <v>-31.737500000000001</v>
      </c>
      <c r="AA97" s="28">
        <f t="shared" si="26"/>
        <v>-32.145833333333336</v>
      </c>
      <c r="AB97" s="28">
        <f t="shared" si="26"/>
        <v>-32.562500000000007</v>
      </c>
      <c r="AC97" s="28">
        <f t="shared" si="26"/>
        <v>-34.31666666666667</v>
      </c>
      <c r="AD97" s="28">
        <f t="shared" si="26"/>
        <v>-32.562500000000007</v>
      </c>
      <c r="AE97" s="28">
        <f t="shared" si="26"/>
        <v>-34.31666666666667</v>
      </c>
      <c r="AF97" s="28">
        <f t="shared" si="26"/>
        <v>-36.354166666666664</v>
      </c>
      <c r="AG97" s="28">
        <f t="shared" si="26"/>
        <v>0</v>
      </c>
      <c r="AH97" s="28">
        <f t="shared" si="26"/>
        <v>0</v>
      </c>
      <c r="AI97" s="28">
        <f t="shared" si="26"/>
        <v>0</v>
      </c>
      <c r="AJ97" s="28">
        <f t="shared" si="26"/>
        <v>0</v>
      </c>
      <c r="AK97" s="28">
        <f t="shared" si="26"/>
        <v>0</v>
      </c>
      <c r="AL97" s="28">
        <f t="shared" si="26"/>
        <v>0</v>
      </c>
    </row>
    <row r="98" spans="1:38" ht="21" hidden="1" customHeight="1" outlineLevel="1" thickBot="1" x14ac:dyDescent="0.4">
      <c r="A98" s="10">
        <f t="shared" si="24"/>
        <v>0</v>
      </c>
      <c r="B98" s="10">
        <f t="shared" si="24"/>
        <v>0</v>
      </c>
      <c r="C98" s="10">
        <f t="shared" si="24"/>
        <v>1</v>
      </c>
      <c r="D98" s="10">
        <f t="shared" si="24"/>
        <v>0</v>
      </c>
      <c r="E98" s="11" t="str">
        <f t="shared" si="20"/>
        <v>H (Ge)</v>
      </c>
      <c r="F98" s="28">
        <f t="shared" si="26"/>
        <v>-67.875</v>
      </c>
      <c r="G98" s="28">
        <f t="shared" si="26"/>
        <v>-64.666666666666671</v>
      </c>
      <c r="H98" s="28">
        <f t="shared" si="26"/>
        <v>-61.916666666666671</v>
      </c>
      <c r="I98" s="28">
        <f t="shared" si="26"/>
        <v>-59.583333333333343</v>
      </c>
      <c r="J98" s="28">
        <f t="shared" si="26"/>
        <v>-54.875000000000007</v>
      </c>
      <c r="K98" s="28">
        <f t="shared" si="26"/>
        <v>-32.970833333333339</v>
      </c>
      <c r="L98" s="28">
        <f t="shared" si="26"/>
        <v>-28.545833333333334</v>
      </c>
      <c r="M98" s="28">
        <f t="shared" si="26"/>
        <v>-24.445833333333336</v>
      </c>
      <c r="N98" s="28">
        <f t="shared" si="26"/>
        <v>-20.620833333333334</v>
      </c>
      <c r="O98" s="28">
        <f t="shared" si="26"/>
        <v>-17.074999999999999</v>
      </c>
      <c r="P98" s="28">
        <f t="shared" si="26"/>
        <v>-17.291666666666668</v>
      </c>
      <c r="Q98" s="28">
        <f t="shared" si="26"/>
        <v>-17.500000000000004</v>
      </c>
      <c r="R98" s="28">
        <f t="shared" si="26"/>
        <v>-17.704166666666666</v>
      </c>
      <c r="S98" s="28">
        <f t="shared" si="26"/>
        <v>-17.912500000000001</v>
      </c>
      <c r="T98" s="28">
        <f t="shared" si="26"/>
        <v>-18.745833333333334</v>
      </c>
      <c r="U98" s="28">
        <f t="shared" si="26"/>
        <v>-18.954166666666669</v>
      </c>
      <c r="V98" s="28">
        <f t="shared" si="26"/>
        <v>-19.158333333333335</v>
      </c>
      <c r="W98" s="28">
        <f t="shared" si="26"/>
        <v>-19.362500000000001</v>
      </c>
      <c r="X98" s="28">
        <f t="shared" si="26"/>
        <v>-19.566666666666666</v>
      </c>
      <c r="Y98" s="28">
        <f t="shared" si="26"/>
        <v>-19.766666666666666</v>
      </c>
      <c r="Z98" s="28">
        <f t="shared" si="26"/>
        <v>-19.966666666666669</v>
      </c>
      <c r="AA98" s="28">
        <f t="shared" si="26"/>
        <v>-20.166666666666668</v>
      </c>
      <c r="AB98" s="28">
        <f t="shared" si="26"/>
        <v>-20.362500000000001</v>
      </c>
      <c r="AC98" s="28">
        <f t="shared" si="26"/>
        <v>-21.129166666666666</v>
      </c>
      <c r="AD98" s="28">
        <f t="shared" si="26"/>
        <v>-20.362500000000001</v>
      </c>
      <c r="AE98" s="28">
        <f t="shared" si="26"/>
        <v>-21.129166666666666</v>
      </c>
      <c r="AF98" s="28">
        <f t="shared" si="26"/>
        <v>-21.870833333333334</v>
      </c>
      <c r="AG98" s="28">
        <f t="shared" si="26"/>
        <v>0</v>
      </c>
      <c r="AH98" s="28">
        <f t="shared" si="26"/>
        <v>0</v>
      </c>
      <c r="AI98" s="28">
        <f t="shared" si="26"/>
        <v>0</v>
      </c>
      <c r="AJ98" s="28">
        <f t="shared" si="26"/>
        <v>0</v>
      </c>
      <c r="AK98" s="28">
        <f t="shared" si="26"/>
        <v>0</v>
      </c>
      <c r="AL98" s="28">
        <f t="shared" si="26"/>
        <v>0</v>
      </c>
    </row>
    <row r="99" spans="1:38" ht="21" hidden="1" customHeight="1" outlineLevel="1" thickBot="1" x14ac:dyDescent="0.4">
      <c r="A99" s="10">
        <f t="shared" si="24"/>
        <v>0</v>
      </c>
      <c r="B99" s="10">
        <f t="shared" si="24"/>
        <v>1</v>
      </c>
      <c r="C99" s="10">
        <f t="shared" si="24"/>
        <v>0</v>
      </c>
      <c r="D99" s="10">
        <f t="shared" si="24"/>
        <v>0</v>
      </c>
      <c r="E99" s="11" t="str">
        <f t="shared" si="20"/>
        <v>H (Se)</v>
      </c>
      <c r="F99" s="28">
        <f t="shared" si="26"/>
        <v>-98</v>
      </c>
      <c r="G99" s="28">
        <f t="shared" si="26"/>
        <v>-92.416666666666671</v>
      </c>
      <c r="H99" s="28">
        <f t="shared" si="26"/>
        <v>-87.583333333333343</v>
      </c>
      <c r="I99" s="28">
        <f t="shared" si="26"/>
        <v>-83.375000000000014</v>
      </c>
      <c r="J99" s="28">
        <f t="shared" si="26"/>
        <v>-82.375</v>
      </c>
      <c r="K99" s="28">
        <f t="shared" si="26"/>
        <v>-87.375</v>
      </c>
      <c r="L99" s="28">
        <f t="shared" si="26"/>
        <v>-88.625</v>
      </c>
      <c r="M99" s="28">
        <f t="shared" si="26"/>
        <v>-89.916666666666671</v>
      </c>
      <c r="N99" s="28">
        <f t="shared" si="26"/>
        <v>-91.166666666666671</v>
      </c>
      <c r="O99" s="28">
        <f t="shared" si="26"/>
        <v>-92.416666666666671</v>
      </c>
      <c r="P99" s="28">
        <f t="shared" si="26"/>
        <v>-93.708333333333329</v>
      </c>
      <c r="Q99" s="28">
        <f t="shared" si="26"/>
        <v>-94.958333333333343</v>
      </c>
      <c r="R99" s="28">
        <f t="shared" si="26"/>
        <v>-96.166666666666671</v>
      </c>
      <c r="S99" s="28">
        <f t="shared" si="26"/>
        <v>-97.375000000000014</v>
      </c>
      <c r="T99" s="28">
        <f t="shared" si="26"/>
        <v>-102.12500000000001</v>
      </c>
      <c r="U99" s="28">
        <f t="shared" si="26"/>
        <v>-103.29166666666667</v>
      </c>
      <c r="V99" s="28">
        <f t="shared" si="26"/>
        <v>-104.41666666666667</v>
      </c>
      <c r="W99" s="28">
        <f t="shared" si="26"/>
        <v>-105.54166666666667</v>
      </c>
      <c r="X99" s="28">
        <f t="shared" si="26"/>
        <v>-106.66666666666669</v>
      </c>
      <c r="Y99" s="28">
        <f t="shared" si="26"/>
        <v>-107.79166666666667</v>
      </c>
      <c r="Z99" s="28">
        <f t="shared" si="26"/>
        <v>-108.875</v>
      </c>
      <c r="AA99" s="28">
        <f t="shared" si="26"/>
        <v>-109.95833333333334</v>
      </c>
      <c r="AB99" s="28">
        <f t="shared" si="26"/>
        <v>-111.04166666666667</v>
      </c>
      <c r="AC99" s="28">
        <f t="shared" si="26"/>
        <v>-115.20833333333333</v>
      </c>
      <c r="AD99" s="28">
        <f t="shared" ref="AD99:AL99" si="27">AD19*$C$82</f>
        <v>-111.04166666666667</v>
      </c>
      <c r="AE99" s="28">
        <f t="shared" si="27"/>
        <v>-115.20833333333333</v>
      </c>
      <c r="AF99" s="28">
        <f t="shared" si="27"/>
        <v>-119.25000000000001</v>
      </c>
      <c r="AG99" s="28">
        <f t="shared" si="27"/>
        <v>0</v>
      </c>
      <c r="AH99" s="28">
        <f t="shared" si="27"/>
        <v>0</v>
      </c>
      <c r="AI99" s="28">
        <f t="shared" si="27"/>
        <v>0</v>
      </c>
      <c r="AJ99" s="28">
        <f t="shared" si="27"/>
        <v>0</v>
      </c>
      <c r="AK99" s="28">
        <f t="shared" si="27"/>
        <v>0</v>
      </c>
      <c r="AL99" s="28">
        <f t="shared" si="27"/>
        <v>0</v>
      </c>
    </row>
    <row r="100" spans="1:38" ht="21" hidden="1" customHeight="1" outlineLevel="1" thickBot="1" x14ac:dyDescent="0.4">
      <c r="A100" s="10">
        <f t="shared" si="24"/>
        <v>0</v>
      </c>
      <c r="B100" s="10">
        <f t="shared" si="24"/>
        <v>0</v>
      </c>
      <c r="C100" s="10">
        <f t="shared" si="24"/>
        <v>0</v>
      </c>
      <c r="D100" s="10">
        <f t="shared" si="24"/>
        <v>0</v>
      </c>
      <c r="E100" s="11">
        <f t="shared" si="20"/>
        <v>0</v>
      </c>
      <c r="F100" s="28">
        <f t="shared" ref="F100:AL107" si="28">F20*$C$82</f>
        <v>0</v>
      </c>
      <c r="G100" s="28">
        <f t="shared" si="28"/>
        <v>0</v>
      </c>
      <c r="H100" s="28">
        <f t="shared" si="28"/>
        <v>0</v>
      </c>
      <c r="I100" s="28">
        <f t="shared" si="28"/>
        <v>0</v>
      </c>
      <c r="J100" s="28">
        <f t="shared" si="28"/>
        <v>0</v>
      </c>
      <c r="K100" s="28">
        <f t="shared" si="28"/>
        <v>0</v>
      </c>
      <c r="L100" s="28">
        <f t="shared" si="28"/>
        <v>0</v>
      </c>
      <c r="M100" s="28">
        <f t="shared" si="28"/>
        <v>0</v>
      </c>
      <c r="N100" s="28">
        <f t="shared" si="28"/>
        <v>0</v>
      </c>
      <c r="O100" s="28">
        <f t="shared" si="28"/>
        <v>0</v>
      </c>
      <c r="P100" s="28">
        <f t="shared" si="28"/>
        <v>0</v>
      </c>
      <c r="Q100" s="28">
        <f t="shared" si="28"/>
        <v>0</v>
      </c>
      <c r="R100" s="28">
        <f t="shared" si="28"/>
        <v>0</v>
      </c>
      <c r="S100" s="28">
        <f t="shared" si="28"/>
        <v>0</v>
      </c>
      <c r="T100" s="28">
        <f t="shared" si="28"/>
        <v>0</v>
      </c>
      <c r="U100" s="28">
        <f t="shared" si="28"/>
        <v>0</v>
      </c>
      <c r="V100" s="28">
        <f t="shared" si="28"/>
        <v>0</v>
      </c>
      <c r="W100" s="28">
        <f t="shared" si="28"/>
        <v>0</v>
      </c>
      <c r="X100" s="28">
        <f t="shared" si="28"/>
        <v>0</v>
      </c>
      <c r="Y100" s="28">
        <f t="shared" si="28"/>
        <v>0</v>
      </c>
      <c r="Z100" s="28">
        <f t="shared" si="28"/>
        <v>0</v>
      </c>
      <c r="AA100" s="28">
        <f t="shared" si="28"/>
        <v>0</v>
      </c>
      <c r="AB100" s="28">
        <f t="shared" si="28"/>
        <v>0</v>
      </c>
      <c r="AC100" s="28">
        <f t="shared" si="28"/>
        <v>0</v>
      </c>
      <c r="AD100" s="28">
        <f t="shared" si="28"/>
        <v>0</v>
      </c>
      <c r="AE100" s="28">
        <f t="shared" si="28"/>
        <v>0</v>
      </c>
      <c r="AF100" s="28">
        <f t="shared" si="28"/>
        <v>0</v>
      </c>
      <c r="AG100" s="28">
        <f t="shared" si="28"/>
        <v>0</v>
      </c>
      <c r="AH100" s="28">
        <f t="shared" si="28"/>
        <v>0</v>
      </c>
      <c r="AI100" s="28">
        <f t="shared" si="28"/>
        <v>0</v>
      </c>
      <c r="AJ100" s="28">
        <f t="shared" si="28"/>
        <v>0</v>
      </c>
      <c r="AK100" s="28">
        <f t="shared" si="28"/>
        <v>0</v>
      </c>
      <c r="AL100" s="28">
        <f t="shared" si="28"/>
        <v>0</v>
      </c>
    </row>
    <row r="101" spans="1:38" ht="21" hidden="1" customHeight="1" outlineLevel="1" thickBot="1" x14ac:dyDescent="0.4">
      <c r="A101" s="10">
        <f t="shared" ref="A101:D113" si="29">A67</f>
        <v>0</v>
      </c>
      <c r="B101" s="10">
        <f t="shared" si="29"/>
        <v>0</v>
      </c>
      <c r="C101" s="10">
        <f t="shared" si="29"/>
        <v>0</v>
      </c>
      <c r="D101" s="10">
        <f t="shared" si="29"/>
        <v>0</v>
      </c>
      <c r="E101" s="11">
        <f t="shared" si="20"/>
        <v>0</v>
      </c>
      <c r="F101" s="28">
        <f t="shared" si="28"/>
        <v>0</v>
      </c>
      <c r="G101" s="28">
        <f t="shared" si="28"/>
        <v>0</v>
      </c>
      <c r="H101" s="28">
        <f t="shared" si="28"/>
        <v>0</v>
      </c>
      <c r="I101" s="28">
        <f t="shared" si="28"/>
        <v>0</v>
      </c>
      <c r="J101" s="28">
        <f t="shared" si="28"/>
        <v>0</v>
      </c>
      <c r="K101" s="28">
        <f t="shared" si="28"/>
        <v>0</v>
      </c>
      <c r="L101" s="28">
        <f t="shared" si="28"/>
        <v>0</v>
      </c>
      <c r="M101" s="28">
        <f t="shared" si="28"/>
        <v>0</v>
      </c>
      <c r="N101" s="28">
        <f t="shared" si="28"/>
        <v>0</v>
      </c>
      <c r="O101" s="28">
        <f t="shared" si="28"/>
        <v>0</v>
      </c>
      <c r="P101" s="28">
        <f t="shared" si="28"/>
        <v>0</v>
      </c>
      <c r="Q101" s="28">
        <f t="shared" si="28"/>
        <v>0</v>
      </c>
      <c r="R101" s="28">
        <f t="shared" si="28"/>
        <v>0</v>
      </c>
      <c r="S101" s="28">
        <f t="shared" si="28"/>
        <v>0</v>
      </c>
      <c r="T101" s="28">
        <f t="shared" si="28"/>
        <v>0</v>
      </c>
      <c r="U101" s="28">
        <f t="shared" si="28"/>
        <v>0</v>
      </c>
      <c r="V101" s="28">
        <f t="shared" si="28"/>
        <v>0</v>
      </c>
      <c r="W101" s="28">
        <f t="shared" si="28"/>
        <v>0</v>
      </c>
      <c r="X101" s="28">
        <f t="shared" si="28"/>
        <v>0</v>
      </c>
      <c r="Y101" s="28">
        <f t="shared" si="28"/>
        <v>0</v>
      </c>
      <c r="Z101" s="28">
        <f t="shared" si="28"/>
        <v>0</v>
      </c>
      <c r="AA101" s="28">
        <f t="shared" si="28"/>
        <v>0</v>
      </c>
      <c r="AB101" s="28">
        <f t="shared" si="28"/>
        <v>0</v>
      </c>
      <c r="AC101" s="28">
        <f t="shared" si="28"/>
        <v>0</v>
      </c>
      <c r="AD101" s="28">
        <f t="shared" si="28"/>
        <v>0</v>
      </c>
      <c r="AE101" s="28">
        <f t="shared" si="28"/>
        <v>0</v>
      </c>
      <c r="AF101" s="28">
        <f t="shared" si="28"/>
        <v>0</v>
      </c>
      <c r="AG101" s="28">
        <f t="shared" si="28"/>
        <v>0</v>
      </c>
      <c r="AH101" s="28">
        <f t="shared" si="28"/>
        <v>0</v>
      </c>
      <c r="AI101" s="28">
        <f t="shared" si="28"/>
        <v>0</v>
      </c>
      <c r="AJ101" s="28">
        <f t="shared" si="28"/>
        <v>0</v>
      </c>
      <c r="AK101" s="28">
        <f t="shared" si="28"/>
        <v>0</v>
      </c>
      <c r="AL101" s="28">
        <f t="shared" si="28"/>
        <v>0</v>
      </c>
    </row>
    <row r="102" spans="1:38" ht="21" hidden="1" customHeight="1" outlineLevel="1" thickBot="1" x14ac:dyDescent="0.4">
      <c r="A102" s="10">
        <f t="shared" si="29"/>
        <v>0</v>
      </c>
      <c r="B102" s="10">
        <f t="shared" si="29"/>
        <v>0</v>
      </c>
      <c r="C102" s="10">
        <f t="shared" si="29"/>
        <v>0</v>
      </c>
      <c r="D102" s="10">
        <f t="shared" si="29"/>
        <v>0</v>
      </c>
      <c r="E102" s="11">
        <f t="shared" si="20"/>
        <v>0</v>
      </c>
      <c r="F102" s="28">
        <f t="shared" si="28"/>
        <v>0</v>
      </c>
      <c r="G102" s="28">
        <f t="shared" si="28"/>
        <v>0</v>
      </c>
      <c r="H102" s="28">
        <f t="shared" si="28"/>
        <v>0</v>
      </c>
      <c r="I102" s="28">
        <f t="shared" si="28"/>
        <v>0</v>
      </c>
      <c r="J102" s="28">
        <f t="shared" si="28"/>
        <v>0</v>
      </c>
      <c r="K102" s="28">
        <f t="shared" si="28"/>
        <v>0</v>
      </c>
      <c r="L102" s="28">
        <f t="shared" si="28"/>
        <v>0</v>
      </c>
      <c r="M102" s="28">
        <f t="shared" si="28"/>
        <v>0</v>
      </c>
      <c r="N102" s="28">
        <f t="shared" si="28"/>
        <v>0</v>
      </c>
      <c r="O102" s="28">
        <f t="shared" si="28"/>
        <v>0</v>
      </c>
      <c r="P102" s="28">
        <f t="shared" si="28"/>
        <v>0</v>
      </c>
      <c r="Q102" s="28">
        <f t="shared" si="28"/>
        <v>0</v>
      </c>
      <c r="R102" s="28">
        <f t="shared" si="28"/>
        <v>0</v>
      </c>
      <c r="S102" s="28">
        <f t="shared" si="28"/>
        <v>0</v>
      </c>
      <c r="T102" s="28">
        <f t="shared" si="28"/>
        <v>0</v>
      </c>
      <c r="U102" s="28">
        <f t="shared" si="28"/>
        <v>0</v>
      </c>
      <c r="V102" s="28">
        <f t="shared" si="28"/>
        <v>0</v>
      </c>
      <c r="W102" s="28">
        <f t="shared" si="28"/>
        <v>0</v>
      </c>
      <c r="X102" s="28">
        <f t="shared" si="28"/>
        <v>0</v>
      </c>
      <c r="Y102" s="28">
        <f t="shared" si="28"/>
        <v>0</v>
      </c>
      <c r="Z102" s="28">
        <f t="shared" si="28"/>
        <v>0</v>
      </c>
      <c r="AA102" s="28">
        <f t="shared" si="28"/>
        <v>0</v>
      </c>
      <c r="AB102" s="28">
        <f t="shared" si="28"/>
        <v>0</v>
      </c>
      <c r="AC102" s="28">
        <f t="shared" si="28"/>
        <v>0</v>
      </c>
      <c r="AD102" s="28">
        <f t="shared" si="28"/>
        <v>0</v>
      </c>
      <c r="AE102" s="28">
        <f t="shared" si="28"/>
        <v>0</v>
      </c>
      <c r="AF102" s="28">
        <f t="shared" si="28"/>
        <v>0</v>
      </c>
      <c r="AG102" s="28">
        <f t="shared" si="28"/>
        <v>0</v>
      </c>
      <c r="AH102" s="28">
        <f t="shared" si="28"/>
        <v>0</v>
      </c>
      <c r="AI102" s="28">
        <f t="shared" si="28"/>
        <v>0</v>
      </c>
      <c r="AJ102" s="28">
        <f t="shared" si="28"/>
        <v>0</v>
      </c>
      <c r="AK102" s="28">
        <f t="shared" si="28"/>
        <v>0</v>
      </c>
      <c r="AL102" s="28">
        <f t="shared" si="28"/>
        <v>0</v>
      </c>
    </row>
    <row r="103" spans="1:38" ht="21" hidden="1" customHeight="1" outlineLevel="1" thickBot="1" x14ac:dyDescent="0.4">
      <c r="A103" s="10">
        <f t="shared" si="29"/>
        <v>0</v>
      </c>
      <c r="B103" s="10">
        <f t="shared" si="29"/>
        <v>0</v>
      </c>
      <c r="C103" s="10">
        <f t="shared" si="29"/>
        <v>0</v>
      </c>
      <c r="D103" s="10">
        <f t="shared" si="29"/>
        <v>0</v>
      </c>
      <c r="E103" s="11">
        <f t="shared" si="20"/>
        <v>0</v>
      </c>
      <c r="F103" s="28">
        <f t="shared" si="28"/>
        <v>0</v>
      </c>
      <c r="G103" s="28">
        <f t="shared" si="28"/>
        <v>0</v>
      </c>
      <c r="H103" s="28">
        <f t="shared" si="28"/>
        <v>0</v>
      </c>
      <c r="I103" s="28">
        <f t="shared" si="28"/>
        <v>0</v>
      </c>
      <c r="J103" s="28">
        <f t="shared" si="28"/>
        <v>0</v>
      </c>
      <c r="K103" s="28">
        <f t="shared" si="28"/>
        <v>0</v>
      </c>
      <c r="L103" s="28">
        <f t="shared" si="28"/>
        <v>0</v>
      </c>
      <c r="M103" s="28">
        <f t="shared" si="28"/>
        <v>0</v>
      </c>
      <c r="N103" s="28">
        <f t="shared" si="28"/>
        <v>0</v>
      </c>
      <c r="O103" s="28">
        <f t="shared" si="28"/>
        <v>0</v>
      </c>
      <c r="P103" s="28">
        <f t="shared" si="28"/>
        <v>0</v>
      </c>
      <c r="Q103" s="28">
        <f t="shared" si="28"/>
        <v>0</v>
      </c>
      <c r="R103" s="28">
        <f t="shared" si="28"/>
        <v>0</v>
      </c>
      <c r="S103" s="28">
        <f t="shared" si="28"/>
        <v>0</v>
      </c>
      <c r="T103" s="28">
        <f t="shared" si="28"/>
        <v>0</v>
      </c>
      <c r="U103" s="28">
        <f t="shared" si="28"/>
        <v>0</v>
      </c>
      <c r="V103" s="28">
        <f t="shared" si="28"/>
        <v>0</v>
      </c>
      <c r="W103" s="28">
        <f t="shared" si="28"/>
        <v>0</v>
      </c>
      <c r="X103" s="28">
        <f t="shared" si="28"/>
        <v>0</v>
      </c>
      <c r="Y103" s="28">
        <f t="shared" si="28"/>
        <v>0</v>
      </c>
      <c r="Z103" s="28">
        <f t="shared" si="28"/>
        <v>0</v>
      </c>
      <c r="AA103" s="28">
        <f t="shared" si="28"/>
        <v>0</v>
      </c>
      <c r="AB103" s="28">
        <f t="shared" si="28"/>
        <v>0</v>
      </c>
      <c r="AC103" s="28">
        <f t="shared" si="28"/>
        <v>0</v>
      </c>
      <c r="AD103" s="28">
        <f t="shared" si="28"/>
        <v>0</v>
      </c>
      <c r="AE103" s="28">
        <f t="shared" si="28"/>
        <v>0</v>
      </c>
      <c r="AF103" s="28">
        <f t="shared" si="28"/>
        <v>0</v>
      </c>
      <c r="AG103" s="28">
        <f t="shared" si="28"/>
        <v>0</v>
      </c>
      <c r="AH103" s="28">
        <f t="shared" si="28"/>
        <v>0</v>
      </c>
      <c r="AI103" s="28">
        <f t="shared" si="28"/>
        <v>0</v>
      </c>
      <c r="AJ103" s="28">
        <f t="shared" si="28"/>
        <v>0</v>
      </c>
      <c r="AK103" s="28">
        <f t="shared" si="28"/>
        <v>0</v>
      </c>
      <c r="AL103" s="28">
        <f t="shared" si="28"/>
        <v>0</v>
      </c>
    </row>
    <row r="104" spans="1:38" ht="21" hidden="1" customHeight="1" outlineLevel="1" thickBot="1" x14ac:dyDescent="0.4">
      <c r="A104" s="10">
        <f t="shared" si="29"/>
        <v>0</v>
      </c>
      <c r="B104" s="10">
        <f t="shared" si="29"/>
        <v>0</v>
      </c>
      <c r="C104" s="10">
        <f t="shared" si="29"/>
        <v>0</v>
      </c>
      <c r="D104" s="10">
        <f t="shared" si="29"/>
        <v>0</v>
      </c>
      <c r="E104" s="11">
        <f t="shared" si="20"/>
        <v>0</v>
      </c>
      <c r="F104" s="28">
        <f t="shared" si="28"/>
        <v>0</v>
      </c>
      <c r="G104" s="28">
        <f t="shared" si="28"/>
        <v>0</v>
      </c>
      <c r="H104" s="28">
        <f t="shared" si="28"/>
        <v>0</v>
      </c>
      <c r="I104" s="28">
        <f t="shared" si="28"/>
        <v>0</v>
      </c>
      <c r="J104" s="28">
        <f t="shared" si="28"/>
        <v>0</v>
      </c>
      <c r="K104" s="28">
        <f t="shared" si="28"/>
        <v>0</v>
      </c>
      <c r="L104" s="28">
        <f t="shared" si="28"/>
        <v>0</v>
      </c>
      <c r="M104" s="28">
        <f t="shared" si="28"/>
        <v>0</v>
      </c>
      <c r="N104" s="28">
        <f t="shared" si="28"/>
        <v>0</v>
      </c>
      <c r="O104" s="28">
        <f t="shared" si="28"/>
        <v>0</v>
      </c>
      <c r="P104" s="28">
        <f t="shared" si="28"/>
        <v>0</v>
      </c>
      <c r="Q104" s="28">
        <f t="shared" si="28"/>
        <v>0</v>
      </c>
      <c r="R104" s="28">
        <f t="shared" si="28"/>
        <v>0</v>
      </c>
      <c r="S104" s="28">
        <f t="shared" si="28"/>
        <v>0</v>
      </c>
      <c r="T104" s="28">
        <f t="shared" si="28"/>
        <v>0</v>
      </c>
      <c r="U104" s="28">
        <f t="shared" si="28"/>
        <v>0</v>
      </c>
      <c r="V104" s="28">
        <f t="shared" si="28"/>
        <v>0</v>
      </c>
      <c r="W104" s="28">
        <f t="shared" si="28"/>
        <v>0</v>
      </c>
      <c r="X104" s="28">
        <f t="shared" si="28"/>
        <v>0</v>
      </c>
      <c r="Y104" s="28">
        <f t="shared" si="28"/>
        <v>0</v>
      </c>
      <c r="Z104" s="28">
        <f t="shared" si="28"/>
        <v>0</v>
      </c>
      <c r="AA104" s="28">
        <f t="shared" si="28"/>
        <v>0</v>
      </c>
      <c r="AB104" s="28">
        <f t="shared" si="28"/>
        <v>0</v>
      </c>
      <c r="AC104" s="28">
        <f t="shared" si="28"/>
        <v>0</v>
      </c>
      <c r="AD104" s="28">
        <f t="shared" si="28"/>
        <v>0</v>
      </c>
      <c r="AE104" s="28">
        <f t="shared" si="28"/>
        <v>0</v>
      </c>
      <c r="AF104" s="28">
        <f t="shared" si="28"/>
        <v>0</v>
      </c>
      <c r="AG104" s="28">
        <f t="shared" si="28"/>
        <v>0</v>
      </c>
      <c r="AH104" s="28">
        <f t="shared" si="28"/>
        <v>0</v>
      </c>
      <c r="AI104" s="28">
        <f t="shared" si="28"/>
        <v>0</v>
      </c>
      <c r="AJ104" s="28">
        <f t="shared" si="28"/>
        <v>0</v>
      </c>
      <c r="AK104" s="28">
        <f t="shared" si="28"/>
        <v>0</v>
      </c>
      <c r="AL104" s="28">
        <f t="shared" si="28"/>
        <v>0</v>
      </c>
    </row>
    <row r="105" spans="1:38" ht="21" hidden="1" customHeight="1" outlineLevel="1" thickBot="1" x14ac:dyDescent="0.4">
      <c r="A105" s="10">
        <f t="shared" si="29"/>
        <v>0</v>
      </c>
      <c r="B105" s="10">
        <f t="shared" si="29"/>
        <v>0</v>
      </c>
      <c r="C105" s="10">
        <f t="shared" si="29"/>
        <v>0</v>
      </c>
      <c r="D105" s="10">
        <f t="shared" si="29"/>
        <v>0</v>
      </c>
      <c r="E105" s="11">
        <f t="shared" si="20"/>
        <v>0</v>
      </c>
      <c r="F105" s="28">
        <f t="shared" si="28"/>
        <v>0</v>
      </c>
      <c r="G105" s="28">
        <f t="shared" si="28"/>
        <v>0</v>
      </c>
      <c r="H105" s="28">
        <f t="shared" si="28"/>
        <v>0</v>
      </c>
      <c r="I105" s="28">
        <f t="shared" si="28"/>
        <v>0</v>
      </c>
      <c r="J105" s="28">
        <f t="shared" si="28"/>
        <v>0</v>
      </c>
      <c r="K105" s="28">
        <f t="shared" si="28"/>
        <v>0</v>
      </c>
      <c r="L105" s="28">
        <f t="shared" si="28"/>
        <v>0</v>
      </c>
      <c r="M105" s="28">
        <f t="shared" si="28"/>
        <v>0</v>
      </c>
      <c r="N105" s="28">
        <f t="shared" si="28"/>
        <v>0</v>
      </c>
      <c r="O105" s="28">
        <f t="shared" si="28"/>
        <v>0</v>
      </c>
      <c r="P105" s="28">
        <f t="shared" si="28"/>
        <v>0</v>
      </c>
      <c r="Q105" s="28">
        <f t="shared" si="28"/>
        <v>0</v>
      </c>
      <c r="R105" s="28">
        <f t="shared" si="28"/>
        <v>0</v>
      </c>
      <c r="S105" s="28">
        <f t="shared" si="28"/>
        <v>0</v>
      </c>
      <c r="T105" s="28">
        <f t="shared" si="28"/>
        <v>0</v>
      </c>
      <c r="U105" s="28">
        <f t="shared" si="28"/>
        <v>0</v>
      </c>
      <c r="V105" s="28">
        <f t="shared" si="28"/>
        <v>0</v>
      </c>
      <c r="W105" s="28">
        <f t="shared" si="28"/>
        <v>0</v>
      </c>
      <c r="X105" s="28">
        <f t="shared" si="28"/>
        <v>0</v>
      </c>
      <c r="Y105" s="28">
        <f t="shared" si="28"/>
        <v>0</v>
      </c>
      <c r="Z105" s="28">
        <f t="shared" si="28"/>
        <v>0</v>
      </c>
      <c r="AA105" s="28">
        <f t="shared" si="28"/>
        <v>0</v>
      </c>
      <c r="AB105" s="28">
        <f t="shared" si="28"/>
        <v>0</v>
      </c>
      <c r="AC105" s="28">
        <f t="shared" si="28"/>
        <v>0</v>
      </c>
      <c r="AD105" s="28">
        <f t="shared" si="28"/>
        <v>0</v>
      </c>
      <c r="AE105" s="28">
        <f t="shared" si="28"/>
        <v>0</v>
      </c>
      <c r="AF105" s="28">
        <f t="shared" si="28"/>
        <v>0</v>
      </c>
      <c r="AG105" s="28">
        <f t="shared" si="28"/>
        <v>0</v>
      </c>
      <c r="AH105" s="28">
        <f t="shared" si="28"/>
        <v>0</v>
      </c>
      <c r="AI105" s="28">
        <f t="shared" si="28"/>
        <v>0</v>
      </c>
      <c r="AJ105" s="28">
        <f t="shared" si="28"/>
        <v>0</v>
      </c>
      <c r="AK105" s="28">
        <f t="shared" si="28"/>
        <v>0</v>
      </c>
      <c r="AL105" s="28">
        <f t="shared" si="28"/>
        <v>0</v>
      </c>
    </row>
    <row r="106" spans="1:38" ht="21" hidden="1" customHeight="1" outlineLevel="1" thickBot="1" x14ac:dyDescent="0.4">
      <c r="A106" s="10">
        <f t="shared" si="29"/>
        <v>0</v>
      </c>
      <c r="B106" s="10">
        <f t="shared" si="29"/>
        <v>0</v>
      </c>
      <c r="C106" s="10">
        <f t="shared" si="29"/>
        <v>0</v>
      </c>
      <c r="D106" s="10">
        <f t="shared" si="29"/>
        <v>0</v>
      </c>
      <c r="E106" s="11">
        <f t="shared" si="20"/>
        <v>0</v>
      </c>
      <c r="F106" s="28">
        <f t="shared" si="28"/>
        <v>0</v>
      </c>
      <c r="G106" s="28">
        <f t="shared" si="28"/>
        <v>0</v>
      </c>
      <c r="H106" s="28">
        <f t="shared" si="28"/>
        <v>0</v>
      </c>
      <c r="I106" s="28">
        <f t="shared" si="28"/>
        <v>0</v>
      </c>
      <c r="J106" s="28">
        <f t="shared" si="28"/>
        <v>0</v>
      </c>
      <c r="K106" s="28">
        <f t="shared" si="28"/>
        <v>0</v>
      </c>
      <c r="L106" s="28">
        <f t="shared" si="28"/>
        <v>0</v>
      </c>
      <c r="M106" s="28">
        <f t="shared" si="28"/>
        <v>0</v>
      </c>
      <c r="N106" s="28">
        <f t="shared" si="28"/>
        <v>0</v>
      </c>
      <c r="O106" s="28">
        <f t="shared" si="28"/>
        <v>0</v>
      </c>
      <c r="P106" s="28">
        <f t="shared" si="28"/>
        <v>0</v>
      </c>
      <c r="Q106" s="28">
        <f t="shared" si="28"/>
        <v>0</v>
      </c>
      <c r="R106" s="28">
        <f t="shared" si="28"/>
        <v>0</v>
      </c>
      <c r="S106" s="28">
        <f t="shared" si="28"/>
        <v>0</v>
      </c>
      <c r="T106" s="28">
        <f t="shared" si="28"/>
        <v>0</v>
      </c>
      <c r="U106" s="28">
        <f t="shared" si="28"/>
        <v>0</v>
      </c>
      <c r="V106" s="28">
        <f t="shared" si="28"/>
        <v>0</v>
      </c>
      <c r="W106" s="28">
        <f t="shared" si="28"/>
        <v>0</v>
      </c>
      <c r="X106" s="28">
        <f t="shared" si="28"/>
        <v>0</v>
      </c>
      <c r="Y106" s="28">
        <f t="shared" si="28"/>
        <v>0</v>
      </c>
      <c r="Z106" s="28">
        <f t="shared" si="28"/>
        <v>0</v>
      </c>
      <c r="AA106" s="28">
        <f t="shared" si="28"/>
        <v>0</v>
      </c>
      <c r="AB106" s="28">
        <f t="shared" si="28"/>
        <v>0</v>
      </c>
      <c r="AC106" s="28">
        <f t="shared" si="28"/>
        <v>0</v>
      </c>
      <c r="AD106" s="28">
        <f t="shared" si="28"/>
        <v>0</v>
      </c>
      <c r="AE106" s="28">
        <f t="shared" si="28"/>
        <v>0</v>
      </c>
      <c r="AF106" s="28">
        <f t="shared" si="28"/>
        <v>0</v>
      </c>
      <c r="AG106" s="28">
        <f t="shared" si="28"/>
        <v>0</v>
      </c>
      <c r="AH106" s="28">
        <f t="shared" si="28"/>
        <v>0</v>
      </c>
      <c r="AI106" s="28">
        <f t="shared" si="28"/>
        <v>0</v>
      </c>
      <c r="AJ106" s="28">
        <f t="shared" si="28"/>
        <v>0</v>
      </c>
      <c r="AK106" s="28">
        <f t="shared" si="28"/>
        <v>0</v>
      </c>
      <c r="AL106" s="28">
        <f t="shared" si="28"/>
        <v>0</v>
      </c>
    </row>
    <row r="107" spans="1:38" ht="21" hidden="1" customHeight="1" outlineLevel="1" thickBot="1" x14ac:dyDescent="0.4">
      <c r="A107" s="10">
        <f t="shared" si="29"/>
        <v>0</v>
      </c>
      <c r="B107" s="10">
        <f t="shared" si="29"/>
        <v>0</v>
      </c>
      <c r="C107" s="10">
        <f t="shared" si="29"/>
        <v>0</v>
      </c>
      <c r="D107" s="10">
        <f t="shared" si="29"/>
        <v>0</v>
      </c>
      <c r="E107" s="11">
        <f t="shared" si="20"/>
        <v>0</v>
      </c>
      <c r="F107" s="28">
        <f t="shared" si="28"/>
        <v>0</v>
      </c>
      <c r="G107" s="28">
        <f t="shared" si="28"/>
        <v>0</v>
      </c>
      <c r="H107" s="28">
        <f t="shared" si="28"/>
        <v>0</v>
      </c>
      <c r="I107" s="28">
        <f t="shared" si="28"/>
        <v>0</v>
      </c>
      <c r="J107" s="28">
        <f t="shared" si="28"/>
        <v>0</v>
      </c>
      <c r="K107" s="28">
        <f t="shared" si="28"/>
        <v>0</v>
      </c>
      <c r="L107" s="28">
        <f t="shared" si="28"/>
        <v>0</v>
      </c>
      <c r="M107" s="28">
        <f t="shared" si="28"/>
        <v>0</v>
      </c>
      <c r="N107" s="28">
        <f t="shared" si="28"/>
        <v>0</v>
      </c>
      <c r="O107" s="28">
        <f t="shared" si="28"/>
        <v>0</v>
      </c>
      <c r="P107" s="28">
        <f t="shared" si="28"/>
        <v>0</v>
      </c>
      <c r="Q107" s="28">
        <f t="shared" si="28"/>
        <v>0</v>
      </c>
      <c r="R107" s="28">
        <f t="shared" si="28"/>
        <v>0</v>
      </c>
      <c r="S107" s="28">
        <f t="shared" si="28"/>
        <v>0</v>
      </c>
      <c r="T107" s="28">
        <f t="shared" si="28"/>
        <v>0</v>
      </c>
      <c r="U107" s="28">
        <f t="shared" si="28"/>
        <v>0</v>
      </c>
      <c r="V107" s="28">
        <f t="shared" si="28"/>
        <v>0</v>
      </c>
      <c r="W107" s="28">
        <f t="shared" si="28"/>
        <v>0</v>
      </c>
      <c r="X107" s="28">
        <f t="shared" si="28"/>
        <v>0</v>
      </c>
      <c r="Y107" s="28">
        <f t="shared" si="28"/>
        <v>0</v>
      </c>
      <c r="Z107" s="28">
        <f t="shared" si="28"/>
        <v>0</v>
      </c>
      <c r="AA107" s="28">
        <f t="shared" si="28"/>
        <v>0</v>
      </c>
      <c r="AB107" s="28">
        <f t="shared" si="28"/>
        <v>0</v>
      </c>
      <c r="AC107" s="28">
        <f t="shared" si="28"/>
        <v>0</v>
      </c>
      <c r="AD107" s="28">
        <f t="shared" ref="AD107:AL107" si="30">AD27*$C$82</f>
        <v>0</v>
      </c>
      <c r="AE107" s="28">
        <f t="shared" si="30"/>
        <v>0</v>
      </c>
      <c r="AF107" s="28">
        <f t="shared" si="30"/>
        <v>0</v>
      </c>
      <c r="AG107" s="28">
        <f t="shared" si="30"/>
        <v>0</v>
      </c>
      <c r="AH107" s="28">
        <f t="shared" si="30"/>
        <v>0</v>
      </c>
      <c r="AI107" s="28">
        <f t="shared" si="30"/>
        <v>0</v>
      </c>
      <c r="AJ107" s="28">
        <f t="shared" si="30"/>
        <v>0</v>
      </c>
      <c r="AK107" s="28">
        <f t="shared" si="30"/>
        <v>0</v>
      </c>
      <c r="AL107" s="28">
        <f t="shared" si="30"/>
        <v>0</v>
      </c>
    </row>
    <row r="108" spans="1:38" ht="21" hidden="1" customHeight="1" outlineLevel="1" thickBot="1" x14ac:dyDescent="0.4">
      <c r="A108" s="10">
        <f t="shared" si="29"/>
        <v>0</v>
      </c>
      <c r="B108" s="10">
        <f t="shared" si="29"/>
        <v>0</v>
      </c>
      <c r="C108" s="10">
        <f t="shared" si="29"/>
        <v>0</v>
      </c>
      <c r="D108" s="10">
        <f t="shared" si="29"/>
        <v>0</v>
      </c>
      <c r="E108" s="11">
        <f t="shared" si="20"/>
        <v>0</v>
      </c>
      <c r="F108" s="28">
        <f t="shared" ref="F108:AL112" si="31">F28*$C$82</f>
        <v>0</v>
      </c>
      <c r="G108" s="28">
        <f t="shared" si="31"/>
        <v>0</v>
      </c>
      <c r="H108" s="28">
        <f t="shared" si="31"/>
        <v>0</v>
      </c>
      <c r="I108" s="28">
        <f t="shared" si="31"/>
        <v>0</v>
      </c>
      <c r="J108" s="28">
        <f t="shared" si="31"/>
        <v>0</v>
      </c>
      <c r="K108" s="28">
        <f t="shared" si="31"/>
        <v>0</v>
      </c>
      <c r="L108" s="28">
        <f t="shared" si="31"/>
        <v>0</v>
      </c>
      <c r="M108" s="28">
        <f t="shared" si="31"/>
        <v>0</v>
      </c>
      <c r="N108" s="28">
        <f t="shared" si="31"/>
        <v>0</v>
      </c>
      <c r="O108" s="28">
        <f t="shared" si="31"/>
        <v>0</v>
      </c>
      <c r="P108" s="28">
        <f t="shared" si="31"/>
        <v>0</v>
      </c>
      <c r="Q108" s="28">
        <f t="shared" si="31"/>
        <v>0</v>
      </c>
      <c r="R108" s="28">
        <f t="shared" si="31"/>
        <v>0</v>
      </c>
      <c r="S108" s="28">
        <f t="shared" si="31"/>
        <v>0</v>
      </c>
      <c r="T108" s="28">
        <f t="shared" si="31"/>
        <v>0</v>
      </c>
      <c r="U108" s="28">
        <f t="shared" si="31"/>
        <v>0</v>
      </c>
      <c r="V108" s="28">
        <f t="shared" si="31"/>
        <v>0</v>
      </c>
      <c r="W108" s="28">
        <f t="shared" si="31"/>
        <v>0</v>
      </c>
      <c r="X108" s="28">
        <f t="shared" si="31"/>
        <v>0</v>
      </c>
      <c r="Y108" s="28">
        <f t="shared" si="31"/>
        <v>0</v>
      </c>
      <c r="Z108" s="28">
        <f t="shared" si="31"/>
        <v>0</v>
      </c>
      <c r="AA108" s="28">
        <f t="shared" si="31"/>
        <v>0</v>
      </c>
      <c r="AB108" s="28">
        <f t="shared" si="31"/>
        <v>0</v>
      </c>
      <c r="AC108" s="28">
        <f t="shared" si="31"/>
        <v>0</v>
      </c>
      <c r="AD108" s="28">
        <f t="shared" si="31"/>
        <v>0</v>
      </c>
      <c r="AE108" s="28">
        <f t="shared" si="31"/>
        <v>0</v>
      </c>
      <c r="AF108" s="28">
        <f t="shared" si="31"/>
        <v>0</v>
      </c>
      <c r="AG108" s="28">
        <f t="shared" si="31"/>
        <v>0</v>
      </c>
      <c r="AH108" s="28">
        <f t="shared" si="31"/>
        <v>0</v>
      </c>
      <c r="AI108" s="28">
        <f t="shared" si="31"/>
        <v>0</v>
      </c>
      <c r="AJ108" s="28">
        <f t="shared" si="31"/>
        <v>0</v>
      </c>
      <c r="AK108" s="28">
        <f t="shared" si="31"/>
        <v>0</v>
      </c>
      <c r="AL108" s="28">
        <f t="shared" si="31"/>
        <v>0</v>
      </c>
    </row>
    <row r="109" spans="1:38" ht="21" hidden="1" customHeight="1" outlineLevel="1" thickBot="1" x14ac:dyDescent="0.4">
      <c r="A109" s="10">
        <f t="shared" si="29"/>
        <v>0</v>
      </c>
      <c r="B109" s="10">
        <f t="shared" si="29"/>
        <v>0</v>
      </c>
      <c r="C109" s="10">
        <f t="shared" si="29"/>
        <v>0</v>
      </c>
      <c r="D109" s="10">
        <f t="shared" si="29"/>
        <v>0</v>
      </c>
      <c r="E109" s="11">
        <f t="shared" si="20"/>
        <v>0</v>
      </c>
      <c r="F109" s="28">
        <f t="shared" si="31"/>
        <v>0</v>
      </c>
      <c r="G109" s="28">
        <f t="shared" si="31"/>
        <v>0</v>
      </c>
      <c r="H109" s="28">
        <f t="shared" si="31"/>
        <v>0</v>
      </c>
      <c r="I109" s="28">
        <f t="shared" si="31"/>
        <v>0</v>
      </c>
      <c r="J109" s="28">
        <f t="shared" si="31"/>
        <v>0</v>
      </c>
      <c r="K109" s="28">
        <f t="shared" si="31"/>
        <v>0</v>
      </c>
      <c r="L109" s="28">
        <f t="shared" si="31"/>
        <v>0</v>
      </c>
      <c r="M109" s="28">
        <f t="shared" si="31"/>
        <v>0</v>
      </c>
      <c r="N109" s="28">
        <f t="shared" si="31"/>
        <v>0</v>
      </c>
      <c r="O109" s="28">
        <f t="shared" si="31"/>
        <v>0</v>
      </c>
      <c r="P109" s="28">
        <f t="shared" si="31"/>
        <v>0</v>
      </c>
      <c r="Q109" s="28">
        <f t="shared" si="31"/>
        <v>0</v>
      </c>
      <c r="R109" s="28">
        <f t="shared" si="31"/>
        <v>0</v>
      </c>
      <c r="S109" s="28">
        <f t="shared" si="31"/>
        <v>0</v>
      </c>
      <c r="T109" s="28">
        <f t="shared" si="31"/>
        <v>0</v>
      </c>
      <c r="U109" s="28">
        <f t="shared" si="31"/>
        <v>0</v>
      </c>
      <c r="V109" s="28">
        <f t="shared" si="31"/>
        <v>0</v>
      </c>
      <c r="W109" s="28">
        <f t="shared" si="31"/>
        <v>0</v>
      </c>
      <c r="X109" s="28">
        <f t="shared" si="31"/>
        <v>0</v>
      </c>
      <c r="Y109" s="28">
        <f t="shared" si="31"/>
        <v>0</v>
      </c>
      <c r="Z109" s="28">
        <f t="shared" si="31"/>
        <v>0</v>
      </c>
      <c r="AA109" s="28">
        <f t="shared" si="31"/>
        <v>0</v>
      </c>
      <c r="AB109" s="28">
        <f t="shared" si="31"/>
        <v>0</v>
      </c>
      <c r="AC109" s="28">
        <f t="shared" si="31"/>
        <v>0</v>
      </c>
      <c r="AD109" s="28">
        <f t="shared" si="31"/>
        <v>0</v>
      </c>
      <c r="AE109" s="28">
        <f t="shared" si="31"/>
        <v>0</v>
      </c>
      <c r="AF109" s="28">
        <f t="shared" si="31"/>
        <v>0</v>
      </c>
      <c r="AG109" s="28">
        <f t="shared" si="31"/>
        <v>0</v>
      </c>
      <c r="AH109" s="28">
        <f t="shared" si="31"/>
        <v>0</v>
      </c>
      <c r="AI109" s="28">
        <f t="shared" si="31"/>
        <v>0</v>
      </c>
      <c r="AJ109" s="28">
        <f t="shared" si="31"/>
        <v>0</v>
      </c>
      <c r="AK109" s="28">
        <f t="shared" si="31"/>
        <v>0</v>
      </c>
      <c r="AL109" s="28">
        <f t="shared" si="31"/>
        <v>0</v>
      </c>
    </row>
    <row r="110" spans="1:38" ht="21" hidden="1" customHeight="1" outlineLevel="1" thickBot="1" x14ac:dyDescent="0.4">
      <c r="A110" s="10">
        <f t="shared" si="29"/>
        <v>0</v>
      </c>
      <c r="B110" s="10">
        <f t="shared" si="29"/>
        <v>0</v>
      </c>
      <c r="C110" s="10">
        <f t="shared" si="29"/>
        <v>0</v>
      </c>
      <c r="D110" s="10">
        <f t="shared" si="29"/>
        <v>0</v>
      </c>
      <c r="E110" s="11">
        <f t="shared" si="20"/>
        <v>0</v>
      </c>
      <c r="F110" s="28">
        <f t="shared" si="31"/>
        <v>0</v>
      </c>
      <c r="G110" s="28">
        <f t="shared" si="31"/>
        <v>0</v>
      </c>
      <c r="H110" s="28">
        <f t="shared" si="31"/>
        <v>0</v>
      </c>
      <c r="I110" s="28">
        <f t="shared" si="31"/>
        <v>0</v>
      </c>
      <c r="J110" s="28">
        <f t="shared" si="31"/>
        <v>0</v>
      </c>
      <c r="K110" s="28">
        <f t="shared" si="31"/>
        <v>0</v>
      </c>
      <c r="L110" s="28">
        <f t="shared" si="31"/>
        <v>0</v>
      </c>
      <c r="M110" s="28">
        <f t="shared" si="31"/>
        <v>0</v>
      </c>
      <c r="N110" s="28">
        <f t="shared" si="31"/>
        <v>0</v>
      </c>
      <c r="O110" s="28">
        <f t="shared" si="31"/>
        <v>0</v>
      </c>
      <c r="P110" s="28">
        <f t="shared" si="31"/>
        <v>0</v>
      </c>
      <c r="Q110" s="28">
        <f t="shared" si="31"/>
        <v>0</v>
      </c>
      <c r="R110" s="28">
        <f t="shared" si="31"/>
        <v>0</v>
      </c>
      <c r="S110" s="28">
        <f t="shared" si="31"/>
        <v>0</v>
      </c>
      <c r="T110" s="28">
        <f t="shared" si="31"/>
        <v>0</v>
      </c>
      <c r="U110" s="28">
        <f t="shared" si="31"/>
        <v>0</v>
      </c>
      <c r="V110" s="28">
        <f t="shared" si="31"/>
        <v>0</v>
      </c>
      <c r="W110" s="28">
        <f t="shared" si="31"/>
        <v>0</v>
      </c>
      <c r="X110" s="28">
        <f t="shared" si="31"/>
        <v>0</v>
      </c>
      <c r="Y110" s="28">
        <f t="shared" si="31"/>
        <v>0</v>
      </c>
      <c r="Z110" s="28">
        <f t="shared" si="31"/>
        <v>0</v>
      </c>
      <c r="AA110" s="28">
        <f t="shared" si="31"/>
        <v>0</v>
      </c>
      <c r="AB110" s="28">
        <f t="shared" si="31"/>
        <v>0</v>
      </c>
      <c r="AC110" s="28">
        <f t="shared" si="31"/>
        <v>0</v>
      </c>
      <c r="AD110" s="28">
        <f t="shared" si="31"/>
        <v>0</v>
      </c>
      <c r="AE110" s="28">
        <f t="shared" si="31"/>
        <v>0</v>
      </c>
      <c r="AF110" s="28">
        <f t="shared" si="31"/>
        <v>0</v>
      </c>
      <c r="AG110" s="28">
        <f t="shared" si="31"/>
        <v>0</v>
      </c>
      <c r="AH110" s="28">
        <f t="shared" si="31"/>
        <v>0</v>
      </c>
      <c r="AI110" s="28">
        <f t="shared" si="31"/>
        <v>0</v>
      </c>
      <c r="AJ110" s="28">
        <f t="shared" si="31"/>
        <v>0</v>
      </c>
      <c r="AK110" s="28">
        <f t="shared" si="31"/>
        <v>0</v>
      </c>
      <c r="AL110" s="28">
        <f t="shared" si="31"/>
        <v>0</v>
      </c>
    </row>
    <row r="111" spans="1:38" ht="21" hidden="1" customHeight="1" outlineLevel="1" thickBot="1" x14ac:dyDescent="0.4">
      <c r="A111" s="10">
        <f t="shared" si="29"/>
        <v>0</v>
      </c>
      <c r="B111" s="10">
        <f t="shared" si="29"/>
        <v>0</v>
      </c>
      <c r="C111" s="10">
        <f t="shared" si="29"/>
        <v>0</v>
      </c>
      <c r="D111" s="10">
        <f t="shared" si="29"/>
        <v>0</v>
      </c>
      <c r="E111" s="11">
        <f t="shared" si="20"/>
        <v>0</v>
      </c>
      <c r="F111" s="28">
        <f t="shared" si="31"/>
        <v>0</v>
      </c>
      <c r="G111" s="28">
        <f t="shared" si="31"/>
        <v>0</v>
      </c>
      <c r="H111" s="28">
        <f t="shared" si="31"/>
        <v>0</v>
      </c>
      <c r="I111" s="28">
        <f t="shared" si="31"/>
        <v>0</v>
      </c>
      <c r="J111" s="28">
        <f t="shared" si="31"/>
        <v>0</v>
      </c>
      <c r="K111" s="28">
        <f t="shared" si="31"/>
        <v>0</v>
      </c>
      <c r="L111" s="28">
        <f t="shared" si="31"/>
        <v>0</v>
      </c>
      <c r="M111" s="28">
        <f t="shared" si="31"/>
        <v>0</v>
      </c>
      <c r="N111" s="28">
        <f t="shared" si="31"/>
        <v>0</v>
      </c>
      <c r="O111" s="28">
        <f t="shared" si="31"/>
        <v>0</v>
      </c>
      <c r="P111" s="28">
        <f t="shared" si="31"/>
        <v>0</v>
      </c>
      <c r="Q111" s="28">
        <f t="shared" si="31"/>
        <v>0</v>
      </c>
      <c r="R111" s="28">
        <f t="shared" si="31"/>
        <v>0</v>
      </c>
      <c r="S111" s="28">
        <f t="shared" si="31"/>
        <v>0</v>
      </c>
      <c r="T111" s="28">
        <f t="shared" si="31"/>
        <v>0</v>
      </c>
      <c r="U111" s="28">
        <f t="shared" si="31"/>
        <v>0</v>
      </c>
      <c r="V111" s="28">
        <f t="shared" si="31"/>
        <v>0</v>
      </c>
      <c r="W111" s="28">
        <f t="shared" si="31"/>
        <v>0</v>
      </c>
      <c r="X111" s="28">
        <f t="shared" si="31"/>
        <v>0</v>
      </c>
      <c r="Y111" s="28">
        <f t="shared" si="31"/>
        <v>0</v>
      </c>
      <c r="Z111" s="28">
        <f t="shared" si="31"/>
        <v>0</v>
      </c>
      <c r="AA111" s="28">
        <f t="shared" si="31"/>
        <v>0</v>
      </c>
      <c r="AB111" s="28">
        <f t="shared" si="31"/>
        <v>0</v>
      </c>
      <c r="AC111" s="28">
        <f t="shared" si="31"/>
        <v>0</v>
      </c>
      <c r="AD111" s="28">
        <f t="shared" si="31"/>
        <v>0</v>
      </c>
      <c r="AE111" s="28">
        <f t="shared" si="31"/>
        <v>0</v>
      </c>
      <c r="AF111" s="28">
        <f t="shared" si="31"/>
        <v>0</v>
      </c>
      <c r="AG111" s="28">
        <f t="shared" si="31"/>
        <v>0</v>
      </c>
      <c r="AH111" s="28">
        <f t="shared" si="31"/>
        <v>0</v>
      </c>
      <c r="AI111" s="28">
        <f t="shared" si="31"/>
        <v>0</v>
      </c>
      <c r="AJ111" s="28">
        <f t="shared" si="31"/>
        <v>0</v>
      </c>
      <c r="AK111" s="28">
        <f t="shared" si="31"/>
        <v>0</v>
      </c>
      <c r="AL111" s="28">
        <f t="shared" si="31"/>
        <v>0</v>
      </c>
    </row>
    <row r="112" spans="1:38" ht="21" hidden="1" customHeight="1" outlineLevel="1" thickBot="1" x14ac:dyDescent="0.4">
      <c r="A112" s="10">
        <f t="shared" si="29"/>
        <v>0</v>
      </c>
      <c r="B112" s="10">
        <f t="shared" si="29"/>
        <v>0</v>
      </c>
      <c r="C112" s="10">
        <f t="shared" si="29"/>
        <v>0</v>
      </c>
      <c r="D112" s="10">
        <f t="shared" si="29"/>
        <v>0</v>
      </c>
      <c r="E112" s="11">
        <f t="shared" si="20"/>
        <v>0</v>
      </c>
      <c r="F112" s="28">
        <f t="shared" si="31"/>
        <v>0</v>
      </c>
      <c r="G112" s="28">
        <f t="shared" si="31"/>
        <v>0</v>
      </c>
      <c r="H112" s="28">
        <f t="shared" si="31"/>
        <v>0</v>
      </c>
      <c r="I112" s="28">
        <f t="shared" si="31"/>
        <v>0</v>
      </c>
      <c r="J112" s="28">
        <f t="shared" si="31"/>
        <v>0</v>
      </c>
      <c r="K112" s="28">
        <f t="shared" si="31"/>
        <v>0</v>
      </c>
      <c r="L112" s="28">
        <f t="shared" si="31"/>
        <v>0</v>
      </c>
      <c r="M112" s="28">
        <f t="shared" si="31"/>
        <v>0</v>
      </c>
      <c r="N112" s="28">
        <f t="shared" si="31"/>
        <v>0</v>
      </c>
      <c r="O112" s="28">
        <f t="shared" si="31"/>
        <v>0</v>
      </c>
      <c r="P112" s="28">
        <f t="shared" si="31"/>
        <v>0</v>
      </c>
      <c r="Q112" s="28">
        <f t="shared" si="31"/>
        <v>0</v>
      </c>
      <c r="R112" s="28">
        <f t="shared" si="31"/>
        <v>0</v>
      </c>
      <c r="S112" s="28">
        <f t="shared" si="31"/>
        <v>0</v>
      </c>
      <c r="T112" s="28">
        <f t="shared" si="31"/>
        <v>0</v>
      </c>
      <c r="U112" s="28">
        <f t="shared" si="31"/>
        <v>0</v>
      </c>
      <c r="V112" s="28">
        <f t="shared" si="31"/>
        <v>0</v>
      </c>
      <c r="W112" s="28">
        <f t="shared" si="31"/>
        <v>0</v>
      </c>
      <c r="X112" s="28">
        <f t="shared" si="31"/>
        <v>0</v>
      </c>
      <c r="Y112" s="28">
        <f t="shared" si="31"/>
        <v>0</v>
      </c>
      <c r="Z112" s="28">
        <f t="shared" si="31"/>
        <v>0</v>
      </c>
      <c r="AA112" s="28">
        <f t="shared" si="31"/>
        <v>0</v>
      </c>
      <c r="AB112" s="28">
        <f t="shared" si="31"/>
        <v>0</v>
      </c>
      <c r="AC112" s="28">
        <f t="shared" si="31"/>
        <v>0</v>
      </c>
      <c r="AD112" s="28">
        <f t="shared" si="31"/>
        <v>0</v>
      </c>
      <c r="AE112" s="28">
        <f t="shared" si="31"/>
        <v>0</v>
      </c>
      <c r="AF112" s="28">
        <f t="shared" si="31"/>
        <v>0</v>
      </c>
      <c r="AG112" s="28">
        <f t="shared" si="31"/>
        <v>0</v>
      </c>
      <c r="AH112" s="28">
        <f t="shared" si="31"/>
        <v>0</v>
      </c>
      <c r="AI112" s="28">
        <f t="shared" si="31"/>
        <v>0</v>
      </c>
      <c r="AJ112" s="28">
        <f t="shared" si="31"/>
        <v>0</v>
      </c>
      <c r="AK112" s="28">
        <f t="shared" si="31"/>
        <v>0</v>
      </c>
      <c r="AL112" s="28">
        <f t="shared" si="31"/>
        <v>0</v>
      </c>
    </row>
    <row r="113" spans="1:38" ht="21" hidden="1" customHeight="1" outlineLevel="1" thickBot="1" x14ac:dyDescent="0.4">
      <c r="A113" s="10">
        <f t="shared" si="29"/>
        <v>0</v>
      </c>
      <c r="B113" s="10">
        <f t="shared" si="29"/>
        <v>0</v>
      </c>
      <c r="C113" s="10">
        <f t="shared" si="29"/>
        <v>0</v>
      </c>
      <c r="D113" s="10">
        <f t="shared" si="29"/>
        <v>0</v>
      </c>
      <c r="E113" s="11">
        <f t="shared" si="20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67" t="s">
        <v>11</v>
      </c>
      <c r="B117" s="168"/>
      <c r="C117" s="46" t="s">
        <v>12</v>
      </c>
      <c r="D117" s="29" t="s">
        <v>13</v>
      </c>
      <c r="E117" s="29"/>
      <c r="F117" s="9">
        <f t="shared" ref="F117:AL117" si="32">F3</f>
        <v>273.10000000000002</v>
      </c>
      <c r="G117" s="9">
        <f t="shared" si="32"/>
        <v>293.3</v>
      </c>
      <c r="H117" s="9">
        <f t="shared" si="32"/>
        <v>313.5</v>
      </c>
      <c r="I117" s="9">
        <f t="shared" si="32"/>
        <v>333.7</v>
      </c>
      <c r="J117" s="9">
        <f t="shared" si="32"/>
        <v>353.9</v>
      </c>
      <c r="K117" s="9">
        <f t="shared" si="32"/>
        <v>434.7</v>
      </c>
      <c r="L117" s="9">
        <f t="shared" si="32"/>
        <v>454.9</v>
      </c>
      <c r="M117" s="9">
        <f t="shared" si="32"/>
        <v>475.1</v>
      </c>
      <c r="N117" s="9">
        <f t="shared" si="32"/>
        <v>495.2</v>
      </c>
      <c r="O117" s="9">
        <f t="shared" si="32"/>
        <v>515.4</v>
      </c>
      <c r="P117" s="9">
        <f t="shared" si="32"/>
        <v>535.6</v>
      </c>
      <c r="Q117" s="9">
        <f t="shared" si="32"/>
        <v>555.79999999999995</v>
      </c>
      <c r="R117" s="9">
        <f t="shared" si="32"/>
        <v>576</v>
      </c>
      <c r="S117" s="9">
        <f t="shared" si="32"/>
        <v>596.20000000000005</v>
      </c>
      <c r="T117" s="9">
        <f t="shared" si="32"/>
        <v>677</v>
      </c>
      <c r="U117" s="9">
        <f t="shared" si="32"/>
        <v>697.1</v>
      </c>
      <c r="V117" s="9">
        <f t="shared" si="32"/>
        <v>717.3</v>
      </c>
      <c r="W117" s="9">
        <f t="shared" si="32"/>
        <v>737.5</v>
      </c>
      <c r="X117" s="9">
        <f t="shared" si="32"/>
        <v>757.7</v>
      </c>
      <c r="Y117" s="9">
        <f t="shared" si="32"/>
        <v>777.9</v>
      </c>
      <c r="Z117" s="9">
        <f t="shared" si="32"/>
        <v>798.1</v>
      </c>
      <c r="AA117" s="9">
        <f t="shared" si="32"/>
        <v>818.3</v>
      </c>
      <c r="AB117" s="9">
        <f t="shared" si="32"/>
        <v>838.5</v>
      </c>
      <c r="AC117" s="9">
        <f t="shared" si="32"/>
        <v>919.2</v>
      </c>
      <c r="AD117" s="9">
        <f t="shared" si="32"/>
        <v>838.5</v>
      </c>
      <c r="AE117" s="9">
        <f t="shared" si="32"/>
        <v>919.2</v>
      </c>
      <c r="AF117" s="9">
        <f t="shared" si="32"/>
        <v>1000</v>
      </c>
      <c r="AG117" s="9">
        <f t="shared" si="32"/>
        <v>0</v>
      </c>
      <c r="AH117" s="9">
        <f t="shared" si="32"/>
        <v>0</v>
      </c>
      <c r="AI117" s="9">
        <f t="shared" si="32"/>
        <v>0</v>
      </c>
      <c r="AJ117" s="9">
        <f t="shared" si="32"/>
        <v>0</v>
      </c>
      <c r="AK117" s="9">
        <f t="shared" si="32"/>
        <v>0</v>
      </c>
      <c r="AL117" s="9">
        <f t="shared" si="32"/>
        <v>0</v>
      </c>
    </row>
    <row r="118" spans="1:38" ht="21" customHeight="1" outlineLevel="1" thickTop="1" thickBot="1" x14ac:dyDescent="0.4">
      <c r="A118" s="44">
        <f>$A$2</f>
        <v>450</v>
      </c>
      <c r="B118" s="80">
        <f ca="1">MIN(MIN(F118:AL121),MIN(F41:AL41))</f>
        <v>-543.746128</v>
      </c>
      <c r="C118" s="47">
        <f>COUNTA(E118:E125)+1</f>
        <v>5</v>
      </c>
      <c r="E118" s="31" t="s">
        <v>41</v>
      </c>
      <c r="F118" s="28">
        <f ca="1">F$117*$B$2*SUMPRODUCT(F$94:F$95,F$60:F$61)/1000</f>
        <v>0</v>
      </c>
      <c r="G118" s="28">
        <f t="shared" ref="G118:AL118" ca="1" si="33">G$117*$B$2*SUMPRODUCT(G$94:G$95,G$60:G$61)/1000</f>
        <v>0</v>
      </c>
      <c r="H118" s="28">
        <f t="shared" ca="1" si="33"/>
        <v>0</v>
      </c>
      <c r="I118" s="28">
        <f t="shared" ca="1" si="33"/>
        <v>0</v>
      </c>
      <c r="J118" s="28">
        <f t="shared" ca="1" si="33"/>
        <v>0</v>
      </c>
      <c r="K118" s="28">
        <f t="shared" ca="1" si="33"/>
        <v>0</v>
      </c>
      <c r="L118" s="28">
        <f t="shared" ca="1" si="33"/>
        <v>0</v>
      </c>
      <c r="M118" s="28">
        <f t="shared" ca="1" si="33"/>
        <v>0</v>
      </c>
      <c r="N118" s="28">
        <f t="shared" ca="1" si="33"/>
        <v>0</v>
      </c>
      <c r="O118" s="28">
        <f t="shared" ca="1" si="33"/>
        <v>0</v>
      </c>
      <c r="P118" s="28">
        <f t="shared" ca="1" si="33"/>
        <v>0</v>
      </c>
      <c r="Q118" s="28">
        <f t="shared" ca="1" si="33"/>
        <v>-2.416331360551476E-25</v>
      </c>
      <c r="R118" s="28">
        <f t="shared" ca="1" si="33"/>
        <v>-6.7771099755617479E-20</v>
      </c>
      <c r="S118" s="28">
        <f t="shared" ca="1" si="33"/>
        <v>-1.2874283308126365E-14</v>
      </c>
      <c r="T118" s="28">
        <f t="shared" ca="1" si="33"/>
        <v>-1.149994864726175E-9</v>
      </c>
      <c r="U118" s="28">
        <f t="shared" ca="1" si="33"/>
        <v>-9.3839257293185501E-10</v>
      </c>
      <c r="V118" s="28">
        <f t="shared" ca="1" si="33"/>
        <v>-6.4563921984541171E-9</v>
      </c>
      <c r="W118" s="28">
        <f t="shared" ca="1" si="33"/>
        <v>-1.8622288071749536E-10</v>
      </c>
      <c r="X118" s="28">
        <f t="shared" ca="1" si="33"/>
        <v>-1.2441156914934824E-6</v>
      </c>
      <c r="Y118" s="28">
        <f t="shared" ca="1" si="33"/>
        <v>-9.8338275468824105E-6</v>
      </c>
      <c r="Z118" s="28">
        <f t="shared" ca="1" si="33"/>
        <v>-18.176426567311626</v>
      </c>
      <c r="AA118" s="28">
        <f t="shared" ca="1" si="33"/>
        <v>-19.714212242718705</v>
      </c>
      <c r="AB118" s="28">
        <f t="shared" ca="1" si="33"/>
        <v>-20.916887807870076</v>
      </c>
      <c r="AC118" s="28">
        <f t="shared" ca="1" si="33"/>
        <v>-26.821621468725546</v>
      </c>
      <c r="AD118" s="28">
        <f t="shared" ca="1" si="33"/>
        <v>-20.916887807870076</v>
      </c>
      <c r="AE118" s="28">
        <f t="shared" ca="1" si="33"/>
        <v>-26.821621468725546</v>
      </c>
      <c r="AF118" s="28">
        <f t="shared" ca="1" si="33"/>
        <v>-36.569349260425007</v>
      </c>
      <c r="AG118" s="28">
        <f t="shared" ca="1" si="33"/>
        <v>0</v>
      </c>
      <c r="AH118" s="28">
        <f t="shared" ca="1" si="33"/>
        <v>0</v>
      </c>
      <c r="AI118" s="28">
        <f t="shared" ca="1" si="33"/>
        <v>0</v>
      </c>
      <c r="AJ118" s="28">
        <f t="shared" ca="1" si="33"/>
        <v>0</v>
      </c>
      <c r="AK118" s="28">
        <f t="shared" ca="1" si="33"/>
        <v>0</v>
      </c>
      <c r="AL118" s="28">
        <f t="shared" ca="1" si="33"/>
        <v>0</v>
      </c>
    </row>
    <row r="119" spans="1:38" ht="21" customHeight="1" outlineLevel="1" thickBot="1" x14ac:dyDescent="0.4">
      <c r="A119" s="45">
        <f>$A$118</f>
        <v>450</v>
      </c>
      <c r="B119" s="81">
        <f ca="1">MAX(MAX(F118:AL121),MAX(F41:AL41))</f>
        <v>0</v>
      </c>
      <c r="C119" s="48">
        <f xml:space="preserve"> COUNTIF(F117:AL117,"&lt;&gt;"&amp;0)</f>
        <v>27</v>
      </c>
      <c r="E119" s="31" t="s">
        <v>15</v>
      </c>
      <c r="F119" s="28">
        <f ca="1">F$117*$B$2*SUMPRODUCT(F$91:F$92,F$57:F$58)/1000</f>
        <v>-77.006665171000009</v>
      </c>
      <c r="G119" s="28">
        <f t="shared" ref="G119:AL119" ca="1" si="34">G$117*$B$2*SUMPRODUCT(G$91:G$92,G$57:G$58)/1000</f>
        <v>-77.646388344000016</v>
      </c>
      <c r="H119" s="28">
        <f t="shared" ca="1" si="34"/>
        <v>-78.310824982500023</v>
      </c>
      <c r="I119" s="28">
        <f t="shared" ca="1" si="34"/>
        <v>-79.005272808750021</v>
      </c>
      <c r="J119" s="28">
        <f t="shared" ca="1" si="34"/>
        <v>-79.717271158750009</v>
      </c>
      <c r="K119" s="28">
        <f t="shared" ca="1" si="34"/>
        <v>-82.785842700750024</v>
      </c>
      <c r="L119" s="28">
        <f t="shared" ca="1" si="34"/>
        <v>-83.594383481750015</v>
      </c>
      <c r="M119" s="28">
        <f t="shared" ca="1" si="34"/>
        <v>-84.442513754500013</v>
      </c>
      <c r="N119" s="28">
        <f t="shared" ca="1" si="34"/>
        <v>-85.270119684000008</v>
      </c>
      <c r="O119" s="28">
        <f t="shared" ca="1" si="34"/>
        <v>-86.134395330000018</v>
      </c>
      <c r="P119" s="28">
        <f t="shared" ca="1" si="34"/>
        <v>-87.038696979000008</v>
      </c>
      <c r="Q119" s="28">
        <f t="shared" ca="1" si="34"/>
        <v>-87.949120871500014</v>
      </c>
      <c r="R119" s="28">
        <f t="shared" ca="1" si="34"/>
        <v>-88.854733440000004</v>
      </c>
      <c r="S119" s="28">
        <f t="shared" ca="1" si="34"/>
        <v>-89.781431580500026</v>
      </c>
      <c r="T119" s="28">
        <f t="shared" ca="1" si="34"/>
        <v>-93.637025977664493</v>
      </c>
      <c r="U119" s="28">
        <f t="shared" ca="1" si="34"/>
        <v>-94.639639663556082</v>
      </c>
      <c r="V119" s="28">
        <f t="shared" ca="1" si="34"/>
        <v>-95.642533321534017</v>
      </c>
      <c r="W119" s="28">
        <f t="shared" ca="1" si="34"/>
        <v>-96.657830186084126</v>
      </c>
      <c r="X119" s="28">
        <f t="shared" ca="1" si="34"/>
        <v>-38.847361994442693</v>
      </c>
      <c r="Y119" s="28">
        <f t="shared" ca="1" si="34"/>
        <v>-11.143034727789143</v>
      </c>
      <c r="Z119" s="28">
        <f t="shared" ca="1" si="34"/>
        <v>-2.984988406003755</v>
      </c>
      <c r="AA119" s="28">
        <f t="shared" ca="1" si="34"/>
        <v>-0.32183574954326805</v>
      </c>
      <c r="AB119" s="28">
        <f t="shared" ca="1" si="34"/>
        <v>-3.7636923941692838E-2</v>
      </c>
      <c r="AC119" s="28">
        <f t="shared" ca="1" si="34"/>
        <v>-5.5693097577178986E-5</v>
      </c>
      <c r="AD119" s="28">
        <f t="shared" ca="1" si="34"/>
        <v>-3.7636923941692838E-2</v>
      </c>
      <c r="AE119" s="28">
        <f t="shared" ca="1" si="34"/>
        <v>-5.5693097577178986E-5</v>
      </c>
      <c r="AF119" s="28">
        <f t="shared" ca="1" si="34"/>
        <v>-2.8390827119092951E-5</v>
      </c>
      <c r="AG119" s="28">
        <f t="shared" ca="1" si="34"/>
        <v>0</v>
      </c>
      <c r="AH119" s="28">
        <f t="shared" ca="1" si="34"/>
        <v>0</v>
      </c>
      <c r="AI119" s="28">
        <f t="shared" ca="1" si="34"/>
        <v>0</v>
      </c>
      <c r="AJ119" s="28">
        <f t="shared" ca="1" si="34"/>
        <v>0</v>
      </c>
      <c r="AK119" s="28">
        <f t="shared" ca="1" si="34"/>
        <v>0</v>
      </c>
      <c r="AL119" s="28">
        <f t="shared" ca="1" si="34"/>
        <v>0</v>
      </c>
    </row>
    <row r="120" spans="1:38" ht="21" customHeight="1" outlineLevel="1" thickBot="1" x14ac:dyDescent="0.4">
      <c r="E120" s="31" t="s">
        <v>16</v>
      </c>
      <c r="F120" s="28">
        <f ca="1">F$117*$B$2*SUMPRODUCT(F$91:F$93,F$57:F$59)/1000</f>
        <v>-112.58080772100003</v>
      </c>
      <c r="G120" s="28">
        <f t="shared" ref="G120:AL120" ca="1" si="35">G$117*$B$2*SUMPRODUCT(G$91:G$93,G$57:G$59)/1000</f>
        <v>-115.83147097025001</v>
      </c>
      <c r="H120" s="28">
        <f t="shared" ca="1" si="35"/>
        <v>-119.14749173250004</v>
      </c>
      <c r="I120" s="28">
        <f t="shared" ca="1" si="35"/>
        <v>-122.49632289750002</v>
      </c>
      <c r="J120" s="28">
        <f t="shared" ca="1" si="35"/>
        <v>-125.89002464750001</v>
      </c>
      <c r="K120" s="28">
        <f t="shared" ca="1" si="35"/>
        <v>-139.86187119450003</v>
      </c>
      <c r="L120" s="28">
        <f t="shared" ca="1" si="35"/>
        <v>-143.44874372300004</v>
      </c>
      <c r="M120" s="28">
        <f t="shared" ca="1" si="35"/>
        <v>-147.08640260325006</v>
      </c>
      <c r="N120" s="28">
        <f t="shared" ca="1" si="35"/>
        <v>-150.70152087400004</v>
      </c>
      <c r="O120" s="28">
        <f t="shared" ca="1" si="35"/>
        <v>-154.37769113250005</v>
      </c>
      <c r="P120" s="28">
        <f t="shared" ca="1" si="35"/>
        <v>-158.10508425400005</v>
      </c>
      <c r="Q120" s="28">
        <f t="shared" ca="1" si="35"/>
        <v>-161.84979647900005</v>
      </c>
      <c r="R120" s="28">
        <f t="shared" ca="1" si="35"/>
        <v>-165.60089424</v>
      </c>
      <c r="S120" s="28">
        <f t="shared" ca="1" si="35"/>
        <v>-169.42558364050009</v>
      </c>
      <c r="T120" s="28">
        <f t="shared" ca="1" si="35"/>
        <v>-184.82547327766451</v>
      </c>
      <c r="U120" s="28">
        <f t="shared" ca="1" si="35"/>
        <v>-188.77695603480609</v>
      </c>
      <c r="V120" s="28">
        <f t="shared" ca="1" si="35"/>
        <v>-192.70648440528404</v>
      </c>
      <c r="W120" s="28">
        <f t="shared" ca="1" si="35"/>
        <v>-196.65961284233418</v>
      </c>
      <c r="X120" s="28">
        <f t="shared" ca="1" si="35"/>
        <v>-141.22068255694271</v>
      </c>
      <c r="Y120" s="28">
        <f t="shared" ca="1" si="35"/>
        <v>-116.19169116903915</v>
      </c>
      <c r="Z120" s="28">
        <f t="shared" ca="1" si="35"/>
        <v>-110.87207657225379</v>
      </c>
      <c r="AA120" s="28">
        <f t="shared" ca="1" si="35"/>
        <v>-111.16634999329332</v>
      </c>
      <c r="AB120" s="28">
        <f t="shared" ca="1" si="35"/>
        <v>-113.85077410519173</v>
      </c>
      <c r="AC120" s="28">
        <f t="shared" ca="1" si="35"/>
        <v>-125.72227987309762</v>
      </c>
      <c r="AD120" s="28">
        <f t="shared" ca="1" si="35"/>
        <v>-113.85077410519173</v>
      </c>
      <c r="AE120" s="28">
        <f t="shared" ca="1" si="35"/>
        <v>-125.72227987309762</v>
      </c>
      <c r="AF120" s="28">
        <f t="shared" ca="1" si="35"/>
        <v>-137.74357839082714</v>
      </c>
      <c r="AG120" s="28">
        <f t="shared" ca="1" si="35"/>
        <v>0</v>
      </c>
      <c r="AH120" s="28">
        <f t="shared" ca="1" si="35"/>
        <v>0</v>
      </c>
      <c r="AI120" s="28">
        <f t="shared" ca="1" si="35"/>
        <v>0</v>
      </c>
      <c r="AJ120" s="28">
        <f t="shared" ca="1" si="35"/>
        <v>0</v>
      </c>
      <c r="AK120" s="28">
        <f t="shared" ca="1" si="35"/>
        <v>0</v>
      </c>
      <c r="AL120" s="28">
        <f t="shared" ca="1" si="35"/>
        <v>0</v>
      </c>
    </row>
    <row r="121" spans="1:38" ht="21" customHeight="1" outlineLevel="1" thickBot="1" x14ac:dyDescent="0.4">
      <c r="E121" s="31" t="s">
        <v>42</v>
      </c>
      <c r="F121" s="28">
        <f ca="1">F119+F118</f>
        <v>-77.006665171000009</v>
      </c>
      <c r="G121" s="28">
        <f t="shared" ref="G121:AL121" ca="1" si="36">G119+G118</f>
        <v>-77.646388344000016</v>
      </c>
      <c r="H121" s="28">
        <f t="shared" ca="1" si="36"/>
        <v>-78.310824982500023</v>
      </c>
      <c r="I121" s="28">
        <f t="shared" ca="1" si="36"/>
        <v>-79.005272808750021</v>
      </c>
      <c r="J121" s="28">
        <f t="shared" ca="1" si="36"/>
        <v>-79.717271158750009</v>
      </c>
      <c r="K121" s="28">
        <f t="shared" ca="1" si="36"/>
        <v>-82.785842700750024</v>
      </c>
      <c r="L121" s="28">
        <f t="shared" ca="1" si="36"/>
        <v>-83.594383481750015</v>
      </c>
      <c r="M121" s="28">
        <f t="shared" ca="1" si="36"/>
        <v>-84.442513754500013</v>
      </c>
      <c r="N121" s="28">
        <f t="shared" ca="1" si="36"/>
        <v>-85.270119684000008</v>
      </c>
      <c r="O121" s="28">
        <f t="shared" ca="1" si="36"/>
        <v>-86.134395330000018</v>
      </c>
      <c r="P121" s="28">
        <f t="shared" ca="1" si="36"/>
        <v>-87.038696979000008</v>
      </c>
      <c r="Q121" s="28">
        <f t="shared" ca="1" si="36"/>
        <v>-87.949120871500014</v>
      </c>
      <c r="R121" s="28">
        <f t="shared" ca="1" si="36"/>
        <v>-88.854733440000004</v>
      </c>
      <c r="S121" s="28">
        <f t="shared" ca="1" si="36"/>
        <v>-89.78143158050004</v>
      </c>
      <c r="T121" s="28">
        <f t="shared" ca="1" si="36"/>
        <v>-93.637025978814492</v>
      </c>
      <c r="U121" s="28">
        <f t="shared" ca="1" si="36"/>
        <v>-94.639639664494482</v>
      </c>
      <c r="V121" s="28">
        <f t="shared" ca="1" si="36"/>
        <v>-95.642533327990407</v>
      </c>
      <c r="W121" s="28">
        <f t="shared" ca="1" si="36"/>
        <v>-96.657830186270346</v>
      </c>
      <c r="X121" s="28">
        <f t="shared" ca="1" si="36"/>
        <v>-38.847363238558387</v>
      </c>
      <c r="Y121" s="28">
        <f t="shared" ca="1" si="36"/>
        <v>-11.143044561616689</v>
      </c>
      <c r="Z121" s="28">
        <f t="shared" ca="1" si="36"/>
        <v>-21.161414973315381</v>
      </c>
      <c r="AA121" s="28">
        <f t="shared" ca="1" si="36"/>
        <v>-20.036047992261974</v>
      </c>
      <c r="AB121" s="28">
        <f t="shared" ca="1" si="36"/>
        <v>-20.95452473181177</v>
      </c>
      <c r="AC121" s="28">
        <f t="shared" ca="1" si="36"/>
        <v>-26.821677161823121</v>
      </c>
      <c r="AD121" s="28">
        <f t="shared" ca="1" si="36"/>
        <v>-20.95452473181177</v>
      </c>
      <c r="AE121" s="28">
        <f t="shared" ca="1" si="36"/>
        <v>-26.821677161823121</v>
      </c>
      <c r="AF121" s="28">
        <f t="shared" ca="1" si="36"/>
        <v>-36.569377651252125</v>
      </c>
      <c r="AG121" s="28">
        <f t="shared" ca="1" si="36"/>
        <v>0</v>
      </c>
      <c r="AH121" s="28">
        <f t="shared" ca="1" si="36"/>
        <v>0</v>
      </c>
      <c r="AI121" s="28">
        <f t="shared" ca="1" si="36"/>
        <v>0</v>
      </c>
      <c r="AJ121" s="28">
        <f t="shared" ca="1" si="36"/>
        <v>0</v>
      </c>
      <c r="AK121" s="28">
        <f t="shared" ca="1" si="36"/>
        <v>0</v>
      </c>
      <c r="AL121" s="28">
        <f t="shared" ca="1" si="36"/>
        <v>0</v>
      </c>
    </row>
    <row r="122" spans="1:38" ht="21" customHeight="1" outlineLevel="1" thickBot="1" x14ac:dyDescent="0.4">
      <c r="E122" s="32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</row>
    <row r="123" spans="1:38" ht="21" customHeight="1" outlineLevel="1" thickBot="1" x14ac:dyDescent="0.4">
      <c r="E123" s="31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ht="21" customHeight="1" outlineLevel="1" thickBot="1" x14ac:dyDescent="0.4">
      <c r="E124" s="32"/>
      <c r="L124" s="63">
        <v>5</v>
      </c>
    </row>
    <row r="125" spans="1:38" ht="21" customHeight="1" outlineLevel="1" thickBot="1" x14ac:dyDescent="0.4">
      <c r="E125" s="32"/>
      <c r="L125" s="63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9">
        <f ca="1"/>
        <v>677</v>
      </c>
      <c r="U126" s="9">
        <f ca="1"/>
        <v>697.1</v>
      </c>
      <c r="V126" s="9">
        <f ca="1"/>
        <v>717.3</v>
      </c>
      <c r="W126" s="9">
        <f ca="1"/>
        <v>737.5</v>
      </c>
      <c r="X126" s="9">
        <f ca="1"/>
        <v>757.7</v>
      </c>
      <c r="Y126" s="9">
        <f ca="1"/>
        <v>777.9</v>
      </c>
      <c r="Z126" s="9">
        <f ca="1"/>
        <v>798.1</v>
      </c>
      <c r="AA126" s="9">
        <f ca="1"/>
        <v>818.3</v>
      </c>
      <c r="AB126" s="9">
        <f ca="1"/>
        <v>838.5</v>
      </c>
      <c r="AC126" s="9">
        <f ca="1"/>
        <v>919.2</v>
      </c>
      <c r="AD126" s="9">
        <f ca="1"/>
        <v>838.5</v>
      </c>
      <c r="AE126" s="9">
        <f ca="1"/>
        <v>919.2</v>
      </c>
      <c r="AF126" s="9">
        <f ca="1"/>
        <v>1000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Расвор: </v>
      </c>
      <c r="F127" s="63">
        <f ca="1"/>
        <v>0</v>
      </c>
      <c r="G127" s="63">
        <f ca="1"/>
        <v>0</v>
      </c>
      <c r="H127" s="63">
        <f ca="1"/>
        <v>0</v>
      </c>
      <c r="I127" s="63">
        <f ca="1"/>
        <v>0</v>
      </c>
      <c r="J127" s="63">
        <f ca="1"/>
        <v>0</v>
      </c>
      <c r="K127" s="63">
        <f ca="1"/>
        <v>0</v>
      </c>
      <c r="L127" s="63">
        <f ca="1"/>
        <v>0</v>
      </c>
      <c r="M127" s="63">
        <f ca="1"/>
        <v>0</v>
      </c>
      <c r="N127" s="63">
        <f ca="1"/>
        <v>0</v>
      </c>
      <c r="O127" s="63">
        <f ca="1"/>
        <v>0</v>
      </c>
      <c r="P127" s="63">
        <f ca="1"/>
        <v>0</v>
      </c>
      <c r="Q127" s="63">
        <f ca="1"/>
        <v>-2.416331360551476E-25</v>
      </c>
      <c r="R127" s="63">
        <f ca="1"/>
        <v>-6.7771099755617479E-20</v>
      </c>
      <c r="S127" s="63">
        <f ca="1"/>
        <v>-1.2874283308126365E-14</v>
      </c>
      <c r="T127" s="63">
        <f ca="1"/>
        <v>-1.149994864726175E-9</v>
      </c>
      <c r="U127" s="63">
        <f ca="1"/>
        <v>-9.3839257293185501E-10</v>
      </c>
      <c r="V127" s="63">
        <f ca="1"/>
        <v>-6.4563921984541171E-9</v>
      </c>
      <c r="W127" s="63">
        <f ca="1"/>
        <v>-1.8622288071749536E-10</v>
      </c>
      <c r="X127" s="63">
        <f ca="1"/>
        <v>-1.2441156914934824E-6</v>
      </c>
      <c r="Y127" s="63">
        <f ca="1"/>
        <v>-9.8338275468824105E-6</v>
      </c>
      <c r="Z127" s="63">
        <f ca="1"/>
        <v>-18.176426567311626</v>
      </c>
      <c r="AA127" s="63">
        <f ca="1"/>
        <v>-19.714212242718705</v>
      </c>
      <c r="AB127" s="63">
        <f ca="1"/>
        <v>-20.916887807870076</v>
      </c>
      <c r="AC127" s="63">
        <f ca="1"/>
        <v>-26.821621468725546</v>
      </c>
      <c r="AD127" s="63">
        <f ca="1"/>
        <v>-20.916887807870076</v>
      </c>
      <c r="AE127" s="63">
        <f ca="1"/>
        <v>-26.821621468725546</v>
      </c>
      <c r="AF127" s="63">
        <f ca="1"/>
        <v>-36.569349260425007</v>
      </c>
      <c r="AG127" s="63" t="e">
        <f ca="1"/>
        <v>#N/A</v>
      </c>
      <c r="AH127" s="63" t="e">
        <f ca="1"/>
        <v>#N/A</v>
      </c>
      <c r="AI127" s="63" t="e">
        <f ca="1"/>
        <v>#N/A</v>
      </c>
      <c r="AJ127" s="63" t="e">
        <f ca="1"/>
        <v>#N/A</v>
      </c>
      <c r="AK127" s="63" t="e">
        <f ca="1"/>
        <v>#N/A</v>
      </c>
      <c r="AL127" s="63" t="e">
        <f ca="1"/>
        <v>#N/A</v>
      </c>
    </row>
    <row r="128" spans="1:38" ht="21" customHeight="1" outlineLevel="1" thickBot="1" x14ac:dyDescent="0.4">
      <c r="E128" s="31" t="str">
        <f ca="1"/>
        <v xml:space="preserve">Газовая без Ar: </v>
      </c>
      <c r="F128" s="63">
        <f ca="1"/>
        <v>-77.006665171000009</v>
      </c>
      <c r="G128" s="63">
        <f ca="1"/>
        <v>-77.646388344000016</v>
      </c>
      <c r="H128" s="63">
        <f ca="1"/>
        <v>-78.310824982500023</v>
      </c>
      <c r="I128" s="63">
        <f ca="1"/>
        <v>-79.005272808750021</v>
      </c>
      <c r="J128" s="63">
        <f ca="1"/>
        <v>-79.717271158750009</v>
      </c>
      <c r="K128" s="63">
        <f ca="1"/>
        <v>-82.785842700750024</v>
      </c>
      <c r="L128" s="63">
        <f ca="1"/>
        <v>-83.594383481750015</v>
      </c>
      <c r="M128" s="63">
        <f ca="1"/>
        <v>-84.442513754500013</v>
      </c>
      <c r="N128" s="63">
        <f ca="1"/>
        <v>-85.270119684000008</v>
      </c>
      <c r="O128" s="63">
        <f ca="1"/>
        <v>-86.134395330000018</v>
      </c>
      <c r="P128" s="63">
        <f ca="1"/>
        <v>-87.038696979000008</v>
      </c>
      <c r="Q128" s="63">
        <f ca="1"/>
        <v>-87.949120871500014</v>
      </c>
      <c r="R128" s="63">
        <f ca="1"/>
        <v>-88.854733440000004</v>
      </c>
      <c r="S128" s="63">
        <f ca="1"/>
        <v>-89.781431580500026</v>
      </c>
      <c r="T128" s="63">
        <f ca="1"/>
        <v>-93.637025977664493</v>
      </c>
      <c r="U128" s="63">
        <f ca="1"/>
        <v>-94.639639663556082</v>
      </c>
      <c r="V128" s="63">
        <f ca="1"/>
        <v>-95.642533321534017</v>
      </c>
      <c r="W128" s="63">
        <f ca="1"/>
        <v>-96.657830186084126</v>
      </c>
      <c r="X128" s="63">
        <f ca="1"/>
        <v>-38.847361994442693</v>
      </c>
      <c r="Y128" s="63">
        <f ca="1"/>
        <v>-11.143034727789143</v>
      </c>
      <c r="Z128" s="63">
        <f ca="1"/>
        <v>-2.984988406003755</v>
      </c>
      <c r="AA128" s="63">
        <f ca="1"/>
        <v>-0.32183574954326805</v>
      </c>
      <c r="AB128" s="63">
        <f ca="1"/>
        <v>-3.7636923941692838E-2</v>
      </c>
      <c r="AC128" s="63">
        <f ca="1"/>
        <v>-5.5693097577178986E-5</v>
      </c>
      <c r="AD128" s="63">
        <f ca="1"/>
        <v>-3.7636923941692838E-2</v>
      </c>
      <c r="AE128" s="63">
        <f ca="1"/>
        <v>-5.5693097577178986E-5</v>
      </c>
      <c r="AF128" s="63">
        <f ca="1"/>
        <v>-2.8390827119092951E-5</v>
      </c>
      <c r="AG128" s="63" t="e">
        <f ca="1"/>
        <v>#N/A</v>
      </c>
      <c r="AH128" s="63" t="e">
        <f ca="1"/>
        <v>#N/A</v>
      </c>
      <c r="AI128" s="63" t="e">
        <f ca="1"/>
        <v>#N/A</v>
      </c>
      <c r="AJ128" s="63" t="e">
        <f ca="1"/>
        <v>#N/A</v>
      </c>
      <c r="AK128" s="63" t="e">
        <f ca="1"/>
        <v>#N/A</v>
      </c>
      <c r="AL128" s="63" t="e">
        <f ca="1"/>
        <v>#N/A</v>
      </c>
    </row>
    <row r="129" spans="1:38" ht="21" customHeight="1" outlineLevel="1" thickBot="1" x14ac:dyDescent="0.4">
      <c r="E129" s="31" t="str">
        <f ca="1"/>
        <v xml:space="preserve">Газовая: </v>
      </c>
      <c r="F129" s="63">
        <f ca="1"/>
        <v>-112.58080772100003</v>
      </c>
      <c r="G129" s="63">
        <f ca="1"/>
        <v>-115.83147097025001</v>
      </c>
      <c r="H129" s="63">
        <f ca="1"/>
        <v>-119.14749173250004</v>
      </c>
      <c r="I129" s="63">
        <f ca="1"/>
        <v>-122.49632289750002</v>
      </c>
      <c r="J129" s="63">
        <f ca="1"/>
        <v>-125.89002464750001</v>
      </c>
      <c r="K129" s="63">
        <f ca="1"/>
        <v>-139.86187119450003</v>
      </c>
      <c r="L129" s="63">
        <f ca="1"/>
        <v>-143.44874372300004</v>
      </c>
      <c r="M129" s="63">
        <f ca="1"/>
        <v>-147.08640260325006</v>
      </c>
      <c r="N129" s="63">
        <f ca="1"/>
        <v>-150.70152087400004</v>
      </c>
      <c r="O129" s="63">
        <f ca="1"/>
        <v>-154.37769113250005</v>
      </c>
      <c r="P129" s="63">
        <f ca="1"/>
        <v>-158.10508425400005</v>
      </c>
      <c r="Q129" s="63">
        <f ca="1"/>
        <v>-161.84979647900005</v>
      </c>
      <c r="R129" s="63">
        <f ca="1"/>
        <v>-165.60089424</v>
      </c>
      <c r="S129" s="63">
        <f ca="1"/>
        <v>-169.42558364050009</v>
      </c>
      <c r="T129" s="63">
        <f ca="1"/>
        <v>-184.82547327766451</v>
      </c>
      <c r="U129" s="63">
        <f ca="1"/>
        <v>-188.77695603480609</v>
      </c>
      <c r="V129" s="63">
        <f ca="1"/>
        <v>-192.70648440528404</v>
      </c>
      <c r="W129" s="63">
        <f ca="1"/>
        <v>-196.65961284233418</v>
      </c>
      <c r="X129" s="63">
        <f ca="1"/>
        <v>-141.22068255694271</v>
      </c>
      <c r="Y129" s="63">
        <f ca="1"/>
        <v>-116.19169116903915</v>
      </c>
      <c r="Z129" s="63">
        <f ca="1"/>
        <v>-110.87207657225379</v>
      </c>
      <c r="AA129" s="63">
        <f ca="1"/>
        <v>-111.16634999329332</v>
      </c>
      <c r="AB129" s="63">
        <f ca="1"/>
        <v>-113.85077410519173</v>
      </c>
      <c r="AC129" s="63">
        <f ca="1"/>
        <v>-125.72227987309762</v>
      </c>
      <c r="AD129" s="63">
        <f ca="1"/>
        <v>-113.85077410519173</v>
      </c>
      <c r="AE129" s="63">
        <f ca="1"/>
        <v>-125.72227987309762</v>
      </c>
      <c r="AF129" s="63">
        <f ca="1"/>
        <v>-137.74357839082714</v>
      </c>
      <c r="AG129" s="63" t="e">
        <f ca="1"/>
        <v>#N/A</v>
      </c>
      <c r="AH129" s="63" t="e">
        <f ca="1"/>
        <v>#N/A</v>
      </c>
      <c r="AI129" s="63" t="e">
        <f ca="1"/>
        <v>#N/A</v>
      </c>
      <c r="AJ129" s="63" t="e">
        <f ca="1"/>
        <v>#N/A</v>
      </c>
      <c r="AK129" s="63" t="e">
        <f ca="1"/>
        <v>#N/A</v>
      </c>
      <c r="AL129" s="63" t="e">
        <f ca="1"/>
        <v>#N/A</v>
      </c>
    </row>
    <row r="130" spans="1:38" ht="21" customHeight="1" outlineLevel="1" thickBot="1" x14ac:dyDescent="0.4">
      <c r="E130" s="31" t="str">
        <f ca="1"/>
        <v>Раствор + газовая без Ar</v>
      </c>
      <c r="F130" s="63">
        <f ca="1"/>
        <v>-77.006665171000009</v>
      </c>
      <c r="G130" s="63">
        <f ca="1"/>
        <v>-77.646388344000016</v>
      </c>
      <c r="H130" s="63">
        <f ca="1"/>
        <v>-78.310824982500023</v>
      </c>
      <c r="I130" s="63">
        <f ca="1"/>
        <v>-79.005272808750021</v>
      </c>
      <c r="J130" s="63">
        <f ca="1"/>
        <v>-79.717271158750009</v>
      </c>
      <c r="K130" s="63">
        <f ca="1"/>
        <v>-82.785842700750024</v>
      </c>
      <c r="L130" s="63">
        <f ca="1"/>
        <v>-83.594383481750015</v>
      </c>
      <c r="M130" s="63">
        <f ca="1"/>
        <v>-84.442513754500013</v>
      </c>
      <c r="N130" s="63">
        <f ca="1"/>
        <v>-85.270119684000008</v>
      </c>
      <c r="O130" s="63">
        <f ca="1"/>
        <v>-86.134395330000018</v>
      </c>
      <c r="P130" s="63">
        <f ca="1"/>
        <v>-87.038696979000008</v>
      </c>
      <c r="Q130" s="63">
        <f ca="1"/>
        <v>-87.949120871500014</v>
      </c>
      <c r="R130" s="63">
        <f ca="1"/>
        <v>-88.854733440000004</v>
      </c>
      <c r="S130" s="63">
        <f ca="1"/>
        <v>-89.78143158050004</v>
      </c>
      <c r="T130" s="63">
        <f ca="1"/>
        <v>-93.637025978814492</v>
      </c>
      <c r="U130" s="63">
        <f ca="1"/>
        <v>-94.639639664494482</v>
      </c>
      <c r="V130" s="63">
        <f ca="1"/>
        <v>-95.642533327990407</v>
      </c>
      <c r="W130" s="63">
        <f ca="1"/>
        <v>-96.657830186270346</v>
      </c>
      <c r="X130" s="63">
        <f ca="1"/>
        <v>-38.847363238558387</v>
      </c>
      <c r="Y130" s="63">
        <f ca="1"/>
        <v>-11.143044561616689</v>
      </c>
      <c r="Z130" s="63">
        <f ca="1"/>
        <v>-21.161414973315381</v>
      </c>
      <c r="AA130" s="63">
        <f ca="1"/>
        <v>-20.036047992261974</v>
      </c>
      <c r="AB130" s="63">
        <f ca="1"/>
        <v>-20.95452473181177</v>
      </c>
      <c r="AC130" s="63">
        <f ca="1"/>
        <v>-26.821677161823121</v>
      </c>
      <c r="AD130" s="63">
        <f ca="1"/>
        <v>-20.95452473181177</v>
      </c>
      <c r="AE130" s="63">
        <f ca="1"/>
        <v>-26.821677161823121</v>
      </c>
      <c r="AF130" s="63">
        <f ca="1"/>
        <v>-36.569377651252125</v>
      </c>
      <c r="AG130" s="63" t="e">
        <f ca="1"/>
        <v>#N/A</v>
      </c>
      <c r="AH130" s="63" t="e">
        <f ca="1"/>
        <v>#N/A</v>
      </c>
      <c r="AI130" s="63" t="e">
        <f ca="1"/>
        <v>#N/A</v>
      </c>
      <c r="AJ130" s="63" t="e">
        <f ca="1"/>
        <v>#N/A</v>
      </c>
      <c r="AK130" s="63" t="e">
        <f ca="1"/>
        <v>#N/A</v>
      </c>
      <c r="AL130" s="63" t="e">
        <f ca="1"/>
        <v>#N/A</v>
      </c>
    </row>
    <row r="131" spans="1:38" ht="21" customHeight="1" outlineLevel="1" thickBot="1" x14ac:dyDescent="0.4">
      <c r="E131" s="31" t="e">
        <f ca="1"/>
        <v>#N/A</v>
      </c>
      <c r="F131" s="63" t="e">
        <f ca="1"/>
        <v>#N/A</v>
      </c>
      <c r="G131" s="63" t="e">
        <f ca="1"/>
        <v>#N/A</v>
      </c>
      <c r="H131" s="63" t="e">
        <f ca="1"/>
        <v>#N/A</v>
      </c>
      <c r="I131" s="63" t="e">
        <f ca="1"/>
        <v>#N/A</v>
      </c>
      <c r="J131" s="63" t="e">
        <f ca="1"/>
        <v>#N/A</v>
      </c>
      <c r="K131" s="63" t="e">
        <f ca="1"/>
        <v>#N/A</v>
      </c>
      <c r="L131" s="63" t="e">
        <f ca="1"/>
        <v>#N/A</v>
      </c>
      <c r="M131" s="63" t="e">
        <f ca="1"/>
        <v>#N/A</v>
      </c>
      <c r="N131" s="63" t="e">
        <f ca="1"/>
        <v>#N/A</v>
      </c>
      <c r="O131" s="63" t="e">
        <f ca="1"/>
        <v>#N/A</v>
      </c>
      <c r="P131" s="63" t="e">
        <f ca="1"/>
        <v>#N/A</v>
      </c>
      <c r="Q131" s="63" t="e">
        <f ca="1"/>
        <v>#N/A</v>
      </c>
      <c r="R131" s="63" t="e">
        <f ca="1"/>
        <v>#N/A</v>
      </c>
      <c r="S131" s="63" t="e">
        <f ca="1"/>
        <v>#N/A</v>
      </c>
      <c r="T131" s="63" t="e">
        <f ca="1"/>
        <v>#N/A</v>
      </c>
      <c r="U131" s="63" t="e">
        <f ca="1"/>
        <v>#N/A</v>
      </c>
      <c r="V131" s="63" t="e">
        <f ca="1"/>
        <v>#N/A</v>
      </c>
      <c r="W131" s="63" t="e">
        <f ca="1"/>
        <v>#N/A</v>
      </c>
      <c r="X131" s="63" t="e">
        <f ca="1"/>
        <v>#N/A</v>
      </c>
      <c r="Y131" s="63" t="e">
        <f ca="1"/>
        <v>#N/A</v>
      </c>
      <c r="Z131" s="63" t="e">
        <f ca="1"/>
        <v>#N/A</v>
      </c>
      <c r="AA131" s="63" t="e">
        <f ca="1"/>
        <v>#N/A</v>
      </c>
      <c r="AB131" s="63" t="e">
        <f ca="1"/>
        <v>#N/A</v>
      </c>
      <c r="AC131" s="63" t="e">
        <f ca="1"/>
        <v>#N/A</v>
      </c>
      <c r="AD131" s="63" t="e">
        <f ca="1"/>
        <v>#N/A</v>
      </c>
      <c r="AE131" s="63" t="e">
        <f ca="1"/>
        <v>#N/A</v>
      </c>
      <c r="AF131" s="63" t="e">
        <f ca="1"/>
        <v>#N/A</v>
      </c>
      <c r="AG131" s="63" t="e">
        <f ca="1"/>
        <v>#N/A</v>
      </c>
      <c r="AH131" s="63" t="e">
        <f ca="1"/>
        <v>#N/A</v>
      </c>
      <c r="AI131" s="63" t="e">
        <f ca="1"/>
        <v>#N/A</v>
      </c>
      <c r="AJ131" s="63" t="e">
        <f ca="1"/>
        <v>#N/A</v>
      </c>
      <c r="AK131" s="63" t="e">
        <f ca="1"/>
        <v>#N/A</v>
      </c>
      <c r="AL131" s="63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s="63" t="e">
        <f ca="1"/>
        <v>#N/A</v>
      </c>
      <c r="G132" s="63" t="e">
        <f ca="1"/>
        <v>#N/A</v>
      </c>
      <c r="H132" s="63" t="e">
        <f ca="1"/>
        <v>#N/A</v>
      </c>
      <c r="I132" s="63" t="e">
        <f ca="1"/>
        <v>#N/A</v>
      </c>
      <c r="J132" s="63" t="e">
        <f ca="1"/>
        <v>#N/A</v>
      </c>
      <c r="K132" s="63" t="e">
        <f ca="1"/>
        <v>#N/A</v>
      </c>
      <c r="L132" s="63" t="e">
        <f ca="1"/>
        <v>#N/A</v>
      </c>
      <c r="M132" s="63" t="e">
        <f ca="1"/>
        <v>#N/A</v>
      </c>
      <c r="N132" s="63" t="e">
        <f ca="1"/>
        <v>#N/A</v>
      </c>
      <c r="O132" s="63" t="e">
        <f ca="1"/>
        <v>#N/A</v>
      </c>
      <c r="P132" s="63" t="e">
        <f ca="1"/>
        <v>#N/A</v>
      </c>
      <c r="Q132" s="63" t="e">
        <f ca="1"/>
        <v>#N/A</v>
      </c>
      <c r="R132" s="63" t="e">
        <f ca="1"/>
        <v>#N/A</v>
      </c>
      <c r="S132" s="63" t="e">
        <f ca="1"/>
        <v>#N/A</v>
      </c>
      <c r="T132" s="63" t="e">
        <f ca="1"/>
        <v>#N/A</v>
      </c>
      <c r="U132" s="63" t="e">
        <f ca="1"/>
        <v>#N/A</v>
      </c>
      <c r="V132" s="63" t="e">
        <f ca="1"/>
        <v>#N/A</v>
      </c>
      <c r="W132" s="63" t="e">
        <f ca="1"/>
        <v>#N/A</v>
      </c>
      <c r="X132" s="63" t="e">
        <f ca="1"/>
        <v>#N/A</v>
      </c>
      <c r="Y132" s="63" t="e">
        <f ca="1"/>
        <v>#N/A</v>
      </c>
      <c r="Z132" s="63" t="e">
        <f ca="1"/>
        <v>#N/A</v>
      </c>
      <c r="AA132" s="63" t="e">
        <f ca="1"/>
        <v>#N/A</v>
      </c>
      <c r="AB132" s="63" t="e">
        <f ca="1"/>
        <v>#N/A</v>
      </c>
      <c r="AC132" s="63" t="e">
        <f ca="1"/>
        <v>#N/A</v>
      </c>
      <c r="AD132" s="63" t="e">
        <f ca="1"/>
        <v>#N/A</v>
      </c>
      <c r="AE132" s="63" t="e">
        <f ca="1"/>
        <v>#N/A</v>
      </c>
      <c r="AF132" s="63" t="e">
        <f ca="1"/>
        <v>#N/A</v>
      </c>
      <c r="AG132" s="63" t="e">
        <f ca="1"/>
        <v>#N/A</v>
      </c>
      <c r="AH132" s="63" t="e">
        <f ca="1"/>
        <v>#N/A</v>
      </c>
      <c r="AI132" s="63" t="e">
        <f ca="1"/>
        <v>#N/A</v>
      </c>
      <c r="AJ132" s="63" t="e">
        <f ca="1"/>
        <v>#N/A</v>
      </c>
      <c r="AK132" s="63" t="e">
        <f ca="1"/>
        <v>#N/A</v>
      </c>
      <c r="AL132" s="63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s="63" t="e">
        <f ca="1"/>
        <v>#N/A</v>
      </c>
      <c r="G133" s="63" t="e">
        <f ca="1"/>
        <v>#N/A</v>
      </c>
      <c r="H133" s="63" t="e">
        <f ca="1"/>
        <v>#N/A</v>
      </c>
      <c r="I133" s="63" t="e">
        <f ca="1"/>
        <v>#N/A</v>
      </c>
      <c r="J133" s="63" t="e">
        <f ca="1"/>
        <v>#N/A</v>
      </c>
      <c r="K133" s="63" t="e">
        <f ca="1"/>
        <v>#N/A</v>
      </c>
      <c r="L133" s="63" t="e">
        <f ca="1"/>
        <v>#N/A</v>
      </c>
      <c r="M133" s="63" t="e">
        <f ca="1"/>
        <v>#N/A</v>
      </c>
      <c r="N133" s="63" t="e">
        <f ca="1"/>
        <v>#N/A</v>
      </c>
      <c r="O133" s="63" t="e">
        <f ca="1"/>
        <v>#N/A</v>
      </c>
      <c r="P133" s="63" t="e">
        <f ca="1"/>
        <v>#N/A</v>
      </c>
      <c r="Q133" s="63" t="e">
        <f ca="1"/>
        <v>#N/A</v>
      </c>
      <c r="R133" s="63" t="e">
        <f ca="1"/>
        <v>#N/A</v>
      </c>
      <c r="S133" s="63" t="e">
        <f ca="1"/>
        <v>#N/A</v>
      </c>
      <c r="T133" s="63" t="e">
        <f ca="1"/>
        <v>#N/A</v>
      </c>
      <c r="U133" s="63" t="e">
        <f ca="1"/>
        <v>#N/A</v>
      </c>
      <c r="V133" s="63" t="e">
        <f ca="1"/>
        <v>#N/A</v>
      </c>
      <c r="W133" s="63" t="e">
        <f ca="1"/>
        <v>#N/A</v>
      </c>
      <c r="X133" s="63" t="e">
        <f ca="1"/>
        <v>#N/A</v>
      </c>
      <c r="Y133" s="63" t="e">
        <f ca="1"/>
        <v>#N/A</v>
      </c>
      <c r="Z133" s="63" t="e">
        <f ca="1"/>
        <v>#N/A</v>
      </c>
      <c r="AA133" s="63" t="e">
        <f ca="1"/>
        <v>#N/A</v>
      </c>
      <c r="AB133" s="63" t="e">
        <f ca="1"/>
        <v>#N/A</v>
      </c>
      <c r="AC133" s="63" t="e">
        <f ca="1"/>
        <v>#N/A</v>
      </c>
      <c r="AD133" s="63" t="e">
        <f ca="1"/>
        <v>#N/A</v>
      </c>
      <c r="AE133" s="63" t="e">
        <f ca="1"/>
        <v>#N/A</v>
      </c>
      <c r="AF133" s="63" t="e">
        <f ca="1"/>
        <v>#N/A</v>
      </c>
      <c r="AG133" s="63" t="e">
        <f ca="1"/>
        <v>#N/A</v>
      </c>
      <c r="AH133" s="63" t="e">
        <f ca="1"/>
        <v>#N/A</v>
      </c>
      <c r="AI133" s="63" t="e">
        <f ca="1"/>
        <v>#N/A</v>
      </c>
      <c r="AJ133" s="63" t="e">
        <f ca="1"/>
        <v>#N/A</v>
      </c>
      <c r="AK133" s="63" t="e">
        <f ca="1"/>
        <v>#N/A</v>
      </c>
      <c r="AL133" s="6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s="63" t="e">
        <f ca="1"/>
        <v>#N/A</v>
      </c>
      <c r="G134" s="63" t="e">
        <f ca="1"/>
        <v>#N/A</v>
      </c>
      <c r="H134" s="63" t="e">
        <f ca="1"/>
        <v>#N/A</v>
      </c>
      <c r="I134" s="63" t="e">
        <f ca="1"/>
        <v>#N/A</v>
      </c>
      <c r="J134" s="63" t="e">
        <f ca="1"/>
        <v>#N/A</v>
      </c>
      <c r="K134" s="63" t="e">
        <f ca="1"/>
        <v>#N/A</v>
      </c>
      <c r="L134" s="63" t="e">
        <f ca="1"/>
        <v>#N/A</v>
      </c>
      <c r="M134" s="63" t="e">
        <f ca="1"/>
        <v>#N/A</v>
      </c>
      <c r="N134" s="63" t="e">
        <f ca="1"/>
        <v>#N/A</v>
      </c>
      <c r="O134" s="63" t="e">
        <f ca="1"/>
        <v>#N/A</v>
      </c>
      <c r="P134" s="63" t="e">
        <f ca="1"/>
        <v>#N/A</v>
      </c>
      <c r="Q134" s="63" t="e">
        <f ca="1"/>
        <v>#N/A</v>
      </c>
      <c r="R134" s="63" t="e">
        <f ca="1"/>
        <v>#N/A</v>
      </c>
      <c r="S134" s="63" t="e">
        <f ca="1"/>
        <v>#N/A</v>
      </c>
      <c r="T134" s="63" t="e">
        <f ca="1"/>
        <v>#N/A</v>
      </c>
      <c r="U134" s="63" t="e">
        <f ca="1"/>
        <v>#N/A</v>
      </c>
      <c r="V134" s="63" t="e">
        <f ca="1"/>
        <v>#N/A</v>
      </c>
      <c r="W134" s="63" t="e">
        <f ca="1"/>
        <v>#N/A</v>
      </c>
      <c r="X134" s="63" t="e">
        <f ca="1"/>
        <v>#N/A</v>
      </c>
      <c r="Y134" s="63" t="e">
        <f ca="1"/>
        <v>#N/A</v>
      </c>
      <c r="Z134" s="63" t="e">
        <f ca="1"/>
        <v>#N/A</v>
      </c>
      <c r="AA134" s="63" t="e">
        <f ca="1"/>
        <v>#N/A</v>
      </c>
      <c r="AB134" s="63" t="e">
        <f ca="1"/>
        <v>#N/A</v>
      </c>
      <c r="AC134" s="63" t="e">
        <f ca="1"/>
        <v>#N/A</v>
      </c>
      <c r="AD134" s="63" t="e">
        <f ca="1"/>
        <v>#N/A</v>
      </c>
      <c r="AE134" s="63" t="e">
        <f ca="1"/>
        <v>#N/A</v>
      </c>
      <c r="AF134" s="63" t="e">
        <f ca="1"/>
        <v>#N/A</v>
      </c>
      <c r="AG134" s="63" t="e">
        <f ca="1"/>
        <v>#N/A</v>
      </c>
      <c r="AH134" s="63" t="e">
        <f ca="1"/>
        <v>#N/A</v>
      </c>
      <c r="AI134" s="63" t="e">
        <f ca="1"/>
        <v>#N/A</v>
      </c>
      <c r="AJ134" s="63" t="e">
        <f ca="1"/>
        <v>#N/A</v>
      </c>
      <c r="AK134" s="63" t="e">
        <f ca="1"/>
        <v>#N/A</v>
      </c>
      <c r="AL134" s="63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s="63" t="e">
        <f ca="1"/>
        <v>#N/A</v>
      </c>
      <c r="G135" s="63" t="e">
        <f ca="1"/>
        <v>#N/A</v>
      </c>
      <c r="H135" s="63" t="e">
        <f ca="1"/>
        <v>#N/A</v>
      </c>
      <c r="I135" s="63" t="e">
        <f ca="1"/>
        <v>#N/A</v>
      </c>
      <c r="J135" s="63" t="e">
        <f ca="1"/>
        <v>#N/A</v>
      </c>
      <c r="K135" s="63" t="e">
        <f ca="1"/>
        <v>#N/A</v>
      </c>
      <c r="L135" s="63" t="e">
        <f ca="1"/>
        <v>#N/A</v>
      </c>
      <c r="M135" s="63" t="e">
        <f ca="1"/>
        <v>#N/A</v>
      </c>
      <c r="N135" s="63" t="e">
        <f ca="1"/>
        <v>#N/A</v>
      </c>
      <c r="O135" s="63" t="e">
        <f ca="1"/>
        <v>#N/A</v>
      </c>
      <c r="P135" s="63" t="e">
        <f ca="1"/>
        <v>#N/A</v>
      </c>
      <c r="Q135" s="63" t="e">
        <f ca="1"/>
        <v>#N/A</v>
      </c>
      <c r="R135" s="63" t="e">
        <f ca="1"/>
        <v>#N/A</v>
      </c>
      <c r="S135" s="63" t="e">
        <f ca="1"/>
        <v>#N/A</v>
      </c>
      <c r="T135" s="63" t="e">
        <f ca="1"/>
        <v>#N/A</v>
      </c>
      <c r="U135" s="63" t="e">
        <f ca="1"/>
        <v>#N/A</v>
      </c>
      <c r="V135" s="63" t="e">
        <f ca="1"/>
        <v>#N/A</v>
      </c>
      <c r="W135" s="63" t="e">
        <f ca="1"/>
        <v>#N/A</v>
      </c>
      <c r="X135" s="63" t="e">
        <f ca="1"/>
        <v>#N/A</v>
      </c>
      <c r="Y135" s="63" t="e">
        <f ca="1"/>
        <v>#N/A</v>
      </c>
      <c r="Z135" s="63" t="e">
        <f ca="1"/>
        <v>#N/A</v>
      </c>
      <c r="AA135" s="63" t="e">
        <f ca="1"/>
        <v>#N/A</v>
      </c>
      <c r="AB135" s="63" t="e">
        <f ca="1"/>
        <v>#N/A</v>
      </c>
      <c r="AC135" s="63" t="e">
        <f ca="1"/>
        <v>#N/A</v>
      </c>
      <c r="AD135" s="63" t="e">
        <f ca="1"/>
        <v>#N/A</v>
      </c>
      <c r="AE135" s="63" t="e">
        <f ca="1"/>
        <v>#N/A</v>
      </c>
      <c r="AF135" s="63" t="e">
        <f ca="1"/>
        <v>#N/A</v>
      </c>
      <c r="AG135" s="63" t="e">
        <f ca="1"/>
        <v>#N/A</v>
      </c>
      <c r="AH135" s="63" t="e">
        <f ca="1"/>
        <v>#N/A</v>
      </c>
      <c r="AI135" s="63" t="e">
        <f ca="1"/>
        <v>#N/A</v>
      </c>
      <c r="AJ135" s="63" t="e">
        <f ca="1"/>
        <v>#N/A</v>
      </c>
      <c r="AK135" s="63" t="e">
        <f ca="1"/>
        <v>#N/A</v>
      </c>
      <c r="AL135" s="63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s="63" t="e">
        <f ca="1"/>
        <v>#N/A</v>
      </c>
      <c r="G136" s="63" t="e">
        <f ca="1"/>
        <v>#N/A</v>
      </c>
      <c r="H136" s="63" t="e">
        <f ca="1"/>
        <v>#N/A</v>
      </c>
      <c r="I136" s="63" t="e">
        <f ca="1"/>
        <v>#N/A</v>
      </c>
      <c r="J136" s="63" t="e">
        <f ca="1"/>
        <v>#N/A</v>
      </c>
      <c r="K136" s="63" t="e">
        <f ca="1"/>
        <v>#N/A</v>
      </c>
      <c r="L136" s="63" t="e">
        <f ca="1"/>
        <v>#N/A</v>
      </c>
      <c r="M136" s="63" t="e">
        <f ca="1"/>
        <v>#N/A</v>
      </c>
      <c r="N136" s="63" t="e">
        <f ca="1"/>
        <v>#N/A</v>
      </c>
      <c r="O136" s="63" t="e">
        <f ca="1"/>
        <v>#N/A</v>
      </c>
      <c r="P136" s="63" t="e">
        <f ca="1"/>
        <v>#N/A</v>
      </c>
      <c r="Q136" s="63" t="e">
        <f ca="1"/>
        <v>#N/A</v>
      </c>
      <c r="R136" s="63" t="e">
        <f ca="1"/>
        <v>#N/A</v>
      </c>
      <c r="S136" s="63" t="e">
        <f ca="1"/>
        <v>#N/A</v>
      </c>
      <c r="T136" s="63" t="e">
        <f ca="1"/>
        <v>#N/A</v>
      </c>
      <c r="U136" s="63" t="e">
        <f ca="1"/>
        <v>#N/A</v>
      </c>
      <c r="V136" s="63" t="e">
        <f ca="1"/>
        <v>#N/A</v>
      </c>
      <c r="W136" s="63" t="e">
        <f ca="1"/>
        <v>#N/A</v>
      </c>
      <c r="X136" s="63" t="e">
        <f ca="1"/>
        <v>#N/A</v>
      </c>
      <c r="Y136" s="63" t="e">
        <f ca="1"/>
        <v>#N/A</v>
      </c>
      <c r="Z136" s="63" t="e">
        <f ca="1"/>
        <v>#N/A</v>
      </c>
      <c r="AA136" s="63" t="e">
        <f ca="1"/>
        <v>#N/A</v>
      </c>
      <c r="AB136" s="63" t="e">
        <f ca="1"/>
        <v>#N/A</v>
      </c>
      <c r="AC136" s="63" t="e">
        <f ca="1"/>
        <v>#N/A</v>
      </c>
      <c r="AD136" s="63" t="e">
        <f ca="1"/>
        <v>#N/A</v>
      </c>
      <c r="AE136" s="63" t="e">
        <f ca="1"/>
        <v>#N/A</v>
      </c>
      <c r="AF136" s="63" t="e">
        <f ca="1"/>
        <v>#N/A</v>
      </c>
      <c r="AG136" s="63" t="e">
        <f ca="1"/>
        <v>#N/A</v>
      </c>
      <c r="AH136" s="63" t="e">
        <f ca="1"/>
        <v>#N/A</v>
      </c>
      <c r="AI136" s="63" t="e">
        <f ca="1"/>
        <v>#N/A</v>
      </c>
      <c r="AJ136" s="63" t="e">
        <f ca="1"/>
        <v>#N/A</v>
      </c>
      <c r="AK136" s="63" t="e">
        <f ca="1"/>
        <v>#N/A</v>
      </c>
      <c r="AL136" s="63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s="63" t="e">
        <f ca="1"/>
        <v>#N/A</v>
      </c>
      <c r="G137" s="63" t="e">
        <f ca="1"/>
        <v>#N/A</v>
      </c>
      <c r="H137" s="63" t="e">
        <f ca="1"/>
        <v>#N/A</v>
      </c>
      <c r="I137" s="63" t="e">
        <f ca="1"/>
        <v>#N/A</v>
      </c>
      <c r="J137" s="63" t="e">
        <f ca="1"/>
        <v>#N/A</v>
      </c>
      <c r="K137" s="63" t="e">
        <f ca="1"/>
        <v>#N/A</v>
      </c>
      <c r="L137" s="63" t="e">
        <f ca="1"/>
        <v>#N/A</v>
      </c>
      <c r="M137" s="63" t="e">
        <f ca="1"/>
        <v>#N/A</v>
      </c>
      <c r="N137" s="63" t="e">
        <f ca="1"/>
        <v>#N/A</v>
      </c>
      <c r="O137" s="63" t="e">
        <f ca="1"/>
        <v>#N/A</v>
      </c>
      <c r="P137" s="63" t="e">
        <f ca="1"/>
        <v>#N/A</v>
      </c>
      <c r="Q137" s="63" t="e">
        <f ca="1"/>
        <v>#N/A</v>
      </c>
      <c r="R137" s="63" t="e">
        <f ca="1"/>
        <v>#N/A</v>
      </c>
      <c r="S137" s="63" t="e">
        <f ca="1"/>
        <v>#N/A</v>
      </c>
      <c r="T137" s="63" t="e">
        <f ca="1"/>
        <v>#N/A</v>
      </c>
      <c r="U137" s="63" t="e">
        <f ca="1"/>
        <v>#N/A</v>
      </c>
      <c r="V137" s="63" t="e">
        <f ca="1"/>
        <v>#N/A</v>
      </c>
      <c r="W137" s="63" t="e">
        <f ca="1"/>
        <v>#N/A</v>
      </c>
      <c r="X137" s="63" t="e">
        <f ca="1"/>
        <v>#N/A</v>
      </c>
      <c r="Y137" s="63" t="e">
        <f ca="1"/>
        <v>#N/A</v>
      </c>
      <c r="Z137" s="63" t="e">
        <f ca="1"/>
        <v>#N/A</v>
      </c>
      <c r="AA137" s="63" t="e">
        <f ca="1"/>
        <v>#N/A</v>
      </c>
      <c r="AB137" s="63" t="e">
        <f ca="1"/>
        <v>#N/A</v>
      </c>
      <c r="AC137" s="63" t="e">
        <f ca="1"/>
        <v>#N/A</v>
      </c>
      <c r="AD137" s="63" t="e">
        <f ca="1"/>
        <v>#N/A</v>
      </c>
      <c r="AE137" s="63" t="e">
        <f ca="1"/>
        <v>#N/A</v>
      </c>
      <c r="AF137" s="63" t="e">
        <f ca="1"/>
        <v>#N/A</v>
      </c>
      <c r="AG137" s="63" t="e">
        <f ca="1"/>
        <v>#N/A</v>
      </c>
      <c r="AH137" s="63" t="e">
        <f ca="1"/>
        <v>#N/A</v>
      </c>
      <c r="AI137" s="63" t="e">
        <f ca="1"/>
        <v>#N/A</v>
      </c>
      <c r="AJ137" s="63" t="e">
        <f ca="1"/>
        <v>#N/A</v>
      </c>
      <c r="AK137" s="63" t="e">
        <f ca="1"/>
        <v>#N/A</v>
      </c>
      <c r="AL137" s="63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s="63" t="e">
        <f ca="1"/>
        <v>#N/A</v>
      </c>
      <c r="G138" s="63" t="e">
        <f ca="1"/>
        <v>#N/A</v>
      </c>
      <c r="H138" s="63" t="e">
        <f ca="1"/>
        <v>#N/A</v>
      </c>
      <c r="I138" s="63" t="e">
        <f ca="1"/>
        <v>#N/A</v>
      </c>
      <c r="J138" s="63" t="e">
        <f ca="1"/>
        <v>#N/A</v>
      </c>
      <c r="K138" s="63" t="e">
        <f ca="1"/>
        <v>#N/A</v>
      </c>
      <c r="L138" s="63" t="e">
        <f ca="1"/>
        <v>#N/A</v>
      </c>
      <c r="M138" s="63" t="e">
        <f ca="1"/>
        <v>#N/A</v>
      </c>
      <c r="N138" s="63" t="e">
        <f ca="1"/>
        <v>#N/A</v>
      </c>
      <c r="O138" s="63" t="e">
        <f ca="1"/>
        <v>#N/A</v>
      </c>
      <c r="P138" s="63" t="e">
        <f ca="1"/>
        <v>#N/A</v>
      </c>
      <c r="Q138" s="63" t="e">
        <f ca="1"/>
        <v>#N/A</v>
      </c>
      <c r="R138" s="63" t="e">
        <f ca="1"/>
        <v>#N/A</v>
      </c>
      <c r="S138" s="63" t="e">
        <f ca="1"/>
        <v>#N/A</v>
      </c>
      <c r="T138" s="63" t="e">
        <f ca="1"/>
        <v>#N/A</v>
      </c>
      <c r="U138" s="63" t="e">
        <f ca="1"/>
        <v>#N/A</v>
      </c>
      <c r="V138" s="63" t="e">
        <f ca="1"/>
        <v>#N/A</v>
      </c>
      <c r="W138" s="63" t="e">
        <f ca="1"/>
        <v>#N/A</v>
      </c>
      <c r="X138" s="63" t="e">
        <f ca="1"/>
        <v>#N/A</v>
      </c>
      <c r="Y138" s="63" t="e">
        <f ca="1"/>
        <v>#N/A</v>
      </c>
      <c r="Z138" s="63" t="e">
        <f ca="1"/>
        <v>#N/A</v>
      </c>
      <c r="AA138" s="63" t="e">
        <f ca="1"/>
        <v>#N/A</v>
      </c>
      <c r="AB138" s="63" t="e">
        <f ca="1"/>
        <v>#N/A</v>
      </c>
      <c r="AC138" s="63" t="e">
        <f ca="1"/>
        <v>#N/A</v>
      </c>
      <c r="AD138" s="63" t="e">
        <f ca="1"/>
        <v>#N/A</v>
      </c>
      <c r="AE138" s="63" t="e">
        <f ca="1"/>
        <v>#N/A</v>
      </c>
      <c r="AF138" s="63" t="e">
        <f ca="1"/>
        <v>#N/A</v>
      </c>
      <c r="AG138" s="63" t="e">
        <f ca="1"/>
        <v>#N/A</v>
      </c>
      <c r="AH138" s="63" t="e">
        <f ca="1"/>
        <v>#N/A</v>
      </c>
      <c r="AI138" s="63" t="e">
        <f ca="1"/>
        <v>#N/A</v>
      </c>
      <c r="AJ138" s="63" t="e">
        <f ca="1"/>
        <v>#N/A</v>
      </c>
      <c r="AK138" s="63" t="e">
        <f ca="1"/>
        <v>#N/A</v>
      </c>
      <c r="AL138" s="63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s="63" t="e">
        <f ca="1"/>
        <v>#N/A</v>
      </c>
      <c r="G139" s="63" t="e">
        <f ca="1"/>
        <v>#N/A</v>
      </c>
      <c r="H139" s="63" t="e">
        <f ca="1"/>
        <v>#N/A</v>
      </c>
      <c r="I139" s="63" t="e">
        <f ca="1"/>
        <v>#N/A</v>
      </c>
      <c r="J139" s="63" t="e">
        <f ca="1"/>
        <v>#N/A</v>
      </c>
      <c r="K139" s="63" t="e">
        <f ca="1"/>
        <v>#N/A</v>
      </c>
      <c r="L139" s="63" t="e">
        <f ca="1"/>
        <v>#N/A</v>
      </c>
      <c r="M139" s="63" t="e">
        <f ca="1"/>
        <v>#N/A</v>
      </c>
      <c r="N139" s="63" t="e">
        <f ca="1"/>
        <v>#N/A</v>
      </c>
      <c r="O139" s="63" t="e">
        <f ca="1"/>
        <v>#N/A</v>
      </c>
      <c r="P139" s="63" t="e">
        <f ca="1"/>
        <v>#N/A</v>
      </c>
      <c r="Q139" s="63" t="e">
        <f ca="1"/>
        <v>#N/A</v>
      </c>
      <c r="R139" s="63" t="e">
        <f ca="1"/>
        <v>#N/A</v>
      </c>
      <c r="S139" s="63" t="e">
        <f ca="1"/>
        <v>#N/A</v>
      </c>
      <c r="T139" s="63" t="e">
        <f ca="1"/>
        <v>#N/A</v>
      </c>
      <c r="U139" s="63" t="e">
        <f ca="1"/>
        <v>#N/A</v>
      </c>
      <c r="V139" s="63" t="e">
        <f ca="1"/>
        <v>#N/A</v>
      </c>
      <c r="W139" s="63" t="e">
        <f ca="1"/>
        <v>#N/A</v>
      </c>
      <c r="X139" s="63" t="e">
        <f ca="1"/>
        <v>#N/A</v>
      </c>
      <c r="Y139" s="63" t="e">
        <f ca="1"/>
        <v>#N/A</v>
      </c>
      <c r="Z139" s="63" t="e">
        <f ca="1"/>
        <v>#N/A</v>
      </c>
      <c r="AA139" s="63" t="e">
        <f ca="1"/>
        <v>#N/A</v>
      </c>
      <c r="AB139" s="63" t="e">
        <f ca="1"/>
        <v>#N/A</v>
      </c>
      <c r="AC139" s="63" t="e">
        <f ca="1"/>
        <v>#N/A</v>
      </c>
      <c r="AD139" s="63" t="e">
        <f ca="1"/>
        <v>#N/A</v>
      </c>
      <c r="AE139" s="63" t="e">
        <f ca="1"/>
        <v>#N/A</v>
      </c>
      <c r="AF139" s="63" t="e">
        <f ca="1"/>
        <v>#N/A</v>
      </c>
      <c r="AG139" s="63" t="e">
        <f ca="1"/>
        <v>#N/A</v>
      </c>
      <c r="AH139" s="63" t="e">
        <f ca="1"/>
        <v>#N/A</v>
      </c>
      <c r="AI139" s="63" t="e">
        <f ca="1"/>
        <v>#N/A</v>
      </c>
      <c r="AJ139" s="63" t="e">
        <f ca="1"/>
        <v>#N/A</v>
      </c>
      <c r="AK139" s="63" t="e">
        <f ca="1"/>
        <v>#N/A</v>
      </c>
      <c r="AL139" s="63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 s="63">
        <v>298.14999999999998</v>
      </c>
    </row>
    <row r="144" spans="1:38" ht="21" hidden="1" customHeight="1" outlineLevel="1" x14ac:dyDescent="0.35">
      <c r="A144" s="63">
        <v>8</v>
      </c>
      <c r="B144" s="37" t="s">
        <v>22</v>
      </c>
      <c r="C144" s="63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37">E144-$C$144</f>
        <v>-5</v>
      </c>
      <c r="F145" s="39">
        <f t="shared" si="37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38">D145+$A$144</f>
        <v>3</v>
      </c>
      <c r="E146" s="39">
        <f t="shared" si="38"/>
        <v>3</v>
      </c>
      <c r="F146" s="39">
        <f t="shared" si="38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5" priority="3" operator="equal">
      <formula>0</formula>
    </cfRule>
  </conditionalFormatting>
  <conditionalFormatting sqref="A50:D80">
    <cfRule type="cellIs" dxfId="4" priority="2" operator="equal">
      <formula>0</formula>
    </cfRule>
  </conditionalFormatting>
  <conditionalFormatting sqref="A84:D113">
    <cfRule type="cellIs" dxfId="3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D37:AL37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P161"/>
  <sheetViews>
    <sheetView zoomScale="25" zoomScaleNormal="25" workbookViewId="0">
      <pane ySplit="1" topLeftCell="A84" activePane="bottomLeft" state="frozen"/>
      <selection pane="bottomLeft" activeCell="DB151" sqref="DB151"/>
    </sheetView>
  </sheetViews>
  <sheetFormatPr defaultRowHeight="21" outlineLevelRow="1" x14ac:dyDescent="0.35"/>
  <cols>
    <col min="1" max="1" width="13.81640625" bestFit="1" customWidth="1"/>
    <col min="2" max="3" width="4.26953125" style="64" customWidth="1"/>
    <col min="4" max="5" width="4.26953125" customWidth="1"/>
    <col min="6" max="93" width="4.26953125" hidden="1" customWidth="1"/>
    <col min="94" max="94" width="4.26953125" customWidth="1"/>
    <col min="95" max="16384" width="8.7265625" style="63"/>
  </cols>
  <sheetData>
    <row r="1" spans="1:35" ht="37.5" customHeight="1" thickBot="1" x14ac:dyDescent="0.4">
      <c r="A1" s="58" t="s">
        <v>26</v>
      </c>
      <c r="B1" s="65">
        <v>290</v>
      </c>
      <c r="C1" s="119">
        <v>1000</v>
      </c>
      <c r="D1" s="59" t="s">
        <v>27</v>
      </c>
      <c r="E1" s="60">
        <v>80</v>
      </c>
      <c r="F1" s="63"/>
      <c r="G1" s="63"/>
      <c r="H1" s="63"/>
      <c r="I1" s="63"/>
      <c r="J1" s="63"/>
    </row>
    <row r="2" spans="1:35" ht="23.25" customHeight="1" thickTop="1" thickBot="1" x14ac:dyDescent="0.4">
      <c r="A2" s="9" t="s">
        <v>37</v>
      </c>
      <c r="B2" s="9">
        <f>FLUID!F49</f>
        <v>273.10000000000002</v>
      </c>
      <c r="C2" s="9">
        <f>FLUID!G49</f>
        <v>353.9</v>
      </c>
      <c r="D2" s="9">
        <f>FLUID!H49</f>
        <v>434.7</v>
      </c>
      <c r="E2" s="9">
        <f>FLUID!I49</f>
        <v>515.4</v>
      </c>
      <c r="F2" s="9">
        <f>FLUID!J49</f>
        <v>596.20000000000005</v>
      </c>
      <c r="G2" s="9">
        <f>FLUID!K49</f>
        <v>677</v>
      </c>
      <c r="H2" s="9">
        <f>FLUID!L49</f>
        <v>757.7</v>
      </c>
      <c r="I2" s="9">
        <f>FLUID!M49</f>
        <v>838.5</v>
      </c>
      <c r="J2" s="9">
        <f>FLUID!N49</f>
        <v>919.2</v>
      </c>
      <c r="K2" s="9">
        <f>FLUID!O49</f>
        <v>1000</v>
      </c>
      <c r="L2" s="9">
        <f>FLUID!P49</f>
        <v>0</v>
      </c>
      <c r="M2" s="9">
        <f>FLUID!Q49</f>
        <v>0</v>
      </c>
      <c r="N2" s="9">
        <f>FLUID!R49</f>
        <v>0</v>
      </c>
      <c r="O2" s="9">
        <f>FLUID!S49</f>
        <v>0</v>
      </c>
      <c r="P2" s="9">
        <f>FLUID!T49</f>
        <v>0</v>
      </c>
      <c r="Q2" s="9">
        <f>FLUID!U49</f>
        <v>0</v>
      </c>
      <c r="R2" s="9">
        <f>FLUID!V49</f>
        <v>0</v>
      </c>
      <c r="S2" s="9">
        <f>FLUID!W49</f>
        <v>0</v>
      </c>
      <c r="T2" s="9">
        <f>FLUID!X49</f>
        <v>0</v>
      </c>
      <c r="U2" s="9">
        <f>FLUID!Y49</f>
        <v>0</v>
      </c>
      <c r="V2" s="9">
        <f>FLUID!Z49</f>
        <v>0</v>
      </c>
      <c r="W2" s="9">
        <f>FLUID!AA49</f>
        <v>0</v>
      </c>
      <c r="X2" s="9">
        <f>FLUID!AB49</f>
        <v>0</v>
      </c>
      <c r="Y2" s="9">
        <f>FLUID!AC49</f>
        <v>0</v>
      </c>
      <c r="Z2" s="9">
        <f>FLUID!AD49</f>
        <v>0</v>
      </c>
      <c r="AA2" s="9">
        <f>FLUID!AE49</f>
        <v>0</v>
      </c>
      <c r="AB2" s="9">
        <f>FLUID!AF49</f>
        <v>0</v>
      </c>
      <c r="AC2" s="9">
        <f>FLUID!AG49</f>
        <v>0</v>
      </c>
      <c r="AD2" s="9">
        <f>FLUID!AH49</f>
        <v>0</v>
      </c>
      <c r="AE2" s="9">
        <f>FLUID!AI49</f>
        <v>0</v>
      </c>
      <c r="AF2" s="9">
        <f>FLUID!AJ49</f>
        <v>0</v>
      </c>
      <c r="AG2" s="9">
        <f>FLUID!AK49</f>
        <v>0</v>
      </c>
      <c r="AH2" s="9">
        <f>FLUID!AL49</f>
        <v>0</v>
      </c>
      <c r="AI2" s="9">
        <f>FLUID!AM49</f>
        <v>0</v>
      </c>
    </row>
    <row r="3" spans="1:35" ht="22.5" hidden="1" outlineLevel="1" thickTop="1" thickBot="1" x14ac:dyDescent="0.4">
      <c r="A3" s="76" t="str">
        <f>FLUID!E50</f>
        <v>*Se[l]</v>
      </c>
      <c r="B3" s="28">
        <f ca="1">FLUID!F50</f>
        <v>-4.7</v>
      </c>
      <c r="C3" s="28">
        <f ca="1">FLUID!G50</f>
        <v>-5.1369999999999996</v>
      </c>
      <c r="D3" s="28">
        <f ca="1">FLUID!H50</f>
        <v>-5.6130000000000004</v>
      </c>
      <c r="E3" s="28">
        <f ca="1">FLUID!I50</f>
        <v>-6.07</v>
      </c>
      <c r="F3" s="28">
        <f ca="1">FLUID!J50</f>
        <v>-6.4909999999999997</v>
      </c>
      <c r="G3" s="28">
        <f ca="1">FLUID!K50</f>
        <v>-6.8710000000000004</v>
      </c>
      <c r="H3" s="28">
        <f ca="1">FLUID!L50</f>
        <v>-7.2160000000000002</v>
      </c>
      <c r="I3" s="28">
        <f ca="1">FLUID!M50</f>
        <v>-7.5439999999999996</v>
      </c>
      <c r="J3" s="28">
        <f ca="1">FLUID!N50</f>
        <v>-7.8849999999999998</v>
      </c>
      <c r="K3" s="28">
        <f ca="1">FLUID!O50</f>
        <v>-8.2889999999999997</v>
      </c>
      <c r="L3" s="28">
        <f ca="1">FLUID!P50</f>
        <v>0</v>
      </c>
      <c r="M3" s="28">
        <f ca="1">FLUID!Q50</f>
        <v>0</v>
      </c>
      <c r="N3" s="28">
        <f ca="1">FLUID!R50</f>
        <v>0</v>
      </c>
      <c r="O3" s="28">
        <f ca="1">FLUID!S50</f>
        <v>0</v>
      </c>
      <c r="P3" s="28">
        <f ca="1">FLUID!T50</f>
        <v>0</v>
      </c>
      <c r="Q3" s="28">
        <f ca="1">FLUID!U50</f>
        <v>0</v>
      </c>
      <c r="R3" s="28">
        <f ca="1">FLUID!V50</f>
        <v>0</v>
      </c>
      <c r="S3" s="28">
        <f ca="1">FLUID!W50</f>
        <v>0</v>
      </c>
      <c r="T3" s="28">
        <f ca="1">FLUID!X50</f>
        <v>0</v>
      </c>
      <c r="U3" s="28">
        <f ca="1">FLUID!Y50</f>
        <v>0</v>
      </c>
      <c r="V3" s="28">
        <f ca="1">FLUID!Z50</f>
        <v>0</v>
      </c>
      <c r="W3" s="28">
        <f ca="1">FLUID!AA50</f>
        <v>0</v>
      </c>
      <c r="X3" s="28">
        <f ca="1">FLUID!AB50</f>
        <v>0</v>
      </c>
      <c r="Y3" s="28">
        <f ca="1">FLUID!AC50</f>
        <v>0</v>
      </c>
      <c r="Z3" s="28">
        <f ca="1">FLUID!AD50</f>
        <v>0</v>
      </c>
      <c r="AA3" s="28">
        <f ca="1">FLUID!AE50</f>
        <v>0</v>
      </c>
      <c r="AB3" s="28">
        <f ca="1">FLUID!AF50</f>
        <v>0</v>
      </c>
      <c r="AC3" s="28">
        <f ca="1">FLUID!AG50</f>
        <v>0</v>
      </c>
      <c r="AD3" s="28">
        <f ca="1">FLUID!AH50</f>
        <v>0</v>
      </c>
      <c r="AE3" s="28">
        <f ca="1">FLUID!AI50</f>
        <v>0</v>
      </c>
      <c r="AF3" s="28">
        <f ca="1">FLUID!AJ50</f>
        <v>0</v>
      </c>
      <c r="AG3" s="28">
        <f ca="1">FLUID!AK50</f>
        <v>0</v>
      </c>
      <c r="AH3" s="28">
        <f ca="1">FLUID!AL50</f>
        <v>0</v>
      </c>
      <c r="AI3" s="28">
        <f>FLUID!AM50</f>
        <v>0</v>
      </c>
    </row>
    <row r="4" spans="1:35" ht="21.75" hidden="1" outlineLevel="1" thickBot="1" x14ac:dyDescent="0.4">
      <c r="A4" s="62" t="str">
        <f>FLUID!E51</f>
        <v>Se3</v>
      </c>
      <c r="B4" s="28">
        <f ca="1">FLUID!F51</f>
        <v>-14.100000000000001</v>
      </c>
      <c r="C4" s="28">
        <f ca="1">FLUID!G51</f>
        <v>-15.410999999999998</v>
      </c>
      <c r="D4" s="28">
        <f ca="1">FLUID!H51</f>
        <v>-16.839000000000002</v>
      </c>
      <c r="E4" s="28">
        <f ca="1">FLUID!I51</f>
        <v>-18.21</v>
      </c>
      <c r="F4" s="28">
        <f ca="1">FLUID!J51</f>
        <v>-19.472999999999999</v>
      </c>
      <c r="G4" s="28">
        <f ca="1">FLUID!K51</f>
        <v>-20.613</v>
      </c>
      <c r="H4" s="28">
        <f ca="1">FLUID!L51</f>
        <v>-21.648</v>
      </c>
      <c r="I4" s="28">
        <f ca="1">FLUID!M51</f>
        <v>-22.631999999999998</v>
      </c>
      <c r="J4" s="28">
        <f ca="1">FLUID!N51</f>
        <v>-23.655000000000001</v>
      </c>
      <c r="K4" s="28">
        <f ca="1">FLUID!O51</f>
        <v>-24.866999999999997</v>
      </c>
      <c r="L4" s="28">
        <f ca="1">FLUID!P51</f>
        <v>0</v>
      </c>
      <c r="M4" s="28">
        <f ca="1">FLUID!Q51</f>
        <v>0</v>
      </c>
      <c r="N4" s="28">
        <f ca="1">FLUID!R51</f>
        <v>0</v>
      </c>
      <c r="O4" s="28">
        <f ca="1">FLUID!S51</f>
        <v>0</v>
      </c>
      <c r="P4" s="28">
        <f ca="1">FLUID!T51</f>
        <v>0</v>
      </c>
      <c r="Q4" s="28">
        <f ca="1">FLUID!U51</f>
        <v>0</v>
      </c>
      <c r="R4" s="28">
        <f ca="1">FLUID!V51</f>
        <v>0</v>
      </c>
      <c r="S4" s="28">
        <f ca="1">FLUID!W51</f>
        <v>0</v>
      </c>
      <c r="T4" s="28">
        <f ca="1">FLUID!X51</f>
        <v>0</v>
      </c>
      <c r="U4" s="28">
        <f ca="1">FLUID!Y51</f>
        <v>0</v>
      </c>
      <c r="V4" s="28">
        <f ca="1">FLUID!Z51</f>
        <v>0</v>
      </c>
      <c r="W4" s="28">
        <f ca="1">FLUID!AA51</f>
        <v>0</v>
      </c>
      <c r="X4" s="28">
        <f ca="1">FLUID!AB51</f>
        <v>0</v>
      </c>
      <c r="Y4" s="28">
        <f ca="1">FLUID!AC51</f>
        <v>0</v>
      </c>
      <c r="Z4" s="28">
        <f ca="1">FLUID!AD51</f>
        <v>0</v>
      </c>
      <c r="AA4" s="28">
        <f ca="1">FLUID!AE51</f>
        <v>0</v>
      </c>
      <c r="AB4" s="28">
        <f ca="1">FLUID!AF51</f>
        <v>0</v>
      </c>
      <c r="AC4" s="28">
        <f ca="1">FLUID!AG51</f>
        <v>0</v>
      </c>
      <c r="AD4" s="28">
        <f ca="1">FLUID!AH51</f>
        <v>0</v>
      </c>
      <c r="AE4" s="28">
        <f ca="1">FLUID!AI51</f>
        <v>0</v>
      </c>
      <c r="AF4" s="28">
        <f ca="1">FLUID!AJ51</f>
        <v>0</v>
      </c>
      <c r="AG4" s="28">
        <f ca="1">FLUID!AK51</f>
        <v>0</v>
      </c>
      <c r="AH4" s="28">
        <f ca="1">FLUID!AL51</f>
        <v>0</v>
      </c>
      <c r="AI4" s="28">
        <f>FLUID!AM51</f>
        <v>0</v>
      </c>
    </row>
    <row r="5" spans="1:35" ht="21.75" hidden="1" outlineLevel="1" thickBot="1" x14ac:dyDescent="0.4">
      <c r="A5" s="62" t="str">
        <f>FLUID!E52</f>
        <v>Se4</v>
      </c>
      <c r="B5" s="28">
        <f ca="1">FLUID!F52</f>
        <v>-18.8</v>
      </c>
      <c r="C5" s="28">
        <f ca="1">FLUID!G52</f>
        <v>-20.547999999999998</v>
      </c>
      <c r="D5" s="28">
        <f ca="1">FLUID!H52</f>
        <v>-22.452000000000002</v>
      </c>
      <c r="E5" s="28">
        <f ca="1">FLUID!I52</f>
        <v>-24.28</v>
      </c>
      <c r="F5" s="28">
        <f ca="1">FLUID!J52</f>
        <v>-25.963999999999999</v>
      </c>
      <c r="G5" s="28">
        <f ca="1">FLUID!K52</f>
        <v>-27.484000000000002</v>
      </c>
      <c r="H5" s="28">
        <f ca="1">FLUID!L52</f>
        <v>-28.864000000000001</v>
      </c>
      <c r="I5" s="28">
        <f ca="1">FLUID!M52</f>
        <v>-30.175999999999998</v>
      </c>
      <c r="J5" s="28">
        <f ca="1">FLUID!N52</f>
        <v>-31.54</v>
      </c>
      <c r="K5" s="28">
        <f ca="1">FLUID!O52</f>
        <v>-33.155999999999999</v>
      </c>
      <c r="L5" s="28">
        <f ca="1">FLUID!P52</f>
        <v>0</v>
      </c>
      <c r="M5" s="28">
        <f ca="1">FLUID!Q52</f>
        <v>0</v>
      </c>
      <c r="N5" s="28">
        <f ca="1">FLUID!R52</f>
        <v>0</v>
      </c>
      <c r="O5" s="28">
        <f ca="1">FLUID!S52</f>
        <v>0</v>
      </c>
      <c r="P5" s="28">
        <f ca="1">FLUID!T52</f>
        <v>0</v>
      </c>
      <c r="Q5" s="28">
        <f ca="1">FLUID!U52</f>
        <v>0</v>
      </c>
      <c r="R5" s="28">
        <f ca="1">FLUID!V52</f>
        <v>0</v>
      </c>
      <c r="S5" s="28">
        <f ca="1">FLUID!W52</f>
        <v>0</v>
      </c>
      <c r="T5" s="28">
        <f ca="1">FLUID!X52</f>
        <v>0</v>
      </c>
      <c r="U5" s="28">
        <f ca="1">FLUID!Y52</f>
        <v>0</v>
      </c>
      <c r="V5" s="28">
        <f ca="1">FLUID!Z52</f>
        <v>0</v>
      </c>
      <c r="W5" s="28">
        <f ca="1">FLUID!AA52</f>
        <v>0</v>
      </c>
      <c r="X5" s="28">
        <f ca="1">FLUID!AB52</f>
        <v>0</v>
      </c>
      <c r="Y5" s="28">
        <f ca="1">FLUID!AC52</f>
        <v>0</v>
      </c>
      <c r="Z5" s="28">
        <f ca="1">FLUID!AD52</f>
        <v>0</v>
      </c>
      <c r="AA5" s="28">
        <f ca="1">FLUID!AE52</f>
        <v>0</v>
      </c>
      <c r="AB5" s="28">
        <f ca="1">FLUID!AF52</f>
        <v>0</v>
      </c>
      <c r="AC5" s="28">
        <f ca="1">FLUID!AG52</f>
        <v>0</v>
      </c>
      <c r="AD5" s="28">
        <f ca="1">FLUID!AH52</f>
        <v>0</v>
      </c>
      <c r="AE5" s="28">
        <f ca="1">FLUID!AI52</f>
        <v>0</v>
      </c>
      <c r="AF5" s="28">
        <f ca="1">FLUID!AJ52</f>
        <v>0</v>
      </c>
      <c r="AG5" s="28">
        <f ca="1">FLUID!AK52</f>
        <v>0</v>
      </c>
      <c r="AH5" s="28">
        <f ca="1">FLUID!AL52</f>
        <v>0</v>
      </c>
      <c r="AI5" s="28">
        <f>FLUID!AM52</f>
        <v>0</v>
      </c>
    </row>
    <row r="6" spans="1:35" ht="21.75" hidden="1" outlineLevel="1" thickBot="1" x14ac:dyDescent="0.4">
      <c r="A6" s="62" t="str">
        <f>FLUID!E53</f>
        <v>Se5</v>
      </c>
      <c r="B6" s="28">
        <f ca="1">FLUID!F53</f>
        <v>-23.5</v>
      </c>
      <c r="C6" s="28">
        <f ca="1">FLUID!G53</f>
        <v>-25.684999999999999</v>
      </c>
      <c r="D6" s="28">
        <f ca="1">FLUID!H53</f>
        <v>-28.065000000000001</v>
      </c>
      <c r="E6" s="28">
        <f ca="1">FLUID!I53</f>
        <v>-30.35</v>
      </c>
      <c r="F6" s="28">
        <f ca="1">FLUID!J53</f>
        <v>-32.454999999999998</v>
      </c>
      <c r="G6" s="28">
        <f ca="1">FLUID!K53</f>
        <v>-34.355000000000004</v>
      </c>
      <c r="H6" s="28">
        <f ca="1">FLUID!L53</f>
        <v>-36.08</v>
      </c>
      <c r="I6" s="28">
        <f ca="1">FLUID!M53</f>
        <v>-37.72</v>
      </c>
      <c r="J6" s="28">
        <f ca="1">FLUID!N53</f>
        <v>-39.424999999999997</v>
      </c>
      <c r="K6" s="28">
        <f ca="1">FLUID!O53</f>
        <v>-41.445</v>
      </c>
      <c r="L6" s="28">
        <f ca="1">FLUID!P53</f>
        <v>0</v>
      </c>
      <c r="M6" s="28">
        <f ca="1">FLUID!Q53</f>
        <v>0</v>
      </c>
      <c r="N6" s="28">
        <f ca="1">FLUID!R53</f>
        <v>0</v>
      </c>
      <c r="O6" s="28">
        <f ca="1">FLUID!S53</f>
        <v>0</v>
      </c>
      <c r="P6" s="28">
        <f ca="1">FLUID!T53</f>
        <v>0</v>
      </c>
      <c r="Q6" s="28">
        <f ca="1">FLUID!U53</f>
        <v>0</v>
      </c>
      <c r="R6" s="28">
        <f ca="1">FLUID!V53</f>
        <v>0</v>
      </c>
      <c r="S6" s="28">
        <f ca="1">FLUID!W53</f>
        <v>0</v>
      </c>
      <c r="T6" s="28">
        <f ca="1">FLUID!X53</f>
        <v>0</v>
      </c>
      <c r="U6" s="28">
        <f ca="1">FLUID!Y53</f>
        <v>0</v>
      </c>
      <c r="V6" s="28">
        <f ca="1">FLUID!Z53</f>
        <v>0</v>
      </c>
      <c r="W6" s="28">
        <f ca="1">FLUID!AA53</f>
        <v>0</v>
      </c>
      <c r="X6" s="28">
        <f ca="1">FLUID!AB53</f>
        <v>0</v>
      </c>
      <c r="Y6" s="28">
        <f ca="1">FLUID!AC53</f>
        <v>0</v>
      </c>
      <c r="Z6" s="28">
        <f ca="1">FLUID!AD53</f>
        <v>0</v>
      </c>
      <c r="AA6" s="28">
        <f ca="1">FLUID!AE53</f>
        <v>0</v>
      </c>
      <c r="AB6" s="28">
        <f ca="1">FLUID!AF53</f>
        <v>0</v>
      </c>
      <c r="AC6" s="28">
        <f ca="1">FLUID!AG53</f>
        <v>0</v>
      </c>
      <c r="AD6" s="28">
        <f ca="1">FLUID!AH53</f>
        <v>0</v>
      </c>
      <c r="AE6" s="28">
        <f ca="1">FLUID!AI53</f>
        <v>0</v>
      </c>
      <c r="AF6" s="28">
        <f ca="1">FLUID!AJ53</f>
        <v>0</v>
      </c>
      <c r="AG6" s="28">
        <f ca="1">FLUID!AK53</f>
        <v>0</v>
      </c>
      <c r="AH6" s="28">
        <f ca="1">FLUID!AL53</f>
        <v>0</v>
      </c>
      <c r="AI6" s="28">
        <f>FLUID!AM53</f>
        <v>0</v>
      </c>
    </row>
    <row r="7" spans="1:35" ht="21.75" hidden="1" outlineLevel="1" thickBot="1" x14ac:dyDescent="0.4">
      <c r="A7" s="62" t="str">
        <f>FLUID!E54</f>
        <v>Se6</v>
      </c>
      <c r="B7" s="28">
        <f ca="1">FLUID!F54</f>
        <v>-28.200000000000003</v>
      </c>
      <c r="C7" s="28">
        <f ca="1">FLUID!G54</f>
        <v>-30.821999999999996</v>
      </c>
      <c r="D7" s="28">
        <f ca="1">FLUID!H54</f>
        <v>-33.678000000000004</v>
      </c>
      <c r="E7" s="28">
        <f ca="1">FLUID!I54</f>
        <v>-36.42</v>
      </c>
      <c r="F7" s="28">
        <f ca="1">FLUID!J54</f>
        <v>-38.945999999999998</v>
      </c>
      <c r="G7" s="28">
        <f ca="1">FLUID!K54</f>
        <v>-41.225999999999999</v>
      </c>
      <c r="H7" s="28">
        <f ca="1">FLUID!L54</f>
        <v>-43.295999999999999</v>
      </c>
      <c r="I7" s="28">
        <f ca="1">FLUID!M54</f>
        <v>-45.263999999999996</v>
      </c>
      <c r="J7" s="28">
        <f ca="1">FLUID!N54</f>
        <v>-47.31</v>
      </c>
      <c r="K7" s="28">
        <f ca="1">FLUID!O54</f>
        <v>-49.733999999999995</v>
      </c>
      <c r="L7" s="28">
        <f ca="1">FLUID!P54</f>
        <v>0</v>
      </c>
      <c r="M7" s="28">
        <f ca="1">FLUID!Q54</f>
        <v>0</v>
      </c>
      <c r="N7" s="28">
        <f ca="1">FLUID!R54</f>
        <v>0</v>
      </c>
      <c r="O7" s="28">
        <f ca="1">FLUID!S54</f>
        <v>0</v>
      </c>
      <c r="P7" s="28">
        <f ca="1">FLUID!T54</f>
        <v>0</v>
      </c>
      <c r="Q7" s="28">
        <f ca="1">FLUID!U54</f>
        <v>0</v>
      </c>
      <c r="R7" s="28">
        <f ca="1">FLUID!V54</f>
        <v>0</v>
      </c>
      <c r="S7" s="28">
        <f ca="1">FLUID!W54</f>
        <v>0</v>
      </c>
      <c r="T7" s="28">
        <f ca="1">FLUID!X54</f>
        <v>0</v>
      </c>
      <c r="U7" s="28">
        <f ca="1">FLUID!Y54</f>
        <v>0</v>
      </c>
      <c r="V7" s="28">
        <f ca="1">FLUID!Z54</f>
        <v>0</v>
      </c>
      <c r="W7" s="28">
        <f ca="1">FLUID!AA54</f>
        <v>0</v>
      </c>
      <c r="X7" s="28">
        <f ca="1">FLUID!AB54</f>
        <v>0</v>
      </c>
      <c r="Y7" s="28">
        <f ca="1">FLUID!AC54</f>
        <v>0</v>
      </c>
      <c r="Z7" s="28">
        <f ca="1">FLUID!AD54</f>
        <v>0</v>
      </c>
      <c r="AA7" s="28">
        <f ca="1">FLUID!AE54</f>
        <v>0</v>
      </c>
      <c r="AB7" s="28">
        <f ca="1">FLUID!AF54</f>
        <v>0</v>
      </c>
      <c r="AC7" s="28">
        <f ca="1">FLUID!AG54</f>
        <v>0</v>
      </c>
      <c r="AD7" s="28">
        <f ca="1">FLUID!AH54</f>
        <v>0</v>
      </c>
      <c r="AE7" s="28">
        <f ca="1">FLUID!AI54</f>
        <v>0</v>
      </c>
      <c r="AF7" s="28">
        <f ca="1">FLUID!AJ54</f>
        <v>0</v>
      </c>
      <c r="AG7" s="28">
        <f ca="1">FLUID!AK54</f>
        <v>0</v>
      </c>
      <c r="AH7" s="28">
        <f ca="1">FLUID!AL54</f>
        <v>0</v>
      </c>
      <c r="AI7" s="28">
        <f>FLUID!AM54</f>
        <v>0</v>
      </c>
    </row>
    <row r="8" spans="1:35" ht="21.75" hidden="1" outlineLevel="1" thickBot="1" x14ac:dyDescent="0.4">
      <c r="A8" s="62" t="str">
        <f>FLUID!E55</f>
        <v>Se7</v>
      </c>
      <c r="B8" s="28">
        <f ca="1">FLUID!F55</f>
        <v>-32.9</v>
      </c>
      <c r="C8" s="28">
        <f ca="1">FLUID!G55</f>
        <v>-35.958999999999996</v>
      </c>
      <c r="D8" s="28">
        <f ca="1">FLUID!H55</f>
        <v>-39.291000000000004</v>
      </c>
      <c r="E8" s="28">
        <f ca="1">FLUID!I55</f>
        <v>-42.49</v>
      </c>
      <c r="F8" s="28">
        <f ca="1">FLUID!J55</f>
        <v>-45.436999999999998</v>
      </c>
      <c r="G8" s="28">
        <f ca="1">FLUID!K55</f>
        <v>-48.097000000000001</v>
      </c>
      <c r="H8" s="28">
        <f ca="1">FLUID!L55</f>
        <v>-50.512</v>
      </c>
      <c r="I8" s="28">
        <f ca="1">FLUID!M55</f>
        <v>-52.808</v>
      </c>
      <c r="J8" s="28">
        <f ca="1">FLUID!N55</f>
        <v>-55.195</v>
      </c>
      <c r="K8" s="28">
        <f ca="1">FLUID!O55</f>
        <v>-58.022999999999996</v>
      </c>
      <c r="L8" s="28">
        <f ca="1">FLUID!P55</f>
        <v>0</v>
      </c>
      <c r="M8" s="28">
        <f ca="1">FLUID!Q55</f>
        <v>0</v>
      </c>
      <c r="N8" s="28">
        <f ca="1">FLUID!R55</f>
        <v>0</v>
      </c>
      <c r="O8" s="28">
        <f ca="1">FLUID!S55</f>
        <v>0</v>
      </c>
      <c r="P8" s="28">
        <f ca="1">FLUID!T55</f>
        <v>0</v>
      </c>
      <c r="Q8" s="28">
        <f ca="1">FLUID!U55</f>
        <v>0</v>
      </c>
      <c r="R8" s="28">
        <f ca="1">FLUID!V55</f>
        <v>0</v>
      </c>
      <c r="S8" s="28">
        <f ca="1">FLUID!W55</f>
        <v>0</v>
      </c>
      <c r="T8" s="28">
        <f ca="1">FLUID!X55</f>
        <v>0</v>
      </c>
      <c r="U8" s="28">
        <f ca="1">FLUID!Y55</f>
        <v>0</v>
      </c>
      <c r="V8" s="28">
        <f ca="1">FLUID!Z55</f>
        <v>0</v>
      </c>
      <c r="W8" s="28">
        <f ca="1">FLUID!AA55</f>
        <v>0</v>
      </c>
      <c r="X8" s="28">
        <f ca="1">FLUID!AB55</f>
        <v>0</v>
      </c>
      <c r="Y8" s="28">
        <f ca="1">FLUID!AC55</f>
        <v>0</v>
      </c>
      <c r="Z8" s="28">
        <f ca="1">FLUID!AD55</f>
        <v>0</v>
      </c>
      <c r="AA8" s="28">
        <f ca="1">FLUID!AE55</f>
        <v>0</v>
      </c>
      <c r="AB8" s="28">
        <f ca="1">FLUID!AF55</f>
        <v>0</v>
      </c>
      <c r="AC8" s="28">
        <f ca="1">FLUID!AG55</f>
        <v>0</v>
      </c>
      <c r="AD8" s="28">
        <f ca="1">FLUID!AH55</f>
        <v>0</v>
      </c>
      <c r="AE8" s="28">
        <f ca="1">FLUID!AI55</f>
        <v>0</v>
      </c>
      <c r="AF8" s="28">
        <f ca="1">FLUID!AJ55</f>
        <v>0</v>
      </c>
      <c r="AG8" s="28">
        <f ca="1">FLUID!AK55</f>
        <v>0</v>
      </c>
      <c r="AH8" s="28">
        <f ca="1">FLUID!AL55</f>
        <v>0</v>
      </c>
      <c r="AI8" s="28">
        <f>FLUID!AM55</f>
        <v>0</v>
      </c>
    </row>
    <row r="9" spans="1:35" ht="21.75" hidden="1" outlineLevel="1" thickBot="1" x14ac:dyDescent="0.4">
      <c r="A9" s="62" t="str">
        <f>FLUID!E56</f>
        <v>Se8</v>
      </c>
      <c r="B9" s="28">
        <f ca="1">FLUID!F56</f>
        <v>-37.6</v>
      </c>
      <c r="C9" s="28">
        <f ca="1">FLUID!G56</f>
        <v>-41.095999999999997</v>
      </c>
      <c r="D9" s="28">
        <f ca="1">FLUID!H56</f>
        <v>-44.904000000000003</v>
      </c>
      <c r="E9" s="28">
        <f ca="1">FLUID!I56</f>
        <v>-48.56</v>
      </c>
      <c r="F9" s="28">
        <f ca="1">FLUID!J56</f>
        <v>-51.927999999999997</v>
      </c>
      <c r="G9" s="28">
        <f ca="1">FLUID!K56</f>
        <v>-54.968000000000004</v>
      </c>
      <c r="H9" s="28">
        <f ca="1">FLUID!L56</f>
        <v>-57.728000000000002</v>
      </c>
      <c r="I9" s="28">
        <f ca="1">FLUID!M56</f>
        <v>-60.351999999999997</v>
      </c>
      <c r="J9" s="28">
        <f ca="1">FLUID!N56</f>
        <v>-63.08</v>
      </c>
      <c r="K9" s="28">
        <f ca="1">FLUID!O56</f>
        <v>-66.311999999999998</v>
      </c>
      <c r="L9" s="28">
        <f ca="1">FLUID!P56</f>
        <v>0</v>
      </c>
      <c r="M9" s="28">
        <f ca="1">FLUID!Q56</f>
        <v>0</v>
      </c>
      <c r="N9" s="28">
        <f ca="1">FLUID!R56</f>
        <v>0</v>
      </c>
      <c r="O9" s="28">
        <f ca="1">FLUID!S56</f>
        <v>0</v>
      </c>
      <c r="P9" s="28">
        <f ca="1">FLUID!T56</f>
        <v>0</v>
      </c>
      <c r="Q9" s="28">
        <f ca="1">FLUID!U56</f>
        <v>0</v>
      </c>
      <c r="R9" s="28">
        <f ca="1">FLUID!V56</f>
        <v>0</v>
      </c>
      <c r="S9" s="28">
        <f ca="1">FLUID!W56</f>
        <v>0</v>
      </c>
      <c r="T9" s="28">
        <f ca="1">FLUID!X56</f>
        <v>0</v>
      </c>
      <c r="U9" s="28">
        <f ca="1">FLUID!Y56</f>
        <v>0</v>
      </c>
      <c r="V9" s="28">
        <f ca="1">FLUID!Z56</f>
        <v>0</v>
      </c>
      <c r="W9" s="28">
        <f ca="1">FLUID!AA56</f>
        <v>0</v>
      </c>
      <c r="X9" s="28">
        <f ca="1">FLUID!AB56</f>
        <v>0</v>
      </c>
      <c r="Y9" s="28">
        <f ca="1">FLUID!AC56</f>
        <v>0</v>
      </c>
      <c r="Z9" s="28">
        <f ca="1">FLUID!AD56</f>
        <v>0</v>
      </c>
      <c r="AA9" s="28">
        <f ca="1">FLUID!AE56</f>
        <v>0</v>
      </c>
      <c r="AB9" s="28">
        <f ca="1">FLUID!AF56</f>
        <v>0</v>
      </c>
      <c r="AC9" s="28">
        <f ca="1">FLUID!AG56</f>
        <v>0</v>
      </c>
      <c r="AD9" s="28">
        <f ca="1">FLUID!AH56</f>
        <v>0</v>
      </c>
      <c r="AE9" s="28">
        <f ca="1">FLUID!AI56</f>
        <v>0</v>
      </c>
      <c r="AF9" s="28">
        <f ca="1">FLUID!AJ56</f>
        <v>0</v>
      </c>
      <c r="AG9" s="28">
        <f ca="1">FLUID!AK56</f>
        <v>0</v>
      </c>
      <c r="AH9" s="28">
        <f ca="1">FLUID!AL56</f>
        <v>0</v>
      </c>
      <c r="AI9" s="28">
        <f>FLUID!AM56</f>
        <v>0</v>
      </c>
    </row>
    <row r="10" spans="1:35" ht="21.75" hidden="1" outlineLevel="1" thickBot="1" x14ac:dyDescent="0.4">
      <c r="A10" s="62" t="str">
        <f>FLUID!E57</f>
        <v>Se2</v>
      </c>
      <c r="B10" s="28">
        <f ca="1">FLUID!F57</f>
        <v>-9.4</v>
      </c>
      <c r="C10" s="28">
        <f ca="1">FLUID!G57</f>
        <v>-10.273999999999999</v>
      </c>
      <c r="D10" s="28">
        <f ca="1">FLUID!H57</f>
        <v>-11.226000000000001</v>
      </c>
      <c r="E10" s="28">
        <f ca="1">FLUID!I57</f>
        <v>-12.14</v>
      </c>
      <c r="F10" s="28">
        <f ca="1">FLUID!J57</f>
        <v>-12.981999999999999</v>
      </c>
      <c r="G10" s="28">
        <f ca="1">FLUID!K57</f>
        <v>-13.742000000000001</v>
      </c>
      <c r="H10" s="28">
        <f ca="1">FLUID!L57</f>
        <v>-14.432</v>
      </c>
      <c r="I10" s="28">
        <f ca="1">FLUID!M57</f>
        <v>-15.087999999999999</v>
      </c>
      <c r="J10" s="28">
        <f ca="1">FLUID!N57</f>
        <v>-15.77</v>
      </c>
      <c r="K10" s="28">
        <f ca="1">FLUID!O57</f>
        <v>-16.577999999999999</v>
      </c>
      <c r="L10" s="28">
        <f ca="1">FLUID!P57</f>
        <v>0</v>
      </c>
      <c r="M10" s="28">
        <f ca="1">FLUID!Q57</f>
        <v>0</v>
      </c>
      <c r="N10" s="28">
        <f ca="1">FLUID!R57</f>
        <v>0</v>
      </c>
      <c r="O10" s="28">
        <f ca="1">FLUID!S57</f>
        <v>0</v>
      </c>
      <c r="P10" s="28">
        <f ca="1">FLUID!T57</f>
        <v>0</v>
      </c>
      <c r="Q10" s="28">
        <f ca="1">FLUID!U57</f>
        <v>0</v>
      </c>
      <c r="R10" s="28">
        <f ca="1">FLUID!V57</f>
        <v>0</v>
      </c>
      <c r="S10" s="28">
        <f ca="1">FLUID!W57</f>
        <v>0</v>
      </c>
      <c r="T10" s="28">
        <f ca="1">FLUID!X57</f>
        <v>0</v>
      </c>
      <c r="U10" s="28">
        <f ca="1">FLUID!Y57</f>
        <v>0</v>
      </c>
      <c r="V10" s="28">
        <f ca="1">FLUID!Z57</f>
        <v>0</v>
      </c>
      <c r="W10" s="28">
        <f ca="1">FLUID!AA57</f>
        <v>0</v>
      </c>
      <c r="X10" s="28">
        <f ca="1">FLUID!AB57</f>
        <v>0</v>
      </c>
      <c r="Y10" s="28">
        <f ca="1">FLUID!AC57</f>
        <v>0</v>
      </c>
      <c r="Z10" s="28">
        <f ca="1">FLUID!AD57</f>
        <v>0</v>
      </c>
      <c r="AA10" s="28">
        <f ca="1">FLUID!AE57</f>
        <v>0</v>
      </c>
      <c r="AB10" s="28">
        <f ca="1">FLUID!AF57</f>
        <v>0</v>
      </c>
      <c r="AC10" s="28">
        <f ca="1">FLUID!AG57</f>
        <v>0</v>
      </c>
      <c r="AD10" s="28">
        <f ca="1">FLUID!AH57</f>
        <v>0</v>
      </c>
      <c r="AE10" s="28">
        <f ca="1">FLUID!AI57</f>
        <v>0</v>
      </c>
      <c r="AF10" s="28">
        <f ca="1">FLUID!AJ57</f>
        <v>0</v>
      </c>
      <c r="AG10" s="28">
        <f ca="1">FLUID!AK57</f>
        <v>0</v>
      </c>
      <c r="AH10" s="28">
        <f ca="1">FLUID!AL57</f>
        <v>0</v>
      </c>
      <c r="AI10" s="28">
        <f>FLUID!AM57</f>
        <v>0</v>
      </c>
    </row>
    <row r="11" spans="1:35" ht="21.75" hidden="1" outlineLevel="1" thickBot="1" x14ac:dyDescent="0.4">
      <c r="A11" s="62" t="str">
        <f>FLUID!E58</f>
        <v>Se</v>
      </c>
      <c r="B11" s="28">
        <f ca="1">FLUID!F58</f>
        <v>-4.7</v>
      </c>
      <c r="C11" s="28">
        <f ca="1">FLUID!G58</f>
        <v>-5.1369999999999996</v>
      </c>
      <c r="D11" s="28">
        <f ca="1">FLUID!H58</f>
        <v>-5.6130000000000004</v>
      </c>
      <c r="E11" s="28">
        <f ca="1">FLUID!I58</f>
        <v>-6.07</v>
      </c>
      <c r="F11" s="28">
        <f ca="1">FLUID!J58</f>
        <v>-6.4909999999999997</v>
      </c>
      <c r="G11" s="28">
        <f ca="1">FLUID!K58</f>
        <v>-6.8710000000000004</v>
      </c>
      <c r="H11" s="28">
        <f ca="1">FLUID!L58</f>
        <v>-7.2160000000000002</v>
      </c>
      <c r="I11" s="28">
        <f ca="1">FLUID!M58</f>
        <v>-7.5439999999999996</v>
      </c>
      <c r="J11" s="28">
        <f ca="1">FLUID!N58</f>
        <v>-7.8849999999999998</v>
      </c>
      <c r="K11" s="28">
        <f ca="1">FLUID!O58</f>
        <v>-8.2889999999999997</v>
      </c>
      <c r="L11" s="28">
        <f ca="1">FLUID!P58</f>
        <v>0</v>
      </c>
      <c r="M11" s="28">
        <f ca="1">FLUID!Q58</f>
        <v>0</v>
      </c>
      <c r="N11" s="28">
        <f ca="1">FLUID!R58</f>
        <v>0</v>
      </c>
      <c r="O11" s="28">
        <f ca="1">FLUID!S58</f>
        <v>0</v>
      </c>
      <c r="P11" s="28">
        <f ca="1">FLUID!T58</f>
        <v>0</v>
      </c>
      <c r="Q11" s="28">
        <f ca="1">FLUID!U58</f>
        <v>0</v>
      </c>
      <c r="R11" s="28">
        <f ca="1">FLUID!V58</f>
        <v>0</v>
      </c>
      <c r="S11" s="28">
        <f ca="1">FLUID!W58</f>
        <v>0</v>
      </c>
      <c r="T11" s="28">
        <f ca="1">FLUID!X58</f>
        <v>0</v>
      </c>
      <c r="U11" s="28">
        <f ca="1">FLUID!Y58</f>
        <v>0</v>
      </c>
      <c r="V11" s="28">
        <f ca="1">FLUID!Z58</f>
        <v>0</v>
      </c>
      <c r="W11" s="28">
        <f ca="1">FLUID!AA58</f>
        <v>0</v>
      </c>
      <c r="X11" s="28">
        <f ca="1">FLUID!AB58</f>
        <v>0</v>
      </c>
      <c r="Y11" s="28">
        <f ca="1">FLUID!AC58</f>
        <v>0</v>
      </c>
      <c r="Z11" s="28">
        <f ca="1">FLUID!AD58</f>
        <v>0</v>
      </c>
      <c r="AA11" s="28">
        <f ca="1">FLUID!AE58</f>
        <v>0</v>
      </c>
      <c r="AB11" s="28">
        <f ca="1">FLUID!AF58</f>
        <v>0</v>
      </c>
      <c r="AC11" s="28">
        <f ca="1">FLUID!AG58</f>
        <v>0</v>
      </c>
      <c r="AD11" s="28">
        <f ca="1">FLUID!AH58</f>
        <v>0</v>
      </c>
      <c r="AE11" s="28">
        <f ca="1">FLUID!AI58</f>
        <v>0</v>
      </c>
      <c r="AF11" s="28">
        <f ca="1">FLUID!AJ58</f>
        <v>0</v>
      </c>
      <c r="AG11" s="28">
        <f ca="1">FLUID!AK58</f>
        <v>0</v>
      </c>
      <c r="AH11" s="28">
        <f ca="1">FLUID!AL58</f>
        <v>0</v>
      </c>
      <c r="AI11" s="28">
        <f>FLUID!AM58</f>
        <v>0</v>
      </c>
    </row>
    <row r="12" spans="1:35" ht="21.75" hidden="1" outlineLevel="1" thickBot="1" x14ac:dyDescent="0.4">
      <c r="A12" s="62" t="str">
        <f>FLUID!E59</f>
        <v>Ga2Se</v>
      </c>
      <c r="B12" s="28">
        <f ca="1">FLUID!F59</f>
        <v>-18.64</v>
      </c>
      <c r="C12" s="28">
        <f ca="1">FLUID!G59</f>
        <v>-20.265000000000001</v>
      </c>
      <c r="D12" s="28">
        <f ca="1">FLUID!H59</f>
        <v>-21.777000000000001</v>
      </c>
      <c r="E12" s="28">
        <f ca="1">FLUID!I59</f>
        <v>-23.146000000000001</v>
      </c>
      <c r="F12" s="28">
        <f ca="1">FLUID!J59</f>
        <v>-24.440999999999999</v>
      </c>
      <c r="G12" s="28">
        <f ca="1">FLUID!K59</f>
        <v>-25.841000000000001</v>
      </c>
      <c r="H12" s="28">
        <f ca="1">FLUID!L59</f>
        <v>-27.416</v>
      </c>
      <c r="I12" s="28">
        <f ca="1">FLUID!M59</f>
        <v>-29.024000000000001</v>
      </c>
      <c r="J12" s="28">
        <f ca="1">FLUID!N59</f>
        <v>-30.545000000000002</v>
      </c>
      <c r="K12" s="28">
        <f ca="1">FLUID!O59</f>
        <v>-32.009</v>
      </c>
      <c r="L12" s="28">
        <f ca="1">FLUID!P59</f>
        <v>0</v>
      </c>
      <c r="M12" s="28">
        <f ca="1">FLUID!Q59</f>
        <v>0</v>
      </c>
      <c r="N12" s="28">
        <f ca="1">FLUID!R59</f>
        <v>0</v>
      </c>
      <c r="O12" s="28">
        <f ca="1">FLUID!S59</f>
        <v>0</v>
      </c>
      <c r="P12" s="28">
        <f ca="1">FLUID!T59</f>
        <v>0</v>
      </c>
      <c r="Q12" s="28">
        <f ca="1">FLUID!U59</f>
        <v>0</v>
      </c>
      <c r="R12" s="28">
        <f ca="1">FLUID!V59</f>
        <v>0</v>
      </c>
      <c r="S12" s="28">
        <f ca="1">FLUID!W59</f>
        <v>0</v>
      </c>
      <c r="T12" s="28">
        <f ca="1">FLUID!X59</f>
        <v>0</v>
      </c>
      <c r="U12" s="28">
        <f ca="1">FLUID!Y59</f>
        <v>0</v>
      </c>
      <c r="V12" s="28">
        <f ca="1">FLUID!Z59</f>
        <v>0</v>
      </c>
      <c r="W12" s="28">
        <f ca="1">FLUID!AA59</f>
        <v>0</v>
      </c>
      <c r="X12" s="28">
        <f ca="1">FLUID!AB59</f>
        <v>0</v>
      </c>
      <c r="Y12" s="28">
        <f ca="1">FLUID!AC59</f>
        <v>0</v>
      </c>
      <c r="Z12" s="28">
        <f ca="1">FLUID!AD59</f>
        <v>0</v>
      </c>
      <c r="AA12" s="28">
        <f ca="1">FLUID!AE59</f>
        <v>0</v>
      </c>
      <c r="AB12" s="28">
        <f ca="1">FLUID!AF59</f>
        <v>0</v>
      </c>
      <c r="AC12" s="28">
        <f ca="1">FLUID!AG59</f>
        <v>0</v>
      </c>
      <c r="AD12" s="28">
        <f ca="1">FLUID!AH59</f>
        <v>0</v>
      </c>
      <c r="AE12" s="28">
        <f ca="1">FLUID!AI59</f>
        <v>0</v>
      </c>
      <c r="AF12" s="28">
        <f ca="1">FLUID!AJ59</f>
        <v>0</v>
      </c>
      <c r="AG12" s="28">
        <f ca="1">FLUID!AK59</f>
        <v>0</v>
      </c>
      <c r="AH12" s="28">
        <f ca="1">FLUID!AL59</f>
        <v>0</v>
      </c>
      <c r="AI12" s="28">
        <f>FLUID!AM59</f>
        <v>0</v>
      </c>
    </row>
    <row r="13" spans="1:35" ht="21.75" hidden="1" outlineLevel="1" thickBot="1" x14ac:dyDescent="0.4">
      <c r="A13" s="62" t="str">
        <f>FLUID!E60</f>
        <v>Ar</v>
      </c>
      <c r="B13" s="28">
        <f ca="1">FLUID!F60</f>
        <v>-18.62</v>
      </c>
      <c r="C13" s="28">
        <f ca="1">FLUID!G60</f>
        <v>-18.649999999999999</v>
      </c>
      <c r="D13" s="28">
        <f ca="1">FLUID!H60</f>
        <v>-18.77</v>
      </c>
      <c r="E13" s="28">
        <f ca="1">FLUID!I60</f>
        <v>-18.93</v>
      </c>
      <c r="F13" s="28">
        <f ca="1">FLUID!J60</f>
        <v>-19.100000000000001</v>
      </c>
      <c r="G13" s="28">
        <f ca="1">FLUID!K60</f>
        <v>-19.3</v>
      </c>
      <c r="H13" s="28">
        <f ca="1">FLUID!L60</f>
        <v>-19.510000000000002</v>
      </c>
      <c r="I13" s="28">
        <f ca="1">FLUID!M60</f>
        <v>-19.73</v>
      </c>
      <c r="J13" s="28">
        <f ca="1">FLUID!N60</f>
        <v>-19.97</v>
      </c>
      <c r="K13" s="28">
        <f ca="1">FLUID!O60</f>
        <v>-20.29</v>
      </c>
      <c r="L13" s="28">
        <f ca="1">FLUID!P60</f>
        <v>0</v>
      </c>
      <c r="M13" s="28">
        <f ca="1">FLUID!Q60</f>
        <v>0</v>
      </c>
      <c r="N13" s="28">
        <f ca="1">FLUID!R60</f>
        <v>0</v>
      </c>
      <c r="O13" s="28">
        <f ca="1">FLUID!S60</f>
        <v>0</v>
      </c>
      <c r="P13" s="28">
        <f ca="1">FLUID!T60</f>
        <v>0</v>
      </c>
      <c r="Q13" s="28">
        <f ca="1">FLUID!U60</f>
        <v>0</v>
      </c>
      <c r="R13" s="28">
        <f ca="1">FLUID!V60</f>
        <v>0</v>
      </c>
      <c r="S13" s="28">
        <f ca="1">FLUID!W60</f>
        <v>0</v>
      </c>
      <c r="T13" s="28">
        <f ca="1">FLUID!X60</f>
        <v>0</v>
      </c>
      <c r="U13" s="28">
        <f ca="1">FLUID!Y60</f>
        <v>0</v>
      </c>
      <c r="V13" s="28">
        <f ca="1">FLUID!Z60</f>
        <v>0</v>
      </c>
      <c r="W13" s="28">
        <f ca="1">FLUID!AA60</f>
        <v>0</v>
      </c>
      <c r="X13" s="28">
        <f ca="1">FLUID!AB60</f>
        <v>0</v>
      </c>
      <c r="Y13" s="28">
        <f ca="1">FLUID!AC60</f>
        <v>0</v>
      </c>
      <c r="Z13" s="28">
        <f ca="1">FLUID!AD60</f>
        <v>0</v>
      </c>
      <c r="AA13" s="28">
        <f ca="1">FLUID!AE60</f>
        <v>0</v>
      </c>
      <c r="AB13" s="28">
        <f ca="1">FLUID!AF60</f>
        <v>0</v>
      </c>
      <c r="AC13" s="28">
        <f ca="1">FLUID!AG60</f>
        <v>0</v>
      </c>
      <c r="AD13" s="28">
        <f ca="1">FLUID!AH60</f>
        <v>0</v>
      </c>
      <c r="AE13" s="28">
        <f ca="1">FLUID!AI60</f>
        <v>0</v>
      </c>
      <c r="AF13" s="28">
        <f ca="1">FLUID!AJ60</f>
        <v>0</v>
      </c>
      <c r="AG13" s="28">
        <f ca="1">FLUID!AK60</f>
        <v>0</v>
      </c>
      <c r="AH13" s="28">
        <f ca="1">FLUID!AL60</f>
        <v>0</v>
      </c>
      <c r="AI13" s="28">
        <f>FLUID!AM60</f>
        <v>0</v>
      </c>
    </row>
    <row r="14" spans="1:35" ht="21.75" hidden="1" outlineLevel="1" thickBot="1" x14ac:dyDescent="0.4">
      <c r="A14" s="62" t="str">
        <f>FLUID!E61</f>
        <v>(l)Ga[l]</v>
      </c>
      <c r="B14" s="28">
        <f ca="1">FLUID!F61</f>
        <v>-6.97</v>
      </c>
      <c r="C14" s="28">
        <f ca="1">FLUID!G61</f>
        <v>-7.5640000000000001</v>
      </c>
      <c r="D14" s="28">
        <f ca="1">FLUID!H61</f>
        <v>-8.0820000000000007</v>
      </c>
      <c r="E14" s="28">
        <f ca="1">FLUID!I61</f>
        <v>-8.5380000000000003</v>
      </c>
      <c r="F14" s="28">
        <f ca="1">FLUID!J61</f>
        <v>-8.9749999999999996</v>
      </c>
      <c r="G14" s="28">
        <f ca="1">FLUID!K61</f>
        <v>-9.4849999999999994</v>
      </c>
      <c r="H14" s="28">
        <f ca="1">FLUID!L61</f>
        <v>-10.1</v>
      </c>
      <c r="I14" s="28">
        <f ca="1">FLUID!M61</f>
        <v>-10.74</v>
      </c>
      <c r="J14" s="28">
        <f ca="1">FLUID!N61</f>
        <v>-11.33</v>
      </c>
      <c r="K14" s="28">
        <f ca="1">FLUID!O61</f>
        <v>-11.86</v>
      </c>
      <c r="L14" s="28">
        <f ca="1">FLUID!P61</f>
        <v>0</v>
      </c>
      <c r="M14" s="28">
        <f ca="1">FLUID!Q61</f>
        <v>0</v>
      </c>
      <c r="N14" s="28">
        <f ca="1">FLUID!R61</f>
        <v>0</v>
      </c>
      <c r="O14" s="28">
        <f ca="1">FLUID!S61</f>
        <v>0</v>
      </c>
      <c r="P14" s="28">
        <f ca="1">FLUID!T61</f>
        <v>0</v>
      </c>
      <c r="Q14" s="28">
        <f ca="1">FLUID!U61</f>
        <v>0</v>
      </c>
      <c r="R14" s="28">
        <f ca="1">FLUID!V61</f>
        <v>0</v>
      </c>
      <c r="S14" s="28">
        <f ca="1">FLUID!W61</f>
        <v>0</v>
      </c>
      <c r="T14" s="28">
        <f ca="1">FLUID!X61</f>
        <v>0</v>
      </c>
      <c r="U14" s="28">
        <f ca="1">FLUID!Y61</f>
        <v>0</v>
      </c>
      <c r="V14" s="28">
        <f ca="1">FLUID!Z61</f>
        <v>0</v>
      </c>
      <c r="W14" s="28">
        <f ca="1">FLUID!AA61</f>
        <v>0</v>
      </c>
      <c r="X14" s="28">
        <f ca="1">FLUID!AB61</f>
        <v>0</v>
      </c>
      <c r="Y14" s="28">
        <f ca="1">FLUID!AC61</f>
        <v>0</v>
      </c>
      <c r="Z14" s="28">
        <f ca="1">FLUID!AD61</f>
        <v>0</v>
      </c>
      <c r="AA14" s="28">
        <f ca="1">FLUID!AE61</f>
        <v>0</v>
      </c>
      <c r="AB14" s="28">
        <f ca="1">FLUID!AF61</f>
        <v>0</v>
      </c>
      <c r="AC14" s="28">
        <f ca="1">FLUID!AG61</f>
        <v>0</v>
      </c>
      <c r="AD14" s="28">
        <f ca="1">FLUID!AH61</f>
        <v>0</v>
      </c>
      <c r="AE14" s="28">
        <f ca="1">FLUID!AI61</f>
        <v>0</v>
      </c>
      <c r="AF14" s="28">
        <f ca="1">FLUID!AJ61</f>
        <v>0</v>
      </c>
      <c r="AG14" s="28">
        <f ca="1">FLUID!AK61</f>
        <v>0</v>
      </c>
      <c r="AH14" s="28">
        <f ca="1">FLUID!AL61</f>
        <v>0</v>
      </c>
      <c r="AI14" s="28">
        <f>FLUID!AM61</f>
        <v>0</v>
      </c>
    </row>
    <row r="15" spans="1:35" ht="21.75" hidden="1" outlineLevel="1" thickBot="1" x14ac:dyDescent="0.4">
      <c r="A15" s="62" t="str">
        <f>FLUID!E62</f>
        <v>(l)Ge[l]</v>
      </c>
      <c r="B15" s="28">
        <f ca="1">FLUID!F62</f>
        <v>7.3579999999999997</v>
      </c>
      <c r="C15" s="28">
        <f ca="1">FLUID!G62</f>
        <v>3.758</v>
      </c>
      <c r="D15" s="28">
        <f ca="1">FLUID!H62</f>
        <v>1.355</v>
      </c>
      <c r="E15" s="28">
        <f ca="1">FLUID!I62</f>
        <v>-0.39240000000000003</v>
      </c>
      <c r="F15" s="28">
        <f ca="1">FLUID!J62</f>
        <v>-1.7310000000000001</v>
      </c>
      <c r="G15" s="28">
        <f ca="1">FLUID!K62</f>
        <v>-2.7839999999999998</v>
      </c>
      <c r="H15" s="28">
        <f ca="1">FLUID!L62</f>
        <v>-3.6349999999999998</v>
      </c>
      <c r="I15" s="28">
        <f ca="1">FLUID!M62</f>
        <v>-4.3380000000000001</v>
      </c>
      <c r="J15" s="28">
        <f ca="1">FLUID!N62</f>
        <v>-4.8959999999999999</v>
      </c>
      <c r="K15" s="28">
        <f ca="1">FLUID!O62</f>
        <v>-5.2809999999999997</v>
      </c>
      <c r="L15" s="28">
        <f ca="1">FLUID!P62</f>
        <v>0</v>
      </c>
      <c r="M15" s="28">
        <f ca="1">FLUID!Q62</f>
        <v>0</v>
      </c>
      <c r="N15" s="28">
        <f ca="1">FLUID!R62</f>
        <v>0</v>
      </c>
      <c r="O15" s="28">
        <f ca="1">FLUID!S62</f>
        <v>0</v>
      </c>
      <c r="P15" s="28">
        <f ca="1">FLUID!T62</f>
        <v>0</v>
      </c>
      <c r="Q15" s="28">
        <f ca="1">FLUID!U62</f>
        <v>0</v>
      </c>
      <c r="R15" s="28">
        <f ca="1">FLUID!V62</f>
        <v>0</v>
      </c>
      <c r="S15" s="28">
        <f ca="1">FLUID!W62</f>
        <v>0</v>
      </c>
      <c r="T15" s="28">
        <f ca="1">FLUID!X62</f>
        <v>0</v>
      </c>
      <c r="U15" s="28">
        <f ca="1">FLUID!Y62</f>
        <v>0</v>
      </c>
      <c r="V15" s="28">
        <f ca="1">FLUID!Z62</f>
        <v>0</v>
      </c>
      <c r="W15" s="28">
        <f ca="1">FLUID!AA62</f>
        <v>0</v>
      </c>
      <c r="X15" s="28">
        <f ca="1">FLUID!AB62</f>
        <v>0</v>
      </c>
      <c r="Y15" s="28">
        <f ca="1">FLUID!AC62</f>
        <v>0</v>
      </c>
      <c r="Z15" s="28">
        <f ca="1">FLUID!AD62</f>
        <v>0</v>
      </c>
      <c r="AA15" s="28">
        <f ca="1">FLUID!AE62</f>
        <v>0</v>
      </c>
      <c r="AB15" s="28">
        <f ca="1">FLUID!AF62</f>
        <v>0</v>
      </c>
      <c r="AC15" s="28">
        <f ca="1">FLUID!AG62</f>
        <v>0</v>
      </c>
      <c r="AD15" s="28">
        <f ca="1">FLUID!AH62</f>
        <v>0</v>
      </c>
      <c r="AE15" s="28">
        <f ca="1">FLUID!AI62</f>
        <v>0</v>
      </c>
      <c r="AF15" s="28">
        <f ca="1">FLUID!AJ62</f>
        <v>0</v>
      </c>
      <c r="AG15" s="28">
        <f ca="1">FLUID!AK62</f>
        <v>0</v>
      </c>
      <c r="AH15" s="28">
        <f ca="1">FLUID!AL62</f>
        <v>0</v>
      </c>
      <c r="AI15" s="28">
        <f>FLUID!AM62</f>
        <v>0</v>
      </c>
    </row>
    <row r="16" spans="1:35" ht="21.75" hidden="1" outlineLevel="1" thickBot="1" x14ac:dyDescent="0.4">
      <c r="A16" s="62" t="str">
        <f>FLUID!E63</f>
        <v>(l)Se[l]</v>
      </c>
      <c r="B16" s="28">
        <f ca="1">FLUID!F63</f>
        <v>-4.7</v>
      </c>
      <c r="C16" s="28">
        <f ca="1">FLUID!G63</f>
        <v>-5.1369999999999996</v>
      </c>
      <c r="D16" s="28">
        <f ca="1">FLUID!H63</f>
        <v>-5.6130000000000004</v>
      </c>
      <c r="E16" s="28">
        <f ca="1">FLUID!I63</f>
        <v>-6.07</v>
      </c>
      <c r="F16" s="28">
        <f ca="1">FLUID!J63</f>
        <v>-6.4909999999999997</v>
      </c>
      <c r="G16" s="28">
        <f ca="1">FLUID!K63</f>
        <v>-6.8710000000000004</v>
      </c>
      <c r="H16" s="28">
        <f ca="1">FLUID!L63</f>
        <v>-7.2160000000000002</v>
      </c>
      <c r="I16" s="28">
        <f ca="1">FLUID!M63</f>
        <v>-7.5439999999999996</v>
      </c>
      <c r="J16" s="28">
        <f ca="1">FLUID!N63</f>
        <v>-7.8849999999999998</v>
      </c>
      <c r="K16" s="28">
        <f ca="1">FLUID!O63</f>
        <v>-8.2889999999999997</v>
      </c>
      <c r="L16" s="28">
        <f ca="1">FLUID!P63</f>
        <v>0</v>
      </c>
      <c r="M16" s="28">
        <f ca="1">FLUID!Q63</f>
        <v>0</v>
      </c>
      <c r="N16" s="28">
        <f ca="1">FLUID!R63</f>
        <v>0</v>
      </c>
      <c r="O16" s="28">
        <f ca="1">FLUID!S63</f>
        <v>0</v>
      </c>
      <c r="P16" s="28">
        <f ca="1">FLUID!T63</f>
        <v>0</v>
      </c>
      <c r="Q16" s="28">
        <f ca="1">FLUID!U63</f>
        <v>0</v>
      </c>
      <c r="R16" s="28">
        <f ca="1">FLUID!V63</f>
        <v>0</v>
      </c>
      <c r="S16" s="28">
        <f ca="1">FLUID!W63</f>
        <v>0</v>
      </c>
      <c r="T16" s="28">
        <f ca="1">FLUID!X63</f>
        <v>0</v>
      </c>
      <c r="U16" s="28">
        <f ca="1">FLUID!Y63</f>
        <v>0</v>
      </c>
      <c r="V16" s="28">
        <f ca="1">FLUID!Z63</f>
        <v>0</v>
      </c>
      <c r="W16" s="28">
        <f ca="1">FLUID!AA63</f>
        <v>0</v>
      </c>
      <c r="X16" s="28">
        <f ca="1">FLUID!AB63</f>
        <v>0</v>
      </c>
      <c r="Y16" s="28">
        <f ca="1">FLUID!AC63</f>
        <v>0</v>
      </c>
      <c r="Z16" s="28">
        <f ca="1">FLUID!AD63</f>
        <v>0</v>
      </c>
      <c r="AA16" s="28">
        <f ca="1">FLUID!AE63</f>
        <v>0</v>
      </c>
      <c r="AB16" s="28">
        <f ca="1">FLUID!AF63</f>
        <v>0</v>
      </c>
      <c r="AC16" s="28">
        <f ca="1">FLUID!AG63</f>
        <v>0</v>
      </c>
      <c r="AD16" s="28">
        <f ca="1">FLUID!AH63</f>
        <v>0</v>
      </c>
      <c r="AE16" s="28">
        <f ca="1">FLUID!AI63</f>
        <v>0</v>
      </c>
      <c r="AF16" s="28">
        <f ca="1">FLUID!AJ63</f>
        <v>0</v>
      </c>
      <c r="AG16" s="28">
        <f ca="1">FLUID!AK63</f>
        <v>0</v>
      </c>
      <c r="AH16" s="28">
        <f ca="1">FLUID!AL63</f>
        <v>0</v>
      </c>
      <c r="AI16" s="28">
        <f>FLUID!AM63</f>
        <v>0</v>
      </c>
    </row>
    <row r="17" spans="1:35" ht="21.75" hidden="1" outlineLevel="1" thickBot="1" x14ac:dyDescent="0.4">
      <c r="A17" s="62" t="str">
        <f>FLUID!E64</f>
        <v>H (Ar)</v>
      </c>
      <c r="B17" s="28">
        <f ca="1">FLUID!F64</f>
        <v>-18.62</v>
      </c>
      <c r="C17" s="28">
        <f ca="1">FLUID!G64</f>
        <v>-18.649999999999999</v>
      </c>
      <c r="D17" s="28">
        <f ca="1">FLUID!H64</f>
        <v>-18.77</v>
      </c>
      <c r="E17" s="28">
        <f ca="1">FLUID!I64</f>
        <v>-18.93</v>
      </c>
      <c r="F17" s="28">
        <f ca="1">FLUID!J64</f>
        <v>-19.100000000000001</v>
      </c>
      <c r="G17" s="28">
        <f ca="1">FLUID!K64</f>
        <v>-19.3</v>
      </c>
      <c r="H17" s="28">
        <f ca="1">FLUID!L64</f>
        <v>-19.510000000000002</v>
      </c>
      <c r="I17" s="28">
        <f ca="1">FLUID!M64</f>
        <v>-19.73</v>
      </c>
      <c r="J17" s="28">
        <f ca="1">FLUID!N64</f>
        <v>-19.97</v>
      </c>
      <c r="K17" s="28">
        <f ca="1">FLUID!O64</f>
        <v>-20.29</v>
      </c>
      <c r="L17" s="28">
        <f ca="1">FLUID!P64</f>
        <v>0</v>
      </c>
      <c r="M17" s="28">
        <f ca="1">FLUID!Q64</f>
        <v>0</v>
      </c>
      <c r="N17" s="28">
        <f ca="1">FLUID!R64</f>
        <v>0</v>
      </c>
      <c r="O17" s="28">
        <f ca="1">FLUID!S64</f>
        <v>0</v>
      </c>
      <c r="P17" s="28">
        <f ca="1">FLUID!T64</f>
        <v>0</v>
      </c>
      <c r="Q17" s="28">
        <f ca="1">FLUID!U64</f>
        <v>0</v>
      </c>
      <c r="R17" s="28">
        <f ca="1">FLUID!V64</f>
        <v>0</v>
      </c>
      <c r="S17" s="28">
        <f ca="1">FLUID!W64</f>
        <v>0</v>
      </c>
      <c r="T17" s="28">
        <f ca="1">FLUID!X64</f>
        <v>0</v>
      </c>
      <c r="U17" s="28">
        <f ca="1">FLUID!Y64</f>
        <v>0</v>
      </c>
      <c r="V17" s="28">
        <f ca="1">FLUID!Z64</f>
        <v>0</v>
      </c>
      <c r="W17" s="28">
        <f ca="1">FLUID!AA64</f>
        <v>0</v>
      </c>
      <c r="X17" s="28">
        <f ca="1">FLUID!AB64</f>
        <v>0</v>
      </c>
      <c r="Y17" s="28">
        <f ca="1">FLUID!AC64</f>
        <v>0</v>
      </c>
      <c r="Z17" s="28">
        <f ca="1">FLUID!AD64</f>
        <v>0</v>
      </c>
      <c r="AA17" s="28">
        <f ca="1">FLUID!AE64</f>
        <v>0</v>
      </c>
      <c r="AB17" s="28">
        <f ca="1">FLUID!AF64</f>
        <v>0</v>
      </c>
      <c r="AC17" s="28">
        <f ca="1">FLUID!AG64</f>
        <v>0</v>
      </c>
      <c r="AD17" s="28">
        <f ca="1">FLUID!AH64</f>
        <v>0</v>
      </c>
      <c r="AE17" s="28">
        <f ca="1">FLUID!AI64</f>
        <v>0</v>
      </c>
      <c r="AF17" s="28">
        <f ca="1">FLUID!AJ64</f>
        <v>0</v>
      </c>
      <c r="AG17" s="28">
        <f ca="1">FLUID!AK64</f>
        <v>0</v>
      </c>
      <c r="AH17" s="28">
        <f ca="1">FLUID!AL64</f>
        <v>0</v>
      </c>
      <c r="AI17" s="28">
        <f>FLUID!AM64</f>
        <v>0</v>
      </c>
    </row>
    <row r="18" spans="1:35" ht="21.75" hidden="1" outlineLevel="1" thickBot="1" x14ac:dyDescent="0.4">
      <c r="A18" s="62" t="str">
        <f>FLUID!E65</f>
        <v>H (Ga)</v>
      </c>
      <c r="B18" s="28">
        <f ca="1">FLUID!F65</f>
        <v>-6.97</v>
      </c>
      <c r="C18" s="28">
        <f ca="1">FLUID!G65</f>
        <v>-7.5640000000000001</v>
      </c>
      <c r="D18" s="28">
        <f ca="1">FLUID!H65</f>
        <v>-8.0820000000000007</v>
      </c>
      <c r="E18" s="28">
        <f ca="1">FLUID!I65</f>
        <v>-8.5380000000000003</v>
      </c>
      <c r="F18" s="28">
        <f ca="1">FLUID!J65</f>
        <v>-8.9749999999999996</v>
      </c>
      <c r="G18" s="28">
        <f ca="1">FLUID!K65</f>
        <v>-9.4849999999999994</v>
      </c>
      <c r="H18" s="28">
        <f ca="1">FLUID!L65</f>
        <v>-10.1</v>
      </c>
      <c r="I18" s="28">
        <f ca="1">FLUID!M65</f>
        <v>-10.74</v>
      </c>
      <c r="J18" s="28">
        <f ca="1">FLUID!N65</f>
        <v>-11.33</v>
      </c>
      <c r="K18" s="28">
        <f ca="1">FLUID!O65</f>
        <v>-11.86</v>
      </c>
      <c r="L18" s="28">
        <f ca="1">FLUID!P65</f>
        <v>0</v>
      </c>
      <c r="M18" s="28">
        <f ca="1">FLUID!Q65</f>
        <v>0</v>
      </c>
      <c r="N18" s="28">
        <f ca="1">FLUID!R65</f>
        <v>0</v>
      </c>
      <c r="O18" s="28">
        <f ca="1">FLUID!S65</f>
        <v>0</v>
      </c>
      <c r="P18" s="28">
        <f ca="1">FLUID!T65</f>
        <v>0</v>
      </c>
      <c r="Q18" s="28">
        <f ca="1">FLUID!U65</f>
        <v>0</v>
      </c>
      <c r="R18" s="28">
        <f ca="1">FLUID!V65</f>
        <v>0</v>
      </c>
      <c r="S18" s="28">
        <f ca="1">FLUID!W65</f>
        <v>0</v>
      </c>
      <c r="T18" s="28">
        <f ca="1">FLUID!X65</f>
        <v>0</v>
      </c>
      <c r="U18" s="28">
        <f ca="1">FLUID!Y65</f>
        <v>0</v>
      </c>
      <c r="V18" s="28">
        <f ca="1">FLUID!Z65</f>
        <v>0</v>
      </c>
      <c r="W18" s="28">
        <f ca="1">FLUID!AA65</f>
        <v>0</v>
      </c>
      <c r="X18" s="28">
        <f ca="1">FLUID!AB65</f>
        <v>0</v>
      </c>
      <c r="Y18" s="28">
        <f ca="1">FLUID!AC65</f>
        <v>0</v>
      </c>
      <c r="Z18" s="28">
        <f ca="1">FLUID!AD65</f>
        <v>0</v>
      </c>
      <c r="AA18" s="28">
        <f ca="1">FLUID!AE65</f>
        <v>0</v>
      </c>
      <c r="AB18" s="28">
        <f ca="1">FLUID!AF65</f>
        <v>0</v>
      </c>
      <c r="AC18" s="28">
        <f ca="1">FLUID!AG65</f>
        <v>0</v>
      </c>
      <c r="AD18" s="28">
        <f ca="1">FLUID!AH65</f>
        <v>0</v>
      </c>
      <c r="AE18" s="28">
        <f ca="1">FLUID!AI65</f>
        <v>0</v>
      </c>
      <c r="AF18" s="28">
        <f ca="1">FLUID!AJ65</f>
        <v>0</v>
      </c>
      <c r="AG18" s="28">
        <f ca="1">FLUID!AK65</f>
        <v>0</v>
      </c>
      <c r="AH18" s="28">
        <f ca="1">FLUID!AL65</f>
        <v>0</v>
      </c>
      <c r="AI18" s="28">
        <f>FLUID!AM65</f>
        <v>0</v>
      </c>
    </row>
    <row r="19" spans="1:35" ht="22.5" hidden="1" customHeight="1" outlineLevel="1" thickBot="1" x14ac:dyDescent="0.4">
      <c r="A19" s="62" t="str">
        <f>FLUID!E66</f>
        <v>H (Ge)</v>
      </c>
      <c r="B19" s="28">
        <f ca="1">FLUID!F66</f>
        <v>7.3579999999999997</v>
      </c>
      <c r="C19" s="28">
        <f ca="1">FLUID!G66</f>
        <v>3.758</v>
      </c>
      <c r="D19" s="28">
        <f ca="1">FLUID!H66</f>
        <v>1.355</v>
      </c>
      <c r="E19" s="28">
        <f ca="1">FLUID!I66</f>
        <v>-0.39240000000000003</v>
      </c>
      <c r="F19" s="28">
        <f ca="1">FLUID!J66</f>
        <v>-1.7310000000000001</v>
      </c>
      <c r="G19" s="28">
        <f ca="1">FLUID!K66</f>
        <v>-2.7839999999999998</v>
      </c>
      <c r="H19" s="28">
        <f ca="1">FLUID!L66</f>
        <v>-3.6349999999999998</v>
      </c>
      <c r="I19" s="28">
        <f ca="1">FLUID!M66</f>
        <v>-4.3380000000000001</v>
      </c>
      <c r="J19" s="28">
        <f ca="1">FLUID!N66</f>
        <v>-4.8959999999999999</v>
      </c>
      <c r="K19" s="28">
        <f ca="1">FLUID!O66</f>
        <v>-5.2809999999999997</v>
      </c>
      <c r="L19" s="28">
        <f ca="1">FLUID!P66</f>
        <v>0</v>
      </c>
      <c r="M19" s="28">
        <f ca="1">FLUID!Q66</f>
        <v>0</v>
      </c>
      <c r="N19" s="28">
        <f ca="1">FLUID!R66</f>
        <v>0</v>
      </c>
      <c r="O19" s="28">
        <f ca="1">FLUID!S66</f>
        <v>0</v>
      </c>
      <c r="P19" s="28">
        <f ca="1">FLUID!T66</f>
        <v>0</v>
      </c>
      <c r="Q19" s="28">
        <f ca="1">FLUID!U66</f>
        <v>0</v>
      </c>
      <c r="R19" s="28">
        <f ca="1">FLUID!V66</f>
        <v>0</v>
      </c>
      <c r="S19" s="28">
        <f ca="1">FLUID!W66</f>
        <v>0</v>
      </c>
      <c r="T19" s="28">
        <f ca="1">FLUID!X66</f>
        <v>0</v>
      </c>
      <c r="U19" s="28">
        <f ca="1">FLUID!Y66</f>
        <v>0</v>
      </c>
      <c r="V19" s="28">
        <f ca="1">FLUID!Z66</f>
        <v>0</v>
      </c>
      <c r="W19" s="28">
        <f ca="1">FLUID!AA66</f>
        <v>0</v>
      </c>
      <c r="X19" s="28">
        <f ca="1">FLUID!AB66</f>
        <v>0</v>
      </c>
      <c r="Y19" s="28">
        <f ca="1">FLUID!AC66</f>
        <v>0</v>
      </c>
      <c r="Z19" s="28">
        <f ca="1">FLUID!AD66</f>
        <v>0</v>
      </c>
      <c r="AA19" s="28">
        <f ca="1">FLUID!AE66</f>
        <v>0</v>
      </c>
      <c r="AB19" s="28">
        <f ca="1">FLUID!AF66</f>
        <v>0</v>
      </c>
      <c r="AC19" s="28">
        <f ca="1">FLUID!AG66</f>
        <v>0</v>
      </c>
      <c r="AD19" s="28">
        <f ca="1">FLUID!AH66</f>
        <v>0</v>
      </c>
      <c r="AE19" s="28">
        <f ca="1">FLUID!AI66</f>
        <v>0</v>
      </c>
      <c r="AF19" s="28">
        <f ca="1">FLUID!AJ66</f>
        <v>0</v>
      </c>
      <c r="AG19" s="28">
        <f ca="1">FLUID!AK66</f>
        <v>0</v>
      </c>
      <c r="AH19" s="28">
        <f ca="1">FLUID!AL66</f>
        <v>0</v>
      </c>
      <c r="AI19" s="28">
        <f>FLUID!AM66</f>
        <v>0</v>
      </c>
    </row>
    <row r="20" spans="1:35" ht="22.5" hidden="1" customHeight="1" outlineLevel="1" thickBot="1" x14ac:dyDescent="0.4">
      <c r="A20" s="62" t="str">
        <f>FLUID!E67</f>
        <v>H (Se)</v>
      </c>
      <c r="B20" s="28">
        <f ca="1">FLUID!F67</f>
        <v>-4.7</v>
      </c>
      <c r="C20" s="28">
        <f ca="1">FLUID!G67</f>
        <v>-5.1369999999999996</v>
      </c>
      <c r="D20" s="28">
        <f ca="1">FLUID!H67</f>
        <v>-5.6130000000000004</v>
      </c>
      <c r="E20" s="28">
        <f ca="1">FLUID!I67</f>
        <v>-6.07</v>
      </c>
      <c r="F20" s="28">
        <f ca="1">FLUID!J67</f>
        <v>-6.4909999999999997</v>
      </c>
      <c r="G20" s="28">
        <f ca="1">FLUID!K67</f>
        <v>-6.8710000000000004</v>
      </c>
      <c r="H20" s="28">
        <f ca="1">FLUID!L67</f>
        <v>-7.2160000000000002</v>
      </c>
      <c r="I20" s="28">
        <f ca="1">FLUID!M67</f>
        <v>-7.5439999999999996</v>
      </c>
      <c r="J20" s="28">
        <f ca="1">FLUID!N67</f>
        <v>-7.8849999999999998</v>
      </c>
      <c r="K20" s="28">
        <f ca="1">FLUID!O67</f>
        <v>-8.2889999999999997</v>
      </c>
      <c r="L20" s="28">
        <f ca="1">FLUID!P67</f>
        <v>0</v>
      </c>
      <c r="M20" s="28">
        <f ca="1">FLUID!Q67</f>
        <v>0</v>
      </c>
      <c r="N20" s="28">
        <f ca="1">FLUID!R67</f>
        <v>0</v>
      </c>
      <c r="O20" s="28">
        <f ca="1">FLUID!S67</f>
        <v>0</v>
      </c>
      <c r="P20" s="28">
        <f ca="1">FLUID!T67</f>
        <v>0</v>
      </c>
      <c r="Q20" s="28">
        <f ca="1">FLUID!U67</f>
        <v>0</v>
      </c>
      <c r="R20" s="28">
        <f ca="1">FLUID!V67</f>
        <v>0</v>
      </c>
      <c r="S20" s="28">
        <f ca="1">FLUID!W67</f>
        <v>0</v>
      </c>
      <c r="T20" s="28">
        <f ca="1">FLUID!X67</f>
        <v>0</v>
      </c>
      <c r="U20" s="28">
        <f ca="1">FLUID!Y67</f>
        <v>0</v>
      </c>
      <c r="V20" s="28">
        <f ca="1">FLUID!Z67</f>
        <v>0</v>
      </c>
      <c r="W20" s="28">
        <f ca="1">FLUID!AA67</f>
        <v>0</v>
      </c>
      <c r="X20" s="28">
        <f ca="1">FLUID!AB67</f>
        <v>0</v>
      </c>
      <c r="Y20" s="28">
        <f ca="1">FLUID!AC67</f>
        <v>0</v>
      </c>
      <c r="Z20" s="28">
        <f ca="1">FLUID!AD67</f>
        <v>0</v>
      </c>
      <c r="AA20" s="28">
        <f ca="1">FLUID!AE67</f>
        <v>0</v>
      </c>
      <c r="AB20" s="28">
        <f ca="1">FLUID!AF67</f>
        <v>0</v>
      </c>
      <c r="AC20" s="28">
        <f ca="1">FLUID!AG67</f>
        <v>0</v>
      </c>
      <c r="AD20" s="28">
        <f ca="1">FLUID!AH67</f>
        <v>0</v>
      </c>
      <c r="AE20" s="28">
        <f ca="1">FLUID!AI67</f>
        <v>0</v>
      </c>
      <c r="AF20" s="28">
        <f ca="1">FLUID!AJ67</f>
        <v>0</v>
      </c>
      <c r="AG20" s="28">
        <f ca="1">FLUID!AK67</f>
        <v>0</v>
      </c>
      <c r="AH20" s="28">
        <f ca="1">FLUID!AL67</f>
        <v>0</v>
      </c>
      <c r="AI20" s="28">
        <f>FLUID!AM67</f>
        <v>0</v>
      </c>
    </row>
    <row r="21" spans="1:35" ht="22.5" hidden="1" customHeight="1" outlineLevel="1" thickBot="1" x14ac:dyDescent="0.4">
      <c r="A21" s="62">
        <f>FLUID!E68</f>
        <v>0</v>
      </c>
      <c r="B21" s="28">
        <f ca="1">FLUID!F68</f>
        <v>0</v>
      </c>
      <c r="C21" s="28">
        <f ca="1">FLUID!G68</f>
        <v>0</v>
      </c>
      <c r="D21" s="28">
        <f ca="1">FLUID!H68</f>
        <v>0</v>
      </c>
      <c r="E21" s="28">
        <f ca="1">FLUID!I68</f>
        <v>0</v>
      </c>
      <c r="F21" s="28">
        <f ca="1">FLUID!J68</f>
        <v>0</v>
      </c>
      <c r="G21" s="28">
        <f ca="1">FLUID!K68</f>
        <v>0</v>
      </c>
      <c r="H21" s="28">
        <f ca="1">FLUID!L68</f>
        <v>0</v>
      </c>
      <c r="I21" s="28">
        <f ca="1">FLUID!M68</f>
        <v>0</v>
      </c>
      <c r="J21" s="28">
        <f ca="1">FLUID!N68</f>
        <v>0</v>
      </c>
      <c r="K21" s="28">
        <f ca="1">FLUID!O68</f>
        <v>0</v>
      </c>
      <c r="L21" s="28">
        <f ca="1">FLUID!P68</f>
        <v>0</v>
      </c>
      <c r="M21" s="28">
        <f ca="1">FLUID!Q68</f>
        <v>0</v>
      </c>
      <c r="N21" s="28">
        <f ca="1">FLUID!R68</f>
        <v>0</v>
      </c>
      <c r="O21" s="28">
        <f ca="1">FLUID!S68</f>
        <v>0</v>
      </c>
      <c r="P21" s="28">
        <f ca="1">FLUID!T68</f>
        <v>0</v>
      </c>
      <c r="Q21" s="28">
        <f ca="1">FLUID!U68</f>
        <v>0</v>
      </c>
      <c r="R21" s="28">
        <f ca="1">FLUID!V68</f>
        <v>0</v>
      </c>
      <c r="S21" s="28">
        <f ca="1">FLUID!W68</f>
        <v>0</v>
      </c>
      <c r="T21" s="28">
        <f ca="1">FLUID!X68</f>
        <v>0</v>
      </c>
      <c r="U21" s="28">
        <f ca="1">FLUID!Y68</f>
        <v>0</v>
      </c>
      <c r="V21" s="28">
        <f ca="1">FLUID!Z68</f>
        <v>0</v>
      </c>
      <c r="W21" s="28">
        <f ca="1">FLUID!AA68</f>
        <v>0</v>
      </c>
      <c r="X21" s="28">
        <f ca="1">FLUID!AB68</f>
        <v>0</v>
      </c>
      <c r="Y21" s="28">
        <f ca="1">FLUID!AC68</f>
        <v>0</v>
      </c>
      <c r="Z21" s="28">
        <f ca="1">FLUID!AD68</f>
        <v>0</v>
      </c>
      <c r="AA21" s="28">
        <f ca="1">FLUID!AE68</f>
        <v>0</v>
      </c>
      <c r="AB21" s="28">
        <f ca="1">FLUID!AF68</f>
        <v>0</v>
      </c>
      <c r="AC21" s="28">
        <f ca="1">FLUID!AG68</f>
        <v>0</v>
      </c>
      <c r="AD21" s="28">
        <f ca="1">FLUID!AH68</f>
        <v>0</v>
      </c>
      <c r="AE21" s="28">
        <f ca="1">FLUID!AI68</f>
        <v>0</v>
      </c>
      <c r="AF21" s="28">
        <f ca="1">FLUID!AJ68</f>
        <v>0</v>
      </c>
      <c r="AG21" s="28">
        <f ca="1">FLUID!AK68</f>
        <v>0</v>
      </c>
      <c r="AH21" s="28">
        <f ca="1">FLUID!AL68</f>
        <v>0</v>
      </c>
      <c r="AI21" s="28">
        <f>FLUID!AM68</f>
        <v>0</v>
      </c>
    </row>
    <row r="22" spans="1:35" ht="22.5" hidden="1" customHeight="1" outlineLevel="1" thickBot="1" x14ac:dyDescent="0.4">
      <c r="A22" s="62">
        <f>FLUID!E69</f>
        <v>0</v>
      </c>
      <c r="B22" s="28">
        <f ca="1">FLUID!F69</f>
        <v>0</v>
      </c>
      <c r="C22" s="28">
        <f ca="1">FLUID!G69</f>
        <v>0</v>
      </c>
      <c r="D22" s="28">
        <f ca="1">FLUID!H69</f>
        <v>0</v>
      </c>
      <c r="E22" s="28">
        <f ca="1">FLUID!I69</f>
        <v>0</v>
      </c>
      <c r="F22" s="28">
        <f ca="1">FLUID!J69</f>
        <v>0</v>
      </c>
      <c r="G22" s="28">
        <f ca="1">FLUID!K69</f>
        <v>0</v>
      </c>
      <c r="H22" s="28">
        <f ca="1">FLUID!L69</f>
        <v>0</v>
      </c>
      <c r="I22" s="28">
        <f ca="1">FLUID!M69</f>
        <v>0</v>
      </c>
      <c r="J22" s="28">
        <f ca="1">FLUID!N69</f>
        <v>0</v>
      </c>
      <c r="K22" s="28">
        <f ca="1">FLUID!O69</f>
        <v>0</v>
      </c>
      <c r="L22" s="28">
        <f ca="1">FLUID!P69</f>
        <v>0</v>
      </c>
      <c r="M22" s="28">
        <f ca="1">FLUID!Q69</f>
        <v>0</v>
      </c>
      <c r="N22" s="28">
        <f ca="1">FLUID!R69</f>
        <v>0</v>
      </c>
      <c r="O22" s="28">
        <f ca="1">FLUID!S69</f>
        <v>0</v>
      </c>
      <c r="P22" s="28">
        <f ca="1">FLUID!T69</f>
        <v>0</v>
      </c>
      <c r="Q22" s="28">
        <f ca="1">FLUID!U69</f>
        <v>0</v>
      </c>
      <c r="R22" s="28">
        <f ca="1">FLUID!V69</f>
        <v>0</v>
      </c>
      <c r="S22" s="28">
        <f ca="1">FLUID!W69</f>
        <v>0</v>
      </c>
      <c r="T22" s="28">
        <f ca="1">FLUID!X69</f>
        <v>0</v>
      </c>
      <c r="U22" s="28">
        <f ca="1">FLUID!Y69</f>
        <v>0</v>
      </c>
      <c r="V22" s="28">
        <f ca="1">FLUID!Z69</f>
        <v>0</v>
      </c>
      <c r="W22" s="28">
        <f ca="1">FLUID!AA69</f>
        <v>0</v>
      </c>
      <c r="X22" s="28">
        <f ca="1">FLUID!AB69</f>
        <v>0</v>
      </c>
      <c r="Y22" s="28">
        <f ca="1">FLUID!AC69</f>
        <v>0</v>
      </c>
      <c r="Z22" s="28">
        <f ca="1">FLUID!AD69</f>
        <v>0</v>
      </c>
      <c r="AA22" s="28">
        <f ca="1">FLUID!AE69</f>
        <v>0</v>
      </c>
      <c r="AB22" s="28">
        <f ca="1">FLUID!AF69</f>
        <v>0</v>
      </c>
      <c r="AC22" s="28">
        <f ca="1">FLUID!AG69</f>
        <v>0</v>
      </c>
      <c r="AD22" s="28">
        <f ca="1">FLUID!AH69</f>
        <v>0</v>
      </c>
      <c r="AE22" s="28">
        <f ca="1">FLUID!AI69</f>
        <v>0</v>
      </c>
      <c r="AF22" s="28">
        <f ca="1">FLUID!AJ69</f>
        <v>0</v>
      </c>
      <c r="AG22" s="28">
        <f ca="1">FLUID!AK69</f>
        <v>0</v>
      </c>
      <c r="AH22" s="28">
        <f ca="1">FLUID!AL69</f>
        <v>0</v>
      </c>
      <c r="AI22" s="28">
        <f>FLUID!AM69</f>
        <v>0</v>
      </c>
    </row>
    <row r="23" spans="1:35" ht="22.5" hidden="1" customHeight="1" outlineLevel="1" thickBot="1" x14ac:dyDescent="0.4">
      <c r="A23" s="62">
        <f>FLUID!E70</f>
        <v>0</v>
      </c>
      <c r="B23" s="28">
        <f ca="1">FLUID!F70</f>
        <v>0</v>
      </c>
      <c r="C23" s="28">
        <f ca="1">FLUID!G70</f>
        <v>0</v>
      </c>
      <c r="D23" s="28">
        <f ca="1">FLUID!H70</f>
        <v>0</v>
      </c>
      <c r="E23" s="28">
        <f ca="1">FLUID!I70</f>
        <v>0</v>
      </c>
      <c r="F23" s="28">
        <f ca="1">FLUID!J70</f>
        <v>0</v>
      </c>
      <c r="G23" s="28">
        <f ca="1">FLUID!K70</f>
        <v>0</v>
      </c>
      <c r="H23" s="28">
        <f ca="1">FLUID!L70</f>
        <v>0</v>
      </c>
      <c r="I23" s="28">
        <f ca="1">FLUID!M70</f>
        <v>0</v>
      </c>
      <c r="J23" s="28">
        <f ca="1">FLUID!N70</f>
        <v>0</v>
      </c>
      <c r="K23" s="28">
        <f ca="1">FLUID!O70</f>
        <v>0</v>
      </c>
      <c r="L23" s="28">
        <f ca="1">FLUID!P70</f>
        <v>0</v>
      </c>
      <c r="M23" s="28">
        <f ca="1">FLUID!Q70</f>
        <v>0</v>
      </c>
      <c r="N23" s="28">
        <f ca="1">FLUID!R70</f>
        <v>0</v>
      </c>
      <c r="O23" s="28">
        <f ca="1">FLUID!S70</f>
        <v>0</v>
      </c>
      <c r="P23" s="28">
        <f ca="1">FLUID!T70</f>
        <v>0</v>
      </c>
      <c r="Q23" s="28">
        <f ca="1">FLUID!U70</f>
        <v>0</v>
      </c>
      <c r="R23" s="28">
        <f ca="1">FLUID!V70</f>
        <v>0</v>
      </c>
      <c r="S23" s="28">
        <f ca="1">FLUID!W70</f>
        <v>0</v>
      </c>
      <c r="T23" s="28">
        <f ca="1">FLUID!X70</f>
        <v>0</v>
      </c>
      <c r="U23" s="28">
        <f ca="1">FLUID!Y70</f>
        <v>0</v>
      </c>
      <c r="V23" s="28">
        <f ca="1">FLUID!Z70</f>
        <v>0</v>
      </c>
      <c r="W23" s="28">
        <f ca="1">FLUID!AA70</f>
        <v>0</v>
      </c>
      <c r="X23" s="28">
        <f ca="1">FLUID!AB70</f>
        <v>0</v>
      </c>
      <c r="Y23" s="28">
        <f ca="1">FLUID!AC70</f>
        <v>0</v>
      </c>
      <c r="Z23" s="28">
        <f ca="1">FLUID!AD70</f>
        <v>0</v>
      </c>
      <c r="AA23" s="28">
        <f ca="1">FLUID!AE70</f>
        <v>0</v>
      </c>
      <c r="AB23" s="28">
        <f ca="1">FLUID!AF70</f>
        <v>0</v>
      </c>
      <c r="AC23" s="28">
        <f ca="1">FLUID!AG70</f>
        <v>0</v>
      </c>
      <c r="AD23" s="28">
        <f ca="1">FLUID!AH70</f>
        <v>0</v>
      </c>
      <c r="AE23" s="28">
        <f ca="1">FLUID!AI70</f>
        <v>0</v>
      </c>
      <c r="AF23" s="28">
        <f ca="1">FLUID!AJ70</f>
        <v>0</v>
      </c>
      <c r="AG23" s="28">
        <f ca="1">FLUID!AK70</f>
        <v>0</v>
      </c>
      <c r="AH23" s="28">
        <f ca="1">FLUID!AL70</f>
        <v>0</v>
      </c>
      <c r="AI23" s="28">
        <f>FLUID!AM70</f>
        <v>0</v>
      </c>
    </row>
    <row r="24" spans="1:35" ht="22.5" hidden="1" customHeight="1" outlineLevel="1" thickBot="1" x14ac:dyDescent="0.4">
      <c r="A24" s="62">
        <f>FLUID!E71</f>
        <v>0</v>
      </c>
      <c r="B24" s="28">
        <f ca="1">FLUID!F71</f>
        <v>0</v>
      </c>
      <c r="C24" s="28">
        <f ca="1">FLUID!G71</f>
        <v>0</v>
      </c>
      <c r="D24" s="28">
        <f ca="1">FLUID!H71</f>
        <v>0</v>
      </c>
      <c r="E24" s="28">
        <f ca="1">FLUID!I71</f>
        <v>0</v>
      </c>
      <c r="F24" s="28">
        <f ca="1">FLUID!J71</f>
        <v>0</v>
      </c>
      <c r="G24" s="28">
        <f ca="1">FLUID!K71</f>
        <v>0</v>
      </c>
      <c r="H24" s="28">
        <f ca="1">FLUID!L71</f>
        <v>0</v>
      </c>
      <c r="I24" s="28">
        <f ca="1">FLUID!M71</f>
        <v>0</v>
      </c>
      <c r="J24" s="28">
        <f ca="1">FLUID!N71</f>
        <v>0</v>
      </c>
      <c r="K24" s="28">
        <f ca="1">FLUID!O71</f>
        <v>0</v>
      </c>
      <c r="L24" s="28">
        <f ca="1">FLUID!P71</f>
        <v>0</v>
      </c>
      <c r="M24" s="28">
        <f ca="1">FLUID!Q71</f>
        <v>0</v>
      </c>
      <c r="N24" s="28">
        <f ca="1">FLUID!R71</f>
        <v>0</v>
      </c>
      <c r="O24" s="28">
        <f ca="1">FLUID!S71</f>
        <v>0</v>
      </c>
      <c r="P24" s="28">
        <f ca="1">FLUID!T71</f>
        <v>0</v>
      </c>
      <c r="Q24" s="28">
        <f ca="1">FLUID!U71</f>
        <v>0</v>
      </c>
      <c r="R24" s="28">
        <f ca="1">FLUID!V71</f>
        <v>0</v>
      </c>
      <c r="S24" s="28">
        <f ca="1">FLUID!W71</f>
        <v>0</v>
      </c>
      <c r="T24" s="28">
        <f ca="1">FLUID!X71</f>
        <v>0</v>
      </c>
      <c r="U24" s="28">
        <f ca="1">FLUID!Y71</f>
        <v>0</v>
      </c>
      <c r="V24" s="28">
        <f ca="1">FLUID!Z71</f>
        <v>0</v>
      </c>
      <c r="W24" s="28">
        <f ca="1">FLUID!AA71</f>
        <v>0</v>
      </c>
      <c r="X24" s="28">
        <f ca="1">FLUID!AB71</f>
        <v>0</v>
      </c>
      <c r="Y24" s="28">
        <f ca="1">FLUID!AC71</f>
        <v>0</v>
      </c>
      <c r="Z24" s="28">
        <f ca="1">FLUID!AD71</f>
        <v>0</v>
      </c>
      <c r="AA24" s="28">
        <f ca="1">FLUID!AE71</f>
        <v>0</v>
      </c>
      <c r="AB24" s="28">
        <f ca="1">FLUID!AF71</f>
        <v>0</v>
      </c>
      <c r="AC24" s="28">
        <f ca="1">FLUID!AG71</f>
        <v>0</v>
      </c>
      <c r="AD24" s="28">
        <f ca="1">FLUID!AH71</f>
        <v>0</v>
      </c>
      <c r="AE24" s="28">
        <f ca="1">FLUID!AI71</f>
        <v>0</v>
      </c>
      <c r="AF24" s="28">
        <f ca="1">FLUID!AJ71</f>
        <v>0</v>
      </c>
      <c r="AG24" s="28">
        <f ca="1">FLUID!AK71</f>
        <v>0</v>
      </c>
      <c r="AH24" s="28">
        <f ca="1">FLUID!AL71</f>
        <v>0</v>
      </c>
      <c r="AI24" s="28">
        <f>FLUID!AM71</f>
        <v>0</v>
      </c>
    </row>
    <row r="25" spans="1:35" ht="22.5" hidden="1" customHeight="1" outlineLevel="1" thickBot="1" x14ac:dyDescent="0.4">
      <c r="A25" s="62">
        <f>FLUID!E72</f>
        <v>0</v>
      </c>
      <c r="B25" s="28">
        <f ca="1">FLUID!F72</f>
        <v>0</v>
      </c>
      <c r="C25" s="28">
        <f ca="1">FLUID!G72</f>
        <v>0</v>
      </c>
      <c r="D25" s="28">
        <f ca="1">FLUID!H72</f>
        <v>0</v>
      </c>
      <c r="E25" s="28">
        <f ca="1">FLUID!I72</f>
        <v>0</v>
      </c>
      <c r="F25" s="28">
        <f ca="1">FLUID!J72</f>
        <v>0</v>
      </c>
      <c r="G25" s="28">
        <f ca="1">FLUID!K72</f>
        <v>0</v>
      </c>
      <c r="H25" s="28">
        <f ca="1">FLUID!L72</f>
        <v>0</v>
      </c>
      <c r="I25" s="28">
        <f ca="1">FLUID!M72</f>
        <v>0</v>
      </c>
      <c r="J25" s="28">
        <f ca="1">FLUID!N72</f>
        <v>0</v>
      </c>
      <c r="K25" s="28">
        <f ca="1">FLUID!O72</f>
        <v>0</v>
      </c>
      <c r="L25" s="28">
        <f ca="1">FLUID!P72</f>
        <v>0</v>
      </c>
      <c r="M25" s="28">
        <f ca="1">FLUID!Q72</f>
        <v>0</v>
      </c>
      <c r="N25" s="28">
        <f ca="1">FLUID!R72</f>
        <v>0</v>
      </c>
      <c r="O25" s="28">
        <f ca="1">FLUID!S72</f>
        <v>0</v>
      </c>
      <c r="P25" s="28">
        <f ca="1">FLUID!T72</f>
        <v>0</v>
      </c>
      <c r="Q25" s="28">
        <f ca="1">FLUID!U72</f>
        <v>0</v>
      </c>
      <c r="R25" s="28">
        <f ca="1">FLUID!V72</f>
        <v>0</v>
      </c>
      <c r="S25" s="28">
        <f ca="1">FLUID!W72</f>
        <v>0</v>
      </c>
      <c r="T25" s="28">
        <f ca="1">FLUID!X72</f>
        <v>0</v>
      </c>
      <c r="U25" s="28">
        <f ca="1">FLUID!Y72</f>
        <v>0</v>
      </c>
      <c r="V25" s="28">
        <f ca="1">FLUID!Z72</f>
        <v>0</v>
      </c>
      <c r="W25" s="28">
        <f ca="1">FLUID!AA72</f>
        <v>0</v>
      </c>
      <c r="X25" s="28">
        <f ca="1">FLUID!AB72</f>
        <v>0</v>
      </c>
      <c r="Y25" s="28">
        <f ca="1">FLUID!AC72</f>
        <v>0</v>
      </c>
      <c r="Z25" s="28">
        <f ca="1">FLUID!AD72</f>
        <v>0</v>
      </c>
      <c r="AA25" s="28">
        <f ca="1">FLUID!AE72</f>
        <v>0</v>
      </c>
      <c r="AB25" s="28">
        <f ca="1">FLUID!AF72</f>
        <v>0</v>
      </c>
      <c r="AC25" s="28">
        <f ca="1">FLUID!AG72</f>
        <v>0</v>
      </c>
      <c r="AD25" s="28">
        <f ca="1">FLUID!AH72</f>
        <v>0</v>
      </c>
      <c r="AE25" s="28">
        <f ca="1">FLUID!AI72</f>
        <v>0</v>
      </c>
      <c r="AF25" s="28">
        <f ca="1">FLUID!AJ72</f>
        <v>0</v>
      </c>
      <c r="AG25" s="28">
        <f ca="1">FLUID!AK72</f>
        <v>0</v>
      </c>
      <c r="AH25" s="28">
        <f ca="1">FLUID!AL72</f>
        <v>0</v>
      </c>
      <c r="AI25" s="28">
        <f>FLUID!AM72</f>
        <v>0</v>
      </c>
    </row>
    <row r="26" spans="1:35" ht="22.5" hidden="1" customHeight="1" outlineLevel="1" thickBot="1" x14ac:dyDescent="0.4">
      <c r="A26" s="62">
        <f>FLUID!E73</f>
        <v>0</v>
      </c>
      <c r="B26" s="28">
        <f ca="1">FLUID!F73</f>
        <v>0</v>
      </c>
      <c r="C26" s="28">
        <f ca="1">FLUID!G73</f>
        <v>0</v>
      </c>
      <c r="D26" s="28">
        <f ca="1">FLUID!H73</f>
        <v>0</v>
      </c>
      <c r="E26" s="28">
        <f ca="1">FLUID!I73</f>
        <v>0</v>
      </c>
      <c r="F26" s="28">
        <f ca="1">FLUID!J73</f>
        <v>0</v>
      </c>
      <c r="G26" s="28">
        <f ca="1">FLUID!K73</f>
        <v>0</v>
      </c>
      <c r="H26" s="28">
        <f ca="1">FLUID!L73</f>
        <v>0</v>
      </c>
      <c r="I26" s="28">
        <f ca="1">FLUID!M73</f>
        <v>0</v>
      </c>
      <c r="J26" s="28">
        <f ca="1">FLUID!N73</f>
        <v>0</v>
      </c>
      <c r="K26" s="28">
        <f ca="1">FLUID!O73</f>
        <v>0</v>
      </c>
      <c r="L26" s="28">
        <f ca="1">FLUID!P73</f>
        <v>0</v>
      </c>
      <c r="M26" s="28">
        <f ca="1">FLUID!Q73</f>
        <v>0</v>
      </c>
      <c r="N26" s="28">
        <f ca="1">FLUID!R73</f>
        <v>0</v>
      </c>
      <c r="O26" s="28">
        <f ca="1">FLUID!S73</f>
        <v>0</v>
      </c>
      <c r="P26" s="28">
        <f ca="1">FLUID!T73</f>
        <v>0</v>
      </c>
      <c r="Q26" s="28">
        <f ca="1">FLUID!U73</f>
        <v>0</v>
      </c>
      <c r="R26" s="28">
        <f ca="1">FLUID!V73</f>
        <v>0</v>
      </c>
      <c r="S26" s="28">
        <f ca="1">FLUID!W73</f>
        <v>0</v>
      </c>
      <c r="T26" s="28">
        <f ca="1">FLUID!X73</f>
        <v>0</v>
      </c>
      <c r="U26" s="28">
        <f ca="1">FLUID!Y73</f>
        <v>0</v>
      </c>
      <c r="V26" s="28">
        <f ca="1">FLUID!Z73</f>
        <v>0</v>
      </c>
      <c r="W26" s="28">
        <f ca="1">FLUID!AA73</f>
        <v>0</v>
      </c>
      <c r="X26" s="28">
        <f ca="1">FLUID!AB73</f>
        <v>0</v>
      </c>
      <c r="Y26" s="28">
        <f ca="1">FLUID!AC73</f>
        <v>0</v>
      </c>
      <c r="Z26" s="28">
        <f ca="1">FLUID!AD73</f>
        <v>0</v>
      </c>
      <c r="AA26" s="28">
        <f ca="1">FLUID!AE73</f>
        <v>0</v>
      </c>
      <c r="AB26" s="28">
        <f ca="1">FLUID!AF73</f>
        <v>0</v>
      </c>
      <c r="AC26" s="28">
        <f ca="1">FLUID!AG73</f>
        <v>0</v>
      </c>
      <c r="AD26" s="28">
        <f ca="1">FLUID!AH73</f>
        <v>0</v>
      </c>
      <c r="AE26" s="28">
        <f ca="1">FLUID!AI73</f>
        <v>0</v>
      </c>
      <c r="AF26" s="28">
        <f ca="1">FLUID!AJ73</f>
        <v>0</v>
      </c>
      <c r="AG26" s="28">
        <f ca="1">FLUID!AK73</f>
        <v>0</v>
      </c>
      <c r="AH26" s="28">
        <f ca="1">FLUID!AL73</f>
        <v>0</v>
      </c>
      <c r="AI26" s="28">
        <f>FLUID!AM73</f>
        <v>0</v>
      </c>
    </row>
    <row r="27" spans="1:35" ht="22.5" hidden="1" customHeight="1" outlineLevel="1" thickBot="1" x14ac:dyDescent="0.4">
      <c r="A27" s="62">
        <f>FLUID!E74</f>
        <v>0</v>
      </c>
      <c r="B27" s="28">
        <f ca="1">FLUID!F74</f>
        <v>0</v>
      </c>
      <c r="C27" s="28">
        <f ca="1">FLUID!G74</f>
        <v>0</v>
      </c>
      <c r="D27" s="28">
        <f ca="1">FLUID!H74</f>
        <v>0</v>
      </c>
      <c r="E27" s="28">
        <f ca="1">FLUID!I74</f>
        <v>0</v>
      </c>
      <c r="F27" s="28">
        <f ca="1">FLUID!J74</f>
        <v>0</v>
      </c>
      <c r="G27" s="28">
        <f ca="1">FLUID!K74</f>
        <v>0</v>
      </c>
      <c r="H27" s="28">
        <f ca="1">FLUID!L74</f>
        <v>0</v>
      </c>
      <c r="I27" s="28">
        <f ca="1">FLUID!M74</f>
        <v>0</v>
      </c>
      <c r="J27" s="28">
        <f ca="1">FLUID!N74</f>
        <v>0</v>
      </c>
      <c r="K27" s="28">
        <f ca="1">FLUID!O74</f>
        <v>0</v>
      </c>
      <c r="L27" s="28">
        <f ca="1">FLUID!P74</f>
        <v>0</v>
      </c>
      <c r="M27" s="28">
        <f ca="1">FLUID!Q74</f>
        <v>0</v>
      </c>
      <c r="N27" s="28">
        <f ca="1">FLUID!R74</f>
        <v>0</v>
      </c>
      <c r="O27" s="28">
        <f ca="1">FLUID!S74</f>
        <v>0</v>
      </c>
      <c r="P27" s="28">
        <f ca="1">FLUID!T74</f>
        <v>0</v>
      </c>
      <c r="Q27" s="28">
        <f ca="1">FLUID!U74</f>
        <v>0</v>
      </c>
      <c r="R27" s="28">
        <f ca="1">FLUID!V74</f>
        <v>0</v>
      </c>
      <c r="S27" s="28">
        <f ca="1">FLUID!W74</f>
        <v>0</v>
      </c>
      <c r="T27" s="28">
        <f ca="1">FLUID!X74</f>
        <v>0</v>
      </c>
      <c r="U27" s="28">
        <f ca="1">FLUID!Y74</f>
        <v>0</v>
      </c>
      <c r="V27" s="28">
        <f ca="1">FLUID!Z74</f>
        <v>0</v>
      </c>
      <c r="W27" s="28">
        <f ca="1">FLUID!AA74</f>
        <v>0</v>
      </c>
      <c r="X27" s="28">
        <f ca="1">FLUID!AB74</f>
        <v>0</v>
      </c>
      <c r="Y27" s="28">
        <f ca="1">FLUID!AC74</f>
        <v>0</v>
      </c>
      <c r="Z27" s="28">
        <f ca="1">FLUID!AD74</f>
        <v>0</v>
      </c>
      <c r="AA27" s="28">
        <f ca="1">FLUID!AE74</f>
        <v>0</v>
      </c>
      <c r="AB27" s="28">
        <f ca="1">FLUID!AF74</f>
        <v>0</v>
      </c>
      <c r="AC27" s="28">
        <f ca="1">FLUID!AG74</f>
        <v>0</v>
      </c>
      <c r="AD27" s="28">
        <f ca="1">FLUID!AH74</f>
        <v>0</v>
      </c>
      <c r="AE27" s="28">
        <f ca="1">FLUID!AI74</f>
        <v>0</v>
      </c>
      <c r="AF27" s="28">
        <f ca="1">FLUID!AJ74</f>
        <v>0</v>
      </c>
      <c r="AG27" s="28">
        <f ca="1">FLUID!AK74</f>
        <v>0</v>
      </c>
      <c r="AH27" s="28">
        <f ca="1">FLUID!AL74</f>
        <v>0</v>
      </c>
      <c r="AI27" s="28">
        <f>FLUID!AM74</f>
        <v>0</v>
      </c>
    </row>
    <row r="28" spans="1:35" ht="22.5" hidden="1" customHeight="1" outlineLevel="1" thickBot="1" x14ac:dyDescent="0.4">
      <c r="A28" s="62">
        <f>FLUID!E75</f>
        <v>0</v>
      </c>
      <c r="B28" s="28">
        <f ca="1">FLUID!F75</f>
        <v>0</v>
      </c>
      <c r="C28" s="28">
        <f ca="1">FLUID!G75</f>
        <v>0</v>
      </c>
      <c r="D28" s="28">
        <f ca="1">FLUID!H75</f>
        <v>0</v>
      </c>
      <c r="E28" s="28">
        <f ca="1">FLUID!I75</f>
        <v>0</v>
      </c>
      <c r="F28" s="28">
        <f ca="1">FLUID!J75</f>
        <v>0</v>
      </c>
      <c r="G28" s="28">
        <f ca="1">FLUID!K75</f>
        <v>0</v>
      </c>
      <c r="H28" s="28">
        <f ca="1">FLUID!L75</f>
        <v>0</v>
      </c>
      <c r="I28" s="28">
        <f ca="1">FLUID!M75</f>
        <v>0</v>
      </c>
      <c r="J28" s="28">
        <f ca="1">FLUID!N75</f>
        <v>0</v>
      </c>
      <c r="K28" s="28">
        <f ca="1">FLUID!O75</f>
        <v>0</v>
      </c>
      <c r="L28" s="28">
        <f ca="1">FLUID!P75</f>
        <v>0</v>
      </c>
      <c r="M28" s="28">
        <f ca="1">FLUID!Q75</f>
        <v>0</v>
      </c>
      <c r="N28" s="28">
        <f ca="1">FLUID!R75</f>
        <v>0</v>
      </c>
      <c r="O28" s="28">
        <f ca="1">FLUID!S75</f>
        <v>0</v>
      </c>
      <c r="P28" s="28">
        <f ca="1">FLUID!T75</f>
        <v>0</v>
      </c>
      <c r="Q28" s="28">
        <f ca="1">FLUID!U75</f>
        <v>0</v>
      </c>
      <c r="R28" s="28">
        <f ca="1">FLUID!V75</f>
        <v>0</v>
      </c>
      <c r="S28" s="28">
        <f ca="1">FLUID!W75</f>
        <v>0</v>
      </c>
      <c r="T28" s="28">
        <f ca="1">FLUID!X75</f>
        <v>0</v>
      </c>
      <c r="U28" s="28">
        <f ca="1">FLUID!Y75</f>
        <v>0</v>
      </c>
      <c r="V28" s="28">
        <f ca="1">FLUID!Z75</f>
        <v>0</v>
      </c>
      <c r="W28" s="28">
        <f ca="1">FLUID!AA75</f>
        <v>0</v>
      </c>
      <c r="X28" s="28">
        <f ca="1">FLUID!AB75</f>
        <v>0</v>
      </c>
      <c r="Y28" s="28">
        <f ca="1">FLUID!AC75</f>
        <v>0</v>
      </c>
      <c r="Z28" s="28">
        <f ca="1">FLUID!AD75</f>
        <v>0</v>
      </c>
      <c r="AA28" s="28">
        <f ca="1">FLUID!AE75</f>
        <v>0</v>
      </c>
      <c r="AB28" s="28">
        <f ca="1">FLUID!AF75</f>
        <v>0</v>
      </c>
      <c r="AC28" s="28">
        <f ca="1">FLUID!AG75</f>
        <v>0</v>
      </c>
      <c r="AD28" s="28">
        <f ca="1">FLUID!AH75</f>
        <v>0</v>
      </c>
      <c r="AE28" s="28">
        <f ca="1">FLUID!AI75</f>
        <v>0</v>
      </c>
      <c r="AF28" s="28">
        <f ca="1">FLUID!AJ75</f>
        <v>0</v>
      </c>
      <c r="AG28" s="28">
        <f ca="1">FLUID!AK75</f>
        <v>0</v>
      </c>
      <c r="AH28" s="28">
        <f ca="1">FLUID!AL75</f>
        <v>0</v>
      </c>
      <c r="AI28" s="28">
        <f>FLUID!AM75</f>
        <v>0</v>
      </c>
    </row>
    <row r="29" spans="1:35" ht="22.5" hidden="1" customHeight="1" outlineLevel="1" thickBot="1" x14ac:dyDescent="0.4">
      <c r="A29" s="62">
        <f>FLUID!E76</f>
        <v>0</v>
      </c>
      <c r="B29" s="28">
        <f ca="1">FLUID!F76</f>
        <v>0</v>
      </c>
      <c r="C29" s="28">
        <f ca="1">FLUID!G76</f>
        <v>0</v>
      </c>
      <c r="D29" s="28">
        <f ca="1">FLUID!H76</f>
        <v>0</v>
      </c>
      <c r="E29" s="28">
        <f ca="1">FLUID!I76</f>
        <v>0</v>
      </c>
      <c r="F29" s="28">
        <f ca="1">FLUID!J76</f>
        <v>0</v>
      </c>
      <c r="G29" s="28">
        <f ca="1">FLUID!K76</f>
        <v>0</v>
      </c>
      <c r="H29" s="28">
        <f ca="1">FLUID!L76</f>
        <v>0</v>
      </c>
      <c r="I29" s="28">
        <f ca="1">FLUID!M76</f>
        <v>0</v>
      </c>
      <c r="J29" s="28">
        <f ca="1">FLUID!N76</f>
        <v>0</v>
      </c>
      <c r="K29" s="28">
        <f ca="1">FLUID!O76</f>
        <v>0</v>
      </c>
      <c r="L29" s="28">
        <f ca="1">FLUID!P76</f>
        <v>0</v>
      </c>
      <c r="M29" s="28">
        <f ca="1">FLUID!Q76</f>
        <v>0</v>
      </c>
      <c r="N29" s="28">
        <f ca="1">FLUID!R76</f>
        <v>0</v>
      </c>
      <c r="O29" s="28">
        <f ca="1">FLUID!S76</f>
        <v>0</v>
      </c>
      <c r="P29" s="28">
        <f ca="1">FLUID!T76</f>
        <v>0</v>
      </c>
      <c r="Q29" s="28">
        <f ca="1">FLUID!U76</f>
        <v>0</v>
      </c>
      <c r="R29" s="28">
        <f ca="1">FLUID!V76</f>
        <v>0</v>
      </c>
      <c r="S29" s="28">
        <f ca="1">FLUID!W76</f>
        <v>0</v>
      </c>
      <c r="T29" s="28">
        <f ca="1">FLUID!X76</f>
        <v>0</v>
      </c>
      <c r="U29" s="28">
        <f ca="1">FLUID!Y76</f>
        <v>0</v>
      </c>
      <c r="V29" s="28">
        <f ca="1">FLUID!Z76</f>
        <v>0</v>
      </c>
      <c r="W29" s="28">
        <f ca="1">FLUID!AA76</f>
        <v>0</v>
      </c>
      <c r="X29" s="28">
        <f ca="1">FLUID!AB76</f>
        <v>0</v>
      </c>
      <c r="Y29" s="28">
        <f ca="1">FLUID!AC76</f>
        <v>0</v>
      </c>
      <c r="Z29" s="28">
        <f ca="1">FLUID!AD76</f>
        <v>0</v>
      </c>
      <c r="AA29" s="28">
        <f ca="1">FLUID!AE76</f>
        <v>0</v>
      </c>
      <c r="AB29" s="28">
        <f ca="1">FLUID!AF76</f>
        <v>0</v>
      </c>
      <c r="AC29" s="28">
        <f ca="1">FLUID!AG76</f>
        <v>0</v>
      </c>
      <c r="AD29" s="28">
        <f ca="1">FLUID!AH76</f>
        <v>0</v>
      </c>
      <c r="AE29" s="28">
        <f ca="1">FLUID!AI76</f>
        <v>0</v>
      </c>
      <c r="AF29" s="28">
        <f ca="1">FLUID!AJ76</f>
        <v>0</v>
      </c>
      <c r="AG29" s="28">
        <f ca="1">FLUID!AK76</f>
        <v>0</v>
      </c>
      <c r="AH29" s="28">
        <f ca="1">FLUID!AL76</f>
        <v>0</v>
      </c>
      <c r="AI29" s="28">
        <f>FLUID!AM76</f>
        <v>0</v>
      </c>
    </row>
    <row r="30" spans="1:35" ht="22.5" hidden="1" customHeight="1" outlineLevel="1" thickBot="1" x14ac:dyDescent="0.4">
      <c r="A30" s="62">
        <f>FLUID!E77</f>
        <v>0</v>
      </c>
      <c r="B30" s="28">
        <f ca="1">FLUID!F77</f>
        <v>0</v>
      </c>
      <c r="C30" s="28">
        <f ca="1">FLUID!G77</f>
        <v>0</v>
      </c>
      <c r="D30" s="28">
        <f ca="1">FLUID!H77</f>
        <v>0</v>
      </c>
      <c r="E30" s="28">
        <f ca="1">FLUID!I77</f>
        <v>0</v>
      </c>
      <c r="F30" s="28">
        <f ca="1">FLUID!J77</f>
        <v>0</v>
      </c>
      <c r="G30" s="28">
        <f ca="1">FLUID!K77</f>
        <v>0</v>
      </c>
      <c r="H30" s="28">
        <f ca="1">FLUID!L77</f>
        <v>0</v>
      </c>
      <c r="I30" s="28">
        <f ca="1">FLUID!M77</f>
        <v>0</v>
      </c>
      <c r="J30" s="28">
        <f ca="1">FLUID!N77</f>
        <v>0</v>
      </c>
      <c r="K30" s="28">
        <f ca="1">FLUID!O77</f>
        <v>0</v>
      </c>
      <c r="L30" s="28">
        <f ca="1">FLUID!P77</f>
        <v>0</v>
      </c>
      <c r="M30" s="28">
        <f ca="1">FLUID!Q77</f>
        <v>0</v>
      </c>
      <c r="N30" s="28">
        <f ca="1">FLUID!R77</f>
        <v>0</v>
      </c>
      <c r="O30" s="28">
        <f ca="1">FLUID!S77</f>
        <v>0</v>
      </c>
      <c r="P30" s="28">
        <f ca="1">FLUID!T77</f>
        <v>0</v>
      </c>
      <c r="Q30" s="28">
        <f ca="1">FLUID!U77</f>
        <v>0</v>
      </c>
      <c r="R30" s="28">
        <f ca="1">FLUID!V77</f>
        <v>0</v>
      </c>
      <c r="S30" s="28">
        <f ca="1">FLUID!W77</f>
        <v>0</v>
      </c>
      <c r="T30" s="28">
        <f ca="1">FLUID!X77</f>
        <v>0</v>
      </c>
      <c r="U30" s="28">
        <f ca="1">FLUID!Y77</f>
        <v>0</v>
      </c>
      <c r="V30" s="28">
        <f ca="1">FLUID!Z77</f>
        <v>0</v>
      </c>
      <c r="W30" s="28">
        <f ca="1">FLUID!AA77</f>
        <v>0</v>
      </c>
      <c r="X30" s="28">
        <f ca="1">FLUID!AB77</f>
        <v>0</v>
      </c>
      <c r="Y30" s="28">
        <f ca="1">FLUID!AC77</f>
        <v>0</v>
      </c>
      <c r="Z30" s="28">
        <f ca="1">FLUID!AD77</f>
        <v>0</v>
      </c>
      <c r="AA30" s="28">
        <f ca="1">FLUID!AE77</f>
        <v>0</v>
      </c>
      <c r="AB30" s="28">
        <f ca="1">FLUID!AF77</f>
        <v>0</v>
      </c>
      <c r="AC30" s="28">
        <f ca="1">FLUID!AG77</f>
        <v>0</v>
      </c>
      <c r="AD30" s="28">
        <f ca="1">FLUID!AH77</f>
        <v>0</v>
      </c>
      <c r="AE30" s="28">
        <f ca="1">FLUID!AI77</f>
        <v>0</v>
      </c>
      <c r="AF30" s="28">
        <f ca="1">FLUID!AJ77</f>
        <v>0</v>
      </c>
      <c r="AG30" s="28">
        <f ca="1">FLUID!AK77</f>
        <v>0</v>
      </c>
      <c r="AH30" s="28">
        <f ca="1">FLUID!AL77</f>
        <v>0</v>
      </c>
      <c r="AI30" s="28">
        <f>FLUID!AM77</f>
        <v>0</v>
      </c>
    </row>
    <row r="31" spans="1:35" ht="22.5" hidden="1" customHeight="1" outlineLevel="1" thickBot="1" x14ac:dyDescent="0.4">
      <c r="A31" s="62">
        <f>FLUID!E78</f>
        <v>0</v>
      </c>
      <c r="B31" s="28">
        <f ca="1">FLUID!F78</f>
        <v>0</v>
      </c>
      <c r="C31" s="28">
        <f ca="1">FLUID!G78</f>
        <v>0</v>
      </c>
      <c r="D31" s="28">
        <f ca="1">FLUID!H78</f>
        <v>0</v>
      </c>
      <c r="E31" s="28">
        <f ca="1">FLUID!I78</f>
        <v>0</v>
      </c>
      <c r="F31" s="28">
        <f ca="1">FLUID!J78</f>
        <v>0</v>
      </c>
      <c r="G31" s="28">
        <f ca="1">FLUID!K78</f>
        <v>0</v>
      </c>
      <c r="H31" s="28">
        <f ca="1">FLUID!L78</f>
        <v>0</v>
      </c>
      <c r="I31" s="28">
        <f ca="1">FLUID!M78</f>
        <v>0</v>
      </c>
      <c r="J31" s="28">
        <f ca="1">FLUID!N78</f>
        <v>0</v>
      </c>
      <c r="K31" s="28">
        <f ca="1">FLUID!O78</f>
        <v>0</v>
      </c>
      <c r="L31" s="28">
        <f ca="1">FLUID!P78</f>
        <v>0</v>
      </c>
      <c r="M31" s="28">
        <f ca="1">FLUID!Q78</f>
        <v>0</v>
      </c>
      <c r="N31" s="28">
        <f ca="1">FLUID!R78</f>
        <v>0</v>
      </c>
      <c r="O31" s="28">
        <f ca="1">FLUID!S78</f>
        <v>0</v>
      </c>
      <c r="P31" s="28">
        <f ca="1">FLUID!T78</f>
        <v>0</v>
      </c>
      <c r="Q31" s="28">
        <f ca="1">FLUID!U78</f>
        <v>0</v>
      </c>
      <c r="R31" s="28">
        <f ca="1">FLUID!V78</f>
        <v>0</v>
      </c>
      <c r="S31" s="28">
        <f ca="1">FLUID!W78</f>
        <v>0</v>
      </c>
      <c r="T31" s="28">
        <f ca="1">FLUID!X78</f>
        <v>0</v>
      </c>
      <c r="U31" s="28">
        <f ca="1">FLUID!Y78</f>
        <v>0</v>
      </c>
      <c r="V31" s="28">
        <f ca="1">FLUID!Z78</f>
        <v>0</v>
      </c>
      <c r="W31" s="28">
        <f ca="1">FLUID!AA78</f>
        <v>0</v>
      </c>
      <c r="X31" s="28">
        <f ca="1">FLUID!AB78</f>
        <v>0</v>
      </c>
      <c r="Y31" s="28">
        <f ca="1">FLUID!AC78</f>
        <v>0</v>
      </c>
      <c r="Z31" s="28">
        <f ca="1">FLUID!AD78</f>
        <v>0</v>
      </c>
      <c r="AA31" s="28">
        <f ca="1">FLUID!AE78</f>
        <v>0</v>
      </c>
      <c r="AB31" s="28">
        <f ca="1">FLUID!AF78</f>
        <v>0</v>
      </c>
      <c r="AC31" s="28">
        <f ca="1">FLUID!AG78</f>
        <v>0</v>
      </c>
      <c r="AD31" s="28">
        <f ca="1">FLUID!AH78</f>
        <v>0</v>
      </c>
      <c r="AE31" s="28">
        <f ca="1">FLUID!AI78</f>
        <v>0</v>
      </c>
      <c r="AF31" s="28">
        <f ca="1">FLUID!AJ78</f>
        <v>0</v>
      </c>
      <c r="AG31" s="28">
        <f ca="1">FLUID!AK78</f>
        <v>0</v>
      </c>
      <c r="AH31" s="28">
        <f ca="1">FLUID!AL78</f>
        <v>0</v>
      </c>
      <c r="AI31" s="28">
        <f>FLUID!AM78</f>
        <v>0</v>
      </c>
    </row>
    <row r="32" spans="1:35" ht="22.5" hidden="1" customHeight="1" outlineLevel="1" thickBot="1" x14ac:dyDescent="0.4">
      <c r="A32" s="62">
        <f>FLUID!E79</f>
        <v>1</v>
      </c>
      <c r="B32" s="28">
        <f>FLUID!F79</f>
        <v>0</v>
      </c>
      <c r="C32" s="28">
        <f>FLUID!G79</f>
        <v>0</v>
      </c>
      <c r="D32" s="28">
        <f>FLUID!H79</f>
        <v>0</v>
      </c>
      <c r="E32" s="28">
        <f>FLUID!I79</f>
        <v>0</v>
      </c>
      <c r="F32" s="28">
        <f>FLUID!J79</f>
        <v>0</v>
      </c>
      <c r="G32" s="28">
        <f>FLUID!K79</f>
        <v>0</v>
      </c>
      <c r="H32" s="28">
        <f>FLUID!L79</f>
        <v>0</v>
      </c>
      <c r="I32" s="28">
        <f>FLUID!M79</f>
        <v>0</v>
      </c>
      <c r="J32" s="28">
        <f>FLUID!N79</f>
        <v>0</v>
      </c>
      <c r="K32" s="28">
        <f>FLUID!O79</f>
        <v>0</v>
      </c>
      <c r="L32" s="28">
        <f>FLUID!P79</f>
        <v>0</v>
      </c>
      <c r="M32" s="28">
        <f>FLUID!Q79</f>
        <v>0</v>
      </c>
      <c r="N32" s="28">
        <f>FLUID!R79</f>
        <v>0</v>
      </c>
      <c r="O32" s="28">
        <f>FLUID!S79</f>
        <v>0</v>
      </c>
      <c r="P32" s="28">
        <f>FLUID!T79</f>
        <v>0</v>
      </c>
      <c r="Q32" s="28">
        <f>FLUID!U79</f>
        <v>0</v>
      </c>
      <c r="R32" s="28">
        <f>FLUID!V79</f>
        <v>0</v>
      </c>
      <c r="S32" s="28">
        <f>FLUID!W79</f>
        <v>0</v>
      </c>
      <c r="T32" s="28">
        <f>FLUID!X79</f>
        <v>0</v>
      </c>
      <c r="U32" s="28">
        <f>FLUID!Y79</f>
        <v>0</v>
      </c>
      <c r="V32" s="28">
        <f>FLUID!Z79</f>
        <v>0</v>
      </c>
      <c r="W32" s="28">
        <f>FLUID!AA79</f>
        <v>0</v>
      </c>
      <c r="X32" s="28">
        <f>FLUID!AB79</f>
        <v>0</v>
      </c>
      <c r="Y32" s="28">
        <f>FLUID!AC79</f>
        <v>0</v>
      </c>
      <c r="Z32" s="28">
        <f>FLUID!AD79</f>
        <v>0</v>
      </c>
      <c r="AA32" s="28">
        <f>FLUID!AE79</f>
        <v>0</v>
      </c>
      <c r="AB32" s="28">
        <f>FLUID!AF79</f>
        <v>0</v>
      </c>
      <c r="AC32" s="28">
        <f>FLUID!AG79</f>
        <v>0</v>
      </c>
      <c r="AD32" s="28">
        <f>FLUID!AH79</f>
        <v>0</v>
      </c>
      <c r="AE32" s="28">
        <f>FLUID!AI79</f>
        <v>0</v>
      </c>
      <c r="AF32" s="28">
        <f>FLUID!AJ79</f>
        <v>0</v>
      </c>
      <c r="AG32" s="28">
        <f>FLUID!AK79</f>
        <v>0</v>
      </c>
      <c r="AH32" s="28">
        <f>FLUID!AL79</f>
        <v>0</v>
      </c>
      <c r="AI32" s="28">
        <f>FLUID!AM79</f>
        <v>0</v>
      </c>
    </row>
    <row r="33" spans="1:45" ht="22.5" collapsed="1" thickTop="1" thickBot="1" x14ac:dyDescent="0.4">
      <c r="A33" s="64"/>
    </row>
    <row r="34" spans="1:45" ht="22.5" thickTop="1" thickBot="1" x14ac:dyDescent="0.4">
      <c r="A34" s="9" t="s">
        <v>38</v>
      </c>
      <c r="B34" s="9">
        <f>SOLID!F49</f>
        <v>273.10000000000002</v>
      </c>
      <c r="C34" s="9">
        <f>SOLID!G49</f>
        <v>293.3</v>
      </c>
      <c r="D34" s="9">
        <f>SOLID!H49</f>
        <v>313.5</v>
      </c>
      <c r="E34" s="9">
        <f>SOLID!I49</f>
        <v>333.7</v>
      </c>
      <c r="F34" s="9">
        <f>SOLID!J49</f>
        <v>353.9</v>
      </c>
      <c r="G34" s="9">
        <f>SOLID!K49</f>
        <v>434.7</v>
      </c>
      <c r="H34" s="9">
        <f>SOLID!L49</f>
        <v>454.9</v>
      </c>
      <c r="I34" s="9">
        <f>SOLID!M49</f>
        <v>475.1</v>
      </c>
      <c r="J34" s="9">
        <f>SOLID!N49</f>
        <v>495.2</v>
      </c>
      <c r="K34" s="9">
        <f>SOLID!O49</f>
        <v>515.4</v>
      </c>
      <c r="L34" s="9">
        <f>SOLID!P49</f>
        <v>535.6</v>
      </c>
      <c r="M34" s="9">
        <f>SOLID!Q49</f>
        <v>555.79999999999995</v>
      </c>
      <c r="N34" s="9">
        <f>SOLID!R49</f>
        <v>576</v>
      </c>
      <c r="O34" s="9">
        <f>SOLID!S49</f>
        <v>596.20000000000005</v>
      </c>
      <c r="P34" s="9">
        <f>SOLID!T49</f>
        <v>677</v>
      </c>
      <c r="Q34" s="9">
        <f>SOLID!U49</f>
        <v>697.1</v>
      </c>
      <c r="R34" s="9">
        <f>SOLID!V49</f>
        <v>717.3</v>
      </c>
      <c r="S34" s="9">
        <f>SOLID!W49</f>
        <v>737.5</v>
      </c>
      <c r="T34" s="9">
        <f>SOLID!X49</f>
        <v>757.7</v>
      </c>
      <c r="U34" s="9">
        <f>SOLID!Y49</f>
        <v>777.9</v>
      </c>
      <c r="V34" s="9">
        <f>SOLID!Z49</f>
        <v>798.1</v>
      </c>
      <c r="W34" s="9">
        <f>SOLID!AA49</f>
        <v>818.3</v>
      </c>
      <c r="X34" s="9">
        <f>SOLID!AB49</f>
        <v>838.5</v>
      </c>
      <c r="Y34" s="9">
        <f>SOLID!AC49</f>
        <v>919.2</v>
      </c>
      <c r="Z34" s="9">
        <f>SOLID!AD49</f>
        <v>838.5</v>
      </c>
      <c r="AA34" s="9">
        <f>SOLID!AE49</f>
        <v>919.2</v>
      </c>
      <c r="AB34" s="9">
        <f>SOLID!AF49</f>
        <v>1000</v>
      </c>
      <c r="AC34" s="9">
        <f>SOLID!AG49</f>
        <v>0</v>
      </c>
      <c r="AD34" s="9">
        <f>SOLID!AH49</f>
        <v>0</v>
      </c>
      <c r="AE34" s="9">
        <f>SOLID!AI49</f>
        <v>0</v>
      </c>
      <c r="AF34" s="9">
        <f>SOLID!AJ49</f>
        <v>0</v>
      </c>
      <c r="AG34" s="9">
        <f>SOLID!AK49</f>
        <v>0</v>
      </c>
      <c r="AH34" s="9">
        <f>SOLID!AL49</f>
        <v>0</v>
      </c>
      <c r="AI34" s="9">
        <f>SOLID!AM49</f>
        <v>0</v>
      </c>
      <c r="AJ34" s="63"/>
      <c r="AK34" s="63"/>
      <c r="AL34" s="63"/>
      <c r="AM34" s="63"/>
      <c r="AN34" s="63"/>
      <c r="AO34" s="63"/>
      <c r="AP34" s="63"/>
      <c r="AQ34" s="63"/>
      <c r="AR34" s="63"/>
      <c r="AS34" s="63"/>
    </row>
    <row r="35" spans="1:45" ht="22.5" hidden="1" outlineLevel="1" thickTop="1" thickBot="1" x14ac:dyDescent="0.4">
      <c r="A35" s="61" t="str">
        <f>SOLID!E50</f>
        <v>*Ge</v>
      </c>
      <c r="B35" s="28">
        <f ca="1">SOLID!F50</f>
        <v>-16.29</v>
      </c>
      <c r="C35" s="28">
        <f ca="1">SOLID!G50</f>
        <v>-15.52</v>
      </c>
      <c r="D35" s="28">
        <f ca="1">SOLID!H50</f>
        <v>-14.86</v>
      </c>
      <c r="E35" s="28">
        <f ca="1">SOLID!I50</f>
        <v>-14.3</v>
      </c>
      <c r="F35" s="28">
        <f ca="1">SOLID!J50</f>
        <v>-13.17</v>
      </c>
      <c r="G35" s="28">
        <f ca="1">SOLID!K50</f>
        <v>-7.9130000000000003</v>
      </c>
      <c r="H35" s="28">
        <f ca="1">SOLID!L50</f>
        <v>-6.851</v>
      </c>
      <c r="I35" s="28">
        <f ca="1">SOLID!M50</f>
        <v>-5.867</v>
      </c>
      <c r="J35" s="28">
        <f ca="1">SOLID!N50</f>
        <v>-4.9489999999999998</v>
      </c>
      <c r="K35" s="28">
        <f ca="1">SOLID!O50</f>
        <v>-4.0979999999999999</v>
      </c>
      <c r="L35" s="28">
        <f ca="1">SOLID!P50</f>
        <v>-4.1500000000000004</v>
      </c>
      <c r="M35" s="28">
        <f ca="1">SOLID!Q50</f>
        <v>-4.2</v>
      </c>
      <c r="N35" s="28">
        <f ca="1">SOLID!R50</f>
        <v>-4.2489999999999997</v>
      </c>
      <c r="O35" s="28">
        <f ca="1">SOLID!S50</f>
        <v>-4.2990000000000004</v>
      </c>
      <c r="P35" s="28">
        <f ca="1">SOLID!T50</f>
        <v>-4.4989999999999997</v>
      </c>
      <c r="Q35" s="28">
        <f ca="1">SOLID!U50</f>
        <v>-4.5490000000000004</v>
      </c>
      <c r="R35" s="28">
        <f ca="1">SOLID!V50</f>
        <v>-4.5979999999999999</v>
      </c>
      <c r="S35" s="28">
        <f ca="1">SOLID!W50</f>
        <v>-4.6470000000000002</v>
      </c>
      <c r="T35" s="28">
        <f ca="1">SOLID!X50</f>
        <v>-4.6959999999999997</v>
      </c>
      <c r="U35" s="28">
        <f ca="1">SOLID!Y50</f>
        <v>-4.7439999999999998</v>
      </c>
      <c r="V35" s="28">
        <f ca="1">SOLID!Z50</f>
        <v>-4.7919999999999998</v>
      </c>
      <c r="W35" s="28">
        <f ca="1">SOLID!AA50</f>
        <v>-4.84</v>
      </c>
      <c r="X35" s="28">
        <f ca="1">SOLID!AB50</f>
        <v>-4.8869999999999996</v>
      </c>
      <c r="Y35" s="28">
        <f ca="1">SOLID!AC50</f>
        <v>-5.0709999999999997</v>
      </c>
      <c r="Z35" s="28">
        <f ca="1">SOLID!AD50</f>
        <v>-4.8869999999999996</v>
      </c>
      <c r="AA35" s="28">
        <f ca="1">SOLID!AE50</f>
        <v>-5.0709999999999997</v>
      </c>
      <c r="AB35" s="28">
        <f ca="1">SOLID!AF50</f>
        <v>-5.2489999999999997</v>
      </c>
      <c r="AC35" s="28">
        <f ca="1">SOLID!AG50</f>
        <v>0</v>
      </c>
      <c r="AD35" s="28">
        <f ca="1">SOLID!AH50</f>
        <v>0</v>
      </c>
      <c r="AE35" s="28">
        <f ca="1">SOLID!AI50</f>
        <v>0</v>
      </c>
      <c r="AF35" s="28">
        <f ca="1">SOLID!AJ50</f>
        <v>0</v>
      </c>
      <c r="AG35" s="28">
        <f ca="1">SOLID!AK50</f>
        <v>0</v>
      </c>
      <c r="AH35" s="28">
        <f ca="1">SOLID!AL50</f>
        <v>0</v>
      </c>
      <c r="AI35" s="28">
        <f>SOLID!AM50</f>
        <v>0</v>
      </c>
    </row>
    <row r="36" spans="1:45" ht="21.75" hidden="1" outlineLevel="1" thickBot="1" x14ac:dyDescent="0.4">
      <c r="A36" s="61" t="str">
        <f>SOLID!E51</f>
        <v>*GeSe</v>
      </c>
      <c r="B36" s="28">
        <f ca="1">SOLID!F51</f>
        <v>-39.81</v>
      </c>
      <c r="C36" s="28">
        <f ca="1">SOLID!G51</f>
        <v>-37.700000000000003</v>
      </c>
      <c r="D36" s="28">
        <f ca="1">SOLID!H51</f>
        <v>-35.879999999999995</v>
      </c>
      <c r="E36" s="28">
        <f ca="1">SOLID!I51</f>
        <v>-34.31</v>
      </c>
      <c r="F36" s="28">
        <f ca="1">SOLID!J51</f>
        <v>-32.94</v>
      </c>
      <c r="G36" s="28">
        <f ca="1">SOLID!K51</f>
        <v>-28.882999999999999</v>
      </c>
      <c r="H36" s="28">
        <f ca="1">SOLID!L51</f>
        <v>-28.120999999999999</v>
      </c>
      <c r="I36" s="28">
        <f ca="1">SOLID!M51</f>
        <v>-27.446999999999999</v>
      </c>
      <c r="J36" s="28">
        <f ca="1">SOLID!N51</f>
        <v>-26.829000000000001</v>
      </c>
      <c r="K36" s="28">
        <f ca="1">SOLID!O51</f>
        <v>-26.277999999999999</v>
      </c>
      <c r="L36" s="28">
        <f ca="1">SOLID!P51</f>
        <v>-26.64</v>
      </c>
      <c r="M36" s="28">
        <f ca="1">SOLID!Q51</f>
        <v>-26.99</v>
      </c>
      <c r="N36" s="28">
        <f ca="1">SOLID!R51</f>
        <v>-27.328999999999997</v>
      </c>
      <c r="O36" s="28">
        <f ca="1">SOLID!S51</f>
        <v>-27.669</v>
      </c>
      <c r="P36" s="28">
        <f ca="1">SOLID!T51</f>
        <v>-29.009</v>
      </c>
      <c r="Q36" s="28">
        <f ca="1">SOLID!U51</f>
        <v>-29.338999999999999</v>
      </c>
      <c r="R36" s="28">
        <f ca="1">SOLID!V51</f>
        <v>-29.657999999999998</v>
      </c>
      <c r="S36" s="28">
        <f ca="1">SOLID!W51</f>
        <v>-29.976999999999997</v>
      </c>
      <c r="T36" s="28">
        <f ca="1">SOLID!X51</f>
        <v>-30.295999999999999</v>
      </c>
      <c r="U36" s="28">
        <f ca="1">SOLID!Y51</f>
        <v>-30.614000000000001</v>
      </c>
      <c r="V36" s="28">
        <f ca="1">SOLID!Z51</f>
        <v>-30.921999999999997</v>
      </c>
      <c r="W36" s="28">
        <f ca="1">SOLID!AA51</f>
        <v>-31.23</v>
      </c>
      <c r="X36" s="28">
        <f ca="1">SOLID!AB51</f>
        <v>-31.536999999999999</v>
      </c>
      <c r="Y36" s="28">
        <f ca="1">SOLID!AC51</f>
        <v>-32.720999999999997</v>
      </c>
      <c r="Z36" s="28">
        <f ca="1">SOLID!AD51</f>
        <v>-31.536999999999999</v>
      </c>
      <c r="AA36" s="28">
        <f ca="1">SOLID!AE51</f>
        <v>-32.720999999999997</v>
      </c>
      <c r="AB36" s="28">
        <f ca="1">SOLID!AF51</f>
        <v>-33.869</v>
      </c>
      <c r="AC36" s="28">
        <f ca="1">SOLID!AG51</f>
        <v>0</v>
      </c>
      <c r="AD36" s="28">
        <f ca="1">SOLID!AH51</f>
        <v>0</v>
      </c>
      <c r="AE36" s="28">
        <f ca="1">SOLID!AI51</f>
        <v>0</v>
      </c>
      <c r="AF36" s="28">
        <f ca="1">SOLID!AJ51</f>
        <v>0</v>
      </c>
      <c r="AG36" s="28">
        <f ca="1">SOLID!AK51</f>
        <v>0</v>
      </c>
      <c r="AH36" s="28">
        <f ca="1">SOLID!AL51</f>
        <v>0</v>
      </c>
      <c r="AI36" s="28">
        <f>SOLID!AM51</f>
        <v>0</v>
      </c>
    </row>
    <row r="37" spans="1:45" ht="21.75" hidden="1" outlineLevel="1" thickBot="1" x14ac:dyDescent="0.4">
      <c r="A37" s="61" t="str">
        <f>SOLID!E52</f>
        <v>*Ga[l]</v>
      </c>
      <c r="B37" s="28">
        <f ca="1">SOLID!F52</f>
        <v>-66.459999999999994</v>
      </c>
      <c r="C37" s="28">
        <f ca="1">SOLID!G52</f>
        <v>-62.25</v>
      </c>
      <c r="D37" s="28">
        <f ca="1">SOLID!H52</f>
        <v>-58.6</v>
      </c>
      <c r="E37" s="28">
        <f ca="1">SOLID!I52</f>
        <v>-55.41</v>
      </c>
      <c r="F37" s="28">
        <f ca="1">SOLID!J52</f>
        <v>-51.62</v>
      </c>
      <c r="G37" s="28">
        <f ca="1">SOLID!K52</f>
        <v>-37.26</v>
      </c>
      <c r="H37" s="28">
        <f ca="1">SOLID!L52</f>
        <v>-34.4</v>
      </c>
      <c r="I37" s="28">
        <f ca="1">SOLID!M52</f>
        <v>-31.76</v>
      </c>
      <c r="J37" s="28">
        <f ca="1">SOLID!N52</f>
        <v>-29.31</v>
      </c>
      <c r="K37" s="28">
        <f ca="1">SOLID!O52</f>
        <v>-27.03</v>
      </c>
      <c r="L37" s="28">
        <f ca="1">SOLID!P52</f>
        <v>-24.9</v>
      </c>
      <c r="M37" s="28">
        <f ca="1">SOLID!Q52</f>
        <v>-22.91</v>
      </c>
      <c r="N37" s="28">
        <f ca="1">SOLID!R52</f>
        <v>-21.04</v>
      </c>
      <c r="O37" s="28">
        <f ca="1">SOLID!S52</f>
        <v>-19.28</v>
      </c>
      <c r="P37" s="28">
        <f ca="1">SOLID!T52</f>
        <v>-13.14</v>
      </c>
      <c r="Q37" s="28">
        <f ca="1">SOLID!U52</f>
        <v>-11.8</v>
      </c>
      <c r="R37" s="28">
        <f ca="1">SOLID!V52</f>
        <v>-10.52</v>
      </c>
      <c r="S37" s="28">
        <f ca="1">SOLID!W52</f>
        <v>-9.2940000000000005</v>
      </c>
      <c r="T37" s="28">
        <f ca="1">SOLID!X52</f>
        <v>-8.5370000000000008</v>
      </c>
      <c r="U37" s="28">
        <f ca="1">SOLID!Y52</f>
        <v>-8.0269999999999992</v>
      </c>
      <c r="V37" s="28">
        <f ca="1">SOLID!Z52</f>
        <v>-7.617</v>
      </c>
      <c r="W37" s="28">
        <f ca="1">SOLID!AA52</f>
        <v>-7.7149999999999999</v>
      </c>
      <c r="X37" s="28">
        <f ca="1">SOLID!AB52</f>
        <v>-7.8150000000000004</v>
      </c>
      <c r="Y37" s="28">
        <f ca="1">SOLID!AC52</f>
        <v>-8.2360000000000007</v>
      </c>
      <c r="Z37" s="28">
        <f ca="1">SOLID!AD52</f>
        <v>-7.8150000000000004</v>
      </c>
      <c r="AA37" s="28">
        <f ca="1">SOLID!AE52</f>
        <v>-8.2360000000000007</v>
      </c>
      <c r="AB37" s="28">
        <f ca="1">SOLID!AF52</f>
        <v>-8.7249999999999996</v>
      </c>
      <c r="AC37" s="28">
        <f ca="1">SOLID!AG52</f>
        <v>0</v>
      </c>
      <c r="AD37" s="28">
        <f ca="1">SOLID!AH52</f>
        <v>0</v>
      </c>
      <c r="AE37" s="28">
        <f ca="1">SOLID!AI52</f>
        <v>0</v>
      </c>
      <c r="AF37" s="28">
        <f ca="1">SOLID!AJ52</f>
        <v>0</v>
      </c>
      <c r="AG37" s="28">
        <f ca="1">SOLID!AK52</f>
        <v>0</v>
      </c>
      <c r="AH37" s="28">
        <f ca="1">SOLID!AL52</f>
        <v>0</v>
      </c>
      <c r="AI37" s="28">
        <f>SOLID!AM52</f>
        <v>0</v>
      </c>
    </row>
    <row r="38" spans="1:45" ht="21.75" hidden="1" outlineLevel="1" thickBot="1" x14ac:dyDescent="0.4">
      <c r="A38" s="61" t="str">
        <f>SOLID!E53</f>
        <v>*Ga2Se</v>
      </c>
      <c r="B38" s="28">
        <f ca="1">SOLID!F53</f>
        <v>-156.44</v>
      </c>
      <c r="C38" s="28">
        <f ca="1">SOLID!G53</f>
        <v>-146.68</v>
      </c>
      <c r="D38" s="28">
        <f ca="1">SOLID!H53</f>
        <v>-138.22</v>
      </c>
      <c r="E38" s="28">
        <f ca="1">SOLID!I53</f>
        <v>-130.82999999999998</v>
      </c>
      <c r="F38" s="28">
        <f ca="1">SOLID!J53</f>
        <v>-123.00999999999999</v>
      </c>
      <c r="G38" s="28">
        <f ca="1">SOLID!K53</f>
        <v>-95.49</v>
      </c>
      <c r="H38" s="28">
        <f ca="1">SOLID!L53</f>
        <v>-90.07</v>
      </c>
      <c r="I38" s="28">
        <f ca="1">SOLID!M53</f>
        <v>-85.1</v>
      </c>
      <c r="J38" s="28">
        <f ca="1">SOLID!N53</f>
        <v>-80.5</v>
      </c>
      <c r="K38" s="28">
        <f ca="1">SOLID!O53</f>
        <v>-76.240000000000009</v>
      </c>
      <c r="L38" s="28">
        <f ca="1">SOLID!P53</f>
        <v>-72.289999999999992</v>
      </c>
      <c r="M38" s="28">
        <f ca="1">SOLID!Q53</f>
        <v>-68.61</v>
      </c>
      <c r="N38" s="28">
        <f ca="1">SOLID!R53</f>
        <v>-65.16</v>
      </c>
      <c r="O38" s="28">
        <f ca="1">SOLID!S53</f>
        <v>-61.930000000000007</v>
      </c>
      <c r="P38" s="28">
        <f ca="1">SOLID!T53</f>
        <v>-50.790000000000006</v>
      </c>
      <c r="Q38" s="28">
        <f ca="1">SOLID!U53</f>
        <v>-48.39</v>
      </c>
      <c r="R38" s="28">
        <f ca="1">SOLID!V53</f>
        <v>-46.099999999999994</v>
      </c>
      <c r="S38" s="28">
        <f ca="1">SOLID!W53</f>
        <v>-43.917999999999999</v>
      </c>
      <c r="T38" s="28">
        <f ca="1">SOLID!X53</f>
        <v>-42.674000000000007</v>
      </c>
      <c r="U38" s="28">
        <f ca="1">SOLID!Y53</f>
        <v>-41.923999999999999</v>
      </c>
      <c r="V38" s="28">
        <f ca="1">SOLID!Z53</f>
        <v>-41.363999999999997</v>
      </c>
      <c r="W38" s="28">
        <f ca="1">SOLID!AA53</f>
        <v>-41.82</v>
      </c>
      <c r="X38" s="28">
        <f ca="1">SOLID!AB53</f>
        <v>-42.28</v>
      </c>
      <c r="Y38" s="28">
        <f ca="1">SOLID!AC53</f>
        <v>-44.122</v>
      </c>
      <c r="Z38" s="28">
        <f ca="1">SOLID!AD53</f>
        <v>-42.28</v>
      </c>
      <c r="AA38" s="28">
        <f ca="1">SOLID!AE53</f>
        <v>-44.122</v>
      </c>
      <c r="AB38" s="28">
        <f ca="1">SOLID!AF53</f>
        <v>-46.07</v>
      </c>
      <c r="AC38" s="28">
        <f ca="1">SOLID!AG53</f>
        <v>0</v>
      </c>
      <c r="AD38" s="28">
        <f ca="1">SOLID!AH53</f>
        <v>0</v>
      </c>
      <c r="AE38" s="28">
        <f ca="1">SOLID!AI53</f>
        <v>0</v>
      </c>
      <c r="AF38" s="28">
        <f ca="1">SOLID!AJ53</f>
        <v>0</v>
      </c>
      <c r="AG38" s="28">
        <f ca="1">SOLID!AK53</f>
        <v>0</v>
      </c>
      <c r="AH38" s="28">
        <f ca="1">SOLID!AL53</f>
        <v>0</v>
      </c>
      <c r="AI38" s="28">
        <f>SOLID!AM53</f>
        <v>0</v>
      </c>
    </row>
    <row r="39" spans="1:45" ht="21.75" hidden="1" outlineLevel="1" thickBot="1" x14ac:dyDescent="0.4">
      <c r="A39" s="61" t="str">
        <f>SOLID!E54</f>
        <v>*Ge[c]</v>
      </c>
      <c r="B39" s="28">
        <f ca="1">SOLID!F54</f>
        <v>-16.29</v>
      </c>
      <c r="C39" s="28">
        <f ca="1">SOLID!G54</f>
        <v>-15.52</v>
      </c>
      <c r="D39" s="28">
        <f ca="1">SOLID!H54</f>
        <v>-14.86</v>
      </c>
      <c r="E39" s="28">
        <f ca="1">SOLID!I54</f>
        <v>-14.3</v>
      </c>
      <c r="F39" s="28">
        <f ca="1">SOLID!J54</f>
        <v>-13.17</v>
      </c>
      <c r="G39" s="28">
        <f ca="1">SOLID!K54</f>
        <v>-7.9130000000000003</v>
      </c>
      <c r="H39" s="28">
        <f ca="1">SOLID!L54</f>
        <v>-6.851</v>
      </c>
      <c r="I39" s="28">
        <f ca="1">SOLID!M54</f>
        <v>-5.867</v>
      </c>
      <c r="J39" s="28">
        <f ca="1">SOLID!N54</f>
        <v>-4.9489999999999998</v>
      </c>
      <c r="K39" s="28">
        <f ca="1">SOLID!O54</f>
        <v>-4.0979999999999999</v>
      </c>
      <c r="L39" s="28">
        <f ca="1">SOLID!P54</f>
        <v>-4.1500000000000004</v>
      </c>
      <c r="M39" s="28">
        <f ca="1">SOLID!Q54</f>
        <v>-4.2</v>
      </c>
      <c r="N39" s="28">
        <f ca="1">SOLID!R54</f>
        <v>-4.2489999999999997</v>
      </c>
      <c r="O39" s="28">
        <f ca="1">SOLID!S54</f>
        <v>-4.2990000000000004</v>
      </c>
      <c r="P39" s="28">
        <f ca="1">SOLID!T54</f>
        <v>-4.4989999999999997</v>
      </c>
      <c r="Q39" s="28">
        <f ca="1">SOLID!U54</f>
        <v>-4.5490000000000004</v>
      </c>
      <c r="R39" s="28">
        <f ca="1">SOLID!V54</f>
        <v>-4.5979999999999999</v>
      </c>
      <c r="S39" s="28">
        <f ca="1">SOLID!W54</f>
        <v>-4.6470000000000002</v>
      </c>
      <c r="T39" s="28">
        <f ca="1">SOLID!X54</f>
        <v>-4.6959999999999997</v>
      </c>
      <c r="U39" s="28">
        <f ca="1">SOLID!Y54</f>
        <v>-4.7439999999999998</v>
      </c>
      <c r="V39" s="28">
        <f ca="1">SOLID!Z54</f>
        <v>-4.7919999999999998</v>
      </c>
      <c r="W39" s="28">
        <f ca="1">SOLID!AA54</f>
        <v>-4.84</v>
      </c>
      <c r="X39" s="28">
        <f ca="1">SOLID!AB54</f>
        <v>-4.8869999999999996</v>
      </c>
      <c r="Y39" s="28">
        <f ca="1">SOLID!AC54</f>
        <v>-5.0709999999999997</v>
      </c>
      <c r="Z39" s="28">
        <f ca="1">SOLID!AD54</f>
        <v>-4.8869999999999996</v>
      </c>
      <c r="AA39" s="28">
        <f ca="1">SOLID!AE54</f>
        <v>-5.0709999999999997</v>
      </c>
      <c r="AB39" s="28">
        <f ca="1">SOLID!AF54</f>
        <v>-5.2489999999999997</v>
      </c>
      <c r="AC39" s="28">
        <f ca="1">SOLID!AG54</f>
        <v>0</v>
      </c>
      <c r="AD39" s="28">
        <f ca="1">SOLID!AH54</f>
        <v>0</v>
      </c>
      <c r="AE39" s="28">
        <f ca="1">SOLID!AI54</f>
        <v>0</v>
      </c>
      <c r="AF39" s="28">
        <f ca="1">SOLID!AJ54</f>
        <v>0</v>
      </c>
      <c r="AG39" s="28">
        <f ca="1">SOLID!AK54</f>
        <v>0</v>
      </c>
      <c r="AH39" s="28">
        <f ca="1">SOLID!AL54</f>
        <v>0</v>
      </c>
      <c r="AI39" s="28">
        <f>SOLID!AM54</f>
        <v>0</v>
      </c>
    </row>
    <row r="40" spans="1:45" ht="21.75" hidden="1" outlineLevel="1" thickBot="1" x14ac:dyDescent="0.4">
      <c r="A40" s="61" t="str">
        <f>SOLID!E55</f>
        <v>*Se[m]</v>
      </c>
      <c r="B40" s="28">
        <f ca="1">SOLID!F55</f>
        <v>-23.52</v>
      </c>
      <c r="C40" s="28">
        <f ca="1">SOLID!G55</f>
        <v>-22.18</v>
      </c>
      <c r="D40" s="28">
        <f ca="1">SOLID!H55</f>
        <v>-21.02</v>
      </c>
      <c r="E40" s="28">
        <f ca="1">SOLID!I55</f>
        <v>-20.010000000000002</v>
      </c>
      <c r="F40" s="28">
        <f ca="1">SOLID!J55</f>
        <v>-19.77</v>
      </c>
      <c r="G40" s="28">
        <f ca="1">SOLID!K55</f>
        <v>-20.97</v>
      </c>
      <c r="H40" s="28">
        <f ca="1">SOLID!L55</f>
        <v>-21.27</v>
      </c>
      <c r="I40" s="28">
        <f ca="1">SOLID!M55</f>
        <v>-21.58</v>
      </c>
      <c r="J40" s="28">
        <f ca="1">SOLID!N55</f>
        <v>-21.88</v>
      </c>
      <c r="K40" s="28">
        <f ca="1">SOLID!O55</f>
        <v>-22.18</v>
      </c>
      <c r="L40" s="28">
        <f ca="1">SOLID!P55</f>
        <v>-22.49</v>
      </c>
      <c r="M40" s="28">
        <f ca="1">SOLID!Q55</f>
        <v>-22.79</v>
      </c>
      <c r="N40" s="28">
        <f ca="1">SOLID!R55</f>
        <v>-23.08</v>
      </c>
      <c r="O40" s="28">
        <f ca="1">SOLID!S55</f>
        <v>-23.37</v>
      </c>
      <c r="P40" s="28">
        <f ca="1">SOLID!T55</f>
        <v>-24.51</v>
      </c>
      <c r="Q40" s="28">
        <f ca="1">SOLID!U55</f>
        <v>-24.79</v>
      </c>
      <c r="R40" s="28">
        <f ca="1">SOLID!V55</f>
        <v>-25.06</v>
      </c>
      <c r="S40" s="28">
        <f ca="1">SOLID!W55</f>
        <v>-25.33</v>
      </c>
      <c r="T40" s="28">
        <f ca="1">SOLID!X55</f>
        <v>-25.6</v>
      </c>
      <c r="U40" s="28">
        <f ca="1">SOLID!Y55</f>
        <v>-25.87</v>
      </c>
      <c r="V40" s="28">
        <f ca="1">SOLID!Z55</f>
        <v>-26.13</v>
      </c>
      <c r="W40" s="28">
        <f ca="1">SOLID!AA55</f>
        <v>-26.39</v>
      </c>
      <c r="X40" s="28">
        <f ca="1">SOLID!AB55</f>
        <v>-26.65</v>
      </c>
      <c r="Y40" s="28">
        <f ca="1">SOLID!AC55</f>
        <v>-27.65</v>
      </c>
      <c r="Z40" s="28">
        <f ca="1">SOLID!AD55</f>
        <v>-26.65</v>
      </c>
      <c r="AA40" s="28">
        <f ca="1">SOLID!AE55</f>
        <v>-27.65</v>
      </c>
      <c r="AB40" s="28">
        <f ca="1">SOLID!AF55</f>
        <v>-28.62</v>
      </c>
      <c r="AC40" s="28">
        <f ca="1">SOLID!AG55</f>
        <v>0</v>
      </c>
      <c r="AD40" s="28">
        <f ca="1">SOLID!AH55</f>
        <v>0</v>
      </c>
      <c r="AE40" s="28">
        <f ca="1">SOLID!AI55</f>
        <v>0</v>
      </c>
      <c r="AF40" s="28">
        <f ca="1">SOLID!AJ55</f>
        <v>0</v>
      </c>
      <c r="AG40" s="28">
        <f ca="1">SOLID!AK55</f>
        <v>0</v>
      </c>
      <c r="AH40" s="28">
        <f ca="1">SOLID!AL55</f>
        <v>0</v>
      </c>
      <c r="AI40" s="28">
        <f>SOLID!AM55</f>
        <v>0</v>
      </c>
    </row>
    <row r="41" spans="1:45" ht="21.75" hidden="1" outlineLevel="1" thickBot="1" x14ac:dyDescent="0.4">
      <c r="A41" s="61" t="str">
        <f>SOLID!E56</f>
        <v>*GeSe2</v>
      </c>
      <c r="B41" s="28">
        <f ca="1">SOLID!F56</f>
        <v>-63.33</v>
      </c>
      <c r="C41" s="28">
        <f ca="1">SOLID!G56</f>
        <v>-59.879999999999995</v>
      </c>
      <c r="D41" s="28">
        <f ca="1">SOLID!H56</f>
        <v>-56.9</v>
      </c>
      <c r="E41" s="28">
        <f ca="1">SOLID!I56</f>
        <v>-54.320000000000007</v>
      </c>
      <c r="F41" s="28">
        <f ca="1">SOLID!J56</f>
        <v>-52.71</v>
      </c>
      <c r="G41" s="28">
        <f ca="1">SOLID!K56</f>
        <v>-49.852999999999994</v>
      </c>
      <c r="H41" s="28">
        <f ca="1">SOLID!L56</f>
        <v>-49.390999999999998</v>
      </c>
      <c r="I41" s="28">
        <f ca="1">SOLID!M56</f>
        <v>-49.026999999999994</v>
      </c>
      <c r="J41" s="28">
        <f ca="1">SOLID!N56</f>
        <v>-48.708999999999996</v>
      </c>
      <c r="K41" s="28">
        <f ca="1">SOLID!O56</f>
        <v>-48.457999999999998</v>
      </c>
      <c r="L41" s="28">
        <f ca="1">SOLID!P56</f>
        <v>-49.129999999999995</v>
      </c>
      <c r="M41" s="28">
        <f ca="1">SOLID!Q56</f>
        <v>-49.78</v>
      </c>
      <c r="N41" s="28">
        <f ca="1">SOLID!R56</f>
        <v>-50.408999999999999</v>
      </c>
      <c r="O41" s="28">
        <f ca="1">SOLID!S56</f>
        <v>-51.039000000000001</v>
      </c>
      <c r="P41" s="28">
        <f ca="1">SOLID!T56</f>
        <v>-53.519000000000005</v>
      </c>
      <c r="Q41" s="28">
        <f ca="1">SOLID!U56</f>
        <v>-54.128999999999998</v>
      </c>
      <c r="R41" s="28">
        <f ca="1">SOLID!V56</f>
        <v>-54.717999999999996</v>
      </c>
      <c r="S41" s="28">
        <f ca="1">SOLID!W56</f>
        <v>-55.306999999999995</v>
      </c>
      <c r="T41" s="28">
        <f ca="1">SOLID!X56</f>
        <v>-55.896000000000001</v>
      </c>
      <c r="U41" s="28">
        <f ca="1">SOLID!Y56</f>
        <v>-56.484000000000002</v>
      </c>
      <c r="V41" s="28">
        <f ca="1">SOLID!Z56</f>
        <v>-57.052</v>
      </c>
      <c r="W41" s="28">
        <f ca="1">SOLID!AA56</f>
        <v>-57.620000000000005</v>
      </c>
      <c r="X41" s="28">
        <f ca="1">SOLID!AB56</f>
        <v>-58.186999999999998</v>
      </c>
      <c r="Y41" s="28">
        <f ca="1">SOLID!AC56</f>
        <v>-60.370999999999995</v>
      </c>
      <c r="Z41" s="28">
        <f ca="1">SOLID!AD56</f>
        <v>-58.186999999999998</v>
      </c>
      <c r="AA41" s="28">
        <f ca="1">SOLID!AE56</f>
        <v>-60.370999999999995</v>
      </c>
      <c r="AB41" s="28">
        <f ca="1">SOLID!AF56</f>
        <v>-62.489000000000004</v>
      </c>
      <c r="AC41" s="28">
        <f ca="1">SOLID!AG56</f>
        <v>0</v>
      </c>
      <c r="AD41" s="28">
        <f ca="1">SOLID!AH56</f>
        <v>0</v>
      </c>
      <c r="AE41" s="28">
        <f ca="1">SOLID!AI56</f>
        <v>0</v>
      </c>
      <c r="AF41" s="28">
        <f ca="1">SOLID!AJ56</f>
        <v>0</v>
      </c>
      <c r="AG41" s="28">
        <f ca="1">SOLID!AK56</f>
        <v>0</v>
      </c>
      <c r="AH41" s="28">
        <f ca="1">SOLID!AL56</f>
        <v>0</v>
      </c>
      <c r="AI41" s="28">
        <f>SOLID!AM56</f>
        <v>0</v>
      </c>
    </row>
    <row r="42" spans="1:45" ht="21.75" hidden="1" outlineLevel="1" thickBot="1" x14ac:dyDescent="0.4">
      <c r="A42" s="61" t="str">
        <f>SOLID!E57</f>
        <v>Ga2Se3</v>
      </c>
      <c r="B42" s="28">
        <f ca="1">SOLID!F57</f>
        <v>-203.48</v>
      </c>
      <c r="C42" s="28">
        <f ca="1">SOLID!G57</f>
        <v>-191.04</v>
      </c>
      <c r="D42" s="28">
        <f ca="1">SOLID!H57</f>
        <v>-180.26</v>
      </c>
      <c r="E42" s="28">
        <f ca="1">SOLID!I57</f>
        <v>-170.85</v>
      </c>
      <c r="F42" s="28">
        <f ca="1">SOLID!J57</f>
        <v>-162.55000000000001</v>
      </c>
      <c r="G42" s="28">
        <f ca="1">SOLID!K57</f>
        <v>-137.43</v>
      </c>
      <c r="H42" s="28">
        <f ca="1">SOLID!L57</f>
        <v>-132.61000000000001</v>
      </c>
      <c r="I42" s="28">
        <f ca="1">SOLID!M57</f>
        <v>-128.26</v>
      </c>
      <c r="J42" s="28">
        <f ca="1">SOLID!N57</f>
        <v>-124.25999999999999</v>
      </c>
      <c r="K42" s="28">
        <f ca="1">SOLID!O57</f>
        <v>-120.6</v>
      </c>
      <c r="L42" s="28">
        <f ca="1">SOLID!P57</f>
        <v>-117.27</v>
      </c>
      <c r="M42" s="28">
        <f ca="1">SOLID!Q57</f>
        <v>-114.19</v>
      </c>
      <c r="N42" s="28">
        <f ca="1">SOLID!R57</f>
        <v>-111.32</v>
      </c>
      <c r="O42" s="28">
        <f ca="1">SOLID!S57</f>
        <v>-108.67</v>
      </c>
      <c r="P42" s="28">
        <f ca="1">SOLID!T57</f>
        <v>-99.81</v>
      </c>
      <c r="Q42" s="28">
        <f ca="1">SOLID!U57</f>
        <v>-97.97</v>
      </c>
      <c r="R42" s="28">
        <f ca="1">SOLID!V57</f>
        <v>-96.22</v>
      </c>
      <c r="S42" s="28">
        <f ca="1">SOLID!W57</f>
        <v>-94.578000000000003</v>
      </c>
      <c r="T42" s="28">
        <f ca="1">SOLID!X57</f>
        <v>-93.874000000000009</v>
      </c>
      <c r="U42" s="28">
        <f ca="1">SOLID!Y57</f>
        <v>-93.664000000000001</v>
      </c>
      <c r="V42" s="28">
        <f ca="1">SOLID!Z57</f>
        <v>-93.623999999999995</v>
      </c>
      <c r="W42" s="28">
        <f ca="1">SOLID!AA57</f>
        <v>-94.6</v>
      </c>
      <c r="X42" s="28">
        <f ca="1">SOLID!AB57</f>
        <v>-95.579999999999984</v>
      </c>
      <c r="Y42" s="28">
        <f ca="1">SOLID!AC57</f>
        <v>-99.421999999999997</v>
      </c>
      <c r="Z42" s="28">
        <f ca="1">SOLID!AD57</f>
        <v>-95.579999999999984</v>
      </c>
      <c r="AA42" s="28">
        <f ca="1">SOLID!AE57</f>
        <v>-99.421999999999997</v>
      </c>
      <c r="AB42" s="28">
        <f ca="1">SOLID!AF57</f>
        <v>-103.31</v>
      </c>
      <c r="AC42" s="28">
        <f ca="1">SOLID!AG57</f>
        <v>0</v>
      </c>
      <c r="AD42" s="28">
        <f ca="1">SOLID!AH57</f>
        <v>0</v>
      </c>
      <c r="AE42" s="28">
        <f ca="1">SOLID!AI57</f>
        <v>0</v>
      </c>
      <c r="AF42" s="28">
        <f ca="1">SOLID!AJ57</f>
        <v>0</v>
      </c>
      <c r="AG42" s="28">
        <f ca="1">SOLID!AK57</f>
        <v>0</v>
      </c>
      <c r="AH42" s="28">
        <f ca="1">SOLID!AL57</f>
        <v>0</v>
      </c>
      <c r="AI42" s="28">
        <f>SOLID!AM57</f>
        <v>0</v>
      </c>
    </row>
    <row r="43" spans="1:45" ht="21.75" hidden="1" outlineLevel="1" thickBot="1" x14ac:dyDescent="0.4">
      <c r="A43" s="61" t="str">
        <f>SOLID!E58</f>
        <v>Ga2Se</v>
      </c>
      <c r="B43" s="28">
        <f ca="1">SOLID!F58</f>
        <v>-156.44</v>
      </c>
      <c r="C43" s="28">
        <f ca="1">SOLID!G58</f>
        <v>-146.68</v>
      </c>
      <c r="D43" s="28">
        <f ca="1">SOLID!H58</f>
        <v>-138.22</v>
      </c>
      <c r="E43" s="28">
        <f ca="1">SOLID!I58</f>
        <v>-130.82999999999998</v>
      </c>
      <c r="F43" s="28">
        <f ca="1">SOLID!J58</f>
        <v>-123.00999999999999</v>
      </c>
      <c r="G43" s="28">
        <f ca="1">SOLID!K58</f>
        <v>-95.49</v>
      </c>
      <c r="H43" s="28">
        <f ca="1">SOLID!L58</f>
        <v>-90.07</v>
      </c>
      <c r="I43" s="28">
        <f ca="1">SOLID!M58</f>
        <v>-85.1</v>
      </c>
      <c r="J43" s="28">
        <f ca="1">SOLID!N58</f>
        <v>-80.5</v>
      </c>
      <c r="K43" s="28">
        <f ca="1">SOLID!O58</f>
        <v>-76.240000000000009</v>
      </c>
      <c r="L43" s="28">
        <f ca="1">SOLID!P58</f>
        <v>-72.289999999999992</v>
      </c>
      <c r="M43" s="28">
        <f ca="1">SOLID!Q58</f>
        <v>-68.61</v>
      </c>
      <c r="N43" s="28">
        <f ca="1">SOLID!R58</f>
        <v>-65.16</v>
      </c>
      <c r="O43" s="28">
        <f ca="1">SOLID!S58</f>
        <v>-61.930000000000007</v>
      </c>
      <c r="P43" s="28">
        <f ca="1">SOLID!T58</f>
        <v>-50.790000000000006</v>
      </c>
      <c r="Q43" s="28">
        <f ca="1">SOLID!U58</f>
        <v>-48.39</v>
      </c>
      <c r="R43" s="28">
        <f ca="1">SOLID!V58</f>
        <v>-46.099999999999994</v>
      </c>
      <c r="S43" s="28">
        <f ca="1">SOLID!W58</f>
        <v>-43.917999999999999</v>
      </c>
      <c r="T43" s="28">
        <f ca="1">SOLID!X58</f>
        <v>-42.674000000000007</v>
      </c>
      <c r="U43" s="28">
        <f ca="1">SOLID!Y58</f>
        <v>-41.923999999999999</v>
      </c>
      <c r="V43" s="28">
        <f ca="1">SOLID!Z58</f>
        <v>-41.363999999999997</v>
      </c>
      <c r="W43" s="28">
        <f ca="1">SOLID!AA58</f>
        <v>-41.82</v>
      </c>
      <c r="X43" s="28">
        <f ca="1">SOLID!AB58</f>
        <v>-42.28</v>
      </c>
      <c r="Y43" s="28">
        <f ca="1">SOLID!AC58</f>
        <v>-44.122</v>
      </c>
      <c r="Z43" s="28">
        <f ca="1">SOLID!AD58</f>
        <v>-42.28</v>
      </c>
      <c r="AA43" s="28">
        <f ca="1">SOLID!AE58</f>
        <v>-44.122</v>
      </c>
      <c r="AB43" s="28">
        <f ca="1">SOLID!AF58</f>
        <v>-46.07</v>
      </c>
      <c r="AC43" s="28">
        <f ca="1">SOLID!AG58</f>
        <v>0</v>
      </c>
      <c r="AD43" s="28">
        <f ca="1">SOLID!AH58</f>
        <v>0</v>
      </c>
      <c r="AE43" s="28">
        <f ca="1">SOLID!AI58</f>
        <v>0</v>
      </c>
      <c r="AF43" s="28">
        <f ca="1">SOLID!AJ58</f>
        <v>0</v>
      </c>
      <c r="AG43" s="28">
        <f ca="1">SOLID!AK58</f>
        <v>0</v>
      </c>
      <c r="AH43" s="28">
        <f ca="1">SOLID!AL58</f>
        <v>0</v>
      </c>
      <c r="AI43" s="28">
        <f>SOLID!AM58</f>
        <v>0</v>
      </c>
    </row>
    <row r="44" spans="1:45" ht="21.75" hidden="1" outlineLevel="1" thickBot="1" x14ac:dyDescent="0.4">
      <c r="A44" s="61" t="str">
        <f>SOLID!E59</f>
        <v>Ar</v>
      </c>
      <c r="B44" s="28">
        <f ca="1">SOLID!F59</f>
        <v>-18.8</v>
      </c>
      <c r="C44" s="28">
        <f ca="1">SOLID!G59</f>
        <v>-18.79</v>
      </c>
      <c r="D44" s="28">
        <f ca="1">SOLID!H59</f>
        <v>-18.8</v>
      </c>
      <c r="E44" s="28">
        <f ca="1">SOLID!I59</f>
        <v>-18.809999999999999</v>
      </c>
      <c r="F44" s="28">
        <f ca="1">SOLID!J59</f>
        <v>-18.829999999999998</v>
      </c>
      <c r="G44" s="28">
        <f ca="1">SOLID!K59</f>
        <v>-18.95</v>
      </c>
      <c r="H44" s="28">
        <f ca="1">SOLID!L59</f>
        <v>-18.989999999999998</v>
      </c>
      <c r="I44" s="28">
        <f ca="1">SOLID!M59</f>
        <v>-19.03</v>
      </c>
      <c r="J44" s="28">
        <f ca="1">SOLID!N59</f>
        <v>-19.07</v>
      </c>
      <c r="K44" s="28">
        <f ca="1">SOLID!O59</f>
        <v>-19.11</v>
      </c>
      <c r="L44" s="28">
        <f ca="1">SOLID!P59</f>
        <v>-19.149999999999999</v>
      </c>
      <c r="M44" s="28">
        <f ca="1">SOLID!Q59</f>
        <v>-19.190000000000001</v>
      </c>
      <c r="N44" s="28">
        <f ca="1">SOLID!R59</f>
        <v>-19.23</v>
      </c>
      <c r="O44" s="28">
        <f ca="1">SOLID!S59</f>
        <v>-19.28</v>
      </c>
      <c r="P44" s="28">
        <f ca="1">SOLID!T59</f>
        <v>-19.440000000000001</v>
      </c>
      <c r="Q44" s="28">
        <f ca="1">SOLID!U59</f>
        <v>-19.489999999999998</v>
      </c>
      <c r="R44" s="28">
        <f ca="1">SOLID!V59</f>
        <v>-19.53</v>
      </c>
      <c r="S44" s="28">
        <f ca="1">SOLID!W59</f>
        <v>-19.57</v>
      </c>
      <c r="T44" s="28">
        <f ca="1">SOLID!X59</f>
        <v>-19.5</v>
      </c>
      <c r="U44" s="28">
        <f ca="1">SOLID!Y59</f>
        <v>-19.489999999999998</v>
      </c>
      <c r="V44" s="28">
        <f ca="1">SOLID!Z59</f>
        <v>-19.510000000000002</v>
      </c>
      <c r="W44" s="28">
        <f ca="1">SOLID!AA59</f>
        <v>-19.55</v>
      </c>
      <c r="X44" s="28">
        <f ca="1">SOLID!AB59</f>
        <v>-19.59</v>
      </c>
      <c r="Y44" s="28">
        <f ca="1">SOLID!AC59</f>
        <v>-19.739999999999998</v>
      </c>
      <c r="Z44" s="28">
        <f ca="1">SOLID!AD59</f>
        <v>-19.59</v>
      </c>
      <c r="AA44" s="28">
        <f ca="1">SOLID!AE59</f>
        <v>-19.739999999999998</v>
      </c>
      <c r="AB44" s="28">
        <f ca="1">SOLID!AF59</f>
        <v>-19.88</v>
      </c>
      <c r="AC44" s="28">
        <f ca="1">SOLID!AG59</f>
        <v>0</v>
      </c>
      <c r="AD44" s="28">
        <f ca="1">SOLID!AH59</f>
        <v>0</v>
      </c>
      <c r="AE44" s="28">
        <f ca="1">SOLID!AI59</f>
        <v>0</v>
      </c>
      <c r="AF44" s="28">
        <f ca="1">SOLID!AJ59</f>
        <v>0</v>
      </c>
      <c r="AG44" s="28">
        <f ca="1">SOLID!AK59</f>
        <v>0</v>
      </c>
      <c r="AH44" s="28">
        <f ca="1">SOLID!AL59</f>
        <v>0</v>
      </c>
      <c r="AI44" s="28">
        <f>SOLID!AM59</f>
        <v>0</v>
      </c>
    </row>
    <row r="45" spans="1:45" ht="21.75" hidden="1" outlineLevel="1" thickBot="1" x14ac:dyDescent="0.4">
      <c r="A45" s="61" t="str">
        <f>SOLID!E60</f>
        <v>(1)Ga[l]</v>
      </c>
      <c r="B45" s="28">
        <f ca="1">SOLID!F60</f>
        <v>-66.459999999999994</v>
      </c>
      <c r="C45" s="28">
        <f ca="1">SOLID!G60</f>
        <v>-62.25</v>
      </c>
      <c r="D45" s="28">
        <f ca="1">SOLID!H60</f>
        <v>-58.6</v>
      </c>
      <c r="E45" s="28">
        <f ca="1">SOLID!I60</f>
        <v>-55.41</v>
      </c>
      <c r="F45" s="28">
        <f ca="1">SOLID!J60</f>
        <v>-51.62</v>
      </c>
      <c r="G45" s="28">
        <f ca="1">SOLID!K60</f>
        <v>-37.26</v>
      </c>
      <c r="H45" s="28">
        <f ca="1">SOLID!L60</f>
        <v>-34.4</v>
      </c>
      <c r="I45" s="28">
        <f ca="1">SOLID!M60</f>
        <v>-31.76</v>
      </c>
      <c r="J45" s="28">
        <f ca="1">SOLID!N60</f>
        <v>-29.31</v>
      </c>
      <c r="K45" s="28">
        <f ca="1">SOLID!O60</f>
        <v>-27.03</v>
      </c>
      <c r="L45" s="28">
        <f ca="1">SOLID!P60</f>
        <v>-24.9</v>
      </c>
      <c r="M45" s="28">
        <f ca="1">SOLID!Q60</f>
        <v>-22.91</v>
      </c>
      <c r="N45" s="28">
        <f ca="1">SOLID!R60</f>
        <v>-21.04</v>
      </c>
      <c r="O45" s="28">
        <f ca="1">SOLID!S60</f>
        <v>-19.28</v>
      </c>
      <c r="P45" s="28">
        <f ca="1">SOLID!T60</f>
        <v>-13.14</v>
      </c>
      <c r="Q45" s="28">
        <f ca="1">SOLID!U60</f>
        <v>-11.8</v>
      </c>
      <c r="R45" s="28">
        <f ca="1">SOLID!V60</f>
        <v>-10.52</v>
      </c>
      <c r="S45" s="28">
        <f ca="1">SOLID!W60</f>
        <v>-9.2940000000000005</v>
      </c>
      <c r="T45" s="28">
        <f ca="1">SOLID!X60</f>
        <v>-8.5370000000000008</v>
      </c>
      <c r="U45" s="28">
        <f ca="1">SOLID!Y60</f>
        <v>-8.0269999999999992</v>
      </c>
      <c r="V45" s="28">
        <f ca="1">SOLID!Z60</f>
        <v>-7.617</v>
      </c>
      <c r="W45" s="28">
        <f ca="1">SOLID!AA60</f>
        <v>-7.7149999999999999</v>
      </c>
      <c r="X45" s="28">
        <f ca="1">SOLID!AB60</f>
        <v>-7.8150000000000004</v>
      </c>
      <c r="Y45" s="28">
        <f ca="1">SOLID!AC60</f>
        <v>-8.2360000000000007</v>
      </c>
      <c r="Z45" s="28">
        <f ca="1">SOLID!AD60</f>
        <v>-7.8150000000000004</v>
      </c>
      <c r="AA45" s="28">
        <f ca="1">SOLID!AE60</f>
        <v>-8.2360000000000007</v>
      </c>
      <c r="AB45" s="28">
        <f ca="1">SOLID!AF60</f>
        <v>-8.7249999999999996</v>
      </c>
      <c r="AC45" s="28">
        <f ca="1">SOLID!AG60</f>
        <v>0</v>
      </c>
      <c r="AD45" s="28">
        <f ca="1">SOLID!AH60</f>
        <v>0</v>
      </c>
      <c r="AE45" s="28">
        <f ca="1">SOLID!AI60</f>
        <v>0</v>
      </c>
      <c r="AF45" s="28">
        <f ca="1">SOLID!AJ60</f>
        <v>0</v>
      </c>
      <c r="AG45" s="28">
        <f ca="1">SOLID!AK60</f>
        <v>0</v>
      </c>
      <c r="AH45" s="28">
        <f ca="1">SOLID!AL60</f>
        <v>0</v>
      </c>
      <c r="AI45" s="28">
        <f>SOLID!AM60</f>
        <v>0</v>
      </c>
    </row>
    <row r="46" spans="1:45" ht="21.75" hidden="1" outlineLevel="1" thickBot="1" x14ac:dyDescent="0.4">
      <c r="A46" s="61" t="str">
        <f>SOLID!E61</f>
        <v>(1)Ge[l]</v>
      </c>
      <c r="B46" s="28">
        <f ca="1">SOLID!F61</f>
        <v>-16.29</v>
      </c>
      <c r="C46" s="28">
        <f ca="1">SOLID!G61</f>
        <v>-15.52</v>
      </c>
      <c r="D46" s="28">
        <f ca="1">SOLID!H61</f>
        <v>-14.86</v>
      </c>
      <c r="E46" s="28">
        <f ca="1">SOLID!I61</f>
        <v>-14.3</v>
      </c>
      <c r="F46" s="28">
        <f ca="1">SOLID!J61</f>
        <v>-13.17</v>
      </c>
      <c r="G46" s="28">
        <f ca="1">SOLID!K61</f>
        <v>-7.9130000000000003</v>
      </c>
      <c r="H46" s="28">
        <f ca="1">SOLID!L61</f>
        <v>-6.851</v>
      </c>
      <c r="I46" s="28">
        <f ca="1">SOLID!M61</f>
        <v>-5.867</v>
      </c>
      <c r="J46" s="28">
        <f ca="1">SOLID!N61</f>
        <v>-4.9489999999999998</v>
      </c>
      <c r="K46" s="28">
        <f ca="1">SOLID!O61</f>
        <v>-4.0979999999999999</v>
      </c>
      <c r="L46" s="28">
        <f ca="1">SOLID!P61</f>
        <v>-4.1500000000000004</v>
      </c>
      <c r="M46" s="28">
        <f ca="1">SOLID!Q61</f>
        <v>-4.2</v>
      </c>
      <c r="N46" s="28">
        <f ca="1">SOLID!R61</f>
        <v>-4.2489999999999997</v>
      </c>
      <c r="O46" s="28">
        <f ca="1">SOLID!S61</f>
        <v>-4.2990000000000004</v>
      </c>
      <c r="P46" s="28">
        <f ca="1">SOLID!T61</f>
        <v>-4.4989999999999997</v>
      </c>
      <c r="Q46" s="28">
        <f ca="1">SOLID!U61</f>
        <v>-4.5490000000000004</v>
      </c>
      <c r="R46" s="28">
        <f ca="1">SOLID!V61</f>
        <v>-4.5979999999999999</v>
      </c>
      <c r="S46" s="28">
        <f ca="1">SOLID!W61</f>
        <v>-4.6470000000000002</v>
      </c>
      <c r="T46" s="28">
        <f ca="1">SOLID!X61</f>
        <v>-4.6959999999999997</v>
      </c>
      <c r="U46" s="28">
        <f ca="1">SOLID!Y61</f>
        <v>-4.7439999999999998</v>
      </c>
      <c r="V46" s="28">
        <f ca="1">SOLID!Z61</f>
        <v>-4.7919999999999998</v>
      </c>
      <c r="W46" s="28">
        <f ca="1">SOLID!AA61</f>
        <v>-4.84</v>
      </c>
      <c r="X46" s="28">
        <f ca="1">SOLID!AB61</f>
        <v>-4.8869999999999996</v>
      </c>
      <c r="Y46" s="28">
        <f ca="1">SOLID!AC61</f>
        <v>-5.0709999999999997</v>
      </c>
      <c r="Z46" s="28">
        <f ca="1">SOLID!AD61</f>
        <v>-4.8869999999999996</v>
      </c>
      <c r="AA46" s="28">
        <f ca="1">SOLID!AE61</f>
        <v>-5.0709999999999997</v>
      </c>
      <c r="AB46" s="28">
        <f ca="1">SOLID!AF61</f>
        <v>-5.2489999999999997</v>
      </c>
      <c r="AC46" s="28">
        <f ca="1">SOLID!AG61</f>
        <v>0</v>
      </c>
      <c r="AD46" s="28">
        <f ca="1">SOLID!AH61</f>
        <v>0</v>
      </c>
      <c r="AE46" s="28">
        <f ca="1">SOLID!AI61</f>
        <v>0</v>
      </c>
      <c r="AF46" s="28">
        <f ca="1">SOLID!AJ61</f>
        <v>0</v>
      </c>
      <c r="AG46" s="28">
        <f ca="1">SOLID!AK61</f>
        <v>0</v>
      </c>
      <c r="AH46" s="28">
        <f ca="1">SOLID!AL61</f>
        <v>0</v>
      </c>
      <c r="AI46" s="28">
        <f>SOLID!AM61</f>
        <v>0</v>
      </c>
    </row>
    <row r="47" spans="1:45" ht="21.75" hidden="1" outlineLevel="1" thickBot="1" x14ac:dyDescent="0.4">
      <c r="A47" s="61" t="str">
        <f>SOLID!E62</f>
        <v>H (Ar)</v>
      </c>
      <c r="B47" s="28">
        <f ca="1">SOLID!F62</f>
        <v>-18.8</v>
      </c>
      <c r="C47" s="28">
        <f ca="1">SOLID!G62</f>
        <v>-18.79</v>
      </c>
      <c r="D47" s="28">
        <f ca="1">SOLID!H62</f>
        <v>-18.8</v>
      </c>
      <c r="E47" s="28">
        <f ca="1">SOLID!I62</f>
        <v>-18.809999999999999</v>
      </c>
      <c r="F47" s="28">
        <f ca="1">SOLID!J62</f>
        <v>-18.829999999999998</v>
      </c>
      <c r="G47" s="28">
        <f ca="1">SOLID!K62</f>
        <v>-18.95</v>
      </c>
      <c r="H47" s="28">
        <f ca="1">SOLID!L62</f>
        <v>-18.989999999999998</v>
      </c>
      <c r="I47" s="28">
        <f ca="1">SOLID!M62</f>
        <v>-19.03</v>
      </c>
      <c r="J47" s="28">
        <f ca="1">SOLID!N62</f>
        <v>-19.07</v>
      </c>
      <c r="K47" s="28">
        <f ca="1">SOLID!O62</f>
        <v>-19.11</v>
      </c>
      <c r="L47" s="28">
        <f ca="1">SOLID!P62</f>
        <v>-19.149999999999999</v>
      </c>
      <c r="M47" s="28">
        <f ca="1">SOLID!Q62</f>
        <v>-19.190000000000001</v>
      </c>
      <c r="N47" s="28">
        <f ca="1">SOLID!R62</f>
        <v>-19.23</v>
      </c>
      <c r="O47" s="28">
        <f ca="1">SOLID!S62</f>
        <v>-19.28</v>
      </c>
      <c r="P47" s="28">
        <f ca="1">SOLID!T62</f>
        <v>-19.440000000000001</v>
      </c>
      <c r="Q47" s="28">
        <f ca="1">SOLID!U62</f>
        <v>-19.489999999999998</v>
      </c>
      <c r="R47" s="28">
        <f ca="1">SOLID!V62</f>
        <v>-19.53</v>
      </c>
      <c r="S47" s="28">
        <f ca="1">SOLID!W62</f>
        <v>-19.57</v>
      </c>
      <c r="T47" s="28">
        <f ca="1">SOLID!X62</f>
        <v>-19.5</v>
      </c>
      <c r="U47" s="28">
        <f ca="1">SOLID!Y62</f>
        <v>-19.489999999999998</v>
      </c>
      <c r="V47" s="28">
        <f ca="1">SOLID!Z62</f>
        <v>-19.510000000000002</v>
      </c>
      <c r="W47" s="28">
        <f ca="1">SOLID!AA62</f>
        <v>-19.55</v>
      </c>
      <c r="X47" s="28">
        <f ca="1">SOLID!AB62</f>
        <v>-19.59</v>
      </c>
      <c r="Y47" s="28">
        <f ca="1">SOLID!AC62</f>
        <v>-19.739999999999998</v>
      </c>
      <c r="Z47" s="28">
        <f ca="1">SOLID!AD62</f>
        <v>-19.59</v>
      </c>
      <c r="AA47" s="28">
        <f ca="1">SOLID!AE62</f>
        <v>-19.739999999999998</v>
      </c>
      <c r="AB47" s="28">
        <f ca="1">SOLID!AF62</f>
        <v>-19.88</v>
      </c>
      <c r="AC47" s="28">
        <f ca="1">SOLID!AG62</f>
        <v>0</v>
      </c>
      <c r="AD47" s="28">
        <f ca="1">SOLID!AH62</f>
        <v>0</v>
      </c>
      <c r="AE47" s="28">
        <f ca="1">SOLID!AI62</f>
        <v>0</v>
      </c>
      <c r="AF47" s="28">
        <f ca="1">SOLID!AJ62</f>
        <v>0</v>
      </c>
      <c r="AG47" s="28">
        <f ca="1">SOLID!AK62</f>
        <v>0</v>
      </c>
      <c r="AH47" s="28">
        <f ca="1">SOLID!AL62</f>
        <v>0</v>
      </c>
      <c r="AI47" s="28">
        <f>SOLID!AM62</f>
        <v>0</v>
      </c>
    </row>
    <row r="48" spans="1:45" ht="21.75" hidden="1" outlineLevel="1" thickBot="1" x14ac:dyDescent="0.4">
      <c r="A48" s="61" t="str">
        <f>SOLID!E63</f>
        <v>H (Ga)</v>
      </c>
      <c r="B48" s="28">
        <f ca="1">SOLID!F63</f>
        <v>-66.459999999999994</v>
      </c>
      <c r="C48" s="28">
        <f ca="1">SOLID!G63</f>
        <v>-62.25</v>
      </c>
      <c r="D48" s="28">
        <f ca="1">SOLID!H63</f>
        <v>-58.6</v>
      </c>
      <c r="E48" s="28">
        <f ca="1">SOLID!I63</f>
        <v>-55.41</v>
      </c>
      <c r="F48" s="28">
        <f ca="1">SOLID!J63</f>
        <v>-51.62</v>
      </c>
      <c r="G48" s="28">
        <f ca="1">SOLID!K63</f>
        <v>-37.26</v>
      </c>
      <c r="H48" s="28">
        <f ca="1">SOLID!L63</f>
        <v>-34.4</v>
      </c>
      <c r="I48" s="28">
        <f ca="1">SOLID!M63</f>
        <v>-31.76</v>
      </c>
      <c r="J48" s="28">
        <f ca="1">SOLID!N63</f>
        <v>-29.31</v>
      </c>
      <c r="K48" s="28">
        <f ca="1">SOLID!O63</f>
        <v>-27.03</v>
      </c>
      <c r="L48" s="28">
        <f ca="1">SOLID!P63</f>
        <v>-24.9</v>
      </c>
      <c r="M48" s="28">
        <f ca="1">SOLID!Q63</f>
        <v>-22.91</v>
      </c>
      <c r="N48" s="28">
        <f ca="1">SOLID!R63</f>
        <v>-21.04</v>
      </c>
      <c r="O48" s="28">
        <f ca="1">SOLID!S63</f>
        <v>-19.28</v>
      </c>
      <c r="P48" s="28">
        <f ca="1">SOLID!T63</f>
        <v>-13.14</v>
      </c>
      <c r="Q48" s="28">
        <f ca="1">SOLID!U63</f>
        <v>-11.8</v>
      </c>
      <c r="R48" s="28">
        <f ca="1">SOLID!V63</f>
        <v>-10.52</v>
      </c>
      <c r="S48" s="28">
        <f ca="1">SOLID!W63</f>
        <v>-9.2940000000000005</v>
      </c>
      <c r="T48" s="28">
        <f ca="1">SOLID!X63</f>
        <v>-8.5370000000000008</v>
      </c>
      <c r="U48" s="28">
        <f ca="1">SOLID!Y63</f>
        <v>-8.0269999999999992</v>
      </c>
      <c r="V48" s="28">
        <f ca="1">SOLID!Z63</f>
        <v>-7.617</v>
      </c>
      <c r="W48" s="28">
        <f ca="1">SOLID!AA63</f>
        <v>-7.7149999999999999</v>
      </c>
      <c r="X48" s="28">
        <f ca="1">SOLID!AB63</f>
        <v>-7.8150000000000004</v>
      </c>
      <c r="Y48" s="28">
        <f ca="1">SOLID!AC63</f>
        <v>-8.2360000000000007</v>
      </c>
      <c r="Z48" s="28">
        <f ca="1">SOLID!AD63</f>
        <v>-7.8150000000000004</v>
      </c>
      <c r="AA48" s="28">
        <f ca="1">SOLID!AE63</f>
        <v>-8.2360000000000007</v>
      </c>
      <c r="AB48" s="28">
        <f ca="1">SOLID!AF63</f>
        <v>-8.7249999999999996</v>
      </c>
      <c r="AC48" s="28">
        <f ca="1">SOLID!AG63</f>
        <v>0</v>
      </c>
      <c r="AD48" s="28">
        <f ca="1">SOLID!AH63</f>
        <v>0</v>
      </c>
      <c r="AE48" s="28">
        <f ca="1">SOLID!AI63</f>
        <v>0</v>
      </c>
      <c r="AF48" s="28">
        <f ca="1">SOLID!AJ63</f>
        <v>0</v>
      </c>
      <c r="AG48" s="28">
        <f ca="1">SOLID!AK63</f>
        <v>0</v>
      </c>
      <c r="AH48" s="28">
        <f ca="1">SOLID!AL63</f>
        <v>0</v>
      </c>
      <c r="AI48" s="28">
        <f>SOLID!AM63</f>
        <v>0</v>
      </c>
    </row>
    <row r="49" spans="1:35" ht="21.75" hidden="1" outlineLevel="1" thickBot="1" x14ac:dyDescent="0.4">
      <c r="A49" s="61" t="str">
        <f>SOLID!E64</f>
        <v>H (Ge)</v>
      </c>
      <c r="B49" s="28">
        <f ca="1">SOLID!F64</f>
        <v>-16.29</v>
      </c>
      <c r="C49" s="28">
        <f ca="1">SOLID!G64</f>
        <v>-15.52</v>
      </c>
      <c r="D49" s="28">
        <f ca="1">SOLID!H64</f>
        <v>-14.86</v>
      </c>
      <c r="E49" s="28">
        <f ca="1">SOLID!I64</f>
        <v>-14.3</v>
      </c>
      <c r="F49" s="28">
        <f ca="1">SOLID!J64</f>
        <v>-13.17</v>
      </c>
      <c r="G49" s="28">
        <f ca="1">SOLID!K64</f>
        <v>-7.9130000000000003</v>
      </c>
      <c r="H49" s="28">
        <f ca="1">SOLID!L64</f>
        <v>-6.851</v>
      </c>
      <c r="I49" s="28">
        <f ca="1">SOLID!M64</f>
        <v>-5.867</v>
      </c>
      <c r="J49" s="28">
        <f ca="1">SOLID!N64</f>
        <v>-4.9489999999999998</v>
      </c>
      <c r="K49" s="28">
        <f ca="1">SOLID!O64</f>
        <v>-4.0979999999999999</v>
      </c>
      <c r="L49" s="28">
        <f ca="1">SOLID!P64</f>
        <v>-4.1500000000000004</v>
      </c>
      <c r="M49" s="28">
        <f ca="1">SOLID!Q64</f>
        <v>-4.2</v>
      </c>
      <c r="N49" s="28">
        <f ca="1">SOLID!R64</f>
        <v>-4.2489999999999997</v>
      </c>
      <c r="O49" s="28">
        <f ca="1">SOLID!S64</f>
        <v>-4.2990000000000004</v>
      </c>
      <c r="P49" s="28">
        <f ca="1">SOLID!T64</f>
        <v>-4.4989999999999997</v>
      </c>
      <c r="Q49" s="28">
        <f ca="1">SOLID!U64</f>
        <v>-4.5490000000000004</v>
      </c>
      <c r="R49" s="28">
        <f ca="1">SOLID!V64</f>
        <v>-4.5979999999999999</v>
      </c>
      <c r="S49" s="28">
        <f ca="1">SOLID!W64</f>
        <v>-4.6470000000000002</v>
      </c>
      <c r="T49" s="28">
        <f ca="1">SOLID!X64</f>
        <v>-4.6959999999999997</v>
      </c>
      <c r="U49" s="28">
        <f ca="1">SOLID!Y64</f>
        <v>-4.7439999999999998</v>
      </c>
      <c r="V49" s="28">
        <f ca="1">SOLID!Z64</f>
        <v>-4.7919999999999998</v>
      </c>
      <c r="W49" s="28">
        <f ca="1">SOLID!AA64</f>
        <v>-4.84</v>
      </c>
      <c r="X49" s="28">
        <f ca="1">SOLID!AB64</f>
        <v>-4.8869999999999996</v>
      </c>
      <c r="Y49" s="28">
        <f ca="1">SOLID!AC64</f>
        <v>-5.0709999999999997</v>
      </c>
      <c r="Z49" s="28">
        <f ca="1">SOLID!AD64</f>
        <v>-4.8869999999999996</v>
      </c>
      <c r="AA49" s="28">
        <f ca="1">SOLID!AE64</f>
        <v>-5.0709999999999997</v>
      </c>
      <c r="AB49" s="28">
        <f ca="1">SOLID!AF64</f>
        <v>-5.2489999999999997</v>
      </c>
      <c r="AC49" s="28">
        <f ca="1">SOLID!AG64</f>
        <v>0</v>
      </c>
      <c r="AD49" s="28">
        <f ca="1">SOLID!AH64</f>
        <v>0</v>
      </c>
      <c r="AE49" s="28">
        <f ca="1">SOLID!AI64</f>
        <v>0</v>
      </c>
      <c r="AF49" s="28">
        <f ca="1">SOLID!AJ64</f>
        <v>0</v>
      </c>
      <c r="AG49" s="28">
        <f ca="1">SOLID!AK64</f>
        <v>0</v>
      </c>
      <c r="AH49" s="28">
        <f ca="1">SOLID!AL64</f>
        <v>0</v>
      </c>
      <c r="AI49" s="28">
        <f>SOLID!AM64</f>
        <v>0</v>
      </c>
    </row>
    <row r="50" spans="1:35" ht="21.75" hidden="1" outlineLevel="1" thickBot="1" x14ac:dyDescent="0.4">
      <c r="A50" s="61" t="str">
        <f>SOLID!E65</f>
        <v>H (Se)</v>
      </c>
      <c r="B50" s="28">
        <f ca="1">SOLID!F65</f>
        <v>-23.52</v>
      </c>
      <c r="C50" s="28">
        <f ca="1">SOLID!G65</f>
        <v>-22.18</v>
      </c>
      <c r="D50" s="28">
        <f ca="1">SOLID!H65</f>
        <v>-21.02</v>
      </c>
      <c r="E50" s="28">
        <f ca="1">SOLID!I65</f>
        <v>-20.010000000000002</v>
      </c>
      <c r="F50" s="28">
        <f ca="1">SOLID!J65</f>
        <v>-19.77</v>
      </c>
      <c r="G50" s="28">
        <f ca="1">SOLID!K65</f>
        <v>-20.97</v>
      </c>
      <c r="H50" s="28">
        <f ca="1">SOLID!L65</f>
        <v>-21.27</v>
      </c>
      <c r="I50" s="28">
        <f ca="1">SOLID!M65</f>
        <v>-21.58</v>
      </c>
      <c r="J50" s="28">
        <f ca="1">SOLID!N65</f>
        <v>-21.88</v>
      </c>
      <c r="K50" s="28">
        <f ca="1">SOLID!O65</f>
        <v>-22.18</v>
      </c>
      <c r="L50" s="28">
        <f ca="1">SOLID!P65</f>
        <v>-22.49</v>
      </c>
      <c r="M50" s="28">
        <f ca="1">SOLID!Q65</f>
        <v>-22.79</v>
      </c>
      <c r="N50" s="28">
        <f ca="1">SOLID!R65</f>
        <v>-23.08</v>
      </c>
      <c r="O50" s="28">
        <f ca="1">SOLID!S65</f>
        <v>-23.37</v>
      </c>
      <c r="P50" s="28">
        <f ca="1">SOLID!T65</f>
        <v>-24.51</v>
      </c>
      <c r="Q50" s="28">
        <f ca="1">SOLID!U65</f>
        <v>-24.79</v>
      </c>
      <c r="R50" s="28">
        <f ca="1">SOLID!V65</f>
        <v>-25.06</v>
      </c>
      <c r="S50" s="28">
        <f ca="1">SOLID!W65</f>
        <v>-25.33</v>
      </c>
      <c r="T50" s="28">
        <f ca="1">SOLID!X65</f>
        <v>-25.6</v>
      </c>
      <c r="U50" s="28">
        <f ca="1">SOLID!Y65</f>
        <v>-25.87</v>
      </c>
      <c r="V50" s="28">
        <f ca="1">SOLID!Z65</f>
        <v>-26.13</v>
      </c>
      <c r="W50" s="28">
        <f ca="1">SOLID!AA65</f>
        <v>-26.39</v>
      </c>
      <c r="X50" s="28">
        <f ca="1">SOLID!AB65</f>
        <v>-26.65</v>
      </c>
      <c r="Y50" s="28">
        <f ca="1">SOLID!AC65</f>
        <v>-27.65</v>
      </c>
      <c r="Z50" s="28">
        <f ca="1">SOLID!AD65</f>
        <v>-26.65</v>
      </c>
      <c r="AA50" s="28">
        <f ca="1">SOLID!AE65</f>
        <v>-27.65</v>
      </c>
      <c r="AB50" s="28">
        <f ca="1">SOLID!AF65</f>
        <v>-28.62</v>
      </c>
      <c r="AC50" s="28">
        <f ca="1">SOLID!AG65</f>
        <v>0</v>
      </c>
      <c r="AD50" s="28">
        <f ca="1">SOLID!AH65</f>
        <v>0</v>
      </c>
      <c r="AE50" s="28">
        <f ca="1">SOLID!AI65</f>
        <v>0</v>
      </c>
      <c r="AF50" s="28">
        <f ca="1">SOLID!AJ65</f>
        <v>0</v>
      </c>
      <c r="AG50" s="28">
        <f ca="1">SOLID!AK65</f>
        <v>0</v>
      </c>
      <c r="AH50" s="28">
        <f ca="1">SOLID!AL65</f>
        <v>0</v>
      </c>
      <c r="AI50" s="28">
        <f>SOLID!AM65</f>
        <v>0</v>
      </c>
    </row>
    <row r="51" spans="1:35" ht="21.75" hidden="1" outlineLevel="1" thickBot="1" x14ac:dyDescent="0.4">
      <c r="A51" s="61">
        <f>SOLID!E66</f>
        <v>0</v>
      </c>
      <c r="B51" s="28">
        <f ca="1">SOLID!F66</f>
        <v>0</v>
      </c>
      <c r="C51" s="28">
        <f ca="1">SOLID!G66</f>
        <v>0</v>
      </c>
      <c r="D51" s="28">
        <f ca="1">SOLID!H66</f>
        <v>0</v>
      </c>
      <c r="E51" s="28">
        <f ca="1">SOLID!I66</f>
        <v>0</v>
      </c>
      <c r="F51" s="28">
        <f ca="1">SOLID!J66</f>
        <v>0</v>
      </c>
      <c r="G51" s="28">
        <f ca="1">SOLID!K66</f>
        <v>0</v>
      </c>
      <c r="H51" s="28">
        <f ca="1">SOLID!L66</f>
        <v>0</v>
      </c>
      <c r="I51" s="28">
        <f ca="1">SOLID!M66</f>
        <v>0</v>
      </c>
      <c r="J51" s="28">
        <f ca="1">SOLID!N66</f>
        <v>0</v>
      </c>
      <c r="K51" s="28">
        <f ca="1">SOLID!O66</f>
        <v>0</v>
      </c>
      <c r="L51" s="28">
        <f ca="1">SOLID!P66</f>
        <v>0</v>
      </c>
      <c r="M51" s="28">
        <f ca="1">SOLID!Q66</f>
        <v>0</v>
      </c>
      <c r="N51" s="28">
        <f ca="1">SOLID!R66</f>
        <v>0</v>
      </c>
      <c r="O51" s="28">
        <f ca="1">SOLID!S66</f>
        <v>0</v>
      </c>
      <c r="P51" s="28">
        <f ca="1">SOLID!T66</f>
        <v>0</v>
      </c>
      <c r="Q51" s="28">
        <f ca="1">SOLID!U66</f>
        <v>0</v>
      </c>
      <c r="R51" s="28">
        <f ca="1">SOLID!V66</f>
        <v>0</v>
      </c>
      <c r="S51" s="28">
        <f ca="1">SOLID!W66</f>
        <v>0</v>
      </c>
      <c r="T51" s="28">
        <f ca="1">SOLID!X66</f>
        <v>0</v>
      </c>
      <c r="U51" s="28">
        <f ca="1">SOLID!Y66</f>
        <v>0</v>
      </c>
      <c r="V51" s="28">
        <f ca="1">SOLID!Z66</f>
        <v>0</v>
      </c>
      <c r="W51" s="28">
        <f ca="1">SOLID!AA66</f>
        <v>0</v>
      </c>
      <c r="X51" s="28">
        <f ca="1">SOLID!AB66</f>
        <v>0</v>
      </c>
      <c r="Y51" s="28">
        <f ca="1">SOLID!AC66</f>
        <v>0</v>
      </c>
      <c r="Z51" s="28">
        <f ca="1">SOLID!AD66</f>
        <v>0</v>
      </c>
      <c r="AA51" s="28">
        <f ca="1">SOLID!AE66</f>
        <v>0</v>
      </c>
      <c r="AB51" s="28">
        <f ca="1">SOLID!AF66</f>
        <v>0</v>
      </c>
      <c r="AC51" s="28">
        <f ca="1">SOLID!AG66</f>
        <v>0</v>
      </c>
      <c r="AD51" s="28">
        <f ca="1">SOLID!AH66</f>
        <v>0</v>
      </c>
      <c r="AE51" s="28">
        <f ca="1">SOLID!AI66</f>
        <v>0</v>
      </c>
      <c r="AF51" s="28">
        <f ca="1">SOLID!AJ66</f>
        <v>0</v>
      </c>
      <c r="AG51" s="28">
        <f ca="1">SOLID!AK66</f>
        <v>0</v>
      </c>
      <c r="AH51" s="28">
        <f ca="1">SOLID!AL66</f>
        <v>0</v>
      </c>
      <c r="AI51" s="28">
        <f>SOLID!AM66</f>
        <v>0</v>
      </c>
    </row>
    <row r="52" spans="1:35" ht="21.75" hidden="1" outlineLevel="1" thickBot="1" x14ac:dyDescent="0.4">
      <c r="A52" s="61">
        <f>SOLID!E67</f>
        <v>0</v>
      </c>
      <c r="B52" s="28">
        <f ca="1">SOLID!F67</f>
        <v>0</v>
      </c>
      <c r="C52" s="28">
        <f ca="1">SOLID!G67</f>
        <v>0</v>
      </c>
      <c r="D52" s="28">
        <f ca="1">SOLID!H67</f>
        <v>0</v>
      </c>
      <c r="E52" s="28">
        <f ca="1">SOLID!I67</f>
        <v>0</v>
      </c>
      <c r="F52" s="28">
        <f ca="1">SOLID!J67</f>
        <v>0</v>
      </c>
      <c r="G52" s="28">
        <f ca="1">SOLID!K67</f>
        <v>0</v>
      </c>
      <c r="H52" s="28">
        <f ca="1">SOLID!L67</f>
        <v>0</v>
      </c>
      <c r="I52" s="28">
        <f ca="1">SOLID!M67</f>
        <v>0</v>
      </c>
      <c r="J52" s="28">
        <f ca="1">SOLID!N67</f>
        <v>0</v>
      </c>
      <c r="K52" s="28">
        <f ca="1">SOLID!O67</f>
        <v>0</v>
      </c>
      <c r="L52" s="28">
        <f ca="1">SOLID!P67</f>
        <v>0</v>
      </c>
      <c r="M52" s="28">
        <f ca="1">SOLID!Q67</f>
        <v>0</v>
      </c>
      <c r="N52" s="28">
        <f ca="1">SOLID!R67</f>
        <v>0</v>
      </c>
      <c r="O52" s="28">
        <f ca="1">SOLID!S67</f>
        <v>0</v>
      </c>
      <c r="P52" s="28">
        <f ca="1">SOLID!T67</f>
        <v>0</v>
      </c>
      <c r="Q52" s="28">
        <f ca="1">SOLID!U67</f>
        <v>0</v>
      </c>
      <c r="R52" s="28">
        <f ca="1">SOLID!V67</f>
        <v>0</v>
      </c>
      <c r="S52" s="28">
        <f ca="1">SOLID!W67</f>
        <v>0</v>
      </c>
      <c r="T52" s="28">
        <f ca="1">SOLID!X67</f>
        <v>0</v>
      </c>
      <c r="U52" s="28">
        <f ca="1">SOLID!Y67</f>
        <v>0</v>
      </c>
      <c r="V52" s="28">
        <f ca="1">SOLID!Z67</f>
        <v>0</v>
      </c>
      <c r="W52" s="28">
        <f ca="1">SOLID!AA67</f>
        <v>0</v>
      </c>
      <c r="X52" s="28">
        <f ca="1">SOLID!AB67</f>
        <v>0</v>
      </c>
      <c r="Y52" s="28">
        <f ca="1">SOLID!AC67</f>
        <v>0</v>
      </c>
      <c r="Z52" s="28">
        <f ca="1">SOLID!AD67</f>
        <v>0</v>
      </c>
      <c r="AA52" s="28">
        <f ca="1">SOLID!AE67</f>
        <v>0</v>
      </c>
      <c r="AB52" s="28">
        <f ca="1">SOLID!AF67</f>
        <v>0</v>
      </c>
      <c r="AC52" s="28">
        <f ca="1">SOLID!AG67</f>
        <v>0</v>
      </c>
      <c r="AD52" s="28">
        <f ca="1">SOLID!AH67</f>
        <v>0</v>
      </c>
      <c r="AE52" s="28">
        <f ca="1">SOLID!AI67</f>
        <v>0</v>
      </c>
      <c r="AF52" s="28">
        <f ca="1">SOLID!AJ67</f>
        <v>0</v>
      </c>
      <c r="AG52" s="28">
        <f ca="1">SOLID!AK67</f>
        <v>0</v>
      </c>
      <c r="AH52" s="28">
        <f ca="1">SOLID!AL67</f>
        <v>0</v>
      </c>
      <c r="AI52" s="28">
        <f>SOLID!AM67</f>
        <v>0</v>
      </c>
    </row>
    <row r="53" spans="1:35" ht="21.75" hidden="1" outlineLevel="1" thickBot="1" x14ac:dyDescent="0.4">
      <c r="A53" s="61">
        <f>SOLID!E68</f>
        <v>0</v>
      </c>
      <c r="B53" s="28">
        <f ca="1">SOLID!F68</f>
        <v>0</v>
      </c>
      <c r="C53" s="28">
        <f ca="1">SOLID!G68</f>
        <v>0</v>
      </c>
      <c r="D53" s="28">
        <f ca="1">SOLID!H68</f>
        <v>0</v>
      </c>
      <c r="E53" s="28">
        <f ca="1">SOLID!I68</f>
        <v>0</v>
      </c>
      <c r="F53" s="28">
        <f ca="1">SOLID!J68</f>
        <v>0</v>
      </c>
      <c r="G53" s="28">
        <f ca="1">SOLID!K68</f>
        <v>0</v>
      </c>
      <c r="H53" s="28">
        <f ca="1">SOLID!L68</f>
        <v>0</v>
      </c>
      <c r="I53" s="28">
        <f ca="1">SOLID!M68</f>
        <v>0</v>
      </c>
      <c r="J53" s="28">
        <f ca="1">SOLID!N68</f>
        <v>0</v>
      </c>
      <c r="K53" s="28">
        <f ca="1">SOLID!O68</f>
        <v>0</v>
      </c>
      <c r="L53" s="28">
        <f ca="1">SOLID!P68</f>
        <v>0</v>
      </c>
      <c r="M53" s="28">
        <f ca="1">SOLID!Q68</f>
        <v>0</v>
      </c>
      <c r="N53" s="28">
        <f ca="1">SOLID!R68</f>
        <v>0</v>
      </c>
      <c r="O53" s="28">
        <f ca="1">SOLID!S68</f>
        <v>0</v>
      </c>
      <c r="P53" s="28">
        <f ca="1">SOLID!T68</f>
        <v>0</v>
      </c>
      <c r="Q53" s="28">
        <f ca="1">SOLID!U68</f>
        <v>0</v>
      </c>
      <c r="R53" s="28">
        <f ca="1">SOLID!V68</f>
        <v>0</v>
      </c>
      <c r="S53" s="28">
        <f ca="1">SOLID!W68</f>
        <v>0</v>
      </c>
      <c r="T53" s="28">
        <f ca="1">SOLID!X68</f>
        <v>0</v>
      </c>
      <c r="U53" s="28">
        <f ca="1">SOLID!Y68</f>
        <v>0</v>
      </c>
      <c r="V53" s="28">
        <f ca="1">SOLID!Z68</f>
        <v>0</v>
      </c>
      <c r="W53" s="28">
        <f ca="1">SOLID!AA68</f>
        <v>0</v>
      </c>
      <c r="X53" s="28">
        <f ca="1">SOLID!AB68</f>
        <v>0</v>
      </c>
      <c r="Y53" s="28">
        <f ca="1">SOLID!AC68</f>
        <v>0</v>
      </c>
      <c r="Z53" s="28">
        <f ca="1">SOLID!AD68</f>
        <v>0</v>
      </c>
      <c r="AA53" s="28">
        <f ca="1">SOLID!AE68</f>
        <v>0</v>
      </c>
      <c r="AB53" s="28">
        <f ca="1">SOLID!AF68</f>
        <v>0</v>
      </c>
      <c r="AC53" s="28">
        <f ca="1">SOLID!AG68</f>
        <v>0</v>
      </c>
      <c r="AD53" s="28">
        <f ca="1">SOLID!AH68</f>
        <v>0</v>
      </c>
      <c r="AE53" s="28">
        <f ca="1">SOLID!AI68</f>
        <v>0</v>
      </c>
      <c r="AF53" s="28">
        <f ca="1">SOLID!AJ68</f>
        <v>0</v>
      </c>
      <c r="AG53" s="28">
        <f ca="1">SOLID!AK68</f>
        <v>0</v>
      </c>
      <c r="AH53" s="28">
        <f ca="1">SOLID!AL68</f>
        <v>0</v>
      </c>
      <c r="AI53" s="28">
        <f>SOLID!AM68</f>
        <v>0</v>
      </c>
    </row>
    <row r="54" spans="1:35" ht="21.75" hidden="1" outlineLevel="1" thickBot="1" x14ac:dyDescent="0.4">
      <c r="A54" s="61">
        <f>SOLID!E69</f>
        <v>0</v>
      </c>
      <c r="B54" s="28">
        <f ca="1">SOLID!F69</f>
        <v>0</v>
      </c>
      <c r="C54" s="28">
        <f ca="1">SOLID!G69</f>
        <v>0</v>
      </c>
      <c r="D54" s="28">
        <f ca="1">SOLID!H69</f>
        <v>0</v>
      </c>
      <c r="E54" s="28">
        <f ca="1">SOLID!I69</f>
        <v>0</v>
      </c>
      <c r="F54" s="28">
        <f ca="1">SOLID!J69</f>
        <v>0</v>
      </c>
      <c r="G54" s="28">
        <f ca="1">SOLID!K69</f>
        <v>0</v>
      </c>
      <c r="H54" s="28">
        <f ca="1">SOLID!L69</f>
        <v>0</v>
      </c>
      <c r="I54" s="28">
        <f ca="1">SOLID!M69</f>
        <v>0</v>
      </c>
      <c r="J54" s="28">
        <f ca="1">SOLID!N69</f>
        <v>0</v>
      </c>
      <c r="K54" s="28">
        <f ca="1">SOLID!O69</f>
        <v>0</v>
      </c>
      <c r="L54" s="28">
        <f ca="1">SOLID!P69</f>
        <v>0</v>
      </c>
      <c r="M54" s="28">
        <f ca="1">SOLID!Q69</f>
        <v>0</v>
      </c>
      <c r="N54" s="28">
        <f ca="1">SOLID!R69</f>
        <v>0</v>
      </c>
      <c r="O54" s="28">
        <f ca="1">SOLID!S69</f>
        <v>0</v>
      </c>
      <c r="P54" s="28">
        <f ca="1">SOLID!T69</f>
        <v>0</v>
      </c>
      <c r="Q54" s="28">
        <f ca="1">SOLID!U69</f>
        <v>0</v>
      </c>
      <c r="R54" s="28">
        <f ca="1">SOLID!V69</f>
        <v>0</v>
      </c>
      <c r="S54" s="28">
        <f ca="1">SOLID!W69</f>
        <v>0</v>
      </c>
      <c r="T54" s="28">
        <f ca="1">SOLID!X69</f>
        <v>0</v>
      </c>
      <c r="U54" s="28">
        <f ca="1">SOLID!Y69</f>
        <v>0</v>
      </c>
      <c r="V54" s="28">
        <f ca="1">SOLID!Z69</f>
        <v>0</v>
      </c>
      <c r="W54" s="28">
        <f ca="1">SOLID!AA69</f>
        <v>0</v>
      </c>
      <c r="X54" s="28">
        <f ca="1">SOLID!AB69</f>
        <v>0</v>
      </c>
      <c r="Y54" s="28">
        <f ca="1">SOLID!AC69</f>
        <v>0</v>
      </c>
      <c r="Z54" s="28">
        <f ca="1">SOLID!AD69</f>
        <v>0</v>
      </c>
      <c r="AA54" s="28">
        <f ca="1">SOLID!AE69</f>
        <v>0</v>
      </c>
      <c r="AB54" s="28">
        <f ca="1">SOLID!AF69</f>
        <v>0</v>
      </c>
      <c r="AC54" s="28">
        <f ca="1">SOLID!AG69</f>
        <v>0</v>
      </c>
      <c r="AD54" s="28">
        <f ca="1">SOLID!AH69</f>
        <v>0</v>
      </c>
      <c r="AE54" s="28">
        <f ca="1">SOLID!AI69</f>
        <v>0</v>
      </c>
      <c r="AF54" s="28">
        <f ca="1">SOLID!AJ69</f>
        <v>0</v>
      </c>
      <c r="AG54" s="28">
        <f ca="1">SOLID!AK69</f>
        <v>0</v>
      </c>
      <c r="AH54" s="28">
        <f ca="1">SOLID!AL69</f>
        <v>0</v>
      </c>
      <c r="AI54" s="28">
        <f>SOLID!AM69</f>
        <v>0</v>
      </c>
    </row>
    <row r="55" spans="1:35" ht="21.75" hidden="1" outlineLevel="1" thickBot="1" x14ac:dyDescent="0.4">
      <c r="A55" s="61">
        <f>SOLID!E70</f>
        <v>0</v>
      </c>
      <c r="B55" s="28">
        <f ca="1">SOLID!F70</f>
        <v>0</v>
      </c>
      <c r="C55" s="28">
        <f ca="1">SOLID!G70</f>
        <v>0</v>
      </c>
      <c r="D55" s="28">
        <f ca="1">SOLID!H70</f>
        <v>0</v>
      </c>
      <c r="E55" s="28">
        <f ca="1">SOLID!I70</f>
        <v>0</v>
      </c>
      <c r="F55" s="28">
        <f ca="1">SOLID!J70</f>
        <v>0</v>
      </c>
      <c r="G55" s="28">
        <f ca="1">SOLID!K70</f>
        <v>0</v>
      </c>
      <c r="H55" s="28">
        <f ca="1">SOLID!L70</f>
        <v>0</v>
      </c>
      <c r="I55" s="28">
        <f ca="1">SOLID!M70</f>
        <v>0</v>
      </c>
      <c r="J55" s="28">
        <f ca="1">SOLID!N70</f>
        <v>0</v>
      </c>
      <c r="K55" s="28">
        <f ca="1">SOLID!O70</f>
        <v>0</v>
      </c>
      <c r="L55" s="28">
        <f ca="1">SOLID!P70</f>
        <v>0</v>
      </c>
      <c r="M55" s="28">
        <f ca="1">SOLID!Q70</f>
        <v>0</v>
      </c>
      <c r="N55" s="28">
        <f ca="1">SOLID!R70</f>
        <v>0</v>
      </c>
      <c r="O55" s="28">
        <f ca="1">SOLID!S70</f>
        <v>0</v>
      </c>
      <c r="P55" s="28">
        <f ca="1">SOLID!T70</f>
        <v>0</v>
      </c>
      <c r="Q55" s="28">
        <f ca="1">SOLID!U70</f>
        <v>0</v>
      </c>
      <c r="R55" s="28">
        <f ca="1">SOLID!V70</f>
        <v>0</v>
      </c>
      <c r="S55" s="28">
        <f ca="1">SOLID!W70</f>
        <v>0</v>
      </c>
      <c r="T55" s="28">
        <f ca="1">SOLID!X70</f>
        <v>0</v>
      </c>
      <c r="U55" s="28">
        <f ca="1">SOLID!Y70</f>
        <v>0</v>
      </c>
      <c r="V55" s="28">
        <f ca="1">SOLID!Z70</f>
        <v>0</v>
      </c>
      <c r="W55" s="28">
        <f ca="1">SOLID!AA70</f>
        <v>0</v>
      </c>
      <c r="X55" s="28">
        <f ca="1">SOLID!AB70</f>
        <v>0</v>
      </c>
      <c r="Y55" s="28">
        <f ca="1">SOLID!AC70</f>
        <v>0</v>
      </c>
      <c r="Z55" s="28">
        <f ca="1">SOLID!AD70</f>
        <v>0</v>
      </c>
      <c r="AA55" s="28">
        <f ca="1">SOLID!AE70</f>
        <v>0</v>
      </c>
      <c r="AB55" s="28">
        <f ca="1">SOLID!AF70</f>
        <v>0</v>
      </c>
      <c r="AC55" s="28">
        <f ca="1">SOLID!AG70</f>
        <v>0</v>
      </c>
      <c r="AD55" s="28">
        <f ca="1">SOLID!AH70</f>
        <v>0</v>
      </c>
      <c r="AE55" s="28">
        <f ca="1">SOLID!AI70</f>
        <v>0</v>
      </c>
      <c r="AF55" s="28">
        <f ca="1">SOLID!AJ70</f>
        <v>0</v>
      </c>
      <c r="AG55" s="28">
        <f ca="1">SOLID!AK70</f>
        <v>0</v>
      </c>
      <c r="AH55" s="28">
        <f ca="1">SOLID!AL70</f>
        <v>0</v>
      </c>
      <c r="AI55" s="28">
        <f>SOLID!AM70</f>
        <v>0</v>
      </c>
    </row>
    <row r="56" spans="1:35" ht="21.75" hidden="1" outlineLevel="1" thickBot="1" x14ac:dyDescent="0.4">
      <c r="A56" s="61">
        <f>SOLID!E71</f>
        <v>0</v>
      </c>
      <c r="B56" s="28">
        <f ca="1">SOLID!F71</f>
        <v>0</v>
      </c>
      <c r="C56" s="28">
        <f ca="1">SOLID!G71</f>
        <v>0</v>
      </c>
      <c r="D56" s="28">
        <f ca="1">SOLID!H71</f>
        <v>0</v>
      </c>
      <c r="E56" s="28">
        <f ca="1">SOLID!I71</f>
        <v>0</v>
      </c>
      <c r="F56" s="28">
        <f ca="1">SOLID!J71</f>
        <v>0</v>
      </c>
      <c r="G56" s="28">
        <f ca="1">SOLID!K71</f>
        <v>0</v>
      </c>
      <c r="H56" s="28">
        <f ca="1">SOLID!L71</f>
        <v>0</v>
      </c>
      <c r="I56" s="28">
        <f ca="1">SOLID!M71</f>
        <v>0</v>
      </c>
      <c r="J56" s="28">
        <f ca="1">SOLID!N71</f>
        <v>0</v>
      </c>
      <c r="K56" s="28">
        <f ca="1">SOLID!O71</f>
        <v>0</v>
      </c>
      <c r="L56" s="28">
        <f ca="1">SOLID!P71</f>
        <v>0</v>
      </c>
      <c r="M56" s="28">
        <f ca="1">SOLID!Q71</f>
        <v>0</v>
      </c>
      <c r="N56" s="28">
        <f ca="1">SOLID!R71</f>
        <v>0</v>
      </c>
      <c r="O56" s="28">
        <f ca="1">SOLID!S71</f>
        <v>0</v>
      </c>
      <c r="P56" s="28">
        <f ca="1">SOLID!T71</f>
        <v>0</v>
      </c>
      <c r="Q56" s="28">
        <f ca="1">SOLID!U71</f>
        <v>0</v>
      </c>
      <c r="R56" s="28">
        <f ca="1">SOLID!V71</f>
        <v>0</v>
      </c>
      <c r="S56" s="28">
        <f ca="1">SOLID!W71</f>
        <v>0</v>
      </c>
      <c r="T56" s="28">
        <f ca="1">SOLID!X71</f>
        <v>0</v>
      </c>
      <c r="U56" s="28">
        <f ca="1">SOLID!Y71</f>
        <v>0</v>
      </c>
      <c r="V56" s="28">
        <f ca="1">SOLID!Z71</f>
        <v>0</v>
      </c>
      <c r="W56" s="28">
        <f ca="1">SOLID!AA71</f>
        <v>0</v>
      </c>
      <c r="X56" s="28">
        <f ca="1">SOLID!AB71</f>
        <v>0</v>
      </c>
      <c r="Y56" s="28">
        <f ca="1">SOLID!AC71</f>
        <v>0</v>
      </c>
      <c r="Z56" s="28">
        <f ca="1">SOLID!AD71</f>
        <v>0</v>
      </c>
      <c r="AA56" s="28">
        <f ca="1">SOLID!AE71</f>
        <v>0</v>
      </c>
      <c r="AB56" s="28">
        <f ca="1">SOLID!AF71</f>
        <v>0</v>
      </c>
      <c r="AC56" s="28">
        <f ca="1">SOLID!AG71</f>
        <v>0</v>
      </c>
      <c r="AD56" s="28">
        <f ca="1">SOLID!AH71</f>
        <v>0</v>
      </c>
      <c r="AE56" s="28">
        <f ca="1">SOLID!AI71</f>
        <v>0</v>
      </c>
      <c r="AF56" s="28">
        <f ca="1">SOLID!AJ71</f>
        <v>0</v>
      </c>
      <c r="AG56" s="28">
        <f ca="1">SOLID!AK71</f>
        <v>0</v>
      </c>
      <c r="AH56" s="28">
        <f ca="1">SOLID!AL71</f>
        <v>0</v>
      </c>
      <c r="AI56" s="28">
        <f>SOLID!AM71</f>
        <v>0</v>
      </c>
    </row>
    <row r="57" spans="1:35" ht="21.75" hidden="1" outlineLevel="1" thickBot="1" x14ac:dyDescent="0.4">
      <c r="A57" s="61">
        <f>SOLID!E72</f>
        <v>0</v>
      </c>
      <c r="B57" s="28">
        <f ca="1">SOLID!F72</f>
        <v>0</v>
      </c>
      <c r="C57" s="28">
        <f ca="1">SOLID!G72</f>
        <v>0</v>
      </c>
      <c r="D57" s="28">
        <f ca="1">SOLID!H72</f>
        <v>0</v>
      </c>
      <c r="E57" s="28">
        <f ca="1">SOLID!I72</f>
        <v>0</v>
      </c>
      <c r="F57" s="28">
        <f ca="1">SOLID!J72</f>
        <v>0</v>
      </c>
      <c r="G57" s="28">
        <f ca="1">SOLID!K72</f>
        <v>0</v>
      </c>
      <c r="H57" s="28">
        <f ca="1">SOLID!L72</f>
        <v>0</v>
      </c>
      <c r="I57" s="28">
        <f ca="1">SOLID!M72</f>
        <v>0</v>
      </c>
      <c r="J57" s="28">
        <f ca="1">SOLID!N72</f>
        <v>0</v>
      </c>
      <c r="K57" s="28">
        <f ca="1">SOLID!O72</f>
        <v>0</v>
      </c>
      <c r="L57" s="28">
        <f ca="1">SOLID!P72</f>
        <v>0</v>
      </c>
      <c r="M57" s="28">
        <f ca="1">SOLID!Q72</f>
        <v>0</v>
      </c>
      <c r="N57" s="28">
        <f ca="1">SOLID!R72</f>
        <v>0</v>
      </c>
      <c r="O57" s="28">
        <f ca="1">SOLID!S72</f>
        <v>0</v>
      </c>
      <c r="P57" s="28">
        <f ca="1">SOLID!T72</f>
        <v>0</v>
      </c>
      <c r="Q57" s="28">
        <f ca="1">SOLID!U72</f>
        <v>0</v>
      </c>
      <c r="R57" s="28">
        <f ca="1">SOLID!V72</f>
        <v>0</v>
      </c>
      <c r="S57" s="28">
        <f ca="1">SOLID!W72</f>
        <v>0</v>
      </c>
      <c r="T57" s="28">
        <f ca="1">SOLID!X72</f>
        <v>0</v>
      </c>
      <c r="U57" s="28">
        <f ca="1">SOLID!Y72</f>
        <v>0</v>
      </c>
      <c r="V57" s="28">
        <f ca="1">SOLID!Z72</f>
        <v>0</v>
      </c>
      <c r="W57" s="28">
        <f ca="1">SOLID!AA72</f>
        <v>0</v>
      </c>
      <c r="X57" s="28">
        <f ca="1">SOLID!AB72</f>
        <v>0</v>
      </c>
      <c r="Y57" s="28">
        <f ca="1">SOLID!AC72</f>
        <v>0</v>
      </c>
      <c r="Z57" s="28">
        <f ca="1">SOLID!AD72</f>
        <v>0</v>
      </c>
      <c r="AA57" s="28">
        <f ca="1">SOLID!AE72</f>
        <v>0</v>
      </c>
      <c r="AB57" s="28">
        <f ca="1">SOLID!AF72</f>
        <v>0</v>
      </c>
      <c r="AC57" s="28">
        <f ca="1">SOLID!AG72</f>
        <v>0</v>
      </c>
      <c r="AD57" s="28">
        <f ca="1">SOLID!AH72</f>
        <v>0</v>
      </c>
      <c r="AE57" s="28">
        <f ca="1">SOLID!AI72</f>
        <v>0</v>
      </c>
      <c r="AF57" s="28">
        <f ca="1">SOLID!AJ72</f>
        <v>0</v>
      </c>
      <c r="AG57" s="28">
        <f ca="1">SOLID!AK72</f>
        <v>0</v>
      </c>
      <c r="AH57" s="28">
        <f ca="1">SOLID!AL72</f>
        <v>0</v>
      </c>
      <c r="AI57" s="28">
        <f>SOLID!AM72</f>
        <v>0</v>
      </c>
    </row>
    <row r="58" spans="1:35" ht="21.75" hidden="1" outlineLevel="1" thickBot="1" x14ac:dyDescent="0.4">
      <c r="A58" s="61">
        <f>SOLID!E73</f>
        <v>0</v>
      </c>
      <c r="B58" s="28">
        <f ca="1">SOLID!F73</f>
        <v>0</v>
      </c>
      <c r="C58" s="28">
        <f ca="1">SOLID!G73</f>
        <v>0</v>
      </c>
      <c r="D58" s="28">
        <f ca="1">SOLID!H73</f>
        <v>0</v>
      </c>
      <c r="E58" s="28">
        <f ca="1">SOLID!I73</f>
        <v>0</v>
      </c>
      <c r="F58" s="28">
        <f ca="1">SOLID!J73</f>
        <v>0</v>
      </c>
      <c r="G58" s="28">
        <f ca="1">SOLID!K73</f>
        <v>0</v>
      </c>
      <c r="H58" s="28">
        <f ca="1">SOLID!L73</f>
        <v>0</v>
      </c>
      <c r="I58" s="28">
        <f ca="1">SOLID!M73</f>
        <v>0</v>
      </c>
      <c r="J58" s="28">
        <f ca="1">SOLID!N73</f>
        <v>0</v>
      </c>
      <c r="K58" s="28">
        <f ca="1">SOLID!O73</f>
        <v>0</v>
      </c>
      <c r="L58" s="28">
        <f ca="1">SOLID!P73</f>
        <v>0</v>
      </c>
      <c r="M58" s="28">
        <f ca="1">SOLID!Q73</f>
        <v>0</v>
      </c>
      <c r="N58" s="28">
        <f ca="1">SOLID!R73</f>
        <v>0</v>
      </c>
      <c r="O58" s="28">
        <f ca="1">SOLID!S73</f>
        <v>0</v>
      </c>
      <c r="P58" s="28">
        <f ca="1">SOLID!T73</f>
        <v>0</v>
      </c>
      <c r="Q58" s="28">
        <f ca="1">SOLID!U73</f>
        <v>0</v>
      </c>
      <c r="R58" s="28">
        <f ca="1">SOLID!V73</f>
        <v>0</v>
      </c>
      <c r="S58" s="28">
        <f ca="1">SOLID!W73</f>
        <v>0</v>
      </c>
      <c r="T58" s="28">
        <f ca="1">SOLID!X73</f>
        <v>0</v>
      </c>
      <c r="U58" s="28">
        <f ca="1">SOLID!Y73</f>
        <v>0</v>
      </c>
      <c r="V58" s="28">
        <f ca="1">SOLID!Z73</f>
        <v>0</v>
      </c>
      <c r="W58" s="28">
        <f ca="1">SOLID!AA73</f>
        <v>0</v>
      </c>
      <c r="X58" s="28">
        <f ca="1">SOLID!AB73</f>
        <v>0</v>
      </c>
      <c r="Y58" s="28">
        <f ca="1">SOLID!AC73</f>
        <v>0</v>
      </c>
      <c r="Z58" s="28">
        <f ca="1">SOLID!AD73</f>
        <v>0</v>
      </c>
      <c r="AA58" s="28">
        <f ca="1">SOLID!AE73</f>
        <v>0</v>
      </c>
      <c r="AB58" s="28">
        <f ca="1">SOLID!AF73</f>
        <v>0</v>
      </c>
      <c r="AC58" s="28">
        <f ca="1">SOLID!AG73</f>
        <v>0</v>
      </c>
      <c r="AD58" s="28">
        <f ca="1">SOLID!AH73</f>
        <v>0</v>
      </c>
      <c r="AE58" s="28">
        <f ca="1">SOLID!AI73</f>
        <v>0</v>
      </c>
      <c r="AF58" s="28">
        <f ca="1">SOLID!AJ73</f>
        <v>0</v>
      </c>
      <c r="AG58" s="28">
        <f ca="1">SOLID!AK73</f>
        <v>0</v>
      </c>
      <c r="AH58" s="28">
        <f ca="1">SOLID!AL73</f>
        <v>0</v>
      </c>
      <c r="AI58" s="28">
        <f>SOLID!AM73</f>
        <v>0</v>
      </c>
    </row>
    <row r="59" spans="1:35" ht="21.75" hidden="1" outlineLevel="1" thickBot="1" x14ac:dyDescent="0.4">
      <c r="A59" s="61">
        <f>SOLID!E74</f>
        <v>0</v>
      </c>
      <c r="B59" s="28">
        <f ca="1">SOLID!F74</f>
        <v>0</v>
      </c>
      <c r="C59" s="28">
        <f ca="1">SOLID!G74</f>
        <v>0</v>
      </c>
      <c r="D59" s="28">
        <f ca="1">SOLID!H74</f>
        <v>0</v>
      </c>
      <c r="E59" s="28">
        <f ca="1">SOLID!I74</f>
        <v>0</v>
      </c>
      <c r="F59" s="28">
        <f ca="1">SOLID!J74</f>
        <v>0</v>
      </c>
      <c r="G59" s="28">
        <f ca="1">SOLID!K74</f>
        <v>0</v>
      </c>
      <c r="H59" s="28">
        <f ca="1">SOLID!L74</f>
        <v>0</v>
      </c>
      <c r="I59" s="28">
        <f ca="1">SOLID!M74</f>
        <v>0</v>
      </c>
      <c r="J59" s="28">
        <f ca="1">SOLID!N74</f>
        <v>0</v>
      </c>
      <c r="K59" s="28">
        <f ca="1">SOLID!O74</f>
        <v>0</v>
      </c>
      <c r="L59" s="28">
        <f ca="1">SOLID!P74</f>
        <v>0</v>
      </c>
      <c r="M59" s="28">
        <f ca="1">SOLID!Q74</f>
        <v>0</v>
      </c>
      <c r="N59" s="28">
        <f ca="1">SOLID!R74</f>
        <v>0</v>
      </c>
      <c r="O59" s="28">
        <f ca="1">SOLID!S74</f>
        <v>0</v>
      </c>
      <c r="P59" s="28">
        <f ca="1">SOLID!T74</f>
        <v>0</v>
      </c>
      <c r="Q59" s="28">
        <f ca="1">SOLID!U74</f>
        <v>0</v>
      </c>
      <c r="R59" s="28">
        <f ca="1">SOLID!V74</f>
        <v>0</v>
      </c>
      <c r="S59" s="28">
        <f ca="1">SOLID!W74</f>
        <v>0</v>
      </c>
      <c r="T59" s="28">
        <f ca="1">SOLID!X74</f>
        <v>0</v>
      </c>
      <c r="U59" s="28">
        <f ca="1">SOLID!Y74</f>
        <v>0</v>
      </c>
      <c r="V59" s="28">
        <f ca="1">SOLID!Z74</f>
        <v>0</v>
      </c>
      <c r="W59" s="28">
        <f ca="1">SOLID!AA74</f>
        <v>0</v>
      </c>
      <c r="X59" s="28">
        <f ca="1">SOLID!AB74</f>
        <v>0</v>
      </c>
      <c r="Y59" s="28">
        <f ca="1">SOLID!AC74</f>
        <v>0</v>
      </c>
      <c r="Z59" s="28">
        <f ca="1">SOLID!AD74</f>
        <v>0</v>
      </c>
      <c r="AA59" s="28">
        <f ca="1">SOLID!AE74</f>
        <v>0</v>
      </c>
      <c r="AB59" s="28">
        <f ca="1">SOLID!AF74</f>
        <v>0</v>
      </c>
      <c r="AC59" s="28">
        <f ca="1">SOLID!AG74</f>
        <v>0</v>
      </c>
      <c r="AD59" s="28">
        <f ca="1">SOLID!AH74</f>
        <v>0</v>
      </c>
      <c r="AE59" s="28">
        <f ca="1">SOLID!AI74</f>
        <v>0</v>
      </c>
      <c r="AF59" s="28">
        <f ca="1">SOLID!AJ74</f>
        <v>0</v>
      </c>
      <c r="AG59" s="28">
        <f ca="1">SOLID!AK74</f>
        <v>0</v>
      </c>
      <c r="AH59" s="28">
        <f ca="1">SOLID!AL74</f>
        <v>0</v>
      </c>
      <c r="AI59" s="28">
        <f>SOLID!AM74</f>
        <v>0</v>
      </c>
    </row>
    <row r="60" spans="1:35" ht="21.75" hidden="1" outlineLevel="1" thickBot="1" x14ac:dyDescent="0.4">
      <c r="A60" s="61">
        <f>SOLID!E75</f>
        <v>0</v>
      </c>
      <c r="B60" s="28">
        <f ca="1">SOLID!F75</f>
        <v>0</v>
      </c>
      <c r="C60" s="28">
        <f ca="1">SOLID!G75</f>
        <v>0</v>
      </c>
      <c r="D60" s="28">
        <f ca="1">SOLID!H75</f>
        <v>0</v>
      </c>
      <c r="E60" s="28">
        <f ca="1">SOLID!I75</f>
        <v>0</v>
      </c>
      <c r="F60" s="28">
        <f ca="1">SOLID!J75</f>
        <v>0</v>
      </c>
      <c r="G60" s="28">
        <f ca="1">SOLID!K75</f>
        <v>0</v>
      </c>
      <c r="H60" s="28">
        <f ca="1">SOLID!L75</f>
        <v>0</v>
      </c>
      <c r="I60" s="28">
        <f ca="1">SOLID!M75</f>
        <v>0</v>
      </c>
      <c r="J60" s="28">
        <f ca="1">SOLID!N75</f>
        <v>0</v>
      </c>
      <c r="K60" s="28">
        <f ca="1">SOLID!O75</f>
        <v>0</v>
      </c>
      <c r="L60" s="28">
        <f ca="1">SOLID!P75</f>
        <v>0</v>
      </c>
      <c r="M60" s="28">
        <f ca="1">SOLID!Q75</f>
        <v>0</v>
      </c>
      <c r="N60" s="28">
        <f ca="1">SOLID!R75</f>
        <v>0</v>
      </c>
      <c r="O60" s="28">
        <f ca="1">SOLID!S75</f>
        <v>0</v>
      </c>
      <c r="P60" s="28">
        <f ca="1">SOLID!T75</f>
        <v>0</v>
      </c>
      <c r="Q60" s="28">
        <f ca="1">SOLID!U75</f>
        <v>0</v>
      </c>
      <c r="R60" s="28">
        <f ca="1">SOLID!V75</f>
        <v>0</v>
      </c>
      <c r="S60" s="28">
        <f ca="1">SOLID!W75</f>
        <v>0</v>
      </c>
      <c r="T60" s="28">
        <f ca="1">SOLID!X75</f>
        <v>0</v>
      </c>
      <c r="U60" s="28">
        <f ca="1">SOLID!Y75</f>
        <v>0</v>
      </c>
      <c r="V60" s="28">
        <f ca="1">SOLID!Z75</f>
        <v>0</v>
      </c>
      <c r="W60" s="28">
        <f ca="1">SOLID!AA75</f>
        <v>0</v>
      </c>
      <c r="X60" s="28">
        <f ca="1">SOLID!AB75</f>
        <v>0</v>
      </c>
      <c r="Y60" s="28">
        <f ca="1">SOLID!AC75</f>
        <v>0</v>
      </c>
      <c r="Z60" s="28">
        <f ca="1">SOLID!AD75</f>
        <v>0</v>
      </c>
      <c r="AA60" s="28">
        <f ca="1">SOLID!AE75</f>
        <v>0</v>
      </c>
      <c r="AB60" s="28">
        <f ca="1">SOLID!AF75</f>
        <v>0</v>
      </c>
      <c r="AC60" s="28">
        <f ca="1">SOLID!AG75</f>
        <v>0</v>
      </c>
      <c r="AD60" s="28">
        <f ca="1">SOLID!AH75</f>
        <v>0</v>
      </c>
      <c r="AE60" s="28">
        <f ca="1">SOLID!AI75</f>
        <v>0</v>
      </c>
      <c r="AF60" s="28">
        <f ca="1">SOLID!AJ75</f>
        <v>0</v>
      </c>
      <c r="AG60" s="28">
        <f ca="1">SOLID!AK75</f>
        <v>0</v>
      </c>
      <c r="AH60" s="28">
        <f ca="1">SOLID!AL75</f>
        <v>0</v>
      </c>
      <c r="AI60" s="28">
        <f>SOLID!AM75</f>
        <v>0</v>
      </c>
    </row>
    <row r="61" spans="1:35" ht="21.75" hidden="1" outlineLevel="1" thickBot="1" x14ac:dyDescent="0.4">
      <c r="A61" s="61">
        <f>SOLID!E76</f>
        <v>0</v>
      </c>
      <c r="B61" s="28">
        <f ca="1">SOLID!F76</f>
        <v>0</v>
      </c>
      <c r="C61" s="28">
        <f ca="1">SOLID!G76</f>
        <v>0</v>
      </c>
      <c r="D61" s="28">
        <f ca="1">SOLID!H76</f>
        <v>0</v>
      </c>
      <c r="E61" s="28">
        <f ca="1">SOLID!I76</f>
        <v>0</v>
      </c>
      <c r="F61" s="28">
        <f ca="1">SOLID!J76</f>
        <v>0</v>
      </c>
      <c r="G61" s="28">
        <f ca="1">SOLID!K76</f>
        <v>0</v>
      </c>
      <c r="H61" s="28">
        <f ca="1">SOLID!L76</f>
        <v>0</v>
      </c>
      <c r="I61" s="28">
        <f ca="1">SOLID!M76</f>
        <v>0</v>
      </c>
      <c r="J61" s="28">
        <f ca="1">SOLID!N76</f>
        <v>0</v>
      </c>
      <c r="K61" s="28">
        <f ca="1">SOLID!O76</f>
        <v>0</v>
      </c>
      <c r="L61" s="28">
        <f ca="1">SOLID!P76</f>
        <v>0</v>
      </c>
      <c r="M61" s="28">
        <f ca="1">SOLID!Q76</f>
        <v>0</v>
      </c>
      <c r="N61" s="28">
        <f ca="1">SOLID!R76</f>
        <v>0</v>
      </c>
      <c r="O61" s="28">
        <f ca="1">SOLID!S76</f>
        <v>0</v>
      </c>
      <c r="P61" s="28">
        <f ca="1">SOLID!T76</f>
        <v>0</v>
      </c>
      <c r="Q61" s="28">
        <f ca="1">SOLID!U76</f>
        <v>0</v>
      </c>
      <c r="R61" s="28">
        <f ca="1">SOLID!V76</f>
        <v>0</v>
      </c>
      <c r="S61" s="28">
        <f ca="1">SOLID!W76</f>
        <v>0</v>
      </c>
      <c r="T61" s="28">
        <f ca="1">SOLID!X76</f>
        <v>0</v>
      </c>
      <c r="U61" s="28">
        <f ca="1">SOLID!Y76</f>
        <v>0</v>
      </c>
      <c r="V61" s="28">
        <f ca="1">SOLID!Z76</f>
        <v>0</v>
      </c>
      <c r="W61" s="28">
        <f ca="1">SOLID!AA76</f>
        <v>0</v>
      </c>
      <c r="X61" s="28">
        <f ca="1">SOLID!AB76</f>
        <v>0</v>
      </c>
      <c r="Y61" s="28">
        <f ca="1">SOLID!AC76</f>
        <v>0</v>
      </c>
      <c r="Z61" s="28">
        <f ca="1">SOLID!AD76</f>
        <v>0</v>
      </c>
      <c r="AA61" s="28">
        <f ca="1">SOLID!AE76</f>
        <v>0</v>
      </c>
      <c r="AB61" s="28">
        <f ca="1">SOLID!AF76</f>
        <v>0</v>
      </c>
      <c r="AC61" s="28">
        <f ca="1">SOLID!AG76</f>
        <v>0</v>
      </c>
      <c r="AD61" s="28">
        <f ca="1">SOLID!AH76</f>
        <v>0</v>
      </c>
      <c r="AE61" s="28">
        <f ca="1">SOLID!AI76</f>
        <v>0</v>
      </c>
      <c r="AF61" s="28">
        <f ca="1">SOLID!AJ76</f>
        <v>0</v>
      </c>
      <c r="AG61" s="28">
        <f ca="1">SOLID!AK76</f>
        <v>0</v>
      </c>
      <c r="AH61" s="28">
        <f ca="1">SOLID!AL76</f>
        <v>0</v>
      </c>
      <c r="AI61" s="28">
        <f>SOLID!AM76</f>
        <v>0</v>
      </c>
    </row>
    <row r="62" spans="1:35" ht="21.75" hidden="1" outlineLevel="1" thickBot="1" x14ac:dyDescent="0.4">
      <c r="A62" s="61">
        <f>SOLID!E77</f>
        <v>0</v>
      </c>
      <c r="B62" s="28">
        <f ca="1">SOLID!F77</f>
        <v>0</v>
      </c>
      <c r="C62" s="28">
        <f ca="1">SOLID!G77</f>
        <v>0</v>
      </c>
      <c r="D62" s="28">
        <f ca="1">SOLID!H77</f>
        <v>0</v>
      </c>
      <c r="E62" s="28">
        <f ca="1">SOLID!I77</f>
        <v>0</v>
      </c>
      <c r="F62" s="28">
        <f ca="1">SOLID!J77</f>
        <v>0</v>
      </c>
      <c r="G62" s="28">
        <f ca="1">SOLID!K77</f>
        <v>0</v>
      </c>
      <c r="H62" s="28">
        <f ca="1">SOLID!L77</f>
        <v>0</v>
      </c>
      <c r="I62" s="28">
        <f ca="1">SOLID!M77</f>
        <v>0</v>
      </c>
      <c r="J62" s="28">
        <f ca="1">SOLID!N77</f>
        <v>0</v>
      </c>
      <c r="K62" s="28">
        <f ca="1">SOLID!O77</f>
        <v>0</v>
      </c>
      <c r="L62" s="28">
        <f ca="1">SOLID!P77</f>
        <v>0</v>
      </c>
      <c r="M62" s="28">
        <f ca="1">SOLID!Q77</f>
        <v>0</v>
      </c>
      <c r="N62" s="28">
        <f ca="1">SOLID!R77</f>
        <v>0</v>
      </c>
      <c r="O62" s="28">
        <f ca="1">SOLID!S77</f>
        <v>0</v>
      </c>
      <c r="P62" s="28">
        <f ca="1">SOLID!T77</f>
        <v>0</v>
      </c>
      <c r="Q62" s="28">
        <f ca="1">SOLID!U77</f>
        <v>0</v>
      </c>
      <c r="R62" s="28">
        <f ca="1">SOLID!V77</f>
        <v>0</v>
      </c>
      <c r="S62" s="28">
        <f ca="1">SOLID!W77</f>
        <v>0</v>
      </c>
      <c r="T62" s="28">
        <f ca="1">SOLID!X77</f>
        <v>0</v>
      </c>
      <c r="U62" s="28">
        <f ca="1">SOLID!Y77</f>
        <v>0</v>
      </c>
      <c r="V62" s="28">
        <f ca="1">SOLID!Z77</f>
        <v>0</v>
      </c>
      <c r="W62" s="28">
        <f ca="1">SOLID!AA77</f>
        <v>0</v>
      </c>
      <c r="X62" s="28">
        <f ca="1">SOLID!AB77</f>
        <v>0</v>
      </c>
      <c r="Y62" s="28">
        <f ca="1">SOLID!AC77</f>
        <v>0</v>
      </c>
      <c r="Z62" s="28">
        <f ca="1">SOLID!AD77</f>
        <v>0</v>
      </c>
      <c r="AA62" s="28">
        <f ca="1">SOLID!AE77</f>
        <v>0</v>
      </c>
      <c r="AB62" s="28">
        <f ca="1">SOLID!AF77</f>
        <v>0</v>
      </c>
      <c r="AC62" s="28">
        <f ca="1">SOLID!AG77</f>
        <v>0</v>
      </c>
      <c r="AD62" s="28">
        <f ca="1">SOLID!AH77</f>
        <v>0</v>
      </c>
      <c r="AE62" s="28">
        <f ca="1">SOLID!AI77</f>
        <v>0</v>
      </c>
      <c r="AF62" s="28">
        <f ca="1">SOLID!AJ77</f>
        <v>0</v>
      </c>
      <c r="AG62" s="28">
        <f ca="1">SOLID!AK77</f>
        <v>0</v>
      </c>
      <c r="AH62" s="28">
        <f ca="1">SOLID!AL77</f>
        <v>0</v>
      </c>
      <c r="AI62" s="28">
        <f>SOLID!AM77</f>
        <v>0</v>
      </c>
    </row>
    <row r="63" spans="1:35" ht="21.75" hidden="1" outlineLevel="1" thickBot="1" x14ac:dyDescent="0.4">
      <c r="A63" s="61">
        <f>SOLID!E78</f>
        <v>0</v>
      </c>
      <c r="B63" s="28">
        <f ca="1">SOLID!F78</f>
        <v>0</v>
      </c>
      <c r="C63" s="28">
        <f ca="1">SOLID!G78</f>
        <v>0</v>
      </c>
      <c r="D63" s="28">
        <f ca="1">SOLID!H78</f>
        <v>0</v>
      </c>
      <c r="E63" s="28">
        <f ca="1">SOLID!I78</f>
        <v>0</v>
      </c>
      <c r="F63" s="28">
        <f ca="1">SOLID!J78</f>
        <v>0</v>
      </c>
      <c r="G63" s="28">
        <f ca="1">SOLID!K78</f>
        <v>0</v>
      </c>
      <c r="H63" s="28">
        <f ca="1">SOLID!L78</f>
        <v>0</v>
      </c>
      <c r="I63" s="28">
        <f ca="1">SOLID!M78</f>
        <v>0</v>
      </c>
      <c r="J63" s="28">
        <f ca="1">SOLID!N78</f>
        <v>0</v>
      </c>
      <c r="K63" s="28">
        <f ca="1">SOLID!O78</f>
        <v>0</v>
      </c>
      <c r="L63" s="28">
        <f ca="1">SOLID!P78</f>
        <v>0</v>
      </c>
      <c r="M63" s="28">
        <f ca="1">SOLID!Q78</f>
        <v>0</v>
      </c>
      <c r="N63" s="28">
        <f ca="1">SOLID!R78</f>
        <v>0</v>
      </c>
      <c r="O63" s="28">
        <f ca="1">SOLID!S78</f>
        <v>0</v>
      </c>
      <c r="P63" s="28">
        <f ca="1">SOLID!T78</f>
        <v>0</v>
      </c>
      <c r="Q63" s="28">
        <f ca="1">SOLID!U78</f>
        <v>0</v>
      </c>
      <c r="R63" s="28">
        <f ca="1">SOLID!V78</f>
        <v>0</v>
      </c>
      <c r="S63" s="28">
        <f ca="1">SOLID!W78</f>
        <v>0</v>
      </c>
      <c r="T63" s="28">
        <f ca="1">SOLID!X78</f>
        <v>0</v>
      </c>
      <c r="U63" s="28">
        <f ca="1">SOLID!Y78</f>
        <v>0</v>
      </c>
      <c r="V63" s="28">
        <f ca="1">SOLID!Z78</f>
        <v>0</v>
      </c>
      <c r="W63" s="28">
        <f ca="1">SOLID!AA78</f>
        <v>0</v>
      </c>
      <c r="X63" s="28">
        <f ca="1">SOLID!AB78</f>
        <v>0</v>
      </c>
      <c r="Y63" s="28">
        <f ca="1">SOLID!AC78</f>
        <v>0</v>
      </c>
      <c r="Z63" s="28">
        <f ca="1">SOLID!AD78</f>
        <v>0</v>
      </c>
      <c r="AA63" s="28">
        <f ca="1">SOLID!AE78</f>
        <v>0</v>
      </c>
      <c r="AB63" s="28">
        <f ca="1">SOLID!AF78</f>
        <v>0</v>
      </c>
      <c r="AC63" s="28">
        <f ca="1">SOLID!AG78</f>
        <v>0</v>
      </c>
      <c r="AD63" s="28">
        <f ca="1">SOLID!AH78</f>
        <v>0</v>
      </c>
      <c r="AE63" s="28">
        <f ca="1">SOLID!AI78</f>
        <v>0</v>
      </c>
      <c r="AF63" s="28">
        <f ca="1">SOLID!AJ78</f>
        <v>0</v>
      </c>
      <c r="AG63" s="28">
        <f ca="1">SOLID!AK78</f>
        <v>0</v>
      </c>
      <c r="AH63" s="28">
        <f ca="1">SOLID!AL78</f>
        <v>0</v>
      </c>
      <c r="AI63" s="28">
        <f>SOLID!AM78</f>
        <v>0</v>
      </c>
    </row>
    <row r="64" spans="1:35" ht="21.75" hidden="1" outlineLevel="1" thickBot="1" x14ac:dyDescent="0.4">
      <c r="A64" s="61">
        <f>SOLID!E79</f>
        <v>1</v>
      </c>
      <c r="B64" s="28">
        <f>SOLID!F79</f>
        <v>0</v>
      </c>
      <c r="C64" s="28">
        <f>SOLID!G79</f>
        <v>0</v>
      </c>
      <c r="D64" s="28">
        <f>SOLID!H79</f>
        <v>0</v>
      </c>
      <c r="E64" s="28">
        <f>SOLID!I79</f>
        <v>0</v>
      </c>
      <c r="F64" s="28">
        <f>SOLID!J79</f>
        <v>0</v>
      </c>
      <c r="G64" s="28">
        <f>SOLID!K79</f>
        <v>0</v>
      </c>
      <c r="H64" s="28">
        <f>SOLID!L79</f>
        <v>0</v>
      </c>
      <c r="I64" s="28">
        <f>SOLID!M79</f>
        <v>0</v>
      </c>
      <c r="J64" s="28">
        <f>SOLID!N79</f>
        <v>0</v>
      </c>
      <c r="K64" s="28">
        <f>SOLID!O79</f>
        <v>0</v>
      </c>
      <c r="L64" s="28">
        <f>SOLID!P79</f>
        <v>0</v>
      </c>
      <c r="M64" s="28">
        <f>SOLID!Q79</f>
        <v>0</v>
      </c>
      <c r="N64" s="28">
        <f>SOLID!R79</f>
        <v>0</v>
      </c>
      <c r="O64" s="28">
        <f>SOLID!S79</f>
        <v>0</v>
      </c>
      <c r="P64" s="28">
        <f>SOLID!T79</f>
        <v>0</v>
      </c>
      <c r="Q64" s="28">
        <f>SOLID!U79</f>
        <v>0</v>
      </c>
      <c r="R64" s="28">
        <f>SOLID!V79</f>
        <v>0</v>
      </c>
      <c r="S64" s="28">
        <f>SOLID!W79</f>
        <v>0</v>
      </c>
      <c r="T64" s="28">
        <f>SOLID!X79</f>
        <v>0</v>
      </c>
      <c r="U64" s="28">
        <f>SOLID!Y79</f>
        <v>0</v>
      </c>
      <c r="V64" s="28">
        <f>SOLID!Z79</f>
        <v>0</v>
      </c>
      <c r="W64" s="28">
        <f>SOLID!AA79</f>
        <v>0</v>
      </c>
      <c r="X64" s="28">
        <f>SOLID!AB79</f>
        <v>0</v>
      </c>
      <c r="Y64" s="28">
        <f>SOLID!AC79</f>
        <v>0</v>
      </c>
      <c r="Z64" s="28">
        <f>SOLID!AD79</f>
        <v>0</v>
      </c>
      <c r="AA64" s="28">
        <f>SOLID!AE79</f>
        <v>0</v>
      </c>
      <c r="AB64" s="28">
        <f>SOLID!AF79</f>
        <v>0</v>
      </c>
      <c r="AC64" s="28">
        <f>SOLID!AG79</f>
        <v>0</v>
      </c>
      <c r="AD64" s="28">
        <f>SOLID!AH79</f>
        <v>0</v>
      </c>
      <c r="AE64" s="28">
        <f>SOLID!AI79</f>
        <v>0</v>
      </c>
      <c r="AF64" s="28">
        <f>SOLID!AJ79</f>
        <v>0</v>
      </c>
      <c r="AG64" s="28">
        <f>SOLID!AK79</f>
        <v>0</v>
      </c>
      <c r="AH64" s="28">
        <f>SOLID!AL79</f>
        <v>0</v>
      </c>
      <c r="AI64" s="28">
        <f>SOLID!AM79</f>
        <v>0</v>
      </c>
    </row>
    <row r="65" spans="1:35" ht="22.5" collapsed="1" thickTop="1" thickBot="1" x14ac:dyDescent="0.4">
      <c r="A65" s="64"/>
    </row>
    <row r="66" spans="1:35" ht="22.5" thickTop="1" thickBot="1" x14ac:dyDescent="0.4">
      <c r="A66" s="9" t="s">
        <v>39</v>
      </c>
      <c r="B66" s="9">
        <f>ALL!F49</f>
        <v>273.10000000000002</v>
      </c>
      <c r="C66" s="9">
        <f>ALL!G49</f>
        <v>293.3</v>
      </c>
      <c r="D66" s="9">
        <f>ALL!H49</f>
        <v>313.5</v>
      </c>
      <c r="E66" s="9">
        <f>ALL!I49</f>
        <v>333.7</v>
      </c>
      <c r="F66" s="9">
        <f>ALL!J49</f>
        <v>353.9</v>
      </c>
      <c r="G66" s="9">
        <f>ALL!K49</f>
        <v>434.7</v>
      </c>
      <c r="H66" s="9">
        <f>ALL!L49</f>
        <v>454.9</v>
      </c>
      <c r="I66" s="9">
        <f>ALL!M49</f>
        <v>475.1</v>
      </c>
      <c r="J66" s="9">
        <f>ALL!N49</f>
        <v>495.2</v>
      </c>
      <c r="K66" s="9">
        <f>ALL!O49</f>
        <v>515.4</v>
      </c>
      <c r="L66" s="9">
        <f>ALL!P49</f>
        <v>535.6</v>
      </c>
      <c r="M66" s="9">
        <f>ALL!Q49</f>
        <v>555.79999999999995</v>
      </c>
      <c r="N66" s="9">
        <f>ALL!R49</f>
        <v>576</v>
      </c>
      <c r="O66" s="9">
        <f>ALL!S49</f>
        <v>596.20000000000005</v>
      </c>
      <c r="P66" s="9">
        <f>ALL!T49</f>
        <v>616.4</v>
      </c>
      <c r="Q66" s="9">
        <f>ALL!U49</f>
        <v>636.6</v>
      </c>
      <c r="R66" s="9">
        <f>ALL!V49</f>
        <v>656.8</v>
      </c>
      <c r="S66" s="9">
        <f>ALL!W49</f>
        <v>677</v>
      </c>
      <c r="T66" s="9">
        <f>ALL!X49</f>
        <v>757.7</v>
      </c>
      <c r="U66" s="9">
        <f>ALL!Y49</f>
        <v>777.9</v>
      </c>
      <c r="V66" s="9">
        <f>ALL!Z49</f>
        <v>798.1</v>
      </c>
      <c r="W66" s="9">
        <f>ALL!AA49</f>
        <v>818.3</v>
      </c>
      <c r="X66" s="9">
        <f>ALL!AB49</f>
        <v>838.5</v>
      </c>
      <c r="Y66" s="9">
        <f>ALL!AC49</f>
        <v>858.7</v>
      </c>
      <c r="Z66" s="9">
        <f>ALL!AD49</f>
        <v>878.9</v>
      </c>
      <c r="AA66" s="9">
        <f>ALL!AE49</f>
        <v>899</v>
      </c>
      <c r="AB66" s="9">
        <f>ALL!AF49</f>
        <v>919.2</v>
      </c>
      <c r="AC66" s="9">
        <f>ALL!AG49</f>
        <v>1000</v>
      </c>
      <c r="AD66" s="9">
        <f>ALL!AH49</f>
        <v>0</v>
      </c>
      <c r="AE66" s="9">
        <f>ALL!AI49</f>
        <v>0</v>
      </c>
      <c r="AF66" s="9">
        <f>ALL!AJ49</f>
        <v>0</v>
      </c>
      <c r="AG66" s="9">
        <f>ALL!AK49</f>
        <v>0</v>
      </c>
      <c r="AH66" s="9">
        <f>ALL!AL49</f>
        <v>0</v>
      </c>
      <c r="AI66" s="9">
        <f>ALL!AM49</f>
        <v>0</v>
      </c>
    </row>
    <row r="67" spans="1:35" ht="22.5" outlineLevel="1" thickTop="1" thickBot="1" x14ac:dyDescent="0.4">
      <c r="A67" s="62" t="str">
        <f>ALL!E50</f>
        <v>*GeSe</v>
      </c>
      <c r="B67" s="28">
        <f ca="1">ALL!F50</f>
        <v>-40.58</v>
      </c>
      <c r="C67" s="28">
        <f ca="1">ALL!G50</f>
        <v>-38.43</v>
      </c>
      <c r="D67" s="28">
        <f ca="1">ALL!H50</f>
        <v>-36.56</v>
      </c>
      <c r="E67" s="28">
        <f ca="1">ALL!I50</f>
        <v>-34.9</v>
      </c>
      <c r="F67" s="28">
        <f ca="1">ALL!J50</f>
        <v>-33.46</v>
      </c>
      <c r="G67" s="28">
        <f ca="1">ALL!K50</f>
        <v>-29.512999999999998</v>
      </c>
      <c r="H67" s="28">
        <f ca="1">ALL!L50</f>
        <v>-28.981999999999999</v>
      </c>
      <c r="I67" s="28">
        <f ca="1">ALL!M50</f>
        <v>-28.678999999999998</v>
      </c>
      <c r="J67" s="28">
        <f ca="1">ALL!N50</f>
        <v>-28.610999999999997</v>
      </c>
      <c r="K67" s="28">
        <f ca="1">ALL!O50</f>
        <v>-28.720999999999997</v>
      </c>
      <c r="L67" s="28">
        <f ca="1">ALL!P50</f>
        <v>-28.957999999999998</v>
      </c>
      <c r="M67" s="28">
        <f ca="1">ALL!Q50</f>
        <v>-29.25</v>
      </c>
      <c r="N67" s="28">
        <f ca="1">ALL!R50</f>
        <v>-29.573</v>
      </c>
      <c r="O67" s="28">
        <f ca="1">ALL!S50</f>
        <v>-29.905000000000001</v>
      </c>
      <c r="P67" s="28">
        <f ca="1">ALL!T50</f>
        <v>-30.230999999999998</v>
      </c>
      <c r="Q67" s="28">
        <f ca="1">ALL!U50</f>
        <v>-30.57</v>
      </c>
      <c r="R67" s="28">
        <f ca="1">ALL!V50</f>
        <v>-30.902999999999999</v>
      </c>
      <c r="S67" s="28">
        <f ca="1">ALL!W50</f>
        <v>-31.234999999999999</v>
      </c>
      <c r="T67" s="28">
        <f ca="1">ALL!X50</f>
        <v>-32.594000000000001</v>
      </c>
      <c r="U67" s="28">
        <f ca="1">ALL!Y50</f>
        <v>-32.909999999999997</v>
      </c>
      <c r="V67" s="28">
        <f ca="1">ALL!Z50</f>
        <v>-33.235999999999997</v>
      </c>
      <c r="W67" s="28">
        <f ca="1">ALL!AA50</f>
        <v>-33.551000000000002</v>
      </c>
      <c r="X67" s="28">
        <f ca="1">ALL!AB50</f>
        <v>-33.867999999999995</v>
      </c>
      <c r="Y67" s="28">
        <f ca="1">ALL!AC50</f>
        <v>-34.173000000000002</v>
      </c>
      <c r="Z67" s="28">
        <f ca="1">ALL!AD50</f>
        <v>-34.423999999999999</v>
      </c>
      <c r="AA67" s="28">
        <f ca="1">ALL!AE50</f>
        <v>-34.694000000000003</v>
      </c>
      <c r="AB67" s="28">
        <f ca="1">ALL!AF50</f>
        <v>-34.973999999999997</v>
      </c>
      <c r="AC67" s="28">
        <f ca="1">ALL!AG50</f>
        <v>-36.084000000000003</v>
      </c>
      <c r="AD67" s="28">
        <f ca="1">ALL!AH50</f>
        <v>0</v>
      </c>
      <c r="AE67" s="28">
        <f ca="1">ALL!AI50</f>
        <v>0</v>
      </c>
      <c r="AF67" s="28">
        <f ca="1">ALL!AJ50</f>
        <v>0</v>
      </c>
      <c r="AG67" s="28">
        <f ca="1">ALL!AK50</f>
        <v>0</v>
      </c>
      <c r="AH67" s="28">
        <f ca="1">ALL!AL50</f>
        <v>0</v>
      </c>
      <c r="AI67" s="28">
        <f>ALL!AM50</f>
        <v>0</v>
      </c>
    </row>
    <row r="68" spans="1:35" ht="21.75" outlineLevel="1" thickBot="1" x14ac:dyDescent="0.4">
      <c r="A68" s="62" t="str">
        <f>ALL!E51</f>
        <v>*Ga[l]</v>
      </c>
      <c r="B68" s="28">
        <f ca="1">ALL!F51</f>
        <v>-66.75</v>
      </c>
      <c r="C68" s="28">
        <f ca="1">ALL!G51</f>
        <v>-62.38</v>
      </c>
      <c r="D68" s="28">
        <f ca="1">ALL!H51</f>
        <v>-58.23</v>
      </c>
      <c r="E68" s="28">
        <f ca="1">ALL!I51</f>
        <v>-54.11</v>
      </c>
      <c r="F68" s="28">
        <f ca="1">ALL!J51</f>
        <v>-50.02</v>
      </c>
      <c r="G68" s="28">
        <f ca="1">ALL!K51</f>
        <v>-36.159999999999997</v>
      </c>
      <c r="H68" s="28">
        <f ca="1">ALL!L51</f>
        <v>-33.5</v>
      </c>
      <c r="I68" s="28">
        <f ca="1">ALL!M51</f>
        <v>-31.09</v>
      </c>
      <c r="J68" s="28">
        <f ca="1">ALL!N51</f>
        <v>-28.84</v>
      </c>
      <c r="K68" s="28">
        <f ca="1">ALL!O51</f>
        <v>-26.68</v>
      </c>
      <c r="L68" s="28">
        <f ca="1">ALL!P51</f>
        <v>-24.62</v>
      </c>
      <c r="M68" s="28">
        <f ca="1">ALL!Q51</f>
        <v>-22.66</v>
      </c>
      <c r="N68" s="28">
        <f ca="1">ALL!R51</f>
        <v>-20.81</v>
      </c>
      <c r="O68" s="28">
        <f ca="1">ALL!S51</f>
        <v>-19.059999999999999</v>
      </c>
      <c r="P68" s="28">
        <f ca="1">ALL!T51</f>
        <v>-17.399999999999999</v>
      </c>
      <c r="Q68" s="28">
        <f ca="1">ALL!U51</f>
        <v>-15.83</v>
      </c>
      <c r="R68" s="28">
        <f ca="1">ALL!V51</f>
        <v>-14.36</v>
      </c>
      <c r="S68" s="28">
        <f ca="1">ALL!W51</f>
        <v>-13.01</v>
      </c>
      <c r="T68" s="28">
        <f ca="1">ALL!X51</f>
        <v>-9.8030000000000008</v>
      </c>
      <c r="U68" s="28">
        <f ca="1">ALL!Y51</f>
        <v>-9.3119999999999994</v>
      </c>
      <c r="V68" s="28">
        <f ca="1">ALL!Z51</f>
        <v>-8.8580000000000005</v>
      </c>
      <c r="W68" s="28">
        <f ca="1">ALL!AA51</f>
        <v>-8.4390000000000001</v>
      </c>
      <c r="X68" s="28">
        <f ca="1">ALL!AB51</f>
        <v>-8.0500000000000007</v>
      </c>
      <c r="Y68" s="28">
        <f ca="1">ALL!AC51</f>
        <v>-7.7050000000000001</v>
      </c>
      <c r="Z68" s="28">
        <f ca="1">ALL!AD51</f>
        <v>-7.774</v>
      </c>
      <c r="AA68" s="28">
        <f ca="1">ALL!AE51</f>
        <v>-7.8449999999999998</v>
      </c>
      <c r="AB68" s="28">
        <f ca="1">ALL!AF51</f>
        <v>-7.915</v>
      </c>
      <c r="AC68" s="28">
        <f ca="1">ALL!AG51</f>
        <v>-8.1869999999999994</v>
      </c>
      <c r="AD68" s="28">
        <f ca="1">ALL!AH51</f>
        <v>0</v>
      </c>
      <c r="AE68" s="28">
        <f ca="1">ALL!AI51</f>
        <v>0</v>
      </c>
      <c r="AF68" s="28">
        <f ca="1">ALL!AJ51</f>
        <v>0</v>
      </c>
      <c r="AG68" s="28">
        <f ca="1">ALL!AK51</f>
        <v>0</v>
      </c>
      <c r="AH68" s="28">
        <f ca="1">ALL!AL51</f>
        <v>0</v>
      </c>
      <c r="AI68" s="28">
        <f>ALL!AM51</f>
        <v>0</v>
      </c>
    </row>
    <row r="69" spans="1:35" ht="21.75" outlineLevel="1" thickBot="1" x14ac:dyDescent="0.4">
      <c r="A69" s="62" t="str">
        <f>ALL!E52</f>
        <v>*Se[m]</v>
      </c>
      <c r="B69" s="28">
        <f ca="1">ALL!F52</f>
        <v>-23.56</v>
      </c>
      <c r="C69" s="28">
        <f ca="1">ALL!G52</f>
        <v>-22.33</v>
      </c>
      <c r="D69" s="28">
        <f ca="1">ALL!H52</f>
        <v>-21.52</v>
      </c>
      <c r="E69" s="28">
        <f ca="1">ALL!I52</f>
        <v>-21.15</v>
      </c>
      <c r="F69" s="28">
        <f ca="1">ALL!J52</f>
        <v>-21.13</v>
      </c>
      <c r="G69" s="28">
        <f ca="1">ALL!K52</f>
        <v>-22.02</v>
      </c>
      <c r="H69" s="28">
        <f ca="1">ALL!L52</f>
        <v>-22.21</v>
      </c>
      <c r="I69" s="28">
        <f ca="1">ALL!M52</f>
        <v>-22.38</v>
      </c>
      <c r="J69" s="28">
        <f ca="1">ALL!N52</f>
        <v>-22.58</v>
      </c>
      <c r="K69" s="28">
        <f ca="1">ALL!O52</f>
        <v>-22.81</v>
      </c>
      <c r="L69" s="28">
        <f ca="1">ALL!P52</f>
        <v>-23.08</v>
      </c>
      <c r="M69" s="28">
        <f ca="1">ALL!Q52</f>
        <v>-23.36</v>
      </c>
      <c r="N69" s="28">
        <f ca="1">ALL!R52</f>
        <v>-23.65</v>
      </c>
      <c r="O69" s="28">
        <f ca="1">ALL!S52</f>
        <v>-23.94</v>
      </c>
      <c r="P69" s="28">
        <f ca="1">ALL!T52</f>
        <v>-24.22</v>
      </c>
      <c r="Q69" s="28">
        <f ca="1">ALL!U52</f>
        <v>-24.51</v>
      </c>
      <c r="R69" s="28">
        <f ca="1">ALL!V52</f>
        <v>-24.79</v>
      </c>
      <c r="S69" s="28">
        <f ca="1">ALL!W52</f>
        <v>-25.06</v>
      </c>
      <c r="T69" s="28">
        <f ca="1">ALL!X52</f>
        <v>-26.1</v>
      </c>
      <c r="U69" s="28">
        <f ca="1">ALL!Y52</f>
        <v>-26.36</v>
      </c>
      <c r="V69" s="28">
        <f ca="1">ALL!Z52</f>
        <v>-26.63</v>
      </c>
      <c r="W69" s="28">
        <f ca="1">ALL!AA52</f>
        <v>-26.89</v>
      </c>
      <c r="X69" s="28">
        <f ca="1">ALL!AB52</f>
        <v>-27.15</v>
      </c>
      <c r="Y69" s="28">
        <f ca="1">ALL!AC52</f>
        <v>-27.4</v>
      </c>
      <c r="Z69" s="28">
        <f ca="1">ALL!AD52</f>
        <v>-27.61</v>
      </c>
      <c r="AA69" s="28">
        <f ca="1">ALL!AE52</f>
        <v>-27.84</v>
      </c>
      <c r="AB69" s="28">
        <f ca="1">ALL!AF52</f>
        <v>-28.08</v>
      </c>
      <c r="AC69" s="28">
        <f ca="1">ALL!AG52</f>
        <v>-29.02</v>
      </c>
      <c r="AD69" s="28">
        <f ca="1">ALL!AH52</f>
        <v>0</v>
      </c>
      <c r="AE69" s="28">
        <f ca="1">ALL!AI52</f>
        <v>0</v>
      </c>
      <c r="AF69" s="28">
        <f ca="1">ALL!AJ52</f>
        <v>0</v>
      </c>
      <c r="AG69" s="28">
        <f ca="1">ALL!AK52</f>
        <v>0</v>
      </c>
      <c r="AH69" s="28">
        <f ca="1">ALL!AL52</f>
        <v>0</v>
      </c>
      <c r="AI69" s="28">
        <f>ALL!AM52</f>
        <v>0</v>
      </c>
    </row>
    <row r="70" spans="1:35" ht="21.75" outlineLevel="1" thickBot="1" x14ac:dyDescent="0.4">
      <c r="A70" s="62" t="str">
        <f>ALL!E53</f>
        <v>*GeSe2</v>
      </c>
      <c r="B70" s="28">
        <f ca="1">ALL!F53</f>
        <v>-64.14</v>
      </c>
      <c r="C70" s="28">
        <f ca="1">ALL!G53</f>
        <v>-60.76</v>
      </c>
      <c r="D70" s="28">
        <f ca="1">ALL!H53</f>
        <v>-58.08</v>
      </c>
      <c r="E70" s="28">
        <f ca="1">ALL!I53</f>
        <v>-56.05</v>
      </c>
      <c r="F70" s="28">
        <f ca="1">ALL!J53</f>
        <v>-54.589999999999996</v>
      </c>
      <c r="G70" s="28">
        <f ca="1">ALL!K53</f>
        <v>-51.533000000000001</v>
      </c>
      <c r="H70" s="28">
        <f ca="1">ALL!L53</f>
        <v>-51.192</v>
      </c>
      <c r="I70" s="28">
        <f ca="1">ALL!M53</f>
        <v>-51.058999999999997</v>
      </c>
      <c r="J70" s="28">
        <f ca="1">ALL!N53</f>
        <v>-51.190999999999995</v>
      </c>
      <c r="K70" s="28">
        <f ca="1">ALL!O53</f>
        <v>-51.530999999999999</v>
      </c>
      <c r="L70" s="28">
        <f ca="1">ALL!P53</f>
        <v>-52.037999999999997</v>
      </c>
      <c r="M70" s="28">
        <f ca="1">ALL!Q53</f>
        <v>-52.61</v>
      </c>
      <c r="N70" s="28">
        <f ca="1">ALL!R53</f>
        <v>-53.222999999999999</v>
      </c>
      <c r="O70" s="28">
        <f ca="1">ALL!S53</f>
        <v>-53.844999999999999</v>
      </c>
      <c r="P70" s="28">
        <f ca="1">ALL!T53</f>
        <v>-54.451000000000001</v>
      </c>
      <c r="Q70" s="28">
        <f ca="1">ALL!U53</f>
        <v>-55.080000000000005</v>
      </c>
      <c r="R70" s="28">
        <f ca="1">ALL!V53</f>
        <v>-55.692999999999998</v>
      </c>
      <c r="S70" s="28">
        <f ca="1">ALL!W53</f>
        <v>-56.294999999999995</v>
      </c>
      <c r="T70" s="28">
        <f ca="1">ALL!X53</f>
        <v>-58.694000000000003</v>
      </c>
      <c r="U70" s="28">
        <f ca="1">ALL!Y53</f>
        <v>-59.269999999999996</v>
      </c>
      <c r="V70" s="28">
        <f ca="1">ALL!Z53</f>
        <v>-59.866</v>
      </c>
      <c r="W70" s="28">
        <f ca="1">ALL!AA53</f>
        <v>-60.441000000000003</v>
      </c>
      <c r="X70" s="28">
        <f ca="1">ALL!AB53</f>
        <v>-61.018000000000001</v>
      </c>
      <c r="Y70" s="28">
        <f ca="1">ALL!AC53</f>
        <v>-61.572999999999993</v>
      </c>
      <c r="Z70" s="28">
        <f ca="1">ALL!AD53</f>
        <v>-62.033999999999999</v>
      </c>
      <c r="AA70" s="28">
        <f ca="1">ALL!AE53</f>
        <v>-62.533999999999999</v>
      </c>
      <c r="AB70" s="28">
        <f ca="1">ALL!AF53</f>
        <v>-63.053999999999995</v>
      </c>
      <c r="AC70" s="28">
        <f ca="1">ALL!AG53</f>
        <v>-65.103999999999999</v>
      </c>
      <c r="AD70" s="28">
        <f ca="1">ALL!AH53</f>
        <v>0</v>
      </c>
      <c r="AE70" s="28">
        <f ca="1">ALL!AI53</f>
        <v>0</v>
      </c>
      <c r="AF70" s="28">
        <f ca="1">ALL!AJ53</f>
        <v>0</v>
      </c>
      <c r="AG70" s="28">
        <f ca="1">ALL!AK53</f>
        <v>0</v>
      </c>
      <c r="AH70" s="28">
        <f ca="1">ALL!AL53</f>
        <v>0</v>
      </c>
      <c r="AI70" s="28">
        <f>ALL!AM53</f>
        <v>0</v>
      </c>
    </row>
    <row r="71" spans="1:35" ht="21.75" outlineLevel="1" thickBot="1" x14ac:dyDescent="0.4">
      <c r="A71" s="62" t="str">
        <f>ALL!E54</f>
        <v>Ga2Se3</v>
      </c>
      <c r="B71" s="28">
        <f ca="1">ALL!F54</f>
        <v>-204.18</v>
      </c>
      <c r="C71" s="28">
        <f ca="1">ALL!G54</f>
        <v>-191.75</v>
      </c>
      <c r="D71" s="28">
        <f ca="1">ALL!H54</f>
        <v>-181.01999999999998</v>
      </c>
      <c r="E71" s="28">
        <f ca="1">ALL!I54</f>
        <v>-171.67</v>
      </c>
      <c r="F71" s="28">
        <f ca="1">ALL!J54</f>
        <v>-163.43</v>
      </c>
      <c r="G71" s="28">
        <f ca="1">ALL!K54</f>
        <v>-138.38</v>
      </c>
      <c r="H71" s="28">
        <f ca="1">ALL!L54</f>
        <v>-133.63</v>
      </c>
      <c r="I71" s="28">
        <f ca="1">ALL!M54</f>
        <v>-129.32</v>
      </c>
      <c r="J71" s="28">
        <f ca="1">ALL!N54</f>
        <v>-125.41999999999999</v>
      </c>
      <c r="K71" s="28">
        <f ca="1">ALL!O54</f>
        <v>-121.78999999999999</v>
      </c>
      <c r="L71" s="28">
        <f ca="1">ALL!P54</f>
        <v>-118.47999999999999</v>
      </c>
      <c r="M71" s="28">
        <f ca="1">ALL!Q54</f>
        <v>-115.4</v>
      </c>
      <c r="N71" s="28">
        <f ca="1">ALL!R54</f>
        <v>-112.57</v>
      </c>
      <c r="O71" s="28">
        <f ca="1">ALL!S54</f>
        <v>-109.94</v>
      </c>
      <c r="P71" s="28">
        <f ca="1">ALL!T54</f>
        <v>-107.46</v>
      </c>
      <c r="Q71" s="28">
        <f ca="1">ALL!U54</f>
        <v>-105.19</v>
      </c>
      <c r="R71" s="28">
        <f ca="1">ALL!V54</f>
        <v>-103.09</v>
      </c>
      <c r="S71" s="28">
        <f ca="1">ALL!W54</f>
        <v>-101.19999999999999</v>
      </c>
      <c r="T71" s="28">
        <f ca="1">ALL!X54</f>
        <v>-97.906000000000006</v>
      </c>
      <c r="U71" s="28">
        <f ca="1">ALL!Y54</f>
        <v>-97.703999999999994</v>
      </c>
      <c r="V71" s="28">
        <f ca="1">ALL!Z54</f>
        <v>-97.605999999999995</v>
      </c>
      <c r="W71" s="28">
        <f ca="1">ALL!AA54</f>
        <v>-97.548000000000002</v>
      </c>
      <c r="X71" s="28">
        <f ca="1">ALL!AB54</f>
        <v>-97.549999999999983</v>
      </c>
      <c r="Y71" s="28">
        <f ca="1">ALL!AC54</f>
        <v>-97.609999999999985</v>
      </c>
      <c r="Z71" s="28">
        <f ca="1">ALL!AD54</f>
        <v>-98.378</v>
      </c>
      <c r="AA71" s="28">
        <f ca="1">ALL!AE54</f>
        <v>-99.21</v>
      </c>
      <c r="AB71" s="28">
        <f ca="1">ALL!AF54</f>
        <v>-100.07</v>
      </c>
      <c r="AC71" s="28">
        <f ca="1">ALL!AG54</f>
        <v>-103.434</v>
      </c>
      <c r="AD71" s="28">
        <f ca="1">ALL!AH54</f>
        <v>0</v>
      </c>
      <c r="AE71" s="28">
        <f ca="1">ALL!AI54</f>
        <v>0</v>
      </c>
      <c r="AF71" s="28">
        <f ca="1">ALL!AJ54</f>
        <v>0</v>
      </c>
      <c r="AG71" s="28">
        <f ca="1">ALL!AK54</f>
        <v>0</v>
      </c>
      <c r="AH71" s="28">
        <f ca="1">ALL!AL54</f>
        <v>0</v>
      </c>
      <c r="AI71" s="28">
        <f>ALL!AM54</f>
        <v>0</v>
      </c>
    </row>
    <row r="72" spans="1:35" ht="21.75" outlineLevel="1" thickBot="1" x14ac:dyDescent="0.4">
      <c r="A72" s="62" t="str">
        <f>ALL!E55</f>
        <v>Ga2Se</v>
      </c>
      <c r="B72" s="28">
        <f ca="1">ALL!F55</f>
        <v>-157.06</v>
      </c>
      <c r="C72" s="28">
        <f ca="1">ALL!G55</f>
        <v>-147.09</v>
      </c>
      <c r="D72" s="28">
        <f ca="1">ALL!H55</f>
        <v>-137.97999999999999</v>
      </c>
      <c r="E72" s="28">
        <f ca="1">ALL!I55</f>
        <v>-129.37</v>
      </c>
      <c r="F72" s="28">
        <f ca="1">ALL!J55</f>
        <v>-121.17</v>
      </c>
      <c r="G72" s="28">
        <f ca="1">ALL!K55</f>
        <v>-94.339999999999989</v>
      </c>
      <c r="H72" s="28">
        <f ca="1">ALL!L55</f>
        <v>-89.210000000000008</v>
      </c>
      <c r="I72" s="28">
        <f ca="1">ALL!M55</f>
        <v>-84.56</v>
      </c>
      <c r="J72" s="28">
        <f ca="1">ALL!N55</f>
        <v>-80.259999999999991</v>
      </c>
      <c r="K72" s="28">
        <f ca="1">ALL!O55</f>
        <v>-76.17</v>
      </c>
      <c r="L72" s="28">
        <f ca="1">ALL!P55</f>
        <v>-72.319999999999993</v>
      </c>
      <c r="M72" s="28">
        <f ca="1">ALL!Q55</f>
        <v>-68.680000000000007</v>
      </c>
      <c r="N72" s="28">
        <f ca="1">ALL!R55</f>
        <v>-65.27</v>
      </c>
      <c r="O72" s="28">
        <f ca="1">ALL!S55</f>
        <v>-62.06</v>
      </c>
      <c r="P72" s="28">
        <f ca="1">ALL!T55</f>
        <v>-59.019999999999996</v>
      </c>
      <c r="Q72" s="28">
        <f ca="1">ALL!U55</f>
        <v>-56.17</v>
      </c>
      <c r="R72" s="28">
        <f ca="1">ALL!V55</f>
        <v>-53.51</v>
      </c>
      <c r="S72" s="28">
        <f ca="1">ALL!W55</f>
        <v>-51.08</v>
      </c>
      <c r="T72" s="28">
        <f ca="1">ALL!X55</f>
        <v>-45.706000000000003</v>
      </c>
      <c r="U72" s="28">
        <f ca="1">ALL!Y55</f>
        <v>-44.983999999999995</v>
      </c>
      <c r="V72" s="28">
        <f ca="1">ALL!Z55</f>
        <v>-44.346000000000004</v>
      </c>
      <c r="W72" s="28">
        <f ca="1">ALL!AA55</f>
        <v>-43.768000000000001</v>
      </c>
      <c r="X72" s="28">
        <f ca="1">ALL!AB55</f>
        <v>-43.25</v>
      </c>
      <c r="Y72" s="28">
        <f ca="1">ALL!AC55</f>
        <v>-42.81</v>
      </c>
      <c r="Z72" s="28">
        <f ca="1">ALL!AD55</f>
        <v>-43.158000000000001</v>
      </c>
      <c r="AA72" s="28">
        <f ca="1">ALL!AE55</f>
        <v>-43.53</v>
      </c>
      <c r="AB72" s="28">
        <f ca="1">ALL!AF55</f>
        <v>-43.91</v>
      </c>
      <c r="AC72" s="28">
        <f ca="1">ALL!AG55</f>
        <v>-45.393999999999998</v>
      </c>
      <c r="AD72" s="28">
        <f ca="1">ALL!AH55</f>
        <v>0</v>
      </c>
      <c r="AE72" s="28">
        <f ca="1">ALL!AI55</f>
        <v>0</v>
      </c>
      <c r="AF72" s="28">
        <f ca="1">ALL!AJ55</f>
        <v>0</v>
      </c>
      <c r="AG72" s="28">
        <f ca="1">ALL!AK55</f>
        <v>0</v>
      </c>
      <c r="AH72" s="28">
        <f ca="1">ALL!AL55</f>
        <v>0</v>
      </c>
      <c r="AI72" s="28">
        <f>ALL!AM55</f>
        <v>0</v>
      </c>
    </row>
    <row r="73" spans="1:35" ht="21.75" outlineLevel="1" thickBot="1" x14ac:dyDescent="0.4">
      <c r="A73" s="62" t="str">
        <f>ALL!E56</f>
        <v>Ga</v>
      </c>
      <c r="B73" s="28">
        <f ca="1">ALL!F56</f>
        <v>-66.75</v>
      </c>
      <c r="C73" s="28">
        <f ca="1">ALL!G56</f>
        <v>-62.38</v>
      </c>
      <c r="D73" s="28">
        <f ca="1">ALL!H56</f>
        <v>-58.23</v>
      </c>
      <c r="E73" s="28">
        <f ca="1">ALL!I56</f>
        <v>-54.11</v>
      </c>
      <c r="F73" s="28">
        <f ca="1">ALL!J56</f>
        <v>-50.02</v>
      </c>
      <c r="G73" s="28">
        <f ca="1">ALL!K56</f>
        <v>-36.159999999999997</v>
      </c>
      <c r="H73" s="28">
        <f ca="1">ALL!L56</f>
        <v>-33.5</v>
      </c>
      <c r="I73" s="28">
        <f ca="1">ALL!M56</f>
        <v>-31.09</v>
      </c>
      <c r="J73" s="28">
        <f ca="1">ALL!N56</f>
        <v>-28.84</v>
      </c>
      <c r="K73" s="28">
        <f ca="1">ALL!O56</f>
        <v>-26.68</v>
      </c>
      <c r="L73" s="28">
        <f ca="1">ALL!P56</f>
        <v>-24.62</v>
      </c>
      <c r="M73" s="28">
        <f ca="1">ALL!Q56</f>
        <v>-22.66</v>
      </c>
      <c r="N73" s="28">
        <f ca="1">ALL!R56</f>
        <v>-20.81</v>
      </c>
      <c r="O73" s="28">
        <f ca="1">ALL!S56</f>
        <v>-19.059999999999999</v>
      </c>
      <c r="P73" s="28">
        <f ca="1">ALL!T56</f>
        <v>-17.399999999999999</v>
      </c>
      <c r="Q73" s="28">
        <f ca="1">ALL!U56</f>
        <v>-15.83</v>
      </c>
      <c r="R73" s="28">
        <f ca="1">ALL!V56</f>
        <v>-14.36</v>
      </c>
      <c r="S73" s="28">
        <f ca="1">ALL!W56</f>
        <v>-13.01</v>
      </c>
      <c r="T73" s="28">
        <f ca="1">ALL!X56</f>
        <v>-9.8030000000000008</v>
      </c>
      <c r="U73" s="28">
        <f ca="1">ALL!Y56</f>
        <v>-9.3119999999999994</v>
      </c>
      <c r="V73" s="28">
        <f ca="1">ALL!Z56</f>
        <v>-8.8580000000000005</v>
      </c>
      <c r="W73" s="28">
        <f ca="1">ALL!AA56</f>
        <v>-8.4390000000000001</v>
      </c>
      <c r="X73" s="28">
        <f ca="1">ALL!AB56</f>
        <v>-8.0500000000000007</v>
      </c>
      <c r="Y73" s="28">
        <f ca="1">ALL!AC56</f>
        <v>-7.7050000000000001</v>
      </c>
      <c r="Z73" s="28">
        <f ca="1">ALL!AD56</f>
        <v>-7.774</v>
      </c>
      <c r="AA73" s="28">
        <f ca="1">ALL!AE56</f>
        <v>-7.8449999999999998</v>
      </c>
      <c r="AB73" s="28">
        <f ca="1">ALL!AF56</f>
        <v>-7.915</v>
      </c>
      <c r="AC73" s="28">
        <f ca="1">ALL!AG56</f>
        <v>-8.1869999999999994</v>
      </c>
      <c r="AD73" s="28">
        <f ca="1">ALL!AH56</f>
        <v>0</v>
      </c>
      <c r="AE73" s="28">
        <f ca="1">ALL!AI56</f>
        <v>0</v>
      </c>
      <c r="AF73" s="28">
        <f ca="1">ALL!AJ56</f>
        <v>0</v>
      </c>
      <c r="AG73" s="28">
        <f ca="1">ALL!AK56</f>
        <v>0</v>
      </c>
      <c r="AH73" s="28">
        <f ca="1">ALL!AL56</f>
        <v>0</v>
      </c>
      <c r="AI73" s="28">
        <f>ALL!AM56</f>
        <v>0</v>
      </c>
    </row>
    <row r="74" spans="1:35" ht="21.75" outlineLevel="1" thickBot="1" x14ac:dyDescent="0.4">
      <c r="A74" s="62" t="str">
        <f>ALL!E57</f>
        <v>Ar</v>
      </c>
      <c r="B74" s="28">
        <f ca="1">ALL!F57</f>
        <v>-18.71</v>
      </c>
      <c r="C74" s="28">
        <f ca="1">ALL!G57</f>
        <v>-18.7</v>
      </c>
      <c r="D74" s="28">
        <f ca="1">ALL!H57</f>
        <v>-18.7</v>
      </c>
      <c r="E74" s="28">
        <f ca="1">ALL!I57</f>
        <v>-18.7</v>
      </c>
      <c r="F74" s="28">
        <f ca="1">ALL!J57</f>
        <v>-18.72</v>
      </c>
      <c r="G74" s="28">
        <f ca="1">ALL!K57</f>
        <v>-18.829999999999998</v>
      </c>
      <c r="H74" s="28">
        <f ca="1">ALL!L57</f>
        <v>-18.87</v>
      </c>
      <c r="I74" s="28">
        <f ca="1">ALL!M57</f>
        <v>-18.899999999999999</v>
      </c>
      <c r="J74" s="28">
        <f ca="1">ALL!N57</f>
        <v>-18.940000000000001</v>
      </c>
      <c r="K74" s="28">
        <f ca="1">ALL!O57</f>
        <v>-18.98</v>
      </c>
      <c r="L74" s="28">
        <f ca="1">ALL!P57</f>
        <v>-19.02</v>
      </c>
      <c r="M74" s="28">
        <f ca="1">ALL!Q57</f>
        <v>-19.059999999999999</v>
      </c>
      <c r="N74" s="28">
        <f ca="1">ALL!R57</f>
        <v>-19.100000000000001</v>
      </c>
      <c r="O74" s="28">
        <f ca="1">ALL!S57</f>
        <v>-19.14</v>
      </c>
      <c r="P74" s="28">
        <f ca="1">ALL!T57</f>
        <v>-19.18</v>
      </c>
      <c r="Q74" s="28">
        <f ca="1">ALL!U57</f>
        <v>-19.23</v>
      </c>
      <c r="R74" s="28">
        <f ca="1">ALL!V57</f>
        <v>-19.27</v>
      </c>
      <c r="S74" s="28">
        <f ca="1">ALL!W57</f>
        <v>-19.3</v>
      </c>
      <c r="T74" s="28">
        <f ca="1">ALL!X57</f>
        <v>-19.43</v>
      </c>
      <c r="U74" s="28">
        <f ca="1">ALL!Y57</f>
        <v>-19.47</v>
      </c>
      <c r="V74" s="28">
        <f ca="1">ALL!Z57</f>
        <v>-19.510000000000002</v>
      </c>
      <c r="W74" s="28">
        <f ca="1">ALL!AA57</f>
        <v>-19.55</v>
      </c>
      <c r="X74" s="28">
        <f ca="1">ALL!AB57</f>
        <v>-19.59</v>
      </c>
      <c r="Y74" s="28">
        <f ca="1">ALL!AC57</f>
        <v>-19.62</v>
      </c>
      <c r="Z74" s="28">
        <f ca="1">ALL!AD57</f>
        <v>-19.66</v>
      </c>
      <c r="AA74" s="28">
        <f ca="1">ALL!AE57</f>
        <v>-19.7</v>
      </c>
      <c r="AB74" s="28">
        <f ca="1">ALL!AF57</f>
        <v>-19.739999999999998</v>
      </c>
      <c r="AC74" s="28">
        <f ca="1">ALL!AG57</f>
        <v>-19.88</v>
      </c>
      <c r="AD74" s="28">
        <f ca="1">ALL!AH57</f>
        <v>0</v>
      </c>
      <c r="AE74" s="28">
        <f ca="1">ALL!AI57</f>
        <v>0</v>
      </c>
      <c r="AF74" s="28">
        <f ca="1">ALL!AJ57</f>
        <v>0</v>
      </c>
      <c r="AG74" s="28">
        <f ca="1">ALL!AK57</f>
        <v>0</v>
      </c>
      <c r="AH74" s="28">
        <f ca="1">ALL!AL57</f>
        <v>0</v>
      </c>
      <c r="AI74" s="28">
        <f>ALL!AM57</f>
        <v>0</v>
      </c>
    </row>
    <row r="75" spans="1:35" ht="21.75" outlineLevel="1" thickBot="1" x14ac:dyDescent="0.4">
      <c r="A75" s="62" t="str">
        <f>ALL!E58</f>
        <v>(1)GeSe2</v>
      </c>
      <c r="B75" s="28">
        <f ca="1">ALL!F58</f>
        <v>-64.14</v>
      </c>
      <c r="C75" s="28">
        <f ca="1">ALL!G58</f>
        <v>-60.76</v>
      </c>
      <c r="D75" s="28">
        <f ca="1">ALL!H58</f>
        <v>-58.08</v>
      </c>
      <c r="E75" s="28">
        <f ca="1">ALL!I58</f>
        <v>-56.05</v>
      </c>
      <c r="F75" s="28">
        <f ca="1">ALL!J58</f>
        <v>-54.589999999999996</v>
      </c>
      <c r="G75" s="28">
        <f ca="1">ALL!K58</f>
        <v>-51.533000000000001</v>
      </c>
      <c r="H75" s="28">
        <f ca="1">ALL!L58</f>
        <v>-51.192</v>
      </c>
      <c r="I75" s="28">
        <f ca="1">ALL!M58</f>
        <v>-51.058999999999997</v>
      </c>
      <c r="J75" s="28">
        <f ca="1">ALL!N58</f>
        <v>-51.190999999999995</v>
      </c>
      <c r="K75" s="28">
        <f ca="1">ALL!O58</f>
        <v>-51.530999999999999</v>
      </c>
      <c r="L75" s="28">
        <f ca="1">ALL!P58</f>
        <v>-52.037999999999997</v>
      </c>
      <c r="M75" s="28">
        <f ca="1">ALL!Q58</f>
        <v>-52.61</v>
      </c>
      <c r="N75" s="28">
        <f ca="1">ALL!R58</f>
        <v>-53.222999999999999</v>
      </c>
      <c r="O75" s="28">
        <f ca="1">ALL!S58</f>
        <v>-53.844999999999999</v>
      </c>
      <c r="P75" s="28">
        <f ca="1">ALL!T58</f>
        <v>-54.451000000000001</v>
      </c>
      <c r="Q75" s="28">
        <f ca="1">ALL!U58</f>
        <v>-55.080000000000005</v>
      </c>
      <c r="R75" s="28">
        <f ca="1">ALL!V58</f>
        <v>-55.692999999999998</v>
      </c>
      <c r="S75" s="28">
        <f ca="1">ALL!W58</f>
        <v>-56.294999999999995</v>
      </c>
      <c r="T75" s="28">
        <f ca="1">ALL!X58</f>
        <v>-58.694000000000003</v>
      </c>
      <c r="U75" s="28">
        <f ca="1">ALL!Y58</f>
        <v>-59.269999999999996</v>
      </c>
      <c r="V75" s="28">
        <f ca="1">ALL!Z58</f>
        <v>-59.866</v>
      </c>
      <c r="W75" s="28">
        <f ca="1">ALL!AA58</f>
        <v>-60.441000000000003</v>
      </c>
      <c r="X75" s="28">
        <f ca="1">ALL!AB58</f>
        <v>-61.018000000000001</v>
      </c>
      <c r="Y75" s="28">
        <f ca="1">ALL!AC58</f>
        <v>-61.572999999999993</v>
      </c>
      <c r="Z75" s="28">
        <f ca="1">ALL!AD58</f>
        <v>-62.033999999999999</v>
      </c>
      <c r="AA75" s="28">
        <f ca="1">ALL!AE58</f>
        <v>-62.533999999999999</v>
      </c>
      <c r="AB75" s="28">
        <f ca="1">ALL!AF58</f>
        <v>-63.053999999999995</v>
      </c>
      <c r="AC75" s="28">
        <f ca="1">ALL!AG58</f>
        <v>-65.103999999999999</v>
      </c>
      <c r="AD75" s="28">
        <f ca="1">ALL!AH58</f>
        <v>0</v>
      </c>
      <c r="AE75" s="28">
        <f ca="1">ALL!AI58</f>
        <v>0</v>
      </c>
      <c r="AF75" s="28">
        <f ca="1">ALL!AJ58</f>
        <v>0</v>
      </c>
      <c r="AG75" s="28">
        <f ca="1">ALL!AK58</f>
        <v>0</v>
      </c>
      <c r="AH75" s="28">
        <f ca="1">ALL!AL58</f>
        <v>0</v>
      </c>
      <c r="AI75" s="28">
        <f>ALL!AM58</f>
        <v>0</v>
      </c>
    </row>
    <row r="76" spans="1:35" ht="21.75" outlineLevel="1" thickBot="1" x14ac:dyDescent="0.4">
      <c r="A76" s="62" t="str">
        <f>ALL!E59</f>
        <v>(1)GeSe</v>
      </c>
      <c r="B76" s="28">
        <f ca="1">ALL!F59</f>
        <v>-40.58</v>
      </c>
      <c r="C76" s="28">
        <f ca="1">ALL!G59</f>
        <v>-38.43</v>
      </c>
      <c r="D76" s="28">
        <f ca="1">ALL!H59</f>
        <v>-36.56</v>
      </c>
      <c r="E76" s="28">
        <f ca="1">ALL!I59</f>
        <v>-34.9</v>
      </c>
      <c r="F76" s="28">
        <f ca="1">ALL!J59</f>
        <v>-33.46</v>
      </c>
      <c r="G76" s="28">
        <f ca="1">ALL!K59</f>
        <v>-29.512999999999998</v>
      </c>
      <c r="H76" s="28">
        <f ca="1">ALL!L59</f>
        <v>-28.981999999999999</v>
      </c>
      <c r="I76" s="28">
        <f ca="1">ALL!M59</f>
        <v>-28.678999999999998</v>
      </c>
      <c r="J76" s="28">
        <f ca="1">ALL!N59</f>
        <v>-28.610999999999997</v>
      </c>
      <c r="K76" s="28">
        <f ca="1">ALL!O59</f>
        <v>-28.720999999999997</v>
      </c>
      <c r="L76" s="28">
        <f ca="1">ALL!P59</f>
        <v>-28.957999999999998</v>
      </c>
      <c r="M76" s="28">
        <f ca="1">ALL!Q59</f>
        <v>-29.25</v>
      </c>
      <c r="N76" s="28">
        <f ca="1">ALL!R59</f>
        <v>-29.573</v>
      </c>
      <c r="O76" s="28">
        <f ca="1">ALL!S59</f>
        <v>-29.905000000000001</v>
      </c>
      <c r="P76" s="28">
        <f ca="1">ALL!T59</f>
        <v>-30.230999999999998</v>
      </c>
      <c r="Q76" s="28">
        <f ca="1">ALL!U59</f>
        <v>-30.57</v>
      </c>
      <c r="R76" s="28">
        <f ca="1">ALL!V59</f>
        <v>-30.902999999999999</v>
      </c>
      <c r="S76" s="28">
        <f ca="1">ALL!W59</f>
        <v>-31.234999999999999</v>
      </c>
      <c r="T76" s="28">
        <f ca="1">ALL!X59</f>
        <v>-32.594000000000001</v>
      </c>
      <c r="U76" s="28">
        <f ca="1">ALL!Y59</f>
        <v>-32.909999999999997</v>
      </c>
      <c r="V76" s="28">
        <f ca="1">ALL!Z59</f>
        <v>-33.235999999999997</v>
      </c>
      <c r="W76" s="28">
        <f ca="1">ALL!AA59</f>
        <v>-33.551000000000002</v>
      </c>
      <c r="X76" s="28">
        <f ca="1">ALL!AB59</f>
        <v>-33.867999999999995</v>
      </c>
      <c r="Y76" s="28">
        <f ca="1">ALL!AC59</f>
        <v>-34.173000000000002</v>
      </c>
      <c r="Z76" s="28">
        <f ca="1">ALL!AD59</f>
        <v>-34.423999999999999</v>
      </c>
      <c r="AA76" s="28">
        <f ca="1">ALL!AE59</f>
        <v>-34.694000000000003</v>
      </c>
      <c r="AB76" s="28">
        <f ca="1">ALL!AF59</f>
        <v>-34.973999999999997</v>
      </c>
      <c r="AC76" s="28">
        <f ca="1">ALL!AG59</f>
        <v>-36.084000000000003</v>
      </c>
      <c r="AD76" s="28">
        <f ca="1">ALL!AH59</f>
        <v>0</v>
      </c>
      <c r="AE76" s="28">
        <f ca="1">ALL!AI59</f>
        <v>0</v>
      </c>
      <c r="AF76" s="28">
        <f ca="1">ALL!AJ59</f>
        <v>0</v>
      </c>
      <c r="AG76" s="28">
        <f ca="1">ALL!AK59</f>
        <v>0</v>
      </c>
      <c r="AH76" s="28">
        <f ca="1">ALL!AL59</f>
        <v>0</v>
      </c>
      <c r="AI76" s="28">
        <f>ALL!AM59</f>
        <v>0</v>
      </c>
    </row>
    <row r="77" spans="1:35" ht="21.75" outlineLevel="1" thickBot="1" x14ac:dyDescent="0.4">
      <c r="A77" s="62" t="str">
        <f>ALL!E60</f>
        <v>(1)Ga2Se3</v>
      </c>
      <c r="B77" s="28">
        <f ca="1">ALL!F60</f>
        <v>-204.18</v>
      </c>
      <c r="C77" s="28">
        <f ca="1">ALL!G60</f>
        <v>-191.75</v>
      </c>
      <c r="D77" s="28">
        <f ca="1">ALL!H60</f>
        <v>-181.01999999999998</v>
      </c>
      <c r="E77" s="28">
        <f ca="1">ALL!I60</f>
        <v>-171.67</v>
      </c>
      <c r="F77" s="28">
        <f ca="1">ALL!J60</f>
        <v>-163.43</v>
      </c>
      <c r="G77" s="28">
        <f ca="1">ALL!K60</f>
        <v>-138.38</v>
      </c>
      <c r="H77" s="28">
        <f ca="1">ALL!L60</f>
        <v>-133.63</v>
      </c>
      <c r="I77" s="28">
        <f ca="1">ALL!M60</f>
        <v>-129.32</v>
      </c>
      <c r="J77" s="28">
        <f ca="1">ALL!N60</f>
        <v>-125.41999999999999</v>
      </c>
      <c r="K77" s="28">
        <f ca="1">ALL!O60</f>
        <v>-121.78999999999999</v>
      </c>
      <c r="L77" s="28">
        <f ca="1">ALL!P60</f>
        <v>-118.47999999999999</v>
      </c>
      <c r="M77" s="28">
        <f ca="1">ALL!Q60</f>
        <v>-115.4</v>
      </c>
      <c r="N77" s="28">
        <f ca="1">ALL!R60</f>
        <v>-112.57</v>
      </c>
      <c r="O77" s="28">
        <f ca="1">ALL!S60</f>
        <v>-109.94</v>
      </c>
      <c r="P77" s="28">
        <f ca="1">ALL!T60</f>
        <v>-107.46</v>
      </c>
      <c r="Q77" s="28">
        <f ca="1">ALL!U60</f>
        <v>-105.19</v>
      </c>
      <c r="R77" s="28">
        <f ca="1">ALL!V60</f>
        <v>-103.09</v>
      </c>
      <c r="S77" s="28">
        <f ca="1">ALL!W60</f>
        <v>-101.19999999999999</v>
      </c>
      <c r="T77" s="28">
        <f ca="1">ALL!X60</f>
        <v>-97.906000000000006</v>
      </c>
      <c r="U77" s="28">
        <f ca="1">ALL!Y60</f>
        <v>-97.703999999999994</v>
      </c>
      <c r="V77" s="28">
        <f ca="1">ALL!Z60</f>
        <v>-97.605999999999995</v>
      </c>
      <c r="W77" s="28">
        <f ca="1">ALL!AA60</f>
        <v>-97.548000000000002</v>
      </c>
      <c r="X77" s="28">
        <f ca="1">ALL!AB60</f>
        <v>-97.549999999999983</v>
      </c>
      <c r="Y77" s="28">
        <f ca="1">ALL!AC60</f>
        <v>-97.609999999999985</v>
      </c>
      <c r="Z77" s="28">
        <f ca="1">ALL!AD60</f>
        <v>-98.378</v>
      </c>
      <c r="AA77" s="28">
        <f ca="1">ALL!AE60</f>
        <v>-99.21</v>
      </c>
      <c r="AB77" s="28">
        <f ca="1">ALL!AF60</f>
        <v>-100.07</v>
      </c>
      <c r="AC77" s="28">
        <f ca="1">ALL!AG60</f>
        <v>-103.434</v>
      </c>
      <c r="AD77" s="28">
        <f ca="1">ALL!AH60</f>
        <v>0</v>
      </c>
      <c r="AE77" s="28">
        <f ca="1">ALL!AI60</f>
        <v>0</v>
      </c>
      <c r="AF77" s="28">
        <f ca="1">ALL!AJ60</f>
        <v>0</v>
      </c>
      <c r="AG77" s="28">
        <f ca="1">ALL!AK60</f>
        <v>0</v>
      </c>
      <c r="AH77" s="28">
        <f ca="1">ALL!AL60</f>
        <v>0</v>
      </c>
      <c r="AI77" s="28">
        <f>ALL!AM60</f>
        <v>0</v>
      </c>
    </row>
    <row r="78" spans="1:35" ht="21.75" outlineLevel="1" thickBot="1" x14ac:dyDescent="0.4">
      <c r="A78" s="62" t="str">
        <f>ALL!E61</f>
        <v>(1)Ga2Se</v>
      </c>
      <c r="B78" s="28">
        <f ca="1">ALL!F61</f>
        <v>-157.06</v>
      </c>
      <c r="C78" s="28">
        <f ca="1">ALL!G61</f>
        <v>-147.09</v>
      </c>
      <c r="D78" s="28">
        <f ca="1">ALL!H61</f>
        <v>-137.97999999999999</v>
      </c>
      <c r="E78" s="28">
        <f ca="1">ALL!I61</f>
        <v>-129.37</v>
      </c>
      <c r="F78" s="28">
        <f ca="1">ALL!J61</f>
        <v>-121.17</v>
      </c>
      <c r="G78" s="28">
        <f ca="1">ALL!K61</f>
        <v>-94.339999999999989</v>
      </c>
      <c r="H78" s="28">
        <f ca="1">ALL!L61</f>
        <v>-89.210000000000008</v>
      </c>
      <c r="I78" s="28">
        <f ca="1">ALL!M61</f>
        <v>-84.56</v>
      </c>
      <c r="J78" s="28">
        <f ca="1">ALL!N61</f>
        <v>-80.259999999999991</v>
      </c>
      <c r="K78" s="28">
        <f ca="1">ALL!O61</f>
        <v>-76.17</v>
      </c>
      <c r="L78" s="28">
        <f ca="1">ALL!P61</f>
        <v>-72.319999999999993</v>
      </c>
      <c r="M78" s="28">
        <f ca="1">ALL!Q61</f>
        <v>-68.680000000000007</v>
      </c>
      <c r="N78" s="28">
        <f ca="1">ALL!R61</f>
        <v>-65.27</v>
      </c>
      <c r="O78" s="28">
        <f ca="1">ALL!S61</f>
        <v>-62.06</v>
      </c>
      <c r="P78" s="28">
        <f ca="1">ALL!T61</f>
        <v>-59.019999999999996</v>
      </c>
      <c r="Q78" s="28">
        <f ca="1">ALL!U61</f>
        <v>-56.17</v>
      </c>
      <c r="R78" s="28">
        <f ca="1">ALL!V61</f>
        <v>-53.51</v>
      </c>
      <c r="S78" s="28">
        <f ca="1">ALL!W61</f>
        <v>-51.08</v>
      </c>
      <c r="T78" s="28">
        <f ca="1">ALL!X61</f>
        <v>-45.706000000000003</v>
      </c>
      <c r="U78" s="28">
        <f ca="1">ALL!Y61</f>
        <v>-44.983999999999995</v>
      </c>
      <c r="V78" s="28">
        <f ca="1">ALL!Z61</f>
        <v>-44.346000000000004</v>
      </c>
      <c r="W78" s="28">
        <f ca="1">ALL!AA61</f>
        <v>-43.768000000000001</v>
      </c>
      <c r="X78" s="28">
        <f ca="1">ALL!AB61</f>
        <v>-43.25</v>
      </c>
      <c r="Y78" s="28">
        <f ca="1">ALL!AC61</f>
        <v>-42.81</v>
      </c>
      <c r="Z78" s="28">
        <f ca="1">ALL!AD61</f>
        <v>-43.158000000000001</v>
      </c>
      <c r="AA78" s="28">
        <f ca="1">ALL!AE61</f>
        <v>-43.53</v>
      </c>
      <c r="AB78" s="28">
        <f ca="1">ALL!AF61</f>
        <v>-43.91</v>
      </c>
      <c r="AC78" s="28">
        <f ca="1">ALL!AG61</f>
        <v>-45.393999999999998</v>
      </c>
      <c r="AD78" s="28">
        <f ca="1">ALL!AH61</f>
        <v>0</v>
      </c>
      <c r="AE78" s="28">
        <f ca="1">ALL!AI61</f>
        <v>0</v>
      </c>
      <c r="AF78" s="28">
        <f ca="1">ALL!AJ61</f>
        <v>0</v>
      </c>
      <c r="AG78" s="28">
        <f ca="1">ALL!AK61</f>
        <v>0</v>
      </c>
      <c r="AH78" s="28">
        <f ca="1">ALL!AL61</f>
        <v>0</v>
      </c>
      <c r="AI78" s="28">
        <f>ALL!AM61</f>
        <v>0</v>
      </c>
    </row>
    <row r="79" spans="1:35" ht="21.75" outlineLevel="1" thickBot="1" x14ac:dyDescent="0.4">
      <c r="A79" s="62" t="str">
        <f>ALL!E62</f>
        <v>(1)Ge</v>
      </c>
      <c r="B79" s="28">
        <f ca="1">ALL!F62</f>
        <v>-17.02</v>
      </c>
      <c r="C79" s="28">
        <f ca="1">ALL!G62</f>
        <v>-16.100000000000001</v>
      </c>
      <c r="D79" s="28">
        <f ca="1">ALL!H62</f>
        <v>-15.04</v>
      </c>
      <c r="E79" s="28">
        <f ca="1">ALL!I62</f>
        <v>-13.75</v>
      </c>
      <c r="F79" s="28">
        <f ca="1">ALL!J62</f>
        <v>-12.33</v>
      </c>
      <c r="G79" s="28">
        <f ca="1">ALL!K62</f>
        <v>-7.4930000000000003</v>
      </c>
      <c r="H79" s="28">
        <f ca="1">ALL!L62</f>
        <v>-6.7720000000000002</v>
      </c>
      <c r="I79" s="28">
        <f ca="1">ALL!M62</f>
        <v>-6.2990000000000004</v>
      </c>
      <c r="J79" s="28">
        <f ca="1">ALL!N62</f>
        <v>-6.0309999999999997</v>
      </c>
      <c r="K79" s="28">
        <f ca="1">ALL!O62</f>
        <v>-5.9109999999999996</v>
      </c>
      <c r="L79" s="28">
        <f ca="1">ALL!P62</f>
        <v>-5.8780000000000001</v>
      </c>
      <c r="M79" s="28">
        <f ca="1">ALL!Q62</f>
        <v>-5.89</v>
      </c>
      <c r="N79" s="28">
        <f ca="1">ALL!R62</f>
        <v>-5.923</v>
      </c>
      <c r="O79" s="28">
        <f ca="1">ALL!S62</f>
        <v>-5.9649999999999999</v>
      </c>
      <c r="P79" s="28">
        <f ca="1">ALL!T62</f>
        <v>-6.0110000000000001</v>
      </c>
      <c r="Q79" s="28">
        <f ca="1">ALL!U62</f>
        <v>-6.06</v>
      </c>
      <c r="R79" s="28">
        <f ca="1">ALL!V62</f>
        <v>-6.1130000000000004</v>
      </c>
      <c r="S79" s="28">
        <f ca="1">ALL!W62</f>
        <v>-6.1749999999999998</v>
      </c>
      <c r="T79" s="28">
        <f ca="1">ALL!X62</f>
        <v>-6.4939999999999998</v>
      </c>
      <c r="U79" s="28">
        <f ca="1">ALL!Y62</f>
        <v>-6.55</v>
      </c>
      <c r="V79" s="28">
        <f ca="1">ALL!Z62</f>
        <v>-6.6059999999999999</v>
      </c>
      <c r="W79" s="28">
        <f ca="1">ALL!AA62</f>
        <v>-6.6609999999999996</v>
      </c>
      <c r="X79" s="28">
        <f ca="1">ALL!AB62</f>
        <v>-6.718</v>
      </c>
      <c r="Y79" s="28">
        <f ca="1">ALL!AC62</f>
        <v>-6.7729999999999997</v>
      </c>
      <c r="Z79" s="28">
        <f ca="1">ALL!AD62</f>
        <v>-6.8140000000000001</v>
      </c>
      <c r="AA79" s="28">
        <f ca="1">ALL!AE62</f>
        <v>-6.8540000000000001</v>
      </c>
      <c r="AB79" s="28">
        <f ca="1">ALL!AF62</f>
        <v>-6.8940000000000001</v>
      </c>
      <c r="AC79" s="28">
        <f ca="1">ALL!AG62</f>
        <v>-7.0640000000000001</v>
      </c>
      <c r="AD79" s="28">
        <f ca="1">ALL!AH62</f>
        <v>0</v>
      </c>
      <c r="AE79" s="28">
        <f ca="1">ALL!AI62</f>
        <v>0</v>
      </c>
      <c r="AF79" s="28">
        <f ca="1">ALL!AJ62</f>
        <v>0</v>
      </c>
      <c r="AG79" s="28">
        <f ca="1">ALL!AK62</f>
        <v>0</v>
      </c>
      <c r="AH79" s="28">
        <f ca="1">ALL!AL62</f>
        <v>0</v>
      </c>
      <c r="AI79" s="28">
        <f>ALL!AM62</f>
        <v>0</v>
      </c>
    </row>
    <row r="80" spans="1:35" ht="21.75" outlineLevel="1" thickBot="1" x14ac:dyDescent="0.4">
      <c r="A80" s="62" t="str">
        <f>ALL!E63</f>
        <v>(1)Ga</v>
      </c>
      <c r="B80" s="28">
        <f ca="1">ALL!F63</f>
        <v>-66.75</v>
      </c>
      <c r="C80" s="28">
        <f ca="1">ALL!G63</f>
        <v>-62.38</v>
      </c>
      <c r="D80" s="28">
        <f ca="1">ALL!H63</f>
        <v>-58.23</v>
      </c>
      <c r="E80" s="28">
        <f ca="1">ALL!I63</f>
        <v>-54.11</v>
      </c>
      <c r="F80" s="28">
        <f ca="1">ALL!J63</f>
        <v>-50.02</v>
      </c>
      <c r="G80" s="28">
        <f ca="1">ALL!K63</f>
        <v>-36.159999999999997</v>
      </c>
      <c r="H80" s="28">
        <f ca="1">ALL!L63</f>
        <v>-33.5</v>
      </c>
      <c r="I80" s="28">
        <f ca="1">ALL!M63</f>
        <v>-31.09</v>
      </c>
      <c r="J80" s="28">
        <f ca="1">ALL!N63</f>
        <v>-28.84</v>
      </c>
      <c r="K80" s="28">
        <f ca="1">ALL!O63</f>
        <v>-26.68</v>
      </c>
      <c r="L80" s="28">
        <f ca="1">ALL!P63</f>
        <v>-24.62</v>
      </c>
      <c r="M80" s="28">
        <f ca="1">ALL!Q63</f>
        <v>-22.66</v>
      </c>
      <c r="N80" s="28">
        <f ca="1">ALL!R63</f>
        <v>-20.81</v>
      </c>
      <c r="O80" s="28">
        <f ca="1">ALL!S63</f>
        <v>-19.059999999999999</v>
      </c>
      <c r="P80" s="28">
        <f ca="1">ALL!T63</f>
        <v>-17.399999999999999</v>
      </c>
      <c r="Q80" s="28">
        <f ca="1">ALL!U63</f>
        <v>-15.83</v>
      </c>
      <c r="R80" s="28">
        <f ca="1">ALL!V63</f>
        <v>-14.36</v>
      </c>
      <c r="S80" s="28">
        <f ca="1">ALL!W63</f>
        <v>-13.01</v>
      </c>
      <c r="T80" s="28">
        <f ca="1">ALL!X63</f>
        <v>-9.8030000000000008</v>
      </c>
      <c r="U80" s="28">
        <f ca="1">ALL!Y63</f>
        <v>-9.3119999999999994</v>
      </c>
      <c r="V80" s="28">
        <f ca="1">ALL!Z63</f>
        <v>-8.8580000000000005</v>
      </c>
      <c r="W80" s="28">
        <f ca="1">ALL!AA63</f>
        <v>-8.4390000000000001</v>
      </c>
      <c r="X80" s="28">
        <f ca="1">ALL!AB63</f>
        <v>-8.0500000000000007</v>
      </c>
      <c r="Y80" s="28">
        <f ca="1">ALL!AC63</f>
        <v>-7.7050000000000001</v>
      </c>
      <c r="Z80" s="28">
        <f ca="1">ALL!AD63</f>
        <v>-7.774</v>
      </c>
      <c r="AA80" s="28">
        <f ca="1">ALL!AE63</f>
        <v>-7.8449999999999998</v>
      </c>
      <c r="AB80" s="28">
        <f ca="1">ALL!AF63</f>
        <v>-7.915</v>
      </c>
      <c r="AC80" s="28">
        <f ca="1">ALL!AG63</f>
        <v>-8.1869999999999994</v>
      </c>
      <c r="AD80" s="28">
        <f ca="1">ALL!AH63</f>
        <v>0</v>
      </c>
      <c r="AE80" s="28">
        <f ca="1">ALL!AI63</f>
        <v>0</v>
      </c>
      <c r="AF80" s="28">
        <f ca="1">ALL!AJ63</f>
        <v>0</v>
      </c>
      <c r="AG80" s="28">
        <f ca="1">ALL!AK63</f>
        <v>0</v>
      </c>
      <c r="AH80" s="28">
        <f ca="1">ALL!AL63</f>
        <v>0</v>
      </c>
      <c r="AI80" s="28">
        <f>ALL!AM63</f>
        <v>0</v>
      </c>
    </row>
    <row r="81" spans="1:35" ht="21.75" outlineLevel="1" thickBot="1" x14ac:dyDescent="0.4">
      <c r="A81" s="62" t="str">
        <f>ALL!E64</f>
        <v>(1)Se</v>
      </c>
      <c r="B81" s="28">
        <f ca="1">ALL!F64</f>
        <v>-23.56</v>
      </c>
      <c r="C81" s="28">
        <f ca="1">ALL!G64</f>
        <v>-22.33</v>
      </c>
      <c r="D81" s="28">
        <f ca="1">ALL!H64</f>
        <v>-21.52</v>
      </c>
      <c r="E81" s="28">
        <f ca="1">ALL!I64</f>
        <v>-21.15</v>
      </c>
      <c r="F81" s="28">
        <f ca="1">ALL!J64</f>
        <v>-21.13</v>
      </c>
      <c r="G81" s="28">
        <f ca="1">ALL!K64</f>
        <v>-22.02</v>
      </c>
      <c r="H81" s="28">
        <f ca="1">ALL!L64</f>
        <v>-22.21</v>
      </c>
      <c r="I81" s="28">
        <f ca="1">ALL!M64</f>
        <v>-22.38</v>
      </c>
      <c r="J81" s="28">
        <f ca="1">ALL!N64</f>
        <v>-22.58</v>
      </c>
      <c r="K81" s="28">
        <f ca="1">ALL!O64</f>
        <v>-22.81</v>
      </c>
      <c r="L81" s="28">
        <f ca="1">ALL!P64</f>
        <v>-23.08</v>
      </c>
      <c r="M81" s="28">
        <f ca="1">ALL!Q64</f>
        <v>-23.36</v>
      </c>
      <c r="N81" s="28">
        <f ca="1">ALL!R64</f>
        <v>-23.65</v>
      </c>
      <c r="O81" s="28">
        <f ca="1">ALL!S64</f>
        <v>-23.94</v>
      </c>
      <c r="P81" s="28">
        <f ca="1">ALL!T64</f>
        <v>-24.22</v>
      </c>
      <c r="Q81" s="28">
        <f ca="1">ALL!U64</f>
        <v>-24.51</v>
      </c>
      <c r="R81" s="28">
        <f ca="1">ALL!V64</f>
        <v>-24.79</v>
      </c>
      <c r="S81" s="28">
        <f ca="1">ALL!W64</f>
        <v>-25.06</v>
      </c>
      <c r="T81" s="28">
        <f ca="1">ALL!X64</f>
        <v>-26.1</v>
      </c>
      <c r="U81" s="28">
        <f ca="1">ALL!Y64</f>
        <v>-26.36</v>
      </c>
      <c r="V81" s="28">
        <f ca="1">ALL!Z64</f>
        <v>-26.63</v>
      </c>
      <c r="W81" s="28">
        <f ca="1">ALL!AA64</f>
        <v>-26.89</v>
      </c>
      <c r="X81" s="28">
        <f ca="1">ALL!AB64</f>
        <v>-27.15</v>
      </c>
      <c r="Y81" s="28">
        <f ca="1">ALL!AC64</f>
        <v>-27.4</v>
      </c>
      <c r="Z81" s="28">
        <f ca="1">ALL!AD64</f>
        <v>-27.61</v>
      </c>
      <c r="AA81" s="28">
        <f ca="1">ALL!AE64</f>
        <v>-27.84</v>
      </c>
      <c r="AB81" s="28">
        <f ca="1">ALL!AF64</f>
        <v>-28.08</v>
      </c>
      <c r="AC81" s="28">
        <f ca="1">ALL!AG64</f>
        <v>-29.02</v>
      </c>
      <c r="AD81" s="28">
        <f ca="1">ALL!AH64</f>
        <v>0</v>
      </c>
      <c r="AE81" s="28">
        <f ca="1">ALL!AI64</f>
        <v>0</v>
      </c>
      <c r="AF81" s="28">
        <f ca="1">ALL!AJ64</f>
        <v>0</v>
      </c>
      <c r="AG81" s="28">
        <f ca="1">ALL!AK64</f>
        <v>0</v>
      </c>
      <c r="AH81" s="28">
        <f ca="1">ALL!AL64</f>
        <v>0</v>
      </c>
      <c r="AI81" s="28">
        <f>ALL!AM64</f>
        <v>0</v>
      </c>
    </row>
    <row r="82" spans="1:35" ht="21.75" outlineLevel="1" thickBot="1" x14ac:dyDescent="0.4">
      <c r="A82" s="62" t="str">
        <f>ALL!E65</f>
        <v>(1)Se[a]</v>
      </c>
      <c r="B82" s="28">
        <f ca="1">ALL!F65</f>
        <v>-23.56</v>
      </c>
      <c r="C82" s="28">
        <f ca="1">ALL!G65</f>
        <v>-22.33</v>
      </c>
      <c r="D82" s="28">
        <f ca="1">ALL!H65</f>
        <v>-21.52</v>
      </c>
      <c r="E82" s="28">
        <f ca="1">ALL!I65</f>
        <v>-21.15</v>
      </c>
      <c r="F82" s="28">
        <f ca="1">ALL!J65</f>
        <v>-21.13</v>
      </c>
      <c r="G82" s="28">
        <f ca="1">ALL!K65</f>
        <v>-22.02</v>
      </c>
      <c r="H82" s="28">
        <f ca="1">ALL!L65</f>
        <v>-22.21</v>
      </c>
      <c r="I82" s="28">
        <f ca="1">ALL!M65</f>
        <v>-22.38</v>
      </c>
      <c r="J82" s="28">
        <f ca="1">ALL!N65</f>
        <v>-22.58</v>
      </c>
      <c r="K82" s="28">
        <f ca="1">ALL!O65</f>
        <v>-22.81</v>
      </c>
      <c r="L82" s="28">
        <f ca="1">ALL!P65</f>
        <v>-23.08</v>
      </c>
      <c r="M82" s="28">
        <f ca="1">ALL!Q65</f>
        <v>-23.36</v>
      </c>
      <c r="N82" s="28">
        <f ca="1">ALL!R65</f>
        <v>-23.65</v>
      </c>
      <c r="O82" s="28">
        <f ca="1">ALL!S65</f>
        <v>-23.94</v>
      </c>
      <c r="P82" s="28">
        <f ca="1">ALL!T65</f>
        <v>-24.22</v>
      </c>
      <c r="Q82" s="28">
        <f ca="1">ALL!U65</f>
        <v>-24.51</v>
      </c>
      <c r="R82" s="28">
        <f ca="1">ALL!V65</f>
        <v>-24.79</v>
      </c>
      <c r="S82" s="28">
        <f ca="1">ALL!W65</f>
        <v>-25.06</v>
      </c>
      <c r="T82" s="28">
        <f ca="1">ALL!X65</f>
        <v>-26.1</v>
      </c>
      <c r="U82" s="28">
        <f ca="1">ALL!Y65</f>
        <v>-26.36</v>
      </c>
      <c r="V82" s="28">
        <f ca="1">ALL!Z65</f>
        <v>-26.63</v>
      </c>
      <c r="W82" s="28">
        <f ca="1">ALL!AA65</f>
        <v>-26.89</v>
      </c>
      <c r="X82" s="28">
        <f ca="1">ALL!AB65</f>
        <v>-27.15</v>
      </c>
      <c r="Y82" s="28">
        <f ca="1">ALL!AC65</f>
        <v>-27.4</v>
      </c>
      <c r="Z82" s="28">
        <f ca="1">ALL!AD65</f>
        <v>-27.61</v>
      </c>
      <c r="AA82" s="28">
        <f ca="1">ALL!AE65</f>
        <v>-27.84</v>
      </c>
      <c r="AB82" s="28">
        <f ca="1">ALL!AF65</f>
        <v>-28.08</v>
      </c>
      <c r="AC82" s="28">
        <f ca="1">ALL!AG65</f>
        <v>-29.02</v>
      </c>
      <c r="AD82" s="28">
        <f ca="1">ALL!AH65</f>
        <v>0</v>
      </c>
      <c r="AE82" s="28">
        <f ca="1">ALL!AI65</f>
        <v>0</v>
      </c>
      <c r="AF82" s="28">
        <f ca="1">ALL!AJ65</f>
        <v>0</v>
      </c>
      <c r="AG82" s="28">
        <f ca="1">ALL!AK65</f>
        <v>0</v>
      </c>
      <c r="AH82" s="28">
        <f ca="1">ALL!AL65</f>
        <v>0</v>
      </c>
      <c r="AI82" s="28">
        <f>ALL!AM65</f>
        <v>0</v>
      </c>
    </row>
    <row r="83" spans="1:35" ht="21.75" outlineLevel="1" thickBot="1" x14ac:dyDescent="0.4">
      <c r="A83" s="62" t="str">
        <f>ALL!E66</f>
        <v>(1)Se[m]</v>
      </c>
      <c r="B83" s="28">
        <f ca="1">ALL!F66</f>
        <v>-23.56</v>
      </c>
      <c r="C83" s="28">
        <f ca="1">ALL!G66</f>
        <v>-22.33</v>
      </c>
      <c r="D83" s="28">
        <f ca="1">ALL!H66</f>
        <v>-21.52</v>
      </c>
      <c r="E83" s="28">
        <f ca="1">ALL!I66</f>
        <v>-21.15</v>
      </c>
      <c r="F83" s="28">
        <f ca="1">ALL!J66</f>
        <v>-21.13</v>
      </c>
      <c r="G83" s="28">
        <f ca="1">ALL!K66</f>
        <v>-22.02</v>
      </c>
      <c r="H83" s="28">
        <f ca="1">ALL!L66</f>
        <v>-22.21</v>
      </c>
      <c r="I83" s="28">
        <f ca="1">ALL!M66</f>
        <v>-22.38</v>
      </c>
      <c r="J83" s="28">
        <f ca="1">ALL!N66</f>
        <v>-22.58</v>
      </c>
      <c r="K83" s="28">
        <f ca="1">ALL!O66</f>
        <v>-22.81</v>
      </c>
      <c r="L83" s="28">
        <f ca="1">ALL!P66</f>
        <v>-23.08</v>
      </c>
      <c r="M83" s="28">
        <f ca="1">ALL!Q66</f>
        <v>-23.36</v>
      </c>
      <c r="N83" s="28">
        <f ca="1">ALL!R66</f>
        <v>-23.65</v>
      </c>
      <c r="O83" s="28">
        <f ca="1">ALL!S66</f>
        <v>-23.94</v>
      </c>
      <c r="P83" s="28">
        <f ca="1">ALL!T66</f>
        <v>-24.22</v>
      </c>
      <c r="Q83" s="28">
        <f ca="1">ALL!U66</f>
        <v>-24.51</v>
      </c>
      <c r="R83" s="28">
        <f ca="1">ALL!V66</f>
        <v>-24.79</v>
      </c>
      <c r="S83" s="28">
        <f ca="1">ALL!W66</f>
        <v>-25.06</v>
      </c>
      <c r="T83" s="28">
        <f ca="1">ALL!X66</f>
        <v>-26.1</v>
      </c>
      <c r="U83" s="28">
        <f ca="1">ALL!Y66</f>
        <v>-26.36</v>
      </c>
      <c r="V83" s="28">
        <f ca="1">ALL!Z66</f>
        <v>-26.63</v>
      </c>
      <c r="W83" s="28">
        <f ca="1">ALL!AA66</f>
        <v>-26.89</v>
      </c>
      <c r="X83" s="28">
        <f ca="1">ALL!AB66</f>
        <v>-27.15</v>
      </c>
      <c r="Y83" s="28">
        <f ca="1">ALL!AC66</f>
        <v>-27.4</v>
      </c>
      <c r="Z83" s="28">
        <f ca="1">ALL!AD66</f>
        <v>-27.61</v>
      </c>
      <c r="AA83" s="28">
        <f ca="1">ALL!AE66</f>
        <v>-27.84</v>
      </c>
      <c r="AB83" s="28">
        <f ca="1">ALL!AF66</f>
        <v>-28.08</v>
      </c>
      <c r="AC83" s="28">
        <f ca="1">ALL!AG66</f>
        <v>-29.02</v>
      </c>
      <c r="AD83" s="28">
        <f ca="1">ALL!AH66</f>
        <v>0</v>
      </c>
      <c r="AE83" s="28">
        <f ca="1">ALL!AI66</f>
        <v>0</v>
      </c>
      <c r="AF83" s="28">
        <f ca="1">ALL!AJ66</f>
        <v>0</v>
      </c>
      <c r="AG83" s="28">
        <f ca="1">ALL!AK66</f>
        <v>0</v>
      </c>
      <c r="AH83" s="28">
        <f ca="1">ALL!AL66</f>
        <v>0</v>
      </c>
      <c r="AI83" s="28">
        <f>ALL!AM66</f>
        <v>0</v>
      </c>
    </row>
    <row r="84" spans="1:35" ht="21.75" outlineLevel="1" thickBot="1" x14ac:dyDescent="0.4">
      <c r="A84" s="62" t="str">
        <f>ALL!E67</f>
        <v>(1)Se[r]</v>
      </c>
      <c r="B84" s="28">
        <f ca="1">ALL!F67</f>
        <v>-23.56</v>
      </c>
      <c r="C84" s="28">
        <f ca="1">ALL!G67</f>
        <v>-22.33</v>
      </c>
      <c r="D84" s="28">
        <f ca="1">ALL!H67</f>
        <v>-21.52</v>
      </c>
      <c r="E84" s="28">
        <f ca="1">ALL!I67</f>
        <v>-21.15</v>
      </c>
      <c r="F84" s="28">
        <f ca="1">ALL!J67</f>
        <v>-21.13</v>
      </c>
      <c r="G84" s="28">
        <f ca="1">ALL!K67</f>
        <v>-22.02</v>
      </c>
      <c r="H84" s="28">
        <f ca="1">ALL!L67</f>
        <v>-22.21</v>
      </c>
      <c r="I84" s="28">
        <f ca="1">ALL!M67</f>
        <v>-22.38</v>
      </c>
      <c r="J84" s="28">
        <f ca="1">ALL!N67</f>
        <v>-22.58</v>
      </c>
      <c r="K84" s="28">
        <f ca="1">ALL!O67</f>
        <v>-22.81</v>
      </c>
      <c r="L84" s="28">
        <f ca="1">ALL!P67</f>
        <v>-23.08</v>
      </c>
      <c r="M84" s="28">
        <f ca="1">ALL!Q67</f>
        <v>-23.36</v>
      </c>
      <c r="N84" s="28">
        <f ca="1">ALL!R67</f>
        <v>-23.65</v>
      </c>
      <c r="O84" s="28">
        <f ca="1">ALL!S67</f>
        <v>-23.94</v>
      </c>
      <c r="P84" s="28">
        <f ca="1">ALL!T67</f>
        <v>-24.22</v>
      </c>
      <c r="Q84" s="28">
        <f ca="1">ALL!U67</f>
        <v>-24.51</v>
      </c>
      <c r="R84" s="28">
        <f ca="1">ALL!V67</f>
        <v>-24.79</v>
      </c>
      <c r="S84" s="28">
        <f ca="1">ALL!W67</f>
        <v>-25.06</v>
      </c>
      <c r="T84" s="28">
        <f ca="1">ALL!X67</f>
        <v>-26.1</v>
      </c>
      <c r="U84" s="28">
        <f ca="1">ALL!Y67</f>
        <v>-26.36</v>
      </c>
      <c r="V84" s="28">
        <f ca="1">ALL!Z67</f>
        <v>-26.63</v>
      </c>
      <c r="W84" s="28">
        <f ca="1">ALL!AA67</f>
        <v>-26.89</v>
      </c>
      <c r="X84" s="28">
        <f ca="1">ALL!AB67</f>
        <v>-27.15</v>
      </c>
      <c r="Y84" s="28">
        <f ca="1">ALL!AC67</f>
        <v>-27.4</v>
      </c>
      <c r="Z84" s="28">
        <f ca="1">ALL!AD67</f>
        <v>-27.61</v>
      </c>
      <c r="AA84" s="28">
        <f ca="1">ALL!AE67</f>
        <v>-27.84</v>
      </c>
      <c r="AB84" s="28">
        <f ca="1">ALL!AF67</f>
        <v>-28.08</v>
      </c>
      <c r="AC84" s="28">
        <f ca="1">ALL!AG67</f>
        <v>-29.02</v>
      </c>
      <c r="AD84" s="28">
        <f ca="1">ALL!AH67</f>
        <v>0</v>
      </c>
      <c r="AE84" s="28">
        <f ca="1">ALL!AI67</f>
        <v>0</v>
      </c>
      <c r="AF84" s="28">
        <f ca="1">ALL!AJ67</f>
        <v>0</v>
      </c>
      <c r="AG84" s="28">
        <f ca="1">ALL!AK67</f>
        <v>0</v>
      </c>
      <c r="AH84" s="28">
        <f ca="1">ALL!AL67</f>
        <v>0</v>
      </c>
      <c r="AI84" s="28">
        <f>ALL!AM67</f>
        <v>0</v>
      </c>
    </row>
    <row r="85" spans="1:35" ht="21.75" outlineLevel="1" thickBot="1" x14ac:dyDescent="0.4">
      <c r="A85" s="62" t="str">
        <f>ALL!E68</f>
        <v>(1)Ge[c]</v>
      </c>
      <c r="B85" s="28">
        <f ca="1">ALL!F68</f>
        <v>-17.02</v>
      </c>
      <c r="C85" s="28">
        <f ca="1">ALL!G68</f>
        <v>-16.100000000000001</v>
      </c>
      <c r="D85" s="28">
        <f ca="1">ALL!H68</f>
        <v>-15.04</v>
      </c>
      <c r="E85" s="28">
        <f ca="1">ALL!I68</f>
        <v>-13.75</v>
      </c>
      <c r="F85" s="28">
        <f ca="1">ALL!J68</f>
        <v>-12.33</v>
      </c>
      <c r="G85" s="28">
        <f ca="1">ALL!K68</f>
        <v>-7.4930000000000003</v>
      </c>
      <c r="H85" s="28">
        <f ca="1">ALL!L68</f>
        <v>-6.7720000000000002</v>
      </c>
      <c r="I85" s="28">
        <f ca="1">ALL!M68</f>
        <v>-6.2990000000000004</v>
      </c>
      <c r="J85" s="28">
        <f ca="1">ALL!N68</f>
        <v>-6.0309999999999997</v>
      </c>
      <c r="K85" s="28">
        <f ca="1">ALL!O68</f>
        <v>-5.9109999999999996</v>
      </c>
      <c r="L85" s="28">
        <f ca="1">ALL!P68</f>
        <v>-5.8780000000000001</v>
      </c>
      <c r="M85" s="28">
        <f ca="1">ALL!Q68</f>
        <v>-5.89</v>
      </c>
      <c r="N85" s="28">
        <f ca="1">ALL!R68</f>
        <v>-5.923</v>
      </c>
      <c r="O85" s="28">
        <f ca="1">ALL!S68</f>
        <v>-5.9649999999999999</v>
      </c>
      <c r="P85" s="28">
        <f ca="1">ALL!T68</f>
        <v>-6.0110000000000001</v>
      </c>
      <c r="Q85" s="28">
        <f ca="1">ALL!U68</f>
        <v>-6.06</v>
      </c>
      <c r="R85" s="28">
        <f ca="1">ALL!V68</f>
        <v>-6.1130000000000004</v>
      </c>
      <c r="S85" s="28">
        <f ca="1">ALL!W68</f>
        <v>-6.1749999999999998</v>
      </c>
      <c r="T85" s="28">
        <f ca="1">ALL!X68</f>
        <v>-6.4939999999999998</v>
      </c>
      <c r="U85" s="28">
        <f ca="1">ALL!Y68</f>
        <v>-6.55</v>
      </c>
      <c r="V85" s="28">
        <f ca="1">ALL!Z68</f>
        <v>-6.6059999999999999</v>
      </c>
      <c r="W85" s="28">
        <f ca="1">ALL!AA68</f>
        <v>-6.6609999999999996</v>
      </c>
      <c r="X85" s="28">
        <f ca="1">ALL!AB68</f>
        <v>-6.718</v>
      </c>
      <c r="Y85" s="28">
        <f ca="1">ALL!AC68</f>
        <v>-6.7729999999999997</v>
      </c>
      <c r="Z85" s="28">
        <f ca="1">ALL!AD68</f>
        <v>-6.8140000000000001</v>
      </c>
      <c r="AA85" s="28">
        <f ca="1">ALL!AE68</f>
        <v>-6.8540000000000001</v>
      </c>
      <c r="AB85" s="28">
        <f ca="1">ALL!AF68</f>
        <v>-6.8940000000000001</v>
      </c>
      <c r="AC85" s="28">
        <f ca="1">ALL!AG68</f>
        <v>-7.0640000000000001</v>
      </c>
      <c r="AD85" s="28">
        <f ca="1">ALL!AH68</f>
        <v>0</v>
      </c>
      <c r="AE85" s="28">
        <f ca="1">ALL!AI68</f>
        <v>0</v>
      </c>
      <c r="AF85" s="28">
        <f ca="1">ALL!AJ68</f>
        <v>0</v>
      </c>
      <c r="AG85" s="28">
        <f ca="1">ALL!AK68</f>
        <v>0</v>
      </c>
      <c r="AH85" s="28">
        <f ca="1">ALL!AL68</f>
        <v>0</v>
      </c>
      <c r="AI85" s="28">
        <f>ALL!AM68</f>
        <v>0</v>
      </c>
    </row>
    <row r="86" spans="1:35" ht="21.75" outlineLevel="1" thickBot="1" x14ac:dyDescent="0.4">
      <c r="A86" s="62" t="str">
        <f>ALL!E69</f>
        <v>(3)Ga[l]</v>
      </c>
      <c r="B86" s="28">
        <f ca="1">ALL!F69</f>
        <v>-66.75</v>
      </c>
      <c r="C86" s="28">
        <f ca="1">ALL!G69</f>
        <v>-62.38</v>
      </c>
      <c r="D86" s="28">
        <f ca="1">ALL!H69</f>
        <v>-58.23</v>
      </c>
      <c r="E86" s="28">
        <f ca="1">ALL!I69</f>
        <v>-54.11</v>
      </c>
      <c r="F86" s="28">
        <f ca="1">ALL!J69</f>
        <v>-50.02</v>
      </c>
      <c r="G86" s="28">
        <f ca="1">ALL!K69</f>
        <v>-36.159999999999997</v>
      </c>
      <c r="H86" s="28">
        <f ca="1">ALL!L69</f>
        <v>-33.5</v>
      </c>
      <c r="I86" s="28">
        <f ca="1">ALL!M69</f>
        <v>-31.09</v>
      </c>
      <c r="J86" s="28">
        <f ca="1">ALL!N69</f>
        <v>-28.84</v>
      </c>
      <c r="K86" s="28">
        <f ca="1">ALL!O69</f>
        <v>-26.68</v>
      </c>
      <c r="L86" s="28">
        <f ca="1">ALL!P69</f>
        <v>-24.62</v>
      </c>
      <c r="M86" s="28">
        <f ca="1">ALL!Q69</f>
        <v>-22.66</v>
      </c>
      <c r="N86" s="28">
        <f ca="1">ALL!R69</f>
        <v>-20.81</v>
      </c>
      <c r="O86" s="28">
        <f ca="1">ALL!S69</f>
        <v>-19.059999999999999</v>
      </c>
      <c r="P86" s="28">
        <f ca="1">ALL!T69</f>
        <v>-17.399999999999999</v>
      </c>
      <c r="Q86" s="28">
        <f ca="1">ALL!U69</f>
        <v>-15.83</v>
      </c>
      <c r="R86" s="28">
        <f ca="1">ALL!V69</f>
        <v>-14.36</v>
      </c>
      <c r="S86" s="28">
        <f ca="1">ALL!W69</f>
        <v>-13.01</v>
      </c>
      <c r="T86" s="28">
        <f ca="1">ALL!X69</f>
        <v>-9.8030000000000008</v>
      </c>
      <c r="U86" s="28">
        <f ca="1">ALL!Y69</f>
        <v>-9.3119999999999994</v>
      </c>
      <c r="V86" s="28">
        <f ca="1">ALL!Z69</f>
        <v>-8.8580000000000005</v>
      </c>
      <c r="W86" s="28">
        <f ca="1">ALL!AA69</f>
        <v>-8.4390000000000001</v>
      </c>
      <c r="X86" s="28">
        <f ca="1">ALL!AB69</f>
        <v>-8.0500000000000007</v>
      </c>
      <c r="Y86" s="28">
        <f ca="1">ALL!AC69</f>
        <v>-7.7050000000000001</v>
      </c>
      <c r="Z86" s="28">
        <f ca="1">ALL!AD69</f>
        <v>-7.774</v>
      </c>
      <c r="AA86" s="28">
        <f ca="1">ALL!AE69</f>
        <v>-7.8449999999999998</v>
      </c>
      <c r="AB86" s="28">
        <f ca="1">ALL!AF69</f>
        <v>-7.915</v>
      </c>
      <c r="AC86" s="28">
        <f ca="1">ALL!AG69</f>
        <v>-8.1869999999999994</v>
      </c>
      <c r="AD86" s="28">
        <f ca="1">ALL!AH69</f>
        <v>0</v>
      </c>
      <c r="AE86" s="28">
        <f ca="1">ALL!AI69</f>
        <v>0</v>
      </c>
      <c r="AF86" s="28">
        <f ca="1">ALL!AJ69</f>
        <v>0</v>
      </c>
      <c r="AG86" s="28">
        <f ca="1">ALL!AK69</f>
        <v>0</v>
      </c>
      <c r="AH86" s="28">
        <f ca="1">ALL!AL69</f>
        <v>0</v>
      </c>
      <c r="AI86" s="28">
        <f>ALL!AM69</f>
        <v>0</v>
      </c>
    </row>
    <row r="87" spans="1:35" ht="21.75" outlineLevel="1" thickBot="1" x14ac:dyDescent="0.4">
      <c r="A87" s="62" t="str">
        <f>ALL!E70</f>
        <v>(3)Ge[l]</v>
      </c>
      <c r="B87" s="28">
        <f ca="1">ALL!F70</f>
        <v>-17.02</v>
      </c>
      <c r="C87" s="28">
        <f ca="1">ALL!G70</f>
        <v>-16.100000000000001</v>
      </c>
      <c r="D87" s="28">
        <f ca="1">ALL!H70</f>
        <v>-15.04</v>
      </c>
      <c r="E87" s="28">
        <f ca="1">ALL!I70</f>
        <v>-13.75</v>
      </c>
      <c r="F87" s="28">
        <f ca="1">ALL!J70</f>
        <v>-12.33</v>
      </c>
      <c r="G87" s="28">
        <f ca="1">ALL!K70</f>
        <v>-7.4930000000000003</v>
      </c>
      <c r="H87" s="28">
        <f ca="1">ALL!L70</f>
        <v>-6.7720000000000002</v>
      </c>
      <c r="I87" s="28">
        <f ca="1">ALL!M70</f>
        <v>-6.2990000000000004</v>
      </c>
      <c r="J87" s="28">
        <f ca="1">ALL!N70</f>
        <v>-6.0309999999999997</v>
      </c>
      <c r="K87" s="28">
        <f ca="1">ALL!O70</f>
        <v>-5.9109999999999996</v>
      </c>
      <c r="L87" s="28">
        <f ca="1">ALL!P70</f>
        <v>-5.8780000000000001</v>
      </c>
      <c r="M87" s="28">
        <f ca="1">ALL!Q70</f>
        <v>-5.89</v>
      </c>
      <c r="N87" s="28">
        <f ca="1">ALL!R70</f>
        <v>-5.923</v>
      </c>
      <c r="O87" s="28">
        <f ca="1">ALL!S70</f>
        <v>-5.9649999999999999</v>
      </c>
      <c r="P87" s="28">
        <f ca="1">ALL!T70</f>
        <v>-6.0110000000000001</v>
      </c>
      <c r="Q87" s="28">
        <f ca="1">ALL!U70</f>
        <v>-6.06</v>
      </c>
      <c r="R87" s="28">
        <f ca="1">ALL!V70</f>
        <v>-6.1130000000000004</v>
      </c>
      <c r="S87" s="28">
        <f ca="1">ALL!W70</f>
        <v>-6.1749999999999998</v>
      </c>
      <c r="T87" s="28">
        <f ca="1">ALL!X70</f>
        <v>-6.4939999999999998</v>
      </c>
      <c r="U87" s="28">
        <f ca="1">ALL!Y70</f>
        <v>-6.55</v>
      </c>
      <c r="V87" s="28">
        <f ca="1">ALL!Z70</f>
        <v>-6.6059999999999999</v>
      </c>
      <c r="W87" s="28">
        <f ca="1">ALL!AA70</f>
        <v>-6.6609999999999996</v>
      </c>
      <c r="X87" s="28">
        <f ca="1">ALL!AB70</f>
        <v>-6.718</v>
      </c>
      <c r="Y87" s="28">
        <f ca="1">ALL!AC70</f>
        <v>-6.7729999999999997</v>
      </c>
      <c r="Z87" s="28">
        <f ca="1">ALL!AD70</f>
        <v>-6.8140000000000001</v>
      </c>
      <c r="AA87" s="28">
        <f ca="1">ALL!AE70</f>
        <v>-6.8540000000000001</v>
      </c>
      <c r="AB87" s="28">
        <f ca="1">ALL!AF70</f>
        <v>-6.8940000000000001</v>
      </c>
      <c r="AC87" s="28">
        <f ca="1">ALL!AG70</f>
        <v>-7.0640000000000001</v>
      </c>
      <c r="AD87" s="28">
        <f ca="1">ALL!AH70</f>
        <v>0</v>
      </c>
      <c r="AE87" s="28">
        <f ca="1">ALL!AI70</f>
        <v>0</v>
      </c>
      <c r="AF87" s="28">
        <f ca="1">ALL!AJ70</f>
        <v>0</v>
      </c>
      <c r="AG87" s="28">
        <f ca="1">ALL!AK70</f>
        <v>0</v>
      </c>
      <c r="AH87" s="28">
        <f ca="1">ALL!AL70</f>
        <v>0</v>
      </c>
      <c r="AI87" s="28">
        <f>ALL!AM70</f>
        <v>0</v>
      </c>
    </row>
    <row r="88" spans="1:35" ht="21.75" outlineLevel="1" thickBot="1" x14ac:dyDescent="0.4">
      <c r="A88" s="62" t="str">
        <f>ALL!E71</f>
        <v>H (Ar)</v>
      </c>
      <c r="B88" s="28">
        <f ca="1">ALL!F71</f>
        <v>-18.71</v>
      </c>
      <c r="C88" s="28">
        <f ca="1">ALL!G71</f>
        <v>-18.7</v>
      </c>
      <c r="D88" s="28">
        <f ca="1">ALL!H71</f>
        <v>-18.7</v>
      </c>
      <c r="E88" s="28">
        <f ca="1">ALL!I71</f>
        <v>-18.7</v>
      </c>
      <c r="F88" s="28">
        <f ca="1">ALL!J71</f>
        <v>-18.72</v>
      </c>
      <c r="G88" s="28">
        <f ca="1">ALL!K71</f>
        <v>-18.829999999999998</v>
      </c>
      <c r="H88" s="28">
        <f ca="1">ALL!L71</f>
        <v>-18.87</v>
      </c>
      <c r="I88" s="28">
        <f ca="1">ALL!M71</f>
        <v>-18.899999999999999</v>
      </c>
      <c r="J88" s="28">
        <f ca="1">ALL!N71</f>
        <v>-18.940000000000001</v>
      </c>
      <c r="K88" s="28">
        <f ca="1">ALL!O71</f>
        <v>-18.98</v>
      </c>
      <c r="L88" s="28">
        <f ca="1">ALL!P71</f>
        <v>-19.02</v>
      </c>
      <c r="M88" s="28">
        <f ca="1">ALL!Q71</f>
        <v>-19.059999999999999</v>
      </c>
      <c r="N88" s="28">
        <f ca="1">ALL!R71</f>
        <v>-19.100000000000001</v>
      </c>
      <c r="O88" s="28">
        <f ca="1">ALL!S71</f>
        <v>-19.14</v>
      </c>
      <c r="P88" s="28">
        <f ca="1">ALL!T71</f>
        <v>-19.18</v>
      </c>
      <c r="Q88" s="28">
        <f ca="1">ALL!U71</f>
        <v>-19.23</v>
      </c>
      <c r="R88" s="28">
        <f ca="1">ALL!V71</f>
        <v>-19.27</v>
      </c>
      <c r="S88" s="28">
        <f ca="1">ALL!W71</f>
        <v>-19.3</v>
      </c>
      <c r="T88" s="28">
        <f ca="1">ALL!X71</f>
        <v>-19.43</v>
      </c>
      <c r="U88" s="28">
        <f ca="1">ALL!Y71</f>
        <v>-19.47</v>
      </c>
      <c r="V88" s="28">
        <f ca="1">ALL!Z71</f>
        <v>-19.510000000000002</v>
      </c>
      <c r="W88" s="28">
        <f ca="1">ALL!AA71</f>
        <v>-19.55</v>
      </c>
      <c r="X88" s="28">
        <f ca="1">ALL!AB71</f>
        <v>-19.59</v>
      </c>
      <c r="Y88" s="28">
        <f ca="1">ALL!AC71</f>
        <v>-19.62</v>
      </c>
      <c r="Z88" s="28">
        <f ca="1">ALL!AD71</f>
        <v>-19.66</v>
      </c>
      <c r="AA88" s="28">
        <f ca="1">ALL!AE71</f>
        <v>-19.7</v>
      </c>
      <c r="AB88" s="28">
        <f ca="1">ALL!AF71</f>
        <v>-19.739999999999998</v>
      </c>
      <c r="AC88" s="28">
        <f ca="1">ALL!AG71</f>
        <v>-19.88</v>
      </c>
      <c r="AD88" s="28">
        <f ca="1">ALL!AH71</f>
        <v>0</v>
      </c>
      <c r="AE88" s="28">
        <f ca="1">ALL!AI71</f>
        <v>0</v>
      </c>
      <c r="AF88" s="28">
        <f ca="1">ALL!AJ71</f>
        <v>0</v>
      </c>
      <c r="AG88" s="28">
        <f ca="1">ALL!AK71</f>
        <v>0</v>
      </c>
      <c r="AH88" s="28">
        <f ca="1">ALL!AL71</f>
        <v>0</v>
      </c>
      <c r="AI88" s="28">
        <f>ALL!AM71</f>
        <v>0</v>
      </c>
    </row>
    <row r="89" spans="1:35" ht="21.75" outlineLevel="1" thickBot="1" x14ac:dyDescent="0.4">
      <c r="A89" s="62" t="str">
        <f>ALL!E72</f>
        <v>H (Ga)</v>
      </c>
      <c r="B89" s="28">
        <f ca="1">ALL!F72</f>
        <v>-66.75</v>
      </c>
      <c r="C89" s="28">
        <f ca="1">ALL!G72</f>
        <v>-62.38</v>
      </c>
      <c r="D89" s="28">
        <f ca="1">ALL!H72</f>
        <v>-58.23</v>
      </c>
      <c r="E89" s="28">
        <f ca="1">ALL!I72</f>
        <v>-54.11</v>
      </c>
      <c r="F89" s="28">
        <f ca="1">ALL!J72</f>
        <v>-50.02</v>
      </c>
      <c r="G89" s="28">
        <f ca="1">ALL!K72</f>
        <v>-36.159999999999997</v>
      </c>
      <c r="H89" s="28">
        <f ca="1">ALL!L72</f>
        <v>-33.5</v>
      </c>
      <c r="I89" s="28">
        <f ca="1">ALL!M72</f>
        <v>-31.09</v>
      </c>
      <c r="J89" s="28">
        <f ca="1">ALL!N72</f>
        <v>-28.84</v>
      </c>
      <c r="K89" s="28">
        <f ca="1">ALL!O72</f>
        <v>-26.68</v>
      </c>
      <c r="L89" s="28">
        <f ca="1">ALL!P72</f>
        <v>-24.62</v>
      </c>
      <c r="M89" s="28">
        <f ca="1">ALL!Q72</f>
        <v>-22.66</v>
      </c>
      <c r="N89" s="28">
        <f ca="1">ALL!R72</f>
        <v>-20.81</v>
      </c>
      <c r="O89" s="28">
        <f ca="1">ALL!S72</f>
        <v>-19.059999999999999</v>
      </c>
      <c r="P89" s="28">
        <f ca="1">ALL!T72</f>
        <v>-17.399999999999999</v>
      </c>
      <c r="Q89" s="28">
        <f ca="1">ALL!U72</f>
        <v>-15.83</v>
      </c>
      <c r="R89" s="28">
        <f ca="1">ALL!V72</f>
        <v>-14.36</v>
      </c>
      <c r="S89" s="28">
        <f ca="1">ALL!W72</f>
        <v>-13.01</v>
      </c>
      <c r="T89" s="28">
        <f ca="1">ALL!X72</f>
        <v>-9.8030000000000008</v>
      </c>
      <c r="U89" s="28">
        <f ca="1">ALL!Y72</f>
        <v>-9.3119999999999994</v>
      </c>
      <c r="V89" s="28">
        <f ca="1">ALL!Z72</f>
        <v>-8.8580000000000005</v>
      </c>
      <c r="W89" s="28">
        <f ca="1">ALL!AA72</f>
        <v>-8.4390000000000001</v>
      </c>
      <c r="X89" s="28">
        <f ca="1">ALL!AB72</f>
        <v>-8.0500000000000007</v>
      </c>
      <c r="Y89" s="28">
        <f ca="1">ALL!AC72</f>
        <v>-7.7050000000000001</v>
      </c>
      <c r="Z89" s="28">
        <f ca="1">ALL!AD72</f>
        <v>-7.774</v>
      </c>
      <c r="AA89" s="28">
        <f ca="1">ALL!AE72</f>
        <v>-7.8449999999999998</v>
      </c>
      <c r="AB89" s="28">
        <f ca="1">ALL!AF72</f>
        <v>-7.915</v>
      </c>
      <c r="AC89" s="28">
        <f ca="1">ALL!AG72</f>
        <v>-8.1869999999999994</v>
      </c>
      <c r="AD89" s="28">
        <f ca="1">ALL!AH72</f>
        <v>0</v>
      </c>
      <c r="AE89" s="28">
        <f ca="1">ALL!AI72</f>
        <v>0</v>
      </c>
      <c r="AF89" s="28">
        <f ca="1">ALL!AJ72</f>
        <v>0</v>
      </c>
      <c r="AG89" s="28">
        <f ca="1">ALL!AK72</f>
        <v>0</v>
      </c>
      <c r="AH89" s="28">
        <f ca="1">ALL!AL72</f>
        <v>0</v>
      </c>
      <c r="AI89" s="28">
        <f>ALL!AM72</f>
        <v>0</v>
      </c>
    </row>
    <row r="90" spans="1:35" ht="21.75" outlineLevel="1" thickBot="1" x14ac:dyDescent="0.4">
      <c r="A90" s="62" t="str">
        <f>ALL!E73</f>
        <v>H (Ge)</v>
      </c>
      <c r="B90" s="28">
        <f ca="1">ALL!F73</f>
        <v>-17.02</v>
      </c>
      <c r="C90" s="28">
        <f ca="1">ALL!G73</f>
        <v>-16.100000000000001</v>
      </c>
      <c r="D90" s="28">
        <f ca="1">ALL!H73</f>
        <v>-15.04</v>
      </c>
      <c r="E90" s="28">
        <f ca="1">ALL!I73</f>
        <v>-13.75</v>
      </c>
      <c r="F90" s="28">
        <f ca="1">ALL!J73</f>
        <v>-12.33</v>
      </c>
      <c r="G90" s="28">
        <f ca="1">ALL!K73</f>
        <v>-7.4930000000000003</v>
      </c>
      <c r="H90" s="28">
        <f ca="1">ALL!L73</f>
        <v>-6.7720000000000002</v>
      </c>
      <c r="I90" s="28">
        <f ca="1">ALL!M73</f>
        <v>-6.2990000000000004</v>
      </c>
      <c r="J90" s="28">
        <f ca="1">ALL!N73</f>
        <v>-6.0309999999999997</v>
      </c>
      <c r="K90" s="28">
        <f ca="1">ALL!O73</f>
        <v>-5.9109999999999996</v>
      </c>
      <c r="L90" s="28">
        <f ca="1">ALL!P73</f>
        <v>-5.8780000000000001</v>
      </c>
      <c r="M90" s="28">
        <f ca="1">ALL!Q73</f>
        <v>-5.89</v>
      </c>
      <c r="N90" s="28">
        <f ca="1">ALL!R73</f>
        <v>-5.923</v>
      </c>
      <c r="O90" s="28">
        <f ca="1">ALL!S73</f>
        <v>-5.9649999999999999</v>
      </c>
      <c r="P90" s="28">
        <f ca="1">ALL!T73</f>
        <v>-6.0110000000000001</v>
      </c>
      <c r="Q90" s="28">
        <f ca="1">ALL!U73</f>
        <v>-6.06</v>
      </c>
      <c r="R90" s="28">
        <f ca="1">ALL!V73</f>
        <v>-6.1130000000000004</v>
      </c>
      <c r="S90" s="28">
        <f ca="1">ALL!W73</f>
        <v>-6.1749999999999998</v>
      </c>
      <c r="T90" s="28">
        <f ca="1">ALL!X73</f>
        <v>-6.4939999999999998</v>
      </c>
      <c r="U90" s="28">
        <f ca="1">ALL!Y73</f>
        <v>-6.55</v>
      </c>
      <c r="V90" s="28">
        <f ca="1">ALL!Z73</f>
        <v>-6.6059999999999999</v>
      </c>
      <c r="W90" s="28">
        <f ca="1">ALL!AA73</f>
        <v>-6.6609999999999996</v>
      </c>
      <c r="X90" s="28">
        <f ca="1">ALL!AB73</f>
        <v>-6.718</v>
      </c>
      <c r="Y90" s="28">
        <f ca="1">ALL!AC73</f>
        <v>-6.7729999999999997</v>
      </c>
      <c r="Z90" s="28">
        <f ca="1">ALL!AD73</f>
        <v>-6.8140000000000001</v>
      </c>
      <c r="AA90" s="28">
        <f ca="1">ALL!AE73</f>
        <v>-6.8540000000000001</v>
      </c>
      <c r="AB90" s="28">
        <f ca="1">ALL!AF73</f>
        <v>-6.8940000000000001</v>
      </c>
      <c r="AC90" s="28">
        <f ca="1">ALL!AG73</f>
        <v>-7.0640000000000001</v>
      </c>
      <c r="AD90" s="28">
        <f ca="1">ALL!AH73</f>
        <v>0</v>
      </c>
      <c r="AE90" s="28">
        <f ca="1">ALL!AI73</f>
        <v>0</v>
      </c>
      <c r="AF90" s="28">
        <f ca="1">ALL!AJ73</f>
        <v>0</v>
      </c>
      <c r="AG90" s="28">
        <f ca="1">ALL!AK73</f>
        <v>0</v>
      </c>
      <c r="AH90" s="28">
        <f ca="1">ALL!AL73</f>
        <v>0</v>
      </c>
      <c r="AI90" s="28">
        <f>ALL!AM73</f>
        <v>0</v>
      </c>
    </row>
    <row r="91" spans="1:35" ht="21.75" outlineLevel="1" thickBot="1" x14ac:dyDescent="0.4">
      <c r="A91" s="62" t="str">
        <f>ALL!E74</f>
        <v>H (Se)</v>
      </c>
      <c r="B91" s="28">
        <f ca="1">ALL!F74</f>
        <v>-23.56</v>
      </c>
      <c r="C91" s="28">
        <f ca="1">ALL!G74</f>
        <v>-22.33</v>
      </c>
      <c r="D91" s="28">
        <f ca="1">ALL!H74</f>
        <v>-21.52</v>
      </c>
      <c r="E91" s="28">
        <f ca="1">ALL!I74</f>
        <v>-21.15</v>
      </c>
      <c r="F91" s="28">
        <f ca="1">ALL!J74</f>
        <v>-21.13</v>
      </c>
      <c r="G91" s="28">
        <f ca="1">ALL!K74</f>
        <v>-22.02</v>
      </c>
      <c r="H91" s="28">
        <f ca="1">ALL!L74</f>
        <v>-22.21</v>
      </c>
      <c r="I91" s="28">
        <f ca="1">ALL!M74</f>
        <v>-22.38</v>
      </c>
      <c r="J91" s="28">
        <f ca="1">ALL!N74</f>
        <v>-22.58</v>
      </c>
      <c r="K91" s="28">
        <f ca="1">ALL!O74</f>
        <v>-22.81</v>
      </c>
      <c r="L91" s="28">
        <f ca="1">ALL!P74</f>
        <v>-23.08</v>
      </c>
      <c r="M91" s="28">
        <f ca="1">ALL!Q74</f>
        <v>-23.36</v>
      </c>
      <c r="N91" s="28">
        <f ca="1">ALL!R74</f>
        <v>-23.65</v>
      </c>
      <c r="O91" s="28">
        <f ca="1">ALL!S74</f>
        <v>-23.94</v>
      </c>
      <c r="P91" s="28">
        <f ca="1">ALL!T74</f>
        <v>-24.22</v>
      </c>
      <c r="Q91" s="28">
        <f ca="1">ALL!U74</f>
        <v>-24.51</v>
      </c>
      <c r="R91" s="28">
        <f ca="1">ALL!V74</f>
        <v>-24.79</v>
      </c>
      <c r="S91" s="28">
        <f ca="1">ALL!W74</f>
        <v>-25.06</v>
      </c>
      <c r="T91" s="28">
        <f ca="1">ALL!X74</f>
        <v>-26.1</v>
      </c>
      <c r="U91" s="28">
        <f ca="1">ALL!Y74</f>
        <v>-26.36</v>
      </c>
      <c r="V91" s="28">
        <f ca="1">ALL!Z74</f>
        <v>-26.63</v>
      </c>
      <c r="W91" s="28">
        <f ca="1">ALL!AA74</f>
        <v>-26.89</v>
      </c>
      <c r="X91" s="28">
        <f ca="1">ALL!AB74</f>
        <v>-27.15</v>
      </c>
      <c r="Y91" s="28">
        <f ca="1">ALL!AC74</f>
        <v>-27.4</v>
      </c>
      <c r="Z91" s="28">
        <f ca="1">ALL!AD74</f>
        <v>-27.61</v>
      </c>
      <c r="AA91" s="28">
        <f ca="1">ALL!AE74</f>
        <v>-27.84</v>
      </c>
      <c r="AB91" s="28">
        <f ca="1">ALL!AF74</f>
        <v>-28.08</v>
      </c>
      <c r="AC91" s="28">
        <f ca="1">ALL!AG74</f>
        <v>-29.02</v>
      </c>
      <c r="AD91" s="28">
        <f ca="1">ALL!AH74</f>
        <v>0</v>
      </c>
      <c r="AE91" s="28">
        <f ca="1">ALL!AI74</f>
        <v>0</v>
      </c>
      <c r="AF91" s="28">
        <f ca="1">ALL!AJ74</f>
        <v>0</v>
      </c>
      <c r="AG91" s="28">
        <f ca="1">ALL!AK74</f>
        <v>0</v>
      </c>
      <c r="AH91" s="28">
        <f ca="1">ALL!AL74</f>
        <v>0</v>
      </c>
      <c r="AI91" s="28">
        <f>ALL!AM74</f>
        <v>0</v>
      </c>
    </row>
    <row r="92" spans="1:35" ht="21.75" outlineLevel="1" thickBot="1" x14ac:dyDescent="0.4">
      <c r="A92" s="62">
        <f>ALL!E75</f>
        <v>0</v>
      </c>
      <c r="B92" s="28">
        <f ca="1">ALL!F75</f>
        <v>0</v>
      </c>
      <c r="C92" s="28">
        <f ca="1">ALL!G75</f>
        <v>0</v>
      </c>
      <c r="D92" s="28">
        <f ca="1">ALL!H75</f>
        <v>0</v>
      </c>
      <c r="E92" s="28">
        <f ca="1">ALL!I75</f>
        <v>0</v>
      </c>
      <c r="F92" s="28">
        <f ca="1">ALL!J75</f>
        <v>0</v>
      </c>
      <c r="G92" s="28">
        <f ca="1">ALL!K75</f>
        <v>0</v>
      </c>
      <c r="H92" s="28">
        <f ca="1">ALL!L75</f>
        <v>0</v>
      </c>
      <c r="I92" s="28">
        <f ca="1">ALL!M75</f>
        <v>0</v>
      </c>
      <c r="J92" s="28">
        <f ca="1">ALL!N75</f>
        <v>0</v>
      </c>
      <c r="K92" s="28">
        <f ca="1">ALL!O75</f>
        <v>0</v>
      </c>
      <c r="L92" s="28">
        <f ca="1">ALL!P75</f>
        <v>0</v>
      </c>
      <c r="M92" s="28">
        <f ca="1">ALL!Q75</f>
        <v>0</v>
      </c>
      <c r="N92" s="28">
        <f ca="1">ALL!R75</f>
        <v>0</v>
      </c>
      <c r="O92" s="28">
        <f ca="1">ALL!S75</f>
        <v>0</v>
      </c>
      <c r="P92" s="28">
        <f ca="1">ALL!T75</f>
        <v>0</v>
      </c>
      <c r="Q92" s="28">
        <f ca="1">ALL!U75</f>
        <v>0</v>
      </c>
      <c r="R92" s="28">
        <f ca="1">ALL!V75</f>
        <v>0</v>
      </c>
      <c r="S92" s="28">
        <f ca="1">ALL!W75</f>
        <v>0</v>
      </c>
      <c r="T92" s="28">
        <f ca="1">ALL!X75</f>
        <v>0</v>
      </c>
      <c r="U92" s="28">
        <f ca="1">ALL!Y75</f>
        <v>0</v>
      </c>
      <c r="V92" s="28">
        <f ca="1">ALL!Z75</f>
        <v>0</v>
      </c>
      <c r="W92" s="28">
        <f ca="1">ALL!AA75</f>
        <v>0</v>
      </c>
      <c r="X92" s="28">
        <f ca="1">ALL!AB75</f>
        <v>0</v>
      </c>
      <c r="Y92" s="28">
        <f ca="1">ALL!AC75</f>
        <v>0</v>
      </c>
      <c r="Z92" s="28">
        <f ca="1">ALL!AD75</f>
        <v>0</v>
      </c>
      <c r="AA92" s="28">
        <f ca="1">ALL!AE75</f>
        <v>0</v>
      </c>
      <c r="AB92" s="28">
        <f ca="1">ALL!AF75</f>
        <v>0</v>
      </c>
      <c r="AC92" s="28">
        <f ca="1">ALL!AG75</f>
        <v>0</v>
      </c>
      <c r="AD92" s="28">
        <f ca="1">ALL!AH75</f>
        <v>0</v>
      </c>
      <c r="AE92" s="28">
        <f ca="1">ALL!AI75</f>
        <v>0</v>
      </c>
      <c r="AF92" s="28">
        <f ca="1">ALL!AJ75</f>
        <v>0</v>
      </c>
      <c r="AG92" s="28">
        <f ca="1">ALL!AK75</f>
        <v>0</v>
      </c>
      <c r="AH92" s="28">
        <f ca="1">ALL!AL75</f>
        <v>0</v>
      </c>
      <c r="AI92" s="28">
        <f>ALL!AM75</f>
        <v>0</v>
      </c>
    </row>
    <row r="93" spans="1:35" ht="21.75" outlineLevel="1" thickBot="1" x14ac:dyDescent="0.4">
      <c r="A93" s="62">
        <f>ALL!E76</f>
        <v>0</v>
      </c>
      <c r="B93" s="28">
        <f ca="1">ALL!F76</f>
        <v>0</v>
      </c>
      <c r="C93" s="28">
        <f ca="1">ALL!G76</f>
        <v>0</v>
      </c>
      <c r="D93" s="28">
        <f ca="1">ALL!H76</f>
        <v>0</v>
      </c>
      <c r="E93" s="28">
        <f ca="1">ALL!I76</f>
        <v>0</v>
      </c>
      <c r="F93" s="28">
        <f ca="1">ALL!J76</f>
        <v>0</v>
      </c>
      <c r="G93" s="28">
        <f ca="1">ALL!K76</f>
        <v>0</v>
      </c>
      <c r="H93" s="28">
        <f ca="1">ALL!L76</f>
        <v>0</v>
      </c>
      <c r="I93" s="28">
        <f ca="1">ALL!M76</f>
        <v>0</v>
      </c>
      <c r="J93" s="28">
        <f ca="1">ALL!N76</f>
        <v>0</v>
      </c>
      <c r="K93" s="28">
        <f ca="1">ALL!O76</f>
        <v>0</v>
      </c>
      <c r="L93" s="28">
        <f ca="1">ALL!P76</f>
        <v>0</v>
      </c>
      <c r="M93" s="28">
        <f ca="1">ALL!Q76</f>
        <v>0</v>
      </c>
      <c r="N93" s="28">
        <f ca="1">ALL!R76</f>
        <v>0</v>
      </c>
      <c r="O93" s="28">
        <f ca="1">ALL!S76</f>
        <v>0</v>
      </c>
      <c r="P93" s="28">
        <f ca="1">ALL!T76</f>
        <v>0</v>
      </c>
      <c r="Q93" s="28">
        <f ca="1">ALL!U76</f>
        <v>0</v>
      </c>
      <c r="R93" s="28">
        <f ca="1">ALL!V76</f>
        <v>0</v>
      </c>
      <c r="S93" s="28">
        <f ca="1">ALL!W76</f>
        <v>0</v>
      </c>
      <c r="T93" s="28">
        <f ca="1">ALL!X76</f>
        <v>0</v>
      </c>
      <c r="U93" s="28">
        <f ca="1">ALL!Y76</f>
        <v>0</v>
      </c>
      <c r="V93" s="28">
        <f ca="1">ALL!Z76</f>
        <v>0</v>
      </c>
      <c r="W93" s="28">
        <f ca="1">ALL!AA76</f>
        <v>0</v>
      </c>
      <c r="X93" s="28">
        <f ca="1">ALL!AB76</f>
        <v>0</v>
      </c>
      <c r="Y93" s="28">
        <f ca="1">ALL!AC76</f>
        <v>0</v>
      </c>
      <c r="Z93" s="28">
        <f ca="1">ALL!AD76</f>
        <v>0</v>
      </c>
      <c r="AA93" s="28">
        <f ca="1">ALL!AE76</f>
        <v>0</v>
      </c>
      <c r="AB93" s="28">
        <f ca="1">ALL!AF76</f>
        <v>0</v>
      </c>
      <c r="AC93" s="28">
        <f ca="1">ALL!AG76</f>
        <v>0</v>
      </c>
      <c r="AD93" s="28">
        <f ca="1">ALL!AH76</f>
        <v>0</v>
      </c>
      <c r="AE93" s="28">
        <f ca="1">ALL!AI76</f>
        <v>0</v>
      </c>
      <c r="AF93" s="28">
        <f ca="1">ALL!AJ76</f>
        <v>0</v>
      </c>
      <c r="AG93" s="28">
        <f ca="1">ALL!AK76</f>
        <v>0</v>
      </c>
      <c r="AH93" s="28">
        <f ca="1">ALL!AL76</f>
        <v>0</v>
      </c>
      <c r="AI93" s="28">
        <f>ALL!AM76</f>
        <v>0</v>
      </c>
    </row>
    <row r="94" spans="1:35" ht="21.75" outlineLevel="1" thickBot="1" x14ac:dyDescent="0.4">
      <c r="A94" s="62">
        <f>ALL!E77</f>
        <v>0</v>
      </c>
      <c r="B94" s="28">
        <f ca="1">ALL!F77</f>
        <v>0</v>
      </c>
      <c r="C94" s="28">
        <f ca="1">ALL!G77</f>
        <v>0</v>
      </c>
      <c r="D94" s="28">
        <f ca="1">ALL!H77</f>
        <v>0</v>
      </c>
      <c r="E94" s="28">
        <f ca="1">ALL!I77</f>
        <v>0</v>
      </c>
      <c r="F94" s="28">
        <f ca="1">ALL!J77</f>
        <v>0</v>
      </c>
      <c r="G94" s="28">
        <f ca="1">ALL!K77</f>
        <v>0</v>
      </c>
      <c r="H94" s="28">
        <f ca="1">ALL!L77</f>
        <v>0</v>
      </c>
      <c r="I94" s="28">
        <f ca="1">ALL!M77</f>
        <v>0</v>
      </c>
      <c r="J94" s="28">
        <f ca="1">ALL!N77</f>
        <v>0</v>
      </c>
      <c r="K94" s="28">
        <f ca="1">ALL!O77</f>
        <v>0</v>
      </c>
      <c r="L94" s="28">
        <f ca="1">ALL!P77</f>
        <v>0</v>
      </c>
      <c r="M94" s="28">
        <f ca="1">ALL!Q77</f>
        <v>0</v>
      </c>
      <c r="N94" s="28">
        <f ca="1">ALL!R77</f>
        <v>0</v>
      </c>
      <c r="O94" s="28">
        <f ca="1">ALL!S77</f>
        <v>0</v>
      </c>
      <c r="P94" s="28">
        <f ca="1">ALL!T77</f>
        <v>0</v>
      </c>
      <c r="Q94" s="28">
        <f ca="1">ALL!U77</f>
        <v>0</v>
      </c>
      <c r="R94" s="28">
        <f ca="1">ALL!V77</f>
        <v>0</v>
      </c>
      <c r="S94" s="28">
        <f ca="1">ALL!W77</f>
        <v>0</v>
      </c>
      <c r="T94" s="28">
        <f ca="1">ALL!X77</f>
        <v>0</v>
      </c>
      <c r="U94" s="28">
        <f ca="1">ALL!Y77</f>
        <v>0</v>
      </c>
      <c r="V94" s="28">
        <f ca="1">ALL!Z77</f>
        <v>0</v>
      </c>
      <c r="W94" s="28">
        <f ca="1">ALL!AA77</f>
        <v>0</v>
      </c>
      <c r="X94" s="28">
        <f ca="1">ALL!AB77</f>
        <v>0</v>
      </c>
      <c r="Y94" s="28">
        <f ca="1">ALL!AC77</f>
        <v>0</v>
      </c>
      <c r="Z94" s="28">
        <f ca="1">ALL!AD77</f>
        <v>0</v>
      </c>
      <c r="AA94" s="28">
        <f ca="1">ALL!AE77</f>
        <v>0</v>
      </c>
      <c r="AB94" s="28">
        <f ca="1">ALL!AF77</f>
        <v>0</v>
      </c>
      <c r="AC94" s="28">
        <f ca="1">ALL!AG77</f>
        <v>0</v>
      </c>
      <c r="AD94" s="28">
        <f ca="1">ALL!AH77</f>
        <v>0</v>
      </c>
      <c r="AE94" s="28">
        <f ca="1">ALL!AI77</f>
        <v>0</v>
      </c>
      <c r="AF94" s="28">
        <f ca="1">ALL!AJ77</f>
        <v>0</v>
      </c>
      <c r="AG94" s="28">
        <f ca="1">ALL!AK77</f>
        <v>0</v>
      </c>
      <c r="AH94" s="28">
        <f ca="1">ALL!AL77</f>
        <v>0</v>
      </c>
      <c r="AI94" s="28">
        <f>ALL!AM77</f>
        <v>0</v>
      </c>
    </row>
    <row r="95" spans="1:35" ht="21.75" outlineLevel="1" thickBot="1" x14ac:dyDescent="0.4">
      <c r="A95" s="62">
        <f>ALL!E78</f>
        <v>0</v>
      </c>
      <c r="B95" s="28">
        <f ca="1">ALL!F78</f>
        <v>0</v>
      </c>
      <c r="C95" s="28">
        <f ca="1">ALL!G78</f>
        <v>0</v>
      </c>
      <c r="D95" s="28">
        <f ca="1">ALL!H78</f>
        <v>0</v>
      </c>
      <c r="E95" s="28">
        <f ca="1">ALL!I78</f>
        <v>0</v>
      </c>
      <c r="F95" s="28">
        <f ca="1">ALL!J78</f>
        <v>0</v>
      </c>
      <c r="G95" s="28">
        <f ca="1">ALL!K78</f>
        <v>0</v>
      </c>
      <c r="H95" s="28">
        <f ca="1">ALL!L78</f>
        <v>0</v>
      </c>
      <c r="I95" s="28">
        <f ca="1">ALL!M78</f>
        <v>0</v>
      </c>
      <c r="J95" s="28">
        <f ca="1">ALL!N78</f>
        <v>0</v>
      </c>
      <c r="K95" s="28">
        <f ca="1">ALL!O78</f>
        <v>0</v>
      </c>
      <c r="L95" s="28">
        <f ca="1">ALL!P78</f>
        <v>0</v>
      </c>
      <c r="M95" s="28">
        <f ca="1">ALL!Q78</f>
        <v>0</v>
      </c>
      <c r="N95" s="28">
        <f ca="1">ALL!R78</f>
        <v>0</v>
      </c>
      <c r="O95" s="28">
        <f ca="1">ALL!S78</f>
        <v>0</v>
      </c>
      <c r="P95" s="28">
        <f ca="1">ALL!T78</f>
        <v>0</v>
      </c>
      <c r="Q95" s="28">
        <f ca="1">ALL!U78</f>
        <v>0</v>
      </c>
      <c r="R95" s="28">
        <f ca="1">ALL!V78</f>
        <v>0</v>
      </c>
      <c r="S95" s="28">
        <f ca="1">ALL!W78</f>
        <v>0</v>
      </c>
      <c r="T95" s="28">
        <f ca="1">ALL!X78</f>
        <v>0</v>
      </c>
      <c r="U95" s="28">
        <f ca="1">ALL!Y78</f>
        <v>0</v>
      </c>
      <c r="V95" s="28">
        <f ca="1">ALL!Z78</f>
        <v>0</v>
      </c>
      <c r="W95" s="28">
        <f ca="1">ALL!AA78</f>
        <v>0</v>
      </c>
      <c r="X95" s="28">
        <f ca="1">ALL!AB78</f>
        <v>0</v>
      </c>
      <c r="Y95" s="28">
        <f ca="1">ALL!AC78</f>
        <v>0</v>
      </c>
      <c r="Z95" s="28">
        <f ca="1">ALL!AD78</f>
        <v>0</v>
      </c>
      <c r="AA95" s="28">
        <f ca="1">ALL!AE78</f>
        <v>0</v>
      </c>
      <c r="AB95" s="28">
        <f ca="1">ALL!AF78</f>
        <v>0</v>
      </c>
      <c r="AC95" s="28">
        <f ca="1">ALL!AG78</f>
        <v>0</v>
      </c>
      <c r="AD95" s="28">
        <f ca="1">ALL!AH78</f>
        <v>0</v>
      </c>
      <c r="AE95" s="28">
        <f ca="1">ALL!AI78</f>
        <v>0</v>
      </c>
      <c r="AF95" s="28">
        <f ca="1">ALL!AJ78</f>
        <v>0</v>
      </c>
      <c r="AG95" s="28">
        <f ca="1">ALL!AK78</f>
        <v>0</v>
      </c>
      <c r="AH95" s="28">
        <f ca="1">ALL!AL78</f>
        <v>0</v>
      </c>
      <c r="AI95" s="28">
        <f>ALL!AM78</f>
        <v>0</v>
      </c>
    </row>
    <row r="96" spans="1:35" ht="21.75" outlineLevel="1" thickBot="1" x14ac:dyDescent="0.4">
      <c r="A96" s="62">
        <f>ALL!E79</f>
        <v>1</v>
      </c>
      <c r="B96" s="28">
        <f>ALL!F79</f>
        <v>0</v>
      </c>
      <c r="C96" s="28">
        <f>ALL!G79</f>
        <v>0</v>
      </c>
      <c r="D96" s="28">
        <f>ALL!H79</f>
        <v>0</v>
      </c>
      <c r="E96" s="28">
        <f>ALL!I79</f>
        <v>0</v>
      </c>
      <c r="F96" s="28">
        <f>ALL!J79</f>
        <v>0</v>
      </c>
      <c r="G96" s="28">
        <f>ALL!K79</f>
        <v>0</v>
      </c>
      <c r="H96" s="28">
        <f>ALL!L79</f>
        <v>0</v>
      </c>
      <c r="I96" s="28">
        <f>ALL!M79</f>
        <v>0</v>
      </c>
      <c r="J96" s="28">
        <f>ALL!N79</f>
        <v>0</v>
      </c>
      <c r="K96" s="28">
        <f>ALL!O79</f>
        <v>0</v>
      </c>
      <c r="L96" s="28">
        <f>ALL!P79</f>
        <v>0</v>
      </c>
      <c r="M96" s="28">
        <f>ALL!Q79</f>
        <v>0</v>
      </c>
      <c r="N96" s="28">
        <f>ALL!R79</f>
        <v>0</v>
      </c>
      <c r="O96" s="28">
        <f>ALL!S79</f>
        <v>0</v>
      </c>
      <c r="P96" s="28">
        <f>ALL!T79</f>
        <v>0</v>
      </c>
      <c r="Q96" s="28">
        <f>ALL!U79</f>
        <v>0</v>
      </c>
      <c r="R96" s="28">
        <f>ALL!V79</f>
        <v>0</v>
      </c>
      <c r="S96" s="28">
        <f>ALL!W79</f>
        <v>0</v>
      </c>
      <c r="T96" s="28">
        <f>ALL!X79</f>
        <v>0</v>
      </c>
      <c r="U96" s="28">
        <f>ALL!Y79</f>
        <v>0</v>
      </c>
      <c r="V96" s="28">
        <f>ALL!Z79</f>
        <v>0</v>
      </c>
      <c r="W96" s="28">
        <f>ALL!AA79</f>
        <v>0</v>
      </c>
      <c r="X96" s="28">
        <f>ALL!AB79</f>
        <v>0</v>
      </c>
      <c r="Y96" s="28">
        <f>ALL!AC79</f>
        <v>0</v>
      </c>
      <c r="Z96" s="28">
        <f>ALL!AD79</f>
        <v>0</v>
      </c>
      <c r="AA96" s="28">
        <f>ALL!AE79</f>
        <v>0</v>
      </c>
      <c r="AB96" s="28">
        <f>ALL!AF79</f>
        <v>0</v>
      </c>
      <c r="AC96" s="28">
        <f>ALL!AG79</f>
        <v>0</v>
      </c>
      <c r="AD96" s="28">
        <f>ALL!AH79</f>
        <v>0</v>
      </c>
      <c r="AE96" s="28">
        <f>ALL!AI79</f>
        <v>0</v>
      </c>
      <c r="AF96" s="28">
        <f>ALL!AJ79</f>
        <v>0</v>
      </c>
      <c r="AG96" s="28">
        <f>ALL!AK79</f>
        <v>0</v>
      </c>
      <c r="AH96" s="28">
        <f>ALL!AL79</f>
        <v>0</v>
      </c>
      <c r="AI96" s="28">
        <f>ALL!AM79</f>
        <v>0</v>
      </c>
    </row>
    <row r="97" spans="1:94" x14ac:dyDescent="0.35">
      <c r="A97" s="167" t="s">
        <v>11</v>
      </c>
      <c r="B97" s="168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</row>
    <row r="98" spans="1:94" x14ac:dyDescent="0.35">
      <c r="A98" s="44">
        <f>Values!B1</f>
        <v>450</v>
      </c>
      <c r="B98" s="83">
        <f>MIN(B100:CP154)</f>
        <v>-193.78064356435644</v>
      </c>
    </row>
    <row r="99" spans="1:94" ht="21.75" thickBot="1" x14ac:dyDescent="0.4">
      <c r="A99" s="45">
        <f>A98</f>
        <v>450</v>
      </c>
      <c r="B99" s="84">
        <v>0</v>
      </c>
    </row>
    <row r="100" spans="1:94" ht="22.5" thickTop="1" thickBot="1" x14ac:dyDescent="0.4">
      <c r="A100" s="9" t="s">
        <v>38</v>
      </c>
      <c r="B100" s="9">
        <v>290</v>
      </c>
      <c r="C100" s="9">
        <v>298</v>
      </c>
      <c r="D100" s="9">
        <v>306</v>
      </c>
      <c r="E100" s="9">
        <v>314</v>
      </c>
      <c r="F100" s="9">
        <v>322</v>
      </c>
      <c r="G100" s="9">
        <v>330</v>
      </c>
      <c r="H100" s="9">
        <v>338</v>
      </c>
      <c r="I100" s="9">
        <v>346</v>
      </c>
      <c r="J100" s="9">
        <v>354</v>
      </c>
      <c r="K100" s="9">
        <v>362</v>
      </c>
      <c r="L100" s="9">
        <v>370</v>
      </c>
      <c r="M100" s="9">
        <v>378</v>
      </c>
      <c r="N100" s="9">
        <v>386</v>
      </c>
      <c r="O100" s="9">
        <v>394</v>
      </c>
      <c r="P100" s="9">
        <v>402</v>
      </c>
      <c r="Q100" s="9">
        <v>410</v>
      </c>
      <c r="R100" s="9">
        <v>418</v>
      </c>
      <c r="S100" s="9">
        <v>426</v>
      </c>
      <c r="T100" s="9">
        <v>434</v>
      </c>
      <c r="U100" s="9">
        <v>442</v>
      </c>
      <c r="V100" s="9">
        <v>450</v>
      </c>
      <c r="W100" s="9">
        <v>458</v>
      </c>
      <c r="X100" s="9">
        <v>466</v>
      </c>
      <c r="Y100" s="9">
        <v>474</v>
      </c>
      <c r="Z100" s="9">
        <v>482</v>
      </c>
      <c r="AA100" s="9">
        <v>490</v>
      </c>
      <c r="AB100" s="9">
        <v>498</v>
      </c>
      <c r="AC100" s="9">
        <v>506</v>
      </c>
      <c r="AD100" s="9">
        <v>514</v>
      </c>
      <c r="AE100" s="9">
        <v>522</v>
      </c>
      <c r="AF100" s="9">
        <v>530</v>
      </c>
      <c r="AG100" s="9">
        <v>538</v>
      </c>
      <c r="AH100" s="9">
        <v>546</v>
      </c>
      <c r="AI100" s="9">
        <v>554</v>
      </c>
      <c r="AJ100" s="9">
        <v>562</v>
      </c>
      <c r="AK100" s="9">
        <v>570</v>
      </c>
      <c r="AL100" s="9">
        <v>578</v>
      </c>
      <c r="AM100" s="9">
        <v>586</v>
      </c>
      <c r="AN100" s="9">
        <v>594</v>
      </c>
      <c r="AO100" s="9">
        <v>602</v>
      </c>
      <c r="AP100" s="9">
        <v>610</v>
      </c>
      <c r="AQ100" s="9">
        <v>618</v>
      </c>
      <c r="AR100" s="9">
        <v>626</v>
      </c>
      <c r="AS100" s="9">
        <v>634</v>
      </c>
      <c r="AT100" s="9">
        <v>642</v>
      </c>
      <c r="AU100" s="9">
        <v>650</v>
      </c>
      <c r="AV100" s="9">
        <v>658</v>
      </c>
      <c r="AW100" s="9">
        <v>666</v>
      </c>
      <c r="AX100" s="9">
        <v>674</v>
      </c>
      <c r="AY100" s="9">
        <v>682</v>
      </c>
      <c r="AZ100" s="9">
        <v>690</v>
      </c>
      <c r="BA100" s="9">
        <v>698</v>
      </c>
      <c r="BB100" s="9">
        <v>706</v>
      </c>
      <c r="BC100" s="9">
        <v>714</v>
      </c>
      <c r="BD100" s="9">
        <v>722</v>
      </c>
      <c r="BE100" s="9">
        <v>730</v>
      </c>
      <c r="BF100" s="9">
        <v>738</v>
      </c>
      <c r="BG100" s="9">
        <v>746</v>
      </c>
      <c r="BH100" s="9">
        <v>754</v>
      </c>
      <c r="BI100" s="9">
        <v>762</v>
      </c>
      <c r="BJ100" s="9">
        <v>770</v>
      </c>
      <c r="BK100" s="9">
        <v>778</v>
      </c>
      <c r="BL100" s="9">
        <v>786</v>
      </c>
      <c r="BM100" s="9">
        <v>794</v>
      </c>
      <c r="BN100" s="9">
        <v>802</v>
      </c>
      <c r="BO100" s="9">
        <v>810</v>
      </c>
      <c r="BP100" s="9">
        <v>818</v>
      </c>
      <c r="BQ100" s="9">
        <v>826</v>
      </c>
      <c r="BR100" s="9">
        <v>834</v>
      </c>
      <c r="BS100" s="9">
        <v>842</v>
      </c>
      <c r="BT100" s="9">
        <v>850</v>
      </c>
      <c r="BU100" s="9">
        <v>858</v>
      </c>
      <c r="BV100" s="9">
        <v>866</v>
      </c>
      <c r="BW100" s="9">
        <v>874</v>
      </c>
      <c r="BX100" s="9">
        <v>882</v>
      </c>
      <c r="BY100" s="9">
        <v>890</v>
      </c>
      <c r="BZ100" s="9">
        <v>898</v>
      </c>
      <c r="CA100" s="9">
        <v>906</v>
      </c>
      <c r="CB100" s="9">
        <v>914</v>
      </c>
      <c r="CC100" s="9">
        <v>938</v>
      </c>
      <c r="CD100" s="9">
        <v>946</v>
      </c>
      <c r="CE100" s="9">
        <v>954</v>
      </c>
      <c r="CF100" s="9">
        <v>962</v>
      </c>
      <c r="CG100" s="9">
        <v>970</v>
      </c>
      <c r="CH100" s="9">
        <v>978</v>
      </c>
      <c r="CI100" s="9">
        <v>986</v>
      </c>
      <c r="CJ100" s="9">
        <v>994</v>
      </c>
      <c r="CK100" s="9"/>
      <c r="CL100" s="9"/>
      <c r="CM100" s="9"/>
      <c r="CN100" s="9"/>
      <c r="CO100" s="9"/>
      <c r="CP100" s="9"/>
    </row>
    <row r="101" spans="1:94" ht="22.5" outlineLevel="1" thickTop="1" thickBot="1" x14ac:dyDescent="0.4">
      <c r="A101" s="76" t="s">
        <v>57</v>
      </c>
      <c r="B101" s="64">
        <v>-15.64579207920792</v>
      </c>
      <c r="C101" s="64">
        <v>-15.366435643564357</v>
      </c>
      <c r="D101">
        <v>-15.105049504950495</v>
      </c>
      <c r="E101">
        <v>-14.846138613861386</v>
      </c>
      <c r="F101">
        <v>-14.624356435643564</v>
      </c>
      <c r="G101">
        <v>-14.402574257425742</v>
      </c>
      <c r="H101">
        <v>-14.059455445544554</v>
      </c>
      <c r="I101">
        <v>-13.611930693069306</v>
      </c>
      <c r="J101">
        <v>-13.163493811881187</v>
      </c>
      <c r="K101">
        <v>-12.642998762376235</v>
      </c>
      <c r="L101">
        <v>-12.122503712871286</v>
      </c>
      <c r="M101">
        <v>-11.602008663366336</v>
      </c>
      <c r="N101">
        <v>-11.081513613861386</v>
      </c>
      <c r="O101">
        <v>-10.561018564356434</v>
      </c>
      <c r="P101">
        <v>-10.040523514851484</v>
      </c>
      <c r="Q101">
        <v>-9.5200284653465346</v>
      </c>
      <c r="R101">
        <v>-8.999533415841583</v>
      </c>
      <c r="S101">
        <v>-8.4790383663366331</v>
      </c>
      <c r="T101">
        <v>-7.9585433168316824</v>
      </c>
      <c r="U101">
        <v>-7.5292079207920786</v>
      </c>
      <c r="V101">
        <v>-7.1086138613861376</v>
      </c>
      <c r="W101">
        <v>-6.6999900990099004</v>
      </c>
      <c r="X101">
        <v>-6.3102871287128712</v>
      </c>
      <c r="Y101">
        <v>-5.9205841584158421</v>
      </c>
      <c r="Z101">
        <v>-5.5518656716417913</v>
      </c>
      <c r="AA101">
        <v>-5.1864925373134323</v>
      </c>
      <c r="AB101">
        <v>-4.8310396039603951</v>
      </c>
      <c r="AC101">
        <v>-4.4940099009900978</v>
      </c>
      <c r="AD101">
        <v>-4.1569801980198005</v>
      </c>
      <c r="AE101">
        <v>-4.1149900990099013</v>
      </c>
      <c r="AF101">
        <v>-4.1355841584158419</v>
      </c>
      <c r="AG101">
        <v>-4.1559405940594063</v>
      </c>
      <c r="AH101">
        <v>-4.1757425742574261</v>
      </c>
      <c r="AI101">
        <v>-4.1955445544554459</v>
      </c>
      <c r="AJ101">
        <v>-4.2150396039603963</v>
      </c>
      <c r="AK101">
        <v>-4.2344455445544549</v>
      </c>
      <c r="AL101">
        <v>-4.2539504950495051</v>
      </c>
      <c r="AM101">
        <v>-4.2737524752475249</v>
      </c>
      <c r="AN101">
        <v>-4.2935544554455447</v>
      </c>
      <c r="AO101">
        <v>-4.3133564356435645</v>
      </c>
      <c r="AP101">
        <v>-4.3331584158415843</v>
      </c>
      <c r="AQ101">
        <v>-4.3529603960396042</v>
      </c>
      <c r="AR101">
        <v>-4.372762376237624</v>
      </c>
      <c r="AS101">
        <v>-4.3925643564356438</v>
      </c>
      <c r="AT101">
        <v>-4.4123663366336636</v>
      </c>
      <c r="AU101">
        <v>-4.4321683168316834</v>
      </c>
      <c r="AV101">
        <v>-4.4519702970297024</v>
      </c>
      <c r="AW101">
        <v>-4.4717722772277222</v>
      </c>
      <c r="AX101">
        <v>-4.491574257425742</v>
      </c>
      <c r="AY101">
        <v>-4.5114378109452735</v>
      </c>
      <c r="AZ101">
        <v>-4.5313383084577117</v>
      </c>
      <c r="BA101">
        <v>-4.5511831683168316</v>
      </c>
      <c r="BB101">
        <v>-4.570589108910891</v>
      </c>
      <c r="BC101">
        <v>-4.5899950495049504</v>
      </c>
      <c r="BD101">
        <v>-4.6094009900990098</v>
      </c>
      <c r="BE101">
        <v>-4.6288069306930693</v>
      </c>
      <c r="BF101">
        <v>-4.6482128712871287</v>
      </c>
      <c r="BG101">
        <v>-4.6676188118811881</v>
      </c>
      <c r="BH101">
        <v>-4.6870247524752475</v>
      </c>
      <c r="BI101">
        <v>-4.706217821782178</v>
      </c>
      <c r="BJ101">
        <v>-4.725227722772277</v>
      </c>
      <c r="BK101">
        <v>-4.744237623762376</v>
      </c>
      <c r="BL101">
        <v>-4.763247524752475</v>
      </c>
      <c r="BM101">
        <v>-4.7822574257425741</v>
      </c>
      <c r="BN101">
        <v>-4.8012673267326731</v>
      </c>
      <c r="BO101">
        <v>-4.8202772277227721</v>
      </c>
      <c r="BP101">
        <v>-4.8392871287128711</v>
      </c>
      <c r="BQ101">
        <v>-4.8579158415841581</v>
      </c>
      <c r="BR101">
        <v>-4.8765297029702968</v>
      </c>
      <c r="BS101">
        <v>-4.8949801734820317</v>
      </c>
      <c r="BT101">
        <v>-4.913220570012391</v>
      </c>
      <c r="BU101">
        <v>-4.9314609665427502</v>
      </c>
      <c r="BV101">
        <v>-4.9497013630731095</v>
      </c>
      <c r="BW101">
        <v>-4.9679417596034696</v>
      </c>
      <c r="BX101">
        <v>-4.9861821561338289</v>
      </c>
      <c r="BY101">
        <v>-5.0044225526641881</v>
      </c>
      <c r="BZ101">
        <v>-5.0226629491945474</v>
      </c>
      <c r="CA101">
        <v>-5.0409033457249066</v>
      </c>
      <c r="CB101">
        <v>-5.0591437422552659</v>
      </c>
      <c r="CC101">
        <v>-5.1124158415841583</v>
      </c>
      <c r="CD101">
        <v>-5.1300396039603955</v>
      </c>
      <c r="CE101">
        <v>-5.1476633663366336</v>
      </c>
      <c r="CF101">
        <v>-5.1652871287128708</v>
      </c>
      <c r="CG101">
        <v>-5.1829108910891089</v>
      </c>
      <c r="CH101">
        <v>-5.200534653465346</v>
      </c>
      <c r="CI101">
        <v>-5.2181584158415841</v>
      </c>
      <c r="CJ101">
        <v>-5.2357821782178213</v>
      </c>
    </row>
    <row r="102" spans="1:94" ht="21.75" outlineLevel="1" thickBot="1" x14ac:dyDescent="0.4">
      <c r="A102" s="76" t="s">
        <v>56</v>
      </c>
      <c r="B102" s="64">
        <v>-38.044702970297031</v>
      </c>
      <c r="C102" s="64">
        <v>-37.276534653465347</v>
      </c>
      <c r="D102">
        <v>-36.555742574257422</v>
      </c>
      <c r="E102">
        <v>-35.841138613861382</v>
      </c>
      <c r="F102">
        <v>-35.219356435643562</v>
      </c>
      <c r="G102">
        <v>-34.597574257425741</v>
      </c>
      <c r="H102">
        <v>-34.018366336633662</v>
      </c>
      <c r="I102">
        <v>-33.47579207920792</v>
      </c>
      <c r="J102">
        <v>-32.934978960396037</v>
      </c>
      <c r="K102">
        <v>-32.533295792079201</v>
      </c>
      <c r="L102">
        <v>-32.131612623762372</v>
      </c>
      <c r="M102">
        <v>-31.729929455445543</v>
      </c>
      <c r="N102">
        <v>-31.32824628712871</v>
      </c>
      <c r="O102">
        <v>-30.926563118811877</v>
      </c>
      <c r="P102">
        <v>-30.524879950495048</v>
      </c>
      <c r="Q102">
        <v>-30.123196782178216</v>
      </c>
      <c r="R102">
        <v>-29.721513613861383</v>
      </c>
      <c r="S102">
        <v>-29.319830445544554</v>
      </c>
      <c r="T102">
        <v>-28.918147277227721</v>
      </c>
      <c r="U102">
        <v>-28.607623762376235</v>
      </c>
      <c r="V102">
        <v>-28.305841584158415</v>
      </c>
      <c r="W102">
        <v>-28.017564356435642</v>
      </c>
      <c r="X102">
        <v>-27.750633663366337</v>
      </c>
      <c r="Y102">
        <v>-27.483702970297031</v>
      </c>
      <c r="Z102">
        <v>-27.234850746268656</v>
      </c>
      <c r="AA102">
        <v>-26.988880597014926</v>
      </c>
      <c r="AB102">
        <v>-26.752623762376238</v>
      </c>
      <c r="AC102">
        <v>-26.534405940594059</v>
      </c>
      <c r="AD102">
        <v>-26.31618811881188</v>
      </c>
      <c r="AE102">
        <v>-26.39627722772277</v>
      </c>
      <c r="AF102">
        <v>-26.539643564356435</v>
      </c>
      <c r="AG102">
        <v>-26.681584158415841</v>
      </c>
      <c r="AH102">
        <v>-26.820198019801978</v>
      </c>
      <c r="AI102">
        <v>-26.958811881188119</v>
      </c>
      <c r="AJ102">
        <v>-27.094049504950494</v>
      </c>
      <c r="AK102">
        <v>-27.228306930693066</v>
      </c>
      <c r="AL102">
        <v>-27.36266336633663</v>
      </c>
      <c r="AM102">
        <v>-27.497316831683168</v>
      </c>
      <c r="AN102">
        <v>-27.631970297029703</v>
      </c>
      <c r="AO102">
        <v>-27.765188118811881</v>
      </c>
      <c r="AP102">
        <v>-27.897861386138615</v>
      </c>
      <c r="AQ102">
        <v>-28.030534653465345</v>
      </c>
      <c r="AR102">
        <v>-28.163207920792079</v>
      </c>
      <c r="AS102">
        <v>-28.295881188118813</v>
      </c>
      <c r="AT102">
        <v>-28.428554455445546</v>
      </c>
      <c r="AU102">
        <v>-28.561227722772276</v>
      </c>
      <c r="AV102">
        <v>-28.69390099009901</v>
      </c>
      <c r="AW102">
        <v>-28.826574257425744</v>
      </c>
      <c r="AX102">
        <v>-28.959247524752477</v>
      </c>
      <c r="AY102">
        <v>-29.091089552238806</v>
      </c>
      <c r="AZ102">
        <v>-29.222432835820893</v>
      </c>
      <c r="BA102">
        <v>-29.353212871287127</v>
      </c>
      <c r="BB102">
        <v>-29.479549504950494</v>
      </c>
      <c r="BC102">
        <v>-29.605886138613858</v>
      </c>
      <c r="BD102">
        <v>-29.732222772277225</v>
      </c>
      <c r="BE102">
        <v>-29.858559405940593</v>
      </c>
      <c r="BF102">
        <v>-29.984896039603957</v>
      </c>
      <c r="BG102">
        <v>-30.111232673267324</v>
      </c>
      <c r="BH102">
        <v>-30.237569306930691</v>
      </c>
      <c r="BI102">
        <v>-30.36369306930693</v>
      </c>
      <c r="BJ102">
        <v>-30.489633663366337</v>
      </c>
      <c r="BK102">
        <v>-30.615524752475249</v>
      </c>
      <c r="BL102">
        <v>-30.737504950495047</v>
      </c>
      <c r="BM102">
        <v>-30.85948514851485</v>
      </c>
      <c r="BN102">
        <v>-30.981465346534652</v>
      </c>
      <c r="BO102">
        <v>-31.103445544554454</v>
      </c>
      <c r="BP102">
        <v>-31.225425742574259</v>
      </c>
      <c r="BQ102">
        <v>-31.347024752475249</v>
      </c>
      <c r="BR102">
        <v>-31.468608910891088</v>
      </c>
      <c r="BS102">
        <v>-31.588350681536554</v>
      </c>
      <c r="BT102">
        <v>-31.705723667905822</v>
      </c>
      <c r="BU102">
        <v>-31.823096654275091</v>
      </c>
      <c r="BV102">
        <v>-31.940469640644359</v>
      </c>
      <c r="BW102">
        <v>-32.057842627013628</v>
      </c>
      <c r="BX102">
        <v>-32.175215613382896</v>
      </c>
      <c r="BY102">
        <v>-32.292588599752165</v>
      </c>
      <c r="BZ102">
        <v>-32.409961586121433</v>
      </c>
      <c r="CA102">
        <v>-32.527334572490702</v>
      </c>
      <c r="CB102">
        <v>-32.64470755885997</v>
      </c>
      <c r="CC102">
        <v>-32.988108910891086</v>
      </c>
      <c r="CD102">
        <v>-33.101772277227717</v>
      </c>
      <c r="CE102">
        <v>-33.215435643564355</v>
      </c>
      <c r="CF102">
        <v>-33.329099009900986</v>
      </c>
      <c r="CG102">
        <v>-33.442762376237624</v>
      </c>
      <c r="CH102">
        <v>-33.556425742574255</v>
      </c>
      <c r="CI102">
        <v>-33.670089108910894</v>
      </c>
      <c r="CJ102">
        <v>-33.783752475247525</v>
      </c>
    </row>
    <row r="103" spans="1:94" ht="21.75" outlineLevel="1" thickBot="1" x14ac:dyDescent="0.4">
      <c r="A103" s="76" t="s">
        <v>55</v>
      </c>
      <c r="B103" s="64">
        <v>-62.937772277227722</v>
      </c>
      <c r="C103" s="64">
        <v>-61.400742574257428</v>
      </c>
      <c r="D103">
        <v>-59.955198019801983</v>
      </c>
      <c r="E103">
        <v>-58.521039603960396</v>
      </c>
      <c r="F103">
        <v>-57.25767326732673</v>
      </c>
      <c r="G103">
        <v>-55.994306930693064</v>
      </c>
      <c r="H103">
        <v>-54.603217821782174</v>
      </c>
      <c r="I103">
        <v>-53.10222772277227</v>
      </c>
      <c r="J103">
        <v>-51.60222772277227</v>
      </c>
      <c r="K103">
        <v>-50.180445544554452</v>
      </c>
      <c r="L103">
        <v>-48.758663366336627</v>
      </c>
      <c r="M103">
        <v>-47.336881188118809</v>
      </c>
      <c r="N103">
        <v>-45.915099009900985</v>
      </c>
      <c r="O103">
        <v>-44.49331683168316</v>
      </c>
      <c r="P103">
        <v>-43.071534653465342</v>
      </c>
      <c r="Q103">
        <v>-41.649752475247524</v>
      </c>
      <c r="R103">
        <v>-40.2279702970297</v>
      </c>
      <c r="S103">
        <v>-38.806188118811875</v>
      </c>
      <c r="T103">
        <v>-37.384405940594057</v>
      </c>
      <c r="U103">
        <v>-36.226435643564351</v>
      </c>
      <c r="V103">
        <v>-35.093762376237621</v>
      </c>
      <c r="W103">
        <v>-33.994851485148509</v>
      </c>
      <c r="X103">
        <v>-32.949306930693069</v>
      </c>
      <c r="Y103">
        <v>-31.903762376237626</v>
      </c>
      <c r="Z103">
        <v>-30.918955223880598</v>
      </c>
      <c r="AA103">
        <v>-29.943830845771142</v>
      </c>
      <c r="AB103">
        <v>-28.993960396039601</v>
      </c>
      <c r="AC103">
        <v>-28.0909900990099</v>
      </c>
      <c r="AD103">
        <v>-27.188019801980197</v>
      </c>
      <c r="AE103">
        <v>-26.334059405940593</v>
      </c>
      <c r="AF103">
        <v>-25.49049504950495</v>
      </c>
      <c r="AG103">
        <v>-24.663564356435643</v>
      </c>
      <c r="AH103">
        <v>-23.875445544554452</v>
      </c>
      <c r="AI103">
        <v>-23.087326732673262</v>
      </c>
      <c r="AJ103">
        <v>-22.336039603960394</v>
      </c>
      <c r="AK103">
        <v>-21.595445544554455</v>
      </c>
      <c r="AL103">
        <v>-20.865742574257425</v>
      </c>
      <c r="AM103">
        <v>-20.168712871287131</v>
      </c>
      <c r="AN103">
        <v>-19.471683168316837</v>
      </c>
      <c r="AO103">
        <v>-18.839257425742577</v>
      </c>
      <c r="AP103">
        <v>-18.231336633663371</v>
      </c>
      <c r="AQ103">
        <v>-17.623415841584162</v>
      </c>
      <c r="AR103">
        <v>-17.015495049504953</v>
      </c>
      <c r="AS103">
        <v>-16.407574257425743</v>
      </c>
      <c r="AT103">
        <v>-15.799653465346537</v>
      </c>
      <c r="AU103">
        <v>-15.191732673267328</v>
      </c>
      <c r="AV103">
        <v>-14.583811881188119</v>
      </c>
      <c r="AW103">
        <v>-13.975891089108913</v>
      </c>
      <c r="AX103">
        <v>-13.367970297029704</v>
      </c>
      <c r="AY103">
        <v>-12.806666666666668</v>
      </c>
      <c r="AZ103">
        <v>-12.273333333333335</v>
      </c>
      <c r="BA103">
        <v>-11.742970297029705</v>
      </c>
      <c r="BB103">
        <v>-11.236039603960396</v>
      </c>
      <c r="BC103">
        <v>-10.729108910891087</v>
      </c>
      <c r="BD103">
        <v>-10.234742574257423</v>
      </c>
      <c r="BE103">
        <v>-9.7491980198019785</v>
      </c>
      <c r="BF103">
        <v>-9.2752623762376238</v>
      </c>
      <c r="BG103">
        <v>-8.9754603960396047</v>
      </c>
      <c r="BH103">
        <v>-8.6756584158415855</v>
      </c>
      <c r="BI103">
        <v>-8.4284356435643577</v>
      </c>
      <c r="BJ103">
        <v>-8.2264554455445538</v>
      </c>
      <c r="BK103">
        <v>-8.0249702970297019</v>
      </c>
      <c r="BL103">
        <v>-7.8625940594059402</v>
      </c>
      <c r="BM103">
        <v>-7.7002178217821786</v>
      </c>
      <c r="BN103">
        <v>-7.635920792079208</v>
      </c>
      <c r="BO103">
        <v>-7.6747326732673269</v>
      </c>
      <c r="BP103">
        <v>-7.7135445544554457</v>
      </c>
      <c r="BQ103">
        <v>-7.7531188118811887</v>
      </c>
      <c r="BR103">
        <v>-7.7927227722772283</v>
      </c>
      <c r="BS103">
        <v>-7.8332589838909543</v>
      </c>
      <c r="BT103">
        <v>-7.8749938042131351</v>
      </c>
      <c r="BU103">
        <v>-7.9167286245353168</v>
      </c>
      <c r="BV103">
        <v>-7.9584634448574976</v>
      </c>
      <c r="BW103">
        <v>-8.0001982651796784</v>
      </c>
      <c r="BX103">
        <v>-8.04193308550186</v>
      </c>
      <c r="BY103">
        <v>-8.0836679058240399</v>
      </c>
      <c r="BZ103">
        <v>-8.1254027261462216</v>
      </c>
      <c r="CA103">
        <v>-8.1671375464684015</v>
      </c>
      <c r="CB103">
        <v>-8.2088723667905832</v>
      </c>
      <c r="CC103">
        <v>-8.3497772277227718</v>
      </c>
      <c r="CD103">
        <v>-8.3981930693069309</v>
      </c>
      <c r="CE103">
        <v>-8.44660891089109</v>
      </c>
      <c r="CF103">
        <v>-8.4950247524752474</v>
      </c>
      <c r="CG103">
        <v>-8.5434405940594065</v>
      </c>
      <c r="CH103">
        <v>-8.5918564356435638</v>
      </c>
      <c r="CI103">
        <v>-8.640272277227723</v>
      </c>
      <c r="CJ103">
        <v>-8.6886881188118803</v>
      </c>
    </row>
    <row r="104" spans="1:94" ht="21.75" outlineLevel="1" thickBot="1" x14ac:dyDescent="0.4">
      <c r="A104" s="76" t="s">
        <v>70</v>
      </c>
      <c r="B104" s="64">
        <v>-148.27445544554456</v>
      </c>
      <c r="C104" s="64">
        <v>-144.71158415841586</v>
      </c>
      <c r="D104">
        <v>-141.3610891089109</v>
      </c>
      <c r="E104">
        <v>-138.03707920792078</v>
      </c>
      <c r="F104">
        <v>-135.11034653465344</v>
      </c>
      <c r="G104">
        <v>-132.18361386138614</v>
      </c>
      <c r="H104">
        <v>-129.16534653465345</v>
      </c>
      <c r="I104">
        <v>-126.06831683168315</v>
      </c>
      <c r="J104">
        <v>-122.9759405940594</v>
      </c>
      <c r="K104">
        <v>-120.25118811881187</v>
      </c>
      <c r="L104">
        <v>-117.52643564356434</v>
      </c>
      <c r="M104">
        <v>-114.80168316831681</v>
      </c>
      <c r="N104">
        <v>-112.0769306930693</v>
      </c>
      <c r="O104">
        <v>-109.35217821782177</v>
      </c>
      <c r="P104">
        <v>-106.62742574257425</v>
      </c>
      <c r="Q104">
        <v>-103.90267326732672</v>
      </c>
      <c r="R104">
        <v>-101.17792079207919</v>
      </c>
      <c r="S104">
        <v>-98.453168316831665</v>
      </c>
      <c r="T104">
        <v>-95.728415841584152</v>
      </c>
      <c r="U104">
        <v>-93.531287128712862</v>
      </c>
      <c r="V104">
        <v>-91.38475247524751</v>
      </c>
      <c r="W104">
        <v>-89.307277227722764</v>
      </c>
      <c r="X104">
        <v>-87.338960396039596</v>
      </c>
      <c r="Y104">
        <v>-85.370643564356442</v>
      </c>
      <c r="Z104">
        <v>-83.520895522388059</v>
      </c>
      <c r="AA104">
        <v>-81.690049751243777</v>
      </c>
      <c r="AB104">
        <v>-79.909504950495048</v>
      </c>
      <c r="AC104">
        <v>-78.222376237623763</v>
      </c>
      <c r="AD104">
        <v>-76.535247524752478</v>
      </c>
      <c r="AE104">
        <v>-74.949405940594062</v>
      </c>
      <c r="AF104">
        <v>-73.385049504950487</v>
      </c>
      <c r="AG104">
        <v>-71.852772277227714</v>
      </c>
      <c r="AH104">
        <v>-70.395346534653456</v>
      </c>
      <c r="AI104">
        <v>-68.937920792079197</v>
      </c>
      <c r="AJ104">
        <v>-67.551089108910887</v>
      </c>
      <c r="AK104">
        <v>-66.184752475247521</v>
      </c>
      <c r="AL104">
        <v>-64.840198019801974</v>
      </c>
      <c r="AM104">
        <v>-63.560990099009906</v>
      </c>
      <c r="AN104">
        <v>-62.281782178217831</v>
      </c>
      <c r="AO104">
        <v>-61.130346534653476</v>
      </c>
      <c r="AP104">
        <v>-60.027376237623777</v>
      </c>
      <c r="AQ104">
        <v>-58.92440594059407</v>
      </c>
      <c r="AR104">
        <v>-57.821435643564364</v>
      </c>
      <c r="AS104">
        <v>-56.718465346534664</v>
      </c>
      <c r="AT104">
        <v>-55.615495049504958</v>
      </c>
      <c r="AU104">
        <v>-54.512524752475258</v>
      </c>
      <c r="AV104">
        <v>-53.409554455445551</v>
      </c>
      <c r="AW104">
        <v>-52.306584158415845</v>
      </c>
      <c r="AX104">
        <v>-51.203613861386145</v>
      </c>
      <c r="AY104">
        <v>-50.192985074626868</v>
      </c>
      <c r="AZ104">
        <v>-49.237761194029858</v>
      </c>
      <c r="BA104">
        <v>-48.287970297029709</v>
      </c>
      <c r="BB104">
        <v>-47.381039603960396</v>
      </c>
      <c r="BC104">
        <v>-46.474108910891083</v>
      </c>
      <c r="BD104">
        <v>-45.592306930693063</v>
      </c>
      <c r="BE104">
        <v>-44.728148514851483</v>
      </c>
      <c r="BF104">
        <v>-43.887207920792079</v>
      </c>
      <c r="BG104">
        <v>-43.39453465346535</v>
      </c>
      <c r="BH104">
        <v>-42.90186138613862</v>
      </c>
      <c r="BI104">
        <v>-42.51434653465347</v>
      </c>
      <c r="BJ104">
        <v>-42.217316831683171</v>
      </c>
      <c r="BK104">
        <v>-41.921227722772279</v>
      </c>
      <c r="BL104">
        <v>-41.699445544554457</v>
      </c>
      <c r="BM104">
        <v>-41.477663366336628</v>
      </c>
      <c r="BN104">
        <v>-41.452039603960394</v>
      </c>
      <c r="BO104">
        <v>-41.632633663366335</v>
      </c>
      <c r="BP104">
        <v>-41.813227722772275</v>
      </c>
      <c r="BQ104">
        <v>-41.995346534653464</v>
      </c>
      <c r="BR104">
        <v>-42.17752475247525</v>
      </c>
      <c r="BS104">
        <v>-42.359888475836435</v>
      </c>
      <c r="BT104">
        <v>-42.542490706319704</v>
      </c>
      <c r="BU104">
        <v>-42.725092936802973</v>
      </c>
      <c r="BV104">
        <v>-42.907695167286249</v>
      </c>
      <c r="BW104">
        <v>-43.090297397769518</v>
      </c>
      <c r="BX104">
        <v>-43.272899628252787</v>
      </c>
      <c r="BY104">
        <v>-43.455501858736056</v>
      </c>
      <c r="BZ104">
        <v>-43.638104089219333</v>
      </c>
      <c r="CA104">
        <v>-43.820706319702602</v>
      </c>
      <c r="CB104">
        <v>-44.003308550185871</v>
      </c>
      <c r="CC104">
        <v>-44.575247524752477</v>
      </c>
      <c r="CD104">
        <v>-44.768118811881187</v>
      </c>
      <c r="CE104">
        <v>-44.960990099009898</v>
      </c>
      <c r="CF104">
        <v>-45.153861386138615</v>
      </c>
      <c r="CG104">
        <v>-45.346732673267326</v>
      </c>
      <c r="CH104">
        <v>-45.539603960396036</v>
      </c>
      <c r="CI104">
        <v>-45.732475247524754</v>
      </c>
      <c r="CJ104">
        <v>-45.925346534653464</v>
      </c>
    </row>
    <row r="105" spans="1:94" ht="21.75" outlineLevel="1" thickBot="1" x14ac:dyDescent="0.4">
      <c r="A105" s="76" t="s">
        <v>53</v>
      </c>
      <c r="B105" s="64">
        <v>-15.64579207920792</v>
      </c>
      <c r="C105" s="64">
        <v>-15.366435643564357</v>
      </c>
      <c r="D105">
        <v>-15.105049504950495</v>
      </c>
      <c r="E105">
        <v>-14.846138613861386</v>
      </c>
      <c r="F105">
        <v>-14.624356435643564</v>
      </c>
      <c r="G105">
        <v>-14.402574257425742</v>
      </c>
      <c r="H105">
        <v>-14.059455445544554</v>
      </c>
      <c r="I105">
        <v>-13.611930693069306</v>
      </c>
      <c r="J105">
        <v>-13.163493811881187</v>
      </c>
      <c r="K105">
        <v>-12.642998762376235</v>
      </c>
      <c r="L105">
        <v>-12.122503712871286</v>
      </c>
      <c r="M105">
        <v>-11.602008663366336</v>
      </c>
      <c r="N105">
        <v>-11.081513613861386</v>
      </c>
      <c r="O105">
        <v>-10.561018564356434</v>
      </c>
      <c r="P105">
        <v>-10.040523514851484</v>
      </c>
      <c r="Q105">
        <v>-9.5200284653465346</v>
      </c>
      <c r="R105">
        <v>-8.999533415841583</v>
      </c>
      <c r="S105">
        <v>-8.4790383663366331</v>
      </c>
      <c r="T105">
        <v>-7.9585433168316824</v>
      </c>
      <c r="U105">
        <v>-7.5292079207920786</v>
      </c>
      <c r="V105">
        <v>-7.1086138613861376</v>
      </c>
      <c r="W105">
        <v>-6.6999900990099004</v>
      </c>
      <c r="X105">
        <v>-6.3102871287128712</v>
      </c>
      <c r="Y105">
        <v>-5.9205841584158421</v>
      </c>
      <c r="Z105">
        <v>-5.5518656716417913</v>
      </c>
      <c r="AA105">
        <v>-5.1864925373134323</v>
      </c>
      <c r="AB105">
        <v>-4.8310396039603951</v>
      </c>
      <c r="AC105">
        <v>-4.4940099009900978</v>
      </c>
      <c r="AD105">
        <v>-4.1569801980198005</v>
      </c>
      <c r="AE105">
        <v>-4.1149900990099013</v>
      </c>
      <c r="AF105">
        <v>-4.1355841584158419</v>
      </c>
      <c r="AG105">
        <v>-4.1559405940594063</v>
      </c>
      <c r="AH105">
        <v>-4.1757425742574261</v>
      </c>
      <c r="AI105">
        <v>-4.1955445544554459</v>
      </c>
      <c r="AJ105">
        <v>-4.2150396039603963</v>
      </c>
      <c r="AK105">
        <v>-4.2344455445544549</v>
      </c>
      <c r="AL105">
        <v>-4.2539504950495051</v>
      </c>
      <c r="AM105">
        <v>-4.2737524752475249</v>
      </c>
      <c r="AN105">
        <v>-4.2935544554455447</v>
      </c>
      <c r="AO105">
        <v>-4.3133564356435645</v>
      </c>
      <c r="AP105">
        <v>-4.3331584158415843</v>
      </c>
      <c r="AQ105">
        <v>-4.3529603960396042</v>
      </c>
      <c r="AR105">
        <v>-4.372762376237624</v>
      </c>
      <c r="AS105">
        <v>-4.3925643564356438</v>
      </c>
      <c r="AT105">
        <v>-4.4123663366336636</v>
      </c>
      <c r="AU105">
        <v>-4.4321683168316834</v>
      </c>
      <c r="AV105">
        <v>-4.4519702970297024</v>
      </c>
      <c r="AW105">
        <v>-4.4717722772277222</v>
      </c>
      <c r="AX105">
        <v>-4.491574257425742</v>
      </c>
      <c r="AY105">
        <v>-4.5114378109452735</v>
      </c>
      <c r="AZ105">
        <v>-4.5313383084577117</v>
      </c>
      <c r="BA105">
        <v>-4.5511831683168316</v>
      </c>
      <c r="BB105">
        <v>-4.570589108910891</v>
      </c>
      <c r="BC105">
        <v>-4.5899950495049504</v>
      </c>
      <c r="BD105">
        <v>-4.6094009900990098</v>
      </c>
      <c r="BE105">
        <v>-4.6288069306930693</v>
      </c>
      <c r="BF105">
        <v>-4.6482128712871287</v>
      </c>
      <c r="BG105">
        <v>-4.6676188118811881</v>
      </c>
      <c r="BH105">
        <v>-4.6870247524752475</v>
      </c>
      <c r="BI105">
        <v>-4.706217821782178</v>
      </c>
      <c r="BJ105">
        <v>-4.725227722772277</v>
      </c>
      <c r="BK105">
        <v>-4.744237623762376</v>
      </c>
      <c r="BL105">
        <v>-4.763247524752475</v>
      </c>
      <c r="BM105">
        <v>-4.7822574257425741</v>
      </c>
      <c r="BN105">
        <v>-4.8012673267326731</v>
      </c>
      <c r="BO105">
        <v>-4.8202772277227721</v>
      </c>
      <c r="BP105">
        <v>-4.8392871287128711</v>
      </c>
      <c r="BQ105">
        <v>-4.8579158415841581</v>
      </c>
      <c r="BR105">
        <v>-4.8765297029702968</v>
      </c>
      <c r="BS105">
        <v>-4.8949801734820317</v>
      </c>
      <c r="BT105">
        <v>-4.913220570012391</v>
      </c>
      <c r="BU105">
        <v>-4.9314609665427502</v>
      </c>
      <c r="BV105">
        <v>-4.9497013630731095</v>
      </c>
      <c r="BW105">
        <v>-4.9679417596034696</v>
      </c>
      <c r="BX105">
        <v>-4.9861821561338289</v>
      </c>
      <c r="BY105">
        <v>-5.0044225526641881</v>
      </c>
      <c r="BZ105">
        <v>-5.0226629491945474</v>
      </c>
      <c r="CA105">
        <v>-5.0409033457249066</v>
      </c>
      <c r="CB105">
        <v>-5.0591437422552659</v>
      </c>
      <c r="CC105">
        <v>-5.1124158415841583</v>
      </c>
      <c r="CD105">
        <v>-5.1300396039603955</v>
      </c>
      <c r="CE105">
        <v>-5.1476633663366336</v>
      </c>
      <c r="CF105">
        <v>-5.1652871287128708</v>
      </c>
      <c r="CG105">
        <v>-5.1829108910891089</v>
      </c>
      <c r="CH105">
        <v>-5.200534653465346</v>
      </c>
      <c r="CI105">
        <v>-5.2181584158415841</v>
      </c>
      <c r="CJ105">
        <v>-5.2357821782178213</v>
      </c>
    </row>
    <row r="106" spans="1:94" ht="21.75" outlineLevel="1" thickBot="1" x14ac:dyDescent="0.4">
      <c r="A106" s="76" t="s">
        <v>52</v>
      </c>
      <c r="B106" s="64">
        <v>-22.398910891089109</v>
      </c>
      <c r="C106" s="64">
        <v>-21.910099009900989</v>
      </c>
      <c r="D106">
        <v>-21.450693069306929</v>
      </c>
      <c r="E106">
        <v>-20.995000000000001</v>
      </c>
      <c r="F106">
        <v>-20.594999999999999</v>
      </c>
      <c r="G106">
        <v>-20.195</v>
      </c>
      <c r="H106">
        <v>-19.958910891089111</v>
      </c>
      <c r="I106">
        <v>-19.863861386138613</v>
      </c>
      <c r="J106">
        <v>-19.771485148514852</v>
      </c>
      <c r="K106">
        <v>-19.890297029702971</v>
      </c>
      <c r="L106">
        <v>-20.00910891089109</v>
      </c>
      <c r="M106">
        <v>-20.127920792079209</v>
      </c>
      <c r="N106">
        <v>-20.246732673267328</v>
      </c>
      <c r="O106">
        <v>-20.365544554455447</v>
      </c>
      <c r="P106">
        <v>-20.484356435643562</v>
      </c>
      <c r="Q106">
        <v>-20.603168316831681</v>
      </c>
      <c r="R106">
        <v>-20.7219801980198</v>
      </c>
      <c r="S106">
        <v>-20.840792079207919</v>
      </c>
      <c r="T106">
        <v>-20.959603960396038</v>
      </c>
      <c r="U106">
        <v>-21.078415841584157</v>
      </c>
      <c r="V106">
        <v>-21.197227722772276</v>
      </c>
      <c r="W106">
        <v>-21.317574257425743</v>
      </c>
      <c r="X106">
        <v>-21.440346534653465</v>
      </c>
      <c r="Y106">
        <v>-21.563118811881186</v>
      </c>
      <c r="Z106">
        <v>-21.682985074626863</v>
      </c>
      <c r="AA106">
        <v>-21.802388059701492</v>
      </c>
      <c r="AB106">
        <v>-21.92158415841584</v>
      </c>
      <c r="AC106">
        <v>-22.040396039603959</v>
      </c>
      <c r="AD106">
        <v>-22.159207920792078</v>
      </c>
      <c r="AE106">
        <v>-22.281287128712872</v>
      </c>
      <c r="AF106">
        <v>-22.404059405940593</v>
      </c>
      <c r="AG106">
        <v>-22.525643564356432</v>
      </c>
      <c r="AH106">
        <v>-22.644455445544555</v>
      </c>
      <c r="AI106">
        <v>-22.763267326732674</v>
      </c>
      <c r="AJ106">
        <v>-22.879009900990098</v>
      </c>
      <c r="AK106">
        <v>-22.993861386138612</v>
      </c>
      <c r="AL106">
        <v>-23.108712871287128</v>
      </c>
      <c r="AM106">
        <v>-23.223564356435642</v>
      </c>
      <c r="AN106">
        <v>-23.338415841584158</v>
      </c>
      <c r="AO106">
        <v>-23.451831683168319</v>
      </c>
      <c r="AP106">
        <v>-23.564702970297031</v>
      </c>
      <c r="AQ106">
        <v>-23.677574257425743</v>
      </c>
      <c r="AR106">
        <v>-23.790445544554455</v>
      </c>
      <c r="AS106">
        <v>-23.903316831683171</v>
      </c>
      <c r="AT106">
        <v>-24.016188118811883</v>
      </c>
      <c r="AU106">
        <v>-24.129059405940595</v>
      </c>
      <c r="AV106">
        <v>-24.241930693069307</v>
      </c>
      <c r="AW106">
        <v>-24.354801980198022</v>
      </c>
      <c r="AX106">
        <v>-24.467673267326735</v>
      </c>
      <c r="AY106">
        <v>-24.579651741293532</v>
      </c>
      <c r="AZ106">
        <v>-24.691094527363184</v>
      </c>
      <c r="BA106">
        <v>-24.802029702970295</v>
      </c>
      <c r="BB106">
        <v>-24.908960396039603</v>
      </c>
      <c r="BC106">
        <v>-25.015891089108909</v>
      </c>
      <c r="BD106">
        <v>-25.122821782178217</v>
      </c>
      <c r="BE106">
        <v>-25.229752475247523</v>
      </c>
      <c r="BF106">
        <v>-25.336683168316831</v>
      </c>
      <c r="BG106">
        <v>-25.443613861386137</v>
      </c>
      <c r="BH106">
        <v>-25.550544554455445</v>
      </c>
      <c r="BI106">
        <v>-25.657475247524754</v>
      </c>
      <c r="BJ106">
        <v>-25.76440594059406</v>
      </c>
      <c r="BK106">
        <v>-25.871287128712872</v>
      </c>
      <c r="BL106">
        <v>-25.974257425742575</v>
      </c>
      <c r="BM106">
        <v>-26.077227722772278</v>
      </c>
      <c r="BN106">
        <v>-26.180198019801978</v>
      </c>
      <c r="BO106">
        <v>-26.283168316831684</v>
      </c>
      <c r="BP106">
        <v>-26.386138613861387</v>
      </c>
      <c r="BQ106">
        <v>-26.48910891089109</v>
      </c>
      <c r="BR106">
        <v>-26.59207920792079</v>
      </c>
      <c r="BS106">
        <v>-26.693370508054521</v>
      </c>
      <c r="BT106">
        <v>-26.79250309789343</v>
      </c>
      <c r="BU106">
        <v>-26.891635687732339</v>
      </c>
      <c r="BV106">
        <v>-26.990768277571249</v>
      </c>
      <c r="BW106">
        <v>-27.089900867410158</v>
      </c>
      <c r="BX106">
        <v>-27.189033457249067</v>
      </c>
      <c r="BY106">
        <v>-27.28816604708798</v>
      </c>
      <c r="BZ106">
        <v>-27.387298636926889</v>
      </c>
      <c r="CA106">
        <v>-27.486431226765799</v>
      </c>
      <c r="CB106">
        <v>-27.585563816604708</v>
      </c>
      <c r="CC106">
        <v>-27.87569306930693</v>
      </c>
      <c r="CD106">
        <v>-27.971732673267326</v>
      </c>
      <c r="CE106">
        <v>-28.067772277227721</v>
      </c>
      <c r="CF106">
        <v>-28.163811881188117</v>
      </c>
      <c r="CG106">
        <v>-28.259851485148516</v>
      </c>
      <c r="CH106">
        <v>-28.355891089108912</v>
      </c>
      <c r="CI106">
        <v>-28.451930693069308</v>
      </c>
      <c r="CJ106">
        <v>-28.547970297029703</v>
      </c>
    </row>
    <row r="107" spans="1:94" ht="21.75" outlineLevel="1" thickBot="1" x14ac:dyDescent="0.4">
      <c r="A107" s="76" t="s">
        <v>64</v>
      </c>
      <c r="B107" s="64">
        <v>-60.44361386138614</v>
      </c>
      <c r="C107" s="64">
        <v>-59.186633663366337</v>
      </c>
      <c r="D107">
        <v>-58.006435643564352</v>
      </c>
      <c r="E107">
        <v>-56.836138613861387</v>
      </c>
      <c r="F107">
        <v>-55.814356435643568</v>
      </c>
      <c r="G107">
        <v>-54.792574257425748</v>
      </c>
      <c r="H107">
        <v>-53.97727722772278</v>
      </c>
      <c r="I107">
        <v>-53.339653465346537</v>
      </c>
      <c r="J107">
        <v>-52.706464108910893</v>
      </c>
      <c r="K107">
        <v>-52.423592821782179</v>
      </c>
      <c r="L107">
        <v>-52.140721534653466</v>
      </c>
      <c r="M107">
        <v>-51.857850247524752</v>
      </c>
      <c r="N107">
        <v>-51.574978960396038</v>
      </c>
      <c r="O107">
        <v>-51.292107673267324</v>
      </c>
      <c r="P107">
        <v>-51.00923638613861</v>
      </c>
      <c r="Q107">
        <v>-50.726365099009897</v>
      </c>
      <c r="R107">
        <v>-50.443493811881183</v>
      </c>
      <c r="S107">
        <v>-50.160622524752469</v>
      </c>
      <c r="T107">
        <v>-49.877751237623755</v>
      </c>
      <c r="U107">
        <v>-49.686039603960388</v>
      </c>
      <c r="V107">
        <v>-49.503069306930691</v>
      </c>
      <c r="W107">
        <v>-49.335138613861382</v>
      </c>
      <c r="X107">
        <v>-49.190980198019801</v>
      </c>
      <c r="Y107">
        <v>-49.046821782178213</v>
      </c>
      <c r="Z107">
        <v>-48.917835820895519</v>
      </c>
      <c r="AA107">
        <v>-48.791268656716412</v>
      </c>
      <c r="AB107">
        <v>-48.674207920792078</v>
      </c>
      <c r="AC107">
        <v>-48.574801980198018</v>
      </c>
      <c r="AD107">
        <v>-48.475396039603957</v>
      </c>
      <c r="AE107">
        <v>-48.677564356435639</v>
      </c>
      <c r="AF107">
        <v>-48.943702970297025</v>
      </c>
      <c r="AG107">
        <v>-49.207227722772274</v>
      </c>
      <c r="AH107">
        <v>-49.464653465346537</v>
      </c>
      <c r="AI107">
        <v>-49.722079207920792</v>
      </c>
      <c r="AJ107">
        <v>-49.973059405940596</v>
      </c>
      <c r="AK107">
        <v>-50.222168316831684</v>
      </c>
      <c r="AL107">
        <v>-50.471376237623758</v>
      </c>
      <c r="AM107">
        <v>-50.72088118811881</v>
      </c>
      <c r="AN107">
        <v>-50.970386138613861</v>
      </c>
      <c r="AO107">
        <v>-51.2170198019802</v>
      </c>
      <c r="AP107">
        <v>-51.462564356435642</v>
      </c>
      <c r="AQ107">
        <v>-51.708108910891092</v>
      </c>
      <c r="AR107">
        <v>-51.953653465346534</v>
      </c>
      <c r="AS107">
        <v>-52.199198019801983</v>
      </c>
      <c r="AT107">
        <v>-52.444742574257432</v>
      </c>
      <c r="AU107">
        <v>-52.690287128712875</v>
      </c>
      <c r="AV107">
        <v>-52.935831683168324</v>
      </c>
      <c r="AW107">
        <v>-53.181376237623766</v>
      </c>
      <c r="AX107">
        <v>-53.426920792079216</v>
      </c>
      <c r="AY107">
        <v>-53.670741293532345</v>
      </c>
      <c r="AZ107">
        <v>-53.91352736318408</v>
      </c>
      <c r="BA107">
        <v>-54.155242574257421</v>
      </c>
      <c r="BB107">
        <v>-54.388509900990094</v>
      </c>
      <c r="BC107">
        <v>-54.621777227722767</v>
      </c>
      <c r="BD107">
        <v>-54.855044554455439</v>
      </c>
      <c r="BE107">
        <v>-55.088311881188112</v>
      </c>
      <c r="BF107">
        <v>-55.321579207920784</v>
      </c>
      <c r="BG107">
        <v>-55.554846534653464</v>
      </c>
      <c r="BH107">
        <v>-55.788113861386137</v>
      </c>
      <c r="BI107">
        <v>-56.021168316831684</v>
      </c>
      <c r="BJ107">
        <v>-56.2540396039604</v>
      </c>
      <c r="BK107">
        <v>-56.486811881188125</v>
      </c>
      <c r="BL107">
        <v>-56.711762376237623</v>
      </c>
      <c r="BM107">
        <v>-56.936712871287128</v>
      </c>
      <c r="BN107">
        <v>-57.161663366336633</v>
      </c>
      <c r="BO107">
        <v>-57.386613861386138</v>
      </c>
      <c r="BP107">
        <v>-57.61156435643565</v>
      </c>
      <c r="BQ107">
        <v>-57.83613366336634</v>
      </c>
      <c r="BR107">
        <v>-58.060688118811882</v>
      </c>
      <c r="BS107">
        <v>-58.281721189591075</v>
      </c>
      <c r="BT107">
        <v>-58.498226765799252</v>
      </c>
      <c r="BU107">
        <v>-58.71473234200743</v>
      </c>
      <c r="BV107">
        <v>-58.931237918215608</v>
      </c>
      <c r="BW107">
        <v>-59.147743494423786</v>
      </c>
      <c r="BX107">
        <v>-59.364249070631963</v>
      </c>
      <c r="BY107">
        <v>-59.580754646840141</v>
      </c>
      <c r="BZ107">
        <v>-59.797260223048319</v>
      </c>
      <c r="CA107">
        <v>-60.013765799256497</v>
      </c>
      <c r="CB107">
        <v>-60.230271375464682</v>
      </c>
      <c r="CC107">
        <v>-60.863801980198019</v>
      </c>
      <c r="CD107">
        <v>-61.07350495049505</v>
      </c>
      <c r="CE107">
        <v>-61.28320792079208</v>
      </c>
      <c r="CF107">
        <v>-61.49291089108911</v>
      </c>
      <c r="CG107">
        <v>-61.702613861386141</v>
      </c>
      <c r="CH107">
        <v>-61.912316831683171</v>
      </c>
      <c r="CI107">
        <v>-62.122019801980201</v>
      </c>
      <c r="CJ107">
        <v>-62.331722772277232</v>
      </c>
    </row>
    <row r="108" spans="1:94" ht="21.75" outlineLevel="1" thickBot="1" x14ac:dyDescent="0.4">
      <c r="A108" s="76" t="s">
        <v>63</v>
      </c>
      <c r="B108" s="64">
        <v>-193.07227722772276</v>
      </c>
      <c r="C108" s="64">
        <v>-188.53178217821781</v>
      </c>
      <c r="D108">
        <v>-184.26247524752475</v>
      </c>
      <c r="E108">
        <v>-180.02707920792079</v>
      </c>
      <c r="F108">
        <v>-176.30034653465344</v>
      </c>
      <c r="G108">
        <v>-172.57361386138612</v>
      </c>
      <c r="H108">
        <v>-169.08316831683169</v>
      </c>
      <c r="I108">
        <v>-165.79603960396039</v>
      </c>
      <c r="J108">
        <v>-162.51891089108912</v>
      </c>
      <c r="K108">
        <v>-160.03178217821784</v>
      </c>
      <c r="L108">
        <v>-157.54465346534653</v>
      </c>
      <c r="M108">
        <v>-155.05752475247525</v>
      </c>
      <c r="N108">
        <v>-152.57039603960396</v>
      </c>
      <c r="O108">
        <v>-150.08326732673268</v>
      </c>
      <c r="P108">
        <v>-147.5961386138614</v>
      </c>
      <c r="Q108">
        <v>-145.10900990099009</v>
      </c>
      <c r="R108">
        <v>-142.62188118811881</v>
      </c>
      <c r="S108">
        <v>-140.13475247524752</v>
      </c>
      <c r="T108">
        <v>-137.64762376237624</v>
      </c>
      <c r="U108">
        <v>-135.6881188118812</v>
      </c>
      <c r="V108">
        <v>-133.77920792079209</v>
      </c>
      <c r="W108">
        <v>-131.94242574257427</v>
      </c>
      <c r="X108">
        <v>-130.21965346534654</v>
      </c>
      <c r="Y108">
        <v>-128.49688118811881</v>
      </c>
      <c r="Z108">
        <v>-126.88686567164179</v>
      </c>
      <c r="AA108">
        <v>-125.29482587064676</v>
      </c>
      <c r="AB108">
        <v>-123.75267326732673</v>
      </c>
      <c r="AC108">
        <v>-122.30316831683167</v>
      </c>
      <c r="AD108">
        <v>-120.85366336633662</v>
      </c>
      <c r="AE108">
        <v>-119.5119801980198</v>
      </c>
      <c r="AF108">
        <v>-118.19316831683167</v>
      </c>
      <c r="AG108">
        <v>-116.90405940594059</v>
      </c>
      <c r="AH108">
        <v>-115.68425742574257</v>
      </c>
      <c r="AI108">
        <v>-114.46445544554454</v>
      </c>
      <c r="AJ108">
        <v>-113.30910891089108</v>
      </c>
      <c r="AK108">
        <v>-112.17247524752474</v>
      </c>
      <c r="AL108">
        <v>-111.05762376237624</v>
      </c>
      <c r="AM108">
        <v>-110.00811881188119</v>
      </c>
      <c r="AN108">
        <v>-108.95861386138614</v>
      </c>
      <c r="AO108">
        <v>-108.0340099009901</v>
      </c>
      <c r="AP108">
        <v>-107.15678217821782</v>
      </c>
      <c r="AQ108">
        <v>-106.27955445544555</v>
      </c>
      <c r="AR108">
        <v>-105.40232673267327</v>
      </c>
      <c r="AS108">
        <v>-104.525099009901</v>
      </c>
      <c r="AT108">
        <v>-103.64787128712872</v>
      </c>
      <c r="AU108">
        <v>-102.77064356435643</v>
      </c>
      <c r="AV108">
        <v>-101.89341584158416</v>
      </c>
      <c r="AW108">
        <v>-101.01618811881188</v>
      </c>
      <c r="AX108">
        <v>-100.13896039603961</v>
      </c>
      <c r="AY108">
        <v>-99.352288557213939</v>
      </c>
      <c r="AZ108">
        <v>-98.619950248756226</v>
      </c>
      <c r="BA108">
        <v>-97.892029702970291</v>
      </c>
      <c r="BB108">
        <v>-97.198960396039595</v>
      </c>
      <c r="BC108">
        <v>-96.5058910891089</v>
      </c>
      <c r="BD108">
        <v>-95.837950495049498</v>
      </c>
      <c r="BE108">
        <v>-95.187653465346528</v>
      </c>
      <c r="BF108">
        <v>-94.560574257425742</v>
      </c>
      <c r="BG108">
        <v>-94.281762376237637</v>
      </c>
      <c r="BH108">
        <v>-94.002950495049518</v>
      </c>
      <c r="BI108">
        <v>-93.829297029702985</v>
      </c>
      <c r="BJ108">
        <v>-93.746128712871297</v>
      </c>
      <c r="BK108">
        <v>-93.663801980198016</v>
      </c>
      <c r="BL108">
        <v>-93.647960396039608</v>
      </c>
      <c r="BM108">
        <v>-93.632118811881185</v>
      </c>
      <c r="BN108">
        <v>-93.812435643564356</v>
      </c>
      <c r="BO108">
        <v>-94.198970297029703</v>
      </c>
      <c r="BP108">
        <v>-94.58550495049505</v>
      </c>
      <c r="BQ108">
        <v>-94.973564356435631</v>
      </c>
      <c r="BR108">
        <v>-95.361683168316816</v>
      </c>
      <c r="BS108">
        <v>-95.746629491945455</v>
      </c>
      <c r="BT108">
        <v>-96.127496902106557</v>
      </c>
      <c r="BU108">
        <v>-96.508364312267645</v>
      </c>
      <c r="BV108">
        <v>-96.889231722428732</v>
      </c>
      <c r="BW108">
        <v>-97.270099132589834</v>
      </c>
      <c r="BX108">
        <v>-97.650966542750922</v>
      </c>
      <c r="BY108">
        <v>-98.03183395291201</v>
      </c>
      <c r="BZ108">
        <v>-98.412701363073097</v>
      </c>
      <c r="CA108">
        <v>-98.793568773234199</v>
      </c>
      <c r="CB108">
        <v>-99.174436183395287</v>
      </c>
      <c r="CC108">
        <v>-100.32663366336634</v>
      </c>
      <c r="CD108">
        <v>-100.71158415841583</v>
      </c>
      <c r="CE108">
        <v>-101.09653465346534</v>
      </c>
      <c r="CF108">
        <v>-101.48148514851485</v>
      </c>
      <c r="CG108">
        <v>-101.86643564356436</v>
      </c>
      <c r="CH108">
        <v>-102.25138613861387</v>
      </c>
      <c r="CI108">
        <v>-102.63633663366336</v>
      </c>
      <c r="CJ108">
        <v>-103.02128712871287</v>
      </c>
    </row>
    <row r="109" spans="1:94" ht="21.75" outlineLevel="1" thickBot="1" x14ac:dyDescent="0.4">
      <c r="A109" s="76" t="s">
        <v>71</v>
      </c>
      <c r="B109" s="64">
        <v>-148.27445544554456</v>
      </c>
      <c r="C109" s="64">
        <v>-144.71158415841586</v>
      </c>
      <c r="D109">
        <v>-141.3610891089109</v>
      </c>
      <c r="E109">
        <v>-138.03707920792078</v>
      </c>
      <c r="F109">
        <v>-135.11034653465344</v>
      </c>
      <c r="G109">
        <v>-132.18361386138614</v>
      </c>
      <c r="H109">
        <v>-129.16534653465345</v>
      </c>
      <c r="I109">
        <v>-126.06831683168315</v>
      </c>
      <c r="J109">
        <v>-122.9759405940594</v>
      </c>
      <c r="K109">
        <v>-120.25118811881187</v>
      </c>
      <c r="L109">
        <v>-117.52643564356434</v>
      </c>
      <c r="M109">
        <v>-114.80168316831681</v>
      </c>
      <c r="N109">
        <v>-112.0769306930693</v>
      </c>
      <c r="O109">
        <v>-109.35217821782177</v>
      </c>
      <c r="P109">
        <v>-106.62742574257425</v>
      </c>
      <c r="Q109">
        <v>-103.90267326732672</v>
      </c>
      <c r="R109">
        <v>-101.17792079207919</v>
      </c>
      <c r="S109">
        <v>-98.453168316831665</v>
      </c>
      <c r="T109">
        <v>-95.728415841584152</v>
      </c>
      <c r="U109">
        <v>-93.531287128712862</v>
      </c>
      <c r="V109">
        <v>-91.38475247524751</v>
      </c>
      <c r="W109">
        <v>-89.307277227722764</v>
      </c>
      <c r="X109">
        <v>-87.338960396039596</v>
      </c>
      <c r="Y109">
        <v>-85.370643564356442</v>
      </c>
      <c r="Z109">
        <v>-83.520895522388059</v>
      </c>
      <c r="AA109">
        <v>-81.690049751243777</v>
      </c>
      <c r="AB109">
        <v>-79.909504950495048</v>
      </c>
      <c r="AC109">
        <v>-78.222376237623763</v>
      </c>
      <c r="AD109">
        <v>-76.535247524752478</v>
      </c>
      <c r="AE109">
        <v>-74.949405940594062</v>
      </c>
      <c r="AF109">
        <v>-73.385049504950487</v>
      </c>
      <c r="AG109">
        <v>-71.852772277227714</v>
      </c>
      <c r="AH109">
        <v>-70.395346534653456</v>
      </c>
      <c r="AI109">
        <v>-68.937920792079197</v>
      </c>
      <c r="AJ109">
        <v>-67.551089108910887</v>
      </c>
      <c r="AK109">
        <v>-66.184752475247521</v>
      </c>
      <c r="AL109">
        <v>-64.840198019801974</v>
      </c>
      <c r="AM109">
        <v>-63.560990099009906</v>
      </c>
      <c r="AN109">
        <v>-62.281782178217831</v>
      </c>
      <c r="AO109">
        <v>-61.130346534653476</v>
      </c>
      <c r="AP109">
        <v>-60.027376237623777</v>
      </c>
      <c r="AQ109">
        <v>-58.92440594059407</v>
      </c>
      <c r="AR109">
        <v>-57.821435643564364</v>
      </c>
      <c r="AS109">
        <v>-56.718465346534664</v>
      </c>
      <c r="AT109">
        <v>-55.615495049504958</v>
      </c>
      <c r="AU109">
        <v>-54.512524752475258</v>
      </c>
      <c r="AV109">
        <v>-53.409554455445551</v>
      </c>
      <c r="AW109">
        <v>-52.306584158415845</v>
      </c>
      <c r="AX109">
        <v>-51.203613861386145</v>
      </c>
      <c r="AY109">
        <v>-50.192985074626868</v>
      </c>
      <c r="AZ109">
        <v>-49.237761194029858</v>
      </c>
      <c r="BA109">
        <v>-48.287970297029709</v>
      </c>
      <c r="BB109">
        <v>-47.381039603960396</v>
      </c>
      <c r="BC109">
        <v>-46.474108910891083</v>
      </c>
      <c r="BD109">
        <v>-45.592306930693063</v>
      </c>
      <c r="BE109">
        <v>-44.728148514851483</v>
      </c>
      <c r="BF109">
        <v>-43.887207920792079</v>
      </c>
      <c r="BG109">
        <v>-43.39453465346535</v>
      </c>
      <c r="BH109">
        <v>-42.90186138613862</v>
      </c>
      <c r="BI109">
        <v>-42.51434653465347</v>
      </c>
      <c r="BJ109">
        <v>-42.217316831683171</v>
      </c>
      <c r="BK109">
        <v>-41.921227722772279</v>
      </c>
      <c r="BL109">
        <v>-41.699445544554457</v>
      </c>
      <c r="BM109">
        <v>-41.477663366336628</v>
      </c>
      <c r="BN109">
        <v>-41.452039603960394</v>
      </c>
      <c r="BO109">
        <v>-41.632633663366335</v>
      </c>
      <c r="BP109">
        <v>-41.813227722772275</v>
      </c>
      <c r="BQ109">
        <v>-41.995346534653464</v>
      </c>
      <c r="BR109">
        <v>-42.17752475247525</v>
      </c>
      <c r="BS109">
        <v>-42.359888475836435</v>
      </c>
      <c r="BT109">
        <v>-42.542490706319704</v>
      </c>
      <c r="BU109">
        <v>-42.725092936802973</v>
      </c>
      <c r="BV109">
        <v>-42.907695167286249</v>
      </c>
      <c r="BW109">
        <v>-43.090297397769518</v>
      </c>
      <c r="BX109">
        <v>-43.272899628252787</v>
      </c>
      <c r="BY109">
        <v>-43.455501858736056</v>
      </c>
      <c r="BZ109">
        <v>-43.638104089219333</v>
      </c>
      <c r="CA109">
        <v>-43.820706319702602</v>
      </c>
      <c r="CB109">
        <v>-44.003308550185871</v>
      </c>
      <c r="CC109">
        <v>-44.575247524752477</v>
      </c>
      <c r="CD109">
        <v>-44.768118811881187</v>
      </c>
      <c r="CE109">
        <v>-44.960990099009898</v>
      </c>
      <c r="CF109">
        <v>-45.153861386138615</v>
      </c>
      <c r="CG109">
        <v>-45.346732673267326</v>
      </c>
      <c r="CH109">
        <v>-45.539603960396036</v>
      </c>
      <c r="CI109">
        <v>-45.732475247524754</v>
      </c>
      <c r="CJ109">
        <v>-45.925346534653464</v>
      </c>
    </row>
    <row r="110" spans="1:94" ht="21.75" outlineLevel="1" thickBot="1" x14ac:dyDescent="0.4">
      <c r="A110" s="76" t="s">
        <v>1</v>
      </c>
      <c r="B110" s="64">
        <v>-18.791633663366337</v>
      </c>
      <c r="C110" s="64">
        <v>-18.792326732673267</v>
      </c>
      <c r="D110">
        <v>-18.796287128712873</v>
      </c>
      <c r="E110">
        <v>-18.800247524752475</v>
      </c>
      <c r="F110">
        <v>-18.804207920792081</v>
      </c>
      <c r="G110">
        <v>-18.808168316831683</v>
      </c>
      <c r="H110">
        <v>-18.814257425742571</v>
      </c>
      <c r="I110">
        <v>-18.822178217821779</v>
      </c>
      <c r="J110">
        <v>-18.830148514851484</v>
      </c>
      <c r="K110">
        <v>-18.842029702970297</v>
      </c>
      <c r="L110">
        <v>-18.853910891089107</v>
      </c>
      <c r="M110">
        <v>-18.865792079207921</v>
      </c>
      <c r="N110">
        <v>-18.877673267326731</v>
      </c>
      <c r="O110">
        <v>-18.889554455445545</v>
      </c>
      <c r="P110">
        <v>-18.901435643564355</v>
      </c>
      <c r="Q110">
        <v>-18.913316831683169</v>
      </c>
      <c r="R110">
        <v>-18.925198019801979</v>
      </c>
      <c r="S110">
        <v>-18.937079207920792</v>
      </c>
      <c r="T110">
        <v>-18.948960396039602</v>
      </c>
      <c r="U110">
        <v>-18.964455445544555</v>
      </c>
      <c r="V110">
        <v>-18.980297029702967</v>
      </c>
      <c r="W110">
        <v>-18.996138613861383</v>
      </c>
      <c r="X110">
        <v>-19.011980198019803</v>
      </c>
      <c r="Y110">
        <v>-19.027821782178219</v>
      </c>
      <c r="Z110">
        <v>-19.043731343283582</v>
      </c>
      <c r="AA110">
        <v>-19.059651741293532</v>
      </c>
      <c r="AB110">
        <v>-19.075544554455444</v>
      </c>
      <c r="AC110">
        <v>-19.09138613861386</v>
      </c>
      <c r="AD110">
        <v>-19.107227722772276</v>
      </c>
      <c r="AE110">
        <v>-19.123069306930692</v>
      </c>
      <c r="AF110">
        <v>-19.138910891089107</v>
      </c>
      <c r="AG110">
        <v>-19.154752475247523</v>
      </c>
      <c r="AH110">
        <v>-19.170594059405939</v>
      </c>
      <c r="AI110">
        <v>-19.186435643564359</v>
      </c>
      <c r="AJ110">
        <v>-19.202277227722774</v>
      </c>
      <c r="AK110">
        <v>-19.21811881188119</v>
      </c>
      <c r="AL110">
        <v>-19.234950495049507</v>
      </c>
      <c r="AM110">
        <v>-19.254752475247525</v>
      </c>
      <c r="AN110">
        <v>-19.274554455445546</v>
      </c>
      <c r="AO110">
        <v>-19.291485148514852</v>
      </c>
      <c r="AP110">
        <v>-19.307326732673268</v>
      </c>
      <c r="AQ110">
        <v>-19.323168316831683</v>
      </c>
      <c r="AR110">
        <v>-19.339009900990099</v>
      </c>
      <c r="AS110">
        <v>-19.354851485148515</v>
      </c>
      <c r="AT110">
        <v>-19.370693069306931</v>
      </c>
      <c r="AU110">
        <v>-19.386534653465347</v>
      </c>
      <c r="AV110">
        <v>-19.402376237623763</v>
      </c>
      <c r="AW110">
        <v>-19.418217821782179</v>
      </c>
      <c r="AX110">
        <v>-19.434059405940594</v>
      </c>
      <c r="AY110">
        <v>-19.452437810945273</v>
      </c>
      <c r="AZ110">
        <v>-19.472338308457712</v>
      </c>
      <c r="BA110">
        <v>-19.491782178217822</v>
      </c>
      <c r="BB110">
        <v>-19.507623762376237</v>
      </c>
      <c r="BC110">
        <v>-19.523465346534653</v>
      </c>
      <c r="BD110">
        <v>-19.539306930693069</v>
      </c>
      <c r="BE110">
        <v>-19.555148514851485</v>
      </c>
      <c r="BF110">
        <v>-19.568267326732673</v>
      </c>
      <c r="BG110">
        <v>-19.540544554455447</v>
      </c>
      <c r="BH110">
        <v>-19.512821782178218</v>
      </c>
      <c r="BI110">
        <v>-19.497871287128714</v>
      </c>
      <c r="BJ110">
        <v>-19.493910891089108</v>
      </c>
      <c r="BK110">
        <v>-19.490099009900987</v>
      </c>
      <c r="BL110">
        <v>-19.498019801980199</v>
      </c>
      <c r="BM110">
        <v>-19.505940594059407</v>
      </c>
      <c r="BN110">
        <v>-19.517722772277228</v>
      </c>
      <c r="BO110">
        <v>-19.533564356435644</v>
      </c>
      <c r="BP110">
        <v>-19.54940594059406</v>
      </c>
      <c r="BQ110">
        <v>-19.565247524752476</v>
      </c>
      <c r="BR110">
        <v>-19.581089108910891</v>
      </c>
      <c r="BS110">
        <v>-19.596505576208177</v>
      </c>
      <c r="BT110">
        <v>-19.611375464684013</v>
      </c>
      <c r="BU110">
        <v>-19.626245353159852</v>
      </c>
      <c r="BV110">
        <v>-19.641115241635688</v>
      </c>
      <c r="BW110">
        <v>-19.655985130111524</v>
      </c>
      <c r="BX110">
        <v>-19.670855018587361</v>
      </c>
      <c r="BY110">
        <v>-19.685724907063197</v>
      </c>
      <c r="BZ110">
        <v>-19.700594795539033</v>
      </c>
      <c r="CA110">
        <v>-19.715464684014869</v>
      </c>
      <c r="CB110">
        <v>-19.730334572490705</v>
      </c>
      <c r="CC110">
        <v>-19.772574257425742</v>
      </c>
      <c r="CD110">
        <v>-19.786435643564356</v>
      </c>
      <c r="CE110">
        <v>-19.800297029702968</v>
      </c>
      <c r="CF110">
        <v>-19.814158415841582</v>
      </c>
      <c r="CG110">
        <v>-19.828019801980197</v>
      </c>
      <c r="CH110">
        <v>-19.841881188118812</v>
      </c>
      <c r="CI110">
        <v>-19.855742574257423</v>
      </c>
      <c r="CJ110">
        <v>-19.869603960396038</v>
      </c>
    </row>
    <row r="111" spans="1:94" ht="21.75" outlineLevel="1" thickBot="1" x14ac:dyDescent="0.4">
      <c r="A111" s="76" t="s">
        <v>101</v>
      </c>
      <c r="B111" s="64">
        <v>-62.937772277227722</v>
      </c>
      <c r="C111" s="64">
        <v>-61.400742574257428</v>
      </c>
      <c r="D111">
        <v>-59.955198019801983</v>
      </c>
      <c r="E111">
        <v>-58.521039603960396</v>
      </c>
      <c r="F111">
        <v>-57.25767326732673</v>
      </c>
      <c r="G111">
        <v>-55.994306930693064</v>
      </c>
      <c r="H111">
        <v>-54.603217821782174</v>
      </c>
      <c r="I111">
        <v>-53.10222772277227</v>
      </c>
      <c r="J111">
        <v>-51.60222772277227</v>
      </c>
      <c r="K111">
        <v>-50.180445544554452</v>
      </c>
      <c r="L111">
        <v>-48.758663366336627</v>
      </c>
      <c r="M111">
        <v>-47.336881188118809</v>
      </c>
      <c r="N111">
        <v>-45.915099009900985</v>
      </c>
      <c r="O111">
        <v>-44.49331683168316</v>
      </c>
      <c r="P111">
        <v>-43.071534653465342</v>
      </c>
      <c r="Q111">
        <v>-41.649752475247524</v>
      </c>
      <c r="R111">
        <v>-40.2279702970297</v>
      </c>
      <c r="S111">
        <v>-38.806188118811875</v>
      </c>
      <c r="T111">
        <v>-37.384405940594057</v>
      </c>
      <c r="U111">
        <v>-36.226435643564351</v>
      </c>
      <c r="V111">
        <v>-35.093762376237621</v>
      </c>
      <c r="W111">
        <v>-33.994851485148509</v>
      </c>
      <c r="X111">
        <v>-32.949306930693069</v>
      </c>
      <c r="Y111">
        <v>-31.903762376237626</v>
      </c>
      <c r="Z111">
        <v>-30.918955223880598</v>
      </c>
      <c r="AA111">
        <v>-29.943830845771142</v>
      </c>
      <c r="AB111">
        <v>-28.993960396039601</v>
      </c>
      <c r="AC111">
        <v>-28.0909900990099</v>
      </c>
      <c r="AD111">
        <v>-27.188019801980197</v>
      </c>
      <c r="AE111">
        <v>-26.334059405940593</v>
      </c>
      <c r="AF111">
        <v>-25.49049504950495</v>
      </c>
      <c r="AG111">
        <v>-24.663564356435643</v>
      </c>
      <c r="AH111">
        <v>-23.875445544554452</v>
      </c>
      <c r="AI111">
        <v>-23.087326732673262</v>
      </c>
      <c r="AJ111">
        <v>-22.336039603960394</v>
      </c>
      <c r="AK111">
        <v>-21.595445544554455</v>
      </c>
      <c r="AL111">
        <v>-20.865742574257425</v>
      </c>
      <c r="AM111">
        <v>-20.168712871287131</v>
      </c>
      <c r="AN111">
        <v>-19.471683168316837</v>
      </c>
      <c r="AO111">
        <v>-18.839257425742577</v>
      </c>
      <c r="AP111">
        <v>-18.231336633663371</v>
      </c>
      <c r="AQ111">
        <v>-17.623415841584162</v>
      </c>
      <c r="AR111">
        <v>-17.015495049504953</v>
      </c>
      <c r="AS111">
        <v>-16.407574257425743</v>
      </c>
      <c r="AT111">
        <v>-15.799653465346537</v>
      </c>
      <c r="AU111">
        <v>-15.191732673267328</v>
      </c>
      <c r="AV111">
        <v>-14.583811881188119</v>
      </c>
      <c r="AW111">
        <v>-13.975891089108913</v>
      </c>
      <c r="AX111">
        <v>-13.367970297029704</v>
      </c>
      <c r="AY111">
        <v>-12.806666666666668</v>
      </c>
      <c r="AZ111">
        <v>-12.273333333333335</v>
      </c>
      <c r="BA111">
        <v>-11.742970297029705</v>
      </c>
      <c r="BB111">
        <v>-11.236039603960396</v>
      </c>
      <c r="BC111">
        <v>-10.729108910891087</v>
      </c>
      <c r="BD111">
        <v>-10.234742574257423</v>
      </c>
      <c r="BE111">
        <v>-9.7491980198019785</v>
      </c>
      <c r="BF111">
        <v>-9.2752623762376238</v>
      </c>
      <c r="BG111">
        <v>-8.9754603960396047</v>
      </c>
      <c r="BH111">
        <v>-8.6756584158415855</v>
      </c>
      <c r="BI111">
        <v>-8.4284356435643577</v>
      </c>
      <c r="BJ111">
        <v>-8.2264554455445538</v>
      </c>
      <c r="BK111">
        <v>-8.0249702970297019</v>
      </c>
      <c r="BL111">
        <v>-7.8625940594059402</v>
      </c>
      <c r="BM111">
        <v>-7.7002178217821786</v>
      </c>
      <c r="BN111">
        <v>-7.635920792079208</v>
      </c>
      <c r="BO111">
        <v>-7.6747326732673269</v>
      </c>
      <c r="BP111">
        <v>-7.7135445544554457</v>
      </c>
      <c r="BQ111">
        <v>-7.7531188118811887</v>
      </c>
      <c r="BR111">
        <v>-7.7927227722772283</v>
      </c>
      <c r="BS111">
        <v>-7.8332589838909543</v>
      </c>
      <c r="BT111">
        <v>-7.8749938042131351</v>
      </c>
      <c r="BU111">
        <v>-7.9167286245353168</v>
      </c>
      <c r="BV111">
        <v>-7.9584634448574976</v>
      </c>
      <c r="BW111">
        <v>-8.0001982651796784</v>
      </c>
      <c r="BX111">
        <v>-8.04193308550186</v>
      </c>
      <c r="BY111">
        <v>-8.0836679058240399</v>
      </c>
      <c r="BZ111">
        <v>-8.1254027261462216</v>
      </c>
      <c r="CA111">
        <v>-8.1671375464684015</v>
      </c>
      <c r="CB111">
        <v>-8.2088723667905832</v>
      </c>
      <c r="CC111">
        <v>-8.3497772277227718</v>
      </c>
      <c r="CD111">
        <v>-8.3981930693069309</v>
      </c>
      <c r="CE111">
        <v>-8.44660891089109</v>
      </c>
      <c r="CF111">
        <v>-8.4950247524752474</v>
      </c>
      <c r="CG111">
        <v>-8.5434405940594065</v>
      </c>
      <c r="CH111">
        <v>-8.5918564356435638</v>
      </c>
      <c r="CI111">
        <v>-8.640272277227723</v>
      </c>
      <c r="CJ111">
        <v>-8.6886881188118803</v>
      </c>
    </row>
    <row r="112" spans="1:94" ht="21.75" outlineLevel="1" thickBot="1" x14ac:dyDescent="0.4">
      <c r="A112" s="76" t="s">
        <v>102</v>
      </c>
      <c r="B112" s="64">
        <v>-15.64579207920792</v>
      </c>
      <c r="C112" s="64">
        <v>-15.366435643564357</v>
      </c>
      <c r="D112">
        <v>-15.105049504950495</v>
      </c>
      <c r="E112">
        <v>-14.846138613861386</v>
      </c>
      <c r="F112">
        <v>-14.624356435643564</v>
      </c>
      <c r="G112">
        <v>-14.402574257425742</v>
      </c>
      <c r="H112">
        <v>-14.059455445544554</v>
      </c>
      <c r="I112">
        <v>-13.611930693069306</v>
      </c>
      <c r="J112">
        <v>-13.163493811881187</v>
      </c>
      <c r="K112">
        <v>-12.642998762376235</v>
      </c>
      <c r="L112">
        <v>-12.122503712871286</v>
      </c>
      <c r="M112">
        <v>-11.602008663366336</v>
      </c>
      <c r="N112">
        <v>-11.081513613861386</v>
      </c>
      <c r="O112">
        <v>-10.561018564356434</v>
      </c>
      <c r="P112">
        <v>-10.040523514851484</v>
      </c>
      <c r="Q112">
        <v>-9.5200284653465346</v>
      </c>
      <c r="R112">
        <v>-8.999533415841583</v>
      </c>
      <c r="S112">
        <v>-8.4790383663366331</v>
      </c>
      <c r="T112">
        <v>-7.9585433168316824</v>
      </c>
      <c r="U112">
        <v>-7.5292079207920786</v>
      </c>
      <c r="V112">
        <v>-7.1086138613861376</v>
      </c>
      <c r="W112">
        <v>-6.6999900990099004</v>
      </c>
      <c r="X112">
        <v>-6.3102871287128712</v>
      </c>
      <c r="Y112">
        <v>-5.9205841584158421</v>
      </c>
      <c r="Z112">
        <v>-5.5518656716417913</v>
      </c>
      <c r="AA112">
        <v>-5.1864925373134323</v>
      </c>
      <c r="AB112">
        <v>-4.8310396039603951</v>
      </c>
      <c r="AC112">
        <v>-4.4940099009900978</v>
      </c>
      <c r="AD112">
        <v>-4.1569801980198005</v>
      </c>
      <c r="AE112">
        <v>-4.1149900990099013</v>
      </c>
      <c r="AF112">
        <v>-4.1355841584158419</v>
      </c>
      <c r="AG112">
        <v>-4.1559405940594063</v>
      </c>
      <c r="AH112">
        <v>-4.1757425742574261</v>
      </c>
      <c r="AI112">
        <v>-4.1955445544554459</v>
      </c>
      <c r="AJ112">
        <v>-4.2150396039603963</v>
      </c>
      <c r="AK112">
        <v>-4.2344455445544549</v>
      </c>
      <c r="AL112">
        <v>-4.2539504950495051</v>
      </c>
      <c r="AM112">
        <v>-4.2737524752475249</v>
      </c>
      <c r="AN112">
        <v>-4.2935544554455447</v>
      </c>
      <c r="AO112">
        <v>-4.3133564356435645</v>
      </c>
      <c r="AP112">
        <v>-4.3331584158415843</v>
      </c>
      <c r="AQ112">
        <v>-4.3529603960396042</v>
      </c>
      <c r="AR112">
        <v>-4.372762376237624</v>
      </c>
      <c r="AS112">
        <v>-4.3925643564356438</v>
      </c>
      <c r="AT112">
        <v>-4.4123663366336636</v>
      </c>
      <c r="AU112">
        <v>-4.4321683168316834</v>
      </c>
      <c r="AV112">
        <v>-4.4519702970297024</v>
      </c>
      <c r="AW112">
        <v>-4.4717722772277222</v>
      </c>
      <c r="AX112">
        <v>-4.491574257425742</v>
      </c>
      <c r="AY112">
        <v>-4.5114378109452735</v>
      </c>
      <c r="AZ112">
        <v>-4.5313383084577117</v>
      </c>
      <c r="BA112">
        <v>-4.5511831683168316</v>
      </c>
      <c r="BB112">
        <v>-4.570589108910891</v>
      </c>
      <c r="BC112">
        <v>-4.5899950495049504</v>
      </c>
      <c r="BD112">
        <v>-4.6094009900990098</v>
      </c>
      <c r="BE112">
        <v>-4.6288069306930693</v>
      </c>
      <c r="BF112">
        <v>-4.6482128712871287</v>
      </c>
      <c r="BG112">
        <v>-4.6676188118811881</v>
      </c>
      <c r="BH112">
        <v>-4.6870247524752475</v>
      </c>
      <c r="BI112">
        <v>-4.706217821782178</v>
      </c>
      <c r="BJ112">
        <v>-4.725227722772277</v>
      </c>
      <c r="BK112">
        <v>-4.744237623762376</v>
      </c>
      <c r="BL112">
        <v>-4.763247524752475</v>
      </c>
      <c r="BM112">
        <v>-4.7822574257425741</v>
      </c>
      <c r="BN112">
        <v>-4.8012673267326731</v>
      </c>
      <c r="BO112">
        <v>-4.8202772277227721</v>
      </c>
      <c r="BP112">
        <v>-4.8392871287128711</v>
      </c>
      <c r="BQ112">
        <v>-4.8579158415841581</v>
      </c>
      <c r="BR112">
        <v>-4.8765297029702968</v>
      </c>
      <c r="BS112">
        <v>-4.8949801734820317</v>
      </c>
      <c r="BT112">
        <v>-4.913220570012391</v>
      </c>
      <c r="BU112">
        <v>-4.9314609665427502</v>
      </c>
      <c r="BV112">
        <v>-4.9497013630731095</v>
      </c>
      <c r="BW112">
        <v>-4.9679417596034696</v>
      </c>
      <c r="BX112">
        <v>-4.9861821561338289</v>
      </c>
      <c r="BY112">
        <v>-5.0044225526641881</v>
      </c>
      <c r="BZ112">
        <v>-5.0226629491945474</v>
      </c>
      <c r="CA112">
        <v>-5.0409033457249066</v>
      </c>
      <c r="CB112">
        <v>-5.0591437422552659</v>
      </c>
      <c r="CC112">
        <v>-5.1124158415841583</v>
      </c>
      <c r="CD112">
        <v>-5.1300396039603955</v>
      </c>
      <c r="CE112">
        <v>-5.1476633663366336</v>
      </c>
      <c r="CF112">
        <v>-5.1652871287128708</v>
      </c>
      <c r="CG112">
        <v>-5.1829108910891089</v>
      </c>
      <c r="CH112">
        <v>-5.200534653465346</v>
      </c>
      <c r="CI112">
        <v>-5.2181584158415841</v>
      </c>
      <c r="CJ112">
        <v>-5.2357821782178213</v>
      </c>
    </row>
    <row r="113" spans="1:88" ht="21.75" outlineLevel="1" thickBot="1" x14ac:dyDescent="0.4">
      <c r="A113" s="76" t="s">
        <v>36</v>
      </c>
      <c r="B113" s="64">
        <v>-18.791633663366337</v>
      </c>
      <c r="C113" s="64">
        <v>-18.792326732673267</v>
      </c>
      <c r="D113">
        <v>-18.796287128712873</v>
      </c>
      <c r="E113">
        <v>-18.800247524752475</v>
      </c>
      <c r="F113">
        <v>-18.804207920792081</v>
      </c>
      <c r="G113">
        <v>-18.808168316831683</v>
      </c>
      <c r="H113">
        <v>-18.814257425742571</v>
      </c>
      <c r="I113">
        <v>-18.822178217821779</v>
      </c>
      <c r="J113">
        <v>-18.830148514851484</v>
      </c>
      <c r="K113">
        <v>-18.842029702970297</v>
      </c>
      <c r="L113">
        <v>-18.853910891089107</v>
      </c>
      <c r="M113">
        <v>-18.865792079207921</v>
      </c>
      <c r="N113">
        <v>-18.877673267326731</v>
      </c>
      <c r="O113">
        <v>-18.889554455445545</v>
      </c>
      <c r="P113">
        <v>-18.901435643564355</v>
      </c>
      <c r="Q113">
        <v>-18.913316831683169</v>
      </c>
      <c r="R113">
        <v>-18.925198019801979</v>
      </c>
      <c r="S113">
        <v>-18.937079207920792</v>
      </c>
      <c r="T113">
        <v>-18.948960396039602</v>
      </c>
      <c r="U113">
        <v>-18.964455445544555</v>
      </c>
      <c r="V113">
        <v>-18.980297029702967</v>
      </c>
      <c r="W113">
        <v>-18.996138613861383</v>
      </c>
      <c r="X113">
        <v>-19.011980198019803</v>
      </c>
      <c r="Y113">
        <v>-19.027821782178219</v>
      </c>
      <c r="Z113">
        <v>-19.043731343283582</v>
      </c>
      <c r="AA113">
        <v>-19.059651741293532</v>
      </c>
      <c r="AB113">
        <v>-19.075544554455444</v>
      </c>
      <c r="AC113">
        <v>-19.09138613861386</v>
      </c>
      <c r="AD113">
        <v>-19.107227722772276</v>
      </c>
      <c r="AE113">
        <v>-19.123069306930692</v>
      </c>
      <c r="AF113">
        <v>-19.138910891089107</v>
      </c>
      <c r="AG113">
        <v>-19.154752475247523</v>
      </c>
      <c r="AH113">
        <v>-19.170594059405939</v>
      </c>
      <c r="AI113">
        <v>-19.186435643564359</v>
      </c>
      <c r="AJ113">
        <v>-19.202277227722774</v>
      </c>
      <c r="AK113">
        <v>-19.21811881188119</v>
      </c>
      <c r="AL113">
        <v>-19.234950495049507</v>
      </c>
      <c r="AM113">
        <v>-19.254752475247525</v>
      </c>
      <c r="AN113">
        <v>-19.274554455445546</v>
      </c>
      <c r="AO113">
        <v>-19.291485148514852</v>
      </c>
      <c r="AP113">
        <v>-19.307326732673268</v>
      </c>
      <c r="AQ113">
        <v>-19.323168316831683</v>
      </c>
      <c r="AR113">
        <v>-19.339009900990099</v>
      </c>
      <c r="AS113">
        <v>-19.354851485148515</v>
      </c>
      <c r="AT113">
        <v>-19.370693069306931</v>
      </c>
      <c r="AU113">
        <v>-19.386534653465347</v>
      </c>
      <c r="AV113">
        <v>-19.402376237623763</v>
      </c>
      <c r="AW113">
        <v>-19.418217821782179</v>
      </c>
      <c r="AX113">
        <v>-19.434059405940594</v>
      </c>
      <c r="AY113">
        <v>-19.452437810945273</v>
      </c>
      <c r="AZ113">
        <v>-19.472338308457712</v>
      </c>
      <c r="BA113">
        <v>-19.491782178217822</v>
      </c>
      <c r="BB113">
        <v>-19.507623762376237</v>
      </c>
      <c r="BC113">
        <v>-19.523465346534653</v>
      </c>
      <c r="BD113">
        <v>-19.539306930693069</v>
      </c>
      <c r="BE113">
        <v>-19.555148514851485</v>
      </c>
      <c r="BF113">
        <v>-19.568267326732673</v>
      </c>
      <c r="BG113">
        <v>-19.540544554455447</v>
      </c>
      <c r="BH113">
        <v>-19.512821782178218</v>
      </c>
      <c r="BI113">
        <v>-19.497871287128714</v>
      </c>
      <c r="BJ113">
        <v>-19.493910891089108</v>
      </c>
      <c r="BK113">
        <v>-19.490099009900987</v>
      </c>
      <c r="BL113">
        <v>-19.498019801980199</v>
      </c>
      <c r="BM113">
        <v>-19.505940594059407</v>
      </c>
      <c r="BN113">
        <v>-19.517722772277228</v>
      </c>
      <c r="BO113">
        <v>-19.533564356435644</v>
      </c>
      <c r="BP113">
        <v>-19.54940594059406</v>
      </c>
      <c r="BQ113">
        <v>-19.565247524752476</v>
      </c>
      <c r="BR113">
        <v>-19.581089108910891</v>
      </c>
      <c r="BS113">
        <v>-19.596505576208177</v>
      </c>
      <c r="BT113">
        <v>-19.611375464684013</v>
      </c>
      <c r="BU113">
        <v>-19.626245353159852</v>
      </c>
      <c r="BV113">
        <v>-19.641115241635688</v>
      </c>
      <c r="BW113">
        <v>-19.655985130111524</v>
      </c>
      <c r="BX113">
        <v>-19.670855018587361</v>
      </c>
      <c r="BY113">
        <v>-19.685724907063197</v>
      </c>
      <c r="BZ113">
        <v>-19.700594795539033</v>
      </c>
      <c r="CA113">
        <v>-19.715464684014869</v>
      </c>
      <c r="CB113">
        <v>-19.730334572490705</v>
      </c>
      <c r="CC113">
        <v>-19.772574257425742</v>
      </c>
      <c r="CD113">
        <v>-19.786435643564356</v>
      </c>
      <c r="CE113">
        <v>-19.800297029702968</v>
      </c>
      <c r="CF113">
        <v>-19.814158415841582</v>
      </c>
      <c r="CG113">
        <v>-19.828019801980197</v>
      </c>
      <c r="CH113">
        <v>-19.841881188118812</v>
      </c>
      <c r="CI113">
        <v>-19.855742574257423</v>
      </c>
      <c r="CJ113">
        <v>-19.869603960396038</v>
      </c>
    </row>
    <row r="114" spans="1:88" ht="21.75" outlineLevel="1" thickBot="1" x14ac:dyDescent="0.4">
      <c r="A114" s="76" t="s">
        <v>5</v>
      </c>
      <c r="B114" s="64">
        <v>-62.937772277227722</v>
      </c>
      <c r="C114" s="64">
        <v>-61.400742574257428</v>
      </c>
      <c r="D114">
        <v>-59.955198019801983</v>
      </c>
      <c r="E114">
        <v>-58.521039603960396</v>
      </c>
      <c r="F114">
        <v>-57.25767326732673</v>
      </c>
      <c r="G114">
        <v>-55.994306930693064</v>
      </c>
      <c r="H114">
        <v>-54.603217821782174</v>
      </c>
      <c r="I114">
        <v>-53.10222772277227</v>
      </c>
      <c r="J114">
        <v>-51.60222772277227</v>
      </c>
      <c r="K114">
        <v>-50.180445544554452</v>
      </c>
      <c r="L114">
        <v>-48.758663366336627</v>
      </c>
      <c r="M114">
        <v>-47.336881188118809</v>
      </c>
      <c r="N114">
        <v>-45.915099009900985</v>
      </c>
      <c r="O114">
        <v>-44.49331683168316</v>
      </c>
      <c r="P114">
        <v>-43.071534653465342</v>
      </c>
      <c r="Q114">
        <v>-41.649752475247524</v>
      </c>
      <c r="R114">
        <v>-40.2279702970297</v>
      </c>
      <c r="S114">
        <v>-38.806188118811875</v>
      </c>
      <c r="T114">
        <v>-37.384405940594057</v>
      </c>
      <c r="U114">
        <v>-36.226435643564351</v>
      </c>
      <c r="V114">
        <v>-35.093762376237621</v>
      </c>
      <c r="W114">
        <v>-33.994851485148509</v>
      </c>
      <c r="X114">
        <v>-32.949306930693069</v>
      </c>
      <c r="Y114">
        <v>-31.903762376237626</v>
      </c>
      <c r="Z114">
        <v>-30.918955223880598</v>
      </c>
      <c r="AA114">
        <v>-29.943830845771142</v>
      </c>
      <c r="AB114">
        <v>-28.993960396039601</v>
      </c>
      <c r="AC114">
        <v>-28.0909900990099</v>
      </c>
      <c r="AD114">
        <v>-27.188019801980197</v>
      </c>
      <c r="AE114">
        <v>-26.334059405940593</v>
      </c>
      <c r="AF114">
        <v>-25.49049504950495</v>
      </c>
      <c r="AG114">
        <v>-24.663564356435643</v>
      </c>
      <c r="AH114">
        <v>-23.875445544554452</v>
      </c>
      <c r="AI114">
        <v>-23.087326732673262</v>
      </c>
      <c r="AJ114">
        <v>-22.336039603960394</v>
      </c>
      <c r="AK114">
        <v>-21.595445544554455</v>
      </c>
      <c r="AL114">
        <v>-20.865742574257425</v>
      </c>
      <c r="AM114">
        <v>-20.168712871287131</v>
      </c>
      <c r="AN114">
        <v>-19.471683168316837</v>
      </c>
      <c r="AO114">
        <v>-18.839257425742577</v>
      </c>
      <c r="AP114">
        <v>-18.231336633663371</v>
      </c>
      <c r="AQ114">
        <v>-17.623415841584162</v>
      </c>
      <c r="AR114">
        <v>-17.015495049504953</v>
      </c>
      <c r="AS114">
        <v>-16.407574257425743</v>
      </c>
      <c r="AT114">
        <v>-15.799653465346537</v>
      </c>
      <c r="AU114">
        <v>-15.191732673267328</v>
      </c>
      <c r="AV114">
        <v>-14.583811881188119</v>
      </c>
      <c r="AW114">
        <v>-13.975891089108913</v>
      </c>
      <c r="AX114">
        <v>-13.367970297029704</v>
      </c>
      <c r="AY114">
        <v>-12.806666666666668</v>
      </c>
      <c r="AZ114">
        <v>-12.273333333333335</v>
      </c>
      <c r="BA114">
        <v>-11.742970297029705</v>
      </c>
      <c r="BB114">
        <v>-11.236039603960396</v>
      </c>
      <c r="BC114">
        <v>-10.729108910891087</v>
      </c>
      <c r="BD114">
        <v>-10.234742574257423</v>
      </c>
      <c r="BE114">
        <v>-9.7491980198019785</v>
      </c>
      <c r="BF114">
        <v>-9.2752623762376238</v>
      </c>
      <c r="BG114">
        <v>-8.9754603960396047</v>
      </c>
      <c r="BH114">
        <v>-8.6756584158415855</v>
      </c>
      <c r="BI114">
        <v>-8.4284356435643577</v>
      </c>
      <c r="BJ114">
        <v>-8.2264554455445538</v>
      </c>
      <c r="BK114">
        <v>-8.0249702970297019</v>
      </c>
      <c r="BL114">
        <v>-7.8625940594059402</v>
      </c>
      <c r="BM114">
        <v>-7.7002178217821786</v>
      </c>
      <c r="BN114">
        <v>-7.635920792079208</v>
      </c>
      <c r="BO114">
        <v>-7.6747326732673269</v>
      </c>
      <c r="BP114">
        <v>-7.7135445544554457</v>
      </c>
      <c r="BQ114">
        <v>-7.7531188118811887</v>
      </c>
      <c r="BR114">
        <v>-7.7927227722772283</v>
      </c>
      <c r="BS114">
        <v>-7.8332589838909543</v>
      </c>
      <c r="BT114">
        <v>-7.8749938042131351</v>
      </c>
      <c r="BU114">
        <v>-7.9167286245353168</v>
      </c>
      <c r="BV114">
        <v>-7.9584634448574976</v>
      </c>
      <c r="BW114">
        <v>-8.0001982651796784</v>
      </c>
      <c r="BX114">
        <v>-8.04193308550186</v>
      </c>
      <c r="BY114">
        <v>-8.0836679058240399</v>
      </c>
      <c r="BZ114">
        <v>-8.1254027261462216</v>
      </c>
      <c r="CA114">
        <v>-8.1671375464684015</v>
      </c>
      <c r="CB114">
        <v>-8.2088723667905832</v>
      </c>
      <c r="CC114">
        <v>-8.3497772277227718</v>
      </c>
      <c r="CD114">
        <v>-8.3981930693069309</v>
      </c>
      <c r="CE114">
        <v>-8.44660891089109</v>
      </c>
      <c r="CF114">
        <v>-8.4950247524752474</v>
      </c>
      <c r="CG114">
        <v>-8.5434405940594065</v>
      </c>
      <c r="CH114">
        <v>-8.5918564356435638</v>
      </c>
      <c r="CI114">
        <v>-8.640272277227723</v>
      </c>
      <c r="CJ114">
        <v>-8.6886881188118803</v>
      </c>
    </row>
    <row r="115" spans="1:88" ht="21.75" outlineLevel="1" thickBot="1" x14ac:dyDescent="0.4">
      <c r="A115" s="76" t="s">
        <v>6</v>
      </c>
      <c r="B115" s="64">
        <v>-15.64579207920792</v>
      </c>
      <c r="C115" s="64">
        <v>-15.366435643564357</v>
      </c>
      <c r="D115">
        <v>-15.105049504950495</v>
      </c>
      <c r="E115">
        <v>-14.846138613861386</v>
      </c>
      <c r="F115">
        <v>-14.624356435643564</v>
      </c>
      <c r="G115">
        <v>-14.402574257425742</v>
      </c>
      <c r="H115">
        <v>-14.059455445544554</v>
      </c>
      <c r="I115">
        <v>-13.611930693069306</v>
      </c>
      <c r="J115">
        <v>-13.163493811881187</v>
      </c>
      <c r="K115">
        <v>-12.642998762376235</v>
      </c>
      <c r="L115">
        <v>-12.122503712871286</v>
      </c>
      <c r="M115">
        <v>-11.602008663366336</v>
      </c>
      <c r="N115">
        <v>-11.081513613861386</v>
      </c>
      <c r="O115">
        <v>-10.561018564356434</v>
      </c>
      <c r="P115">
        <v>-10.040523514851484</v>
      </c>
      <c r="Q115">
        <v>-9.5200284653465346</v>
      </c>
      <c r="R115">
        <v>-8.999533415841583</v>
      </c>
      <c r="S115">
        <v>-8.4790383663366331</v>
      </c>
      <c r="T115">
        <v>-7.9585433168316824</v>
      </c>
      <c r="U115">
        <v>-7.5292079207920786</v>
      </c>
      <c r="V115">
        <v>-7.1086138613861376</v>
      </c>
      <c r="W115">
        <v>-6.6999900990099004</v>
      </c>
      <c r="X115">
        <v>-6.3102871287128712</v>
      </c>
      <c r="Y115">
        <v>-5.9205841584158421</v>
      </c>
      <c r="Z115">
        <v>-5.5518656716417913</v>
      </c>
      <c r="AA115">
        <v>-5.1864925373134323</v>
      </c>
      <c r="AB115">
        <v>-4.8310396039603951</v>
      </c>
      <c r="AC115">
        <v>-4.4940099009900978</v>
      </c>
      <c r="AD115">
        <v>-4.1569801980198005</v>
      </c>
      <c r="AE115">
        <v>-4.1149900990099013</v>
      </c>
      <c r="AF115">
        <v>-4.1355841584158419</v>
      </c>
      <c r="AG115">
        <v>-4.1559405940594063</v>
      </c>
      <c r="AH115">
        <v>-4.1757425742574261</v>
      </c>
      <c r="AI115">
        <v>-4.1955445544554459</v>
      </c>
      <c r="AJ115">
        <v>-4.2150396039603963</v>
      </c>
      <c r="AK115">
        <v>-4.2344455445544549</v>
      </c>
      <c r="AL115">
        <v>-4.2539504950495051</v>
      </c>
      <c r="AM115">
        <v>-4.2737524752475249</v>
      </c>
      <c r="AN115">
        <v>-4.2935544554455447</v>
      </c>
      <c r="AO115">
        <v>-4.3133564356435645</v>
      </c>
      <c r="AP115">
        <v>-4.3331584158415843</v>
      </c>
      <c r="AQ115">
        <v>-4.3529603960396042</v>
      </c>
      <c r="AR115">
        <v>-4.372762376237624</v>
      </c>
      <c r="AS115">
        <v>-4.3925643564356438</v>
      </c>
      <c r="AT115">
        <v>-4.4123663366336636</v>
      </c>
      <c r="AU115">
        <v>-4.4321683168316834</v>
      </c>
      <c r="AV115">
        <v>-4.4519702970297024</v>
      </c>
      <c r="AW115">
        <v>-4.4717722772277222</v>
      </c>
      <c r="AX115">
        <v>-4.491574257425742</v>
      </c>
      <c r="AY115">
        <v>-4.5114378109452735</v>
      </c>
      <c r="AZ115">
        <v>-4.5313383084577117</v>
      </c>
      <c r="BA115">
        <v>-4.5511831683168316</v>
      </c>
      <c r="BB115">
        <v>-4.570589108910891</v>
      </c>
      <c r="BC115">
        <v>-4.5899950495049504</v>
      </c>
      <c r="BD115">
        <v>-4.6094009900990098</v>
      </c>
      <c r="BE115">
        <v>-4.6288069306930693</v>
      </c>
      <c r="BF115">
        <v>-4.6482128712871287</v>
      </c>
      <c r="BG115">
        <v>-4.6676188118811881</v>
      </c>
      <c r="BH115">
        <v>-4.6870247524752475</v>
      </c>
      <c r="BI115">
        <v>-4.706217821782178</v>
      </c>
      <c r="BJ115">
        <v>-4.725227722772277</v>
      </c>
      <c r="BK115">
        <v>-4.744237623762376</v>
      </c>
      <c r="BL115">
        <v>-4.763247524752475</v>
      </c>
      <c r="BM115">
        <v>-4.7822574257425741</v>
      </c>
      <c r="BN115">
        <v>-4.8012673267326731</v>
      </c>
      <c r="BO115">
        <v>-4.8202772277227721</v>
      </c>
      <c r="BP115">
        <v>-4.8392871287128711</v>
      </c>
      <c r="BQ115">
        <v>-4.8579158415841581</v>
      </c>
      <c r="BR115">
        <v>-4.8765297029702968</v>
      </c>
      <c r="BS115">
        <v>-4.8949801734820317</v>
      </c>
      <c r="BT115">
        <v>-4.913220570012391</v>
      </c>
      <c r="BU115">
        <v>-4.9314609665427502</v>
      </c>
      <c r="BV115">
        <v>-4.9497013630731095</v>
      </c>
      <c r="BW115">
        <v>-4.9679417596034696</v>
      </c>
      <c r="BX115">
        <v>-4.9861821561338289</v>
      </c>
      <c r="BY115">
        <v>-5.0044225526641881</v>
      </c>
      <c r="BZ115">
        <v>-5.0226629491945474</v>
      </c>
      <c r="CA115">
        <v>-5.0409033457249066</v>
      </c>
      <c r="CB115">
        <v>-5.0591437422552659</v>
      </c>
      <c r="CC115">
        <v>-5.1124158415841583</v>
      </c>
      <c r="CD115">
        <v>-5.1300396039603955</v>
      </c>
      <c r="CE115">
        <v>-5.1476633663366336</v>
      </c>
      <c r="CF115">
        <v>-5.1652871287128708</v>
      </c>
      <c r="CG115">
        <v>-5.1829108910891089</v>
      </c>
      <c r="CH115">
        <v>-5.200534653465346</v>
      </c>
      <c r="CI115">
        <v>-5.2181584158415841</v>
      </c>
      <c r="CJ115">
        <v>-5.2357821782178213</v>
      </c>
    </row>
    <row r="116" spans="1:88" ht="21.75" outlineLevel="1" thickBot="1" x14ac:dyDescent="0.4">
      <c r="A116" s="76" t="s">
        <v>7</v>
      </c>
      <c r="B116" s="64">
        <v>-22.398910891089109</v>
      </c>
      <c r="C116" s="64">
        <v>-21.910099009900989</v>
      </c>
      <c r="D116">
        <v>-21.450693069306929</v>
      </c>
      <c r="E116">
        <v>-20.995000000000001</v>
      </c>
      <c r="F116">
        <v>-20.594999999999999</v>
      </c>
      <c r="G116">
        <v>-20.195</v>
      </c>
      <c r="H116">
        <v>-19.958910891089111</v>
      </c>
      <c r="I116">
        <v>-19.863861386138613</v>
      </c>
      <c r="J116">
        <v>-19.771485148514852</v>
      </c>
      <c r="K116">
        <v>-19.890297029702971</v>
      </c>
      <c r="L116">
        <v>-20.00910891089109</v>
      </c>
      <c r="M116">
        <v>-20.127920792079209</v>
      </c>
      <c r="N116">
        <v>-20.246732673267328</v>
      </c>
      <c r="O116">
        <v>-20.365544554455447</v>
      </c>
      <c r="P116">
        <v>-20.484356435643562</v>
      </c>
      <c r="Q116">
        <v>-20.603168316831681</v>
      </c>
      <c r="R116">
        <v>-20.7219801980198</v>
      </c>
      <c r="S116">
        <v>-20.840792079207919</v>
      </c>
      <c r="T116">
        <v>-20.959603960396038</v>
      </c>
      <c r="U116">
        <v>-21.078415841584157</v>
      </c>
      <c r="V116">
        <v>-21.197227722772276</v>
      </c>
      <c r="W116">
        <v>-21.317574257425743</v>
      </c>
      <c r="X116">
        <v>-21.440346534653465</v>
      </c>
      <c r="Y116">
        <v>-21.563118811881186</v>
      </c>
      <c r="Z116">
        <v>-21.682985074626863</v>
      </c>
      <c r="AA116">
        <v>-21.802388059701492</v>
      </c>
      <c r="AB116">
        <v>-21.92158415841584</v>
      </c>
      <c r="AC116">
        <v>-22.040396039603959</v>
      </c>
      <c r="AD116">
        <v>-22.159207920792078</v>
      </c>
      <c r="AE116">
        <v>-22.281287128712872</v>
      </c>
      <c r="AF116">
        <v>-22.404059405940593</v>
      </c>
      <c r="AG116">
        <v>-22.525643564356432</v>
      </c>
      <c r="AH116">
        <v>-22.644455445544555</v>
      </c>
      <c r="AI116">
        <v>-22.763267326732674</v>
      </c>
      <c r="AJ116">
        <v>-22.879009900990098</v>
      </c>
      <c r="AK116">
        <v>-22.993861386138612</v>
      </c>
      <c r="AL116">
        <v>-23.108712871287128</v>
      </c>
      <c r="AM116">
        <v>-23.223564356435642</v>
      </c>
      <c r="AN116">
        <v>-23.338415841584158</v>
      </c>
      <c r="AO116">
        <v>-23.451831683168319</v>
      </c>
      <c r="AP116">
        <v>-23.564702970297031</v>
      </c>
      <c r="AQ116">
        <v>-23.677574257425743</v>
      </c>
      <c r="AR116">
        <v>-23.790445544554455</v>
      </c>
      <c r="AS116">
        <v>-23.903316831683171</v>
      </c>
      <c r="AT116">
        <v>-24.016188118811883</v>
      </c>
      <c r="AU116">
        <v>-24.129059405940595</v>
      </c>
      <c r="AV116">
        <v>-24.241930693069307</v>
      </c>
      <c r="AW116">
        <v>-24.354801980198022</v>
      </c>
      <c r="AX116">
        <v>-24.467673267326735</v>
      </c>
      <c r="AY116">
        <v>-24.579651741293532</v>
      </c>
      <c r="AZ116">
        <v>-24.691094527363184</v>
      </c>
      <c r="BA116">
        <v>-24.802029702970295</v>
      </c>
      <c r="BB116">
        <v>-24.908960396039603</v>
      </c>
      <c r="BC116">
        <v>-25.015891089108909</v>
      </c>
      <c r="BD116">
        <v>-25.122821782178217</v>
      </c>
      <c r="BE116">
        <v>-25.229752475247523</v>
      </c>
      <c r="BF116">
        <v>-25.336683168316831</v>
      </c>
      <c r="BG116">
        <v>-25.443613861386137</v>
      </c>
      <c r="BH116">
        <v>-25.550544554455445</v>
      </c>
      <c r="BI116">
        <v>-25.657475247524754</v>
      </c>
      <c r="BJ116">
        <v>-25.76440594059406</v>
      </c>
      <c r="BK116">
        <v>-25.871287128712872</v>
      </c>
      <c r="BL116">
        <v>-25.974257425742575</v>
      </c>
      <c r="BM116">
        <v>-26.077227722772278</v>
      </c>
      <c r="BN116">
        <v>-26.180198019801978</v>
      </c>
      <c r="BO116">
        <v>-26.283168316831684</v>
      </c>
      <c r="BP116">
        <v>-26.386138613861387</v>
      </c>
      <c r="BQ116">
        <v>-26.48910891089109</v>
      </c>
      <c r="BR116">
        <v>-26.59207920792079</v>
      </c>
      <c r="BS116">
        <v>-26.693370508054521</v>
      </c>
      <c r="BT116">
        <v>-26.79250309789343</v>
      </c>
      <c r="BU116">
        <v>-26.891635687732339</v>
      </c>
      <c r="BV116">
        <v>-26.990768277571249</v>
      </c>
      <c r="BW116">
        <v>-27.089900867410158</v>
      </c>
      <c r="BX116">
        <v>-27.189033457249067</v>
      </c>
      <c r="BY116">
        <v>-27.28816604708798</v>
      </c>
      <c r="BZ116">
        <v>-27.387298636926889</v>
      </c>
      <c r="CA116">
        <v>-27.486431226765799</v>
      </c>
      <c r="CB116">
        <v>-27.585563816604708</v>
      </c>
      <c r="CC116">
        <v>-27.87569306930693</v>
      </c>
      <c r="CD116">
        <v>-27.971732673267326</v>
      </c>
      <c r="CE116">
        <v>-28.067772277227721</v>
      </c>
      <c r="CF116">
        <v>-28.163811881188117</v>
      </c>
      <c r="CG116">
        <v>-28.259851485148516</v>
      </c>
      <c r="CH116">
        <v>-28.355891089108912</v>
      </c>
      <c r="CI116">
        <v>-28.451930693069308</v>
      </c>
      <c r="CJ116">
        <v>-28.547970297029703</v>
      </c>
    </row>
    <row r="117" spans="1:88" ht="21.75" outlineLevel="1" thickBot="1" x14ac:dyDescent="0.4">
      <c r="A117" s="76" t="s">
        <v>93</v>
      </c>
    </row>
    <row r="118" spans="1:88" ht="21.75" outlineLevel="1" thickBot="1" x14ac:dyDescent="0.4">
      <c r="A118" s="76" t="s">
        <v>94</v>
      </c>
    </row>
    <row r="119" spans="1:88" ht="21.75" outlineLevel="1" thickBot="1" x14ac:dyDescent="0.4">
      <c r="A119" s="76" t="s">
        <v>100</v>
      </c>
    </row>
    <row r="120" spans="1:88" ht="21.75" outlineLevel="1" thickBot="1" x14ac:dyDescent="0.4">
      <c r="A120" s="67" t="s">
        <v>68</v>
      </c>
    </row>
    <row r="121" spans="1:88" ht="21.75" outlineLevel="1" thickBot="1" x14ac:dyDescent="0.4">
      <c r="A121" s="67" t="s">
        <v>67</v>
      </c>
    </row>
    <row r="122" spans="1:88" ht="21.75" outlineLevel="1" thickBot="1" x14ac:dyDescent="0.4">
      <c r="A122" s="67" t="s">
        <v>36</v>
      </c>
    </row>
    <row r="123" spans="1:88" ht="21.75" outlineLevel="1" thickBot="1" x14ac:dyDescent="0.4">
      <c r="A123" s="67" t="s">
        <v>5</v>
      </c>
    </row>
    <row r="124" spans="1:88" ht="21.75" outlineLevel="1" thickBot="1" x14ac:dyDescent="0.4">
      <c r="A124" s="67" t="s">
        <v>6</v>
      </c>
    </row>
    <row r="125" spans="1:88" ht="21.75" outlineLevel="1" thickBot="1" x14ac:dyDescent="0.4">
      <c r="A125" s="67" t="s">
        <v>7</v>
      </c>
    </row>
    <row r="126" spans="1:88" ht="21.75" outlineLevel="1" thickBot="1" x14ac:dyDescent="0.4">
      <c r="A126" s="67"/>
    </row>
    <row r="127" spans="1:88" ht="21.75" outlineLevel="1" thickBot="1" x14ac:dyDescent="0.4">
      <c r="A127" s="67"/>
    </row>
    <row r="128" spans="1:88" ht="21.75" outlineLevel="1" thickBot="1" x14ac:dyDescent="0.4">
      <c r="A128" s="67"/>
    </row>
    <row r="129" spans="1:94" ht="21.75" outlineLevel="1" thickBot="1" x14ac:dyDescent="0.4">
      <c r="A129" s="67"/>
    </row>
    <row r="130" spans="1:94" ht="21.75" outlineLevel="1" thickBot="1" x14ac:dyDescent="0.4">
      <c r="A130" s="67" t="s">
        <v>104</v>
      </c>
      <c r="B130" s="64">
        <v>0</v>
      </c>
      <c r="C130" s="64">
        <v>0</v>
      </c>
      <c r="D130" s="64">
        <v>0</v>
      </c>
      <c r="E130" s="64">
        <v>0</v>
      </c>
      <c r="CP130">
        <v>0</v>
      </c>
    </row>
    <row r="131" spans="1:94" s="85" customFormat="1" ht="21.75" thickBot="1" x14ac:dyDescent="0.4">
      <c r="A131" s="85" t="s">
        <v>39</v>
      </c>
      <c r="B131" s="64">
        <v>290</v>
      </c>
      <c r="C131" s="64">
        <v>298</v>
      </c>
      <c r="D131" s="85">
        <v>306</v>
      </c>
      <c r="E131" s="85">
        <v>314</v>
      </c>
      <c r="F131" s="85">
        <v>322</v>
      </c>
      <c r="G131" s="85">
        <v>330</v>
      </c>
      <c r="H131" s="85">
        <v>338</v>
      </c>
      <c r="I131" s="85">
        <v>346</v>
      </c>
      <c r="J131" s="85">
        <v>354</v>
      </c>
      <c r="K131" s="85">
        <v>362</v>
      </c>
      <c r="L131" s="85">
        <v>370</v>
      </c>
      <c r="M131" s="85">
        <v>378</v>
      </c>
      <c r="N131" s="85">
        <v>386</v>
      </c>
      <c r="O131" s="85">
        <v>394</v>
      </c>
      <c r="P131" s="85">
        <v>402</v>
      </c>
      <c r="Q131" s="85">
        <v>410</v>
      </c>
      <c r="R131" s="85">
        <v>418</v>
      </c>
      <c r="S131" s="85">
        <v>426</v>
      </c>
      <c r="T131" s="85">
        <v>434</v>
      </c>
      <c r="U131" s="85">
        <v>442</v>
      </c>
      <c r="V131" s="85">
        <v>450</v>
      </c>
      <c r="W131" s="85">
        <v>458</v>
      </c>
      <c r="X131" s="85">
        <v>466</v>
      </c>
      <c r="Y131" s="85">
        <v>474</v>
      </c>
      <c r="Z131" s="85">
        <v>482</v>
      </c>
      <c r="AA131" s="85">
        <v>490</v>
      </c>
      <c r="AB131" s="85">
        <v>498</v>
      </c>
      <c r="AC131" s="85">
        <v>506</v>
      </c>
      <c r="AD131" s="85">
        <v>514</v>
      </c>
      <c r="AE131" s="85">
        <v>522</v>
      </c>
      <c r="AF131" s="85">
        <v>530</v>
      </c>
      <c r="AG131" s="85">
        <v>538</v>
      </c>
      <c r="AH131" s="85">
        <v>546</v>
      </c>
      <c r="AI131" s="85">
        <v>554</v>
      </c>
      <c r="AJ131" s="85">
        <v>562</v>
      </c>
      <c r="AK131" s="85">
        <v>570</v>
      </c>
      <c r="AL131" s="85">
        <v>578</v>
      </c>
      <c r="AM131" s="85">
        <v>586</v>
      </c>
      <c r="AN131" s="85">
        <v>594</v>
      </c>
      <c r="AO131" s="85">
        <v>602</v>
      </c>
      <c r="AP131" s="85">
        <v>610</v>
      </c>
      <c r="AQ131" s="85">
        <v>618</v>
      </c>
      <c r="AR131" s="85">
        <v>626</v>
      </c>
      <c r="AS131" s="85">
        <v>634</v>
      </c>
      <c r="AT131" s="85">
        <v>642</v>
      </c>
      <c r="AU131" s="85">
        <v>650</v>
      </c>
      <c r="AV131" s="85">
        <v>658</v>
      </c>
      <c r="AW131" s="85">
        <v>666</v>
      </c>
      <c r="AX131" s="85">
        <v>674</v>
      </c>
      <c r="AY131" s="85">
        <v>682</v>
      </c>
      <c r="AZ131" s="85">
        <v>690</v>
      </c>
      <c r="BA131" s="85">
        <v>698</v>
      </c>
      <c r="BB131" s="85">
        <v>706</v>
      </c>
      <c r="BC131" s="85">
        <v>714</v>
      </c>
      <c r="BD131" s="85">
        <v>722</v>
      </c>
      <c r="BE131" s="85">
        <v>730</v>
      </c>
      <c r="BF131" s="85">
        <v>738</v>
      </c>
      <c r="BG131" s="85">
        <v>746</v>
      </c>
      <c r="BH131" s="85">
        <v>754</v>
      </c>
      <c r="BI131" s="85">
        <v>762</v>
      </c>
      <c r="BJ131" s="85">
        <v>770</v>
      </c>
      <c r="BK131" s="85">
        <v>778</v>
      </c>
      <c r="BL131" s="85">
        <v>786</v>
      </c>
      <c r="BM131" s="85">
        <v>794</v>
      </c>
      <c r="BN131" s="85">
        <v>802</v>
      </c>
      <c r="BO131" s="85">
        <v>810</v>
      </c>
      <c r="BP131" s="85">
        <v>818</v>
      </c>
      <c r="BQ131" s="85">
        <v>826</v>
      </c>
      <c r="BR131" s="85">
        <v>834</v>
      </c>
      <c r="BS131" s="85">
        <v>842</v>
      </c>
      <c r="BT131" s="85">
        <v>850</v>
      </c>
      <c r="BU131" s="85">
        <v>858</v>
      </c>
      <c r="BV131" s="85">
        <v>866</v>
      </c>
      <c r="BW131" s="85">
        <v>874</v>
      </c>
      <c r="BX131" s="85">
        <v>882</v>
      </c>
      <c r="BY131" s="85">
        <v>890</v>
      </c>
      <c r="BZ131" s="85">
        <v>898</v>
      </c>
      <c r="CA131" s="85">
        <v>906</v>
      </c>
      <c r="CB131" s="85">
        <v>914</v>
      </c>
      <c r="CC131" s="85">
        <v>922</v>
      </c>
      <c r="CD131" s="85">
        <v>930</v>
      </c>
      <c r="CE131" s="85">
        <v>938</v>
      </c>
      <c r="CF131" s="85">
        <v>946</v>
      </c>
      <c r="CG131" s="85">
        <v>954</v>
      </c>
      <c r="CH131" s="85">
        <v>962</v>
      </c>
      <c r="CI131" s="85">
        <v>970</v>
      </c>
      <c r="CJ131" s="85">
        <v>978</v>
      </c>
      <c r="CK131" s="85">
        <v>986</v>
      </c>
      <c r="CL131" s="85">
        <v>994</v>
      </c>
    </row>
    <row r="132" spans="1:94" ht="21.75" outlineLevel="1" thickBot="1" x14ac:dyDescent="0.4">
      <c r="A132" s="32" t="s">
        <v>56</v>
      </c>
      <c r="B132" s="64">
        <v>-38.781237623762379</v>
      </c>
      <c r="C132" s="64">
        <v>-37.994900990099012</v>
      </c>
      <c r="D132">
        <v>-37.254306930693069</v>
      </c>
      <c r="E132">
        <v>-36.518910891089114</v>
      </c>
      <c r="F132">
        <v>-35.861485148514852</v>
      </c>
      <c r="G132">
        <v>-35.20405940594059</v>
      </c>
      <c r="H132">
        <v>-34.59346534653465</v>
      </c>
      <c r="I132">
        <v>-34.023168316831679</v>
      </c>
      <c r="J132">
        <v>-33.455115099009902</v>
      </c>
      <c r="K132">
        <v>-33.064323019801982</v>
      </c>
      <c r="L132">
        <v>-32.673530940594055</v>
      </c>
      <c r="M132">
        <v>-32.282738861386136</v>
      </c>
      <c r="N132">
        <v>-31.891946782178216</v>
      </c>
      <c r="O132">
        <v>-31.501154702970297</v>
      </c>
      <c r="P132">
        <v>-31.110362623762374</v>
      </c>
      <c r="Q132">
        <v>-30.719570544554454</v>
      </c>
      <c r="R132">
        <v>-30.328778465346531</v>
      </c>
      <c r="S132">
        <v>-29.937986386138611</v>
      </c>
      <c r="T132">
        <v>-29.547194306930692</v>
      </c>
      <c r="U132">
        <v>-29.321103960396037</v>
      </c>
      <c r="V132">
        <v>-29.110806930693069</v>
      </c>
      <c r="W132">
        <v>-28.935499999999998</v>
      </c>
      <c r="X132">
        <v>-28.8155</v>
      </c>
      <c r="Y132">
        <v>-28.695499999999999</v>
      </c>
      <c r="Z132">
        <v>-28.655656716417909</v>
      </c>
      <c r="AA132">
        <v>-28.628592039800992</v>
      </c>
      <c r="AB132">
        <v>-28.626247524752472</v>
      </c>
      <c r="AC132">
        <v>-28.669811881188117</v>
      </c>
      <c r="AD132">
        <v>-28.713376237623759</v>
      </c>
      <c r="AE132">
        <v>-28.798435643564353</v>
      </c>
      <c r="AF132">
        <v>-28.892297029702966</v>
      </c>
      <c r="AG132">
        <v>-28.992693069306927</v>
      </c>
      <c r="AH132">
        <v>-29.108336633663367</v>
      </c>
      <c r="AI132">
        <v>-29.223980198019802</v>
      </c>
      <c r="AJ132">
        <v>-29.349138613861388</v>
      </c>
      <c r="AK132">
        <v>-29.477059405940594</v>
      </c>
      <c r="AL132">
        <v>-29.605871287128714</v>
      </c>
      <c r="AM132">
        <v>-29.737356435643566</v>
      </c>
      <c r="AN132">
        <v>-29.868841584158417</v>
      </c>
      <c r="AO132">
        <v>-29.998603960396039</v>
      </c>
      <c r="AP132">
        <v>-30.127712871287127</v>
      </c>
      <c r="AQ132">
        <v>-30.257851485148514</v>
      </c>
      <c r="AR132">
        <v>-30.392108910891089</v>
      </c>
      <c r="AS132">
        <v>-30.526366336633664</v>
      </c>
      <c r="AT132">
        <v>-30.659019801980197</v>
      </c>
      <c r="AU132">
        <v>-30.790900990099008</v>
      </c>
      <c r="AV132">
        <v>-30.922722772277226</v>
      </c>
      <c r="AW132">
        <v>-31.054207920792077</v>
      </c>
      <c r="AX132">
        <v>-31.185693069306929</v>
      </c>
      <c r="AY132">
        <v>-31.319200743494424</v>
      </c>
      <c r="AZ132">
        <v>-31.4539219330855</v>
      </c>
      <c r="BA132">
        <v>-31.588643122676579</v>
      </c>
      <c r="BB132">
        <v>-31.723364312267659</v>
      </c>
      <c r="BC132">
        <v>-31.858085501858735</v>
      </c>
      <c r="BD132">
        <v>-31.992806691449815</v>
      </c>
      <c r="BE132">
        <v>-32.127527881040891</v>
      </c>
      <c r="BF132">
        <v>-32.262249070631974</v>
      </c>
      <c r="BG132">
        <v>-32.39697026022305</v>
      </c>
      <c r="BH132">
        <v>-32.531691449814126</v>
      </c>
      <c r="BI132">
        <v>-32.66126732673267</v>
      </c>
      <c r="BJ132">
        <v>-32.786415841584159</v>
      </c>
      <c r="BK132">
        <v>-32.911613861386137</v>
      </c>
      <c r="BL132">
        <v>-33.040722772277228</v>
      </c>
      <c r="BM132">
        <v>-33.169831683168312</v>
      </c>
      <c r="BN132">
        <v>-33.296816831683167</v>
      </c>
      <c r="BO132">
        <v>-33.421569306930692</v>
      </c>
      <c r="BP132">
        <v>-33.546321782178218</v>
      </c>
      <c r="BQ132">
        <v>-33.671836633663368</v>
      </c>
      <c r="BR132">
        <v>-33.797381188118806</v>
      </c>
      <c r="BS132">
        <v>-33.920846534653464</v>
      </c>
      <c r="BT132">
        <v>-34.041638613861387</v>
      </c>
      <c r="BU132">
        <v>-34.162430693069311</v>
      </c>
      <c r="BV132">
        <v>-34.263707920792079</v>
      </c>
      <c r="BW132">
        <v>-34.36311386138614</v>
      </c>
      <c r="BX132">
        <v>-34.465641791044774</v>
      </c>
      <c r="BY132">
        <v>-34.573104477611942</v>
      </c>
      <c r="BZ132">
        <v>-34.680567164179109</v>
      </c>
      <c r="CA132">
        <v>-34.791029702970299</v>
      </c>
      <c r="CB132">
        <v>-34.901920792079203</v>
      </c>
      <c r="CC132">
        <v>-35.012465346534647</v>
      </c>
      <c r="CD132">
        <v>-35.122366336633661</v>
      </c>
      <c r="CE132">
        <v>-35.232267326732668</v>
      </c>
      <c r="CF132">
        <v>-35.342168316831682</v>
      </c>
      <c r="CG132">
        <v>-35.452069306930689</v>
      </c>
      <c r="CH132">
        <v>-35.561970297029703</v>
      </c>
      <c r="CI132">
        <v>-35.671871287128717</v>
      </c>
      <c r="CJ132">
        <v>-35.781772277227724</v>
      </c>
      <c r="CK132">
        <v>-35.891673267326738</v>
      </c>
      <c r="CL132">
        <v>-36.001574257425744</v>
      </c>
    </row>
    <row r="133" spans="1:94" ht="21.75" outlineLevel="1" thickBot="1" x14ac:dyDescent="0.4">
      <c r="A133" s="32" t="s">
        <v>55</v>
      </c>
      <c r="B133" s="64">
        <v>-63.093910891089116</v>
      </c>
      <c r="C133" s="64">
        <v>-61.414405940594065</v>
      </c>
      <c r="D133">
        <v>-59.770841584158418</v>
      </c>
      <c r="E133">
        <v>-58.128019801980194</v>
      </c>
      <c r="F133">
        <v>-56.496336633663361</v>
      </c>
      <c r="G133">
        <v>-54.864653465346535</v>
      </c>
      <c r="H133">
        <v>-53.239356435643565</v>
      </c>
      <c r="I133">
        <v>-51.619554455445545</v>
      </c>
      <c r="J133">
        <v>-50.002846534653465</v>
      </c>
      <c r="K133">
        <v>-48.630569306930688</v>
      </c>
      <c r="L133">
        <v>-47.258292079207919</v>
      </c>
      <c r="M133">
        <v>-45.886014851485143</v>
      </c>
      <c r="N133">
        <v>-44.513737623762374</v>
      </c>
      <c r="O133">
        <v>-43.141460396039598</v>
      </c>
      <c r="P133">
        <v>-41.769183168316829</v>
      </c>
      <c r="Q133">
        <v>-40.396905940594053</v>
      </c>
      <c r="R133">
        <v>-39.024628712871284</v>
      </c>
      <c r="S133">
        <v>-37.652351485148507</v>
      </c>
      <c r="T133">
        <v>-36.280074257425738</v>
      </c>
      <c r="U133">
        <v>-35.198712871287121</v>
      </c>
      <c r="V133">
        <v>-34.14524752475247</v>
      </c>
      <c r="W133">
        <v>-33.130148514851484</v>
      </c>
      <c r="X133">
        <v>-32.175693069306931</v>
      </c>
      <c r="Y133">
        <v>-31.221237623762377</v>
      </c>
      <c r="Z133">
        <v>-30.317611940298509</v>
      </c>
      <c r="AA133">
        <v>-29.422089552238806</v>
      </c>
      <c r="AB133">
        <v>-28.54059405940594</v>
      </c>
      <c r="AC133">
        <v>-27.685148514851484</v>
      </c>
      <c r="AD133">
        <v>-26.829702970297028</v>
      </c>
      <c r="AE133">
        <v>-26.006930693069307</v>
      </c>
      <c r="AF133">
        <v>-25.191089108910894</v>
      </c>
      <c r="AG133">
        <v>-24.387128712871288</v>
      </c>
      <c r="AH133">
        <v>-23.610891089108911</v>
      </c>
      <c r="AI133">
        <v>-22.834653465346531</v>
      </c>
      <c r="AJ133">
        <v>-22.092178217821779</v>
      </c>
      <c r="AK133">
        <v>-21.359504950495047</v>
      </c>
      <c r="AL133">
        <v>-20.636732673267325</v>
      </c>
      <c r="AM133">
        <v>-19.943663366336633</v>
      </c>
      <c r="AN133">
        <v>-19.250594059405941</v>
      </c>
      <c r="AO133">
        <v>-18.583366336633663</v>
      </c>
      <c r="AP133">
        <v>-17.925940594059405</v>
      </c>
      <c r="AQ133">
        <v>-17.275643564356432</v>
      </c>
      <c r="AR133">
        <v>-16.653861386138612</v>
      </c>
      <c r="AS133">
        <v>-16.032079207920795</v>
      </c>
      <c r="AT133">
        <v>-15.437029702970298</v>
      </c>
      <c r="AU133">
        <v>-14.854851485148513</v>
      </c>
      <c r="AV133">
        <v>-14.279801980198016</v>
      </c>
      <c r="AW133">
        <v>-13.745148514851483</v>
      </c>
      <c r="AX133">
        <v>-13.210495049504949</v>
      </c>
      <c r="AY133">
        <v>-12.811301115241635</v>
      </c>
      <c r="AZ133">
        <v>-12.493382899628253</v>
      </c>
      <c r="BA133">
        <v>-12.175464684014869</v>
      </c>
      <c r="BB133">
        <v>-11.857546468401488</v>
      </c>
      <c r="BC133">
        <v>-11.539628252788106</v>
      </c>
      <c r="BD133">
        <v>-11.221710037174722</v>
      </c>
      <c r="BE133">
        <v>-10.90379182156134</v>
      </c>
      <c r="BF133">
        <v>-10.585873605947958</v>
      </c>
      <c r="BG133">
        <v>-10.267955390334574</v>
      </c>
      <c r="BH133">
        <v>-9.9500371747211922</v>
      </c>
      <c r="BI133">
        <v>-9.6984801980198032</v>
      </c>
      <c r="BJ133">
        <v>-9.5040247524752477</v>
      </c>
      <c r="BK133">
        <v>-9.3097524752475245</v>
      </c>
      <c r="BL133">
        <v>-9.1299504950495045</v>
      </c>
      <c r="BM133">
        <v>-8.9501485148514863</v>
      </c>
      <c r="BN133">
        <v>-8.7771039603960403</v>
      </c>
      <c r="BO133">
        <v>-8.6111633663366334</v>
      </c>
      <c r="BP133">
        <v>-8.4452227722772264</v>
      </c>
      <c r="BQ133">
        <v>-8.2907178217821773</v>
      </c>
      <c r="BR133">
        <v>-8.136658415841584</v>
      </c>
      <c r="BS133">
        <v>-7.9902227722772281</v>
      </c>
      <c r="BT133">
        <v>-7.8535891089108922</v>
      </c>
      <c r="BU133">
        <v>-7.7169554455445555</v>
      </c>
      <c r="BV133">
        <v>-7.7299356435643567</v>
      </c>
      <c r="BW133">
        <v>-7.757262376237624</v>
      </c>
      <c r="BX133">
        <v>-7.7849502487562185</v>
      </c>
      <c r="BY133">
        <v>-7.8132089552238808</v>
      </c>
      <c r="BZ133">
        <v>-7.8414676616915422</v>
      </c>
      <c r="CA133">
        <v>-7.8692574257425738</v>
      </c>
      <c r="CB133">
        <v>-7.8969801980198016</v>
      </c>
      <c r="CC133">
        <v>-7.9244257425742575</v>
      </c>
      <c r="CD133">
        <v>-7.9513564356435644</v>
      </c>
      <c r="CE133">
        <v>-7.9782871287128714</v>
      </c>
      <c r="CF133">
        <v>-8.0052178217821783</v>
      </c>
      <c r="CG133">
        <v>-8.0321485148514853</v>
      </c>
      <c r="CH133">
        <v>-8.0590792079207922</v>
      </c>
      <c r="CI133">
        <v>-8.0860099009900992</v>
      </c>
      <c r="CJ133">
        <v>-8.1129405940594062</v>
      </c>
      <c r="CK133">
        <v>-8.1398712871287131</v>
      </c>
      <c r="CL133">
        <v>-8.1668019801980201</v>
      </c>
    </row>
    <row r="134" spans="1:94" ht="21.75" outlineLevel="1" thickBot="1" x14ac:dyDescent="0.4">
      <c r="A134" s="32" t="s">
        <v>52</v>
      </c>
      <c r="B134" s="64">
        <v>-22.530940594059405</v>
      </c>
      <c r="C134" s="64">
        <v>-22.141534653465346</v>
      </c>
      <c r="D134">
        <v>-21.820742574257427</v>
      </c>
      <c r="E134">
        <v>-21.510841584158417</v>
      </c>
      <c r="F134">
        <v>-21.364306930693068</v>
      </c>
      <c r="G134">
        <v>-21.21777227722772</v>
      </c>
      <c r="H134">
        <v>-21.145742574257426</v>
      </c>
      <c r="I134">
        <v>-21.137821782178218</v>
      </c>
      <c r="J134">
        <v>-21.131101485148513</v>
      </c>
      <c r="K134">
        <v>-21.219220297029704</v>
      </c>
      <c r="L134">
        <v>-21.307339108910892</v>
      </c>
      <c r="M134">
        <v>-21.395457920792079</v>
      </c>
      <c r="N134">
        <v>-21.483576732673267</v>
      </c>
      <c r="O134">
        <v>-21.571695544554455</v>
      </c>
      <c r="P134">
        <v>-21.659814356435643</v>
      </c>
      <c r="Q134">
        <v>-21.74793316831683</v>
      </c>
      <c r="R134">
        <v>-21.836051980198018</v>
      </c>
      <c r="S134">
        <v>-21.924170792079206</v>
      </c>
      <c r="T134">
        <v>-22.012289603960397</v>
      </c>
      <c r="U134">
        <v>-22.088663366336633</v>
      </c>
      <c r="V134">
        <v>-22.16391089108911</v>
      </c>
      <c r="W134">
        <v>-22.236089108910893</v>
      </c>
      <c r="X134">
        <v>-22.303415841584158</v>
      </c>
      <c r="Y134">
        <v>-22.370742574257424</v>
      </c>
      <c r="Z134">
        <v>-22.448656716417908</v>
      </c>
      <c r="AA134">
        <v>-22.52825870646766</v>
      </c>
      <c r="AB134">
        <v>-22.611881188118812</v>
      </c>
      <c r="AC134">
        <v>-22.702970297029701</v>
      </c>
      <c r="AD134">
        <v>-22.794059405940594</v>
      </c>
      <c r="AE134">
        <v>-22.898217821782175</v>
      </c>
      <c r="AF134">
        <v>-23.005148514851484</v>
      </c>
      <c r="AG134">
        <v>-23.113267326732672</v>
      </c>
      <c r="AH134">
        <v>-23.224158415841583</v>
      </c>
      <c r="AI134">
        <v>-23.335049504950494</v>
      </c>
      <c r="AJ134">
        <v>-23.449009900990099</v>
      </c>
      <c r="AK134">
        <v>-23.563861386138612</v>
      </c>
      <c r="AL134">
        <v>-23.678712871287129</v>
      </c>
      <c r="AM134">
        <v>-23.793564356435642</v>
      </c>
      <c r="AN134">
        <v>-23.908415841584159</v>
      </c>
      <c r="AO134">
        <v>-24.020396039603959</v>
      </c>
      <c r="AP134">
        <v>-24.13128712871287</v>
      </c>
      <c r="AQ134">
        <v>-24.242970297029704</v>
      </c>
      <c r="AR134">
        <v>-24.357821782178217</v>
      </c>
      <c r="AS134">
        <v>-24.472673267326734</v>
      </c>
      <c r="AT134">
        <v>-24.584851485148516</v>
      </c>
      <c r="AU134">
        <v>-24.695742574257427</v>
      </c>
      <c r="AV134">
        <v>-24.806039603960397</v>
      </c>
      <c r="AW134">
        <v>-24.912970297029702</v>
      </c>
      <c r="AX134">
        <v>-25.019900990099007</v>
      </c>
      <c r="AY134">
        <v>-25.124436183395289</v>
      </c>
      <c r="AZ134">
        <v>-25.227534076827755</v>
      </c>
      <c r="BA134">
        <v>-25.330631970260221</v>
      </c>
      <c r="BB134">
        <v>-25.433729863692687</v>
      </c>
      <c r="BC134">
        <v>-25.536827757125156</v>
      </c>
      <c r="BD134">
        <v>-25.639925650557622</v>
      </c>
      <c r="BE134">
        <v>-25.743023543990088</v>
      </c>
      <c r="BF134">
        <v>-25.846121437422553</v>
      </c>
      <c r="BG134">
        <v>-25.949219330855019</v>
      </c>
      <c r="BH134">
        <v>-26.052317224287485</v>
      </c>
      <c r="BI134">
        <v>-26.155346534653464</v>
      </c>
      <c r="BJ134">
        <v>-26.258316831683167</v>
      </c>
      <c r="BK134">
        <v>-26.361336633663367</v>
      </c>
      <c r="BL134">
        <v>-26.468267326732672</v>
      </c>
      <c r="BM134">
        <v>-26.575198019801981</v>
      </c>
      <c r="BN134">
        <v>-26.680198019801978</v>
      </c>
      <c r="BO134">
        <v>-26.783168316831684</v>
      </c>
      <c r="BP134">
        <v>-26.886138613861387</v>
      </c>
      <c r="BQ134">
        <v>-26.98910891089109</v>
      </c>
      <c r="BR134">
        <v>-27.09207920792079</v>
      </c>
      <c r="BS134">
        <v>-27.193316831683166</v>
      </c>
      <c r="BT134">
        <v>-27.292326732673267</v>
      </c>
      <c r="BU134">
        <v>-27.391336633663364</v>
      </c>
      <c r="BV134">
        <v>-27.475891089108909</v>
      </c>
      <c r="BW134">
        <v>-27.559059405940594</v>
      </c>
      <c r="BX134">
        <v>-27.645472636815921</v>
      </c>
      <c r="BY134">
        <v>-27.737014925373135</v>
      </c>
      <c r="BZ134">
        <v>-27.828557213930349</v>
      </c>
      <c r="CA134">
        <v>-27.923168316831681</v>
      </c>
      <c r="CB134">
        <v>-28.018217821782176</v>
      </c>
      <c r="CC134">
        <v>-28.112574257425742</v>
      </c>
      <c r="CD134">
        <v>-28.205643564356432</v>
      </c>
      <c r="CE134">
        <v>-28.298712871287126</v>
      </c>
      <c r="CF134">
        <v>-28.39178217821782</v>
      </c>
      <c r="CG134">
        <v>-28.484851485148514</v>
      </c>
      <c r="CH134">
        <v>-28.577920792079208</v>
      </c>
      <c r="CI134">
        <v>-28.670990099009899</v>
      </c>
      <c r="CJ134">
        <v>-28.764059405940593</v>
      </c>
      <c r="CK134">
        <v>-28.857128712871287</v>
      </c>
      <c r="CL134">
        <v>-28.950198019801981</v>
      </c>
    </row>
    <row r="135" spans="1:94" ht="21.75" outlineLevel="1" thickBot="1" x14ac:dyDescent="0.4">
      <c r="A135" s="32" t="s">
        <v>64</v>
      </c>
      <c r="B135" s="64">
        <v>-61.312178217821781</v>
      </c>
      <c r="C135" s="64">
        <v>-60.136435643564354</v>
      </c>
      <c r="D135">
        <v>-59.075049504950492</v>
      </c>
      <c r="E135">
        <v>-58.02975247524752</v>
      </c>
      <c r="F135">
        <v>-57.22579207920792</v>
      </c>
      <c r="G135">
        <v>-56.421831683168314</v>
      </c>
      <c r="H135">
        <v>-55.739207920792076</v>
      </c>
      <c r="I135">
        <v>-55.160990099009894</v>
      </c>
      <c r="J135">
        <v>-54.586216584158414</v>
      </c>
      <c r="K135">
        <v>-54.283543316831683</v>
      </c>
      <c r="L135">
        <v>-53.980870049504944</v>
      </c>
      <c r="M135">
        <v>-53.678196782178212</v>
      </c>
      <c r="N135">
        <v>-53.37552351485148</v>
      </c>
      <c r="O135">
        <v>-53.072850247524748</v>
      </c>
      <c r="P135">
        <v>-52.770176980198016</v>
      </c>
      <c r="Q135">
        <v>-52.467503712871284</v>
      </c>
      <c r="R135">
        <v>-52.164830445544553</v>
      </c>
      <c r="S135">
        <v>-51.862157178217821</v>
      </c>
      <c r="T135">
        <v>-51.559483910891089</v>
      </c>
      <c r="U135">
        <v>-51.409767326732677</v>
      </c>
      <c r="V135">
        <v>-51.274717821782176</v>
      </c>
      <c r="W135">
        <v>-51.171589108910894</v>
      </c>
      <c r="X135">
        <v>-51.118915841584155</v>
      </c>
      <c r="Y135">
        <v>-51.066242574257423</v>
      </c>
      <c r="Z135">
        <v>-51.104313432835816</v>
      </c>
      <c r="AA135">
        <v>-51.156850746268653</v>
      </c>
      <c r="AB135">
        <v>-51.23812871287128</v>
      </c>
      <c r="AC135">
        <v>-51.372782178217818</v>
      </c>
      <c r="AD135">
        <v>-51.507435643564357</v>
      </c>
      <c r="AE135">
        <v>-51.696653465346536</v>
      </c>
      <c r="AF135">
        <v>-51.897445544554451</v>
      </c>
      <c r="AG135">
        <v>-52.105960396039599</v>
      </c>
      <c r="AH135">
        <v>-52.332495049504949</v>
      </c>
      <c r="AI135">
        <v>-52.5590297029703</v>
      </c>
      <c r="AJ135">
        <v>-52.798148514851484</v>
      </c>
      <c r="AK135">
        <v>-53.040920792079206</v>
      </c>
      <c r="AL135">
        <v>-53.284584158415839</v>
      </c>
      <c r="AM135">
        <v>-53.530920792079208</v>
      </c>
      <c r="AN135">
        <v>-53.777257425742569</v>
      </c>
      <c r="AO135">
        <v>-54.018999999999998</v>
      </c>
      <c r="AP135">
        <v>-54.259</v>
      </c>
      <c r="AQ135">
        <v>-54.500821782178221</v>
      </c>
      <c r="AR135">
        <v>-54.749930693069309</v>
      </c>
      <c r="AS135">
        <v>-54.999039603960398</v>
      </c>
      <c r="AT135">
        <v>-55.243871287128719</v>
      </c>
      <c r="AU135">
        <v>-55.486643564356434</v>
      </c>
      <c r="AV135">
        <v>-55.728762376237626</v>
      </c>
      <c r="AW135">
        <v>-55.967178217821782</v>
      </c>
      <c r="AX135">
        <v>-56.205594059405939</v>
      </c>
      <c r="AY135">
        <v>-56.44363692688971</v>
      </c>
      <c r="AZ135">
        <v>-56.681456009913255</v>
      </c>
      <c r="BA135">
        <v>-56.9192750929368</v>
      </c>
      <c r="BB135">
        <v>-57.157094175960346</v>
      </c>
      <c r="BC135">
        <v>-57.394913258983891</v>
      </c>
      <c r="BD135">
        <v>-57.632732342007436</v>
      </c>
      <c r="BE135">
        <v>-57.870551425030975</v>
      </c>
      <c r="BF135">
        <v>-58.10837050805452</v>
      </c>
      <c r="BG135">
        <v>-58.346189591078065</v>
      </c>
      <c r="BH135">
        <v>-58.584008674101611</v>
      </c>
      <c r="BI135">
        <v>-58.816613861386138</v>
      </c>
      <c r="BJ135">
        <v>-59.044732673267326</v>
      </c>
      <c r="BK135">
        <v>-59.2729504950495</v>
      </c>
      <c r="BL135">
        <v>-59.5089900990099</v>
      </c>
      <c r="BM135">
        <v>-59.745029702970292</v>
      </c>
      <c r="BN135">
        <v>-59.977014851485151</v>
      </c>
      <c r="BO135">
        <v>-60.204737623762377</v>
      </c>
      <c r="BP135">
        <v>-60.432460396039609</v>
      </c>
      <c r="BQ135">
        <v>-60.660945544554458</v>
      </c>
      <c r="BR135">
        <v>-60.889460396039603</v>
      </c>
      <c r="BS135">
        <v>-61.114163366336633</v>
      </c>
      <c r="BT135">
        <v>-61.333965346534647</v>
      </c>
      <c r="BU135">
        <v>-61.553767326732668</v>
      </c>
      <c r="BV135">
        <v>-61.739599009900985</v>
      </c>
      <c r="BW135">
        <v>-61.922173267326727</v>
      </c>
      <c r="BX135">
        <v>-62.111114427860699</v>
      </c>
      <c r="BY135">
        <v>-62.310119402985073</v>
      </c>
      <c r="BZ135">
        <v>-62.509124378109455</v>
      </c>
      <c r="CA135">
        <v>-62.714198019801977</v>
      </c>
      <c r="CB135">
        <v>-62.920138613861383</v>
      </c>
      <c r="CC135">
        <v>-63.125039603960388</v>
      </c>
      <c r="CD135">
        <v>-63.328009900990097</v>
      </c>
      <c r="CE135">
        <v>-63.530980198019797</v>
      </c>
      <c r="CF135">
        <v>-63.733950495049498</v>
      </c>
      <c r="CG135">
        <v>-63.936920792079206</v>
      </c>
      <c r="CH135">
        <v>-64.139891089108914</v>
      </c>
      <c r="CI135">
        <v>-64.342861386138608</v>
      </c>
      <c r="CJ135">
        <v>-64.545831683168316</v>
      </c>
      <c r="CK135">
        <v>-64.748801980198024</v>
      </c>
      <c r="CL135">
        <v>-64.951772277227718</v>
      </c>
    </row>
    <row r="136" spans="1:94" ht="21.75" outlineLevel="1" thickBot="1" x14ac:dyDescent="0.4">
      <c r="A136" s="32" t="s">
        <v>63</v>
      </c>
      <c r="B136" s="64">
        <v>-193.78064356435644</v>
      </c>
      <c r="C136" s="64">
        <v>-189.25341584158417</v>
      </c>
      <c r="D136">
        <v>-185.00391089108911</v>
      </c>
      <c r="E136">
        <v>-180.78856435643561</v>
      </c>
      <c r="F136">
        <v>-177.08559405940593</v>
      </c>
      <c r="G136">
        <v>-173.38262376237623</v>
      </c>
      <c r="H136">
        <v>-169.91594059405938</v>
      </c>
      <c r="I136">
        <v>-166.65257425742573</v>
      </c>
      <c r="J136">
        <v>-163.39899752475247</v>
      </c>
      <c r="K136">
        <v>-160.9187995049505</v>
      </c>
      <c r="L136">
        <v>-158.43860148514852</v>
      </c>
      <c r="M136">
        <v>-155.95840346534652</v>
      </c>
      <c r="N136">
        <v>-153.47820544554455</v>
      </c>
      <c r="O136">
        <v>-150.99800742574257</v>
      </c>
      <c r="P136">
        <v>-148.5178094059406</v>
      </c>
      <c r="Q136">
        <v>-146.03761138613862</v>
      </c>
      <c r="R136">
        <v>-143.55741336633662</v>
      </c>
      <c r="S136">
        <v>-141.07721534653464</v>
      </c>
      <c r="T136">
        <v>-138.59701732673267</v>
      </c>
      <c r="U136">
        <v>-136.66341584158414</v>
      </c>
      <c r="V136">
        <v>-134.78222772277226</v>
      </c>
      <c r="W136">
        <v>-132.96856435643562</v>
      </c>
      <c r="X136">
        <v>-131.26163366336633</v>
      </c>
      <c r="Y136">
        <v>-129.55470297029703</v>
      </c>
      <c r="Z136">
        <v>-127.98119402985074</v>
      </c>
      <c r="AA136">
        <v>-126.42895522388059</v>
      </c>
      <c r="AB136">
        <v>-124.9168316831683</v>
      </c>
      <c r="AC136">
        <v>-123.47920792079206</v>
      </c>
      <c r="AD136">
        <v>-122.04158415841583</v>
      </c>
      <c r="AE136">
        <v>-120.70851485148513</v>
      </c>
      <c r="AF136">
        <v>-119.39762376237623</v>
      </c>
      <c r="AG136">
        <v>-118.11405940594059</v>
      </c>
      <c r="AH136">
        <v>-116.89425742574257</v>
      </c>
      <c r="AI136">
        <v>-115.67445544554455</v>
      </c>
      <c r="AJ136">
        <v>-114.53138613861385</v>
      </c>
      <c r="AK136">
        <v>-113.41059405940594</v>
      </c>
      <c r="AL136">
        <v>-112.30960396039603</v>
      </c>
      <c r="AM136">
        <v>-111.2680198019802</v>
      </c>
      <c r="AN136">
        <v>-110.22643564356436</v>
      </c>
      <c r="AO136">
        <v>-109.2279207920792</v>
      </c>
      <c r="AP136">
        <v>-108.24574257425742</v>
      </c>
      <c r="AQ136">
        <v>-107.28019801980197</v>
      </c>
      <c r="AR136">
        <v>-106.38118811881188</v>
      </c>
      <c r="AS136">
        <v>-105.48217821782178</v>
      </c>
      <c r="AT136">
        <v>-104.62861386138614</v>
      </c>
      <c r="AU136">
        <v>-103.7969306930693</v>
      </c>
      <c r="AV136">
        <v>-102.97772277227723</v>
      </c>
      <c r="AW136">
        <v>-102.22920792079208</v>
      </c>
      <c r="AX136">
        <v>-101.48069306930692</v>
      </c>
      <c r="AY136">
        <v>-100.99591078066913</v>
      </c>
      <c r="AZ136">
        <v>-100.66936802973977</v>
      </c>
      <c r="BA136">
        <v>-100.34282527881041</v>
      </c>
      <c r="BB136">
        <v>-100.01628252788103</v>
      </c>
      <c r="BC136">
        <v>-99.689739776951669</v>
      </c>
      <c r="BD136">
        <v>-99.363197026022306</v>
      </c>
      <c r="BE136">
        <v>-99.036654275092943</v>
      </c>
      <c r="BF136">
        <v>-98.710111524163565</v>
      </c>
      <c r="BG136">
        <v>-98.383568773234202</v>
      </c>
      <c r="BH136">
        <v>-98.057026022304839</v>
      </c>
      <c r="BI136">
        <v>-97.863</v>
      </c>
      <c r="BJ136">
        <v>-97.783000000000001</v>
      </c>
      <c r="BK136">
        <v>-97.703514851485139</v>
      </c>
      <c r="BL136">
        <v>-97.664702970297029</v>
      </c>
      <c r="BM136">
        <v>-97.625891089108904</v>
      </c>
      <c r="BN136">
        <v>-97.594801980198014</v>
      </c>
      <c r="BO136">
        <v>-97.571831683168313</v>
      </c>
      <c r="BP136">
        <v>-97.548861386138611</v>
      </c>
      <c r="BQ136">
        <v>-97.548762376237619</v>
      </c>
      <c r="BR136">
        <v>-97.549554455445531</v>
      </c>
      <c r="BS136">
        <v>-97.560396039603944</v>
      </c>
      <c r="BT136">
        <v>-97.584158415841571</v>
      </c>
      <c r="BU136">
        <v>-97.607920792079199</v>
      </c>
      <c r="BV136">
        <v>-97.887544554455431</v>
      </c>
      <c r="BW136">
        <v>-98.19170297029703</v>
      </c>
      <c r="BX136">
        <v>-98.506318407960194</v>
      </c>
      <c r="BY136">
        <v>-98.837462686567164</v>
      </c>
      <c r="BZ136">
        <v>-99.168606965174121</v>
      </c>
      <c r="CA136">
        <v>-99.508019801980197</v>
      </c>
      <c r="CB136">
        <v>-99.848613861386127</v>
      </c>
      <c r="CC136">
        <v>-100.18657425742573</v>
      </c>
      <c r="CD136">
        <v>-100.51964356435643</v>
      </c>
      <c r="CE136">
        <v>-100.85271287128712</v>
      </c>
      <c r="CF136">
        <v>-101.18578217821782</v>
      </c>
      <c r="CG136">
        <v>-101.5188514851485</v>
      </c>
      <c r="CH136">
        <v>-101.8519207920792</v>
      </c>
      <c r="CI136">
        <v>-102.18499009900989</v>
      </c>
      <c r="CJ136">
        <v>-102.51805940594059</v>
      </c>
      <c r="CK136">
        <v>-102.85112871287129</v>
      </c>
      <c r="CL136">
        <v>-103.18419801980198</v>
      </c>
    </row>
    <row r="137" spans="1:94" ht="21.75" outlineLevel="1" thickBot="1" x14ac:dyDescent="0.4">
      <c r="A137" s="32" t="s">
        <v>71</v>
      </c>
      <c r="B137" s="64">
        <v>-148.71876237623763</v>
      </c>
      <c r="C137" s="64">
        <v>-144.97034653465346</v>
      </c>
      <c r="D137">
        <v>-141.36242574257426</v>
      </c>
      <c r="E137">
        <v>-137.76688118811879</v>
      </c>
      <c r="F137">
        <v>-134.35698019801978</v>
      </c>
      <c r="G137">
        <v>-130.94707920792078</v>
      </c>
      <c r="H137">
        <v>-127.62445544554456</v>
      </c>
      <c r="I137">
        <v>-124.3769306930693</v>
      </c>
      <c r="J137">
        <v>-121.13679455445543</v>
      </c>
      <c r="K137">
        <v>-118.48035891089108</v>
      </c>
      <c r="L137">
        <v>-115.82392326732672</v>
      </c>
      <c r="M137">
        <v>-113.16748762376237</v>
      </c>
      <c r="N137">
        <v>-110.511051980198</v>
      </c>
      <c r="O137">
        <v>-107.85461633663365</v>
      </c>
      <c r="P137">
        <v>-105.19818069306929</v>
      </c>
      <c r="Q137">
        <v>-102.54174504950494</v>
      </c>
      <c r="R137">
        <v>-99.885309405940575</v>
      </c>
      <c r="S137">
        <v>-97.228873762376224</v>
      </c>
      <c r="T137">
        <v>-94.57243811881186</v>
      </c>
      <c r="U137">
        <v>-92.486089108910889</v>
      </c>
      <c r="V137">
        <v>-90.454405940594057</v>
      </c>
      <c r="W137">
        <v>-88.496386138613872</v>
      </c>
      <c r="X137">
        <v>-86.65480198019803</v>
      </c>
      <c r="Y137">
        <v>-84.813217821782189</v>
      </c>
      <c r="Z137">
        <v>-83.083880597014925</v>
      </c>
      <c r="AA137">
        <v>-81.372437810945272</v>
      </c>
      <c r="AB137">
        <v>-79.693069306930681</v>
      </c>
      <c r="AC137">
        <v>-78.073267326732662</v>
      </c>
      <c r="AD137">
        <v>-76.453465346534657</v>
      </c>
      <c r="AE137">
        <v>-74.912079207920783</v>
      </c>
      <c r="AF137">
        <v>-73.387326732673259</v>
      </c>
      <c r="AG137">
        <v>-71.887524752475244</v>
      </c>
      <c r="AH137">
        <v>-70.445940594059408</v>
      </c>
      <c r="AI137">
        <v>-69.004356435643558</v>
      </c>
      <c r="AJ137">
        <v>-67.633366336633657</v>
      </c>
      <c r="AK137">
        <v>-66.282871287128714</v>
      </c>
      <c r="AL137">
        <v>-64.952178217821782</v>
      </c>
      <c r="AM137">
        <v>-63.680891089108911</v>
      </c>
      <c r="AN137">
        <v>-62.409603960396048</v>
      </c>
      <c r="AO137">
        <v>-61.187128712871292</v>
      </c>
      <c r="AP137">
        <v>-59.98316831683168</v>
      </c>
      <c r="AQ137">
        <v>-58.794257425742565</v>
      </c>
      <c r="AR137">
        <v>-57.665544554455444</v>
      </c>
      <c r="AS137">
        <v>-56.536831683168323</v>
      </c>
      <c r="AT137">
        <v>-55.458910891089111</v>
      </c>
      <c r="AU137">
        <v>-54.405445544554453</v>
      </c>
      <c r="AV137">
        <v>-53.365643564356425</v>
      </c>
      <c r="AW137">
        <v>-52.403267326732667</v>
      </c>
      <c r="AX137">
        <v>-51.440891089108909</v>
      </c>
      <c r="AY137">
        <v>-50.747038413878563</v>
      </c>
      <c r="AZ137">
        <v>-50.214299876084262</v>
      </c>
      <c r="BA137">
        <v>-49.68156133828996</v>
      </c>
      <c r="BB137">
        <v>-49.148822800495665</v>
      </c>
      <c r="BC137">
        <v>-48.616084262701364</v>
      </c>
      <c r="BD137">
        <v>-48.083345724907062</v>
      </c>
      <c r="BE137">
        <v>-47.550607187112767</v>
      </c>
      <c r="BF137">
        <v>-47.017868649318466</v>
      </c>
      <c r="BG137">
        <v>-46.485130111524171</v>
      </c>
      <c r="BH137">
        <v>-45.952391573729869</v>
      </c>
      <c r="BI137">
        <v>-45.552306930693071</v>
      </c>
      <c r="BJ137">
        <v>-45.266366336633659</v>
      </c>
      <c r="BK137">
        <v>-44.980841584158412</v>
      </c>
      <c r="BL137">
        <v>-44.728168316831685</v>
      </c>
      <c r="BM137">
        <v>-44.47549504950495</v>
      </c>
      <c r="BN137">
        <v>-44.234405940594065</v>
      </c>
      <c r="BO137">
        <v>-44.005495049504951</v>
      </c>
      <c r="BP137">
        <v>-43.776584158415844</v>
      </c>
      <c r="BQ137">
        <v>-43.570544554455445</v>
      </c>
      <c r="BR137">
        <v>-43.365396039603958</v>
      </c>
      <c r="BS137">
        <v>-43.173762376237626</v>
      </c>
      <c r="BT137">
        <v>-42.999504950495052</v>
      </c>
      <c r="BU137">
        <v>-42.825247524752477</v>
      </c>
      <c r="BV137">
        <v>-42.935762376237626</v>
      </c>
      <c r="BW137">
        <v>-43.073584158415841</v>
      </c>
      <c r="BX137">
        <v>-43.21537313432836</v>
      </c>
      <c r="BY137">
        <v>-43.363432835820895</v>
      </c>
      <c r="BZ137">
        <v>-43.511492537313437</v>
      </c>
      <c r="CA137">
        <v>-43.661683168316834</v>
      </c>
      <c r="CB137">
        <v>-43.812178217821781</v>
      </c>
      <c r="CC137">
        <v>-43.961425742574257</v>
      </c>
      <c r="CD137">
        <v>-44.108356435643557</v>
      </c>
      <c r="CE137">
        <v>-44.255287128712865</v>
      </c>
      <c r="CF137">
        <v>-44.402217821782173</v>
      </c>
      <c r="CG137">
        <v>-44.549148514851481</v>
      </c>
      <c r="CH137">
        <v>-44.696079207920789</v>
      </c>
      <c r="CI137">
        <v>-44.843009900990097</v>
      </c>
      <c r="CJ137">
        <v>-44.989940594059405</v>
      </c>
      <c r="CK137">
        <v>-45.136871287128713</v>
      </c>
      <c r="CL137">
        <v>-45.283801980198021</v>
      </c>
    </row>
    <row r="138" spans="1:94" ht="21.75" outlineLevel="1" thickBot="1" x14ac:dyDescent="0.4">
      <c r="A138" s="32" t="s">
        <v>4</v>
      </c>
      <c r="B138" s="64">
        <v>-63.093910891089116</v>
      </c>
      <c r="C138" s="64">
        <v>-61.414405940594065</v>
      </c>
      <c r="D138">
        <v>-59.770841584158418</v>
      </c>
      <c r="E138">
        <v>-58.128019801980194</v>
      </c>
      <c r="F138">
        <v>-56.496336633663361</v>
      </c>
      <c r="G138">
        <v>-54.864653465346535</v>
      </c>
      <c r="H138">
        <v>-53.239356435643565</v>
      </c>
      <c r="I138">
        <v>-51.619554455445545</v>
      </c>
      <c r="J138">
        <v>-50.002846534653465</v>
      </c>
      <c r="K138">
        <v>-48.630569306930688</v>
      </c>
      <c r="L138">
        <v>-47.258292079207919</v>
      </c>
      <c r="M138">
        <v>-45.886014851485143</v>
      </c>
      <c r="N138">
        <v>-44.513737623762374</v>
      </c>
      <c r="O138">
        <v>-43.141460396039598</v>
      </c>
      <c r="P138">
        <v>-41.769183168316829</v>
      </c>
      <c r="Q138">
        <v>-40.396905940594053</v>
      </c>
      <c r="R138">
        <v>-39.024628712871284</v>
      </c>
      <c r="S138">
        <v>-37.652351485148507</v>
      </c>
      <c r="T138">
        <v>-36.280074257425738</v>
      </c>
      <c r="U138">
        <v>-35.198712871287121</v>
      </c>
      <c r="V138">
        <v>-34.14524752475247</v>
      </c>
      <c r="W138">
        <v>-33.130148514851484</v>
      </c>
      <c r="X138">
        <v>-32.175693069306931</v>
      </c>
      <c r="Y138">
        <v>-31.221237623762377</v>
      </c>
      <c r="Z138">
        <v>-30.317611940298509</v>
      </c>
      <c r="AA138">
        <v>-29.422089552238806</v>
      </c>
      <c r="AB138">
        <v>-28.54059405940594</v>
      </c>
      <c r="AC138">
        <v>-27.685148514851484</v>
      </c>
      <c r="AD138">
        <v>-26.829702970297028</v>
      </c>
      <c r="AE138">
        <v>-26.006930693069307</v>
      </c>
      <c r="AF138">
        <v>-25.191089108910894</v>
      </c>
      <c r="AG138">
        <v>-24.387128712871288</v>
      </c>
      <c r="AH138">
        <v>-23.610891089108911</v>
      </c>
      <c r="AI138">
        <v>-22.834653465346531</v>
      </c>
      <c r="AJ138">
        <v>-22.092178217821779</v>
      </c>
      <c r="AK138">
        <v>-21.359504950495047</v>
      </c>
      <c r="AL138">
        <v>-20.636732673267325</v>
      </c>
      <c r="AM138">
        <v>-19.943663366336633</v>
      </c>
      <c r="AN138">
        <v>-19.250594059405941</v>
      </c>
      <c r="AO138">
        <v>-18.583366336633663</v>
      </c>
      <c r="AP138">
        <v>-17.925940594059405</v>
      </c>
      <c r="AQ138">
        <v>-17.275643564356432</v>
      </c>
      <c r="AR138">
        <v>-16.653861386138612</v>
      </c>
      <c r="AS138">
        <v>-16.032079207920795</v>
      </c>
      <c r="AT138">
        <v>-15.437029702970298</v>
      </c>
      <c r="AU138">
        <v>-14.854851485148513</v>
      </c>
      <c r="AV138">
        <v>-14.279801980198016</v>
      </c>
      <c r="AW138">
        <v>-13.745148514851483</v>
      </c>
      <c r="AX138">
        <v>-13.210495049504949</v>
      </c>
      <c r="AY138">
        <v>-12.811301115241635</v>
      </c>
      <c r="AZ138">
        <v>-12.493382899628253</v>
      </c>
      <c r="BA138">
        <v>-12.175464684014869</v>
      </c>
      <c r="BB138">
        <v>-11.857546468401488</v>
      </c>
      <c r="BC138">
        <v>-11.539628252788106</v>
      </c>
      <c r="BD138">
        <v>-11.221710037174722</v>
      </c>
      <c r="BE138">
        <v>-10.90379182156134</v>
      </c>
      <c r="BF138">
        <v>-10.585873605947958</v>
      </c>
      <c r="BG138">
        <v>-10.267955390334574</v>
      </c>
      <c r="BH138">
        <v>-9.9500371747211922</v>
      </c>
      <c r="BI138">
        <v>-9.6984801980198032</v>
      </c>
      <c r="BJ138">
        <v>-9.5040247524752477</v>
      </c>
      <c r="BK138">
        <v>-9.3097524752475245</v>
      </c>
      <c r="BL138">
        <v>-9.1299504950495045</v>
      </c>
      <c r="BM138">
        <v>-8.9501485148514863</v>
      </c>
      <c r="BN138">
        <v>-8.7771039603960403</v>
      </c>
      <c r="BO138">
        <v>-8.6111633663366334</v>
      </c>
      <c r="BP138">
        <v>-8.4452227722772264</v>
      </c>
      <c r="BQ138">
        <v>-8.2907178217821773</v>
      </c>
      <c r="BR138">
        <v>-8.136658415841584</v>
      </c>
      <c r="BS138">
        <v>-7.9902227722772281</v>
      </c>
      <c r="BT138">
        <v>-7.8535891089108922</v>
      </c>
      <c r="BU138">
        <v>-7.7169554455445555</v>
      </c>
      <c r="BV138">
        <v>-7.7299356435643567</v>
      </c>
      <c r="BW138">
        <v>-7.757262376237624</v>
      </c>
      <c r="BX138">
        <v>-7.7849502487562185</v>
      </c>
      <c r="BY138">
        <v>-7.8132089552238808</v>
      </c>
      <c r="BZ138">
        <v>-7.8414676616915422</v>
      </c>
      <c r="CA138">
        <v>-7.8692574257425738</v>
      </c>
      <c r="CB138">
        <v>-7.8969801980198016</v>
      </c>
      <c r="CC138">
        <v>-7.9244257425742575</v>
      </c>
      <c r="CD138">
        <v>-7.9513564356435644</v>
      </c>
      <c r="CE138">
        <v>-7.9782871287128714</v>
      </c>
      <c r="CF138">
        <v>-8.0052178217821783</v>
      </c>
      <c r="CG138">
        <v>-8.0321485148514853</v>
      </c>
      <c r="CH138">
        <v>-8.0590792079207922</v>
      </c>
      <c r="CI138">
        <v>-8.0860099009900992</v>
      </c>
      <c r="CJ138">
        <v>-8.1129405940594062</v>
      </c>
      <c r="CK138">
        <v>-8.1398712871287131</v>
      </c>
      <c r="CL138">
        <v>-8.1668019801980201</v>
      </c>
    </row>
    <row r="139" spans="1:94" ht="21.75" outlineLevel="1" thickBot="1" x14ac:dyDescent="0.4">
      <c r="A139" s="32" t="s">
        <v>1</v>
      </c>
      <c r="B139" s="64">
        <v>-18.701633663366337</v>
      </c>
      <c r="C139" s="64">
        <v>-18.7</v>
      </c>
      <c r="D139">
        <v>-18.7</v>
      </c>
      <c r="E139">
        <v>-18.7</v>
      </c>
      <c r="F139">
        <v>-18.7</v>
      </c>
      <c r="G139">
        <v>-18.7</v>
      </c>
      <c r="H139">
        <v>-18.704257425742572</v>
      </c>
      <c r="I139">
        <v>-18.71217821782178</v>
      </c>
      <c r="J139">
        <v>-18.72013613861386</v>
      </c>
      <c r="K139">
        <v>-18.73102722772277</v>
      </c>
      <c r="L139">
        <v>-18.741918316831683</v>
      </c>
      <c r="M139">
        <v>-18.752809405940592</v>
      </c>
      <c r="N139">
        <v>-18.763700495049502</v>
      </c>
      <c r="O139">
        <v>-18.774591584158415</v>
      </c>
      <c r="P139">
        <v>-18.785482673267325</v>
      </c>
      <c r="Q139">
        <v>-18.796373762376238</v>
      </c>
      <c r="R139">
        <v>-18.807264851485147</v>
      </c>
      <c r="S139">
        <v>-18.818155940594057</v>
      </c>
      <c r="T139">
        <v>-18.82904702970297</v>
      </c>
      <c r="U139">
        <v>-18.844455445544554</v>
      </c>
      <c r="V139">
        <v>-18.86029702970297</v>
      </c>
      <c r="W139">
        <v>-18.87460396039604</v>
      </c>
      <c r="X139">
        <v>-18.886485148514851</v>
      </c>
      <c r="Y139">
        <v>-18.898366336633661</v>
      </c>
      <c r="Z139">
        <v>-18.913731343283583</v>
      </c>
      <c r="AA139">
        <v>-18.929651741293533</v>
      </c>
      <c r="AB139">
        <v>-18.945544554455445</v>
      </c>
      <c r="AC139">
        <v>-18.961386138613861</v>
      </c>
      <c r="AD139">
        <v>-18.977227722772277</v>
      </c>
      <c r="AE139">
        <v>-18.993069306930693</v>
      </c>
      <c r="AF139">
        <v>-19.008910891089108</v>
      </c>
      <c r="AG139">
        <v>-19.024752475247524</v>
      </c>
      <c r="AH139">
        <v>-19.04059405940594</v>
      </c>
      <c r="AI139">
        <v>-19.056435643564356</v>
      </c>
      <c r="AJ139">
        <v>-19.072277227722772</v>
      </c>
      <c r="AK139">
        <v>-19.088118811881188</v>
      </c>
      <c r="AL139">
        <v>-19.103960396039604</v>
      </c>
      <c r="AM139">
        <v>-19.119801980198019</v>
      </c>
      <c r="AN139">
        <v>-19.135643564356435</v>
      </c>
      <c r="AO139">
        <v>-19.151485148514851</v>
      </c>
      <c r="AP139">
        <v>-19.167326732673267</v>
      </c>
      <c r="AQ139">
        <v>-19.183960396039605</v>
      </c>
      <c r="AR139">
        <v>-19.203762376237623</v>
      </c>
      <c r="AS139">
        <v>-19.223564356435645</v>
      </c>
      <c r="AT139">
        <v>-19.240693069306932</v>
      </c>
      <c r="AU139">
        <v>-19.256534653465348</v>
      </c>
      <c r="AV139">
        <v>-19.271782178217823</v>
      </c>
      <c r="AW139">
        <v>-19.283663366336633</v>
      </c>
      <c r="AX139">
        <v>-19.295544554455446</v>
      </c>
      <c r="AY139">
        <v>-19.308054522924412</v>
      </c>
      <c r="AZ139">
        <v>-19.320941759603471</v>
      </c>
      <c r="BA139">
        <v>-19.333828996282527</v>
      </c>
      <c r="BB139">
        <v>-19.346716232961587</v>
      </c>
      <c r="BC139">
        <v>-19.359603469640646</v>
      </c>
      <c r="BD139">
        <v>-19.372490706319702</v>
      </c>
      <c r="BE139">
        <v>-19.385377942998762</v>
      </c>
      <c r="BF139">
        <v>-19.398265179677818</v>
      </c>
      <c r="BG139">
        <v>-19.411152416356877</v>
      </c>
      <c r="BH139">
        <v>-19.424039653035937</v>
      </c>
      <c r="BI139">
        <v>-19.438514851485149</v>
      </c>
      <c r="BJ139">
        <v>-19.454356435643565</v>
      </c>
      <c r="BK139">
        <v>-19.47019801980198</v>
      </c>
      <c r="BL139">
        <v>-19.486039603960396</v>
      </c>
      <c r="BM139">
        <v>-19.501881188118812</v>
      </c>
      <c r="BN139">
        <v>-19.517722772277228</v>
      </c>
      <c r="BO139">
        <v>-19.533564356435644</v>
      </c>
      <c r="BP139">
        <v>-19.54940594059406</v>
      </c>
      <c r="BQ139">
        <v>-19.565247524752476</v>
      </c>
      <c r="BR139">
        <v>-19.581089108910891</v>
      </c>
      <c r="BS139">
        <v>-19.59519801980198</v>
      </c>
      <c r="BT139">
        <v>-19.607079207920794</v>
      </c>
      <c r="BU139">
        <v>-19.618960396039604</v>
      </c>
      <c r="BV139">
        <v>-19.634455445544557</v>
      </c>
      <c r="BW139">
        <v>-19.650297029702969</v>
      </c>
      <c r="BX139">
        <v>-19.666169154228857</v>
      </c>
      <c r="BY139">
        <v>-19.682089552238807</v>
      </c>
      <c r="BZ139">
        <v>-19.698009950248757</v>
      </c>
      <c r="CA139">
        <v>-19.713861386138614</v>
      </c>
      <c r="CB139">
        <v>-19.72970297029703</v>
      </c>
      <c r="CC139">
        <v>-19.744851485148512</v>
      </c>
      <c r="CD139">
        <v>-19.758712871287127</v>
      </c>
      <c r="CE139">
        <v>-19.772574257425742</v>
      </c>
      <c r="CF139">
        <v>-19.786435643564356</v>
      </c>
      <c r="CG139">
        <v>-19.800297029702968</v>
      </c>
      <c r="CH139">
        <v>-19.814158415841582</v>
      </c>
      <c r="CI139">
        <v>-19.828019801980197</v>
      </c>
      <c r="CJ139">
        <v>-19.841881188118812</v>
      </c>
      <c r="CK139">
        <v>-19.855742574257423</v>
      </c>
      <c r="CL139">
        <v>-19.869603960396038</v>
      </c>
    </row>
    <row r="140" spans="1:94" ht="21.75" outlineLevel="1" thickBot="1" x14ac:dyDescent="0.4">
      <c r="A140" s="32" t="s">
        <v>85</v>
      </c>
      <c r="B140" s="64">
        <v>-61.312178217821781</v>
      </c>
      <c r="C140" s="64">
        <v>-60.136435643564354</v>
      </c>
      <c r="D140">
        <v>-59.075049504950492</v>
      </c>
      <c r="E140">
        <v>-58.02975247524752</v>
      </c>
      <c r="F140">
        <v>-57.22579207920792</v>
      </c>
      <c r="G140">
        <v>-56.421831683168314</v>
      </c>
      <c r="H140">
        <v>-55.739207920792076</v>
      </c>
      <c r="I140">
        <v>-55.160990099009894</v>
      </c>
      <c r="J140">
        <v>-54.586216584158414</v>
      </c>
      <c r="K140">
        <v>-54.283543316831683</v>
      </c>
      <c r="L140">
        <v>-53.980870049504944</v>
      </c>
      <c r="M140">
        <v>-53.678196782178212</v>
      </c>
      <c r="N140">
        <v>-53.37552351485148</v>
      </c>
      <c r="O140">
        <v>-53.072850247524748</v>
      </c>
      <c r="P140">
        <v>-52.770176980198016</v>
      </c>
      <c r="Q140">
        <v>-52.467503712871284</v>
      </c>
      <c r="R140">
        <v>-52.164830445544553</v>
      </c>
      <c r="S140">
        <v>-51.862157178217821</v>
      </c>
      <c r="T140">
        <v>-51.559483910891089</v>
      </c>
      <c r="U140">
        <v>-51.409767326732677</v>
      </c>
      <c r="V140">
        <v>-51.274717821782176</v>
      </c>
      <c r="W140">
        <v>-51.171589108910894</v>
      </c>
      <c r="X140">
        <v>-51.118915841584155</v>
      </c>
      <c r="Y140">
        <v>-51.066242574257423</v>
      </c>
      <c r="Z140">
        <v>-51.104313432835816</v>
      </c>
      <c r="AA140">
        <v>-51.156850746268653</v>
      </c>
      <c r="AB140">
        <v>-51.23812871287128</v>
      </c>
      <c r="AC140">
        <v>-51.372782178217818</v>
      </c>
      <c r="AD140">
        <v>-51.507435643564357</v>
      </c>
      <c r="AE140">
        <v>-51.696653465346536</v>
      </c>
      <c r="AF140">
        <v>-51.897445544554451</v>
      </c>
      <c r="AG140">
        <v>-52.105960396039599</v>
      </c>
      <c r="AH140">
        <v>-52.332495049504949</v>
      </c>
      <c r="AI140">
        <v>-52.5590297029703</v>
      </c>
      <c r="AJ140">
        <v>-52.798148514851484</v>
      </c>
      <c r="AK140">
        <v>-53.040920792079206</v>
      </c>
      <c r="AL140">
        <v>-53.284584158415839</v>
      </c>
      <c r="AM140">
        <v>-53.530920792079208</v>
      </c>
      <c r="AN140">
        <v>-53.777257425742569</v>
      </c>
      <c r="AO140">
        <v>-54.018999999999998</v>
      </c>
      <c r="AP140">
        <v>-54.259</v>
      </c>
      <c r="AQ140">
        <v>-54.500821782178221</v>
      </c>
      <c r="AR140">
        <v>-54.749930693069309</v>
      </c>
      <c r="AS140">
        <v>-54.999039603960398</v>
      </c>
      <c r="AT140">
        <v>-55.243871287128719</v>
      </c>
      <c r="AU140">
        <v>-55.486643564356434</v>
      </c>
      <c r="AV140">
        <v>-55.728762376237626</v>
      </c>
      <c r="AW140">
        <v>-55.967178217821782</v>
      </c>
      <c r="AX140">
        <v>-56.205594059405939</v>
      </c>
      <c r="AY140">
        <v>-56.44363692688971</v>
      </c>
      <c r="AZ140">
        <v>-56.681456009913255</v>
      </c>
      <c r="BA140">
        <v>-56.9192750929368</v>
      </c>
      <c r="BB140">
        <v>-57.157094175960346</v>
      </c>
      <c r="BC140">
        <v>-57.394913258983891</v>
      </c>
      <c r="BD140">
        <v>-57.632732342007436</v>
      </c>
      <c r="BE140">
        <v>-57.870551425030975</v>
      </c>
      <c r="BF140">
        <v>-58.10837050805452</v>
      </c>
      <c r="BG140">
        <v>-58.346189591078065</v>
      </c>
      <c r="BH140">
        <v>-58.584008674101611</v>
      </c>
      <c r="BI140">
        <v>-58.816613861386138</v>
      </c>
      <c r="BJ140">
        <v>-59.044732673267326</v>
      </c>
      <c r="BK140">
        <v>-59.2729504950495</v>
      </c>
      <c r="BL140">
        <v>-59.5089900990099</v>
      </c>
      <c r="BM140">
        <v>-59.745029702970292</v>
      </c>
      <c r="BN140">
        <v>-59.977014851485151</v>
      </c>
      <c r="BO140">
        <v>-60.204737623762377</v>
      </c>
      <c r="BP140">
        <v>-60.432460396039609</v>
      </c>
      <c r="BQ140">
        <v>-60.660945544554458</v>
      </c>
      <c r="BR140">
        <v>-60.889460396039603</v>
      </c>
      <c r="BS140">
        <v>-61.114163366336633</v>
      </c>
      <c r="BT140">
        <v>-61.333965346534647</v>
      </c>
      <c r="BU140">
        <v>-61.553767326732668</v>
      </c>
      <c r="BV140">
        <v>-61.739599009900985</v>
      </c>
      <c r="BW140">
        <v>-61.922173267326727</v>
      </c>
      <c r="BX140">
        <v>-62.111114427860699</v>
      </c>
      <c r="BY140">
        <v>-62.310119402985073</v>
      </c>
      <c r="BZ140">
        <v>-62.509124378109455</v>
      </c>
      <c r="CA140">
        <v>-62.714198019801977</v>
      </c>
      <c r="CB140">
        <v>-62.920138613861383</v>
      </c>
      <c r="CC140">
        <v>-63.125039603960388</v>
      </c>
      <c r="CD140">
        <v>-63.328009900990097</v>
      </c>
      <c r="CE140">
        <v>-63.530980198019797</v>
      </c>
      <c r="CF140">
        <v>-63.733950495049498</v>
      </c>
      <c r="CG140">
        <v>-63.936920792079206</v>
      </c>
      <c r="CH140">
        <v>-64.139891089108914</v>
      </c>
      <c r="CI140">
        <v>-64.342861386138608</v>
      </c>
      <c r="CJ140">
        <v>-64.545831683168316</v>
      </c>
      <c r="CK140">
        <v>-64.748801980198024</v>
      </c>
      <c r="CL140">
        <v>-64.951772277227718</v>
      </c>
    </row>
    <row r="141" spans="1:94" ht="21.75" outlineLevel="1" thickBot="1" x14ac:dyDescent="0.4">
      <c r="A141" s="32" t="s">
        <v>86</v>
      </c>
      <c r="B141" s="64">
        <v>-38.781237623762379</v>
      </c>
      <c r="C141" s="64">
        <v>-37.994900990099012</v>
      </c>
      <c r="D141">
        <v>-37.254306930693069</v>
      </c>
      <c r="E141">
        <v>-36.518910891089114</v>
      </c>
      <c r="F141">
        <v>-35.861485148514852</v>
      </c>
      <c r="G141">
        <v>-35.20405940594059</v>
      </c>
      <c r="H141">
        <v>-34.59346534653465</v>
      </c>
      <c r="I141">
        <v>-34.023168316831679</v>
      </c>
      <c r="J141">
        <v>-33.455115099009902</v>
      </c>
      <c r="K141">
        <v>-33.064323019801982</v>
      </c>
      <c r="L141">
        <v>-32.673530940594055</v>
      </c>
      <c r="M141">
        <v>-32.282738861386136</v>
      </c>
      <c r="N141">
        <v>-31.891946782178216</v>
      </c>
      <c r="O141">
        <v>-31.501154702970297</v>
      </c>
      <c r="P141">
        <v>-31.110362623762374</v>
      </c>
      <c r="Q141">
        <v>-30.719570544554454</v>
      </c>
      <c r="R141">
        <v>-30.328778465346531</v>
      </c>
      <c r="S141">
        <v>-29.937986386138611</v>
      </c>
      <c r="T141">
        <v>-29.547194306930692</v>
      </c>
      <c r="U141">
        <v>-29.321103960396037</v>
      </c>
      <c r="V141">
        <v>-29.110806930693069</v>
      </c>
      <c r="W141">
        <v>-28.935499999999998</v>
      </c>
      <c r="X141">
        <v>-28.8155</v>
      </c>
      <c r="Y141">
        <v>-28.695499999999999</v>
      </c>
      <c r="Z141">
        <v>-28.655656716417909</v>
      </c>
      <c r="AA141">
        <v>-28.628592039800992</v>
      </c>
      <c r="AB141">
        <v>-28.626247524752472</v>
      </c>
      <c r="AC141">
        <v>-28.669811881188117</v>
      </c>
      <c r="AD141">
        <v>-28.713376237623759</v>
      </c>
      <c r="AE141">
        <v>-28.798435643564353</v>
      </c>
      <c r="AF141">
        <v>-28.892297029702966</v>
      </c>
      <c r="AG141">
        <v>-28.992693069306927</v>
      </c>
      <c r="AH141">
        <v>-29.108336633663367</v>
      </c>
      <c r="AI141">
        <v>-29.223980198019802</v>
      </c>
      <c r="AJ141">
        <v>-29.349138613861388</v>
      </c>
      <c r="AK141">
        <v>-29.477059405940594</v>
      </c>
      <c r="AL141">
        <v>-29.605871287128714</v>
      </c>
      <c r="AM141">
        <v>-29.737356435643566</v>
      </c>
      <c r="AN141">
        <v>-29.868841584158417</v>
      </c>
      <c r="AO141">
        <v>-29.998603960396039</v>
      </c>
      <c r="AP141">
        <v>-30.127712871287127</v>
      </c>
      <c r="AQ141">
        <v>-30.257851485148514</v>
      </c>
      <c r="AR141">
        <v>-30.392108910891089</v>
      </c>
      <c r="AS141">
        <v>-30.526366336633664</v>
      </c>
      <c r="AT141">
        <v>-30.659019801980197</v>
      </c>
      <c r="AU141">
        <v>-30.790900990099008</v>
      </c>
      <c r="AV141">
        <v>-30.922722772277226</v>
      </c>
      <c r="AW141">
        <v>-31.054207920792077</v>
      </c>
      <c r="AX141">
        <v>-31.185693069306929</v>
      </c>
      <c r="AY141">
        <v>-31.319200743494424</v>
      </c>
      <c r="AZ141">
        <v>-31.4539219330855</v>
      </c>
      <c r="BA141">
        <v>-31.588643122676579</v>
      </c>
      <c r="BB141">
        <v>-31.723364312267659</v>
      </c>
      <c r="BC141">
        <v>-31.858085501858735</v>
      </c>
      <c r="BD141">
        <v>-31.992806691449815</v>
      </c>
      <c r="BE141">
        <v>-32.127527881040891</v>
      </c>
      <c r="BF141">
        <v>-32.262249070631974</v>
      </c>
      <c r="BG141">
        <v>-32.39697026022305</v>
      </c>
      <c r="BH141">
        <v>-32.531691449814126</v>
      </c>
      <c r="BI141">
        <v>-32.66126732673267</v>
      </c>
      <c r="BJ141">
        <v>-32.786415841584159</v>
      </c>
      <c r="BK141">
        <v>-32.911613861386137</v>
      </c>
      <c r="BL141">
        <v>-33.040722772277228</v>
      </c>
      <c r="BM141">
        <v>-33.169831683168312</v>
      </c>
      <c r="BN141">
        <v>-33.296816831683167</v>
      </c>
      <c r="BO141">
        <v>-33.421569306930692</v>
      </c>
      <c r="BP141">
        <v>-33.546321782178218</v>
      </c>
      <c r="BQ141">
        <v>-33.671836633663368</v>
      </c>
      <c r="BR141">
        <v>-33.797381188118806</v>
      </c>
      <c r="BS141">
        <v>-33.920846534653464</v>
      </c>
      <c r="BT141">
        <v>-34.041638613861387</v>
      </c>
      <c r="BU141">
        <v>-34.162430693069311</v>
      </c>
      <c r="BV141">
        <v>-34.263707920792079</v>
      </c>
      <c r="BW141">
        <v>-34.36311386138614</v>
      </c>
      <c r="BX141">
        <v>-34.465641791044774</v>
      </c>
      <c r="BY141">
        <v>-34.573104477611942</v>
      </c>
      <c r="BZ141">
        <v>-34.680567164179109</v>
      </c>
      <c r="CA141">
        <v>-34.791029702970299</v>
      </c>
      <c r="CB141">
        <v>-34.901920792079203</v>
      </c>
      <c r="CC141">
        <v>-35.012465346534647</v>
      </c>
      <c r="CD141">
        <v>-35.122366336633661</v>
      </c>
      <c r="CE141">
        <v>-35.232267326732668</v>
      </c>
      <c r="CF141">
        <v>-35.342168316831682</v>
      </c>
      <c r="CG141">
        <v>-35.452069306930689</v>
      </c>
      <c r="CH141">
        <v>-35.561970297029703</v>
      </c>
      <c r="CI141">
        <v>-35.671871287128717</v>
      </c>
      <c r="CJ141">
        <v>-35.781772277227724</v>
      </c>
      <c r="CK141">
        <v>-35.891673267326738</v>
      </c>
      <c r="CL141">
        <v>-36.001574257425744</v>
      </c>
    </row>
    <row r="142" spans="1:94" ht="21.75" outlineLevel="1" thickBot="1" x14ac:dyDescent="0.4">
      <c r="A142" s="32" t="s">
        <v>87</v>
      </c>
      <c r="B142" s="64">
        <v>-193.78064356435644</v>
      </c>
      <c r="C142" s="64">
        <v>-189.25341584158417</v>
      </c>
      <c r="D142">
        <v>-185.00391089108911</v>
      </c>
      <c r="E142">
        <v>-180.78856435643561</v>
      </c>
      <c r="F142">
        <v>-177.08559405940593</v>
      </c>
      <c r="G142">
        <v>-173.38262376237623</v>
      </c>
      <c r="H142">
        <v>-169.91594059405938</v>
      </c>
      <c r="I142">
        <v>-166.65257425742573</v>
      </c>
      <c r="J142">
        <v>-163.39899752475247</v>
      </c>
      <c r="K142">
        <v>-160.9187995049505</v>
      </c>
      <c r="L142">
        <v>-158.43860148514852</v>
      </c>
      <c r="M142">
        <v>-155.95840346534652</v>
      </c>
      <c r="N142">
        <v>-153.47820544554455</v>
      </c>
      <c r="O142">
        <v>-150.99800742574257</v>
      </c>
      <c r="P142">
        <v>-148.5178094059406</v>
      </c>
      <c r="Q142">
        <v>-146.03761138613862</v>
      </c>
      <c r="R142">
        <v>-143.55741336633662</v>
      </c>
      <c r="S142">
        <v>-141.07721534653464</v>
      </c>
      <c r="T142">
        <v>-138.59701732673267</v>
      </c>
      <c r="U142">
        <v>-136.66341584158414</v>
      </c>
      <c r="V142">
        <v>-134.78222772277226</v>
      </c>
      <c r="W142">
        <v>-132.96856435643562</v>
      </c>
      <c r="X142">
        <v>-131.26163366336633</v>
      </c>
      <c r="Y142">
        <v>-129.55470297029703</v>
      </c>
      <c r="Z142">
        <v>-127.98119402985074</v>
      </c>
      <c r="AA142">
        <v>-126.42895522388059</v>
      </c>
      <c r="AB142">
        <v>-124.9168316831683</v>
      </c>
      <c r="AC142">
        <v>-123.47920792079206</v>
      </c>
      <c r="AD142">
        <v>-122.04158415841583</v>
      </c>
      <c r="AE142">
        <v>-120.70851485148513</v>
      </c>
      <c r="AF142">
        <v>-119.39762376237623</v>
      </c>
      <c r="AG142">
        <v>-118.11405940594059</v>
      </c>
      <c r="AH142">
        <v>-116.89425742574257</v>
      </c>
      <c r="AI142">
        <v>-115.67445544554455</v>
      </c>
      <c r="AJ142">
        <v>-114.53138613861385</v>
      </c>
      <c r="AK142">
        <v>-113.41059405940594</v>
      </c>
      <c r="AL142">
        <v>-112.30960396039603</v>
      </c>
      <c r="AM142">
        <v>-111.2680198019802</v>
      </c>
      <c r="AN142">
        <v>-110.22643564356436</v>
      </c>
      <c r="AO142">
        <v>-109.2279207920792</v>
      </c>
      <c r="AP142">
        <v>-108.24574257425742</v>
      </c>
      <c r="AQ142">
        <v>-107.28019801980197</v>
      </c>
      <c r="AR142">
        <v>-106.38118811881188</v>
      </c>
      <c r="AS142">
        <v>-105.48217821782178</v>
      </c>
      <c r="AT142">
        <v>-104.62861386138614</v>
      </c>
      <c r="AU142">
        <v>-103.7969306930693</v>
      </c>
      <c r="AV142">
        <v>-102.97772277227723</v>
      </c>
      <c r="AW142">
        <v>-102.22920792079208</v>
      </c>
      <c r="AX142">
        <v>-101.48069306930692</v>
      </c>
      <c r="AY142">
        <v>-100.99591078066913</v>
      </c>
      <c r="AZ142">
        <v>-100.66936802973977</v>
      </c>
      <c r="BA142">
        <v>-100.34282527881041</v>
      </c>
      <c r="BB142">
        <v>-100.01628252788103</v>
      </c>
      <c r="BC142">
        <v>-99.689739776951669</v>
      </c>
      <c r="BD142">
        <v>-99.363197026022306</v>
      </c>
      <c r="BE142">
        <v>-99.036654275092943</v>
      </c>
      <c r="BF142">
        <v>-98.710111524163565</v>
      </c>
      <c r="BG142">
        <v>-98.383568773234202</v>
      </c>
      <c r="BH142">
        <v>-98.057026022304839</v>
      </c>
      <c r="BI142">
        <v>-97.863</v>
      </c>
      <c r="BJ142">
        <v>-97.783000000000001</v>
      </c>
      <c r="BK142">
        <v>-97.703514851485139</v>
      </c>
      <c r="BL142">
        <v>-97.664702970297029</v>
      </c>
      <c r="BM142">
        <v>-97.625891089108904</v>
      </c>
      <c r="BN142">
        <v>-97.594801980198014</v>
      </c>
      <c r="BO142">
        <v>-97.571831683168313</v>
      </c>
      <c r="BP142">
        <v>-97.548861386138611</v>
      </c>
      <c r="BQ142">
        <v>-97.548762376237619</v>
      </c>
      <c r="BR142">
        <v>-97.549554455445531</v>
      </c>
      <c r="BS142">
        <v>-97.560396039603944</v>
      </c>
      <c r="BT142">
        <v>-97.584158415841571</v>
      </c>
      <c r="BU142">
        <v>-97.607920792079199</v>
      </c>
      <c r="BV142">
        <v>-97.887544554455431</v>
      </c>
      <c r="BW142">
        <v>-98.19170297029703</v>
      </c>
      <c r="BX142">
        <v>-98.506318407960194</v>
      </c>
      <c r="BY142">
        <v>-98.837462686567164</v>
      </c>
      <c r="BZ142">
        <v>-99.168606965174121</v>
      </c>
      <c r="CA142">
        <v>-99.508019801980197</v>
      </c>
      <c r="CB142">
        <v>-99.848613861386127</v>
      </c>
      <c r="CC142">
        <v>-100.18657425742573</v>
      </c>
      <c r="CD142">
        <v>-100.51964356435643</v>
      </c>
      <c r="CE142">
        <v>-100.85271287128712</v>
      </c>
      <c r="CF142">
        <v>-101.18578217821782</v>
      </c>
      <c r="CG142">
        <v>-101.5188514851485</v>
      </c>
      <c r="CH142">
        <v>-101.8519207920792</v>
      </c>
      <c r="CI142">
        <v>-102.18499009900989</v>
      </c>
      <c r="CJ142">
        <v>-102.51805940594059</v>
      </c>
      <c r="CK142">
        <v>-102.85112871287129</v>
      </c>
      <c r="CL142">
        <v>-103.18419801980198</v>
      </c>
    </row>
    <row r="143" spans="1:94" ht="21.75" outlineLevel="1" thickBot="1" x14ac:dyDescent="0.4">
      <c r="A143" s="32" t="s">
        <v>88</v>
      </c>
      <c r="B143" s="64">
        <v>-148.71876237623763</v>
      </c>
      <c r="C143" s="64">
        <v>-144.97034653465346</v>
      </c>
      <c r="D143">
        <v>-141.36242574257426</v>
      </c>
      <c r="E143">
        <v>-137.76688118811879</v>
      </c>
      <c r="F143">
        <v>-134.35698019801978</v>
      </c>
      <c r="G143">
        <v>-130.94707920792078</v>
      </c>
      <c r="H143">
        <v>-127.62445544554456</v>
      </c>
      <c r="I143">
        <v>-124.3769306930693</v>
      </c>
      <c r="J143">
        <v>-121.13679455445543</v>
      </c>
      <c r="K143">
        <v>-118.48035891089108</v>
      </c>
      <c r="L143">
        <v>-115.82392326732672</v>
      </c>
      <c r="M143">
        <v>-113.16748762376237</v>
      </c>
      <c r="N143">
        <v>-110.511051980198</v>
      </c>
      <c r="O143">
        <v>-107.85461633663365</v>
      </c>
      <c r="P143">
        <v>-105.19818069306929</v>
      </c>
      <c r="Q143">
        <v>-102.54174504950494</v>
      </c>
      <c r="R143">
        <v>-99.885309405940575</v>
      </c>
      <c r="S143">
        <v>-97.228873762376224</v>
      </c>
      <c r="T143">
        <v>-94.57243811881186</v>
      </c>
      <c r="U143">
        <v>-92.486089108910889</v>
      </c>
      <c r="V143">
        <v>-90.454405940594057</v>
      </c>
      <c r="W143">
        <v>-88.496386138613872</v>
      </c>
      <c r="X143">
        <v>-86.65480198019803</v>
      </c>
      <c r="Y143">
        <v>-84.813217821782189</v>
      </c>
      <c r="Z143">
        <v>-83.083880597014925</v>
      </c>
      <c r="AA143">
        <v>-81.372437810945272</v>
      </c>
      <c r="AB143">
        <v>-79.693069306930681</v>
      </c>
      <c r="AC143">
        <v>-78.073267326732662</v>
      </c>
      <c r="AD143">
        <v>-76.453465346534657</v>
      </c>
      <c r="AE143">
        <v>-74.912079207920783</v>
      </c>
      <c r="AF143">
        <v>-73.387326732673259</v>
      </c>
      <c r="AG143">
        <v>-71.887524752475244</v>
      </c>
      <c r="AH143">
        <v>-70.445940594059408</v>
      </c>
      <c r="AI143">
        <v>-69.004356435643558</v>
      </c>
      <c r="AJ143">
        <v>-67.633366336633657</v>
      </c>
      <c r="AK143">
        <v>-66.282871287128714</v>
      </c>
      <c r="AL143">
        <v>-64.952178217821782</v>
      </c>
      <c r="AM143">
        <v>-63.680891089108911</v>
      </c>
      <c r="AN143">
        <v>-62.409603960396048</v>
      </c>
      <c r="AO143">
        <v>-61.187128712871292</v>
      </c>
      <c r="AP143">
        <v>-59.98316831683168</v>
      </c>
      <c r="AQ143">
        <v>-58.794257425742565</v>
      </c>
      <c r="AR143">
        <v>-57.665544554455444</v>
      </c>
      <c r="AS143">
        <v>-56.536831683168323</v>
      </c>
      <c r="AT143">
        <v>-55.458910891089111</v>
      </c>
      <c r="AU143">
        <v>-54.405445544554453</v>
      </c>
      <c r="AV143">
        <v>-53.365643564356425</v>
      </c>
      <c r="AW143">
        <v>-52.403267326732667</v>
      </c>
      <c r="AX143">
        <v>-51.440891089108909</v>
      </c>
      <c r="AY143">
        <v>-50.747038413878563</v>
      </c>
      <c r="AZ143">
        <v>-50.214299876084262</v>
      </c>
      <c r="BA143">
        <v>-49.68156133828996</v>
      </c>
      <c r="BB143">
        <v>-49.148822800495665</v>
      </c>
      <c r="BC143">
        <v>-48.616084262701364</v>
      </c>
      <c r="BD143">
        <v>-48.083345724907062</v>
      </c>
      <c r="BE143">
        <v>-47.550607187112767</v>
      </c>
      <c r="BF143">
        <v>-47.017868649318466</v>
      </c>
      <c r="BG143">
        <v>-46.485130111524171</v>
      </c>
      <c r="BH143">
        <v>-45.952391573729869</v>
      </c>
      <c r="BI143">
        <v>-45.552306930693071</v>
      </c>
      <c r="BJ143">
        <v>-45.266366336633659</v>
      </c>
      <c r="BK143">
        <v>-44.980841584158412</v>
      </c>
      <c r="BL143">
        <v>-44.728168316831685</v>
      </c>
      <c r="BM143">
        <v>-44.47549504950495</v>
      </c>
      <c r="BN143">
        <v>-44.234405940594065</v>
      </c>
      <c r="BO143">
        <v>-44.005495049504951</v>
      </c>
      <c r="BP143">
        <v>-43.776584158415844</v>
      </c>
      <c r="BQ143">
        <v>-43.570544554455445</v>
      </c>
      <c r="BR143">
        <v>-43.365396039603958</v>
      </c>
      <c r="BS143">
        <v>-43.173762376237626</v>
      </c>
      <c r="BT143">
        <v>-42.999504950495052</v>
      </c>
      <c r="BU143">
        <v>-42.825247524752477</v>
      </c>
      <c r="BV143">
        <v>-42.935762376237626</v>
      </c>
      <c r="BW143">
        <v>-43.073584158415841</v>
      </c>
      <c r="BX143">
        <v>-43.21537313432836</v>
      </c>
      <c r="BY143">
        <v>-43.363432835820895</v>
      </c>
      <c r="BZ143">
        <v>-43.511492537313437</v>
      </c>
      <c r="CA143">
        <v>-43.661683168316834</v>
      </c>
      <c r="CB143">
        <v>-43.812178217821781</v>
      </c>
      <c r="CC143">
        <v>-43.961425742574257</v>
      </c>
      <c r="CD143">
        <v>-44.108356435643557</v>
      </c>
      <c r="CE143">
        <v>-44.255287128712865</v>
      </c>
      <c r="CF143">
        <v>-44.402217821782173</v>
      </c>
      <c r="CG143">
        <v>-44.549148514851481</v>
      </c>
      <c r="CH143">
        <v>-44.696079207920789</v>
      </c>
      <c r="CI143">
        <v>-44.843009900990097</v>
      </c>
      <c r="CJ143">
        <v>-44.989940594059405</v>
      </c>
      <c r="CK143">
        <v>-45.136871287128713</v>
      </c>
      <c r="CL143">
        <v>-45.283801980198021</v>
      </c>
    </row>
    <row r="144" spans="1:94" ht="21.75" outlineLevel="1" thickBot="1" x14ac:dyDescent="0.4">
      <c r="A144" s="32" t="s">
        <v>89</v>
      </c>
      <c r="B144" s="64">
        <v>-16.250297029702971</v>
      </c>
      <c r="C144" s="64">
        <v>-15.853366336633664</v>
      </c>
      <c r="D144">
        <v>-15.433564356435644</v>
      </c>
      <c r="E144">
        <v>-15.008069306930691</v>
      </c>
      <c r="F144">
        <v>-14.497178217821782</v>
      </c>
      <c r="G144">
        <v>-13.98628712871287</v>
      </c>
      <c r="H144">
        <v>-13.447722772277228</v>
      </c>
      <c r="I144">
        <v>-12.885346534653465</v>
      </c>
      <c r="J144">
        <v>-12.324013613861386</v>
      </c>
      <c r="K144">
        <v>-11.845102722772276</v>
      </c>
      <c r="L144">
        <v>-11.366191831683167</v>
      </c>
      <c r="M144">
        <v>-10.887280940594058</v>
      </c>
      <c r="N144">
        <v>-10.408370049504949</v>
      </c>
      <c r="O144">
        <v>-9.92945915841584</v>
      </c>
      <c r="P144">
        <v>-9.4505482673267309</v>
      </c>
      <c r="Q144">
        <v>-8.9716373762376236</v>
      </c>
      <c r="R144">
        <v>-8.4927264851485145</v>
      </c>
      <c r="S144">
        <v>-8.0138155940594054</v>
      </c>
      <c r="T144">
        <v>-7.5349047029702962</v>
      </c>
      <c r="U144">
        <v>-7.2324405940594056</v>
      </c>
      <c r="V144">
        <v>-6.9468960396039598</v>
      </c>
      <c r="W144">
        <v>-6.6994108910891086</v>
      </c>
      <c r="X144">
        <v>-6.512084158415842</v>
      </c>
      <c r="Y144">
        <v>-6.3247574257425754</v>
      </c>
      <c r="Z144">
        <v>-6.2070000000000007</v>
      </c>
      <c r="AA144">
        <v>-6.1003333333333334</v>
      </c>
      <c r="AB144">
        <v>-6.014366336633663</v>
      </c>
      <c r="AC144">
        <v>-5.9668415841584155</v>
      </c>
      <c r="AD144">
        <v>-5.9193168316831679</v>
      </c>
      <c r="AE144">
        <v>-5.9002178217821779</v>
      </c>
      <c r="AF144">
        <v>-5.8871485148514848</v>
      </c>
      <c r="AG144">
        <v>-5.8794257425742575</v>
      </c>
      <c r="AH144">
        <v>-5.8841782178217823</v>
      </c>
      <c r="AI144">
        <v>-5.8889306930693071</v>
      </c>
      <c r="AJ144">
        <v>-5.9001287128712869</v>
      </c>
      <c r="AK144">
        <v>-5.91319801980198</v>
      </c>
      <c r="AL144">
        <v>-5.9271584158415838</v>
      </c>
      <c r="AM144">
        <v>-5.9437920792079204</v>
      </c>
      <c r="AN144">
        <v>-5.9604257425742571</v>
      </c>
      <c r="AO144">
        <v>-5.9782079207920793</v>
      </c>
      <c r="AP144">
        <v>-5.9964257425742575</v>
      </c>
      <c r="AQ144">
        <v>-6.014881188118812</v>
      </c>
      <c r="AR144">
        <v>-6.0342871287128714</v>
      </c>
      <c r="AS144">
        <v>-6.05369306930693</v>
      </c>
      <c r="AT144">
        <v>-6.0741683168316829</v>
      </c>
      <c r="AU144">
        <v>-6.0951584158415848</v>
      </c>
      <c r="AV144">
        <v>-6.1166831683168326</v>
      </c>
      <c r="AW144">
        <v>-6.1412376237623763</v>
      </c>
      <c r="AX144">
        <v>-6.1657920792079208</v>
      </c>
      <c r="AY144">
        <v>-6.1947645600991326</v>
      </c>
      <c r="AZ144">
        <v>-6.2263878562577446</v>
      </c>
      <c r="BA144">
        <v>-6.2580111524163566</v>
      </c>
      <c r="BB144">
        <v>-6.2896344485749687</v>
      </c>
      <c r="BC144">
        <v>-6.3212577447335807</v>
      </c>
      <c r="BD144">
        <v>-6.3528810408921927</v>
      </c>
      <c r="BE144">
        <v>-6.3845043370508048</v>
      </c>
      <c r="BF144">
        <v>-6.4161276332094168</v>
      </c>
      <c r="BG144">
        <v>-6.4477509293680297</v>
      </c>
      <c r="BH144">
        <v>-6.4793742255266418</v>
      </c>
      <c r="BI144">
        <v>-6.5059207920792073</v>
      </c>
      <c r="BJ144">
        <v>-6.5280990099009895</v>
      </c>
      <c r="BK144">
        <v>-6.5502772277227725</v>
      </c>
      <c r="BL144">
        <v>-6.5724554455445547</v>
      </c>
      <c r="BM144">
        <v>-6.5946336633663361</v>
      </c>
      <c r="BN144">
        <v>-6.6166188118811879</v>
      </c>
      <c r="BO144">
        <v>-6.6384009900990097</v>
      </c>
      <c r="BP144">
        <v>-6.6601831683168315</v>
      </c>
      <c r="BQ144">
        <v>-6.6827277227722774</v>
      </c>
      <c r="BR144">
        <v>-6.70530198019802</v>
      </c>
      <c r="BS144">
        <v>-6.7275297029702967</v>
      </c>
      <c r="BT144">
        <v>-6.7493118811881185</v>
      </c>
      <c r="BU144">
        <v>-6.7710940594059403</v>
      </c>
      <c r="BV144">
        <v>-6.787816831683168</v>
      </c>
      <c r="BW144">
        <v>-6.8040544554455442</v>
      </c>
      <c r="BX144">
        <v>-6.8201691542288554</v>
      </c>
      <c r="BY144">
        <v>-6.8360895522388061</v>
      </c>
      <c r="BZ144">
        <v>-6.8520099502487559</v>
      </c>
      <c r="CA144">
        <v>-6.867861386138614</v>
      </c>
      <c r="CB144">
        <v>-6.8837029702970298</v>
      </c>
      <c r="CC144">
        <v>-6.8998910891089107</v>
      </c>
      <c r="CD144">
        <v>-6.916722772277228</v>
      </c>
      <c r="CE144">
        <v>-6.9335544554455444</v>
      </c>
      <c r="CF144">
        <v>-6.9503861386138617</v>
      </c>
      <c r="CG144">
        <v>-6.9672178217821781</v>
      </c>
      <c r="CH144">
        <v>-6.9840495049504954</v>
      </c>
      <c r="CI144">
        <v>-7.0008811881188118</v>
      </c>
      <c r="CJ144">
        <v>-7.0177128712871291</v>
      </c>
      <c r="CK144">
        <v>-7.0345445544554455</v>
      </c>
      <c r="CL144">
        <v>-7.0513762376237628</v>
      </c>
    </row>
    <row r="145" spans="1:90" ht="21.75" outlineLevel="1" thickBot="1" x14ac:dyDescent="0.4">
      <c r="A145" s="32" t="s">
        <v>90</v>
      </c>
      <c r="B145" s="64">
        <v>-63.093910891089116</v>
      </c>
      <c r="C145" s="64">
        <v>-61.414405940594065</v>
      </c>
      <c r="D145">
        <v>-59.770841584158418</v>
      </c>
      <c r="E145">
        <v>-58.128019801980194</v>
      </c>
      <c r="F145">
        <v>-56.496336633663361</v>
      </c>
      <c r="G145">
        <v>-54.864653465346535</v>
      </c>
      <c r="H145">
        <v>-53.239356435643565</v>
      </c>
      <c r="I145">
        <v>-51.619554455445545</v>
      </c>
      <c r="J145">
        <v>-50.002846534653465</v>
      </c>
      <c r="K145">
        <v>-48.630569306930688</v>
      </c>
      <c r="L145">
        <v>-47.258292079207919</v>
      </c>
      <c r="M145">
        <v>-45.886014851485143</v>
      </c>
      <c r="N145">
        <v>-44.513737623762374</v>
      </c>
      <c r="O145">
        <v>-43.141460396039598</v>
      </c>
      <c r="P145">
        <v>-41.769183168316829</v>
      </c>
      <c r="Q145">
        <v>-40.396905940594053</v>
      </c>
      <c r="R145">
        <v>-39.024628712871284</v>
      </c>
      <c r="S145">
        <v>-37.652351485148507</v>
      </c>
      <c r="T145">
        <v>-36.280074257425738</v>
      </c>
      <c r="U145">
        <v>-35.198712871287121</v>
      </c>
      <c r="V145">
        <v>-34.14524752475247</v>
      </c>
      <c r="W145">
        <v>-33.130148514851484</v>
      </c>
      <c r="X145">
        <v>-32.175693069306931</v>
      </c>
      <c r="Y145">
        <v>-31.221237623762377</v>
      </c>
      <c r="Z145">
        <v>-30.317611940298509</v>
      </c>
      <c r="AA145">
        <v>-29.422089552238806</v>
      </c>
      <c r="AB145">
        <v>-28.54059405940594</v>
      </c>
      <c r="AC145">
        <v>-27.685148514851484</v>
      </c>
      <c r="AD145">
        <v>-26.829702970297028</v>
      </c>
      <c r="AE145">
        <v>-26.006930693069307</v>
      </c>
      <c r="AF145">
        <v>-25.191089108910894</v>
      </c>
      <c r="AG145">
        <v>-24.387128712871288</v>
      </c>
      <c r="AH145">
        <v>-23.610891089108911</v>
      </c>
      <c r="AI145">
        <v>-22.834653465346531</v>
      </c>
      <c r="AJ145">
        <v>-22.092178217821779</v>
      </c>
      <c r="AK145">
        <v>-21.359504950495047</v>
      </c>
      <c r="AL145">
        <v>-20.636732673267325</v>
      </c>
      <c r="AM145">
        <v>-19.943663366336633</v>
      </c>
      <c r="AN145">
        <v>-19.250594059405941</v>
      </c>
      <c r="AO145">
        <v>-18.583366336633663</v>
      </c>
      <c r="AP145">
        <v>-17.925940594059405</v>
      </c>
      <c r="AQ145">
        <v>-17.275643564356432</v>
      </c>
      <c r="AR145">
        <v>-16.653861386138612</v>
      </c>
      <c r="AS145">
        <v>-16.032079207920795</v>
      </c>
      <c r="AT145">
        <v>-15.437029702970298</v>
      </c>
      <c r="AU145">
        <v>-14.854851485148513</v>
      </c>
      <c r="AV145">
        <v>-14.279801980198016</v>
      </c>
      <c r="AW145">
        <v>-13.745148514851483</v>
      </c>
      <c r="AX145">
        <v>-13.210495049504949</v>
      </c>
      <c r="AY145">
        <v>-12.811301115241635</v>
      </c>
      <c r="AZ145">
        <v>-12.493382899628253</v>
      </c>
      <c r="BA145">
        <v>-12.175464684014869</v>
      </c>
      <c r="BB145">
        <v>-11.857546468401488</v>
      </c>
      <c r="BC145">
        <v>-11.539628252788106</v>
      </c>
      <c r="BD145">
        <v>-11.221710037174722</v>
      </c>
      <c r="BE145">
        <v>-10.90379182156134</v>
      </c>
      <c r="BF145">
        <v>-10.585873605947958</v>
      </c>
      <c r="BG145">
        <v>-10.267955390334574</v>
      </c>
      <c r="BH145">
        <v>-9.9500371747211922</v>
      </c>
      <c r="BI145">
        <v>-9.6984801980198032</v>
      </c>
      <c r="BJ145">
        <v>-9.5040247524752477</v>
      </c>
      <c r="BK145">
        <v>-9.3097524752475245</v>
      </c>
      <c r="BL145">
        <v>-9.1299504950495045</v>
      </c>
      <c r="BM145">
        <v>-8.9501485148514863</v>
      </c>
      <c r="BN145">
        <v>-8.7771039603960403</v>
      </c>
      <c r="BO145">
        <v>-8.6111633663366334</v>
      </c>
      <c r="BP145">
        <v>-8.4452227722772264</v>
      </c>
      <c r="BQ145">
        <v>-8.2907178217821773</v>
      </c>
      <c r="BR145">
        <v>-8.136658415841584</v>
      </c>
      <c r="BS145">
        <v>-7.9902227722772281</v>
      </c>
      <c r="BT145">
        <v>-7.8535891089108922</v>
      </c>
      <c r="BU145">
        <v>-7.7169554455445555</v>
      </c>
      <c r="BV145">
        <v>-7.7299356435643567</v>
      </c>
      <c r="BW145">
        <v>-7.757262376237624</v>
      </c>
      <c r="BX145">
        <v>-7.7849502487562185</v>
      </c>
      <c r="BY145">
        <v>-7.8132089552238808</v>
      </c>
      <c r="BZ145">
        <v>-7.8414676616915422</v>
      </c>
      <c r="CA145">
        <v>-7.8692574257425738</v>
      </c>
      <c r="CB145">
        <v>-7.8969801980198016</v>
      </c>
      <c r="CC145">
        <v>-7.9244257425742575</v>
      </c>
      <c r="CD145">
        <v>-7.9513564356435644</v>
      </c>
      <c r="CE145">
        <v>-7.9782871287128714</v>
      </c>
      <c r="CF145">
        <v>-8.0052178217821783</v>
      </c>
      <c r="CG145">
        <v>-8.0321485148514853</v>
      </c>
      <c r="CH145">
        <v>-8.0590792079207922</v>
      </c>
      <c r="CI145">
        <v>-8.0860099009900992</v>
      </c>
      <c r="CJ145">
        <v>-8.1129405940594062</v>
      </c>
      <c r="CK145">
        <v>-8.1398712871287131</v>
      </c>
      <c r="CL145">
        <v>-8.1668019801980201</v>
      </c>
    </row>
    <row r="146" spans="1:90" ht="21.75" outlineLevel="1" thickBot="1" x14ac:dyDescent="0.4">
      <c r="A146" s="32" t="s">
        <v>91</v>
      </c>
      <c r="B146" s="64">
        <v>-22.530940594059405</v>
      </c>
      <c r="C146" s="64">
        <v>-22.141534653465346</v>
      </c>
      <c r="D146">
        <v>-21.820742574257427</v>
      </c>
      <c r="E146">
        <v>-21.510841584158417</v>
      </c>
      <c r="F146">
        <v>-21.364306930693068</v>
      </c>
      <c r="G146">
        <v>-21.21777227722772</v>
      </c>
      <c r="H146">
        <v>-21.145742574257426</v>
      </c>
      <c r="I146">
        <v>-21.137821782178218</v>
      </c>
      <c r="J146">
        <v>-21.131101485148513</v>
      </c>
      <c r="K146">
        <v>-21.219220297029704</v>
      </c>
      <c r="L146">
        <v>-21.307339108910892</v>
      </c>
      <c r="M146">
        <v>-21.395457920792079</v>
      </c>
      <c r="N146">
        <v>-21.483576732673267</v>
      </c>
      <c r="O146">
        <v>-21.571695544554455</v>
      </c>
      <c r="P146">
        <v>-21.659814356435643</v>
      </c>
      <c r="Q146">
        <v>-21.74793316831683</v>
      </c>
      <c r="R146">
        <v>-21.836051980198018</v>
      </c>
      <c r="S146">
        <v>-21.924170792079206</v>
      </c>
      <c r="T146">
        <v>-22.012289603960397</v>
      </c>
      <c r="U146">
        <v>-22.088663366336633</v>
      </c>
      <c r="V146">
        <v>-22.16391089108911</v>
      </c>
      <c r="W146">
        <v>-22.236089108910893</v>
      </c>
      <c r="X146">
        <v>-22.303415841584158</v>
      </c>
      <c r="Y146">
        <v>-22.370742574257424</v>
      </c>
      <c r="Z146">
        <v>-22.448656716417908</v>
      </c>
      <c r="AA146">
        <v>-22.52825870646766</v>
      </c>
      <c r="AB146">
        <v>-22.611881188118812</v>
      </c>
      <c r="AC146">
        <v>-22.702970297029701</v>
      </c>
      <c r="AD146">
        <v>-22.794059405940594</v>
      </c>
      <c r="AE146">
        <v>-22.898217821782175</v>
      </c>
      <c r="AF146">
        <v>-23.005148514851484</v>
      </c>
      <c r="AG146">
        <v>-23.113267326732672</v>
      </c>
      <c r="AH146">
        <v>-23.224158415841583</v>
      </c>
      <c r="AI146">
        <v>-23.335049504950494</v>
      </c>
      <c r="AJ146">
        <v>-23.449009900990099</v>
      </c>
      <c r="AK146">
        <v>-23.563861386138612</v>
      </c>
      <c r="AL146">
        <v>-23.678712871287129</v>
      </c>
      <c r="AM146">
        <v>-23.793564356435642</v>
      </c>
      <c r="AN146">
        <v>-23.908415841584159</v>
      </c>
      <c r="AO146">
        <v>-24.020396039603959</v>
      </c>
      <c r="AP146">
        <v>-24.13128712871287</v>
      </c>
      <c r="AQ146">
        <v>-24.242970297029704</v>
      </c>
      <c r="AR146">
        <v>-24.357821782178217</v>
      </c>
      <c r="AS146">
        <v>-24.472673267326734</v>
      </c>
      <c r="AT146">
        <v>-24.584851485148516</v>
      </c>
      <c r="AU146">
        <v>-24.695742574257427</v>
      </c>
      <c r="AV146">
        <v>-24.806039603960397</v>
      </c>
      <c r="AW146">
        <v>-24.912970297029702</v>
      </c>
      <c r="AX146">
        <v>-25.019900990099007</v>
      </c>
      <c r="AY146">
        <v>-25.124436183395289</v>
      </c>
      <c r="AZ146">
        <v>-25.227534076827755</v>
      </c>
      <c r="BA146">
        <v>-25.330631970260221</v>
      </c>
      <c r="BB146">
        <v>-25.433729863692687</v>
      </c>
      <c r="BC146">
        <v>-25.536827757125156</v>
      </c>
      <c r="BD146">
        <v>-25.639925650557622</v>
      </c>
      <c r="BE146">
        <v>-25.743023543990088</v>
      </c>
      <c r="BF146">
        <v>-25.846121437422553</v>
      </c>
      <c r="BG146">
        <v>-25.949219330855019</v>
      </c>
      <c r="BH146">
        <v>-26.052317224287485</v>
      </c>
      <c r="BI146">
        <v>-26.155346534653464</v>
      </c>
      <c r="BJ146">
        <v>-26.258316831683167</v>
      </c>
      <c r="BK146">
        <v>-26.361336633663367</v>
      </c>
      <c r="BL146">
        <v>-26.468267326732672</v>
      </c>
      <c r="BM146">
        <v>-26.575198019801981</v>
      </c>
      <c r="BN146">
        <v>-26.680198019801978</v>
      </c>
      <c r="BO146">
        <v>-26.783168316831684</v>
      </c>
      <c r="BP146">
        <v>-26.886138613861387</v>
      </c>
      <c r="BQ146">
        <v>-26.98910891089109</v>
      </c>
      <c r="BR146">
        <v>-27.09207920792079</v>
      </c>
      <c r="BS146">
        <v>-27.193316831683166</v>
      </c>
      <c r="BT146">
        <v>-27.292326732673267</v>
      </c>
      <c r="BU146">
        <v>-27.391336633663364</v>
      </c>
      <c r="BV146">
        <v>-27.475891089108909</v>
      </c>
      <c r="BW146">
        <v>-27.559059405940594</v>
      </c>
      <c r="BX146">
        <v>-27.645472636815921</v>
      </c>
      <c r="BY146">
        <v>-27.737014925373135</v>
      </c>
      <c r="BZ146">
        <v>-27.828557213930349</v>
      </c>
      <c r="CA146">
        <v>-27.923168316831681</v>
      </c>
      <c r="CB146">
        <v>-28.018217821782176</v>
      </c>
      <c r="CC146">
        <v>-28.112574257425742</v>
      </c>
      <c r="CD146">
        <v>-28.205643564356432</v>
      </c>
      <c r="CE146">
        <v>-28.298712871287126</v>
      </c>
      <c r="CF146">
        <v>-28.39178217821782</v>
      </c>
      <c r="CG146">
        <v>-28.484851485148514</v>
      </c>
      <c r="CH146">
        <v>-28.577920792079208</v>
      </c>
      <c r="CI146">
        <v>-28.670990099009899</v>
      </c>
      <c r="CJ146">
        <v>-28.764059405940593</v>
      </c>
      <c r="CK146">
        <v>-28.857128712871287</v>
      </c>
      <c r="CL146">
        <v>-28.950198019801981</v>
      </c>
    </row>
    <row r="147" spans="1:90" ht="21.75" outlineLevel="1" thickBot="1" x14ac:dyDescent="0.4">
      <c r="A147" s="32" t="s">
        <v>92</v>
      </c>
      <c r="B147" s="64">
        <v>-22.530940594059405</v>
      </c>
      <c r="C147" s="64">
        <v>-22.141534653465346</v>
      </c>
      <c r="D147">
        <v>-21.820742574257427</v>
      </c>
      <c r="E147">
        <v>-21.510841584158417</v>
      </c>
      <c r="F147">
        <v>-21.364306930693068</v>
      </c>
      <c r="G147">
        <v>-21.21777227722772</v>
      </c>
      <c r="H147">
        <v>-21.145742574257426</v>
      </c>
      <c r="I147">
        <v>-21.137821782178218</v>
      </c>
      <c r="J147">
        <v>-21.131101485148513</v>
      </c>
      <c r="K147">
        <v>-21.219220297029704</v>
      </c>
      <c r="L147">
        <v>-21.307339108910892</v>
      </c>
      <c r="M147">
        <v>-21.395457920792079</v>
      </c>
      <c r="N147">
        <v>-21.483576732673267</v>
      </c>
      <c r="O147">
        <v>-21.571695544554455</v>
      </c>
      <c r="P147">
        <v>-21.659814356435643</v>
      </c>
      <c r="Q147">
        <v>-21.74793316831683</v>
      </c>
      <c r="R147">
        <v>-21.836051980198018</v>
      </c>
      <c r="S147">
        <v>-21.924170792079206</v>
      </c>
      <c r="T147">
        <v>-22.012289603960397</v>
      </c>
      <c r="U147">
        <v>-22.088663366336633</v>
      </c>
      <c r="V147">
        <v>-22.16391089108911</v>
      </c>
      <c r="W147">
        <v>-22.236089108910893</v>
      </c>
      <c r="X147">
        <v>-22.303415841584158</v>
      </c>
      <c r="Y147">
        <v>-22.370742574257424</v>
      </c>
      <c r="Z147">
        <v>-22.448656716417908</v>
      </c>
      <c r="AA147">
        <v>-22.52825870646766</v>
      </c>
      <c r="AB147">
        <v>-22.611881188118812</v>
      </c>
      <c r="AC147">
        <v>-22.702970297029701</v>
      </c>
      <c r="AD147">
        <v>-22.794059405940594</v>
      </c>
      <c r="AE147">
        <v>-22.898217821782175</v>
      </c>
      <c r="AF147">
        <v>-23.005148514851484</v>
      </c>
      <c r="AG147">
        <v>-23.113267326732672</v>
      </c>
      <c r="AH147">
        <v>-23.224158415841583</v>
      </c>
      <c r="AI147">
        <v>-23.335049504950494</v>
      </c>
      <c r="AJ147">
        <v>-23.449009900990099</v>
      </c>
      <c r="AK147">
        <v>-23.563861386138612</v>
      </c>
      <c r="AL147">
        <v>-23.678712871287129</v>
      </c>
      <c r="AM147">
        <v>-23.793564356435642</v>
      </c>
      <c r="AN147">
        <v>-23.908415841584159</v>
      </c>
      <c r="AO147">
        <v>-24.020396039603959</v>
      </c>
      <c r="AP147">
        <v>-24.13128712871287</v>
      </c>
      <c r="AQ147">
        <v>-24.242970297029704</v>
      </c>
      <c r="AR147">
        <v>-24.357821782178217</v>
      </c>
      <c r="AS147">
        <v>-24.472673267326734</v>
      </c>
      <c r="AT147">
        <v>-24.584851485148516</v>
      </c>
      <c r="AU147">
        <v>-24.695742574257427</v>
      </c>
      <c r="AV147">
        <v>-24.806039603960397</v>
      </c>
      <c r="AW147">
        <v>-24.912970297029702</v>
      </c>
      <c r="AX147">
        <v>-25.019900990099007</v>
      </c>
      <c r="AY147">
        <v>-25.124436183395289</v>
      </c>
      <c r="AZ147">
        <v>-25.227534076827755</v>
      </c>
      <c r="BA147">
        <v>-25.330631970260221</v>
      </c>
      <c r="BB147">
        <v>-25.433729863692687</v>
      </c>
      <c r="BC147">
        <v>-25.536827757125156</v>
      </c>
      <c r="BD147">
        <v>-25.639925650557622</v>
      </c>
      <c r="BE147">
        <v>-25.743023543990088</v>
      </c>
      <c r="BF147">
        <v>-25.846121437422553</v>
      </c>
      <c r="BG147">
        <v>-25.949219330855019</v>
      </c>
      <c r="BH147">
        <v>-26.052317224287485</v>
      </c>
      <c r="BI147">
        <v>-26.155346534653464</v>
      </c>
      <c r="BJ147">
        <v>-26.258316831683167</v>
      </c>
      <c r="BK147">
        <v>-26.361336633663367</v>
      </c>
      <c r="BL147">
        <v>-26.468267326732672</v>
      </c>
      <c r="BM147">
        <v>-26.575198019801981</v>
      </c>
      <c r="BN147">
        <v>-26.680198019801978</v>
      </c>
      <c r="BO147">
        <v>-26.783168316831684</v>
      </c>
      <c r="BP147">
        <v>-26.886138613861387</v>
      </c>
      <c r="BQ147">
        <v>-26.98910891089109</v>
      </c>
      <c r="BR147">
        <v>-27.09207920792079</v>
      </c>
      <c r="BS147">
        <v>-27.193316831683166</v>
      </c>
      <c r="BT147">
        <v>-27.292326732673267</v>
      </c>
      <c r="BU147">
        <v>-27.391336633663364</v>
      </c>
      <c r="BV147">
        <v>-27.475891089108909</v>
      </c>
      <c r="BW147">
        <v>-27.559059405940594</v>
      </c>
      <c r="BX147">
        <v>-27.645472636815921</v>
      </c>
      <c r="BY147">
        <v>-27.737014925373135</v>
      </c>
      <c r="BZ147">
        <v>-27.828557213930349</v>
      </c>
      <c r="CA147">
        <v>-27.923168316831681</v>
      </c>
      <c r="CB147">
        <v>-28.018217821782176</v>
      </c>
      <c r="CC147">
        <v>-28.112574257425742</v>
      </c>
      <c r="CD147">
        <v>-28.205643564356432</v>
      </c>
      <c r="CE147">
        <v>-28.298712871287126</v>
      </c>
      <c r="CF147">
        <v>-28.39178217821782</v>
      </c>
      <c r="CG147">
        <v>-28.484851485148514</v>
      </c>
      <c r="CH147">
        <v>-28.577920792079208</v>
      </c>
      <c r="CI147">
        <v>-28.670990099009899</v>
      </c>
      <c r="CJ147">
        <v>-28.764059405940593</v>
      </c>
      <c r="CK147">
        <v>-28.857128712871287</v>
      </c>
      <c r="CL147">
        <v>-28.950198019801981</v>
      </c>
    </row>
    <row r="148" spans="1:90" ht="21.75" outlineLevel="1" thickBot="1" x14ac:dyDescent="0.4">
      <c r="A148" s="32" t="s">
        <v>93</v>
      </c>
      <c r="B148" s="64">
        <v>-22.530940594059405</v>
      </c>
      <c r="C148" s="64">
        <v>-22.141534653465346</v>
      </c>
      <c r="D148">
        <v>-21.820742574257427</v>
      </c>
      <c r="E148">
        <v>-21.510841584158417</v>
      </c>
      <c r="F148">
        <v>-21.364306930693068</v>
      </c>
      <c r="G148">
        <v>-21.21777227722772</v>
      </c>
      <c r="H148">
        <v>-21.145742574257426</v>
      </c>
      <c r="I148">
        <v>-21.137821782178218</v>
      </c>
      <c r="J148">
        <v>-21.131101485148513</v>
      </c>
      <c r="K148">
        <v>-21.219220297029704</v>
      </c>
      <c r="L148">
        <v>-21.307339108910892</v>
      </c>
      <c r="M148">
        <v>-21.395457920792079</v>
      </c>
      <c r="N148">
        <v>-21.483576732673267</v>
      </c>
      <c r="O148">
        <v>-21.571695544554455</v>
      </c>
      <c r="P148">
        <v>-21.659814356435643</v>
      </c>
      <c r="Q148">
        <v>-21.74793316831683</v>
      </c>
      <c r="R148">
        <v>-21.836051980198018</v>
      </c>
      <c r="S148">
        <v>-21.924170792079206</v>
      </c>
      <c r="T148">
        <v>-22.012289603960397</v>
      </c>
      <c r="U148">
        <v>-22.088663366336633</v>
      </c>
      <c r="V148">
        <v>-22.16391089108911</v>
      </c>
      <c r="W148">
        <v>-22.236089108910893</v>
      </c>
      <c r="X148">
        <v>-22.303415841584158</v>
      </c>
      <c r="Y148">
        <v>-22.370742574257424</v>
      </c>
      <c r="Z148">
        <v>-22.448656716417908</v>
      </c>
      <c r="AA148">
        <v>-22.52825870646766</v>
      </c>
      <c r="AB148">
        <v>-22.611881188118812</v>
      </c>
      <c r="AC148">
        <v>-22.702970297029701</v>
      </c>
      <c r="AD148">
        <v>-22.794059405940594</v>
      </c>
      <c r="AE148">
        <v>-22.898217821782175</v>
      </c>
      <c r="AF148">
        <v>-23.005148514851484</v>
      </c>
      <c r="AG148">
        <v>-23.113267326732672</v>
      </c>
      <c r="AH148">
        <v>-23.224158415841583</v>
      </c>
      <c r="AI148">
        <v>-23.335049504950494</v>
      </c>
      <c r="AJ148">
        <v>-23.449009900990099</v>
      </c>
      <c r="AK148">
        <v>-23.563861386138612</v>
      </c>
      <c r="AL148">
        <v>-23.678712871287129</v>
      </c>
      <c r="AM148">
        <v>-23.793564356435642</v>
      </c>
      <c r="AN148">
        <v>-23.908415841584159</v>
      </c>
      <c r="AO148">
        <v>-24.020396039603959</v>
      </c>
      <c r="AP148">
        <v>-24.13128712871287</v>
      </c>
      <c r="AQ148">
        <v>-24.242970297029704</v>
      </c>
      <c r="AR148">
        <v>-24.357821782178217</v>
      </c>
      <c r="AS148">
        <v>-24.472673267326734</v>
      </c>
      <c r="AT148">
        <v>-24.584851485148516</v>
      </c>
      <c r="AU148">
        <v>-24.695742574257427</v>
      </c>
      <c r="AV148">
        <v>-24.806039603960397</v>
      </c>
      <c r="AW148">
        <v>-24.912970297029702</v>
      </c>
      <c r="AX148">
        <v>-25.019900990099007</v>
      </c>
      <c r="AY148">
        <v>-25.124436183395289</v>
      </c>
      <c r="AZ148">
        <v>-25.227534076827755</v>
      </c>
      <c r="BA148">
        <v>-25.330631970260221</v>
      </c>
      <c r="BB148">
        <v>-25.433729863692687</v>
      </c>
      <c r="BC148">
        <v>-25.536827757125156</v>
      </c>
      <c r="BD148">
        <v>-25.639925650557622</v>
      </c>
      <c r="BE148">
        <v>-25.743023543990088</v>
      </c>
      <c r="BF148">
        <v>-25.846121437422553</v>
      </c>
      <c r="BG148">
        <v>-25.949219330855019</v>
      </c>
      <c r="BH148">
        <v>-26.052317224287485</v>
      </c>
      <c r="BI148">
        <v>-26.155346534653464</v>
      </c>
      <c r="BJ148">
        <v>-26.258316831683167</v>
      </c>
      <c r="BK148">
        <v>-26.361336633663367</v>
      </c>
      <c r="BL148">
        <v>-26.468267326732672</v>
      </c>
      <c r="BM148">
        <v>-26.575198019801981</v>
      </c>
      <c r="BN148">
        <v>-26.680198019801978</v>
      </c>
      <c r="BO148">
        <v>-26.783168316831684</v>
      </c>
      <c r="BP148">
        <v>-26.886138613861387</v>
      </c>
      <c r="BQ148">
        <v>-26.98910891089109</v>
      </c>
      <c r="BR148">
        <v>-27.09207920792079</v>
      </c>
      <c r="BS148">
        <v>-27.193316831683166</v>
      </c>
      <c r="BT148">
        <v>-27.292326732673267</v>
      </c>
      <c r="BU148">
        <v>-27.391336633663364</v>
      </c>
      <c r="BV148">
        <v>-27.475891089108909</v>
      </c>
      <c r="BW148">
        <v>-27.559059405940594</v>
      </c>
      <c r="BX148">
        <v>-27.645472636815921</v>
      </c>
      <c r="BY148">
        <v>-27.737014925373135</v>
      </c>
      <c r="BZ148">
        <v>-27.828557213930349</v>
      </c>
      <c r="CA148">
        <v>-27.923168316831681</v>
      </c>
      <c r="CB148">
        <v>-28.018217821782176</v>
      </c>
      <c r="CC148">
        <v>-28.112574257425742</v>
      </c>
      <c r="CD148">
        <v>-28.205643564356432</v>
      </c>
      <c r="CE148">
        <v>-28.298712871287126</v>
      </c>
      <c r="CF148">
        <v>-28.39178217821782</v>
      </c>
      <c r="CG148">
        <v>-28.484851485148514</v>
      </c>
      <c r="CH148">
        <v>-28.577920792079208</v>
      </c>
      <c r="CI148">
        <v>-28.670990099009899</v>
      </c>
      <c r="CJ148">
        <v>-28.764059405940593</v>
      </c>
      <c r="CK148">
        <v>-28.857128712871287</v>
      </c>
      <c r="CL148">
        <v>-28.950198019801981</v>
      </c>
    </row>
    <row r="149" spans="1:90" ht="21.75" outlineLevel="1" thickBot="1" x14ac:dyDescent="0.4">
      <c r="A149" s="32" t="s">
        <v>94</v>
      </c>
      <c r="B149" s="64">
        <v>-22.530940594059405</v>
      </c>
      <c r="C149" s="64">
        <v>-22.141534653465346</v>
      </c>
      <c r="D149">
        <v>-21.820742574257427</v>
      </c>
      <c r="E149">
        <v>-21.510841584158417</v>
      </c>
      <c r="F149">
        <v>-21.364306930693068</v>
      </c>
      <c r="G149">
        <v>-21.21777227722772</v>
      </c>
      <c r="H149">
        <v>-21.145742574257426</v>
      </c>
      <c r="I149">
        <v>-21.137821782178218</v>
      </c>
      <c r="J149">
        <v>-21.131101485148513</v>
      </c>
      <c r="K149">
        <v>-21.219220297029704</v>
      </c>
      <c r="L149">
        <v>-21.307339108910892</v>
      </c>
      <c r="M149">
        <v>-21.395457920792079</v>
      </c>
      <c r="N149">
        <v>-21.483576732673267</v>
      </c>
      <c r="O149">
        <v>-21.571695544554455</v>
      </c>
      <c r="P149">
        <v>-21.659814356435643</v>
      </c>
      <c r="Q149">
        <v>-21.74793316831683</v>
      </c>
      <c r="R149">
        <v>-21.836051980198018</v>
      </c>
      <c r="S149">
        <v>-21.924170792079206</v>
      </c>
      <c r="T149">
        <v>-22.012289603960397</v>
      </c>
      <c r="U149">
        <v>-22.088663366336633</v>
      </c>
      <c r="V149">
        <v>-22.16391089108911</v>
      </c>
      <c r="W149">
        <v>-22.236089108910893</v>
      </c>
      <c r="X149">
        <v>-22.303415841584158</v>
      </c>
      <c r="Y149">
        <v>-22.370742574257424</v>
      </c>
      <c r="Z149">
        <v>-22.448656716417908</v>
      </c>
      <c r="AA149">
        <v>-22.52825870646766</v>
      </c>
      <c r="AB149">
        <v>-22.611881188118812</v>
      </c>
      <c r="AC149">
        <v>-22.702970297029701</v>
      </c>
      <c r="AD149">
        <v>-22.794059405940594</v>
      </c>
      <c r="AE149">
        <v>-22.898217821782175</v>
      </c>
      <c r="AF149">
        <v>-23.005148514851484</v>
      </c>
      <c r="AG149">
        <v>-23.113267326732672</v>
      </c>
      <c r="AH149">
        <v>-23.224158415841583</v>
      </c>
      <c r="AI149">
        <v>-23.335049504950494</v>
      </c>
      <c r="AJ149">
        <v>-23.449009900990099</v>
      </c>
      <c r="AK149">
        <v>-23.563861386138612</v>
      </c>
      <c r="AL149">
        <v>-23.678712871287129</v>
      </c>
      <c r="AM149">
        <v>-23.793564356435642</v>
      </c>
      <c r="AN149">
        <v>-23.908415841584159</v>
      </c>
      <c r="AO149">
        <v>-24.020396039603959</v>
      </c>
      <c r="AP149">
        <v>-24.13128712871287</v>
      </c>
      <c r="AQ149">
        <v>-24.242970297029704</v>
      </c>
      <c r="AR149">
        <v>-24.357821782178217</v>
      </c>
      <c r="AS149">
        <v>-24.472673267326734</v>
      </c>
      <c r="AT149">
        <v>-24.584851485148516</v>
      </c>
      <c r="AU149">
        <v>-24.695742574257427</v>
      </c>
      <c r="AV149">
        <v>-24.806039603960397</v>
      </c>
      <c r="AW149">
        <v>-24.912970297029702</v>
      </c>
      <c r="AX149">
        <v>-25.019900990099007</v>
      </c>
      <c r="AY149">
        <v>-25.124436183395289</v>
      </c>
      <c r="AZ149">
        <v>-25.227534076827755</v>
      </c>
      <c r="BA149">
        <v>-25.330631970260221</v>
      </c>
      <c r="BB149">
        <v>-25.433729863692687</v>
      </c>
      <c r="BC149">
        <v>-25.536827757125156</v>
      </c>
      <c r="BD149">
        <v>-25.639925650557622</v>
      </c>
      <c r="BE149">
        <v>-25.743023543990088</v>
      </c>
      <c r="BF149">
        <v>-25.846121437422553</v>
      </c>
      <c r="BG149">
        <v>-25.949219330855019</v>
      </c>
      <c r="BH149">
        <v>-26.052317224287485</v>
      </c>
      <c r="BI149">
        <v>-26.155346534653464</v>
      </c>
      <c r="BJ149">
        <v>-26.258316831683167</v>
      </c>
      <c r="BK149">
        <v>-26.361336633663367</v>
      </c>
      <c r="BL149">
        <v>-26.468267326732672</v>
      </c>
      <c r="BM149">
        <v>-26.575198019801981</v>
      </c>
      <c r="BN149">
        <v>-26.680198019801978</v>
      </c>
      <c r="BO149">
        <v>-26.783168316831684</v>
      </c>
      <c r="BP149">
        <v>-26.886138613861387</v>
      </c>
      <c r="BQ149">
        <v>-26.98910891089109</v>
      </c>
      <c r="BR149">
        <v>-27.09207920792079</v>
      </c>
      <c r="BS149">
        <v>-27.193316831683166</v>
      </c>
      <c r="BT149">
        <v>-27.292326732673267</v>
      </c>
      <c r="BU149">
        <v>-27.391336633663364</v>
      </c>
      <c r="BV149">
        <v>-27.475891089108909</v>
      </c>
      <c r="BW149">
        <v>-27.559059405940594</v>
      </c>
      <c r="BX149">
        <v>-27.645472636815921</v>
      </c>
      <c r="BY149">
        <v>-27.737014925373135</v>
      </c>
      <c r="BZ149">
        <v>-27.828557213930349</v>
      </c>
      <c r="CA149">
        <v>-27.923168316831681</v>
      </c>
      <c r="CB149">
        <v>-28.018217821782176</v>
      </c>
      <c r="CC149">
        <v>-28.112574257425742</v>
      </c>
      <c r="CD149">
        <v>-28.205643564356432</v>
      </c>
      <c r="CE149">
        <v>-28.298712871287126</v>
      </c>
      <c r="CF149">
        <v>-28.39178217821782</v>
      </c>
      <c r="CG149">
        <v>-28.484851485148514</v>
      </c>
      <c r="CH149">
        <v>-28.577920792079208</v>
      </c>
      <c r="CI149">
        <v>-28.670990099009899</v>
      </c>
      <c r="CJ149">
        <v>-28.764059405940593</v>
      </c>
      <c r="CK149">
        <v>-28.857128712871287</v>
      </c>
      <c r="CL149">
        <v>-28.950198019801981</v>
      </c>
    </row>
    <row r="150" spans="1:90" ht="21.75" outlineLevel="1" thickBot="1" x14ac:dyDescent="0.4">
      <c r="A150" s="32" t="s">
        <v>100</v>
      </c>
      <c r="B150" s="64">
        <v>-16.250297029702971</v>
      </c>
      <c r="C150" s="64">
        <v>-15.853366336633664</v>
      </c>
      <c r="D150">
        <v>-15.433564356435644</v>
      </c>
      <c r="E150">
        <v>-15.008069306930691</v>
      </c>
      <c r="F150">
        <v>-14.497178217821782</v>
      </c>
      <c r="G150">
        <v>-13.98628712871287</v>
      </c>
      <c r="H150">
        <v>-13.447722772277228</v>
      </c>
      <c r="I150">
        <v>-12.885346534653465</v>
      </c>
      <c r="J150">
        <v>-12.324013613861386</v>
      </c>
      <c r="K150">
        <v>-11.845102722772276</v>
      </c>
      <c r="L150">
        <v>-11.366191831683167</v>
      </c>
      <c r="M150">
        <v>-10.887280940594058</v>
      </c>
      <c r="N150">
        <v>-10.408370049504949</v>
      </c>
      <c r="O150">
        <v>-9.92945915841584</v>
      </c>
      <c r="P150">
        <v>-9.4505482673267309</v>
      </c>
      <c r="Q150">
        <v>-8.9716373762376236</v>
      </c>
      <c r="R150">
        <v>-8.4927264851485145</v>
      </c>
      <c r="S150">
        <v>-8.0138155940594054</v>
      </c>
      <c r="T150">
        <v>-7.5349047029702962</v>
      </c>
      <c r="U150">
        <v>-7.2324405940594056</v>
      </c>
      <c r="V150">
        <v>-6.9468960396039598</v>
      </c>
      <c r="W150">
        <v>-6.6994108910891086</v>
      </c>
      <c r="X150">
        <v>-6.512084158415842</v>
      </c>
      <c r="Y150">
        <v>-6.3247574257425754</v>
      </c>
      <c r="Z150">
        <v>-6.2070000000000007</v>
      </c>
      <c r="AA150">
        <v>-6.1003333333333334</v>
      </c>
      <c r="AB150">
        <v>-6.014366336633663</v>
      </c>
      <c r="AC150">
        <v>-5.9668415841584155</v>
      </c>
      <c r="AD150">
        <v>-5.9193168316831679</v>
      </c>
      <c r="AE150">
        <v>-5.9002178217821779</v>
      </c>
      <c r="AF150">
        <v>-5.8871485148514848</v>
      </c>
      <c r="AG150">
        <v>-5.8794257425742575</v>
      </c>
      <c r="AH150">
        <v>-5.8841782178217823</v>
      </c>
      <c r="AI150">
        <v>-5.8889306930693071</v>
      </c>
      <c r="AJ150">
        <v>-5.9001287128712869</v>
      </c>
      <c r="AK150">
        <v>-5.91319801980198</v>
      </c>
      <c r="AL150">
        <v>-5.9271584158415838</v>
      </c>
      <c r="AM150">
        <v>-5.9437920792079204</v>
      </c>
      <c r="AN150">
        <v>-5.9604257425742571</v>
      </c>
      <c r="AO150">
        <v>-5.9782079207920793</v>
      </c>
      <c r="AP150">
        <v>-5.9964257425742575</v>
      </c>
      <c r="AQ150">
        <v>-6.014881188118812</v>
      </c>
      <c r="AR150">
        <v>-6.0342871287128714</v>
      </c>
      <c r="AS150">
        <v>-6.05369306930693</v>
      </c>
      <c r="AT150">
        <v>-6.0741683168316829</v>
      </c>
      <c r="AU150">
        <v>-6.0951584158415848</v>
      </c>
      <c r="AV150">
        <v>-6.1166831683168326</v>
      </c>
      <c r="AW150">
        <v>-6.1412376237623763</v>
      </c>
      <c r="AX150">
        <v>-6.1657920792079208</v>
      </c>
      <c r="AY150">
        <v>-6.1947645600991326</v>
      </c>
      <c r="AZ150">
        <v>-6.2263878562577446</v>
      </c>
      <c r="BA150">
        <v>-6.2580111524163566</v>
      </c>
      <c r="BB150">
        <v>-6.2896344485749687</v>
      </c>
      <c r="BC150">
        <v>-6.3212577447335807</v>
      </c>
      <c r="BD150">
        <v>-6.3528810408921927</v>
      </c>
      <c r="BE150">
        <v>-6.3845043370508048</v>
      </c>
      <c r="BF150">
        <v>-6.4161276332094168</v>
      </c>
      <c r="BG150">
        <v>-6.4477509293680297</v>
      </c>
      <c r="BH150">
        <v>-6.4793742255266418</v>
      </c>
      <c r="BI150">
        <v>-6.5059207920792073</v>
      </c>
      <c r="BJ150">
        <v>-6.5280990099009895</v>
      </c>
      <c r="BK150">
        <v>-6.5502772277227725</v>
      </c>
      <c r="BL150">
        <v>-6.5724554455445547</v>
      </c>
      <c r="BM150">
        <v>-6.5946336633663361</v>
      </c>
      <c r="BN150">
        <v>-6.6166188118811879</v>
      </c>
      <c r="BO150">
        <v>-6.6384009900990097</v>
      </c>
      <c r="BP150">
        <v>-6.6601831683168315</v>
      </c>
      <c r="BQ150">
        <v>-6.6827277227722774</v>
      </c>
      <c r="BR150">
        <v>-6.70530198019802</v>
      </c>
      <c r="BS150">
        <v>-6.7275297029702967</v>
      </c>
      <c r="BT150">
        <v>-6.7493118811881185</v>
      </c>
      <c r="BU150">
        <v>-6.7710940594059403</v>
      </c>
      <c r="BV150">
        <v>-6.787816831683168</v>
      </c>
      <c r="BW150">
        <v>-6.8040544554455442</v>
      </c>
      <c r="BX150">
        <v>-6.8201691542288554</v>
      </c>
      <c r="BY150">
        <v>-6.8360895522388061</v>
      </c>
      <c r="BZ150">
        <v>-6.8520099502487559</v>
      </c>
      <c r="CA150">
        <v>-6.867861386138614</v>
      </c>
      <c r="CB150">
        <v>-6.8837029702970298</v>
      </c>
      <c r="CC150">
        <v>-6.8998910891089107</v>
      </c>
      <c r="CD150">
        <v>-6.916722772277228</v>
      </c>
      <c r="CE150">
        <v>-6.9335544554455444</v>
      </c>
      <c r="CF150">
        <v>-6.9503861386138617</v>
      </c>
      <c r="CG150">
        <v>-6.9672178217821781</v>
      </c>
      <c r="CH150">
        <v>-6.9840495049504954</v>
      </c>
      <c r="CI150">
        <v>-7.0008811881188118</v>
      </c>
      <c r="CJ150">
        <v>-7.0177128712871291</v>
      </c>
      <c r="CK150">
        <v>-7.0345445544554455</v>
      </c>
      <c r="CL150">
        <v>-7.0513762376237628</v>
      </c>
    </row>
    <row r="151" spans="1:90" ht="21.75" outlineLevel="1" thickBot="1" x14ac:dyDescent="0.4">
      <c r="A151" s="32" t="s">
        <v>68</v>
      </c>
      <c r="B151" s="64">
        <v>-63.093910891089116</v>
      </c>
      <c r="C151" s="64">
        <v>-61.414405940594065</v>
      </c>
      <c r="D151">
        <v>-59.770841584158418</v>
      </c>
      <c r="E151">
        <v>-58.128019801980194</v>
      </c>
      <c r="F151">
        <v>-56.496336633663361</v>
      </c>
      <c r="G151">
        <v>-54.864653465346535</v>
      </c>
      <c r="H151">
        <v>-53.239356435643565</v>
      </c>
      <c r="I151">
        <v>-51.619554455445545</v>
      </c>
      <c r="J151">
        <v>-50.002846534653465</v>
      </c>
      <c r="K151">
        <v>-48.630569306930688</v>
      </c>
      <c r="L151">
        <v>-47.258292079207919</v>
      </c>
      <c r="M151">
        <v>-45.886014851485143</v>
      </c>
      <c r="N151">
        <v>-44.513737623762374</v>
      </c>
      <c r="O151">
        <v>-43.141460396039598</v>
      </c>
      <c r="P151">
        <v>-41.769183168316829</v>
      </c>
      <c r="Q151">
        <v>-40.396905940594053</v>
      </c>
      <c r="R151">
        <v>-39.024628712871284</v>
      </c>
      <c r="S151">
        <v>-37.652351485148507</v>
      </c>
      <c r="T151">
        <v>-36.280074257425738</v>
      </c>
      <c r="U151">
        <v>-35.198712871287121</v>
      </c>
      <c r="V151">
        <v>-34.14524752475247</v>
      </c>
      <c r="W151">
        <v>-33.130148514851484</v>
      </c>
      <c r="X151">
        <v>-32.175693069306931</v>
      </c>
      <c r="Y151">
        <v>-31.221237623762377</v>
      </c>
      <c r="Z151">
        <v>-30.317611940298509</v>
      </c>
      <c r="AA151">
        <v>-29.422089552238806</v>
      </c>
      <c r="AB151">
        <v>-28.54059405940594</v>
      </c>
      <c r="AC151">
        <v>-27.685148514851484</v>
      </c>
      <c r="AD151">
        <v>-26.829702970297028</v>
      </c>
      <c r="AE151">
        <v>-26.006930693069307</v>
      </c>
      <c r="AF151">
        <v>-25.191089108910894</v>
      </c>
      <c r="AG151">
        <v>-24.387128712871288</v>
      </c>
      <c r="AH151">
        <v>-23.610891089108911</v>
      </c>
      <c r="AI151">
        <v>-22.834653465346531</v>
      </c>
      <c r="AJ151">
        <v>-22.092178217821779</v>
      </c>
      <c r="AK151">
        <v>-21.359504950495047</v>
      </c>
      <c r="AL151">
        <v>-20.636732673267325</v>
      </c>
      <c r="AM151">
        <v>-19.943663366336633</v>
      </c>
      <c r="AN151">
        <v>-19.250594059405941</v>
      </c>
      <c r="AO151">
        <v>-18.583366336633663</v>
      </c>
      <c r="AP151">
        <v>-17.925940594059405</v>
      </c>
      <c r="AQ151">
        <v>-17.275643564356432</v>
      </c>
      <c r="AR151">
        <v>-16.653861386138612</v>
      </c>
      <c r="AS151">
        <v>-16.032079207920795</v>
      </c>
      <c r="AT151">
        <v>-15.437029702970298</v>
      </c>
      <c r="AU151">
        <v>-14.854851485148513</v>
      </c>
      <c r="AV151">
        <v>-14.279801980198016</v>
      </c>
      <c r="AW151">
        <v>-13.745148514851483</v>
      </c>
      <c r="AX151">
        <v>-13.210495049504949</v>
      </c>
      <c r="AY151">
        <v>-12.811301115241635</v>
      </c>
      <c r="AZ151">
        <v>-12.493382899628253</v>
      </c>
      <c r="BA151">
        <v>-12.175464684014869</v>
      </c>
      <c r="BB151">
        <v>-11.857546468401488</v>
      </c>
      <c r="BC151">
        <v>-11.539628252788106</v>
      </c>
      <c r="BD151">
        <v>-11.221710037174722</v>
      </c>
      <c r="BE151">
        <v>-10.90379182156134</v>
      </c>
      <c r="BF151">
        <v>-10.585873605947958</v>
      </c>
      <c r="BG151">
        <v>-10.267955390334574</v>
      </c>
      <c r="BH151">
        <v>-9.9500371747211922</v>
      </c>
      <c r="BI151">
        <v>-9.6984801980198032</v>
      </c>
      <c r="BJ151">
        <v>-9.5040247524752477</v>
      </c>
      <c r="BK151">
        <v>-9.3097524752475245</v>
      </c>
      <c r="BL151">
        <v>-9.1299504950495045</v>
      </c>
      <c r="BM151">
        <v>-8.9501485148514863</v>
      </c>
      <c r="BN151">
        <v>-8.7771039603960403</v>
      </c>
      <c r="BO151">
        <v>-8.6111633663366334</v>
      </c>
      <c r="BP151">
        <v>-8.4452227722772264</v>
      </c>
      <c r="BQ151">
        <v>-8.2907178217821773</v>
      </c>
      <c r="BR151">
        <v>-8.136658415841584</v>
      </c>
      <c r="BS151">
        <v>-7.9902227722772281</v>
      </c>
      <c r="BT151">
        <v>-7.8535891089108922</v>
      </c>
      <c r="BU151">
        <v>-7.7169554455445555</v>
      </c>
      <c r="BV151">
        <v>-7.7299356435643567</v>
      </c>
      <c r="BW151">
        <v>-7.757262376237624</v>
      </c>
      <c r="BX151">
        <v>-7.7849502487562185</v>
      </c>
      <c r="BY151">
        <v>-7.8132089552238808</v>
      </c>
      <c r="BZ151">
        <v>-7.8414676616915422</v>
      </c>
      <c r="CA151">
        <v>-7.8692574257425738</v>
      </c>
      <c r="CB151">
        <v>-7.8969801980198016</v>
      </c>
      <c r="CC151">
        <v>-7.9244257425742575</v>
      </c>
      <c r="CD151">
        <v>-7.9513564356435644</v>
      </c>
      <c r="CE151">
        <v>-7.9782871287128714</v>
      </c>
      <c r="CF151">
        <v>-8.0052178217821783</v>
      </c>
      <c r="CG151">
        <v>-8.0321485148514853</v>
      </c>
      <c r="CH151">
        <v>-8.0590792079207922</v>
      </c>
      <c r="CI151">
        <v>-8.0860099009900992</v>
      </c>
      <c r="CJ151">
        <v>-8.1129405940594062</v>
      </c>
      <c r="CK151">
        <v>-8.1398712871287131</v>
      </c>
      <c r="CL151">
        <v>-8.1668019801980201</v>
      </c>
    </row>
    <row r="152" spans="1:90" ht="21.75" outlineLevel="1" thickBot="1" x14ac:dyDescent="0.4">
      <c r="A152" s="32" t="s">
        <v>67</v>
      </c>
      <c r="B152" s="64">
        <v>-16.250297029702971</v>
      </c>
      <c r="C152" s="64">
        <v>-15.853366336633664</v>
      </c>
      <c r="D152">
        <v>-15.433564356435644</v>
      </c>
      <c r="E152">
        <v>-15.008069306930691</v>
      </c>
      <c r="F152">
        <v>-14.497178217821782</v>
      </c>
      <c r="G152">
        <v>-13.98628712871287</v>
      </c>
      <c r="H152">
        <v>-13.447722772277228</v>
      </c>
      <c r="I152">
        <v>-12.885346534653465</v>
      </c>
      <c r="J152">
        <v>-12.324013613861386</v>
      </c>
      <c r="K152">
        <v>-11.845102722772276</v>
      </c>
      <c r="L152">
        <v>-11.366191831683167</v>
      </c>
      <c r="M152">
        <v>-10.887280940594058</v>
      </c>
      <c r="N152">
        <v>-10.408370049504949</v>
      </c>
      <c r="O152">
        <v>-9.92945915841584</v>
      </c>
      <c r="P152">
        <v>-9.4505482673267309</v>
      </c>
      <c r="Q152">
        <v>-8.9716373762376236</v>
      </c>
      <c r="R152">
        <v>-8.4927264851485145</v>
      </c>
      <c r="S152">
        <v>-8.0138155940594054</v>
      </c>
      <c r="T152">
        <v>-7.5349047029702962</v>
      </c>
      <c r="U152">
        <v>-7.2324405940594056</v>
      </c>
      <c r="V152">
        <v>-6.9468960396039598</v>
      </c>
      <c r="W152">
        <v>-6.6994108910891086</v>
      </c>
      <c r="X152">
        <v>-6.512084158415842</v>
      </c>
      <c r="Y152">
        <v>-6.3247574257425754</v>
      </c>
      <c r="Z152">
        <v>-6.2070000000000007</v>
      </c>
      <c r="AA152">
        <v>-6.1003333333333334</v>
      </c>
      <c r="AB152">
        <v>-6.014366336633663</v>
      </c>
      <c r="AC152">
        <v>-5.9668415841584155</v>
      </c>
      <c r="AD152">
        <v>-5.9193168316831679</v>
      </c>
      <c r="AE152">
        <v>-5.9002178217821779</v>
      </c>
      <c r="AF152">
        <v>-5.8871485148514848</v>
      </c>
      <c r="AG152">
        <v>-5.8794257425742575</v>
      </c>
      <c r="AH152">
        <v>-5.8841782178217823</v>
      </c>
      <c r="AI152">
        <v>-5.8889306930693071</v>
      </c>
      <c r="AJ152">
        <v>-5.9001287128712869</v>
      </c>
      <c r="AK152">
        <v>-5.91319801980198</v>
      </c>
      <c r="AL152">
        <v>-5.9271584158415838</v>
      </c>
      <c r="AM152">
        <v>-5.9437920792079204</v>
      </c>
      <c r="AN152">
        <v>-5.9604257425742571</v>
      </c>
      <c r="AO152">
        <v>-5.9782079207920793</v>
      </c>
      <c r="AP152">
        <v>-5.9964257425742575</v>
      </c>
      <c r="AQ152">
        <v>-6.014881188118812</v>
      </c>
      <c r="AR152">
        <v>-6.0342871287128714</v>
      </c>
      <c r="AS152">
        <v>-6.05369306930693</v>
      </c>
      <c r="AT152">
        <v>-6.0741683168316829</v>
      </c>
      <c r="AU152">
        <v>-6.0951584158415848</v>
      </c>
      <c r="AV152">
        <v>-6.1166831683168326</v>
      </c>
      <c r="AW152">
        <v>-6.1412376237623763</v>
      </c>
      <c r="AX152">
        <v>-6.1657920792079208</v>
      </c>
      <c r="AY152">
        <v>-6.1947645600991326</v>
      </c>
      <c r="AZ152">
        <v>-6.2263878562577446</v>
      </c>
      <c r="BA152">
        <v>-6.2580111524163566</v>
      </c>
      <c r="BB152">
        <v>-6.2896344485749687</v>
      </c>
      <c r="BC152">
        <v>-6.3212577447335807</v>
      </c>
      <c r="BD152">
        <v>-6.3528810408921927</v>
      </c>
      <c r="BE152">
        <v>-6.3845043370508048</v>
      </c>
      <c r="BF152">
        <v>-6.4161276332094168</v>
      </c>
      <c r="BG152">
        <v>-6.4477509293680297</v>
      </c>
      <c r="BH152">
        <v>-6.4793742255266418</v>
      </c>
      <c r="BI152">
        <v>-6.5059207920792073</v>
      </c>
      <c r="BJ152">
        <v>-6.5280990099009895</v>
      </c>
      <c r="BK152">
        <v>-6.5502772277227725</v>
      </c>
      <c r="BL152">
        <v>-6.5724554455445547</v>
      </c>
      <c r="BM152">
        <v>-6.5946336633663361</v>
      </c>
      <c r="BN152">
        <v>-6.6166188118811879</v>
      </c>
      <c r="BO152">
        <v>-6.6384009900990097</v>
      </c>
      <c r="BP152">
        <v>-6.6601831683168315</v>
      </c>
      <c r="BQ152">
        <v>-6.6827277227722774</v>
      </c>
      <c r="BR152">
        <v>-6.70530198019802</v>
      </c>
      <c r="BS152">
        <v>-6.7275297029702967</v>
      </c>
      <c r="BT152">
        <v>-6.7493118811881185</v>
      </c>
      <c r="BU152">
        <v>-6.7710940594059403</v>
      </c>
      <c r="BV152">
        <v>-6.787816831683168</v>
      </c>
      <c r="BW152">
        <v>-6.8040544554455442</v>
      </c>
      <c r="BX152">
        <v>-6.8201691542288554</v>
      </c>
      <c r="BY152">
        <v>-6.8360895522388061</v>
      </c>
      <c r="BZ152">
        <v>-6.8520099502487559</v>
      </c>
      <c r="CA152">
        <v>-6.867861386138614</v>
      </c>
      <c r="CB152">
        <v>-6.8837029702970298</v>
      </c>
      <c r="CC152">
        <v>-6.8998910891089107</v>
      </c>
      <c r="CD152">
        <v>-6.916722772277228</v>
      </c>
      <c r="CE152">
        <v>-6.9335544554455444</v>
      </c>
      <c r="CF152">
        <v>-6.9503861386138617</v>
      </c>
      <c r="CG152">
        <v>-6.9672178217821781</v>
      </c>
      <c r="CH152">
        <v>-6.9840495049504954</v>
      </c>
      <c r="CI152">
        <v>-7.0008811881188118</v>
      </c>
      <c r="CJ152">
        <v>-7.0177128712871291</v>
      </c>
      <c r="CK152">
        <v>-7.0345445544554455</v>
      </c>
      <c r="CL152">
        <v>-7.0513762376237628</v>
      </c>
    </row>
    <row r="153" spans="1:90" ht="21.75" outlineLevel="1" thickBot="1" x14ac:dyDescent="0.4">
      <c r="A153" s="32" t="s">
        <v>36</v>
      </c>
      <c r="B153" s="64">
        <v>-18.701633663366337</v>
      </c>
      <c r="C153" s="64">
        <v>-18.7</v>
      </c>
      <c r="D153">
        <v>-18.7</v>
      </c>
      <c r="E153">
        <v>-18.7</v>
      </c>
      <c r="F153">
        <v>-18.7</v>
      </c>
      <c r="G153">
        <v>-18.7</v>
      </c>
      <c r="H153">
        <v>-18.704257425742572</v>
      </c>
      <c r="I153">
        <v>-18.71217821782178</v>
      </c>
      <c r="J153">
        <v>-18.72013613861386</v>
      </c>
      <c r="K153">
        <v>-18.73102722772277</v>
      </c>
      <c r="L153">
        <v>-18.741918316831683</v>
      </c>
      <c r="M153">
        <v>-18.752809405940592</v>
      </c>
      <c r="N153">
        <v>-18.763700495049502</v>
      </c>
      <c r="O153">
        <v>-18.774591584158415</v>
      </c>
      <c r="P153">
        <v>-18.785482673267325</v>
      </c>
      <c r="Q153">
        <v>-18.796373762376238</v>
      </c>
      <c r="R153">
        <v>-18.807264851485147</v>
      </c>
      <c r="S153">
        <v>-18.818155940594057</v>
      </c>
      <c r="T153">
        <v>-18.82904702970297</v>
      </c>
      <c r="U153">
        <v>-18.844455445544554</v>
      </c>
      <c r="V153">
        <v>-18.86029702970297</v>
      </c>
      <c r="W153">
        <v>-18.87460396039604</v>
      </c>
      <c r="X153">
        <v>-18.886485148514851</v>
      </c>
      <c r="Y153">
        <v>-18.898366336633661</v>
      </c>
      <c r="Z153">
        <v>-18.913731343283583</v>
      </c>
      <c r="AA153">
        <v>-18.929651741293533</v>
      </c>
      <c r="AB153">
        <v>-18.945544554455445</v>
      </c>
      <c r="AC153">
        <v>-18.961386138613861</v>
      </c>
      <c r="AD153">
        <v>-18.977227722772277</v>
      </c>
      <c r="AE153">
        <v>-18.993069306930693</v>
      </c>
      <c r="AF153">
        <v>-19.008910891089108</v>
      </c>
      <c r="AG153">
        <v>-19.024752475247524</v>
      </c>
      <c r="AH153">
        <v>-19.04059405940594</v>
      </c>
      <c r="AI153">
        <v>-19.056435643564356</v>
      </c>
      <c r="AJ153">
        <v>-19.072277227722772</v>
      </c>
      <c r="AK153">
        <v>-19.088118811881188</v>
      </c>
      <c r="AL153">
        <v>-19.103960396039604</v>
      </c>
      <c r="AM153">
        <v>-19.119801980198019</v>
      </c>
      <c r="AN153">
        <v>-19.135643564356435</v>
      </c>
      <c r="AO153">
        <v>-19.151485148514851</v>
      </c>
      <c r="AP153">
        <v>-19.167326732673267</v>
      </c>
      <c r="AQ153">
        <v>-19.183960396039605</v>
      </c>
      <c r="AR153">
        <v>-19.203762376237623</v>
      </c>
      <c r="AS153">
        <v>-19.223564356435645</v>
      </c>
      <c r="AT153">
        <v>-19.240693069306932</v>
      </c>
      <c r="AU153">
        <v>-19.256534653465348</v>
      </c>
      <c r="AV153">
        <v>-19.271782178217823</v>
      </c>
      <c r="AW153">
        <v>-19.283663366336633</v>
      </c>
      <c r="AX153">
        <v>-19.295544554455446</v>
      </c>
      <c r="AY153">
        <v>-19.308054522924412</v>
      </c>
      <c r="AZ153">
        <v>-19.320941759603471</v>
      </c>
      <c r="BA153">
        <v>-19.333828996282527</v>
      </c>
      <c r="BB153">
        <v>-19.346716232961587</v>
      </c>
      <c r="BC153">
        <v>-19.359603469640646</v>
      </c>
      <c r="BD153">
        <v>-19.372490706319702</v>
      </c>
      <c r="BE153">
        <v>-19.385377942998762</v>
      </c>
      <c r="BF153">
        <v>-19.398265179677818</v>
      </c>
      <c r="BG153">
        <v>-19.411152416356877</v>
      </c>
      <c r="BH153">
        <v>-19.424039653035937</v>
      </c>
      <c r="BI153">
        <v>-19.438514851485149</v>
      </c>
      <c r="BJ153">
        <v>-19.454356435643565</v>
      </c>
      <c r="BK153">
        <v>-19.47019801980198</v>
      </c>
      <c r="BL153">
        <v>-19.486039603960396</v>
      </c>
      <c r="BM153">
        <v>-19.501881188118812</v>
      </c>
      <c r="BN153">
        <v>-19.517722772277228</v>
      </c>
      <c r="BO153">
        <v>-19.533564356435644</v>
      </c>
      <c r="BP153">
        <v>-19.54940594059406</v>
      </c>
      <c r="BQ153">
        <v>-19.565247524752476</v>
      </c>
      <c r="BR153">
        <v>-19.581089108910891</v>
      </c>
      <c r="BS153">
        <v>-19.59519801980198</v>
      </c>
      <c r="BT153">
        <v>-19.607079207920794</v>
      </c>
      <c r="BU153">
        <v>-19.618960396039604</v>
      </c>
      <c r="BV153">
        <v>-19.634455445544557</v>
      </c>
      <c r="BW153">
        <v>-19.650297029702969</v>
      </c>
      <c r="BX153">
        <v>-19.666169154228857</v>
      </c>
      <c r="BY153">
        <v>-19.682089552238807</v>
      </c>
      <c r="BZ153">
        <v>-19.698009950248757</v>
      </c>
      <c r="CA153">
        <v>-19.713861386138614</v>
      </c>
      <c r="CB153">
        <v>-19.72970297029703</v>
      </c>
      <c r="CC153">
        <v>-19.744851485148512</v>
      </c>
      <c r="CD153">
        <v>-19.758712871287127</v>
      </c>
      <c r="CE153">
        <v>-19.772574257425742</v>
      </c>
      <c r="CF153">
        <v>-19.786435643564356</v>
      </c>
      <c r="CG153">
        <v>-19.800297029702968</v>
      </c>
      <c r="CH153">
        <v>-19.814158415841582</v>
      </c>
      <c r="CI153">
        <v>-19.828019801980197</v>
      </c>
      <c r="CJ153">
        <v>-19.841881188118812</v>
      </c>
      <c r="CK153">
        <v>-19.855742574257423</v>
      </c>
      <c r="CL153">
        <v>-19.869603960396038</v>
      </c>
    </row>
    <row r="154" spans="1:90" ht="21.75" outlineLevel="1" thickBot="1" x14ac:dyDescent="0.4">
      <c r="A154" s="32" t="s">
        <v>5</v>
      </c>
      <c r="B154" s="64">
        <v>-63.093910891089116</v>
      </c>
      <c r="C154" s="64">
        <v>-61.414405940594065</v>
      </c>
      <c r="D154">
        <v>-59.770841584158418</v>
      </c>
      <c r="E154">
        <v>-58.128019801980194</v>
      </c>
      <c r="F154">
        <v>-56.496336633663361</v>
      </c>
      <c r="G154">
        <v>-54.864653465346535</v>
      </c>
      <c r="H154">
        <v>-53.239356435643565</v>
      </c>
      <c r="I154">
        <v>-51.619554455445545</v>
      </c>
      <c r="J154">
        <v>-50.002846534653465</v>
      </c>
      <c r="K154">
        <v>-48.630569306930688</v>
      </c>
      <c r="L154">
        <v>-47.258292079207919</v>
      </c>
      <c r="M154">
        <v>-45.886014851485143</v>
      </c>
      <c r="N154">
        <v>-44.513737623762374</v>
      </c>
      <c r="O154">
        <v>-43.141460396039598</v>
      </c>
      <c r="P154">
        <v>-41.769183168316829</v>
      </c>
      <c r="Q154">
        <v>-40.396905940594053</v>
      </c>
      <c r="R154">
        <v>-39.024628712871284</v>
      </c>
      <c r="S154">
        <v>-37.652351485148507</v>
      </c>
      <c r="T154">
        <v>-36.280074257425738</v>
      </c>
      <c r="U154">
        <v>-35.198712871287121</v>
      </c>
      <c r="V154">
        <v>-34.14524752475247</v>
      </c>
      <c r="W154">
        <v>-33.130148514851484</v>
      </c>
      <c r="X154">
        <v>-32.175693069306931</v>
      </c>
      <c r="Y154">
        <v>-31.221237623762377</v>
      </c>
      <c r="Z154">
        <v>-30.317611940298509</v>
      </c>
      <c r="AA154">
        <v>-29.422089552238806</v>
      </c>
      <c r="AB154">
        <v>-28.54059405940594</v>
      </c>
      <c r="AC154">
        <v>-27.685148514851484</v>
      </c>
      <c r="AD154">
        <v>-26.829702970297028</v>
      </c>
      <c r="AE154">
        <v>-26.006930693069307</v>
      </c>
      <c r="AF154">
        <v>-25.191089108910894</v>
      </c>
      <c r="AG154">
        <v>-24.387128712871288</v>
      </c>
      <c r="AH154">
        <v>-23.610891089108911</v>
      </c>
      <c r="AI154">
        <v>-22.834653465346531</v>
      </c>
      <c r="AJ154">
        <v>-22.092178217821779</v>
      </c>
      <c r="AK154">
        <v>-21.359504950495047</v>
      </c>
      <c r="AL154">
        <v>-20.636732673267325</v>
      </c>
      <c r="AM154">
        <v>-19.943663366336633</v>
      </c>
      <c r="AN154">
        <v>-19.250594059405941</v>
      </c>
      <c r="AO154">
        <v>-18.583366336633663</v>
      </c>
      <c r="AP154">
        <v>-17.925940594059405</v>
      </c>
      <c r="AQ154">
        <v>-17.275643564356432</v>
      </c>
      <c r="AR154">
        <v>-16.653861386138612</v>
      </c>
      <c r="AS154">
        <v>-16.032079207920795</v>
      </c>
      <c r="AT154">
        <v>-15.437029702970298</v>
      </c>
      <c r="AU154">
        <v>-14.854851485148513</v>
      </c>
      <c r="AV154">
        <v>-14.279801980198016</v>
      </c>
      <c r="AW154">
        <v>-13.745148514851483</v>
      </c>
      <c r="AX154">
        <v>-13.210495049504949</v>
      </c>
      <c r="AY154">
        <v>-12.811301115241635</v>
      </c>
      <c r="AZ154">
        <v>-12.493382899628253</v>
      </c>
      <c r="BA154">
        <v>-12.175464684014869</v>
      </c>
      <c r="BB154">
        <v>-11.857546468401488</v>
      </c>
      <c r="BC154">
        <v>-11.539628252788106</v>
      </c>
      <c r="BD154">
        <v>-11.221710037174722</v>
      </c>
      <c r="BE154">
        <v>-10.90379182156134</v>
      </c>
      <c r="BF154">
        <v>-10.585873605947958</v>
      </c>
      <c r="BG154">
        <v>-10.267955390334574</v>
      </c>
      <c r="BH154">
        <v>-9.9500371747211922</v>
      </c>
      <c r="BI154">
        <v>-9.6984801980198032</v>
      </c>
      <c r="BJ154">
        <v>-9.5040247524752477</v>
      </c>
      <c r="BK154">
        <v>-9.3097524752475245</v>
      </c>
      <c r="BL154">
        <v>-9.1299504950495045</v>
      </c>
      <c r="BM154">
        <v>-8.9501485148514863</v>
      </c>
      <c r="BN154">
        <v>-8.7771039603960403</v>
      </c>
      <c r="BO154">
        <v>-8.6111633663366334</v>
      </c>
      <c r="BP154">
        <v>-8.4452227722772264</v>
      </c>
      <c r="BQ154">
        <v>-8.2907178217821773</v>
      </c>
      <c r="BR154">
        <v>-8.136658415841584</v>
      </c>
      <c r="BS154">
        <v>-7.9902227722772281</v>
      </c>
      <c r="BT154">
        <v>-7.8535891089108922</v>
      </c>
      <c r="BU154">
        <v>-7.7169554455445555</v>
      </c>
      <c r="BV154">
        <v>-7.7299356435643567</v>
      </c>
      <c r="BW154">
        <v>-7.757262376237624</v>
      </c>
      <c r="BX154">
        <v>-7.7849502487562185</v>
      </c>
      <c r="BY154">
        <v>-7.8132089552238808</v>
      </c>
      <c r="BZ154">
        <v>-7.8414676616915422</v>
      </c>
      <c r="CA154">
        <v>-7.8692574257425738</v>
      </c>
      <c r="CB154">
        <v>-7.8969801980198016</v>
      </c>
      <c r="CC154">
        <v>-7.9244257425742575</v>
      </c>
      <c r="CD154">
        <v>-7.9513564356435644</v>
      </c>
      <c r="CE154">
        <v>-7.9782871287128714</v>
      </c>
      <c r="CF154">
        <v>-8.0052178217821783</v>
      </c>
      <c r="CG154">
        <v>-8.0321485148514853</v>
      </c>
      <c r="CH154">
        <v>-8.0590792079207922</v>
      </c>
      <c r="CI154">
        <v>-8.0860099009900992</v>
      </c>
      <c r="CJ154">
        <v>-8.1129405940594062</v>
      </c>
      <c r="CK154">
        <v>-8.1398712871287131</v>
      </c>
      <c r="CL154">
        <v>-8.1668019801980201</v>
      </c>
    </row>
    <row r="155" spans="1:90" ht="21.75" outlineLevel="1" thickBot="1" x14ac:dyDescent="0.4">
      <c r="A155" s="32" t="s">
        <v>6</v>
      </c>
      <c r="B155" s="64">
        <v>-16.250297029702971</v>
      </c>
      <c r="C155" s="64">
        <v>-15.853366336633664</v>
      </c>
      <c r="D155">
        <v>-15.433564356435644</v>
      </c>
      <c r="E155">
        <v>-15.008069306930691</v>
      </c>
      <c r="F155">
        <v>-14.497178217821782</v>
      </c>
      <c r="G155">
        <v>-13.98628712871287</v>
      </c>
      <c r="H155">
        <v>-13.447722772277228</v>
      </c>
      <c r="I155">
        <v>-12.885346534653465</v>
      </c>
      <c r="J155">
        <v>-12.324013613861386</v>
      </c>
      <c r="K155">
        <v>-11.845102722772276</v>
      </c>
      <c r="L155">
        <v>-11.366191831683167</v>
      </c>
      <c r="M155">
        <v>-10.887280940594058</v>
      </c>
      <c r="N155">
        <v>-10.408370049504949</v>
      </c>
      <c r="O155">
        <v>-9.92945915841584</v>
      </c>
      <c r="P155">
        <v>-9.4505482673267309</v>
      </c>
      <c r="Q155">
        <v>-8.9716373762376236</v>
      </c>
      <c r="R155">
        <v>-8.4927264851485145</v>
      </c>
      <c r="S155">
        <v>-8.0138155940594054</v>
      </c>
      <c r="T155">
        <v>-7.5349047029702962</v>
      </c>
      <c r="U155">
        <v>-7.2324405940594056</v>
      </c>
      <c r="V155">
        <v>-6.9468960396039598</v>
      </c>
      <c r="W155">
        <v>-6.6994108910891086</v>
      </c>
      <c r="X155">
        <v>-6.512084158415842</v>
      </c>
      <c r="Y155">
        <v>-6.3247574257425754</v>
      </c>
      <c r="Z155">
        <v>-6.2070000000000007</v>
      </c>
      <c r="AA155">
        <v>-6.1003333333333334</v>
      </c>
      <c r="AB155">
        <v>-6.014366336633663</v>
      </c>
      <c r="AC155">
        <v>-5.9668415841584155</v>
      </c>
      <c r="AD155">
        <v>-5.9193168316831679</v>
      </c>
      <c r="AE155">
        <v>-5.9002178217821779</v>
      </c>
      <c r="AF155">
        <v>-5.8871485148514848</v>
      </c>
      <c r="AG155">
        <v>-5.8794257425742575</v>
      </c>
      <c r="AH155">
        <v>-5.8841782178217823</v>
      </c>
      <c r="AI155">
        <v>-5.8889306930693071</v>
      </c>
      <c r="AJ155">
        <v>-5.9001287128712869</v>
      </c>
      <c r="AK155">
        <v>-5.91319801980198</v>
      </c>
      <c r="AL155">
        <v>-5.9271584158415838</v>
      </c>
      <c r="AM155">
        <v>-5.9437920792079204</v>
      </c>
      <c r="AN155">
        <v>-5.9604257425742571</v>
      </c>
      <c r="AO155">
        <v>-5.9782079207920793</v>
      </c>
      <c r="AP155">
        <v>-5.9964257425742575</v>
      </c>
      <c r="AQ155">
        <v>-6.014881188118812</v>
      </c>
      <c r="AR155">
        <v>-6.0342871287128714</v>
      </c>
      <c r="AS155">
        <v>-6.05369306930693</v>
      </c>
      <c r="AT155">
        <v>-6.0741683168316829</v>
      </c>
      <c r="AU155">
        <v>-6.0951584158415848</v>
      </c>
      <c r="AV155">
        <v>-6.1166831683168326</v>
      </c>
      <c r="AW155">
        <v>-6.1412376237623763</v>
      </c>
      <c r="AX155">
        <v>-6.1657920792079208</v>
      </c>
      <c r="AY155">
        <v>-6.1947645600991326</v>
      </c>
      <c r="AZ155">
        <v>-6.2263878562577446</v>
      </c>
      <c r="BA155">
        <v>-6.2580111524163566</v>
      </c>
      <c r="BB155">
        <v>-6.2896344485749687</v>
      </c>
      <c r="BC155">
        <v>-6.3212577447335807</v>
      </c>
      <c r="BD155">
        <v>-6.3528810408921927</v>
      </c>
      <c r="BE155">
        <v>-6.3845043370508048</v>
      </c>
      <c r="BF155">
        <v>-6.4161276332094168</v>
      </c>
      <c r="BG155">
        <v>-6.4477509293680297</v>
      </c>
      <c r="BH155">
        <v>-6.4793742255266418</v>
      </c>
      <c r="BI155">
        <v>-6.5059207920792073</v>
      </c>
      <c r="BJ155">
        <v>-6.5280990099009895</v>
      </c>
      <c r="BK155">
        <v>-6.5502772277227725</v>
      </c>
      <c r="BL155">
        <v>-6.5724554455445547</v>
      </c>
      <c r="BM155">
        <v>-6.5946336633663361</v>
      </c>
      <c r="BN155">
        <v>-6.6166188118811879</v>
      </c>
      <c r="BO155">
        <v>-6.6384009900990097</v>
      </c>
      <c r="BP155">
        <v>-6.6601831683168315</v>
      </c>
      <c r="BQ155">
        <v>-6.6827277227722774</v>
      </c>
      <c r="BR155">
        <v>-6.70530198019802</v>
      </c>
      <c r="BS155">
        <v>-6.7275297029702967</v>
      </c>
      <c r="BT155">
        <v>-6.7493118811881185</v>
      </c>
      <c r="BU155">
        <v>-6.7710940594059403</v>
      </c>
      <c r="BV155">
        <v>-6.787816831683168</v>
      </c>
      <c r="BW155">
        <v>-6.8040544554455442</v>
      </c>
      <c r="BX155">
        <v>-6.8201691542288554</v>
      </c>
      <c r="BY155">
        <v>-6.8360895522388061</v>
      </c>
      <c r="BZ155">
        <v>-6.8520099502487559</v>
      </c>
      <c r="CA155">
        <v>-6.867861386138614</v>
      </c>
      <c r="CB155">
        <v>-6.8837029702970298</v>
      </c>
      <c r="CC155">
        <v>-6.8998910891089107</v>
      </c>
      <c r="CD155">
        <v>-6.916722772277228</v>
      </c>
      <c r="CE155">
        <v>-6.9335544554455444</v>
      </c>
      <c r="CF155">
        <v>-6.9503861386138617</v>
      </c>
      <c r="CG155">
        <v>-6.9672178217821781</v>
      </c>
      <c r="CH155">
        <v>-6.9840495049504954</v>
      </c>
      <c r="CI155">
        <v>-7.0008811881188118</v>
      </c>
      <c r="CJ155">
        <v>-7.0177128712871291</v>
      </c>
      <c r="CK155">
        <v>-7.0345445544554455</v>
      </c>
      <c r="CL155">
        <v>-7.0513762376237628</v>
      </c>
    </row>
    <row r="156" spans="1:90" ht="21.75" outlineLevel="1" thickBot="1" x14ac:dyDescent="0.4">
      <c r="A156" s="32" t="s">
        <v>7</v>
      </c>
      <c r="B156" s="64">
        <v>-22.530940594059405</v>
      </c>
      <c r="C156" s="64">
        <v>-22.141534653465346</v>
      </c>
      <c r="D156">
        <v>-21.820742574257427</v>
      </c>
      <c r="E156">
        <v>-21.510841584158417</v>
      </c>
      <c r="F156">
        <v>-21.364306930693068</v>
      </c>
      <c r="G156">
        <v>-21.21777227722772</v>
      </c>
      <c r="H156">
        <v>-21.145742574257426</v>
      </c>
      <c r="I156">
        <v>-21.137821782178218</v>
      </c>
      <c r="J156">
        <v>-21.131101485148513</v>
      </c>
      <c r="K156">
        <v>-21.219220297029704</v>
      </c>
      <c r="L156">
        <v>-21.307339108910892</v>
      </c>
      <c r="M156">
        <v>-21.395457920792079</v>
      </c>
      <c r="N156">
        <v>-21.483576732673267</v>
      </c>
      <c r="O156">
        <v>-21.571695544554455</v>
      </c>
      <c r="P156">
        <v>-21.659814356435643</v>
      </c>
      <c r="Q156">
        <v>-21.74793316831683</v>
      </c>
      <c r="R156">
        <v>-21.836051980198018</v>
      </c>
      <c r="S156">
        <v>-21.924170792079206</v>
      </c>
      <c r="T156">
        <v>-22.012289603960397</v>
      </c>
      <c r="U156">
        <v>-22.088663366336633</v>
      </c>
      <c r="V156">
        <v>-22.16391089108911</v>
      </c>
      <c r="W156">
        <v>-22.236089108910893</v>
      </c>
      <c r="X156">
        <v>-22.303415841584158</v>
      </c>
      <c r="Y156">
        <v>-22.370742574257424</v>
      </c>
      <c r="Z156">
        <v>-22.448656716417908</v>
      </c>
      <c r="AA156">
        <v>-22.52825870646766</v>
      </c>
      <c r="AB156">
        <v>-22.611881188118812</v>
      </c>
      <c r="AC156">
        <v>-22.702970297029701</v>
      </c>
      <c r="AD156">
        <v>-22.794059405940594</v>
      </c>
      <c r="AE156">
        <v>-22.898217821782175</v>
      </c>
      <c r="AF156">
        <v>-23.005148514851484</v>
      </c>
      <c r="AG156">
        <v>-23.113267326732672</v>
      </c>
      <c r="AH156">
        <v>-23.224158415841583</v>
      </c>
      <c r="AI156">
        <v>-23.335049504950494</v>
      </c>
      <c r="AJ156">
        <v>-23.449009900990099</v>
      </c>
      <c r="AK156">
        <v>-23.563861386138612</v>
      </c>
      <c r="AL156">
        <v>-23.678712871287129</v>
      </c>
      <c r="AM156">
        <v>-23.793564356435642</v>
      </c>
      <c r="AN156">
        <v>-23.908415841584159</v>
      </c>
      <c r="AO156">
        <v>-24.020396039603959</v>
      </c>
      <c r="AP156">
        <v>-24.13128712871287</v>
      </c>
      <c r="AQ156">
        <v>-24.242970297029704</v>
      </c>
      <c r="AR156">
        <v>-24.357821782178217</v>
      </c>
      <c r="AS156">
        <v>-24.472673267326734</v>
      </c>
      <c r="AT156">
        <v>-24.584851485148516</v>
      </c>
      <c r="AU156">
        <v>-24.695742574257427</v>
      </c>
      <c r="AV156">
        <v>-24.806039603960397</v>
      </c>
      <c r="AW156">
        <v>-24.912970297029702</v>
      </c>
      <c r="AX156">
        <v>-25.019900990099007</v>
      </c>
      <c r="AY156">
        <v>-25.124436183395289</v>
      </c>
      <c r="AZ156">
        <v>-25.227534076827755</v>
      </c>
      <c r="BA156">
        <v>-25.330631970260221</v>
      </c>
      <c r="BB156">
        <v>-25.433729863692687</v>
      </c>
      <c r="BC156">
        <v>-25.536827757125156</v>
      </c>
      <c r="BD156">
        <v>-25.639925650557622</v>
      </c>
      <c r="BE156">
        <v>-25.743023543990088</v>
      </c>
      <c r="BF156">
        <v>-25.846121437422553</v>
      </c>
      <c r="BG156">
        <v>-25.949219330855019</v>
      </c>
      <c r="BH156">
        <v>-26.052317224287485</v>
      </c>
      <c r="BI156">
        <v>-26.155346534653464</v>
      </c>
      <c r="BJ156">
        <v>-26.258316831683167</v>
      </c>
      <c r="BK156">
        <v>-26.361336633663367</v>
      </c>
      <c r="BL156">
        <v>-26.468267326732672</v>
      </c>
      <c r="BM156">
        <v>-26.575198019801981</v>
      </c>
      <c r="BN156">
        <v>-26.680198019801978</v>
      </c>
      <c r="BO156">
        <v>-26.783168316831684</v>
      </c>
      <c r="BP156">
        <v>-26.886138613861387</v>
      </c>
      <c r="BQ156">
        <v>-26.98910891089109</v>
      </c>
      <c r="BR156">
        <v>-27.09207920792079</v>
      </c>
      <c r="BS156">
        <v>-27.193316831683166</v>
      </c>
      <c r="BT156">
        <v>-27.292326732673267</v>
      </c>
      <c r="BU156">
        <v>-27.391336633663364</v>
      </c>
      <c r="BV156">
        <v>-27.475891089108909</v>
      </c>
      <c r="BW156">
        <v>-27.559059405940594</v>
      </c>
      <c r="BX156">
        <v>-27.645472636815921</v>
      </c>
      <c r="BY156">
        <v>-27.737014925373135</v>
      </c>
      <c r="BZ156">
        <v>-27.828557213930349</v>
      </c>
      <c r="CA156">
        <v>-27.923168316831681</v>
      </c>
      <c r="CB156">
        <v>-28.018217821782176</v>
      </c>
      <c r="CC156">
        <v>-28.112574257425742</v>
      </c>
      <c r="CD156">
        <v>-28.205643564356432</v>
      </c>
      <c r="CE156">
        <v>-28.298712871287126</v>
      </c>
      <c r="CF156">
        <v>-28.39178217821782</v>
      </c>
      <c r="CG156">
        <v>-28.484851485148514</v>
      </c>
      <c r="CH156">
        <v>-28.577920792079208</v>
      </c>
      <c r="CI156">
        <v>-28.670990099009899</v>
      </c>
      <c r="CJ156">
        <v>-28.764059405940593</v>
      </c>
      <c r="CK156">
        <v>-28.857128712871287</v>
      </c>
      <c r="CL156">
        <v>-28.950198019801981</v>
      </c>
    </row>
    <row r="157" spans="1:90" ht="21.75" outlineLevel="1" thickBot="1" x14ac:dyDescent="0.4">
      <c r="A157" s="32"/>
    </row>
    <row r="158" spans="1:90" ht="21.75" outlineLevel="1" thickBot="1" x14ac:dyDescent="0.4">
      <c r="A158" s="32"/>
    </row>
    <row r="159" spans="1:90" ht="21.75" outlineLevel="1" thickBot="1" x14ac:dyDescent="0.4">
      <c r="A159" s="32"/>
    </row>
    <row r="160" spans="1:90" ht="21.75" outlineLevel="1" thickBot="1" x14ac:dyDescent="0.4">
      <c r="A160" s="32"/>
    </row>
    <row r="161" spans="1:94" ht="21.75" outlineLevel="1" thickBot="1" x14ac:dyDescent="0.4">
      <c r="A161" s="32" t="s">
        <v>103</v>
      </c>
      <c r="B161" s="64">
        <v>0</v>
      </c>
      <c r="C161" s="64">
        <v>0</v>
      </c>
      <c r="D161" s="64">
        <v>0</v>
      </c>
      <c r="E161" s="64">
        <v>0</v>
      </c>
      <c r="F161" s="64">
        <v>0</v>
      </c>
      <c r="G161" s="64">
        <v>0</v>
      </c>
      <c r="H161" s="64">
        <v>0</v>
      </c>
      <c r="I161" s="64">
        <v>0</v>
      </c>
      <c r="J161" s="64">
        <v>0</v>
      </c>
      <c r="K161" s="64">
        <v>0</v>
      </c>
      <c r="L161" s="64">
        <v>0</v>
      </c>
      <c r="M161" s="64">
        <v>0</v>
      </c>
      <c r="N161" s="64">
        <v>0</v>
      </c>
      <c r="O161" s="64">
        <v>0</v>
      </c>
      <c r="P161" s="64">
        <v>0</v>
      </c>
      <c r="Q161" s="64">
        <v>0</v>
      </c>
      <c r="R161" s="64">
        <v>0</v>
      </c>
      <c r="S161" s="64">
        <v>0</v>
      </c>
      <c r="T161" s="64">
        <v>0</v>
      </c>
      <c r="U161" s="64">
        <v>0</v>
      </c>
      <c r="V161" s="64">
        <v>0</v>
      </c>
      <c r="W161" s="64">
        <v>0</v>
      </c>
      <c r="X161" s="64">
        <v>0</v>
      </c>
      <c r="Y161" s="64">
        <v>0</v>
      </c>
      <c r="Z161" s="64">
        <v>0</v>
      </c>
      <c r="AA161" s="64">
        <v>0</v>
      </c>
      <c r="AB161" s="64">
        <v>0</v>
      </c>
      <c r="AC161" s="64">
        <v>0</v>
      </c>
      <c r="AD161" s="64">
        <v>0</v>
      </c>
      <c r="AE161" s="64">
        <v>0</v>
      </c>
      <c r="AF161" s="64">
        <v>0</v>
      </c>
      <c r="AG161" s="64">
        <v>0</v>
      </c>
      <c r="AH161" s="64">
        <v>0</v>
      </c>
      <c r="AI161" s="64">
        <v>0</v>
      </c>
      <c r="AJ161" s="64">
        <v>0</v>
      </c>
      <c r="AK161" s="64">
        <v>0</v>
      </c>
      <c r="AL161" s="64">
        <v>0</v>
      </c>
      <c r="AM161" s="64">
        <v>0</v>
      </c>
      <c r="AN161" s="64">
        <v>0</v>
      </c>
      <c r="AO161" s="64">
        <v>0</v>
      </c>
      <c r="AP161" s="64">
        <v>0</v>
      </c>
      <c r="AQ161" s="64">
        <v>0</v>
      </c>
      <c r="AR161" s="64">
        <v>0</v>
      </c>
      <c r="AS161" s="64">
        <v>0</v>
      </c>
      <c r="AT161" s="64">
        <v>0</v>
      </c>
      <c r="AU161" s="64">
        <v>0</v>
      </c>
      <c r="AV161" s="64">
        <v>0</v>
      </c>
      <c r="AW161" s="64">
        <v>0</v>
      </c>
      <c r="AX161" s="64">
        <v>0</v>
      </c>
      <c r="AY161" s="64">
        <v>0</v>
      </c>
      <c r="AZ161" s="64">
        <v>0</v>
      </c>
      <c r="BA161" s="64">
        <v>0</v>
      </c>
      <c r="BB161" s="64">
        <v>0</v>
      </c>
      <c r="BC161" s="64">
        <v>0</v>
      </c>
      <c r="BD161" s="64">
        <v>0</v>
      </c>
      <c r="BE161" s="64">
        <v>0</v>
      </c>
      <c r="BF161" s="64">
        <v>0</v>
      </c>
      <c r="BG161" s="64">
        <v>0</v>
      </c>
      <c r="BH161" s="64">
        <v>0</v>
      </c>
      <c r="BI161" s="64">
        <v>0</v>
      </c>
      <c r="BJ161" s="64">
        <v>0</v>
      </c>
      <c r="BK161" s="64">
        <v>0</v>
      </c>
      <c r="BL161" s="64">
        <v>0</v>
      </c>
      <c r="BM161" s="64">
        <v>0</v>
      </c>
      <c r="BN161" s="64">
        <v>0</v>
      </c>
      <c r="BO161" s="64">
        <v>0</v>
      </c>
      <c r="BP161" s="64">
        <v>0</v>
      </c>
      <c r="BQ161" s="64">
        <v>0</v>
      </c>
      <c r="BR161" s="64">
        <v>0</v>
      </c>
      <c r="BS161" s="64">
        <v>0</v>
      </c>
      <c r="BT161" s="64">
        <v>0</v>
      </c>
      <c r="BU161" s="64">
        <v>0</v>
      </c>
      <c r="BV161" s="64">
        <v>0</v>
      </c>
      <c r="BW161" s="64">
        <v>0</v>
      </c>
      <c r="BX161" s="64">
        <v>0</v>
      </c>
      <c r="BY161" s="64">
        <v>0</v>
      </c>
      <c r="BZ161" s="64">
        <v>0</v>
      </c>
      <c r="CA161" s="64">
        <v>0</v>
      </c>
      <c r="CB161" s="64">
        <v>0</v>
      </c>
      <c r="CC161" s="64">
        <v>0</v>
      </c>
      <c r="CD161" s="64">
        <v>0</v>
      </c>
      <c r="CE161" s="64">
        <v>0</v>
      </c>
      <c r="CF161" s="64">
        <v>0</v>
      </c>
      <c r="CG161" s="64">
        <v>0</v>
      </c>
      <c r="CH161" s="64">
        <v>0</v>
      </c>
      <c r="CI161" s="64">
        <v>0</v>
      </c>
      <c r="CJ161" s="64">
        <v>0</v>
      </c>
      <c r="CK161" s="64">
        <v>0</v>
      </c>
      <c r="CL161" s="64">
        <v>0</v>
      </c>
      <c r="CM161" s="64">
        <v>0</v>
      </c>
      <c r="CN161" s="64">
        <v>0</v>
      </c>
      <c r="CO161" s="64">
        <v>0</v>
      </c>
      <c r="CP161" s="64">
        <v>0</v>
      </c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94</xdr:col>
                    <xdr:colOff>647700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E27" sqref="E27"/>
    </sheetView>
  </sheetViews>
  <sheetFormatPr defaultRowHeight="21" x14ac:dyDescent="0.35"/>
  <cols>
    <col min="1" max="1" width="4.81640625" customWidth="1"/>
  </cols>
  <sheetData>
    <row r="1" spans="1:12" ht="28.5" x14ac:dyDescent="0.45">
      <c r="A1" s="71">
        <v>0</v>
      </c>
      <c r="C1">
        <v>273.10000000000002</v>
      </c>
      <c r="D1" s="85">
        <v>353.9</v>
      </c>
      <c r="E1" s="85">
        <v>434.7</v>
      </c>
      <c r="F1" s="85">
        <v>515.4</v>
      </c>
      <c r="G1" s="85">
        <v>596.20000000000005</v>
      </c>
      <c r="H1" s="85">
        <v>677</v>
      </c>
      <c r="I1" s="85">
        <v>757.7</v>
      </c>
      <c r="J1" s="85">
        <v>838.5</v>
      </c>
      <c r="K1" s="85">
        <v>919.2</v>
      </c>
      <c r="L1" s="85">
        <v>1000</v>
      </c>
    </row>
    <row r="2" spans="1:12" ht="21.75" customHeight="1" x14ac:dyDescent="0.35">
      <c r="A2" s="72" t="s">
        <v>40</v>
      </c>
      <c r="B2" s="145" t="s">
        <v>61</v>
      </c>
      <c r="C2" s="143">
        <v>2.2434000000000001E-8</v>
      </c>
      <c r="D2" s="143">
        <v>2.2944E-8</v>
      </c>
      <c r="E2" s="143">
        <v>1.9741999999999999E-8</v>
      </c>
      <c r="F2" s="143">
        <v>2.0131E-8</v>
      </c>
      <c r="G2" s="143">
        <v>2.2853E-8</v>
      </c>
      <c r="H2" s="143">
        <v>3.2886000000000001E-8</v>
      </c>
      <c r="I2" s="143">
        <v>3.1802000000000002E-8</v>
      </c>
      <c r="J2" s="143">
        <v>2.9719E-8</v>
      </c>
      <c r="K2" s="143">
        <v>2.0085999999999999E-8</v>
      </c>
      <c r="L2" s="143">
        <v>1.5793999999999999E-8</v>
      </c>
    </row>
    <row r="3" spans="1:12" x14ac:dyDescent="0.35">
      <c r="B3" s="144" t="s">
        <v>72</v>
      </c>
      <c r="C3" s="143">
        <v>2.7272000000000002E-25</v>
      </c>
      <c r="D3" s="143">
        <v>4.5515999999999997E-18</v>
      </c>
      <c r="E3" s="143">
        <v>1.1457000000000001E-13</v>
      </c>
      <c r="F3" s="144">
        <v>9.9512000000000005E-11</v>
      </c>
      <c r="G3" s="143">
        <v>1.2369E-8</v>
      </c>
      <c r="H3" s="144">
        <v>4.6673E-7</v>
      </c>
      <c r="I3" s="143">
        <v>7.8967000000000001E-6</v>
      </c>
      <c r="J3" s="143">
        <v>7.2719999999999995E-5</v>
      </c>
      <c r="K3" s="143">
        <v>4.1031999999999999E-4</v>
      </c>
      <c r="L3" s="143">
        <v>1.4090000000000001E-3</v>
      </c>
    </row>
    <row r="4" spans="1:12" x14ac:dyDescent="0.35">
      <c r="B4" s="145" t="s">
        <v>73</v>
      </c>
      <c r="C4" s="143">
        <v>2.8659000000000002E-23</v>
      </c>
      <c r="D4" s="143">
        <v>9.2949999999999999E-17</v>
      </c>
      <c r="E4" s="143">
        <v>7.6946999999999995E-13</v>
      </c>
      <c r="F4" s="143">
        <v>2.9715999999999999E-10</v>
      </c>
      <c r="G4" s="143">
        <v>1.9913999999999999E-8</v>
      </c>
      <c r="H4" s="143">
        <v>4.6399000000000001E-7</v>
      </c>
      <c r="I4" s="143">
        <v>5.3253999999999999E-6</v>
      </c>
      <c r="J4" s="143">
        <v>3.5135000000000002E-5</v>
      </c>
      <c r="K4" s="143">
        <v>1.4407999999999999E-4</v>
      </c>
      <c r="L4" s="143">
        <v>3.4330999999999999E-4</v>
      </c>
    </row>
    <row r="5" spans="1:12" x14ac:dyDescent="0.35">
      <c r="B5" s="144" t="s">
        <v>74</v>
      </c>
      <c r="C5" s="143">
        <v>8.2633999999999998E-20</v>
      </c>
      <c r="D5" s="143">
        <v>7.1755000000000006E-14</v>
      </c>
      <c r="E5" s="143">
        <v>2.4208999999999999E-10</v>
      </c>
      <c r="F5" s="144">
        <v>4.8461E-8</v>
      </c>
      <c r="G5" s="143">
        <v>1.9645999999999998E-6</v>
      </c>
      <c r="H5" s="144">
        <v>3.0911999999999998E-5</v>
      </c>
      <c r="I5" s="143">
        <v>2.5855000000000002E-4</v>
      </c>
      <c r="J5" s="143">
        <v>1.2959E-3</v>
      </c>
      <c r="K5" s="143">
        <v>4.0553999999999998E-3</v>
      </c>
      <c r="L5" s="143">
        <v>6.9873000000000001E-3</v>
      </c>
    </row>
    <row r="6" spans="1:12" x14ac:dyDescent="0.35">
      <c r="B6" s="145" t="s">
        <v>75</v>
      </c>
      <c r="C6" s="143">
        <v>3.1684999999999997E-17</v>
      </c>
      <c r="D6" s="143">
        <v>2.8145000000000002E-12</v>
      </c>
      <c r="E6" s="143">
        <v>2.1021E-9</v>
      </c>
      <c r="F6" s="143">
        <v>1.4306000000000001E-7</v>
      </c>
      <c r="G6" s="143">
        <v>2.576E-6</v>
      </c>
      <c r="H6" s="143">
        <v>2.1617E-5</v>
      </c>
      <c r="I6" s="143">
        <v>1.0938E-4</v>
      </c>
      <c r="J6" s="143">
        <v>3.5818999999999998E-4</v>
      </c>
      <c r="K6" s="143">
        <v>7.5535000000000001E-4</v>
      </c>
      <c r="L6" s="143">
        <v>8.4774000000000004E-4</v>
      </c>
    </row>
    <row r="7" spans="1:12" x14ac:dyDescent="0.35">
      <c r="B7" s="144" t="s">
        <v>60</v>
      </c>
      <c r="C7" s="143">
        <v>2.7152E-18</v>
      </c>
      <c r="D7" s="143">
        <v>4.5969000000000003E-13</v>
      </c>
      <c r="E7" s="143">
        <v>4.7612000000000001E-10</v>
      </c>
      <c r="F7" s="144">
        <v>3.8772999999999999E-8</v>
      </c>
      <c r="G7" s="143">
        <v>7.7553000000000001E-7</v>
      </c>
      <c r="H7" s="144">
        <v>6.9723000000000001E-6</v>
      </c>
      <c r="I7" s="143">
        <v>3.6933E-5</v>
      </c>
      <c r="J7" s="143">
        <v>1.2303999999999999E-4</v>
      </c>
      <c r="K7" s="143">
        <v>2.5179E-4</v>
      </c>
      <c r="L7" s="143">
        <v>2.4991E-4</v>
      </c>
    </row>
    <row r="8" spans="1:12" x14ac:dyDescent="0.35">
      <c r="B8" s="145" t="s">
        <v>76</v>
      </c>
      <c r="C8" s="143">
        <v>4.8741E-20</v>
      </c>
      <c r="D8" s="143">
        <v>1.3799E-14</v>
      </c>
      <c r="E8" s="143">
        <v>1.8275E-11</v>
      </c>
      <c r="F8" s="143">
        <v>1.6851999999999999E-9</v>
      </c>
      <c r="G8" s="143">
        <v>3.5975000000000003E-8</v>
      </c>
      <c r="H8" s="143">
        <v>3.3615E-7</v>
      </c>
      <c r="I8" s="143">
        <v>1.8204E-6</v>
      </c>
      <c r="J8" s="143">
        <v>6.0522999999999996E-6</v>
      </c>
      <c r="K8" s="143">
        <v>1.1833E-5</v>
      </c>
      <c r="L8" s="143">
        <v>1.025E-5</v>
      </c>
    </row>
    <row r="9" spans="1:12" x14ac:dyDescent="0.35">
      <c r="B9" s="145" t="s">
        <v>77</v>
      </c>
      <c r="C9" s="143">
        <v>3.8015999999999999E-20</v>
      </c>
      <c r="D9" s="143">
        <v>3.2498000000000001E-14</v>
      </c>
      <c r="E9" s="143">
        <v>1.4395E-10</v>
      </c>
      <c r="F9" s="144">
        <v>4.0954999999999998E-8</v>
      </c>
      <c r="G9" s="143">
        <v>2.3640000000000002E-6</v>
      </c>
      <c r="H9" s="144">
        <v>5.1038000000000002E-5</v>
      </c>
      <c r="I9" s="143">
        <v>5.6714000000000005E-4</v>
      </c>
      <c r="J9" s="143">
        <v>3.8249999999999998E-3</v>
      </c>
      <c r="K9" s="143">
        <v>1.7559000000000002E-2</v>
      </c>
      <c r="L9" s="143">
        <v>5.6219999999999999E-2</v>
      </c>
    </row>
    <row r="10" spans="1:12" x14ac:dyDescent="0.35">
      <c r="B10" s="144" t="s">
        <v>2</v>
      </c>
      <c r="C10" s="143">
        <v>0</v>
      </c>
      <c r="D10" s="143">
        <v>1.7529999999999999E-29</v>
      </c>
      <c r="E10" s="143">
        <v>4.0370000000000001E-23</v>
      </c>
      <c r="F10" s="143">
        <v>8.9280999999999991E-19</v>
      </c>
      <c r="G10" s="143">
        <v>1.2809E-15</v>
      </c>
      <c r="H10" s="143">
        <v>3.2693E-13</v>
      </c>
      <c r="I10" s="143">
        <v>2.5864999999999999E-11</v>
      </c>
      <c r="J10" s="143">
        <v>8.7663E-10</v>
      </c>
      <c r="K10" s="143">
        <v>1.6053999999999999E-8</v>
      </c>
      <c r="L10" s="143">
        <v>1.822E-7</v>
      </c>
    </row>
    <row r="11" spans="1:12" x14ac:dyDescent="0.35">
      <c r="B11" s="145" t="s">
        <v>71</v>
      </c>
      <c r="C11" s="143">
        <v>2.0007000000000001E-11</v>
      </c>
      <c r="D11" s="143">
        <v>6.6300000000000005E-8</v>
      </c>
      <c r="E11" s="143">
        <v>8.8271000000000006E-6</v>
      </c>
      <c r="F11" s="144">
        <v>2.2261000000000001E-4</v>
      </c>
      <c r="G11" s="143">
        <v>2.0268999999999999E-3</v>
      </c>
      <c r="H11" s="144">
        <v>8.2603999999999993E-3</v>
      </c>
      <c r="I11" s="143">
        <v>1.7273E-2</v>
      </c>
      <c r="J11" s="143">
        <v>2.4695000000000002E-2</v>
      </c>
      <c r="K11" s="143">
        <v>2.9939E-2</v>
      </c>
      <c r="L11" s="143">
        <v>3.3692E-2</v>
      </c>
    </row>
    <row r="12" spans="1:12" x14ac:dyDescent="0.35">
      <c r="B12" s="144" t="s">
        <v>1</v>
      </c>
      <c r="C12" s="143">
        <v>0.2</v>
      </c>
      <c r="D12" s="143">
        <v>0.2</v>
      </c>
      <c r="E12" s="143">
        <v>0.2</v>
      </c>
      <c r="F12" s="143">
        <v>0.2</v>
      </c>
      <c r="G12" s="143">
        <v>0.2</v>
      </c>
      <c r="H12" s="143">
        <v>0.2</v>
      </c>
      <c r="I12" s="143">
        <v>0.2</v>
      </c>
      <c r="J12" s="143">
        <v>0.2</v>
      </c>
      <c r="K12" s="143">
        <v>0.2</v>
      </c>
      <c r="L12" s="143">
        <v>0.2</v>
      </c>
    </row>
    <row r="13" spans="1:12" x14ac:dyDescent="0.35">
      <c r="B13" s="145" t="s">
        <v>48</v>
      </c>
      <c r="C13" s="143">
        <v>0.08</v>
      </c>
      <c r="D13" s="143">
        <v>0.08</v>
      </c>
      <c r="E13" s="143">
        <v>7.9981999999999998E-2</v>
      </c>
      <c r="F13" s="144">
        <v>7.9555000000000001E-2</v>
      </c>
      <c r="G13" s="143">
        <v>7.5946E-2</v>
      </c>
      <c r="H13" s="144">
        <v>6.3478999999999994E-2</v>
      </c>
      <c r="I13" s="143">
        <v>4.5453E-2</v>
      </c>
      <c r="J13" s="143">
        <v>3.0609000000000001E-2</v>
      </c>
      <c r="K13" s="143">
        <v>2.0122000000000001E-2</v>
      </c>
      <c r="L13" s="143">
        <v>1.2617E-2</v>
      </c>
    </row>
    <row r="14" spans="1:12" x14ac:dyDescent="0.35">
      <c r="B14" s="144" t="s">
        <v>59</v>
      </c>
      <c r="C14" s="143">
        <v>0.24</v>
      </c>
      <c r="D14" s="143">
        <v>0.24</v>
      </c>
      <c r="E14" s="143">
        <v>0.24</v>
      </c>
      <c r="F14" s="143">
        <v>0.24</v>
      </c>
      <c r="G14" s="143">
        <v>0.24</v>
      </c>
      <c r="H14" s="143">
        <v>0.24</v>
      </c>
      <c r="I14" s="143">
        <v>0.24</v>
      </c>
      <c r="J14" s="143">
        <v>0.24</v>
      </c>
      <c r="K14" s="143">
        <v>0.24</v>
      </c>
      <c r="L14" s="143">
        <v>0.24</v>
      </c>
    </row>
    <row r="15" spans="1:12" x14ac:dyDescent="0.35">
      <c r="B15" s="145" t="s">
        <v>58</v>
      </c>
      <c r="C15" s="143">
        <v>0.48</v>
      </c>
      <c r="D15" s="143">
        <v>0.48</v>
      </c>
      <c r="E15" s="143">
        <v>0.47999000000000003</v>
      </c>
      <c r="F15" s="144">
        <v>0.47977999999999998</v>
      </c>
      <c r="G15" s="143">
        <v>0.47793999999999998</v>
      </c>
      <c r="H15" s="144">
        <v>0.4713</v>
      </c>
      <c r="I15" s="143">
        <v>0.45933000000000002</v>
      </c>
      <c r="J15" s="143">
        <v>0.43775999999999998</v>
      </c>
      <c r="K15" s="143">
        <v>0.38646999999999998</v>
      </c>
      <c r="L15" s="143">
        <v>0.28641</v>
      </c>
    </row>
    <row r="16" spans="1:12" x14ac:dyDescent="0.35">
      <c r="B16" s="145" t="s">
        <v>36</v>
      </c>
      <c r="C16" s="143">
        <v>-18.62</v>
      </c>
      <c r="D16" s="143">
        <v>-18.649999999999999</v>
      </c>
      <c r="E16" s="143">
        <v>-18.77</v>
      </c>
      <c r="F16" s="143">
        <v>-18.93</v>
      </c>
      <c r="G16" s="143">
        <v>-19.100000000000001</v>
      </c>
      <c r="H16" s="143">
        <v>-19.3</v>
      </c>
      <c r="I16" s="143">
        <v>-19.510000000000002</v>
      </c>
      <c r="J16" s="143">
        <v>-19.73</v>
      </c>
      <c r="K16" s="143">
        <v>-19.97</v>
      </c>
      <c r="L16" s="143">
        <v>-20.29</v>
      </c>
    </row>
    <row r="17" spans="1:12" x14ac:dyDescent="0.35">
      <c r="B17" s="144" t="s">
        <v>5</v>
      </c>
      <c r="C17" s="143">
        <v>-6.97</v>
      </c>
      <c r="D17" s="143">
        <v>-7.5640000000000001</v>
      </c>
      <c r="E17" s="143">
        <v>-8.0820000000000007</v>
      </c>
      <c r="F17" s="144">
        <v>-8.5380000000000003</v>
      </c>
      <c r="G17" s="143">
        <v>-8.9749999999999996</v>
      </c>
      <c r="H17" s="144">
        <v>-9.4849999999999994</v>
      </c>
      <c r="I17" s="143">
        <v>-10.1</v>
      </c>
      <c r="J17" s="143">
        <v>-10.74</v>
      </c>
      <c r="K17" s="143">
        <v>-11.33</v>
      </c>
      <c r="L17" s="143">
        <v>-11.86</v>
      </c>
    </row>
    <row r="18" spans="1:12" x14ac:dyDescent="0.35">
      <c r="B18" s="145" t="s">
        <v>6</v>
      </c>
      <c r="C18" s="143">
        <v>7.3579999999999997</v>
      </c>
      <c r="D18" s="143">
        <v>3.758</v>
      </c>
      <c r="E18" s="143">
        <v>1.355</v>
      </c>
      <c r="F18" s="143">
        <v>-0.39240000000000003</v>
      </c>
      <c r="G18" s="143">
        <v>-1.7310000000000001</v>
      </c>
      <c r="H18" s="143">
        <v>-2.7839999999999998</v>
      </c>
      <c r="I18" s="143">
        <v>-3.6349999999999998</v>
      </c>
      <c r="J18" s="143">
        <v>-4.3380000000000001</v>
      </c>
      <c r="K18" s="143">
        <v>-4.8959999999999999</v>
      </c>
      <c r="L18" s="143">
        <v>-5.2809999999999997</v>
      </c>
    </row>
    <row r="19" spans="1:12" x14ac:dyDescent="0.35">
      <c r="B19" s="145" t="s">
        <v>7</v>
      </c>
      <c r="C19" s="143">
        <v>-4.7</v>
      </c>
      <c r="D19" s="143">
        <v>-5.1369999999999996</v>
      </c>
      <c r="E19" s="143">
        <v>-5.6130000000000004</v>
      </c>
      <c r="F19" s="144">
        <v>-6.07</v>
      </c>
      <c r="G19" s="143">
        <v>-6.4909999999999997</v>
      </c>
      <c r="H19" s="144">
        <v>-6.8710000000000004</v>
      </c>
      <c r="I19" s="143">
        <v>-7.2160000000000002</v>
      </c>
      <c r="J19" s="143">
        <v>-7.5439999999999996</v>
      </c>
      <c r="K19" s="143">
        <v>-7.8849999999999998</v>
      </c>
      <c r="L19" s="143">
        <v>-8.2889999999999997</v>
      </c>
    </row>
    <row r="20" spans="1:12" x14ac:dyDescent="0.35">
      <c r="B20" s="145" t="s">
        <v>46</v>
      </c>
      <c r="C20" s="143">
        <v>0.2</v>
      </c>
      <c r="D20" s="143">
        <v>0.2</v>
      </c>
      <c r="E20" s="143">
        <v>0.20000999999999999</v>
      </c>
      <c r="F20" s="143">
        <v>0.20022000000000001</v>
      </c>
      <c r="G20" s="143">
        <v>0.20202999999999999</v>
      </c>
      <c r="H20" s="143">
        <v>0.20837</v>
      </c>
      <c r="I20" s="143">
        <v>0.21826000000000001</v>
      </c>
      <c r="J20" s="143">
        <v>0.23041</v>
      </c>
      <c r="K20" s="143">
        <v>0.25313000000000002</v>
      </c>
      <c r="L20" s="143">
        <v>0.29976000000000003</v>
      </c>
    </row>
    <row r="22" spans="1:12" x14ac:dyDescent="0.35">
      <c r="A22" t="e">
        <f>$A$1:$AZ$21</f>
        <v>#VALUE!</v>
      </c>
    </row>
  </sheetData>
  <conditionalFormatting sqref="A1:L20">
    <cfRule type="expression" dxfId="2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EAA1F-3596-462F-823C-556C3B73980A}">
  <sheetPr codeName="Лист3"/>
  <dimension ref="A1:AE30"/>
  <sheetViews>
    <sheetView workbookViewId="0">
      <selection activeCell="AE26" sqref="A1:AE26"/>
    </sheetView>
  </sheetViews>
  <sheetFormatPr defaultRowHeight="21" x14ac:dyDescent="0.35"/>
  <sheetData>
    <row r="1" spans="1:31" x14ac:dyDescent="0.35">
      <c r="A1" s="120" t="s">
        <v>69</v>
      </c>
      <c r="B1" s="121">
        <v>273.10000000000002</v>
      </c>
      <c r="C1" s="121">
        <v>293.3</v>
      </c>
      <c r="D1" s="121">
        <v>313.5</v>
      </c>
      <c r="E1" s="121">
        <v>333.7</v>
      </c>
      <c r="F1" s="121">
        <v>353.9</v>
      </c>
      <c r="G1" s="121">
        <v>434.7</v>
      </c>
      <c r="H1" s="121">
        <v>454.9</v>
      </c>
      <c r="I1" s="121">
        <v>475.1</v>
      </c>
      <c r="J1" s="121">
        <v>495.2</v>
      </c>
      <c r="K1" s="121">
        <v>515.4</v>
      </c>
      <c r="L1" s="121">
        <v>535.6</v>
      </c>
      <c r="M1" s="121">
        <v>555.79999999999995</v>
      </c>
      <c r="N1" s="122">
        <v>576</v>
      </c>
      <c r="O1" s="121">
        <v>596.20000000000005</v>
      </c>
      <c r="P1" s="121">
        <v>616.4</v>
      </c>
      <c r="Q1" s="121">
        <v>636.6</v>
      </c>
      <c r="R1" s="121">
        <v>656.8</v>
      </c>
      <c r="S1" s="122">
        <v>677</v>
      </c>
      <c r="T1" s="121">
        <v>757.7</v>
      </c>
      <c r="U1" s="121">
        <v>777.9</v>
      </c>
      <c r="V1" s="121">
        <v>798.1</v>
      </c>
      <c r="W1" s="121">
        <v>818.3</v>
      </c>
      <c r="X1" s="121">
        <v>838.5</v>
      </c>
      <c r="Y1" s="121">
        <v>858.7</v>
      </c>
      <c r="Z1" s="121">
        <v>878.9</v>
      </c>
      <c r="AA1" s="122">
        <v>899</v>
      </c>
      <c r="AB1" s="121">
        <v>919.2</v>
      </c>
      <c r="AC1" s="122">
        <v>899</v>
      </c>
      <c r="AD1" s="121">
        <v>919.2</v>
      </c>
      <c r="AE1" s="121">
        <v>1000</v>
      </c>
    </row>
    <row r="2" spans="1:31" x14ac:dyDescent="0.35">
      <c r="A2" s="123" t="s">
        <v>56</v>
      </c>
      <c r="B2" s="127">
        <v>6.1877999999999997E-9</v>
      </c>
      <c r="C2" s="128">
        <v>5.5165000000000001E-9</v>
      </c>
      <c r="D2" s="128">
        <v>7.4244000000000001E-9</v>
      </c>
      <c r="E2" s="127">
        <v>1.3577999999999999E-8</v>
      </c>
      <c r="F2" s="128">
        <v>2.9451E-8</v>
      </c>
      <c r="G2" s="127">
        <v>1.5819999999999999E-8</v>
      </c>
      <c r="H2" s="127">
        <v>2.8747E-9</v>
      </c>
      <c r="I2" s="128">
        <v>2.4480999999999999E-13</v>
      </c>
      <c r="J2" s="127">
        <v>9.9445000000000001E-21</v>
      </c>
      <c r="K2" s="129">
        <v>7.3141000000000006E-30</v>
      </c>
      <c r="L2" s="130">
        <v>0</v>
      </c>
      <c r="M2" s="126">
        <v>0</v>
      </c>
      <c r="N2" s="126">
        <v>0</v>
      </c>
      <c r="O2" s="126">
        <v>0</v>
      </c>
      <c r="P2" s="126">
        <v>0</v>
      </c>
      <c r="Q2" s="126">
        <v>0</v>
      </c>
      <c r="R2" s="126">
        <v>0</v>
      </c>
      <c r="S2" s="126">
        <v>0</v>
      </c>
      <c r="T2" s="126">
        <v>0</v>
      </c>
      <c r="U2" s="126">
        <v>0</v>
      </c>
      <c r="V2" s="126">
        <v>0</v>
      </c>
      <c r="W2" s="126">
        <v>0</v>
      </c>
      <c r="X2" s="126">
        <v>0</v>
      </c>
      <c r="Y2" s="126">
        <v>0</v>
      </c>
      <c r="Z2" s="126">
        <v>0</v>
      </c>
      <c r="AA2" s="126">
        <v>0</v>
      </c>
      <c r="AB2" s="126">
        <v>0</v>
      </c>
      <c r="AC2" s="126">
        <v>0</v>
      </c>
      <c r="AD2" s="126">
        <v>0</v>
      </c>
      <c r="AE2" s="126">
        <v>0</v>
      </c>
    </row>
    <row r="3" spans="1:31" x14ac:dyDescent="0.35">
      <c r="A3" s="120" t="s">
        <v>84</v>
      </c>
      <c r="B3" s="131">
        <v>0</v>
      </c>
      <c r="C3" s="132">
        <v>0</v>
      </c>
      <c r="D3" s="132">
        <v>0</v>
      </c>
      <c r="E3" s="131">
        <v>0</v>
      </c>
      <c r="F3" s="132">
        <v>0</v>
      </c>
      <c r="G3" s="131">
        <v>0</v>
      </c>
      <c r="H3" s="131">
        <v>0</v>
      </c>
      <c r="I3" s="132">
        <v>0</v>
      </c>
      <c r="J3" s="131">
        <v>0</v>
      </c>
      <c r="K3" s="131">
        <v>0</v>
      </c>
      <c r="L3" s="132">
        <v>0</v>
      </c>
      <c r="M3" s="131">
        <v>0</v>
      </c>
      <c r="N3" s="131">
        <v>0</v>
      </c>
      <c r="O3" s="132">
        <v>0</v>
      </c>
      <c r="P3" s="131">
        <v>0</v>
      </c>
      <c r="Q3" s="131">
        <v>0</v>
      </c>
      <c r="R3" s="132">
        <v>0</v>
      </c>
      <c r="S3" s="131">
        <v>0</v>
      </c>
      <c r="T3" s="131">
        <v>0</v>
      </c>
      <c r="U3" s="132">
        <v>1.1499999999999999E-31</v>
      </c>
      <c r="V3" s="131">
        <v>9.5558000000000007E-24</v>
      </c>
      <c r="W3" s="131">
        <v>1.4482E-16</v>
      </c>
      <c r="X3" s="132">
        <v>1.0933999999999999E-10</v>
      </c>
      <c r="Y3" s="131">
        <v>3.2417999999999998E-7</v>
      </c>
      <c r="Z3" s="131">
        <v>1.2376E-5</v>
      </c>
      <c r="AA3" s="132">
        <v>2.1126999999999999E-5</v>
      </c>
      <c r="AB3" s="131">
        <v>2.3708000000000001E-5</v>
      </c>
      <c r="AC3" s="133">
        <v>2.1126999999999999E-5</v>
      </c>
      <c r="AD3" s="134">
        <v>2.3708000000000001E-5</v>
      </c>
      <c r="AE3" s="133">
        <v>2.8283999999999999E-6</v>
      </c>
    </row>
    <row r="4" spans="1:31" x14ac:dyDescent="0.35">
      <c r="A4" s="120" t="s">
        <v>52</v>
      </c>
      <c r="B4" s="131">
        <v>0</v>
      </c>
      <c r="C4" s="132">
        <v>0</v>
      </c>
      <c r="D4" s="132">
        <v>9.5128000000000004E-28</v>
      </c>
      <c r="E4" s="133">
        <v>1.5372000000000001E-22</v>
      </c>
      <c r="F4" s="134">
        <v>1.1156E-19</v>
      </c>
      <c r="G4" s="133">
        <v>1.7943999999999999E-13</v>
      </c>
      <c r="H4" s="133">
        <v>4.2096999999999999E-10</v>
      </c>
      <c r="I4" s="134">
        <v>4.2095000000000004E-9</v>
      </c>
      <c r="J4" s="133">
        <v>7.7497000000000002E-9</v>
      </c>
      <c r="K4" s="133">
        <v>1.3306E-8</v>
      </c>
      <c r="L4" s="134">
        <v>1.2213999999999999E-8</v>
      </c>
      <c r="M4" s="133">
        <v>2.3015999999999999E-8</v>
      </c>
      <c r="N4" s="133">
        <v>1.5737999999999998E-8</v>
      </c>
      <c r="O4" s="134">
        <v>1.6776000000000001E-8</v>
      </c>
      <c r="P4" s="133">
        <v>1.7397E-8</v>
      </c>
      <c r="Q4" s="131">
        <v>1.768E-8</v>
      </c>
      <c r="R4" s="132">
        <v>1.8666E-8</v>
      </c>
      <c r="S4" s="131">
        <v>2.2871E-8</v>
      </c>
      <c r="T4" s="133">
        <v>2.7468000000000002E-8</v>
      </c>
      <c r="U4" s="134">
        <v>2.7864000000000001E-8</v>
      </c>
      <c r="V4" s="133">
        <v>2.7649999999999999E-8</v>
      </c>
      <c r="W4" s="131">
        <v>2.8200000000000001E-8</v>
      </c>
      <c r="X4" s="132">
        <v>6.5486999999999999E-9</v>
      </c>
      <c r="Y4" s="131">
        <v>6.0900999999999995E-32</v>
      </c>
      <c r="Z4" s="133">
        <v>4.7079000000000003E-30</v>
      </c>
      <c r="AA4" s="134">
        <v>8.2700999999999997E-29</v>
      </c>
      <c r="AB4" s="133">
        <v>4.4598999999999997E-28</v>
      </c>
      <c r="AC4" s="133">
        <v>8.2700999999999997E-29</v>
      </c>
      <c r="AD4" s="134">
        <v>4.4598999999999997E-28</v>
      </c>
      <c r="AE4" s="133">
        <v>2.2786000000000001E-23</v>
      </c>
    </row>
    <row r="5" spans="1:31" x14ac:dyDescent="0.35">
      <c r="A5" s="124" t="s">
        <v>51</v>
      </c>
      <c r="B5" s="133">
        <v>1.2300000000000001E-9</v>
      </c>
      <c r="C5" s="134">
        <v>4.5156E-11</v>
      </c>
      <c r="D5" s="134">
        <v>6.8465000000000003E-15</v>
      </c>
      <c r="E5" s="133">
        <v>3.7467999999999999E-23</v>
      </c>
      <c r="F5" s="134">
        <v>3.8006E-35</v>
      </c>
      <c r="G5" s="133">
        <v>0</v>
      </c>
      <c r="H5" s="133">
        <v>0</v>
      </c>
      <c r="I5" s="134">
        <v>0</v>
      </c>
      <c r="J5" s="133">
        <v>0</v>
      </c>
      <c r="K5" s="133">
        <v>0</v>
      </c>
      <c r="L5" s="134">
        <v>0</v>
      </c>
      <c r="M5" s="133">
        <v>0</v>
      </c>
      <c r="N5" s="133">
        <v>0</v>
      </c>
      <c r="O5" s="134">
        <v>0</v>
      </c>
      <c r="P5" s="133">
        <v>0</v>
      </c>
      <c r="Q5" s="133">
        <v>0</v>
      </c>
      <c r="R5" s="134">
        <v>0</v>
      </c>
      <c r="S5" s="133">
        <v>0</v>
      </c>
      <c r="T5" s="133">
        <v>0</v>
      </c>
      <c r="U5" s="134">
        <v>0</v>
      </c>
      <c r="V5" s="133">
        <v>0</v>
      </c>
      <c r="W5" s="133">
        <v>0</v>
      </c>
      <c r="X5" s="134">
        <v>0</v>
      </c>
      <c r="Y5" s="133">
        <v>0</v>
      </c>
      <c r="Z5" s="133">
        <v>0</v>
      </c>
      <c r="AA5" s="134">
        <v>0</v>
      </c>
      <c r="AB5" s="133">
        <v>0</v>
      </c>
      <c r="AC5" s="133">
        <v>0</v>
      </c>
      <c r="AD5" s="134">
        <v>0</v>
      </c>
      <c r="AE5" s="133">
        <v>0</v>
      </c>
    </row>
    <row r="6" spans="1:31" x14ac:dyDescent="0.35">
      <c r="A6" s="124" t="s">
        <v>50</v>
      </c>
      <c r="B6" s="133">
        <v>1.8093999999999999E-2</v>
      </c>
      <c r="C6" s="134">
        <v>1.7804E-2</v>
      </c>
      <c r="D6" s="134">
        <v>1.7049999999999999E-2</v>
      </c>
      <c r="E6" s="133">
        <v>1.5945000000000001E-2</v>
      </c>
      <c r="F6" s="134">
        <v>1.5049999999999999E-2</v>
      </c>
      <c r="G6" s="133">
        <v>1.3743999999999999E-2</v>
      </c>
      <c r="H6" s="133">
        <v>1.306E-2</v>
      </c>
      <c r="I6" s="134">
        <v>1.2156E-2</v>
      </c>
      <c r="J6" s="133">
        <v>1.1287E-2</v>
      </c>
      <c r="K6" s="133">
        <v>1.0671E-2</v>
      </c>
      <c r="L6" s="134">
        <v>1.0324E-2</v>
      </c>
      <c r="M6" s="133">
        <v>1.0154E-2</v>
      </c>
      <c r="N6" s="133">
        <v>1.0073E-2</v>
      </c>
      <c r="O6" s="134">
        <v>1.0034E-2</v>
      </c>
      <c r="P6" s="133">
        <v>1.0005999999999999E-2</v>
      </c>
      <c r="Q6" s="133">
        <v>9.9433999999999998E-3</v>
      </c>
      <c r="R6" s="134">
        <v>9.6798000000000006E-3</v>
      </c>
      <c r="S6" s="133">
        <v>8.6563000000000005E-3</v>
      </c>
      <c r="T6" s="133">
        <v>2.6289E-4</v>
      </c>
      <c r="U6" s="134">
        <v>7.4824000000000001E-5</v>
      </c>
      <c r="V6" s="133">
        <v>2.1580999999999999E-5</v>
      </c>
      <c r="W6" s="133">
        <v>6.3327999999999997E-6</v>
      </c>
      <c r="X6" s="134">
        <v>1.8872999999999999E-6</v>
      </c>
      <c r="Y6" s="133">
        <v>5.5927999999999996E-7</v>
      </c>
      <c r="Z6" s="133">
        <v>8.7534999999999996E-8</v>
      </c>
      <c r="AA6" s="134">
        <v>1.3694E-8</v>
      </c>
      <c r="AB6" s="133">
        <v>2.2223000000000001E-9</v>
      </c>
      <c r="AC6" s="133">
        <v>1.3694E-8</v>
      </c>
      <c r="AD6" s="134">
        <v>2.2223000000000001E-9</v>
      </c>
      <c r="AE6" s="133">
        <v>2.4674000000000002E-12</v>
      </c>
    </row>
    <row r="7" spans="1:31" x14ac:dyDescent="0.35">
      <c r="A7" s="120" t="s">
        <v>49</v>
      </c>
      <c r="B7" s="131">
        <v>0</v>
      </c>
      <c r="C7" s="132">
        <v>0</v>
      </c>
      <c r="D7" s="125">
        <v>0</v>
      </c>
      <c r="E7" s="131">
        <v>0</v>
      </c>
      <c r="F7" s="132">
        <v>0</v>
      </c>
      <c r="G7" s="121">
        <v>0</v>
      </c>
      <c r="H7" s="131">
        <v>1.7552999999999999E-34</v>
      </c>
      <c r="I7" s="132">
        <v>5.9637999999999997E-32</v>
      </c>
      <c r="J7" s="131">
        <v>1.3317E-29</v>
      </c>
      <c r="K7" s="133">
        <v>2.1693E-27</v>
      </c>
      <c r="L7" s="134">
        <v>2.6676999999999999E-25</v>
      </c>
      <c r="M7" s="133">
        <v>2.4886000000000001E-23</v>
      </c>
      <c r="N7" s="133">
        <v>1.7740000000000002E-21</v>
      </c>
      <c r="O7" s="134">
        <v>9.8104000000000004E-20</v>
      </c>
      <c r="P7" s="133">
        <v>4.2854000000000003E-18</v>
      </c>
      <c r="Q7" s="133">
        <v>1.5015000000000001E-16</v>
      </c>
      <c r="R7" s="134">
        <v>4.2180000000000003E-15</v>
      </c>
      <c r="S7" s="133">
        <v>8.9942999999999996E-14</v>
      </c>
      <c r="T7" s="131">
        <v>1.8166E-10</v>
      </c>
      <c r="U7" s="132">
        <v>6.1698999999999995E-10</v>
      </c>
      <c r="V7" s="131">
        <v>1.9062999999999999E-9</v>
      </c>
      <c r="W7" s="133">
        <v>5.4154999999999998E-9</v>
      </c>
      <c r="X7" s="134">
        <v>1.4215E-8</v>
      </c>
      <c r="Y7" s="133">
        <v>3.3835999999999999E-8</v>
      </c>
      <c r="Z7" s="133">
        <v>3.6131000000000001E-8</v>
      </c>
      <c r="AA7" s="134">
        <v>3.7158000000000001E-8</v>
      </c>
      <c r="AB7" s="133">
        <v>3.7517999999999999E-8</v>
      </c>
      <c r="AC7" s="133">
        <v>3.7158000000000001E-8</v>
      </c>
      <c r="AD7" s="134">
        <v>3.7517999999999999E-8</v>
      </c>
      <c r="AE7" s="133">
        <v>3.4862999999999999E-8</v>
      </c>
    </row>
    <row r="8" spans="1:31" x14ac:dyDescent="0.35">
      <c r="A8" s="120" t="s">
        <v>4</v>
      </c>
      <c r="B8" s="131">
        <v>0</v>
      </c>
      <c r="C8" s="132">
        <v>0</v>
      </c>
      <c r="D8" s="125">
        <v>0</v>
      </c>
      <c r="E8" s="131">
        <v>0</v>
      </c>
      <c r="F8" s="132">
        <v>0</v>
      </c>
      <c r="G8" s="121">
        <v>0</v>
      </c>
      <c r="H8" s="131">
        <v>0</v>
      </c>
      <c r="I8" s="132">
        <v>7.4216000000000001E-36</v>
      </c>
      <c r="J8" s="131">
        <v>1.2279E-33</v>
      </c>
      <c r="K8" s="133">
        <v>1.4772000000000001E-31</v>
      </c>
      <c r="L8" s="134">
        <v>1.3357000000000001E-29</v>
      </c>
      <c r="M8" s="133">
        <v>9.1925000000000003E-28</v>
      </c>
      <c r="N8" s="133">
        <v>4.8815000000000001E-26</v>
      </c>
      <c r="O8" s="134">
        <v>2.0363E-24</v>
      </c>
      <c r="P8" s="133">
        <v>6.8009999999999997E-23</v>
      </c>
      <c r="Q8" s="133">
        <v>1.8494000000000001E-21</v>
      </c>
      <c r="R8" s="134">
        <v>4.1246999999999999E-20</v>
      </c>
      <c r="S8" s="133">
        <v>7.3727999999999996E-19</v>
      </c>
      <c r="T8" s="133">
        <v>3.723E-15</v>
      </c>
      <c r="U8" s="134">
        <v>1.9612000000000001E-14</v>
      </c>
      <c r="V8" s="133">
        <v>9.3993000000000001E-14</v>
      </c>
      <c r="W8" s="133">
        <v>4.132E-13</v>
      </c>
      <c r="X8" s="134">
        <v>1.6752999999999999E-12</v>
      </c>
      <c r="Y8" s="133">
        <v>6.2173999999999997E-12</v>
      </c>
      <c r="Z8" s="131">
        <v>1.4609999999999999E-11</v>
      </c>
      <c r="AA8" s="132">
        <v>3.2901E-11</v>
      </c>
      <c r="AB8" s="131">
        <v>7.1446000000000001E-11</v>
      </c>
      <c r="AC8" s="131">
        <v>3.2901E-11</v>
      </c>
      <c r="AD8" s="132">
        <v>7.1446000000000001E-11</v>
      </c>
      <c r="AE8" s="131">
        <v>1.1532999999999999E-9</v>
      </c>
    </row>
    <row r="9" spans="1:31" x14ac:dyDescent="0.35">
      <c r="A9" s="120" t="s">
        <v>1</v>
      </c>
      <c r="B9" s="131">
        <v>0.2</v>
      </c>
      <c r="C9" s="132">
        <v>0.2</v>
      </c>
      <c r="D9" s="132">
        <v>0.2</v>
      </c>
      <c r="E9" s="131">
        <v>0.2</v>
      </c>
      <c r="F9" s="132">
        <v>0.2</v>
      </c>
      <c r="G9" s="131">
        <v>0.2</v>
      </c>
      <c r="H9" s="131">
        <v>0.2</v>
      </c>
      <c r="I9" s="132">
        <v>0.2</v>
      </c>
      <c r="J9" s="131">
        <v>0.2</v>
      </c>
      <c r="K9" s="131">
        <v>0.2</v>
      </c>
      <c r="L9" s="132">
        <v>0.2</v>
      </c>
      <c r="M9" s="131">
        <v>0.2</v>
      </c>
      <c r="N9" s="131">
        <v>0.2</v>
      </c>
      <c r="O9" s="132">
        <v>0.2</v>
      </c>
      <c r="P9" s="132">
        <v>0.2</v>
      </c>
      <c r="Q9" s="132">
        <v>0.2</v>
      </c>
      <c r="R9" s="132">
        <v>0.2</v>
      </c>
      <c r="S9" s="132">
        <v>0.2</v>
      </c>
      <c r="T9" s="132">
        <v>0.2</v>
      </c>
      <c r="U9" s="132">
        <v>0.2</v>
      </c>
      <c r="V9" s="132">
        <v>0.2</v>
      </c>
      <c r="W9" s="132">
        <v>0.2</v>
      </c>
      <c r="X9" s="132">
        <v>0.2</v>
      </c>
      <c r="Y9" s="132">
        <v>0.2</v>
      </c>
      <c r="Z9" s="132">
        <v>0.2</v>
      </c>
      <c r="AA9" s="132">
        <v>0.2</v>
      </c>
      <c r="AB9" s="132">
        <v>0.2</v>
      </c>
      <c r="AC9" s="132">
        <v>0.2</v>
      </c>
      <c r="AD9" s="132">
        <v>0.2</v>
      </c>
      <c r="AE9" s="132">
        <v>0.2</v>
      </c>
    </row>
    <row r="10" spans="1:31" x14ac:dyDescent="0.35">
      <c r="A10" s="120" t="s">
        <v>85</v>
      </c>
      <c r="B10" s="131">
        <v>0.11787</v>
      </c>
      <c r="C10" s="132">
        <v>0.11068</v>
      </c>
      <c r="D10" s="132">
        <v>9.0792999999999999E-2</v>
      </c>
      <c r="E10" s="133">
        <v>5.8309E-2</v>
      </c>
      <c r="F10" s="134">
        <v>2.8580999999999999E-2</v>
      </c>
      <c r="G10" s="133">
        <v>8.4281999999999998E-4</v>
      </c>
      <c r="H10" s="133">
        <v>3.6653E-4</v>
      </c>
      <c r="I10" s="134">
        <v>1.4880000000000001E-4</v>
      </c>
      <c r="J10" s="133">
        <v>5.2157000000000002E-5</v>
      </c>
      <c r="K10" s="133">
        <v>1.5631999999999999E-5</v>
      </c>
      <c r="L10" s="134">
        <v>4.2572999999999999E-6</v>
      </c>
      <c r="M10" s="133">
        <v>1.1320999999999999E-6</v>
      </c>
      <c r="N10" s="133">
        <v>3.0759999999999998E-7</v>
      </c>
      <c r="O10" s="134">
        <v>8.7147999999999994E-8</v>
      </c>
      <c r="P10" s="133">
        <v>2.5918999999999999E-8</v>
      </c>
      <c r="Q10" s="133">
        <v>8.1001000000000002E-9</v>
      </c>
      <c r="R10" s="134">
        <v>2.6604E-9</v>
      </c>
      <c r="S10" s="133">
        <v>9.2248999999999999E-10</v>
      </c>
      <c r="T10" s="133">
        <v>2.0673000000000001E-11</v>
      </c>
      <c r="U10" s="134">
        <v>8.4606999999999993E-12</v>
      </c>
      <c r="V10" s="133">
        <v>3.5548000000000002E-12</v>
      </c>
      <c r="W10" s="133">
        <v>1.5325E-12</v>
      </c>
      <c r="X10" s="134">
        <v>6.7700999999999996E-13</v>
      </c>
      <c r="Y10" s="133">
        <v>3.0721000000000001E-13</v>
      </c>
      <c r="Z10" s="133">
        <v>1.5357999999999999E-13</v>
      </c>
      <c r="AA10" s="134">
        <v>7.5448000000000003E-14</v>
      </c>
      <c r="AB10" s="133">
        <v>3.7177999999999999E-14</v>
      </c>
      <c r="AC10" s="133">
        <v>7.5448000000000003E-14</v>
      </c>
      <c r="AD10" s="134">
        <v>3.7177999999999999E-14</v>
      </c>
      <c r="AE10" s="133">
        <v>2.4715E-15</v>
      </c>
    </row>
    <row r="11" spans="1:31" x14ac:dyDescent="0.35">
      <c r="A11" s="124" t="s">
        <v>86</v>
      </c>
      <c r="B11" s="133">
        <v>0.12213</v>
      </c>
      <c r="C11" s="134">
        <v>0.12931999999999999</v>
      </c>
      <c r="D11" s="134">
        <v>0.1492</v>
      </c>
      <c r="E11" s="131">
        <v>0.18165999999999999</v>
      </c>
      <c r="F11" s="132">
        <v>0.21128</v>
      </c>
      <c r="G11" s="131">
        <v>0.21623999999999999</v>
      </c>
      <c r="H11" s="131">
        <v>0.18673000000000001</v>
      </c>
      <c r="I11" s="132">
        <v>0.14158000000000001</v>
      </c>
      <c r="J11" s="131">
        <v>9.1116000000000003E-2</v>
      </c>
      <c r="K11" s="131">
        <v>5.0257000000000003E-2</v>
      </c>
      <c r="L11" s="132">
        <v>2.5132000000000002E-2</v>
      </c>
      <c r="M11" s="131">
        <v>1.2115000000000001E-2</v>
      </c>
      <c r="N11" s="131">
        <v>5.8520999999999998E-3</v>
      </c>
      <c r="O11" s="132">
        <v>2.8841000000000001E-3</v>
      </c>
      <c r="P11" s="131">
        <v>1.4599999999999999E-3</v>
      </c>
      <c r="Q11" s="133">
        <v>7.6039E-4</v>
      </c>
      <c r="R11" s="134">
        <v>4.0761999999999998E-4</v>
      </c>
      <c r="S11" s="133">
        <v>2.2541E-4</v>
      </c>
      <c r="T11" s="131">
        <v>2.7175E-5</v>
      </c>
      <c r="U11" s="132">
        <v>1.6592999999999999E-5</v>
      </c>
      <c r="V11" s="131">
        <v>1.0291E-5</v>
      </c>
      <c r="W11" s="131">
        <v>6.4810999999999997E-6</v>
      </c>
      <c r="X11" s="132">
        <v>4.1408000000000002E-6</v>
      </c>
      <c r="Y11" s="131">
        <v>2.6863999999999998E-6</v>
      </c>
      <c r="Z11" s="131">
        <v>1.8275000000000001E-6</v>
      </c>
      <c r="AA11" s="132">
        <v>1.2358000000000001E-6</v>
      </c>
      <c r="AB11" s="131">
        <v>8.3857000000000002E-7</v>
      </c>
      <c r="AC11" s="131">
        <v>1.2358000000000001E-6</v>
      </c>
      <c r="AD11" s="132">
        <v>8.3857000000000002E-7</v>
      </c>
      <c r="AE11" s="131">
        <v>1.9167E-7</v>
      </c>
    </row>
    <row r="12" spans="1:31" x14ac:dyDescent="0.35">
      <c r="A12" s="120" t="s">
        <v>87</v>
      </c>
      <c r="B12" s="131">
        <v>2.1905999999999998E-2</v>
      </c>
      <c r="C12" s="132">
        <v>2.2196E-2</v>
      </c>
      <c r="D12" s="132">
        <v>2.2950000000000002E-2</v>
      </c>
      <c r="E12" s="131">
        <v>2.4055E-2</v>
      </c>
      <c r="F12" s="132">
        <v>2.495E-2</v>
      </c>
      <c r="G12" s="131">
        <v>2.6256000000000002E-2</v>
      </c>
      <c r="H12" s="131">
        <v>2.6939999999999999E-2</v>
      </c>
      <c r="I12" s="132">
        <v>2.7844000000000001E-2</v>
      </c>
      <c r="J12" s="131">
        <v>2.8712999999999999E-2</v>
      </c>
      <c r="K12" s="131">
        <v>2.9329000000000001E-2</v>
      </c>
      <c r="L12" s="132">
        <v>2.9676000000000001E-2</v>
      </c>
      <c r="M12" s="131">
        <v>2.9846000000000001E-2</v>
      </c>
      <c r="N12" s="131">
        <v>2.9926000000000001E-2</v>
      </c>
      <c r="O12" s="132">
        <v>2.9959E-2</v>
      </c>
      <c r="P12" s="131">
        <v>2.9951999999999999E-2</v>
      </c>
      <c r="Q12" s="131">
        <v>2.9828E-2</v>
      </c>
      <c r="R12" s="132">
        <v>2.9187999999999999E-2</v>
      </c>
      <c r="S12" s="131">
        <v>2.6589999999999999E-2</v>
      </c>
      <c r="T12" s="131">
        <v>9.5122999999999996E-4</v>
      </c>
      <c r="U12" s="132">
        <v>2.7313000000000001E-4</v>
      </c>
      <c r="V12" s="131">
        <v>7.9382999999999995E-5</v>
      </c>
      <c r="W12" s="131">
        <v>2.3487999999999999E-5</v>
      </c>
      <c r="X12" s="132">
        <v>7.0636999999999998E-6</v>
      </c>
      <c r="Y12" s="131">
        <v>2.1115999999999998E-6</v>
      </c>
      <c r="Z12" s="131">
        <v>3.2650999999999998E-7</v>
      </c>
      <c r="AA12" s="132">
        <v>5.0575000000000001E-8</v>
      </c>
      <c r="AB12" s="131">
        <v>8.1415000000000005E-9</v>
      </c>
      <c r="AC12" s="131">
        <v>5.0575000000000001E-8</v>
      </c>
      <c r="AD12" s="132">
        <v>8.1415000000000005E-9</v>
      </c>
      <c r="AE12" s="131">
        <v>8.8611000000000007E-12</v>
      </c>
    </row>
    <row r="13" spans="1:31" x14ac:dyDescent="0.35">
      <c r="A13" s="120" t="s">
        <v>88</v>
      </c>
      <c r="B13" s="131">
        <v>1.4219000000000001E-28</v>
      </c>
      <c r="C13" s="132">
        <v>1.2244E-26</v>
      </c>
      <c r="D13" s="132">
        <v>9.3656999999999993E-25</v>
      </c>
      <c r="E13" s="131">
        <v>8.2229999999999995E-23</v>
      </c>
      <c r="F13" s="132">
        <v>7.5761000000000006E-21</v>
      </c>
      <c r="G13" s="131">
        <v>3.6578999999999997E-14</v>
      </c>
      <c r="H13" s="131">
        <v>7.0040000000000002E-13</v>
      </c>
      <c r="I13" s="132">
        <v>1.0294E-11</v>
      </c>
      <c r="J13" s="131">
        <v>1.2805000000000001E-10</v>
      </c>
      <c r="K13" s="131">
        <v>1.4134999999999999E-9</v>
      </c>
      <c r="L13" s="132">
        <v>1.3907E-8</v>
      </c>
      <c r="M13" s="131">
        <v>1.2118999999999999E-7</v>
      </c>
      <c r="N13" s="131">
        <v>9.3500000000000005E-7</v>
      </c>
      <c r="O13" s="132">
        <v>6.4214E-6</v>
      </c>
      <c r="P13" s="131">
        <v>3.9548999999999997E-5</v>
      </c>
      <c r="Q13" s="131">
        <v>2.1958000000000001E-4</v>
      </c>
      <c r="R13" s="132">
        <v>1.0908999999999999E-3</v>
      </c>
      <c r="S13" s="131">
        <v>4.5948999999999999E-3</v>
      </c>
      <c r="T13" s="131">
        <v>3.5118000000000003E-2</v>
      </c>
      <c r="U13" s="132">
        <v>3.4089000000000001E-2</v>
      </c>
      <c r="V13" s="131">
        <v>3.1904000000000002E-2</v>
      </c>
      <c r="W13" s="131">
        <v>2.9024000000000001E-2</v>
      </c>
      <c r="X13" s="132">
        <v>2.5696E-2</v>
      </c>
      <c r="Y13" s="131">
        <v>2.1628000000000001E-2</v>
      </c>
      <c r="Z13" s="131">
        <v>8.3616999999999997E-3</v>
      </c>
      <c r="AA13" s="132">
        <v>3.2523999999999999E-3</v>
      </c>
      <c r="AB13" s="131">
        <v>1.2936E-3</v>
      </c>
      <c r="AC13" s="131">
        <v>3.2523999999999999E-3</v>
      </c>
      <c r="AD13" s="132">
        <v>1.2936E-3</v>
      </c>
      <c r="AE13" s="131">
        <v>4.1288000000000002E-5</v>
      </c>
    </row>
    <row r="14" spans="1:31" x14ac:dyDescent="0.35">
      <c r="A14" s="124" t="s">
        <v>89</v>
      </c>
      <c r="B14" s="133">
        <v>4.5409000000000001E-7</v>
      </c>
      <c r="C14" s="134">
        <v>1.1596000000000001E-6</v>
      </c>
      <c r="D14" s="134">
        <v>3.6376000000000001E-6</v>
      </c>
      <c r="E14" s="133">
        <v>1.4951E-5</v>
      </c>
      <c r="F14" s="134">
        <v>6.8635999999999998E-5</v>
      </c>
      <c r="G14" s="133">
        <v>1.1455999999999999E-2</v>
      </c>
      <c r="H14" s="133">
        <v>2.6453999999999998E-2</v>
      </c>
      <c r="I14" s="134">
        <v>4.9137E-2</v>
      </c>
      <c r="J14" s="133">
        <v>7.4415999999999996E-2</v>
      </c>
      <c r="K14" s="133">
        <v>9.4864000000000004E-2</v>
      </c>
      <c r="L14" s="134">
        <v>0.10743</v>
      </c>
      <c r="M14" s="133">
        <v>0.11394</v>
      </c>
      <c r="N14" s="133">
        <v>0.11706999999999999</v>
      </c>
      <c r="O14" s="134">
        <v>0.11856</v>
      </c>
      <c r="P14" s="133">
        <v>0.11927</v>
      </c>
      <c r="Q14" s="133">
        <v>0.11962</v>
      </c>
      <c r="R14" s="134">
        <v>0.1198</v>
      </c>
      <c r="S14" s="133">
        <v>0.11989</v>
      </c>
      <c r="T14" s="133">
        <v>0.11999</v>
      </c>
      <c r="U14" s="134">
        <v>0.11999</v>
      </c>
      <c r="V14" s="133">
        <v>0.11999</v>
      </c>
      <c r="W14" s="131">
        <v>0.12</v>
      </c>
      <c r="X14" s="132">
        <v>0.12</v>
      </c>
      <c r="Y14" s="131">
        <v>0.11996999999999999</v>
      </c>
      <c r="Z14" s="133">
        <v>0.11926</v>
      </c>
      <c r="AA14" s="134">
        <v>0.11877</v>
      </c>
      <c r="AB14" s="133">
        <v>0.11837</v>
      </c>
      <c r="AC14" s="133">
        <v>0.11877</v>
      </c>
      <c r="AD14" s="134">
        <v>0.11837</v>
      </c>
      <c r="AE14" s="133">
        <v>0.11694</v>
      </c>
    </row>
    <row r="15" spans="1:31" x14ac:dyDescent="0.35">
      <c r="A15" s="124" t="s">
        <v>90</v>
      </c>
      <c r="B15" s="133">
        <v>3.6374999999999999E-28</v>
      </c>
      <c r="C15" s="134">
        <v>2.9487000000000001E-26</v>
      </c>
      <c r="D15" s="134">
        <v>2.0040999999999999E-24</v>
      </c>
      <c r="E15" s="133">
        <v>1.4044000000000001E-22</v>
      </c>
      <c r="F15" s="134">
        <v>9.4172000000000002E-21</v>
      </c>
      <c r="G15" s="133">
        <v>1.3252E-14</v>
      </c>
      <c r="H15" s="133">
        <v>2.1316999999999999E-13</v>
      </c>
      <c r="I15" s="134">
        <v>2.7485999999999998E-12</v>
      </c>
      <c r="J15" s="133">
        <v>3.0313999999999999E-11</v>
      </c>
      <c r="K15" s="133">
        <v>2.9357999999999998E-10</v>
      </c>
      <c r="L15" s="134">
        <v>2.5024E-9</v>
      </c>
      <c r="M15" s="133">
        <v>1.8787000000000001E-8</v>
      </c>
      <c r="N15" s="133">
        <v>1.2485999999999999E-7</v>
      </c>
      <c r="O15" s="134">
        <v>7.4010999999999997E-7</v>
      </c>
      <c r="P15" s="133">
        <v>3.9424999999999999E-6</v>
      </c>
      <c r="Q15" s="133">
        <v>1.8986000000000001E-5</v>
      </c>
      <c r="R15" s="134">
        <v>8.2616999999999999E-5</v>
      </c>
      <c r="S15" s="133">
        <v>3.1750000000000002E-4</v>
      </c>
      <c r="T15" s="133">
        <v>7.3359999999999996E-3</v>
      </c>
      <c r="U15" s="134">
        <v>1.1124999999999999E-2</v>
      </c>
      <c r="V15" s="133">
        <v>1.5989E-2</v>
      </c>
      <c r="W15" s="133">
        <v>2.1892999999999999E-2</v>
      </c>
      <c r="X15" s="134">
        <v>2.8590999999999998E-2</v>
      </c>
      <c r="Y15" s="133">
        <v>3.5165000000000002E-2</v>
      </c>
      <c r="Z15" s="133">
        <v>2.7507E-2</v>
      </c>
      <c r="AA15" s="134">
        <v>2.1121999999999998E-2</v>
      </c>
      <c r="AB15" s="133">
        <v>1.5965E-2</v>
      </c>
      <c r="AC15" s="133">
        <v>2.1121999999999998E-2</v>
      </c>
      <c r="AD15" s="134">
        <v>1.5965E-2</v>
      </c>
      <c r="AE15" s="133">
        <v>4.3797999999999997E-3</v>
      </c>
    </row>
    <row r="16" spans="1:31" x14ac:dyDescent="0.35">
      <c r="A16" s="124" t="s">
        <v>91</v>
      </c>
      <c r="B16" s="133">
        <v>2.5337E-9</v>
      </c>
      <c r="C16" s="134">
        <v>8.7521E-9</v>
      </c>
      <c r="D16" s="134">
        <v>2.1410000000000001E-8</v>
      </c>
      <c r="E16" s="133">
        <v>3.5043999999999999E-8</v>
      </c>
      <c r="F16" s="134">
        <v>4.0088000000000001E-8</v>
      </c>
      <c r="G16" s="133">
        <v>2.18E-8</v>
      </c>
      <c r="H16" s="133">
        <v>2.0435000000000001E-8</v>
      </c>
      <c r="I16" s="134">
        <v>1.9989999999999999E-8</v>
      </c>
      <c r="J16" s="133">
        <v>1.9168E-8</v>
      </c>
      <c r="K16" s="133">
        <v>1.8243E-8</v>
      </c>
      <c r="L16" s="134">
        <v>1.6292999999999999E-8</v>
      </c>
      <c r="M16" s="133">
        <v>1.3986E-8</v>
      </c>
      <c r="N16" s="133">
        <v>1.1771E-8</v>
      </c>
      <c r="O16" s="134">
        <v>9.8201E-9</v>
      </c>
      <c r="P16" s="133">
        <v>8.1651999999999999E-9</v>
      </c>
      <c r="Q16" s="133">
        <v>6.7876E-9</v>
      </c>
      <c r="R16" s="134">
        <v>5.6655000000000003E-9</v>
      </c>
      <c r="S16" s="133">
        <v>4.8032999999999997E-9</v>
      </c>
      <c r="T16" s="133">
        <v>2.7602E-9</v>
      </c>
      <c r="U16" s="134">
        <v>2.3245E-9</v>
      </c>
      <c r="V16" s="133">
        <v>1.9566E-9</v>
      </c>
      <c r="W16" s="133">
        <v>1.6493000000000001E-9</v>
      </c>
      <c r="X16" s="134">
        <v>1.3927E-9</v>
      </c>
      <c r="Y16" s="133">
        <v>1.179E-9</v>
      </c>
      <c r="Z16" s="133">
        <v>1.0190000000000001E-9</v>
      </c>
      <c r="AA16" s="134">
        <v>8.6608999999999995E-10</v>
      </c>
      <c r="AB16" s="133">
        <v>7.3197999999999999E-10</v>
      </c>
      <c r="AC16" s="133">
        <v>8.6608999999999995E-10</v>
      </c>
      <c r="AD16" s="134">
        <v>7.3197999999999999E-10</v>
      </c>
      <c r="AE16" s="133">
        <v>3.7200000000000001E-10</v>
      </c>
    </row>
    <row r="17" spans="1:31" x14ac:dyDescent="0.35">
      <c r="A17" s="120" t="s">
        <v>92</v>
      </c>
      <c r="B17" s="131">
        <v>5.8400000000000005E-10</v>
      </c>
      <c r="C17" s="132">
        <v>2.3464000000000001E-9</v>
      </c>
      <c r="D17" s="132">
        <v>6.5551000000000002E-9</v>
      </c>
      <c r="E17" s="131">
        <v>1.2069E-8</v>
      </c>
      <c r="F17" s="132">
        <v>1.5332000000000001E-8</v>
      </c>
      <c r="G17" s="131">
        <v>1.1541000000000001E-8</v>
      </c>
      <c r="H17" s="133">
        <v>1.153E-8</v>
      </c>
      <c r="I17" s="134">
        <v>1.1954000000000001E-8</v>
      </c>
      <c r="J17" s="133">
        <v>1.2058E-8</v>
      </c>
      <c r="K17" s="133">
        <v>1.1358999999999999E-8</v>
      </c>
      <c r="L17" s="134">
        <v>1.0034000000000001E-8</v>
      </c>
      <c r="M17" s="133">
        <v>8.5150000000000005E-9</v>
      </c>
      <c r="N17" s="133">
        <v>7.0818999999999997E-9</v>
      </c>
      <c r="O17" s="134">
        <v>5.8369999999999996E-9</v>
      </c>
      <c r="P17" s="133">
        <v>4.7939999999999998E-9</v>
      </c>
      <c r="Q17" s="131">
        <v>3.9361000000000001E-9</v>
      </c>
      <c r="R17" s="132">
        <v>3.2447999999999998E-9</v>
      </c>
      <c r="S17" s="131">
        <v>2.717E-9</v>
      </c>
      <c r="T17" s="131">
        <v>1.4865E-9</v>
      </c>
      <c r="U17" s="132">
        <v>1.2368999999999999E-9</v>
      </c>
      <c r="V17" s="131">
        <v>1.0288E-9</v>
      </c>
      <c r="W17" s="133">
        <v>8.5701000000000002E-10</v>
      </c>
      <c r="X17" s="134">
        <v>7.1524999999999999E-10</v>
      </c>
      <c r="Y17" s="133">
        <v>5.9853E-10</v>
      </c>
      <c r="Z17" s="131">
        <v>5.1136999999999996E-10</v>
      </c>
      <c r="AA17" s="132">
        <v>4.2971000000000001E-10</v>
      </c>
      <c r="AB17" s="131">
        <v>3.5909E-10</v>
      </c>
      <c r="AC17" s="131">
        <v>4.2971000000000001E-10</v>
      </c>
      <c r="AD17" s="132">
        <v>3.5909E-10</v>
      </c>
      <c r="AE17" s="131">
        <v>1.7455999999999999E-10</v>
      </c>
    </row>
    <row r="18" spans="1:31" x14ac:dyDescent="0.35">
      <c r="A18" s="120" t="s">
        <v>93</v>
      </c>
      <c r="B18" s="131">
        <v>2.1339000000000002E-3</v>
      </c>
      <c r="C18" s="132">
        <v>9.3252000000000005E-3</v>
      </c>
      <c r="D18" s="132">
        <v>2.9215000000000001E-2</v>
      </c>
      <c r="E18" s="131">
        <v>6.1720999999999998E-2</v>
      </c>
      <c r="F18" s="132">
        <v>9.1555999999999998E-2</v>
      </c>
      <c r="G18" s="131">
        <v>0.14207</v>
      </c>
      <c r="H18" s="131">
        <v>0.17254</v>
      </c>
      <c r="I18" s="132">
        <v>0.21812000000000001</v>
      </c>
      <c r="J18" s="131">
        <v>0.26878000000000002</v>
      </c>
      <c r="K18" s="131">
        <v>0.30970999999999999</v>
      </c>
      <c r="L18" s="132">
        <v>0.33485999999999999</v>
      </c>
      <c r="M18" s="131">
        <v>0.34788000000000002</v>
      </c>
      <c r="N18" s="131">
        <v>0.35415000000000002</v>
      </c>
      <c r="O18" s="132">
        <v>0.35713</v>
      </c>
      <c r="P18" s="131">
        <v>0.35861999999999999</v>
      </c>
      <c r="Q18" s="131">
        <v>0.35970999999999997</v>
      </c>
      <c r="R18" s="132">
        <v>0.3619</v>
      </c>
      <c r="S18" s="131">
        <v>0.36943999999999999</v>
      </c>
      <c r="T18" s="131">
        <v>0.44120999999999999</v>
      </c>
      <c r="U18" s="132">
        <v>0.44485000000000002</v>
      </c>
      <c r="V18" s="131">
        <v>0.44778000000000001</v>
      </c>
      <c r="W18" s="131">
        <v>0.45088</v>
      </c>
      <c r="X18" s="132">
        <v>0.45427000000000001</v>
      </c>
      <c r="Y18" s="131">
        <v>0.45835999999999999</v>
      </c>
      <c r="Z18" s="131">
        <v>0.47164</v>
      </c>
      <c r="AA18" s="132">
        <v>0.47675000000000001</v>
      </c>
      <c r="AB18" s="131">
        <v>0.47871000000000002</v>
      </c>
      <c r="AC18" s="131">
        <v>0.47675000000000001</v>
      </c>
      <c r="AD18" s="132">
        <v>0.47871000000000002</v>
      </c>
      <c r="AE18" s="131">
        <v>0.47996</v>
      </c>
    </row>
    <row r="19" spans="1:31" x14ac:dyDescent="0.35">
      <c r="A19" s="124" t="s">
        <v>94</v>
      </c>
      <c r="B19" s="133">
        <v>6.4788000000000002E-12</v>
      </c>
      <c r="C19" s="134">
        <v>3.6438999999999997E-11</v>
      </c>
      <c r="D19" s="134">
        <v>1.3745E-10</v>
      </c>
      <c r="E19" s="133">
        <v>3.3158000000000001E-10</v>
      </c>
      <c r="F19" s="134">
        <v>5.3816000000000003E-10</v>
      </c>
      <c r="G19" s="133">
        <v>8.9524999999999998E-10</v>
      </c>
      <c r="H19" s="133">
        <v>1.0527000000000001E-9</v>
      </c>
      <c r="I19" s="134">
        <v>1.2709E-9</v>
      </c>
      <c r="J19" s="133">
        <v>1.4783E-9</v>
      </c>
      <c r="K19" s="133">
        <v>1.5923E-9</v>
      </c>
      <c r="L19" s="134">
        <v>1.5959E-9</v>
      </c>
      <c r="M19" s="133">
        <v>1.5259000000000001E-9</v>
      </c>
      <c r="N19" s="133">
        <v>1.421E-9</v>
      </c>
      <c r="O19" s="134">
        <v>1.3038E-9</v>
      </c>
      <c r="P19" s="133">
        <v>1.1859E-9</v>
      </c>
      <c r="Q19" s="133">
        <v>1.0730999999999999E-9</v>
      </c>
      <c r="R19" s="134">
        <v>9.7069999999999997E-10</v>
      </c>
      <c r="S19" s="133">
        <v>8.8829000000000004E-10</v>
      </c>
      <c r="T19" s="133">
        <v>6.6946999999999996E-10</v>
      </c>
      <c r="U19" s="134">
        <v>5.9896999999999995E-10</v>
      </c>
      <c r="V19" s="133">
        <v>5.3429000000000002E-10</v>
      </c>
      <c r="W19" s="133">
        <v>4.7617000000000002E-10</v>
      </c>
      <c r="X19" s="134">
        <v>4.2419000000000001E-10</v>
      </c>
      <c r="Y19" s="133">
        <v>3.7808E-10</v>
      </c>
      <c r="Z19" s="133">
        <v>3.4335000000000001E-10</v>
      </c>
      <c r="AA19" s="134">
        <v>3.0610000000000001E-10</v>
      </c>
      <c r="AB19" s="133">
        <v>2.7088999999999998E-10</v>
      </c>
      <c r="AC19" s="133">
        <v>3.0610000000000001E-10</v>
      </c>
      <c r="AD19" s="134">
        <v>2.7088999999999998E-10</v>
      </c>
      <c r="AE19" s="133">
        <v>1.6297000000000001E-10</v>
      </c>
    </row>
    <row r="20" spans="1:31" x14ac:dyDescent="0.35">
      <c r="A20" s="137" t="s">
        <v>62</v>
      </c>
      <c r="B20" s="138">
        <v>4.5409000000000001E-7</v>
      </c>
      <c r="C20" s="139">
        <v>1.1596000000000001E-6</v>
      </c>
      <c r="D20" s="138">
        <v>3.6376000000000001E-6</v>
      </c>
      <c r="E20" s="138">
        <v>1.4951E-5</v>
      </c>
      <c r="F20" s="139">
        <v>6.8635999999999998E-5</v>
      </c>
      <c r="G20" s="138">
        <v>1.1455999999999999E-2</v>
      </c>
      <c r="H20" s="138">
        <v>2.6453999999999998E-2</v>
      </c>
      <c r="I20" s="139">
        <v>4.9137E-2</v>
      </c>
      <c r="J20" s="138">
        <v>7.4415999999999996E-2</v>
      </c>
      <c r="K20" s="138">
        <v>9.4864000000000004E-2</v>
      </c>
      <c r="L20" s="139">
        <v>0.10743</v>
      </c>
      <c r="M20" s="138">
        <v>0.11394</v>
      </c>
      <c r="N20" s="138">
        <v>0.11706999999999999</v>
      </c>
      <c r="O20" s="139">
        <v>0.11856</v>
      </c>
      <c r="P20" s="138">
        <v>0.11927</v>
      </c>
      <c r="Q20" s="138">
        <v>0.11962</v>
      </c>
      <c r="R20" s="139">
        <v>0.1198</v>
      </c>
      <c r="S20" s="138">
        <v>0.11989</v>
      </c>
      <c r="T20" s="138">
        <v>0.11999</v>
      </c>
      <c r="U20" s="139">
        <v>0.11999</v>
      </c>
      <c r="V20" s="138">
        <v>0.11999</v>
      </c>
      <c r="W20" s="140">
        <v>0.12</v>
      </c>
      <c r="X20" s="141">
        <v>0.12</v>
      </c>
      <c r="Y20" s="140">
        <v>0.11996999999999999</v>
      </c>
      <c r="Z20" s="138">
        <v>0.11926</v>
      </c>
      <c r="AA20" s="139">
        <v>0.11877</v>
      </c>
      <c r="AB20" s="138">
        <v>0.11837</v>
      </c>
      <c r="AC20" s="138">
        <v>0.11877</v>
      </c>
      <c r="AD20" s="139">
        <v>0.11837</v>
      </c>
      <c r="AE20" s="138">
        <v>0.11694</v>
      </c>
    </row>
    <row r="21" spans="1:31" x14ac:dyDescent="0.35">
      <c r="A21" s="135" t="s">
        <v>68</v>
      </c>
      <c r="B21" s="140">
        <v>0</v>
      </c>
      <c r="C21" s="141">
        <v>0</v>
      </c>
      <c r="D21" s="136">
        <v>0</v>
      </c>
      <c r="E21" s="140">
        <v>0</v>
      </c>
      <c r="F21" s="141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0</v>
      </c>
      <c r="L21" s="141">
        <v>0</v>
      </c>
      <c r="M21" s="141">
        <v>0</v>
      </c>
      <c r="N21" s="141">
        <v>0</v>
      </c>
      <c r="O21" s="141">
        <v>0</v>
      </c>
      <c r="P21" s="141">
        <v>0</v>
      </c>
      <c r="Q21" s="141">
        <v>0</v>
      </c>
      <c r="R21" s="141">
        <v>0</v>
      </c>
      <c r="S21" s="141">
        <v>0</v>
      </c>
      <c r="T21" s="138">
        <v>2.9604E-33</v>
      </c>
      <c r="U21" s="139">
        <v>3.7014000000000003E-26</v>
      </c>
      <c r="V21" s="138">
        <v>2.1821E-19</v>
      </c>
      <c r="W21" s="138">
        <v>3.8508999999999998E-13</v>
      </c>
      <c r="X21" s="139">
        <v>5.2928000000000003E-8</v>
      </c>
      <c r="Y21" s="138">
        <v>1.5735E-3</v>
      </c>
      <c r="Z21" s="138">
        <v>3.5756999999999997E-2</v>
      </c>
      <c r="AA21" s="139">
        <v>5.2352000000000003E-2</v>
      </c>
      <c r="AB21" s="138">
        <v>6.1423999999999999E-2</v>
      </c>
      <c r="AC21" s="138">
        <v>5.2352000000000003E-2</v>
      </c>
      <c r="AD21" s="139">
        <v>6.1423999999999999E-2</v>
      </c>
      <c r="AE21" s="138">
        <v>7.5535000000000005E-2</v>
      </c>
    </row>
    <row r="22" spans="1:31" x14ac:dyDescent="0.35">
      <c r="A22" s="135" t="s">
        <v>67</v>
      </c>
      <c r="B22" s="140">
        <v>0</v>
      </c>
      <c r="C22" s="141">
        <v>0</v>
      </c>
      <c r="D22" s="141">
        <v>0</v>
      </c>
      <c r="E22" s="140">
        <v>0</v>
      </c>
      <c r="F22" s="141">
        <v>0</v>
      </c>
      <c r="G22" s="141">
        <v>0</v>
      </c>
      <c r="H22" s="141">
        <v>0</v>
      </c>
      <c r="I22" s="141">
        <v>0</v>
      </c>
      <c r="J22" s="141">
        <v>0</v>
      </c>
      <c r="K22" s="141">
        <v>0</v>
      </c>
      <c r="L22" s="141">
        <v>0</v>
      </c>
      <c r="M22" s="141">
        <v>0</v>
      </c>
      <c r="N22" s="141">
        <v>0</v>
      </c>
      <c r="O22" s="141">
        <v>0</v>
      </c>
      <c r="P22" s="141">
        <v>0</v>
      </c>
      <c r="Q22" s="141">
        <v>0</v>
      </c>
      <c r="R22" s="141">
        <v>0</v>
      </c>
      <c r="S22" s="141">
        <v>0</v>
      </c>
      <c r="T22" s="138">
        <v>6.6405999999999999E-34</v>
      </c>
      <c r="U22" s="139">
        <v>5.4394E-27</v>
      </c>
      <c r="V22" s="138">
        <v>2.1702999999999999E-20</v>
      </c>
      <c r="W22" s="138">
        <v>2.6639000000000001E-14</v>
      </c>
      <c r="X22" s="139">
        <v>2.6133000000000001E-9</v>
      </c>
      <c r="Y22" s="138">
        <v>5.7606999999999999E-5</v>
      </c>
      <c r="Z22" s="138">
        <v>1.4848999999999999E-3</v>
      </c>
      <c r="AA22" s="139">
        <v>2.4618999999999999E-3</v>
      </c>
      <c r="AB22" s="138">
        <v>3.2528000000000001E-3</v>
      </c>
      <c r="AC22" s="138">
        <v>2.4618999999999999E-3</v>
      </c>
      <c r="AD22" s="139">
        <v>3.2528000000000001E-3</v>
      </c>
      <c r="AE22" s="138">
        <v>6.1139000000000002E-3</v>
      </c>
    </row>
    <row r="23" spans="1:31" x14ac:dyDescent="0.35">
      <c r="A23" s="137" t="s">
        <v>36</v>
      </c>
      <c r="B23" s="138">
        <v>-18.71</v>
      </c>
      <c r="C23" s="139">
        <v>-18.7</v>
      </c>
      <c r="D23" s="138">
        <v>-18.7</v>
      </c>
      <c r="E23" s="138">
        <v>-18.7</v>
      </c>
      <c r="F23" s="139">
        <v>-18.72</v>
      </c>
      <c r="G23" s="138">
        <v>-18.829999999999998</v>
      </c>
      <c r="H23" s="138">
        <v>-18.87</v>
      </c>
      <c r="I23" s="139">
        <v>-18.899999999999999</v>
      </c>
      <c r="J23" s="138">
        <v>-18.940000000000001</v>
      </c>
      <c r="K23" s="138">
        <v>-18.98</v>
      </c>
      <c r="L23" s="139">
        <v>-19.02</v>
      </c>
      <c r="M23" s="138">
        <v>-19.059999999999999</v>
      </c>
      <c r="N23" s="138">
        <v>-19.100000000000001</v>
      </c>
      <c r="O23" s="139">
        <v>-19.14</v>
      </c>
      <c r="P23" s="138">
        <v>-19.18</v>
      </c>
      <c r="Q23" s="138">
        <v>-19.23</v>
      </c>
      <c r="R23" s="139">
        <v>-19.27</v>
      </c>
      <c r="S23" s="138">
        <v>-19.3</v>
      </c>
      <c r="T23" s="138">
        <v>-19.43</v>
      </c>
      <c r="U23" s="139">
        <v>-19.47</v>
      </c>
      <c r="V23" s="138">
        <v>-19.510000000000002</v>
      </c>
      <c r="W23" s="138">
        <v>-19.55</v>
      </c>
      <c r="X23" s="139">
        <v>-19.59</v>
      </c>
      <c r="Y23" s="138">
        <v>-19.62</v>
      </c>
      <c r="Z23" s="138">
        <v>-19.66</v>
      </c>
      <c r="AA23" s="139">
        <v>-19.7</v>
      </c>
      <c r="AB23" s="138">
        <v>-19.739999999999998</v>
      </c>
      <c r="AC23" s="138">
        <v>-19.7</v>
      </c>
      <c r="AD23" s="139">
        <v>-19.739999999999998</v>
      </c>
      <c r="AE23" s="138">
        <v>-19.88</v>
      </c>
    </row>
    <row r="24" spans="1:31" x14ac:dyDescent="0.35">
      <c r="A24" s="137" t="s">
        <v>5</v>
      </c>
      <c r="B24" s="138">
        <v>-66.75</v>
      </c>
      <c r="C24" s="139">
        <v>-62.38</v>
      </c>
      <c r="D24" s="138">
        <v>-58.23</v>
      </c>
      <c r="E24" s="138">
        <v>-54.11</v>
      </c>
      <c r="F24" s="139">
        <v>-50.02</v>
      </c>
      <c r="G24" s="138">
        <v>-36.159999999999997</v>
      </c>
      <c r="H24" s="138">
        <v>-33.5</v>
      </c>
      <c r="I24" s="139">
        <v>-31.09</v>
      </c>
      <c r="J24" s="138">
        <v>-28.84</v>
      </c>
      <c r="K24" s="138">
        <v>-26.68</v>
      </c>
      <c r="L24" s="139">
        <v>-24.62</v>
      </c>
      <c r="M24" s="138">
        <v>-22.66</v>
      </c>
      <c r="N24" s="138">
        <v>-20.81</v>
      </c>
      <c r="O24" s="139">
        <v>-19.059999999999999</v>
      </c>
      <c r="P24" s="138">
        <v>-17.399999999999999</v>
      </c>
      <c r="Q24" s="138">
        <v>-15.83</v>
      </c>
      <c r="R24" s="139">
        <v>-14.36</v>
      </c>
      <c r="S24" s="138">
        <v>-13.01</v>
      </c>
      <c r="T24" s="138">
        <v>-9.8030000000000008</v>
      </c>
      <c r="U24" s="139">
        <v>-9.3119999999999994</v>
      </c>
      <c r="V24" s="138">
        <v>-8.8580000000000005</v>
      </c>
      <c r="W24" s="138">
        <v>-8.4390000000000001</v>
      </c>
      <c r="X24" s="139">
        <v>-8.0500000000000007</v>
      </c>
      <c r="Y24" s="138">
        <v>-7.7050000000000001</v>
      </c>
      <c r="Z24" s="138">
        <v>-7.774</v>
      </c>
      <c r="AA24" s="139">
        <v>-7.8449999999999998</v>
      </c>
      <c r="AB24" s="138">
        <v>-7.915</v>
      </c>
      <c r="AC24" s="138">
        <v>-7.8449999999999998</v>
      </c>
      <c r="AD24" s="139">
        <v>-7.915</v>
      </c>
      <c r="AE24" s="138">
        <v>-8.1869999999999994</v>
      </c>
    </row>
    <row r="25" spans="1:31" x14ac:dyDescent="0.35">
      <c r="A25" s="137" t="s">
        <v>6</v>
      </c>
      <c r="B25" s="138">
        <v>-17.02</v>
      </c>
      <c r="C25" s="139">
        <v>-16.100000000000001</v>
      </c>
      <c r="D25" s="138">
        <v>-15.04</v>
      </c>
      <c r="E25" s="138">
        <v>-13.75</v>
      </c>
      <c r="F25" s="139">
        <v>-12.33</v>
      </c>
      <c r="G25" s="138">
        <v>-7.4930000000000003</v>
      </c>
      <c r="H25" s="138">
        <v>-6.7720000000000002</v>
      </c>
      <c r="I25" s="139">
        <v>-6.2990000000000004</v>
      </c>
      <c r="J25" s="138">
        <v>-6.0309999999999997</v>
      </c>
      <c r="K25" s="138">
        <v>-5.9109999999999996</v>
      </c>
      <c r="L25" s="139">
        <v>-5.8780000000000001</v>
      </c>
      <c r="M25" s="138">
        <v>-5.89</v>
      </c>
      <c r="N25" s="138">
        <v>-5.923</v>
      </c>
      <c r="O25" s="139">
        <v>-5.9649999999999999</v>
      </c>
      <c r="P25" s="138">
        <v>-6.0110000000000001</v>
      </c>
      <c r="Q25" s="138">
        <v>-6.06</v>
      </c>
      <c r="R25" s="139">
        <v>-6.1130000000000004</v>
      </c>
      <c r="S25" s="138">
        <v>-6.1749999999999998</v>
      </c>
      <c r="T25" s="138">
        <v>-6.4939999999999998</v>
      </c>
      <c r="U25" s="139">
        <v>-6.55</v>
      </c>
      <c r="V25" s="138">
        <v>-6.6059999999999999</v>
      </c>
      <c r="W25" s="138">
        <v>-6.6609999999999996</v>
      </c>
      <c r="X25" s="139">
        <v>-6.718</v>
      </c>
      <c r="Y25" s="138">
        <v>-6.7729999999999997</v>
      </c>
      <c r="Z25" s="138">
        <v>-6.8140000000000001</v>
      </c>
      <c r="AA25" s="139">
        <v>-6.8540000000000001</v>
      </c>
      <c r="AB25" s="138">
        <v>-6.8940000000000001</v>
      </c>
      <c r="AC25" s="138">
        <v>-6.8540000000000001</v>
      </c>
      <c r="AD25" s="139">
        <v>-6.8940000000000001</v>
      </c>
      <c r="AE25" s="138">
        <v>-7.0640000000000001</v>
      </c>
    </row>
    <row r="26" spans="1:31" x14ac:dyDescent="0.35">
      <c r="A26" s="137" t="s">
        <v>7</v>
      </c>
      <c r="B26" s="138">
        <v>-23.56</v>
      </c>
      <c r="C26" s="139">
        <v>-22.33</v>
      </c>
      <c r="D26" s="138">
        <v>-21.52</v>
      </c>
      <c r="E26" s="138">
        <v>-21.15</v>
      </c>
      <c r="F26" s="139">
        <v>-21.13</v>
      </c>
      <c r="G26" s="138">
        <v>-22.02</v>
      </c>
      <c r="H26" s="138">
        <v>-22.21</v>
      </c>
      <c r="I26" s="139">
        <v>-22.38</v>
      </c>
      <c r="J26" s="138">
        <v>-22.58</v>
      </c>
      <c r="K26" s="138">
        <v>-22.81</v>
      </c>
      <c r="L26" s="139">
        <v>-23.08</v>
      </c>
      <c r="M26" s="138">
        <v>-23.36</v>
      </c>
      <c r="N26" s="138">
        <v>-23.65</v>
      </c>
      <c r="O26" s="139">
        <v>-23.94</v>
      </c>
      <c r="P26" s="138">
        <v>-24.22</v>
      </c>
      <c r="Q26" s="138">
        <v>-24.51</v>
      </c>
      <c r="R26" s="139">
        <v>-24.79</v>
      </c>
      <c r="S26" s="138">
        <v>-25.06</v>
      </c>
      <c r="T26" s="138">
        <v>-26.1</v>
      </c>
      <c r="U26" s="139">
        <v>-26.36</v>
      </c>
      <c r="V26" s="138">
        <v>-26.63</v>
      </c>
      <c r="W26" s="138">
        <v>-26.89</v>
      </c>
      <c r="X26" s="139">
        <v>-27.15</v>
      </c>
      <c r="Y26" s="138">
        <v>-27.4</v>
      </c>
      <c r="Z26" s="138">
        <v>-27.61</v>
      </c>
      <c r="AA26" s="139">
        <v>-27.84</v>
      </c>
      <c r="AB26" s="138">
        <v>-28.08</v>
      </c>
      <c r="AC26" s="138">
        <v>-27.84</v>
      </c>
      <c r="AD26" s="139">
        <v>-28.08</v>
      </c>
      <c r="AE26" s="138">
        <v>-29.02</v>
      </c>
    </row>
    <row r="27" spans="1:31" x14ac:dyDescent="0.35">
      <c r="A27" s="137" t="s">
        <v>46</v>
      </c>
      <c r="B27" s="138">
        <v>0.21809000000000001</v>
      </c>
      <c r="C27" s="139">
        <v>0.21779999999999999</v>
      </c>
      <c r="D27" s="138">
        <v>0.21704999999999999</v>
      </c>
      <c r="E27" s="138">
        <v>0.21595</v>
      </c>
      <c r="F27" s="139">
        <v>0.21504999999999999</v>
      </c>
      <c r="G27" s="138">
        <v>0.21374000000000001</v>
      </c>
      <c r="H27" s="138">
        <v>0.21306</v>
      </c>
      <c r="I27" s="139">
        <v>0.21215999999999999</v>
      </c>
      <c r="J27" s="138">
        <v>0.21129000000000001</v>
      </c>
      <c r="K27" s="138">
        <v>0.21067</v>
      </c>
      <c r="L27" s="139">
        <v>0.21032000000000001</v>
      </c>
      <c r="M27" s="138">
        <v>0.21015</v>
      </c>
      <c r="N27" s="138">
        <v>0.21007000000000001</v>
      </c>
      <c r="O27" s="139">
        <v>0.21002999999999999</v>
      </c>
      <c r="P27" s="138">
        <v>0.21001</v>
      </c>
      <c r="Q27" s="138">
        <v>0.20993999999999999</v>
      </c>
      <c r="R27" s="139">
        <v>0.20968000000000001</v>
      </c>
      <c r="S27" s="138">
        <v>0.20866000000000001</v>
      </c>
      <c r="T27" s="140">
        <v>0.20025999999999999</v>
      </c>
      <c r="U27" s="141">
        <v>0.20007</v>
      </c>
      <c r="V27" s="140">
        <v>0.20002</v>
      </c>
      <c r="W27" s="140">
        <v>0.20000999999999999</v>
      </c>
      <c r="X27" s="141">
        <v>0.2</v>
      </c>
      <c r="Y27" s="140">
        <v>0.2</v>
      </c>
      <c r="Z27" s="140">
        <v>0.2</v>
      </c>
      <c r="AA27" s="141">
        <v>0.2</v>
      </c>
      <c r="AB27" s="140">
        <v>0.2</v>
      </c>
      <c r="AC27" s="140">
        <v>0.2</v>
      </c>
      <c r="AD27" s="141">
        <v>0.2</v>
      </c>
      <c r="AE27" s="140">
        <v>0.2</v>
      </c>
    </row>
    <row r="28" spans="1:31" x14ac:dyDescent="0.35">
      <c r="A28" s="137" t="s">
        <v>45</v>
      </c>
      <c r="B28" s="138">
        <v>0.26404</v>
      </c>
      <c r="C28" s="139">
        <v>0.27151999999999998</v>
      </c>
      <c r="D28" s="138">
        <v>0.29215999999999998</v>
      </c>
      <c r="E28" s="138">
        <v>0.32578000000000001</v>
      </c>
      <c r="F28" s="139">
        <v>0.35650999999999999</v>
      </c>
      <c r="G28" s="138">
        <v>0.40833000000000003</v>
      </c>
      <c r="H28" s="138">
        <v>0.43947999999999998</v>
      </c>
      <c r="I28" s="139">
        <v>0.48597000000000001</v>
      </c>
      <c r="J28" s="138">
        <v>0.53749000000000002</v>
      </c>
      <c r="K28" s="138">
        <v>0.57904</v>
      </c>
      <c r="L28" s="139">
        <v>0.60453000000000001</v>
      </c>
      <c r="M28" s="138">
        <v>0.61773</v>
      </c>
      <c r="N28" s="140">
        <v>0.62407999999999997</v>
      </c>
      <c r="O28" s="141">
        <v>0.62709999999999999</v>
      </c>
      <c r="P28" s="140">
        <v>0.62861999999999996</v>
      </c>
      <c r="Q28" s="138">
        <v>0.62977000000000005</v>
      </c>
      <c r="R28" s="139">
        <v>0.63226000000000004</v>
      </c>
      <c r="S28" s="138">
        <v>0.64093999999999995</v>
      </c>
      <c r="T28" s="138">
        <v>0.72462000000000004</v>
      </c>
      <c r="U28" s="139">
        <v>0.73033999999999999</v>
      </c>
      <c r="V28" s="138">
        <v>0.73575999999999997</v>
      </c>
      <c r="W28" s="138">
        <v>0.74182000000000003</v>
      </c>
      <c r="X28" s="139">
        <v>0.74856999999999996</v>
      </c>
      <c r="Y28" s="138">
        <v>0.75509999999999999</v>
      </c>
      <c r="Z28" s="138">
        <v>0.74602000000000002</v>
      </c>
      <c r="AA28" s="139">
        <v>0.73865999999999998</v>
      </c>
      <c r="AB28" s="138">
        <v>0.73270999999999997</v>
      </c>
      <c r="AC28" s="138">
        <v>0.73865999999999998</v>
      </c>
      <c r="AD28" s="139">
        <v>0.73270999999999997</v>
      </c>
      <c r="AE28" s="138">
        <v>0.71826999999999996</v>
      </c>
    </row>
    <row r="29" spans="1:31" x14ac:dyDescent="0.35">
      <c r="A29" s="135" t="s">
        <v>66</v>
      </c>
      <c r="B29" s="140">
        <v>6.1419000000000002E-41</v>
      </c>
      <c r="C29" s="141">
        <v>2.9047999999999998E-41</v>
      </c>
      <c r="D29" s="140">
        <v>4.0638000000000001E-44</v>
      </c>
      <c r="E29" s="140">
        <v>0</v>
      </c>
      <c r="F29" s="141">
        <v>0</v>
      </c>
      <c r="G29" s="136" t="s">
        <v>83</v>
      </c>
      <c r="H29" s="140">
        <v>0</v>
      </c>
      <c r="I29" s="141">
        <v>0</v>
      </c>
      <c r="J29" s="136" t="s">
        <v>83</v>
      </c>
      <c r="K29" s="140">
        <v>0</v>
      </c>
      <c r="L29" s="141">
        <v>0</v>
      </c>
      <c r="M29" s="136" t="s">
        <v>83</v>
      </c>
      <c r="N29" s="140">
        <v>0</v>
      </c>
      <c r="O29" s="141">
        <v>0</v>
      </c>
      <c r="P29" s="136" t="s">
        <v>83</v>
      </c>
      <c r="Q29" s="140">
        <v>0</v>
      </c>
      <c r="R29" s="141">
        <v>0</v>
      </c>
      <c r="S29" s="136" t="s">
        <v>83</v>
      </c>
      <c r="T29" s="140">
        <v>0</v>
      </c>
      <c r="U29" s="141">
        <v>0</v>
      </c>
      <c r="V29" s="136" t="s">
        <v>83</v>
      </c>
      <c r="W29" s="140">
        <v>0</v>
      </c>
      <c r="X29" s="141">
        <v>0</v>
      </c>
      <c r="Y29" s="136" t="s">
        <v>83</v>
      </c>
      <c r="Z29" s="140">
        <v>0</v>
      </c>
      <c r="AA29" s="141">
        <v>0</v>
      </c>
      <c r="AB29" s="136" t="s">
        <v>83</v>
      </c>
      <c r="AC29" s="140">
        <v>0</v>
      </c>
      <c r="AD29" s="141">
        <v>0</v>
      </c>
      <c r="AE29" s="136" t="s">
        <v>83</v>
      </c>
    </row>
    <row r="30" spans="1:31" x14ac:dyDescent="0.35">
      <c r="A30" s="135" t="s">
        <v>65</v>
      </c>
      <c r="B30" s="140">
        <v>0</v>
      </c>
      <c r="C30" s="141">
        <v>0</v>
      </c>
      <c r="D30" s="136" t="s">
        <v>83</v>
      </c>
      <c r="E30" s="140">
        <v>0</v>
      </c>
      <c r="F30" s="141">
        <v>0</v>
      </c>
      <c r="G30" s="136" t="s">
        <v>83</v>
      </c>
      <c r="H30" s="140">
        <v>0</v>
      </c>
      <c r="I30" s="141">
        <v>0</v>
      </c>
      <c r="J30" s="136" t="s">
        <v>83</v>
      </c>
      <c r="K30" s="140">
        <v>0</v>
      </c>
      <c r="L30" s="141">
        <v>0</v>
      </c>
      <c r="M30" s="136" t="s">
        <v>83</v>
      </c>
      <c r="N30" s="140">
        <v>0</v>
      </c>
      <c r="O30" s="141">
        <v>0</v>
      </c>
      <c r="P30" s="136" t="s">
        <v>83</v>
      </c>
      <c r="Q30" s="140">
        <v>0</v>
      </c>
      <c r="R30" s="141">
        <v>0</v>
      </c>
      <c r="S30" s="136" t="s">
        <v>83</v>
      </c>
      <c r="T30" s="138">
        <v>3.5952000000000002E-32</v>
      </c>
      <c r="U30" s="139">
        <v>2.5513999999999998E-25</v>
      </c>
      <c r="V30" s="138">
        <v>8.8823000000000001E-19</v>
      </c>
      <c r="W30" s="138">
        <v>9.5874999999999993E-13</v>
      </c>
      <c r="X30" s="139">
        <v>8.3317000000000004E-8</v>
      </c>
      <c r="Y30" s="138">
        <v>1.6367E-3</v>
      </c>
      <c r="Z30" s="138">
        <v>3.7241000000000003E-2</v>
      </c>
      <c r="AA30" s="139">
        <v>5.4813000000000001E-2</v>
      </c>
      <c r="AB30" s="138">
        <v>6.4674999999999996E-2</v>
      </c>
      <c r="AC30" s="138">
        <v>5.4813000000000001E-2</v>
      </c>
      <c r="AD30" s="139">
        <v>6.4674999999999996E-2</v>
      </c>
      <c r="AE30" s="138">
        <v>8.1647999999999998E-2</v>
      </c>
    </row>
  </sheetData>
  <conditionalFormatting sqref="B1:AE30">
    <cfRule type="expression" dxfId="1" priority="1">
      <formula>ISNUMBER(B1)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4ECA3-B0B5-489F-A3B6-E5440EFE6A8D}">
  <sheetPr codeName="Лист4"/>
  <dimension ref="A1:AB37"/>
  <sheetViews>
    <sheetView workbookViewId="0">
      <selection activeCell="AB19" sqref="A1:AB19"/>
    </sheetView>
  </sheetViews>
  <sheetFormatPr defaultRowHeight="18.75" x14ac:dyDescent="0.3"/>
  <cols>
    <col min="1" max="16384" width="8.7265625" style="142"/>
  </cols>
  <sheetData>
    <row r="1" spans="1:28" ht="21" customHeight="1" x14ac:dyDescent="0.3">
      <c r="A1" s="147" t="s">
        <v>96</v>
      </c>
      <c r="B1" s="148">
        <v>273.10000000000002</v>
      </c>
      <c r="C1" s="148">
        <v>293.3</v>
      </c>
      <c r="D1" s="148">
        <v>313.5</v>
      </c>
      <c r="E1" s="148">
        <v>333.7</v>
      </c>
      <c r="F1" s="148">
        <v>353.9</v>
      </c>
      <c r="G1" s="148">
        <v>434.7</v>
      </c>
      <c r="H1" s="148">
        <v>454.9</v>
      </c>
      <c r="I1" s="148">
        <v>475.1</v>
      </c>
      <c r="J1" s="148">
        <v>495.2</v>
      </c>
      <c r="K1" s="148">
        <v>515.4</v>
      </c>
      <c r="L1" s="148">
        <v>535.6</v>
      </c>
      <c r="M1" s="148">
        <v>555.79999999999995</v>
      </c>
      <c r="N1" s="152">
        <v>576</v>
      </c>
      <c r="O1" s="150">
        <v>596.20000000000005</v>
      </c>
      <c r="P1" s="152">
        <v>677</v>
      </c>
      <c r="Q1" s="153">
        <v>697.1</v>
      </c>
      <c r="R1" s="153">
        <v>717.3</v>
      </c>
      <c r="S1" s="153">
        <v>737.5</v>
      </c>
      <c r="T1" s="148">
        <v>757.7</v>
      </c>
      <c r="U1" s="148">
        <v>777.9</v>
      </c>
      <c r="V1" s="148">
        <v>798.1</v>
      </c>
      <c r="W1" s="153">
        <v>818.3</v>
      </c>
      <c r="X1" s="153">
        <v>838.5</v>
      </c>
      <c r="Y1" s="153">
        <v>919.2</v>
      </c>
      <c r="Z1" s="148">
        <v>838.5</v>
      </c>
      <c r="AA1" s="148">
        <v>919.2</v>
      </c>
      <c r="AB1" s="154">
        <v>1000</v>
      </c>
    </row>
    <row r="2" spans="1:28" ht="21" customHeight="1" x14ac:dyDescent="0.3">
      <c r="A2" s="149" t="s">
        <v>57</v>
      </c>
      <c r="B2" s="155">
        <v>0</v>
      </c>
      <c r="C2" s="156">
        <v>0</v>
      </c>
      <c r="D2" s="155">
        <v>0</v>
      </c>
      <c r="E2" s="155">
        <v>0</v>
      </c>
      <c r="F2" s="156">
        <v>0</v>
      </c>
      <c r="G2" s="155">
        <v>3.8258999999999998E-18</v>
      </c>
      <c r="H2" s="155">
        <v>1.6139000000000001E-13</v>
      </c>
      <c r="I2" s="156">
        <v>8.4388000000000001E-11</v>
      </c>
      <c r="J2" s="155">
        <v>1.4055E-9</v>
      </c>
      <c r="K2" s="155">
        <v>6.719E-2</v>
      </c>
      <c r="L2" s="156">
        <v>0.12</v>
      </c>
      <c r="M2" s="155">
        <v>0.12</v>
      </c>
      <c r="N2" s="155">
        <v>0.12</v>
      </c>
      <c r="O2" s="156">
        <v>0.12</v>
      </c>
      <c r="P2" s="155">
        <v>0.12</v>
      </c>
      <c r="Q2" s="155">
        <v>0.12</v>
      </c>
      <c r="R2" s="156">
        <v>0.12</v>
      </c>
      <c r="S2" s="156">
        <v>0.12</v>
      </c>
      <c r="T2" s="155">
        <v>0.12</v>
      </c>
      <c r="U2" s="156">
        <v>0.12</v>
      </c>
      <c r="V2" s="155">
        <v>0.11315</v>
      </c>
      <c r="W2" s="155">
        <v>0.11173</v>
      </c>
      <c r="X2" s="156">
        <v>0.11027000000000001</v>
      </c>
      <c r="Y2" s="156">
        <v>0.10192</v>
      </c>
      <c r="Z2" s="155">
        <v>0.11027000000000001</v>
      </c>
      <c r="AA2" s="156">
        <v>0.10192</v>
      </c>
      <c r="AB2" s="155">
        <v>8.5938000000000001E-2</v>
      </c>
    </row>
    <row r="3" spans="1:28" ht="21" customHeight="1" x14ac:dyDescent="0.3">
      <c r="A3" s="151" t="s">
        <v>56</v>
      </c>
      <c r="B3" s="157">
        <v>0.12</v>
      </c>
      <c r="C3" s="158">
        <v>0.12</v>
      </c>
      <c r="D3" s="157">
        <v>0.12</v>
      </c>
      <c r="E3" s="157">
        <v>0.12</v>
      </c>
      <c r="F3" s="158">
        <v>0.24</v>
      </c>
      <c r="G3" s="157">
        <v>0.24</v>
      </c>
      <c r="H3" s="159">
        <v>0.24</v>
      </c>
      <c r="I3" s="160">
        <v>0.24</v>
      </c>
      <c r="J3" s="159">
        <v>0.24</v>
      </c>
      <c r="K3" s="159">
        <v>0.10562000000000001</v>
      </c>
      <c r="L3" s="160">
        <v>5.8947000000000003E-9</v>
      </c>
      <c r="M3" s="159">
        <v>2.9583999999999998E-10</v>
      </c>
      <c r="N3" s="157">
        <v>5.7976000000000003E-12</v>
      </c>
      <c r="O3" s="158">
        <v>3.5656000000000001E-12</v>
      </c>
      <c r="P3" s="158">
        <v>6.6780000000000004E-22</v>
      </c>
      <c r="Q3" s="157">
        <v>5.9907000000000002E-27</v>
      </c>
      <c r="R3" s="158">
        <v>2.7018000000000001E-32</v>
      </c>
      <c r="S3" s="158">
        <v>0</v>
      </c>
      <c r="T3" s="157">
        <v>0</v>
      </c>
      <c r="U3" s="158">
        <v>0</v>
      </c>
      <c r="V3" s="157">
        <v>0</v>
      </c>
      <c r="W3" s="157">
        <v>0</v>
      </c>
      <c r="X3" s="158">
        <v>0</v>
      </c>
      <c r="Y3" s="158">
        <v>0</v>
      </c>
      <c r="Z3" s="157">
        <v>0</v>
      </c>
      <c r="AA3" s="158">
        <v>0</v>
      </c>
      <c r="AB3" s="157">
        <v>0</v>
      </c>
    </row>
    <row r="4" spans="1:28" ht="21" customHeight="1" x14ac:dyDescent="0.3">
      <c r="A4" s="151" t="s">
        <v>84</v>
      </c>
      <c r="B4" s="157">
        <v>0</v>
      </c>
      <c r="C4" s="158">
        <v>0</v>
      </c>
      <c r="D4" s="157">
        <v>0</v>
      </c>
      <c r="E4" s="157">
        <v>0</v>
      </c>
      <c r="F4" s="158">
        <v>0</v>
      </c>
      <c r="G4" s="157">
        <v>0</v>
      </c>
      <c r="H4" s="157">
        <v>0</v>
      </c>
      <c r="I4" s="158">
        <v>0</v>
      </c>
      <c r="J4" s="157">
        <v>0</v>
      </c>
      <c r="K4" s="157">
        <v>0</v>
      </c>
      <c r="L4" s="158">
        <v>0</v>
      </c>
      <c r="M4" s="157">
        <v>0</v>
      </c>
      <c r="N4" s="157">
        <v>0</v>
      </c>
      <c r="O4" s="158">
        <v>0</v>
      </c>
      <c r="P4" s="158">
        <v>2.1572000000000002E-31</v>
      </c>
      <c r="Q4" s="159">
        <v>1.5057E-27</v>
      </c>
      <c r="R4" s="160">
        <v>6.8638000000000005E-23</v>
      </c>
      <c r="S4" s="159">
        <v>7.9580000000000003E-23</v>
      </c>
      <c r="T4" s="157">
        <v>6.1874000000000002E-17</v>
      </c>
      <c r="U4" s="158">
        <v>5.1635999999999997E-16</v>
      </c>
      <c r="V4" s="157">
        <v>3.1504999999999998E-9</v>
      </c>
      <c r="W4" s="159">
        <v>3.9756000000000002E-7</v>
      </c>
      <c r="X4" s="160">
        <v>2.9050000000000001E-7</v>
      </c>
      <c r="Y4" s="160">
        <v>6.5820000000000003E-8</v>
      </c>
      <c r="Z4" s="157">
        <v>2.9050000000000001E-7</v>
      </c>
      <c r="AA4" s="158">
        <v>6.5820000000000003E-8</v>
      </c>
      <c r="AB4" s="157">
        <v>1.1147E-8</v>
      </c>
    </row>
    <row r="5" spans="1:28" ht="21" customHeight="1" x14ac:dyDescent="0.3">
      <c r="A5" s="151" t="s">
        <v>54</v>
      </c>
      <c r="B5" s="157">
        <v>0</v>
      </c>
      <c r="C5" s="158">
        <v>0</v>
      </c>
      <c r="D5" s="157">
        <v>0</v>
      </c>
      <c r="E5" s="157">
        <v>0</v>
      </c>
      <c r="F5" s="158">
        <v>0</v>
      </c>
      <c r="G5" s="157">
        <v>0</v>
      </c>
      <c r="H5" s="157">
        <v>0</v>
      </c>
      <c r="I5" s="158">
        <v>0</v>
      </c>
      <c r="J5" s="157">
        <v>0</v>
      </c>
      <c r="K5" s="157">
        <v>0</v>
      </c>
      <c r="L5" s="158">
        <v>0</v>
      </c>
      <c r="M5" s="157">
        <v>0</v>
      </c>
      <c r="N5" s="157">
        <v>0</v>
      </c>
      <c r="O5" s="158">
        <v>0</v>
      </c>
      <c r="P5" s="158">
        <v>2.482E-22</v>
      </c>
      <c r="Q5" s="159">
        <v>4.1234E-18</v>
      </c>
      <c r="R5" s="160">
        <v>4.5319000000000001E-13</v>
      </c>
      <c r="S5" s="160">
        <v>2.2366E-8</v>
      </c>
      <c r="T5" s="159">
        <v>2.4235E-2</v>
      </c>
      <c r="U5" s="160">
        <v>3.5584999999999999E-2</v>
      </c>
      <c r="V5" s="159">
        <v>2.9937000000000001E-7</v>
      </c>
      <c r="W5" s="157">
        <v>2.7884000000000001E-21</v>
      </c>
      <c r="X5" s="158">
        <v>0</v>
      </c>
      <c r="Y5" s="158">
        <v>0</v>
      </c>
      <c r="Z5" s="157">
        <v>0</v>
      </c>
      <c r="AA5" s="158">
        <v>0</v>
      </c>
      <c r="AB5" s="157">
        <v>0</v>
      </c>
    </row>
    <row r="6" spans="1:28" ht="21" customHeight="1" x14ac:dyDescent="0.3">
      <c r="A6" s="151" t="s">
        <v>53</v>
      </c>
      <c r="B6" s="157">
        <v>0</v>
      </c>
      <c r="C6" s="158">
        <v>0</v>
      </c>
      <c r="D6" s="157">
        <v>0</v>
      </c>
      <c r="E6" s="159">
        <v>0</v>
      </c>
      <c r="F6" s="160">
        <v>0</v>
      </c>
      <c r="G6" s="159">
        <v>3.8258999999999998E-18</v>
      </c>
      <c r="H6" s="159">
        <v>1.6139000000000001E-13</v>
      </c>
      <c r="I6" s="160">
        <v>8.4388000000000001E-11</v>
      </c>
      <c r="J6" s="159">
        <v>1.4055E-9</v>
      </c>
      <c r="K6" s="157">
        <v>6.719E-2</v>
      </c>
      <c r="L6" s="158">
        <v>0.12</v>
      </c>
      <c r="M6" s="157">
        <v>0.12</v>
      </c>
      <c r="N6" s="157">
        <v>0.12</v>
      </c>
      <c r="O6" s="158">
        <v>0.12</v>
      </c>
      <c r="P6" s="158">
        <v>0.12</v>
      </c>
      <c r="Q6" s="157">
        <v>0.12</v>
      </c>
      <c r="R6" s="158">
        <v>0.12</v>
      </c>
      <c r="S6" s="158">
        <v>0.12</v>
      </c>
      <c r="T6" s="157">
        <v>0.12</v>
      </c>
      <c r="U6" s="158">
        <v>0.12</v>
      </c>
      <c r="V6" s="157">
        <v>0.11315</v>
      </c>
      <c r="W6" s="159">
        <v>0.11173</v>
      </c>
      <c r="X6" s="160">
        <v>0.11027000000000001</v>
      </c>
      <c r="Y6" s="160">
        <v>0.10192</v>
      </c>
      <c r="Z6" s="159">
        <v>0.11027000000000001</v>
      </c>
      <c r="AA6" s="160">
        <v>0.10192</v>
      </c>
      <c r="AB6" s="159">
        <v>8.5938000000000001E-2</v>
      </c>
    </row>
    <row r="7" spans="1:28" ht="21" customHeight="1" x14ac:dyDescent="0.3">
      <c r="A7" s="151" t="s">
        <v>52</v>
      </c>
      <c r="B7" s="157">
        <v>4.6744E-24</v>
      </c>
      <c r="C7" s="158">
        <v>8.8713000000000006E-17</v>
      </c>
      <c r="D7" s="157">
        <v>7.5023000000000003E-11</v>
      </c>
      <c r="E7" s="157">
        <v>2.4996999999999999E-8</v>
      </c>
      <c r="F7" s="158">
        <v>0.12</v>
      </c>
      <c r="G7" s="157">
        <v>0.12</v>
      </c>
      <c r="H7" s="157">
        <v>0.12</v>
      </c>
      <c r="I7" s="158">
        <v>0.12</v>
      </c>
      <c r="J7" s="157">
        <v>0.12</v>
      </c>
      <c r="K7" s="157">
        <v>0.25438</v>
      </c>
      <c r="L7" s="158">
        <v>0.36</v>
      </c>
      <c r="M7" s="157">
        <v>0.36</v>
      </c>
      <c r="N7" s="157">
        <v>0.36</v>
      </c>
      <c r="O7" s="158">
        <v>0.36</v>
      </c>
      <c r="P7" s="158">
        <v>0.36</v>
      </c>
      <c r="Q7" s="157">
        <v>0.36</v>
      </c>
      <c r="R7" s="158">
        <v>0.36</v>
      </c>
      <c r="S7" s="158">
        <v>0.36</v>
      </c>
      <c r="T7" s="157">
        <v>0.40847</v>
      </c>
      <c r="U7" s="158">
        <v>0.43117</v>
      </c>
      <c r="V7" s="157">
        <v>0.47654000000000002</v>
      </c>
      <c r="W7" s="157">
        <v>0.47964000000000001</v>
      </c>
      <c r="X7" s="158">
        <v>0.47996</v>
      </c>
      <c r="Y7" s="157">
        <v>0.48</v>
      </c>
      <c r="Z7" s="157">
        <v>0.47996</v>
      </c>
      <c r="AA7" s="158">
        <v>0.48</v>
      </c>
      <c r="AB7" s="157">
        <v>0.48</v>
      </c>
    </row>
    <row r="8" spans="1:28" ht="21" customHeight="1" x14ac:dyDescent="0.3">
      <c r="A8" s="151" t="s">
        <v>51</v>
      </c>
      <c r="B8" s="157">
        <v>0.12</v>
      </c>
      <c r="C8" s="158">
        <v>0.12</v>
      </c>
      <c r="D8" s="157">
        <v>0.12</v>
      </c>
      <c r="E8" s="157">
        <v>0.12</v>
      </c>
      <c r="F8" s="158">
        <v>6.8576999999999996E-9</v>
      </c>
      <c r="G8" s="157">
        <v>3.5479000000000002E-18</v>
      </c>
      <c r="H8" s="157">
        <v>3.3890000000000001E-21</v>
      </c>
      <c r="I8" s="158">
        <v>2.8891000000000001E-29</v>
      </c>
      <c r="J8" s="157">
        <v>0</v>
      </c>
      <c r="K8" s="157">
        <v>0</v>
      </c>
      <c r="L8" s="158">
        <v>0</v>
      </c>
      <c r="M8" s="157">
        <v>0</v>
      </c>
      <c r="N8" s="157">
        <v>0</v>
      </c>
      <c r="O8" s="158">
        <v>0</v>
      </c>
      <c r="P8" s="158">
        <v>0</v>
      </c>
      <c r="Q8" s="157">
        <v>0</v>
      </c>
      <c r="R8" s="158">
        <v>0</v>
      </c>
      <c r="S8" s="158">
        <v>0</v>
      </c>
      <c r="T8" s="157">
        <v>0</v>
      </c>
      <c r="U8" s="158">
        <v>0</v>
      </c>
      <c r="V8" s="157">
        <v>0</v>
      </c>
      <c r="W8" s="157">
        <v>0</v>
      </c>
      <c r="X8" s="158">
        <v>0</v>
      </c>
      <c r="Y8" s="158">
        <v>0</v>
      </c>
      <c r="Z8" s="157">
        <v>0</v>
      </c>
      <c r="AA8" s="158">
        <v>0</v>
      </c>
      <c r="AB8" s="157">
        <v>0</v>
      </c>
    </row>
    <row r="9" spans="1:28" ht="21" customHeight="1" x14ac:dyDescent="0.3">
      <c r="A9" s="147" t="s">
        <v>50</v>
      </c>
      <c r="B9" s="159">
        <v>0.04</v>
      </c>
      <c r="C9" s="160">
        <v>0.04</v>
      </c>
      <c r="D9" s="159">
        <v>0.04</v>
      </c>
      <c r="E9" s="159">
        <v>0.04</v>
      </c>
      <c r="F9" s="160">
        <v>0.04</v>
      </c>
      <c r="G9" s="159">
        <v>0.04</v>
      </c>
      <c r="H9" s="159">
        <v>0.04</v>
      </c>
      <c r="I9" s="160">
        <v>0.04</v>
      </c>
      <c r="J9" s="159">
        <v>0.04</v>
      </c>
      <c r="K9" s="159">
        <v>0.04</v>
      </c>
      <c r="L9" s="160">
        <v>0.04</v>
      </c>
      <c r="M9" s="159">
        <v>0.04</v>
      </c>
      <c r="N9" s="159">
        <v>0.04</v>
      </c>
      <c r="O9" s="160">
        <v>0.04</v>
      </c>
      <c r="P9" s="159">
        <v>0.04</v>
      </c>
      <c r="Q9" s="159">
        <v>0.04</v>
      </c>
      <c r="R9" s="160">
        <v>0.04</v>
      </c>
      <c r="S9" s="159">
        <v>0.04</v>
      </c>
      <c r="T9" s="159">
        <v>1.5765000000000001E-2</v>
      </c>
      <c r="U9" s="160">
        <v>4.4145E-3</v>
      </c>
      <c r="V9" s="159">
        <v>1.1531E-3</v>
      </c>
      <c r="W9" s="159">
        <v>1.1998999999999999E-4</v>
      </c>
      <c r="X9" s="160">
        <v>1.3539E-5</v>
      </c>
      <c r="Y9" s="159">
        <v>4.1901999999999999E-9</v>
      </c>
      <c r="Z9" s="159">
        <v>1.3539E-5</v>
      </c>
      <c r="AA9" s="160">
        <v>4.1901999999999999E-9</v>
      </c>
      <c r="AB9" s="159">
        <v>2.8184000000000002E-12</v>
      </c>
    </row>
    <row r="10" spans="1:28" ht="21" customHeight="1" x14ac:dyDescent="0.3">
      <c r="A10" s="151" t="s">
        <v>49</v>
      </c>
      <c r="B10" s="157">
        <v>0</v>
      </c>
      <c r="C10" s="158">
        <v>0</v>
      </c>
      <c r="D10" s="157">
        <v>0</v>
      </c>
      <c r="E10" s="157">
        <v>0</v>
      </c>
      <c r="F10" s="158">
        <v>0</v>
      </c>
      <c r="G10" s="157">
        <v>0</v>
      </c>
      <c r="H10" s="159">
        <v>8.2863999999999999E-35</v>
      </c>
      <c r="I10" s="160">
        <v>3.9535999999999999E-32</v>
      </c>
      <c r="J10" s="159">
        <v>1.1802E-29</v>
      </c>
      <c r="K10" s="159">
        <v>2.318E-27</v>
      </c>
      <c r="L10" s="160">
        <v>3.1711999999999998E-25</v>
      </c>
      <c r="M10" s="159">
        <v>3.1093000000000001E-23</v>
      </c>
      <c r="N10" s="159">
        <v>2.2684999999999999E-21</v>
      </c>
      <c r="O10" s="160">
        <v>1.2683999999999999E-19</v>
      </c>
      <c r="P10" s="160">
        <v>1.3808E-13</v>
      </c>
      <c r="Q10" s="159">
        <v>2.8290000000000002E-12</v>
      </c>
      <c r="R10" s="160">
        <v>4.9786000000000001E-11</v>
      </c>
      <c r="S10" s="159">
        <v>7.6181999999999996E-10</v>
      </c>
      <c r="T10" s="159">
        <v>4.0387000000000001E-9</v>
      </c>
      <c r="U10" s="160">
        <v>1.3505000000000001E-8</v>
      </c>
      <c r="V10" s="159">
        <v>3.7726999999999998E-8</v>
      </c>
      <c r="W10" s="159">
        <v>3.7906000000000002E-8</v>
      </c>
      <c r="X10" s="160">
        <v>3.7554E-8</v>
      </c>
      <c r="Y10" s="160">
        <v>3.0196000000000001E-8</v>
      </c>
      <c r="Z10" s="159">
        <v>3.7554E-8</v>
      </c>
      <c r="AA10" s="160">
        <v>3.0196000000000001E-8</v>
      </c>
      <c r="AB10" s="159">
        <v>1.7782E-8</v>
      </c>
    </row>
    <row r="11" spans="1:28" ht="21" customHeight="1" x14ac:dyDescent="0.3">
      <c r="A11" s="151" t="s">
        <v>1</v>
      </c>
      <c r="B11" s="157">
        <v>0.2</v>
      </c>
      <c r="C11" s="158">
        <v>0.2</v>
      </c>
      <c r="D11" s="157">
        <v>0.2</v>
      </c>
      <c r="E11" s="157">
        <v>0.2</v>
      </c>
      <c r="F11" s="158">
        <v>0.2</v>
      </c>
      <c r="G11" s="157">
        <v>0.2</v>
      </c>
      <c r="H11" s="157">
        <v>0.2</v>
      </c>
      <c r="I11" s="158">
        <v>0.2</v>
      </c>
      <c r="J11" s="157">
        <v>0.2</v>
      </c>
      <c r="K11" s="157">
        <v>0.2</v>
      </c>
      <c r="L11" s="158">
        <v>0.2</v>
      </c>
      <c r="M11" s="157">
        <v>0.2</v>
      </c>
      <c r="N11" s="157">
        <v>0.2</v>
      </c>
      <c r="O11" s="158">
        <v>0.2</v>
      </c>
      <c r="P11" s="158">
        <v>0.2</v>
      </c>
      <c r="Q11" s="157">
        <v>0.2</v>
      </c>
      <c r="R11" s="158">
        <v>0.2</v>
      </c>
      <c r="S11" s="158">
        <v>0.2</v>
      </c>
      <c r="T11" s="157">
        <v>0.2</v>
      </c>
      <c r="U11" s="158">
        <v>0.2</v>
      </c>
      <c r="V11" s="157">
        <v>0.2</v>
      </c>
      <c r="W11" s="157">
        <v>0.2</v>
      </c>
      <c r="X11" s="158">
        <v>0.2</v>
      </c>
      <c r="Y11" s="158">
        <v>0.2</v>
      </c>
      <c r="Z11" s="157">
        <v>0.2</v>
      </c>
      <c r="AA11" s="158">
        <v>0.2</v>
      </c>
      <c r="AB11" s="157">
        <v>0.2</v>
      </c>
    </row>
    <row r="12" spans="1:28" ht="21" customHeight="1" x14ac:dyDescent="0.3">
      <c r="A12" s="151" t="s">
        <v>97</v>
      </c>
      <c r="B12" s="157">
        <v>0</v>
      </c>
      <c r="C12" s="158">
        <v>0</v>
      </c>
      <c r="D12" s="157">
        <v>0</v>
      </c>
      <c r="E12" s="157">
        <v>0</v>
      </c>
      <c r="F12" s="158">
        <v>0</v>
      </c>
      <c r="G12" s="157">
        <v>0</v>
      </c>
      <c r="H12" s="157">
        <v>0</v>
      </c>
      <c r="I12" s="158">
        <v>0</v>
      </c>
      <c r="J12" s="157">
        <v>0</v>
      </c>
      <c r="K12" s="157">
        <v>0</v>
      </c>
      <c r="L12" s="158">
        <v>0</v>
      </c>
      <c r="M12" s="158">
        <v>1.5435999999999999E-32</v>
      </c>
      <c r="N12" s="157">
        <v>2.2441000000000001E-26</v>
      </c>
      <c r="O12" s="158">
        <v>2.012E-20</v>
      </c>
      <c r="P12" s="158">
        <v>3.7214000000000002E-13</v>
      </c>
      <c r="Q12" s="159">
        <v>8.3488999999999999E-13</v>
      </c>
      <c r="R12" s="160">
        <v>1.2235E-11</v>
      </c>
      <c r="S12" s="160">
        <v>5.7031000000000002E-13</v>
      </c>
      <c r="T12" s="159">
        <v>4.5874000000000001E-9</v>
      </c>
      <c r="U12" s="160">
        <v>3.9656000000000001E-8</v>
      </c>
      <c r="V12" s="160">
        <v>7.7692999999999998E-2</v>
      </c>
      <c r="W12" s="157">
        <v>7.9759999999999998E-2</v>
      </c>
      <c r="X12" s="158">
        <v>7.9973000000000002E-2</v>
      </c>
      <c r="Y12" s="158">
        <v>0.08</v>
      </c>
      <c r="Z12" s="157">
        <v>7.9973000000000002E-2</v>
      </c>
      <c r="AA12" s="158">
        <v>0.08</v>
      </c>
      <c r="AB12" s="157">
        <v>0.08</v>
      </c>
    </row>
    <row r="13" spans="1:28" ht="21" customHeight="1" x14ac:dyDescent="0.3">
      <c r="A13" s="151" t="s">
        <v>98</v>
      </c>
      <c r="B13" s="157">
        <v>0</v>
      </c>
      <c r="C13" s="158">
        <v>0</v>
      </c>
      <c r="D13" s="157">
        <v>0</v>
      </c>
      <c r="E13" s="157">
        <v>0</v>
      </c>
      <c r="F13" s="158">
        <v>0</v>
      </c>
      <c r="G13" s="157">
        <v>0</v>
      </c>
      <c r="H13" s="157">
        <v>0</v>
      </c>
      <c r="I13" s="158">
        <v>0</v>
      </c>
      <c r="J13" s="157">
        <v>0</v>
      </c>
      <c r="K13" s="157">
        <v>0</v>
      </c>
      <c r="L13" s="158">
        <v>0</v>
      </c>
      <c r="M13" s="157">
        <v>2.9877999999999998E-27</v>
      </c>
      <c r="N13" s="159">
        <v>7.9918999999999997E-22</v>
      </c>
      <c r="O13" s="160">
        <v>1.449E-16</v>
      </c>
      <c r="P13" s="160">
        <v>9.8116000000000007E-12</v>
      </c>
      <c r="Q13" s="159">
        <v>6.3760999999999999E-12</v>
      </c>
      <c r="R13" s="160">
        <v>2.8513E-11</v>
      </c>
      <c r="S13" s="159">
        <v>4.2784000000000002E-13</v>
      </c>
      <c r="T13" s="159">
        <v>1.7531999999999999E-9</v>
      </c>
      <c r="U13" s="160">
        <v>9.8190000000000001E-9</v>
      </c>
      <c r="V13" s="160">
        <v>1.3691E-2</v>
      </c>
      <c r="W13" s="159">
        <v>1.6542000000000001E-2</v>
      </c>
      <c r="X13" s="160">
        <v>1.9453999999999999E-2</v>
      </c>
      <c r="Y13" s="160">
        <v>3.6164000000000002E-2</v>
      </c>
      <c r="Z13" s="159">
        <v>1.9453999999999999E-2</v>
      </c>
      <c r="AA13" s="160">
        <v>3.6164000000000002E-2</v>
      </c>
      <c r="AB13" s="159">
        <v>6.8124000000000004E-2</v>
      </c>
    </row>
    <row r="14" spans="1:28" ht="21" customHeight="1" x14ac:dyDescent="0.3">
      <c r="A14" s="151" t="s">
        <v>36</v>
      </c>
      <c r="B14" s="157">
        <v>-18.8</v>
      </c>
      <c r="C14" s="158">
        <v>-18.79</v>
      </c>
      <c r="D14" s="157">
        <v>-18.8</v>
      </c>
      <c r="E14" s="157">
        <v>-18.809999999999999</v>
      </c>
      <c r="F14" s="158">
        <v>-18.829999999999998</v>
      </c>
      <c r="G14" s="157">
        <v>-18.95</v>
      </c>
      <c r="H14" s="159">
        <v>-18.989999999999998</v>
      </c>
      <c r="I14" s="160">
        <v>-19.03</v>
      </c>
      <c r="J14" s="159">
        <v>-19.07</v>
      </c>
      <c r="K14" s="159">
        <v>-19.11</v>
      </c>
      <c r="L14" s="160">
        <v>-19.149999999999999</v>
      </c>
      <c r="M14" s="159">
        <v>-19.190000000000001</v>
      </c>
      <c r="N14" s="159">
        <v>-19.23</v>
      </c>
      <c r="O14" s="160">
        <v>-19.28</v>
      </c>
      <c r="P14" s="160">
        <v>-19.440000000000001</v>
      </c>
      <c r="Q14" s="159">
        <v>-19.489999999999998</v>
      </c>
      <c r="R14" s="160">
        <v>-19.53</v>
      </c>
      <c r="S14" s="160">
        <v>-19.57</v>
      </c>
      <c r="T14" s="159">
        <v>-19.5</v>
      </c>
      <c r="U14" s="160">
        <v>-19.489999999999998</v>
      </c>
      <c r="V14" s="159">
        <v>-19.510000000000002</v>
      </c>
      <c r="W14" s="159">
        <v>-19.55</v>
      </c>
      <c r="X14" s="160">
        <v>-19.59</v>
      </c>
      <c r="Y14" s="160">
        <v>-19.739999999999998</v>
      </c>
      <c r="Z14" s="159">
        <v>-19.59</v>
      </c>
      <c r="AA14" s="160">
        <v>-19.739999999999998</v>
      </c>
      <c r="AB14" s="159">
        <v>-19.88</v>
      </c>
    </row>
    <row r="15" spans="1:28" ht="21" customHeight="1" x14ac:dyDescent="0.3">
      <c r="A15" s="147" t="s">
        <v>5</v>
      </c>
      <c r="B15" s="159">
        <v>-66.459999999999994</v>
      </c>
      <c r="C15" s="160">
        <v>-62.25</v>
      </c>
      <c r="D15" s="159">
        <v>-58.6</v>
      </c>
      <c r="E15" s="159">
        <v>-55.41</v>
      </c>
      <c r="F15" s="160">
        <v>-51.62</v>
      </c>
      <c r="G15" s="159">
        <v>-37.26</v>
      </c>
      <c r="H15" s="159">
        <v>-34.4</v>
      </c>
      <c r="I15" s="160">
        <v>-31.76</v>
      </c>
      <c r="J15" s="159">
        <v>-29.31</v>
      </c>
      <c r="K15" s="159">
        <v>-27.03</v>
      </c>
      <c r="L15" s="160">
        <v>-24.9</v>
      </c>
      <c r="M15" s="159">
        <v>-22.91</v>
      </c>
      <c r="N15" s="159">
        <v>-21.04</v>
      </c>
      <c r="O15" s="160">
        <v>-19.28</v>
      </c>
      <c r="P15" s="160">
        <v>-13.14</v>
      </c>
      <c r="Q15" s="157">
        <v>-11.8</v>
      </c>
      <c r="R15" s="158">
        <v>-10.52</v>
      </c>
      <c r="S15" s="158">
        <v>-9.2940000000000005</v>
      </c>
      <c r="T15" s="159">
        <v>-8.5370000000000008</v>
      </c>
      <c r="U15" s="160">
        <v>-8.0269999999999992</v>
      </c>
      <c r="V15" s="159">
        <v>-7.617</v>
      </c>
      <c r="W15" s="159">
        <v>-7.7149999999999999</v>
      </c>
      <c r="X15" s="160">
        <v>-7.8150000000000004</v>
      </c>
      <c r="Y15" s="160">
        <v>-8.2360000000000007</v>
      </c>
      <c r="Z15" s="159">
        <v>-7.8150000000000004</v>
      </c>
      <c r="AA15" s="160">
        <v>-8.2360000000000007</v>
      </c>
      <c r="AB15" s="159">
        <v>-8.7249999999999996</v>
      </c>
    </row>
    <row r="16" spans="1:28" ht="21" customHeight="1" x14ac:dyDescent="0.3">
      <c r="A16" s="147" t="s">
        <v>6</v>
      </c>
      <c r="B16" s="159">
        <v>-16.29</v>
      </c>
      <c r="C16" s="160">
        <v>-15.52</v>
      </c>
      <c r="D16" s="159">
        <v>-14.86</v>
      </c>
      <c r="E16" s="159">
        <v>-14.3</v>
      </c>
      <c r="F16" s="160">
        <v>-13.17</v>
      </c>
      <c r="G16" s="159">
        <v>-7.9130000000000003</v>
      </c>
      <c r="H16" s="159">
        <v>-6.851</v>
      </c>
      <c r="I16" s="160">
        <v>-5.867</v>
      </c>
      <c r="J16" s="159">
        <v>-4.9489999999999998</v>
      </c>
      <c r="K16" s="159">
        <v>-4.0979999999999999</v>
      </c>
      <c r="L16" s="160">
        <v>-4.1500000000000004</v>
      </c>
      <c r="M16" s="159">
        <v>-4.2</v>
      </c>
      <c r="N16" s="159">
        <v>-4.2489999999999997</v>
      </c>
      <c r="O16" s="160">
        <v>-4.2990000000000004</v>
      </c>
      <c r="P16" s="160">
        <v>-4.4989999999999997</v>
      </c>
      <c r="Q16" s="159">
        <v>-4.5490000000000004</v>
      </c>
      <c r="R16" s="160">
        <v>-4.5979999999999999</v>
      </c>
      <c r="S16" s="160">
        <v>-4.6470000000000002</v>
      </c>
      <c r="T16" s="159">
        <v>-4.6959999999999997</v>
      </c>
      <c r="U16" s="160">
        <v>-4.7439999999999998</v>
      </c>
      <c r="V16" s="159">
        <v>-4.7919999999999998</v>
      </c>
      <c r="W16" s="159">
        <v>-4.84</v>
      </c>
      <c r="X16" s="160">
        <v>-4.8869999999999996</v>
      </c>
      <c r="Y16" s="160">
        <v>-5.0709999999999997</v>
      </c>
      <c r="Z16" s="159">
        <v>-4.8869999999999996</v>
      </c>
      <c r="AA16" s="160">
        <v>-5.0709999999999997</v>
      </c>
      <c r="AB16" s="159">
        <v>-5.2489999999999997</v>
      </c>
    </row>
    <row r="17" spans="1:28" ht="21" customHeight="1" x14ac:dyDescent="0.3">
      <c r="A17" s="151" t="s">
        <v>7</v>
      </c>
      <c r="B17" s="157">
        <v>-23.52</v>
      </c>
      <c r="C17" s="158">
        <v>-22.18</v>
      </c>
      <c r="D17" s="157">
        <v>-21.02</v>
      </c>
      <c r="E17" s="157">
        <v>-20.010000000000002</v>
      </c>
      <c r="F17" s="158">
        <v>-19.77</v>
      </c>
      <c r="G17" s="157">
        <v>-20.97</v>
      </c>
      <c r="H17" s="157">
        <v>-21.27</v>
      </c>
      <c r="I17" s="158">
        <v>-21.58</v>
      </c>
      <c r="J17" s="157">
        <v>-21.88</v>
      </c>
      <c r="K17" s="157">
        <v>-22.18</v>
      </c>
      <c r="L17" s="158">
        <v>-22.49</v>
      </c>
      <c r="M17" s="157">
        <v>-22.79</v>
      </c>
      <c r="N17" s="159">
        <v>-23.08</v>
      </c>
      <c r="O17" s="160">
        <v>-23.37</v>
      </c>
      <c r="P17" s="160">
        <v>-24.51</v>
      </c>
      <c r="Q17" s="159">
        <v>-24.79</v>
      </c>
      <c r="R17" s="160">
        <v>-25.06</v>
      </c>
      <c r="S17" s="160">
        <v>-25.33</v>
      </c>
      <c r="T17" s="159">
        <v>-25.6</v>
      </c>
      <c r="U17" s="160">
        <v>-25.87</v>
      </c>
      <c r="V17" s="159">
        <v>-26.13</v>
      </c>
      <c r="W17" s="159">
        <v>-26.39</v>
      </c>
      <c r="X17" s="160">
        <v>-26.65</v>
      </c>
      <c r="Y17" s="160">
        <v>-27.65</v>
      </c>
      <c r="Z17" s="157">
        <v>-26.65</v>
      </c>
      <c r="AA17" s="158">
        <v>-27.65</v>
      </c>
      <c r="AB17" s="157">
        <v>-28.62</v>
      </c>
    </row>
    <row r="18" spans="1:28" ht="21" customHeight="1" x14ac:dyDescent="0.3">
      <c r="A18" s="147" t="s">
        <v>46</v>
      </c>
      <c r="B18" s="159">
        <v>0.24</v>
      </c>
      <c r="C18" s="160">
        <v>0.24</v>
      </c>
      <c r="D18" s="159">
        <v>0.24</v>
      </c>
      <c r="E18" s="159">
        <v>0.24</v>
      </c>
      <c r="F18" s="160">
        <v>0.24</v>
      </c>
      <c r="G18" s="159">
        <v>0.24</v>
      </c>
      <c r="H18" s="159">
        <v>0.24</v>
      </c>
      <c r="I18" s="160">
        <v>0.24</v>
      </c>
      <c r="J18" s="159">
        <v>0.24</v>
      </c>
      <c r="K18" s="159">
        <v>0.24</v>
      </c>
      <c r="L18" s="160">
        <v>0.24</v>
      </c>
      <c r="M18" s="159">
        <v>0.24</v>
      </c>
      <c r="N18" s="159">
        <v>0.24</v>
      </c>
      <c r="O18" s="160">
        <v>0.24</v>
      </c>
      <c r="P18" s="160">
        <v>0.24</v>
      </c>
      <c r="Q18" s="159">
        <v>0.24</v>
      </c>
      <c r="R18" s="160">
        <v>0.24</v>
      </c>
      <c r="S18" s="160">
        <v>0.24</v>
      </c>
      <c r="T18" s="159">
        <v>0.21576999999999999</v>
      </c>
      <c r="U18" s="160">
        <v>0.20441000000000001</v>
      </c>
      <c r="V18" s="159">
        <v>0.20115</v>
      </c>
      <c r="W18" s="157">
        <v>0.20011999999999999</v>
      </c>
      <c r="X18" s="158">
        <v>0.20000999999999999</v>
      </c>
      <c r="Y18" s="158">
        <v>0.2</v>
      </c>
      <c r="Z18" s="157">
        <v>0.20000999999999999</v>
      </c>
      <c r="AA18" s="158">
        <v>0.2</v>
      </c>
      <c r="AB18" s="157">
        <v>0.2</v>
      </c>
    </row>
    <row r="19" spans="1:28" ht="21" customHeight="1" x14ac:dyDescent="0.3">
      <c r="A19" s="151" t="s">
        <v>99</v>
      </c>
      <c r="B19" s="157">
        <v>0</v>
      </c>
      <c r="C19" s="158">
        <v>0</v>
      </c>
      <c r="D19" s="157">
        <v>0</v>
      </c>
      <c r="E19" s="157">
        <v>0</v>
      </c>
      <c r="F19" s="158">
        <v>0</v>
      </c>
      <c r="G19" s="158">
        <v>1.1435999999999999E-38</v>
      </c>
      <c r="H19" s="159">
        <v>5.5787999999999999E-33</v>
      </c>
      <c r="I19" s="160">
        <v>3.7170000000000001E-34</v>
      </c>
      <c r="J19" s="159">
        <v>0</v>
      </c>
      <c r="K19" s="159">
        <v>0</v>
      </c>
      <c r="L19" s="160">
        <v>3.4192000000000002E-43</v>
      </c>
      <c r="M19" s="159">
        <v>2.1938999999999999E-25</v>
      </c>
      <c r="N19" s="159">
        <v>4.4448000000000002E-20</v>
      </c>
      <c r="O19" s="160">
        <v>6.1951E-15</v>
      </c>
      <c r="P19" s="160">
        <v>1.7474000000000001E-10</v>
      </c>
      <c r="Q19" s="159">
        <v>9.4379000000000006E-11</v>
      </c>
      <c r="R19" s="160">
        <v>3.5398999999999998E-10</v>
      </c>
      <c r="S19" s="159">
        <v>4.4981E-12</v>
      </c>
      <c r="T19" s="159">
        <v>1.5717000000000001E-8</v>
      </c>
      <c r="U19" s="160">
        <v>7.5668E-8</v>
      </c>
      <c r="V19" s="159">
        <v>9.1384000000000007E-2</v>
      </c>
      <c r="W19" s="157">
        <v>9.6300999999999998E-2</v>
      </c>
      <c r="X19" s="158">
        <v>9.9426E-2</v>
      </c>
      <c r="Y19" s="158">
        <v>0.11616</v>
      </c>
      <c r="Z19" s="157">
        <v>9.9426E-2</v>
      </c>
      <c r="AA19" s="158">
        <v>0.11616</v>
      </c>
      <c r="AB19" s="157">
        <v>0.14812</v>
      </c>
    </row>
    <row r="20" spans="1:28" x14ac:dyDescent="0.3">
      <c r="N20" s="146"/>
      <c r="O20" s="146"/>
      <c r="P20" s="146"/>
      <c r="Q20" s="146"/>
      <c r="R20" s="146"/>
      <c r="S20" s="146"/>
      <c r="W20" s="146"/>
      <c r="X20" s="146"/>
      <c r="Y20" s="146"/>
    </row>
    <row r="21" spans="1:28" x14ac:dyDescent="0.3">
      <c r="N21" s="146"/>
      <c r="O21" s="146"/>
      <c r="P21" s="146"/>
      <c r="Q21" s="146"/>
      <c r="R21" s="146"/>
      <c r="S21" s="146"/>
      <c r="W21" s="146"/>
      <c r="X21" s="146"/>
      <c r="Y21" s="146"/>
    </row>
    <row r="22" spans="1:28" x14ac:dyDescent="0.3">
      <c r="N22" s="146"/>
      <c r="O22" s="146"/>
      <c r="P22" s="146"/>
      <c r="Q22" s="146"/>
      <c r="R22" s="146"/>
      <c r="S22" s="146"/>
      <c r="W22" s="146"/>
      <c r="X22" s="146"/>
      <c r="Y22" s="146"/>
    </row>
    <row r="23" spans="1:28" x14ac:dyDescent="0.3">
      <c r="N23" s="146"/>
      <c r="O23" s="146"/>
      <c r="P23" s="146"/>
      <c r="Q23" s="146"/>
      <c r="R23" s="146"/>
      <c r="S23" s="146"/>
      <c r="W23" s="146"/>
      <c r="X23" s="146"/>
      <c r="Y23" s="146"/>
    </row>
    <row r="24" spans="1:28" x14ac:dyDescent="0.3">
      <c r="N24" s="146"/>
      <c r="O24" s="146"/>
      <c r="P24" s="146"/>
      <c r="Q24" s="146"/>
      <c r="R24" s="146"/>
      <c r="S24" s="146"/>
      <c r="W24" s="146"/>
      <c r="X24" s="146"/>
      <c r="Y24" s="146"/>
    </row>
    <row r="25" spans="1:28" x14ac:dyDescent="0.3">
      <c r="N25" s="146"/>
      <c r="O25" s="146"/>
      <c r="P25" s="146"/>
      <c r="Q25" s="146"/>
      <c r="R25" s="146"/>
      <c r="S25" s="146"/>
      <c r="W25" s="146"/>
      <c r="X25" s="146"/>
      <c r="Y25" s="146"/>
    </row>
    <row r="26" spans="1:28" x14ac:dyDescent="0.3">
      <c r="N26" s="146"/>
      <c r="O26" s="146"/>
      <c r="P26" s="146"/>
      <c r="Q26" s="146"/>
      <c r="R26" s="146"/>
      <c r="S26" s="146"/>
      <c r="W26" s="146"/>
      <c r="X26" s="146"/>
      <c r="Y26" s="146"/>
    </row>
    <row r="27" spans="1:28" x14ac:dyDescent="0.3">
      <c r="N27" s="146"/>
      <c r="O27" s="146"/>
      <c r="P27" s="146"/>
      <c r="Q27" s="146"/>
      <c r="R27" s="146"/>
      <c r="S27" s="146"/>
      <c r="W27" s="146"/>
      <c r="X27" s="146"/>
      <c r="Y27" s="146"/>
    </row>
    <row r="28" spans="1:28" x14ac:dyDescent="0.3">
      <c r="N28" s="146"/>
      <c r="O28" s="146"/>
      <c r="P28" s="146"/>
      <c r="Q28" s="146"/>
      <c r="R28" s="146"/>
      <c r="S28" s="146"/>
      <c r="W28" s="146"/>
      <c r="X28" s="146"/>
      <c r="Y28" s="146"/>
    </row>
    <row r="29" spans="1:28" x14ac:dyDescent="0.3">
      <c r="N29" s="146"/>
      <c r="O29" s="146"/>
      <c r="P29" s="146"/>
      <c r="Q29" s="146"/>
      <c r="R29" s="146"/>
      <c r="S29" s="146"/>
      <c r="W29" s="146"/>
      <c r="X29" s="146"/>
      <c r="Y29" s="146"/>
    </row>
    <row r="30" spans="1:28" x14ac:dyDescent="0.3">
      <c r="N30" s="146"/>
      <c r="O30" s="146"/>
      <c r="P30" s="146"/>
      <c r="Q30" s="146"/>
      <c r="R30" s="146"/>
      <c r="S30" s="146"/>
      <c r="W30" s="146"/>
      <c r="X30" s="146"/>
      <c r="Y30" s="146"/>
    </row>
    <row r="31" spans="1:28" x14ac:dyDescent="0.3">
      <c r="N31" s="146"/>
      <c r="O31" s="146"/>
      <c r="P31" s="146"/>
      <c r="Q31" s="146"/>
      <c r="R31" s="146"/>
      <c r="S31" s="146"/>
      <c r="W31" s="146"/>
      <c r="X31" s="146"/>
      <c r="Y31" s="146"/>
    </row>
    <row r="32" spans="1:28" x14ac:dyDescent="0.3">
      <c r="N32" s="146"/>
      <c r="O32" s="146"/>
      <c r="P32" s="146"/>
      <c r="Q32" s="146"/>
      <c r="R32" s="146"/>
      <c r="S32" s="146"/>
      <c r="W32" s="146"/>
      <c r="X32" s="146"/>
      <c r="Y32" s="146"/>
    </row>
    <row r="33" spans="14:25" x14ac:dyDescent="0.3">
      <c r="N33" s="146"/>
      <c r="O33" s="146"/>
      <c r="P33" s="146"/>
      <c r="Q33" s="146"/>
      <c r="R33" s="146"/>
      <c r="S33" s="146"/>
      <c r="W33" s="146"/>
      <c r="X33" s="146"/>
      <c r="Y33" s="146"/>
    </row>
    <row r="34" spans="14:25" x14ac:dyDescent="0.3">
      <c r="N34" s="146"/>
      <c r="O34" s="146"/>
      <c r="P34" s="146"/>
      <c r="Q34" s="146"/>
      <c r="R34" s="146"/>
      <c r="S34" s="146"/>
      <c r="W34" s="146"/>
      <c r="X34" s="146"/>
      <c r="Y34" s="146"/>
    </row>
    <row r="35" spans="14:25" x14ac:dyDescent="0.3">
      <c r="N35" s="146"/>
      <c r="O35" s="146"/>
      <c r="P35" s="146"/>
      <c r="Q35" s="146"/>
      <c r="R35" s="146"/>
      <c r="S35" s="146"/>
      <c r="W35" s="146"/>
      <c r="X35" s="146"/>
      <c r="Y35" s="146"/>
    </row>
    <row r="36" spans="14:25" x14ac:dyDescent="0.3">
      <c r="N36" s="146"/>
      <c r="O36" s="146"/>
      <c r="P36" s="146"/>
      <c r="Q36" s="146"/>
      <c r="R36" s="146"/>
      <c r="S36" s="146"/>
      <c r="W36" s="146"/>
      <c r="X36" s="146"/>
      <c r="Y36" s="146"/>
    </row>
    <row r="37" spans="14:25" x14ac:dyDescent="0.3">
      <c r="N37" s="146"/>
      <c r="O37" s="146"/>
      <c r="P37" s="146"/>
      <c r="Q37" s="146"/>
      <c r="R37" s="146"/>
      <c r="S37" s="146"/>
      <c r="W37" s="146"/>
      <c r="X37" s="146"/>
      <c r="Y37" s="146"/>
    </row>
  </sheetData>
  <conditionalFormatting sqref="B1:AB19">
    <cfRule type="expression" dxfId="0" priority="1">
      <formula>ISNUMBER(B1)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12</vt:i4>
      </vt:variant>
    </vt:vector>
  </HeadingPairs>
  <TitlesOfParts>
    <vt:vector size="20" baseType="lpstr">
      <vt:lpstr>Values</vt:lpstr>
      <vt:lpstr>ALL</vt:lpstr>
      <vt:lpstr>FLUID</vt:lpstr>
      <vt:lpstr>SOLID</vt:lpstr>
      <vt:lpstr>EVALUATION</vt:lpstr>
      <vt:lpstr>data</vt:lpstr>
      <vt:lpstr>A</vt:lpstr>
      <vt:lpstr>s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2021-03-07T17:15:48Z</dcterms:modified>
</cp:coreProperties>
</file>